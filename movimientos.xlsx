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13171" documentId="13_ncr:1_{D9FFC64C-1D28-4E26-A20F-3393651425A9}" xr6:coauthVersionLast="47" xr6:coauthVersionMax="47" xr10:uidLastSave="{AE790C54-E034-473B-8EAE-FD225B56A285}"/>
  <bookViews>
    <workbookView xWindow="-120" yWindow="-120" windowWidth="20730" windowHeight="11040" xr2:uid="{00000000-000D-0000-FFFF-FFFF00000000}"/>
  </bookViews>
  <sheets>
    <sheet name="Movimientos" sheetId="1" r:id="rId1"/>
    <sheet name="Resumen_Producto" sheetId="3" r:id="rId2"/>
    <sheet name="Stock_por_Lote" sheetId="2" r:id="rId3"/>
    <sheet name="Listas" sheetId="4" r:id="rId4"/>
    <sheet name="Instructivo" sheetId="5" r:id="rId5"/>
  </sheets>
  <definedNames>
    <definedName name="_xlnm._FilterDatabase" localSheetId="2" hidden="1">Stock_por_Lote!$A$1:$K$1003</definedName>
    <definedName name="_xlnm._FilterDatabase" localSheetId="1" hidden="1">Resumen_Producto!$A$1:$H$1</definedName>
    <definedName name="_xlnm._FilterDatabase" localSheetId="0" hidden="1">Movimientos!$C$12003:$C$12003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97" i="1" l="1"/>
  <c r="R231" i="1"/>
  <c r="S231" i="1"/>
  <c r="T231" i="1"/>
  <c r="G63" i="3"/>
  <c r="G66" i="3"/>
  <c r="G69" i="3"/>
  <c r="G72" i="3"/>
  <c r="G75" i="3"/>
  <c r="B83" i="3"/>
  <c r="C83" i="3"/>
  <c r="D83" i="3"/>
  <c r="E83" i="3"/>
  <c r="F83" i="3"/>
  <c r="G83" i="3"/>
  <c r="H83" i="3"/>
  <c r="B84" i="3"/>
  <c r="C84" i="3"/>
  <c r="D84" i="3"/>
  <c r="E84" i="3"/>
  <c r="F84" i="3"/>
  <c r="G84" i="3"/>
  <c r="H84" i="3"/>
  <c r="B85" i="3"/>
  <c r="C85" i="3"/>
  <c r="D85" i="3"/>
  <c r="E85" i="3"/>
  <c r="F85" i="3"/>
  <c r="G85" i="3"/>
  <c r="H85" i="3"/>
  <c r="B86" i="3"/>
  <c r="C86" i="3"/>
  <c r="D86" i="3"/>
  <c r="E86" i="3"/>
  <c r="F86" i="3"/>
  <c r="G86" i="3"/>
  <c r="H86" i="3"/>
  <c r="B87" i="3"/>
  <c r="C87" i="3"/>
  <c r="D87" i="3"/>
  <c r="E87" i="3"/>
  <c r="F87" i="3"/>
  <c r="G87" i="3"/>
  <c r="H87" i="3"/>
  <c r="B88" i="3"/>
  <c r="C88" i="3"/>
  <c r="D88" i="3"/>
  <c r="E88" i="3"/>
  <c r="F88" i="3"/>
  <c r="G88" i="3"/>
  <c r="H88" i="3"/>
  <c r="B89" i="3"/>
  <c r="C89" i="3"/>
  <c r="D89" i="3"/>
  <c r="E89" i="3"/>
  <c r="F89" i="3"/>
  <c r="G89" i="3"/>
  <c r="H89" i="3"/>
  <c r="B90" i="3"/>
  <c r="C90" i="3"/>
  <c r="D90" i="3"/>
  <c r="E90" i="3"/>
  <c r="F90" i="3"/>
  <c r="G90" i="3"/>
  <c r="H90" i="3"/>
  <c r="B91" i="3"/>
  <c r="C91" i="3"/>
  <c r="D91" i="3"/>
  <c r="E91" i="3"/>
  <c r="F91" i="3"/>
  <c r="G91" i="3"/>
  <c r="H91" i="3"/>
  <c r="B92" i="3"/>
  <c r="C92" i="3"/>
  <c r="D92" i="3"/>
  <c r="E92" i="3"/>
  <c r="F92" i="3"/>
  <c r="G92" i="3"/>
  <c r="H92" i="3"/>
  <c r="B93" i="3"/>
  <c r="C93" i="3"/>
  <c r="D93" i="3"/>
  <c r="E93" i="3"/>
  <c r="F93" i="3"/>
  <c r="G93" i="3"/>
  <c r="H93" i="3"/>
  <c r="B94" i="3"/>
  <c r="C94" i="3"/>
  <c r="D94" i="3"/>
  <c r="E94" i="3"/>
  <c r="F94" i="3"/>
  <c r="G94" i="3"/>
  <c r="H94" i="3"/>
  <c r="B95" i="3"/>
  <c r="C95" i="3"/>
  <c r="D95" i="3"/>
  <c r="E95" i="3"/>
  <c r="F95" i="3"/>
  <c r="G95" i="3"/>
  <c r="H95" i="3"/>
  <c r="B96" i="3"/>
  <c r="C96" i="3"/>
  <c r="D96" i="3"/>
  <c r="E96" i="3"/>
  <c r="F96" i="3"/>
  <c r="G96" i="3"/>
  <c r="H96" i="3"/>
  <c r="B97" i="3"/>
  <c r="C97" i="3"/>
  <c r="D97" i="3"/>
  <c r="E97" i="3"/>
  <c r="F97" i="3"/>
  <c r="G97" i="3"/>
  <c r="H97" i="3"/>
  <c r="B98" i="3"/>
  <c r="C98" i="3"/>
  <c r="D98" i="3"/>
  <c r="E98" i="3"/>
  <c r="F98" i="3"/>
  <c r="G98" i="3"/>
  <c r="H98" i="3"/>
  <c r="B99" i="3"/>
  <c r="C99" i="3"/>
  <c r="D99" i="3"/>
  <c r="E99" i="3"/>
  <c r="F99" i="3"/>
  <c r="G99" i="3"/>
  <c r="H99" i="3"/>
  <c r="B100" i="3"/>
  <c r="C100" i="3"/>
  <c r="D100" i="3"/>
  <c r="E100" i="3"/>
  <c r="F100" i="3"/>
  <c r="G100" i="3"/>
  <c r="H100" i="3"/>
  <c r="B101" i="3"/>
  <c r="C101" i="3"/>
  <c r="D101" i="3"/>
  <c r="E101" i="3"/>
  <c r="F101" i="3"/>
  <c r="G101" i="3"/>
  <c r="H101" i="3"/>
  <c r="B102" i="3"/>
  <c r="C102" i="3"/>
  <c r="D102" i="3"/>
  <c r="E102" i="3"/>
  <c r="F102" i="3"/>
  <c r="G102" i="3"/>
  <c r="H102" i="3"/>
  <c r="B103" i="3"/>
  <c r="C103" i="3"/>
  <c r="D103" i="3"/>
  <c r="E103" i="3"/>
  <c r="F103" i="3"/>
  <c r="G103" i="3"/>
  <c r="H103" i="3"/>
  <c r="B104" i="3"/>
  <c r="C104" i="3"/>
  <c r="D104" i="3"/>
  <c r="E104" i="3"/>
  <c r="F104" i="3"/>
  <c r="G104" i="3"/>
  <c r="H104" i="3"/>
  <c r="B105" i="3"/>
  <c r="C105" i="3"/>
  <c r="D105" i="3"/>
  <c r="E105" i="3"/>
  <c r="F105" i="3"/>
  <c r="G105" i="3"/>
  <c r="H105" i="3"/>
  <c r="B106" i="3"/>
  <c r="C106" i="3"/>
  <c r="D106" i="3"/>
  <c r="E106" i="3"/>
  <c r="F106" i="3"/>
  <c r="G106" i="3"/>
  <c r="H106" i="3"/>
  <c r="B107" i="3"/>
  <c r="C107" i="3"/>
  <c r="D107" i="3"/>
  <c r="E107" i="3"/>
  <c r="F107" i="3"/>
  <c r="G107" i="3"/>
  <c r="H107" i="3"/>
  <c r="B108" i="3"/>
  <c r="C108" i="3"/>
  <c r="D108" i="3"/>
  <c r="E108" i="3"/>
  <c r="F108" i="3"/>
  <c r="G108" i="3"/>
  <c r="H108" i="3"/>
  <c r="B109" i="3"/>
  <c r="C109" i="3"/>
  <c r="D109" i="3"/>
  <c r="E109" i="3"/>
  <c r="F109" i="3"/>
  <c r="G109" i="3"/>
  <c r="H109" i="3"/>
  <c r="B110" i="3"/>
  <c r="C110" i="3"/>
  <c r="D110" i="3"/>
  <c r="E110" i="3"/>
  <c r="F110" i="3"/>
  <c r="G110" i="3"/>
  <c r="H110" i="3"/>
  <c r="B111" i="3"/>
  <c r="C111" i="3"/>
  <c r="D111" i="3"/>
  <c r="E111" i="3"/>
  <c r="F111" i="3"/>
  <c r="G111" i="3"/>
  <c r="H111" i="3"/>
  <c r="B112" i="3"/>
  <c r="C112" i="3"/>
  <c r="D112" i="3"/>
  <c r="E112" i="3"/>
  <c r="F112" i="3"/>
  <c r="G112" i="3"/>
  <c r="H112" i="3"/>
  <c r="T11996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G53" i="3" s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G54" i="3" s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G78" i="3" s="1"/>
  <c r="K484" i="1"/>
  <c r="K485" i="1"/>
  <c r="K486" i="1"/>
  <c r="K487" i="1"/>
  <c r="K488" i="1"/>
  <c r="K489" i="1"/>
  <c r="K490" i="1"/>
  <c r="G67" i="3" s="1"/>
  <c r="K491" i="1"/>
  <c r="G82" i="3" s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G70" i="3" s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G73" i="3" s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192" i="1"/>
  <c r="K193" i="1"/>
  <c r="K194" i="1"/>
  <c r="K195" i="1"/>
  <c r="K196" i="1"/>
  <c r="K197" i="1"/>
  <c r="K198" i="1"/>
  <c r="K199" i="1"/>
  <c r="K200" i="1"/>
  <c r="K201" i="1"/>
  <c r="K66" i="1"/>
  <c r="K178" i="1"/>
  <c r="T11994" i="1"/>
  <c r="T11995" i="1"/>
  <c r="T66" i="1"/>
  <c r="T73" i="1"/>
  <c r="T74" i="1"/>
  <c r="T49" i="1"/>
  <c r="T75" i="1"/>
  <c r="T76" i="1"/>
  <c r="T78" i="1"/>
  <c r="T79" i="1"/>
  <c r="T80" i="1"/>
  <c r="T81" i="1"/>
  <c r="K997" i="2"/>
  <c r="K998" i="2"/>
  <c r="K999" i="2"/>
  <c r="K1000" i="2"/>
  <c r="K1001" i="2"/>
  <c r="K1002" i="2"/>
  <c r="K1003" i="2"/>
  <c r="K30" i="1"/>
  <c r="S30" i="1"/>
  <c r="T30" i="1"/>
  <c r="H30" i="1"/>
  <c r="R30" i="1"/>
  <c r="K21" i="1"/>
  <c r="K22" i="1"/>
  <c r="K23" i="1"/>
  <c r="K24" i="1"/>
  <c r="K25" i="1"/>
  <c r="K26" i="1"/>
  <c r="K27" i="1"/>
  <c r="K28" i="1"/>
  <c r="K31" i="1"/>
  <c r="K32" i="1"/>
  <c r="K33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50" i="1"/>
  <c r="K51" i="1"/>
  <c r="K52" i="1"/>
  <c r="K53" i="1"/>
  <c r="K54" i="1"/>
  <c r="K55" i="1"/>
  <c r="K56" i="1"/>
  <c r="K57" i="1"/>
  <c r="K58" i="1"/>
  <c r="K59" i="1"/>
  <c r="K62" i="1"/>
  <c r="K63" i="1"/>
  <c r="K60" i="1"/>
  <c r="K61" i="1"/>
  <c r="K64" i="1"/>
  <c r="K65" i="1"/>
  <c r="K67" i="1"/>
  <c r="K68" i="1"/>
  <c r="K69" i="1"/>
  <c r="K70" i="1"/>
  <c r="K71" i="1"/>
  <c r="K72" i="1"/>
  <c r="K73" i="1"/>
  <c r="K74" i="1"/>
  <c r="K49" i="1"/>
  <c r="K75" i="1"/>
  <c r="K76" i="1"/>
  <c r="K78" i="1"/>
  <c r="K79" i="1"/>
  <c r="K80" i="1"/>
  <c r="K81" i="1"/>
  <c r="K82" i="1"/>
  <c r="K29" i="1"/>
  <c r="K83" i="1"/>
  <c r="K84" i="1"/>
  <c r="K34" i="1"/>
  <c r="K77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79" i="1"/>
  <c r="K190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80" i="1"/>
  <c r="K181" i="1"/>
  <c r="K182" i="1"/>
  <c r="K183" i="1"/>
  <c r="K184" i="1"/>
  <c r="K185" i="1"/>
  <c r="K186" i="1"/>
  <c r="K187" i="1"/>
  <c r="K188" i="1"/>
  <c r="K189" i="1"/>
  <c r="K191" i="1"/>
  <c r="K12" i="1"/>
  <c r="K13" i="1"/>
  <c r="K14" i="1"/>
  <c r="K15" i="1"/>
  <c r="K16" i="1"/>
  <c r="K17" i="1"/>
  <c r="K18" i="1"/>
  <c r="K19" i="1"/>
  <c r="K20" i="1"/>
  <c r="S12" i="1"/>
  <c r="T12" i="1"/>
  <c r="H12" i="1"/>
  <c r="R12" i="1"/>
  <c r="S13" i="1"/>
  <c r="T13" i="1"/>
  <c r="H13" i="1"/>
  <c r="R13" i="1"/>
  <c r="S14" i="1"/>
  <c r="T14" i="1"/>
  <c r="H14" i="1"/>
  <c r="R14" i="1"/>
  <c r="S15" i="1"/>
  <c r="T15" i="1"/>
  <c r="S16" i="1"/>
  <c r="T16" i="1"/>
  <c r="H16" i="1"/>
  <c r="R16" i="1"/>
  <c r="S17" i="1"/>
  <c r="T17" i="1"/>
  <c r="R17" i="1"/>
  <c r="S18" i="1"/>
  <c r="T18" i="1"/>
  <c r="R18" i="1"/>
  <c r="S19" i="1"/>
  <c r="T19" i="1"/>
  <c r="R19" i="1"/>
  <c r="S20" i="1"/>
  <c r="T20" i="1"/>
  <c r="R20" i="1"/>
  <c r="S21" i="1"/>
  <c r="T21" i="1"/>
  <c r="S22" i="1"/>
  <c r="T22" i="1"/>
  <c r="S23" i="1"/>
  <c r="T23" i="1"/>
  <c r="S24" i="1"/>
  <c r="T24" i="1"/>
  <c r="H24" i="1"/>
  <c r="S25" i="1"/>
  <c r="T25" i="1"/>
  <c r="S26" i="1"/>
  <c r="T26" i="1"/>
  <c r="S27" i="1"/>
  <c r="T27" i="1"/>
  <c r="S28" i="1"/>
  <c r="T28" i="1"/>
  <c r="S31" i="1"/>
  <c r="T31" i="1"/>
  <c r="H31" i="1"/>
  <c r="S32" i="1"/>
  <c r="T32" i="1"/>
  <c r="H32" i="1"/>
  <c r="S33" i="1"/>
  <c r="T33" i="1"/>
  <c r="H33" i="1"/>
  <c r="S35" i="1"/>
  <c r="T35" i="1"/>
  <c r="H35" i="1"/>
  <c r="S36" i="1"/>
  <c r="T36" i="1"/>
  <c r="S37" i="1"/>
  <c r="T37" i="1"/>
  <c r="S38" i="1"/>
  <c r="T38" i="1"/>
  <c r="H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H46" i="1" s="1"/>
  <c r="S47" i="1"/>
  <c r="T47" i="1"/>
  <c r="S48" i="1"/>
  <c r="T48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2" i="1"/>
  <c r="T62" i="1"/>
  <c r="S63" i="1"/>
  <c r="T63" i="1"/>
  <c r="S60" i="1"/>
  <c r="T60" i="1"/>
  <c r="S61" i="1"/>
  <c r="T61" i="1"/>
  <c r="S64" i="1"/>
  <c r="T64" i="1"/>
  <c r="S65" i="1"/>
  <c r="T65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S74" i="1"/>
  <c r="S49" i="1"/>
  <c r="S75" i="1"/>
  <c r="S76" i="1"/>
  <c r="S78" i="1"/>
  <c r="S79" i="1"/>
  <c r="S80" i="1"/>
  <c r="S81" i="1"/>
  <c r="S82" i="1"/>
  <c r="T82" i="1"/>
  <c r="S29" i="1"/>
  <c r="T29" i="1"/>
  <c r="S83" i="1"/>
  <c r="T83" i="1"/>
  <c r="S84" i="1"/>
  <c r="T84" i="1"/>
  <c r="S34" i="1"/>
  <c r="T34" i="1"/>
  <c r="S77" i="1"/>
  <c r="T77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79" i="1"/>
  <c r="T179" i="1"/>
  <c r="S190" i="1"/>
  <c r="T190" i="1"/>
  <c r="S201" i="1"/>
  <c r="T201" i="1"/>
  <c r="S211" i="1"/>
  <c r="T211" i="1"/>
  <c r="S221" i="1"/>
  <c r="T221" i="1"/>
  <c r="S232" i="1"/>
  <c r="T232" i="1"/>
  <c r="S243" i="1"/>
  <c r="T243" i="1"/>
  <c r="S254" i="1"/>
  <c r="T254" i="1"/>
  <c r="S265" i="1"/>
  <c r="T265" i="1"/>
  <c r="S276" i="1"/>
  <c r="T276" i="1"/>
  <c r="S287" i="1"/>
  <c r="T287" i="1"/>
  <c r="S298" i="1"/>
  <c r="T298" i="1"/>
  <c r="S309" i="1"/>
  <c r="T309" i="1"/>
  <c r="S320" i="1"/>
  <c r="T320" i="1"/>
  <c r="S331" i="1"/>
  <c r="T331" i="1"/>
  <c r="S342" i="1"/>
  <c r="T342" i="1"/>
  <c r="S353" i="1"/>
  <c r="T353" i="1"/>
  <c r="S364" i="1"/>
  <c r="T364" i="1"/>
  <c r="S375" i="1"/>
  <c r="T375" i="1"/>
  <c r="S386" i="1"/>
  <c r="T386" i="1"/>
  <c r="S397" i="1"/>
  <c r="T397" i="1"/>
  <c r="S408" i="1"/>
  <c r="T408" i="1"/>
  <c r="S419" i="1"/>
  <c r="T419" i="1"/>
  <c r="S430" i="1"/>
  <c r="T430" i="1"/>
  <c r="S441" i="1"/>
  <c r="T441" i="1"/>
  <c r="S452" i="1"/>
  <c r="T452" i="1"/>
  <c r="S463" i="1"/>
  <c r="T463" i="1"/>
  <c r="S474" i="1"/>
  <c r="T474" i="1"/>
  <c r="S485" i="1"/>
  <c r="T485" i="1"/>
  <c r="S496" i="1"/>
  <c r="T496" i="1"/>
  <c r="S507" i="1"/>
  <c r="T507" i="1"/>
  <c r="S518" i="1"/>
  <c r="T518" i="1"/>
  <c r="S529" i="1"/>
  <c r="T529" i="1"/>
  <c r="S540" i="1"/>
  <c r="T540" i="1"/>
  <c r="S551" i="1"/>
  <c r="T551" i="1"/>
  <c r="S562" i="1"/>
  <c r="T562" i="1"/>
  <c r="S573" i="1"/>
  <c r="T573" i="1"/>
  <c r="S584" i="1"/>
  <c r="T584" i="1"/>
  <c r="S595" i="1"/>
  <c r="T595" i="1"/>
  <c r="S606" i="1"/>
  <c r="T606" i="1"/>
  <c r="S615" i="1"/>
  <c r="T615" i="1"/>
  <c r="S626" i="1"/>
  <c r="T626" i="1"/>
  <c r="S637" i="1"/>
  <c r="T637" i="1"/>
  <c r="S648" i="1"/>
  <c r="T648" i="1"/>
  <c r="S659" i="1"/>
  <c r="T659" i="1"/>
  <c r="S670" i="1"/>
  <c r="T670" i="1"/>
  <c r="S681" i="1"/>
  <c r="T681" i="1"/>
  <c r="S692" i="1"/>
  <c r="T692" i="1"/>
  <c r="S703" i="1"/>
  <c r="T703" i="1"/>
  <c r="S714" i="1"/>
  <c r="T714" i="1"/>
  <c r="S725" i="1"/>
  <c r="T725" i="1"/>
  <c r="S736" i="1"/>
  <c r="T736" i="1"/>
  <c r="S747" i="1"/>
  <c r="T747" i="1"/>
  <c r="S758" i="1"/>
  <c r="T758" i="1"/>
  <c r="S769" i="1"/>
  <c r="T769" i="1"/>
  <c r="S780" i="1"/>
  <c r="T780" i="1"/>
  <c r="S791" i="1"/>
  <c r="T791" i="1"/>
  <c r="S802" i="1"/>
  <c r="T802" i="1"/>
  <c r="S813" i="1"/>
  <c r="T813" i="1"/>
  <c r="S824" i="1"/>
  <c r="T824" i="1"/>
  <c r="S835" i="1"/>
  <c r="T835" i="1"/>
  <c r="S846" i="1"/>
  <c r="T846" i="1"/>
  <c r="S857" i="1"/>
  <c r="T857" i="1"/>
  <c r="S868" i="1"/>
  <c r="T868" i="1"/>
  <c r="S879" i="1"/>
  <c r="T879" i="1"/>
  <c r="S890" i="1"/>
  <c r="T890" i="1"/>
  <c r="S901" i="1"/>
  <c r="T901" i="1"/>
  <c r="S912" i="1"/>
  <c r="T912" i="1"/>
  <c r="S923" i="1"/>
  <c r="T923" i="1"/>
  <c r="S934" i="1"/>
  <c r="T934" i="1"/>
  <c r="S945" i="1"/>
  <c r="T945" i="1"/>
  <c r="S956" i="1"/>
  <c r="T956" i="1"/>
  <c r="S967" i="1"/>
  <c r="T967" i="1"/>
  <c r="S978" i="1"/>
  <c r="T978" i="1"/>
  <c r="S989" i="1"/>
  <c r="T989" i="1"/>
  <c r="S1000" i="1"/>
  <c r="T1000" i="1"/>
  <c r="S1011" i="1"/>
  <c r="T1011" i="1"/>
  <c r="S1022" i="1"/>
  <c r="T1022" i="1"/>
  <c r="S1033" i="1"/>
  <c r="T1033" i="1"/>
  <c r="S1044" i="1"/>
  <c r="T1044" i="1"/>
  <c r="S1055" i="1"/>
  <c r="T1055" i="1"/>
  <c r="S1066" i="1"/>
  <c r="T1066" i="1"/>
  <c r="S1077" i="1"/>
  <c r="T1077" i="1"/>
  <c r="S1088" i="1"/>
  <c r="T1088" i="1"/>
  <c r="S1099" i="1"/>
  <c r="T1099" i="1"/>
  <c r="S1110" i="1"/>
  <c r="T1110" i="1"/>
  <c r="S1121" i="1"/>
  <c r="T1121" i="1"/>
  <c r="S1132" i="1"/>
  <c r="T1132" i="1"/>
  <c r="S1143" i="1"/>
  <c r="T1143" i="1"/>
  <c r="S1154" i="1"/>
  <c r="T1154" i="1"/>
  <c r="S1165" i="1"/>
  <c r="T1165" i="1"/>
  <c r="S1176" i="1"/>
  <c r="T1176" i="1"/>
  <c r="S1187" i="1"/>
  <c r="T1187" i="1"/>
  <c r="S1198" i="1"/>
  <c r="T1198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H373" i="1" s="1"/>
  <c r="S374" i="1"/>
  <c r="T374" i="1"/>
  <c r="S376" i="1"/>
  <c r="T376" i="1"/>
  <c r="S377" i="1"/>
  <c r="T377" i="1"/>
  <c r="S378" i="1"/>
  <c r="T378" i="1"/>
  <c r="S379" i="1"/>
  <c r="T379" i="1"/>
  <c r="S380" i="1"/>
  <c r="T380" i="1"/>
  <c r="H380" i="1" s="1"/>
  <c r="S381" i="1"/>
  <c r="T381" i="1"/>
  <c r="S382" i="1"/>
  <c r="T382" i="1"/>
  <c r="S383" i="1"/>
  <c r="T383" i="1"/>
  <c r="S384" i="1"/>
  <c r="T384" i="1"/>
  <c r="S385" i="1"/>
  <c r="T385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R1195" i="1"/>
  <c r="S1195" i="1"/>
  <c r="T1195" i="1"/>
  <c r="R1196" i="1"/>
  <c r="S1196" i="1"/>
  <c r="T1196" i="1"/>
  <c r="R1197" i="1"/>
  <c r="S1197" i="1"/>
  <c r="T1197" i="1"/>
  <c r="R1199" i="1"/>
  <c r="S1199" i="1"/>
  <c r="T1199" i="1"/>
  <c r="R2002" i="1"/>
  <c r="S2002" i="1"/>
  <c r="T2002" i="1"/>
  <c r="R2003" i="1"/>
  <c r="S2003" i="1"/>
  <c r="T2003" i="1"/>
  <c r="R2004" i="1"/>
  <c r="S2004" i="1"/>
  <c r="T2004" i="1"/>
  <c r="R2005" i="1"/>
  <c r="S2005" i="1"/>
  <c r="T2005" i="1"/>
  <c r="R2006" i="1"/>
  <c r="S2006" i="1"/>
  <c r="T2006" i="1"/>
  <c r="R2007" i="1"/>
  <c r="S2007" i="1"/>
  <c r="T2007" i="1"/>
  <c r="R2008" i="1"/>
  <c r="S2008" i="1"/>
  <c r="T2008" i="1"/>
  <c r="R2009" i="1"/>
  <c r="S2009" i="1"/>
  <c r="T2009" i="1"/>
  <c r="R2010" i="1"/>
  <c r="S2010" i="1"/>
  <c r="T2010" i="1"/>
  <c r="R2011" i="1"/>
  <c r="S2011" i="1"/>
  <c r="T2011" i="1"/>
  <c r="R2012" i="1"/>
  <c r="S2012" i="1"/>
  <c r="T2012" i="1"/>
  <c r="R2013" i="1"/>
  <c r="S2013" i="1"/>
  <c r="T2013" i="1"/>
  <c r="R2014" i="1"/>
  <c r="S2014" i="1"/>
  <c r="T2014" i="1"/>
  <c r="R2015" i="1"/>
  <c r="S2015" i="1"/>
  <c r="T2015" i="1"/>
  <c r="R2016" i="1"/>
  <c r="S2016" i="1"/>
  <c r="T2016" i="1"/>
  <c r="R2017" i="1"/>
  <c r="S2017" i="1"/>
  <c r="T2017" i="1"/>
  <c r="R2018" i="1"/>
  <c r="S2018" i="1"/>
  <c r="T2018" i="1"/>
  <c r="R2019" i="1"/>
  <c r="S2019" i="1"/>
  <c r="T2019" i="1"/>
  <c r="R2020" i="1"/>
  <c r="S2020" i="1"/>
  <c r="T2020" i="1"/>
  <c r="R2021" i="1"/>
  <c r="S2021" i="1"/>
  <c r="T2021" i="1"/>
  <c r="R2022" i="1"/>
  <c r="S2022" i="1"/>
  <c r="T2022" i="1"/>
  <c r="R2023" i="1"/>
  <c r="S2023" i="1"/>
  <c r="T2023" i="1"/>
  <c r="R2024" i="1"/>
  <c r="S2024" i="1"/>
  <c r="T2024" i="1"/>
  <c r="R2025" i="1"/>
  <c r="S2025" i="1"/>
  <c r="T2025" i="1"/>
  <c r="R2026" i="1"/>
  <c r="S2026" i="1"/>
  <c r="T2026" i="1"/>
  <c r="R2027" i="1"/>
  <c r="S2027" i="1"/>
  <c r="T2027" i="1"/>
  <c r="R2028" i="1"/>
  <c r="S2028" i="1"/>
  <c r="T2028" i="1"/>
  <c r="R2029" i="1"/>
  <c r="S2029" i="1"/>
  <c r="T2029" i="1"/>
  <c r="R2030" i="1"/>
  <c r="S2030" i="1"/>
  <c r="T2030" i="1"/>
  <c r="R2031" i="1"/>
  <c r="S2031" i="1"/>
  <c r="T2031" i="1"/>
  <c r="R2032" i="1"/>
  <c r="S2032" i="1"/>
  <c r="T2032" i="1"/>
  <c r="R2033" i="1"/>
  <c r="S2033" i="1"/>
  <c r="T2033" i="1"/>
  <c r="R2034" i="1"/>
  <c r="S2034" i="1"/>
  <c r="T2034" i="1"/>
  <c r="R2035" i="1"/>
  <c r="S2035" i="1"/>
  <c r="T2035" i="1"/>
  <c r="R2036" i="1"/>
  <c r="S2036" i="1"/>
  <c r="T2036" i="1"/>
  <c r="R2037" i="1"/>
  <c r="S2037" i="1"/>
  <c r="T2037" i="1"/>
  <c r="R2038" i="1"/>
  <c r="S2038" i="1"/>
  <c r="T2038" i="1"/>
  <c r="R2039" i="1"/>
  <c r="S2039" i="1"/>
  <c r="T2039" i="1"/>
  <c r="R2040" i="1"/>
  <c r="S2040" i="1"/>
  <c r="T2040" i="1"/>
  <c r="R2041" i="1"/>
  <c r="S2041" i="1"/>
  <c r="T2041" i="1"/>
  <c r="R2042" i="1"/>
  <c r="S2042" i="1"/>
  <c r="T2042" i="1"/>
  <c r="R2043" i="1"/>
  <c r="S2043" i="1"/>
  <c r="T2043" i="1"/>
  <c r="R2044" i="1"/>
  <c r="S2044" i="1"/>
  <c r="T2044" i="1"/>
  <c r="R2045" i="1"/>
  <c r="S2045" i="1"/>
  <c r="T2045" i="1"/>
  <c r="R2046" i="1"/>
  <c r="S2046" i="1"/>
  <c r="T2046" i="1"/>
  <c r="R2047" i="1"/>
  <c r="S2047" i="1"/>
  <c r="T2047" i="1"/>
  <c r="R2048" i="1"/>
  <c r="S2048" i="1"/>
  <c r="T2048" i="1"/>
  <c r="R2049" i="1"/>
  <c r="S2049" i="1"/>
  <c r="T2049" i="1"/>
  <c r="R2050" i="1"/>
  <c r="S2050" i="1"/>
  <c r="T2050" i="1"/>
  <c r="R2051" i="1"/>
  <c r="S2051" i="1"/>
  <c r="T2051" i="1"/>
  <c r="R2052" i="1"/>
  <c r="S2052" i="1"/>
  <c r="T2052" i="1"/>
  <c r="R2053" i="1"/>
  <c r="S2053" i="1"/>
  <c r="T2053" i="1"/>
  <c r="R2054" i="1"/>
  <c r="S2054" i="1"/>
  <c r="T2054" i="1"/>
  <c r="R2055" i="1"/>
  <c r="S2055" i="1"/>
  <c r="T2055" i="1"/>
  <c r="R2056" i="1"/>
  <c r="S2056" i="1"/>
  <c r="T2056" i="1"/>
  <c r="R2057" i="1"/>
  <c r="S2057" i="1"/>
  <c r="T2057" i="1"/>
  <c r="R2058" i="1"/>
  <c r="S2058" i="1"/>
  <c r="T2058" i="1"/>
  <c r="R2059" i="1"/>
  <c r="S2059" i="1"/>
  <c r="T2059" i="1"/>
  <c r="R2060" i="1"/>
  <c r="S2060" i="1"/>
  <c r="T2060" i="1"/>
  <c r="R2061" i="1"/>
  <c r="S2061" i="1"/>
  <c r="T2061" i="1"/>
  <c r="R2062" i="1"/>
  <c r="S2062" i="1"/>
  <c r="T2062" i="1"/>
  <c r="R2063" i="1"/>
  <c r="S2063" i="1"/>
  <c r="T2063" i="1"/>
  <c r="R2064" i="1"/>
  <c r="S2064" i="1"/>
  <c r="T2064" i="1"/>
  <c r="R2065" i="1"/>
  <c r="S2065" i="1"/>
  <c r="T2065" i="1"/>
  <c r="R2066" i="1"/>
  <c r="S2066" i="1"/>
  <c r="T2066" i="1"/>
  <c r="R2067" i="1"/>
  <c r="S2067" i="1"/>
  <c r="T2067" i="1"/>
  <c r="R2068" i="1"/>
  <c r="S2068" i="1"/>
  <c r="T2068" i="1"/>
  <c r="R2069" i="1"/>
  <c r="S2069" i="1"/>
  <c r="T2069" i="1"/>
  <c r="R2070" i="1"/>
  <c r="S2070" i="1"/>
  <c r="T2070" i="1"/>
  <c r="R2071" i="1"/>
  <c r="S2071" i="1"/>
  <c r="T2071" i="1"/>
  <c r="R2072" i="1"/>
  <c r="S2072" i="1"/>
  <c r="T2072" i="1"/>
  <c r="R2073" i="1"/>
  <c r="S2073" i="1"/>
  <c r="T2073" i="1"/>
  <c r="R2074" i="1"/>
  <c r="S2074" i="1"/>
  <c r="T2074" i="1"/>
  <c r="R2075" i="1"/>
  <c r="S2075" i="1"/>
  <c r="T2075" i="1"/>
  <c r="R2076" i="1"/>
  <c r="S2076" i="1"/>
  <c r="T2076" i="1"/>
  <c r="R2077" i="1"/>
  <c r="S2077" i="1"/>
  <c r="T2077" i="1"/>
  <c r="R2078" i="1"/>
  <c r="S2078" i="1"/>
  <c r="T2078" i="1"/>
  <c r="R2079" i="1"/>
  <c r="S2079" i="1"/>
  <c r="T2079" i="1"/>
  <c r="R2080" i="1"/>
  <c r="S2080" i="1"/>
  <c r="T2080" i="1"/>
  <c r="R2081" i="1"/>
  <c r="S2081" i="1"/>
  <c r="T2081" i="1"/>
  <c r="R2082" i="1"/>
  <c r="S2082" i="1"/>
  <c r="T2082" i="1"/>
  <c r="R2083" i="1"/>
  <c r="S2083" i="1"/>
  <c r="T2083" i="1"/>
  <c r="R2084" i="1"/>
  <c r="S2084" i="1"/>
  <c r="T2084" i="1"/>
  <c r="R2085" i="1"/>
  <c r="S2085" i="1"/>
  <c r="T2085" i="1"/>
  <c r="R2086" i="1"/>
  <c r="S2086" i="1"/>
  <c r="T2086" i="1"/>
  <c r="R2087" i="1"/>
  <c r="S2087" i="1"/>
  <c r="T2087" i="1"/>
  <c r="R2088" i="1"/>
  <c r="S2088" i="1"/>
  <c r="T2088" i="1"/>
  <c r="R2089" i="1"/>
  <c r="S2089" i="1"/>
  <c r="T2089" i="1"/>
  <c r="R2090" i="1"/>
  <c r="S2090" i="1"/>
  <c r="T2090" i="1"/>
  <c r="R2091" i="1"/>
  <c r="S2091" i="1"/>
  <c r="T2091" i="1"/>
  <c r="R2092" i="1"/>
  <c r="S2092" i="1"/>
  <c r="T2092" i="1"/>
  <c r="R2093" i="1"/>
  <c r="S2093" i="1"/>
  <c r="T2093" i="1"/>
  <c r="R2094" i="1"/>
  <c r="S2094" i="1"/>
  <c r="T2094" i="1"/>
  <c r="R2095" i="1"/>
  <c r="S2095" i="1"/>
  <c r="T2095" i="1"/>
  <c r="R2096" i="1"/>
  <c r="S2096" i="1"/>
  <c r="T2096" i="1"/>
  <c r="R2097" i="1"/>
  <c r="S2097" i="1"/>
  <c r="T2097" i="1"/>
  <c r="R2098" i="1"/>
  <c r="S2098" i="1"/>
  <c r="T2098" i="1"/>
  <c r="R2099" i="1"/>
  <c r="S2099" i="1"/>
  <c r="T2099" i="1"/>
  <c r="R2100" i="1"/>
  <c r="S2100" i="1"/>
  <c r="T2100" i="1"/>
  <c r="R2101" i="1"/>
  <c r="S2101" i="1"/>
  <c r="T2101" i="1"/>
  <c r="R2102" i="1"/>
  <c r="S2102" i="1"/>
  <c r="T2102" i="1"/>
  <c r="R2103" i="1"/>
  <c r="S2103" i="1"/>
  <c r="T2103" i="1"/>
  <c r="R2104" i="1"/>
  <c r="S2104" i="1"/>
  <c r="T2104" i="1"/>
  <c r="R2105" i="1"/>
  <c r="S2105" i="1"/>
  <c r="T2105" i="1"/>
  <c r="R2106" i="1"/>
  <c r="S2106" i="1"/>
  <c r="T2106" i="1"/>
  <c r="R2107" i="1"/>
  <c r="S2107" i="1"/>
  <c r="T2107" i="1"/>
  <c r="R2108" i="1"/>
  <c r="S2108" i="1"/>
  <c r="T2108" i="1"/>
  <c r="R2109" i="1"/>
  <c r="S2109" i="1"/>
  <c r="T2109" i="1"/>
  <c r="R2110" i="1"/>
  <c r="S2110" i="1"/>
  <c r="T2110" i="1"/>
  <c r="R2111" i="1"/>
  <c r="S2111" i="1"/>
  <c r="T2111" i="1"/>
  <c r="R2112" i="1"/>
  <c r="S2112" i="1"/>
  <c r="T2112" i="1"/>
  <c r="R2113" i="1"/>
  <c r="S2113" i="1"/>
  <c r="T2113" i="1"/>
  <c r="R2114" i="1"/>
  <c r="S2114" i="1"/>
  <c r="T2114" i="1"/>
  <c r="R2115" i="1"/>
  <c r="S2115" i="1"/>
  <c r="T2115" i="1"/>
  <c r="R2116" i="1"/>
  <c r="S2116" i="1"/>
  <c r="T2116" i="1"/>
  <c r="R2117" i="1"/>
  <c r="S2117" i="1"/>
  <c r="T2117" i="1"/>
  <c r="R2118" i="1"/>
  <c r="S2118" i="1"/>
  <c r="T2118" i="1"/>
  <c r="R2119" i="1"/>
  <c r="S2119" i="1"/>
  <c r="T2119" i="1"/>
  <c r="R2120" i="1"/>
  <c r="S2120" i="1"/>
  <c r="T2120" i="1"/>
  <c r="R2121" i="1"/>
  <c r="S2121" i="1"/>
  <c r="T2121" i="1"/>
  <c r="R2122" i="1"/>
  <c r="S2122" i="1"/>
  <c r="T2122" i="1"/>
  <c r="R2123" i="1"/>
  <c r="S2123" i="1"/>
  <c r="T2123" i="1"/>
  <c r="R2124" i="1"/>
  <c r="S2124" i="1"/>
  <c r="T2124" i="1"/>
  <c r="R2125" i="1"/>
  <c r="S2125" i="1"/>
  <c r="T2125" i="1"/>
  <c r="R2126" i="1"/>
  <c r="S2126" i="1"/>
  <c r="T2126" i="1"/>
  <c r="R2127" i="1"/>
  <c r="S2127" i="1"/>
  <c r="T2127" i="1"/>
  <c r="R2128" i="1"/>
  <c r="S2128" i="1"/>
  <c r="T2128" i="1"/>
  <c r="R2129" i="1"/>
  <c r="S2129" i="1"/>
  <c r="T2129" i="1"/>
  <c r="R2130" i="1"/>
  <c r="S2130" i="1"/>
  <c r="T2130" i="1"/>
  <c r="R2131" i="1"/>
  <c r="S2131" i="1"/>
  <c r="T2131" i="1"/>
  <c r="R2132" i="1"/>
  <c r="S2132" i="1"/>
  <c r="T2132" i="1"/>
  <c r="R2133" i="1"/>
  <c r="S2133" i="1"/>
  <c r="T2133" i="1"/>
  <c r="R2134" i="1"/>
  <c r="S2134" i="1"/>
  <c r="T2134" i="1"/>
  <c r="R2135" i="1"/>
  <c r="S2135" i="1"/>
  <c r="T2135" i="1"/>
  <c r="R2136" i="1"/>
  <c r="S2136" i="1"/>
  <c r="T2136" i="1"/>
  <c r="R2137" i="1"/>
  <c r="S2137" i="1"/>
  <c r="T2137" i="1"/>
  <c r="R2138" i="1"/>
  <c r="S2138" i="1"/>
  <c r="T2138" i="1"/>
  <c r="R2139" i="1"/>
  <c r="S2139" i="1"/>
  <c r="T2139" i="1"/>
  <c r="R2140" i="1"/>
  <c r="S2140" i="1"/>
  <c r="T2140" i="1"/>
  <c r="R2141" i="1"/>
  <c r="S2141" i="1"/>
  <c r="T2141" i="1"/>
  <c r="R2142" i="1"/>
  <c r="S2142" i="1"/>
  <c r="T2142" i="1"/>
  <c r="R2143" i="1"/>
  <c r="S2143" i="1"/>
  <c r="T2143" i="1"/>
  <c r="R2144" i="1"/>
  <c r="S2144" i="1"/>
  <c r="T2144" i="1"/>
  <c r="R2145" i="1"/>
  <c r="S2145" i="1"/>
  <c r="T2145" i="1"/>
  <c r="R2146" i="1"/>
  <c r="S2146" i="1"/>
  <c r="T2146" i="1"/>
  <c r="R2147" i="1"/>
  <c r="S2147" i="1"/>
  <c r="T2147" i="1"/>
  <c r="R2148" i="1"/>
  <c r="S2148" i="1"/>
  <c r="T2148" i="1"/>
  <c r="R2149" i="1"/>
  <c r="S2149" i="1"/>
  <c r="T2149" i="1"/>
  <c r="R2150" i="1"/>
  <c r="S2150" i="1"/>
  <c r="T2150" i="1"/>
  <c r="R2151" i="1"/>
  <c r="S2151" i="1"/>
  <c r="T2151" i="1"/>
  <c r="R2152" i="1"/>
  <c r="S2152" i="1"/>
  <c r="T2152" i="1"/>
  <c r="R2153" i="1"/>
  <c r="S2153" i="1"/>
  <c r="T2153" i="1"/>
  <c r="R2154" i="1"/>
  <c r="S2154" i="1"/>
  <c r="T2154" i="1"/>
  <c r="R2155" i="1"/>
  <c r="S2155" i="1"/>
  <c r="T2155" i="1"/>
  <c r="R2156" i="1"/>
  <c r="S2156" i="1"/>
  <c r="T2156" i="1"/>
  <c r="R2157" i="1"/>
  <c r="S2157" i="1"/>
  <c r="T2157" i="1"/>
  <c r="R2158" i="1"/>
  <c r="S2158" i="1"/>
  <c r="T2158" i="1"/>
  <c r="R2159" i="1"/>
  <c r="S2159" i="1"/>
  <c r="T2159" i="1"/>
  <c r="R2160" i="1"/>
  <c r="S2160" i="1"/>
  <c r="T2160" i="1"/>
  <c r="R2161" i="1"/>
  <c r="S2161" i="1"/>
  <c r="T2161" i="1"/>
  <c r="R2162" i="1"/>
  <c r="S2162" i="1"/>
  <c r="T2162" i="1"/>
  <c r="R2163" i="1"/>
  <c r="S2163" i="1"/>
  <c r="T2163" i="1"/>
  <c r="R2164" i="1"/>
  <c r="S2164" i="1"/>
  <c r="T2164" i="1"/>
  <c r="R2165" i="1"/>
  <c r="S2165" i="1"/>
  <c r="T2165" i="1"/>
  <c r="R2166" i="1"/>
  <c r="S2166" i="1"/>
  <c r="T2166" i="1"/>
  <c r="R2167" i="1"/>
  <c r="S2167" i="1"/>
  <c r="T2167" i="1"/>
  <c r="R2168" i="1"/>
  <c r="S2168" i="1"/>
  <c r="T2168" i="1"/>
  <c r="R2169" i="1"/>
  <c r="S2169" i="1"/>
  <c r="T2169" i="1"/>
  <c r="R2170" i="1"/>
  <c r="S2170" i="1"/>
  <c r="T2170" i="1"/>
  <c r="R2171" i="1"/>
  <c r="S2171" i="1"/>
  <c r="T2171" i="1"/>
  <c r="R2172" i="1"/>
  <c r="S2172" i="1"/>
  <c r="T2172" i="1"/>
  <c r="R2173" i="1"/>
  <c r="S2173" i="1"/>
  <c r="T2173" i="1"/>
  <c r="R2174" i="1"/>
  <c r="S2174" i="1"/>
  <c r="T2174" i="1"/>
  <c r="R2175" i="1"/>
  <c r="S2175" i="1"/>
  <c r="T2175" i="1"/>
  <c r="R2176" i="1"/>
  <c r="S2176" i="1"/>
  <c r="T2176" i="1"/>
  <c r="R2177" i="1"/>
  <c r="S2177" i="1"/>
  <c r="T2177" i="1"/>
  <c r="R2178" i="1"/>
  <c r="S2178" i="1"/>
  <c r="T2178" i="1"/>
  <c r="R2179" i="1"/>
  <c r="S2179" i="1"/>
  <c r="T2179" i="1"/>
  <c r="R2180" i="1"/>
  <c r="S2180" i="1"/>
  <c r="T2180" i="1"/>
  <c r="R2181" i="1"/>
  <c r="S2181" i="1"/>
  <c r="T2181" i="1"/>
  <c r="R2182" i="1"/>
  <c r="S2182" i="1"/>
  <c r="T2182" i="1"/>
  <c r="R2183" i="1"/>
  <c r="S2183" i="1"/>
  <c r="T2183" i="1"/>
  <c r="R2184" i="1"/>
  <c r="S2184" i="1"/>
  <c r="T2184" i="1"/>
  <c r="R2185" i="1"/>
  <c r="S2185" i="1"/>
  <c r="T2185" i="1"/>
  <c r="R2186" i="1"/>
  <c r="S2186" i="1"/>
  <c r="T2186" i="1"/>
  <c r="R2187" i="1"/>
  <c r="S2187" i="1"/>
  <c r="T2187" i="1"/>
  <c r="R2188" i="1"/>
  <c r="S2188" i="1"/>
  <c r="T2188" i="1"/>
  <c r="R2189" i="1"/>
  <c r="S2189" i="1"/>
  <c r="T2189" i="1"/>
  <c r="R2190" i="1"/>
  <c r="S2190" i="1"/>
  <c r="T2190" i="1"/>
  <c r="R2191" i="1"/>
  <c r="S2191" i="1"/>
  <c r="T2191" i="1"/>
  <c r="R2192" i="1"/>
  <c r="S2192" i="1"/>
  <c r="T2192" i="1"/>
  <c r="R2193" i="1"/>
  <c r="S2193" i="1"/>
  <c r="T2193" i="1"/>
  <c r="R2194" i="1"/>
  <c r="S2194" i="1"/>
  <c r="T2194" i="1"/>
  <c r="R2195" i="1"/>
  <c r="S2195" i="1"/>
  <c r="T2195" i="1"/>
  <c r="R2196" i="1"/>
  <c r="S2196" i="1"/>
  <c r="T2196" i="1"/>
  <c r="R2197" i="1"/>
  <c r="S2197" i="1"/>
  <c r="T2197" i="1"/>
  <c r="R2198" i="1"/>
  <c r="S2198" i="1"/>
  <c r="T2198" i="1"/>
  <c r="R2199" i="1"/>
  <c r="S2199" i="1"/>
  <c r="T2199" i="1"/>
  <c r="R2200" i="1"/>
  <c r="S2200" i="1"/>
  <c r="T2200" i="1"/>
  <c r="R2201" i="1"/>
  <c r="S2201" i="1"/>
  <c r="T2201" i="1"/>
  <c r="R2202" i="1"/>
  <c r="S2202" i="1"/>
  <c r="T2202" i="1"/>
  <c r="R2203" i="1"/>
  <c r="S2203" i="1"/>
  <c r="T2203" i="1"/>
  <c r="R2204" i="1"/>
  <c r="S2204" i="1"/>
  <c r="T2204" i="1"/>
  <c r="R2205" i="1"/>
  <c r="S2205" i="1"/>
  <c r="T2205" i="1"/>
  <c r="R2206" i="1"/>
  <c r="S2206" i="1"/>
  <c r="T2206" i="1"/>
  <c r="R2207" i="1"/>
  <c r="S2207" i="1"/>
  <c r="T2207" i="1"/>
  <c r="R2208" i="1"/>
  <c r="S2208" i="1"/>
  <c r="T2208" i="1"/>
  <c r="R2209" i="1"/>
  <c r="S2209" i="1"/>
  <c r="T2209" i="1"/>
  <c r="R2210" i="1"/>
  <c r="S2210" i="1"/>
  <c r="T2210" i="1"/>
  <c r="R2211" i="1"/>
  <c r="S2211" i="1"/>
  <c r="T2211" i="1"/>
  <c r="R2212" i="1"/>
  <c r="S2212" i="1"/>
  <c r="T2212" i="1"/>
  <c r="R2213" i="1"/>
  <c r="S2213" i="1"/>
  <c r="T2213" i="1"/>
  <c r="R2214" i="1"/>
  <c r="S2214" i="1"/>
  <c r="T2214" i="1"/>
  <c r="R2215" i="1"/>
  <c r="S2215" i="1"/>
  <c r="T2215" i="1"/>
  <c r="R2216" i="1"/>
  <c r="S2216" i="1"/>
  <c r="T2216" i="1"/>
  <c r="R2217" i="1"/>
  <c r="S2217" i="1"/>
  <c r="T2217" i="1"/>
  <c r="R2218" i="1"/>
  <c r="S2218" i="1"/>
  <c r="T2218" i="1"/>
  <c r="R2219" i="1"/>
  <c r="S2219" i="1"/>
  <c r="T2219" i="1"/>
  <c r="R2220" i="1"/>
  <c r="S2220" i="1"/>
  <c r="T2220" i="1"/>
  <c r="R2221" i="1"/>
  <c r="S2221" i="1"/>
  <c r="T2221" i="1"/>
  <c r="R2222" i="1"/>
  <c r="S2222" i="1"/>
  <c r="T2222" i="1"/>
  <c r="R2223" i="1"/>
  <c r="S2223" i="1"/>
  <c r="T2223" i="1"/>
  <c r="R2224" i="1"/>
  <c r="S2224" i="1"/>
  <c r="T2224" i="1"/>
  <c r="R2225" i="1"/>
  <c r="S2225" i="1"/>
  <c r="T2225" i="1"/>
  <c r="R2226" i="1"/>
  <c r="S2226" i="1"/>
  <c r="T2226" i="1"/>
  <c r="R2227" i="1"/>
  <c r="S2227" i="1"/>
  <c r="T2227" i="1"/>
  <c r="R2228" i="1"/>
  <c r="S2228" i="1"/>
  <c r="T2228" i="1"/>
  <c r="R2229" i="1"/>
  <c r="S2229" i="1"/>
  <c r="T2229" i="1"/>
  <c r="R2230" i="1"/>
  <c r="S2230" i="1"/>
  <c r="T2230" i="1"/>
  <c r="R2231" i="1"/>
  <c r="S2231" i="1"/>
  <c r="T2231" i="1"/>
  <c r="R2232" i="1"/>
  <c r="S2232" i="1"/>
  <c r="T2232" i="1"/>
  <c r="R2233" i="1"/>
  <c r="S2233" i="1"/>
  <c r="T2233" i="1"/>
  <c r="R2234" i="1"/>
  <c r="S2234" i="1"/>
  <c r="T2234" i="1"/>
  <c r="R2235" i="1"/>
  <c r="S2235" i="1"/>
  <c r="T2235" i="1"/>
  <c r="R2236" i="1"/>
  <c r="S2236" i="1"/>
  <c r="T2236" i="1"/>
  <c r="R2237" i="1"/>
  <c r="S2237" i="1"/>
  <c r="T2237" i="1"/>
  <c r="R2238" i="1"/>
  <c r="S2238" i="1"/>
  <c r="T2238" i="1"/>
  <c r="R2239" i="1"/>
  <c r="S2239" i="1"/>
  <c r="T2239" i="1"/>
  <c r="R2240" i="1"/>
  <c r="S2240" i="1"/>
  <c r="T2240" i="1"/>
  <c r="R2241" i="1"/>
  <c r="S2241" i="1"/>
  <c r="T2241" i="1"/>
  <c r="R2242" i="1"/>
  <c r="S2242" i="1"/>
  <c r="T2242" i="1"/>
  <c r="R2243" i="1"/>
  <c r="S2243" i="1"/>
  <c r="T2243" i="1"/>
  <c r="R2244" i="1"/>
  <c r="S2244" i="1"/>
  <c r="T2244" i="1"/>
  <c r="R2245" i="1"/>
  <c r="S2245" i="1"/>
  <c r="T2245" i="1"/>
  <c r="R2246" i="1"/>
  <c r="S2246" i="1"/>
  <c r="T2246" i="1"/>
  <c r="R2247" i="1"/>
  <c r="S2247" i="1"/>
  <c r="T2247" i="1"/>
  <c r="R2248" i="1"/>
  <c r="S2248" i="1"/>
  <c r="T2248" i="1"/>
  <c r="R2249" i="1"/>
  <c r="S2249" i="1"/>
  <c r="T2249" i="1"/>
  <c r="R2250" i="1"/>
  <c r="S2250" i="1"/>
  <c r="T2250" i="1"/>
  <c r="R2251" i="1"/>
  <c r="S2251" i="1"/>
  <c r="T2251" i="1"/>
  <c r="R2252" i="1"/>
  <c r="S2252" i="1"/>
  <c r="T2252" i="1"/>
  <c r="R2253" i="1"/>
  <c r="S2253" i="1"/>
  <c r="T2253" i="1"/>
  <c r="R2254" i="1"/>
  <c r="S2254" i="1"/>
  <c r="T2254" i="1"/>
  <c r="R2255" i="1"/>
  <c r="S2255" i="1"/>
  <c r="T2255" i="1"/>
  <c r="R2256" i="1"/>
  <c r="S2256" i="1"/>
  <c r="T2256" i="1"/>
  <c r="R2257" i="1"/>
  <c r="S2257" i="1"/>
  <c r="T2257" i="1"/>
  <c r="R2258" i="1"/>
  <c r="S2258" i="1"/>
  <c r="T2258" i="1"/>
  <c r="R2259" i="1"/>
  <c r="S2259" i="1"/>
  <c r="T2259" i="1"/>
  <c r="R2260" i="1"/>
  <c r="S2260" i="1"/>
  <c r="T2260" i="1"/>
  <c r="R2261" i="1"/>
  <c r="S2261" i="1"/>
  <c r="T2261" i="1"/>
  <c r="R2262" i="1"/>
  <c r="S2262" i="1"/>
  <c r="T2262" i="1"/>
  <c r="R2263" i="1"/>
  <c r="S2263" i="1"/>
  <c r="T2263" i="1"/>
  <c r="R2264" i="1"/>
  <c r="S2264" i="1"/>
  <c r="T2264" i="1"/>
  <c r="R2265" i="1"/>
  <c r="S2265" i="1"/>
  <c r="T2265" i="1"/>
  <c r="R2266" i="1"/>
  <c r="S2266" i="1"/>
  <c r="T2266" i="1"/>
  <c r="R2267" i="1"/>
  <c r="S2267" i="1"/>
  <c r="T2267" i="1"/>
  <c r="R2268" i="1"/>
  <c r="S2268" i="1"/>
  <c r="T2268" i="1"/>
  <c r="R2269" i="1"/>
  <c r="S2269" i="1"/>
  <c r="T2269" i="1"/>
  <c r="R2270" i="1"/>
  <c r="S2270" i="1"/>
  <c r="T2270" i="1"/>
  <c r="R2271" i="1"/>
  <c r="S2271" i="1"/>
  <c r="T2271" i="1"/>
  <c r="R2272" i="1"/>
  <c r="S2272" i="1"/>
  <c r="T2272" i="1"/>
  <c r="R2273" i="1"/>
  <c r="S2273" i="1"/>
  <c r="T2273" i="1"/>
  <c r="R2274" i="1"/>
  <c r="S2274" i="1"/>
  <c r="T2274" i="1"/>
  <c r="R2275" i="1"/>
  <c r="S2275" i="1"/>
  <c r="T2275" i="1"/>
  <c r="R2276" i="1"/>
  <c r="S2276" i="1"/>
  <c r="T2276" i="1"/>
  <c r="R2277" i="1"/>
  <c r="S2277" i="1"/>
  <c r="T2277" i="1"/>
  <c r="R2278" i="1"/>
  <c r="S2278" i="1"/>
  <c r="T2278" i="1"/>
  <c r="R2279" i="1"/>
  <c r="S2279" i="1"/>
  <c r="T2279" i="1"/>
  <c r="R2280" i="1"/>
  <c r="S2280" i="1"/>
  <c r="T2280" i="1"/>
  <c r="R2281" i="1"/>
  <c r="S2281" i="1"/>
  <c r="T2281" i="1"/>
  <c r="R2282" i="1"/>
  <c r="S2282" i="1"/>
  <c r="T2282" i="1"/>
  <c r="R2283" i="1"/>
  <c r="S2283" i="1"/>
  <c r="T2283" i="1"/>
  <c r="R2284" i="1"/>
  <c r="S2284" i="1"/>
  <c r="T2284" i="1"/>
  <c r="R2285" i="1"/>
  <c r="S2285" i="1"/>
  <c r="T2285" i="1"/>
  <c r="R2286" i="1"/>
  <c r="S2286" i="1"/>
  <c r="T2286" i="1"/>
  <c r="R2287" i="1"/>
  <c r="S2287" i="1"/>
  <c r="T2287" i="1"/>
  <c r="R2288" i="1"/>
  <c r="S2288" i="1"/>
  <c r="T2288" i="1"/>
  <c r="R2289" i="1"/>
  <c r="S2289" i="1"/>
  <c r="T2289" i="1"/>
  <c r="R2290" i="1"/>
  <c r="S2290" i="1"/>
  <c r="T2290" i="1"/>
  <c r="R2291" i="1"/>
  <c r="S2291" i="1"/>
  <c r="T2291" i="1"/>
  <c r="R2292" i="1"/>
  <c r="S2292" i="1"/>
  <c r="T2292" i="1"/>
  <c r="R2293" i="1"/>
  <c r="S2293" i="1"/>
  <c r="T2293" i="1"/>
  <c r="R2294" i="1"/>
  <c r="S2294" i="1"/>
  <c r="T2294" i="1"/>
  <c r="R2295" i="1"/>
  <c r="S2295" i="1"/>
  <c r="T2295" i="1"/>
  <c r="R2296" i="1"/>
  <c r="S2296" i="1"/>
  <c r="T2296" i="1"/>
  <c r="R2297" i="1"/>
  <c r="S2297" i="1"/>
  <c r="T2297" i="1"/>
  <c r="R2298" i="1"/>
  <c r="S2298" i="1"/>
  <c r="T2298" i="1"/>
  <c r="R2299" i="1"/>
  <c r="S2299" i="1"/>
  <c r="T2299" i="1"/>
  <c r="R2300" i="1"/>
  <c r="S2300" i="1"/>
  <c r="T2300" i="1"/>
  <c r="R2301" i="1"/>
  <c r="S2301" i="1"/>
  <c r="T2301" i="1"/>
  <c r="R2302" i="1"/>
  <c r="S2302" i="1"/>
  <c r="T2302" i="1"/>
  <c r="R2303" i="1"/>
  <c r="S2303" i="1"/>
  <c r="T2303" i="1"/>
  <c r="R2304" i="1"/>
  <c r="S2304" i="1"/>
  <c r="T2304" i="1"/>
  <c r="R2305" i="1"/>
  <c r="S2305" i="1"/>
  <c r="T2305" i="1"/>
  <c r="R2306" i="1"/>
  <c r="S2306" i="1"/>
  <c r="T2306" i="1"/>
  <c r="R2307" i="1"/>
  <c r="S2307" i="1"/>
  <c r="T2307" i="1"/>
  <c r="R2308" i="1"/>
  <c r="S2308" i="1"/>
  <c r="T2308" i="1"/>
  <c r="R2309" i="1"/>
  <c r="S2309" i="1"/>
  <c r="T2309" i="1"/>
  <c r="R2310" i="1"/>
  <c r="S2310" i="1"/>
  <c r="T2310" i="1"/>
  <c r="R2311" i="1"/>
  <c r="S2311" i="1"/>
  <c r="T2311" i="1"/>
  <c r="R2312" i="1"/>
  <c r="S2312" i="1"/>
  <c r="T2312" i="1"/>
  <c r="R2313" i="1"/>
  <c r="S2313" i="1"/>
  <c r="T2313" i="1"/>
  <c r="R2314" i="1"/>
  <c r="S2314" i="1"/>
  <c r="T2314" i="1"/>
  <c r="R2315" i="1"/>
  <c r="S2315" i="1"/>
  <c r="T2315" i="1"/>
  <c r="R2316" i="1"/>
  <c r="S2316" i="1"/>
  <c r="T2316" i="1"/>
  <c r="R2317" i="1"/>
  <c r="S2317" i="1"/>
  <c r="T2317" i="1"/>
  <c r="R2318" i="1"/>
  <c r="S2318" i="1"/>
  <c r="T2318" i="1"/>
  <c r="R2319" i="1"/>
  <c r="S2319" i="1"/>
  <c r="T2319" i="1"/>
  <c r="R2320" i="1"/>
  <c r="S2320" i="1"/>
  <c r="T2320" i="1"/>
  <c r="R2321" i="1"/>
  <c r="S2321" i="1"/>
  <c r="T2321" i="1"/>
  <c r="R2322" i="1"/>
  <c r="S2322" i="1"/>
  <c r="T2322" i="1"/>
  <c r="R2323" i="1"/>
  <c r="S2323" i="1"/>
  <c r="T2323" i="1"/>
  <c r="R2324" i="1"/>
  <c r="S2324" i="1"/>
  <c r="T2324" i="1"/>
  <c r="R2325" i="1"/>
  <c r="S2325" i="1"/>
  <c r="T2325" i="1"/>
  <c r="R2326" i="1"/>
  <c r="S2326" i="1"/>
  <c r="T2326" i="1"/>
  <c r="R2327" i="1"/>
  <c r="S2327" i="1"/>
  <c r="T2327" i="1"/>
  <c r="R2328" i="1"/>
  <c r="S2328" i="1"/>
  <c r="T2328" i="1"/>
  <c r="R2329" i="1"/>
  <c r="S2329" i="1"/>
  <c r="T2329" i="1"/>
  <c r="R2330" i="1"/>
  <c r="S2330" i="1"/>
  <c r="T2330" i="1"/>
  <c r="R2331" i="1"/>
  <c r="S2331" i="1"/>
  <c r="T2331" i="1"/>
  <c r="R2332" i="1"/>
  <c r="S2332" i="1"/>
  <c r="T2332" i="1"/>
  <c r="R2333" i="1"/>
  <c r="S2333" i="1"/>
  <c r="T2333" i="1"/>
  <c r="R2334" i="1"/>
  <c r="S2334" i="1"/>
  <c r="T2334" i="1"/>
  <c r="R2335" i="1"/>
  <c r="S2335" i="1"/>
  <c r="T2335" i="1"/>
  <c r="R2336" i="1"/>
  <c r="S2336" i="1"/>
  <c r="T2336" i="1"/>
  <c r="R2337" i="1"/>
  <c r="S2337" i="1"/>
  <c r="T2337" i="1"/>
  <c r="R2338" i="1"/>
  <c r="S2338" i="1"/>
  <c r="T2338" i="1"/>
  <c r="R2339" i="1"/>
  <c r="S2339" i="1"/>
  <c r="T2339" i="1"/>
  <c r="R2340" i="1"/>
  <c r="S2340" i="1"/>
  <c r="T2340" i="1"/>
  <c r="R2341" i="1"/>
  <c r="S2341" i="1"/>
  <c r="T2341" i="1"/>
  <c r="R2342" i="1"/>
  <c r="S2342" i="1"/>
  <c r="T2342" i="1"/>
  <c r="R2343" i="1"/>
  <c r="S2343" i="1"/>
  <c r="T2343" i="1"/>
  <c r="R2344" i="1"/>
  <c r="S2344" i="1"/>
  <c r="T2344" i="1"/>
  <c r="R2345" i="1"/>
  <c r="S2345" i="1"/>
  <c r="T2345" i="1"/>
  <c r="R2346" i="1"/>
  <c r="S2346" i="1"/>
  <c r="T2346" i="1"/>
  <c r="R2347" i="1"/>
  <c r="S2347" i="1"/>
  <c r="T2347" i="1"/>
  <c r="R2348" i="1"/>
  <c r="S2348" i="1"/>
  <c r="T2348" i="1"/>
  <c r="R2349" i="1"/>
  <c r="S2349" i="1"/>
  <c r="T2349" i="1"/>
  <c r="R2350" i="1"/>
  <c r="S2350" i="1"/>
  <c r="T2350" i="1"/>
  <c r="R2351" i="1"/>
  <c r="S2351" i="1"/>
  <c r="T2351" i="1"/>
  <c r="R2352" i="1"/>
  <c r="S2352" i="1"/>
  <c r="T2352" i="1"/>
  <c r="R2353" i="1"/>
  <c r="S2353" i="1"/>
  <c r="T2353" i="1"/>
  <c r="R2354" i="1"/>
  <c r="S2354" i="1"/>
  <c r="T2354" i="1"/>
  <c r="R2355" i="1"/>
  <c r="S2355" i="1"/>
  <c r="T2355" i="1"/>
  <c r="R2356" i="1"/>
  <c r="S2356" i="1"/>
  <c r="T2356" i="1"/>
  <c r="R2357" i="1"/>
  <c r="S2357" i="1"/>
  <c r="T2357" i="1"/>
  <c r="R2358" i="1"/>
  <c r="S2358" i="1"/>
  <c r="T2358" i="1"/>
  <c r="R2359" i="1"/>
  <c r="S2359" i="1"/>
  <c r="T2359" i="1"/>
  <c r="R2360" i="1"/>
  <c r="S2360" i="1"/>
  <c r="T2360" i="1"/>
  <c r="R2361" i="1"/>
  <c r="S2361" i="1"/>
  <c r="T2361" i="1"/>
  <c r="R2362" i="1"/>
  <c r="S2362" i="1"/>
  <c r="T2362" i="1"/>
  <c r="R2363" i="1"/>
  <c r="S2363" i="1"/>
  <c r="T2363" i="1"/>
  <c r="R2364" i="1"/>
  <c r="S2364" i="1"/>
  <c r="T2364" i="1"/>
  <c r="R2365" i="1"/>
  <c r="S2365" i="1"/>
  <c r="T2365" i="1"/>
  <c r="R2366" i="1"/>
  <c r="S2366" i="1"/>
  <c r="T2366" i="1"/>
  <c r="R2367" i="1"/>
  <c r="S2367" i="1"/>
  <c r="T2367" i="1"/>
  <c r="R2368" i="1"/>
  <c r="S2368" i="1"/>
  <c r="T2368" i="1"/>
  <c r="R2369" i="1"/>
  <c r="S2369" i="1"/>
  <c r="T2369" i="1"/>
  <c r="R2370" i="1"/>
  <c r="S2370" i="1"/>
  <c r="T2370" i="1"/>
  <c r="R2371" i="1"/>
  <c r="S2371" i="1"/>
  <c r="T2371" i="1"/>
  <c r="R2372" i="1"/>
  <c r="S2372" i="1"/>
  <c r="T2372" i="1"/>
  <c r="R2373" i="1"/>
  <c r="S2373" i="1"/>
  <c r="T2373" i="1"/>
  <c r="R2374" i="1"/>
  <c r="S2374" i="1"/>
  <c r="T2374" i="1"/>
  <c r="R2375" i="1"/>
  <c r="S2375" i="1"/>
  <c r="T2375" i="1"/>
  <c r="R2376" i="1"/>
  <c r="S2376" i="1"/>
  <c r="T2376" i="1"/>
  <c r="R2377" i="1"/>
  <c r="S2377" i="1"/>
  <c r="T2377" i="1"/>
  <c r="R2378" i="1"/>
  <c r="S2378" i="1"/>
  <c r="T2378" i="1"/>
  <c r="R2379" i="1"/>
  <c r="S2379" i="1"/>
  <c r="T2379" i="1"/>
  <c r="R2380" i="1"/>
  <c r="S2380" i="1"/>
  <c r="T2380" i="1"/>
  <c r="R2381" i="1"/>
  <c r="S2381" i="1"/>
  <c r="T2381" i="1"/>
  <c r="R2382" i="1"/>
  <c r="S2382" i="1"/>
  <c r="T2382" i="1"/>
  <c r="R2383" i="1"/>
  <c r="S2383" i="1"/>
  <c r="T2383" i="1"/>
  <c r="R2384" i="1"/>
  <c r="S2384" i="1"/>
  <c r="T2384" i="1"/>
  <c r="R2385" i="1"/>
  <c r="S2385" i="1"/>
  <c r="T2385" i="1"/>
  <c r="R2386" i="1"/>
  <c r="S2386" i="1"/>
  <c r="T2386" i="1"/>
  <c r="R2387" i="1"/>
  <c r="S2387" i="1"/>
  <c r="T2387" i="1"/>
  <c r="R2388" i="1"/>
  <c r="S2388" i="1"/>
  <c r="T2388" i="1"/>
  <c r="R2389" i="1"/>
  <c r="S2389" i="1"/>
  <c r="T2389" i="1"/>
  <c r="R2390" i="1"/>
  <c r="S2390" i="1"/>
  <c r="T2390" i="1"/>
  <c r="R2391" i="1"/>
  <c r="S2391" i="1"/>
  <c r="T2391" i="1"/>
  <c r="R2392" i="1"/>
  <c r="S2392" i="1"/>
  <c r="T2392" i="1"/>
  <c r="R2393" i="1"/>
  <c r="S2393" i="1"/>
  <c r="T2393" i="1"/>
  <c r="R2394" i="1"/>
  <c r="S2394" i="1"/>
  <c r="T2394" i="1"/>
  <c r="R2395" i="1"/>
  <c r="S2395" i="1"/>
  <c r="T2395" i="1"/>
  <c r="R2396" i="1"/>
  <c r="S2396" i="1"/>
  <c r="T2396" i="1"/>
  <c r="R2397" i="1"/>
  <c r="S2397" i="1"/>
  <c r="T2397" i="1"/>
  <c r="R2398" i="1"/>
  <c r="S2398" i="1"/>
  <c r="T2398" i="1"/>
  <c r="R2399" i="1"/>
  <c r="S2399" i="1"/>
  <c r="T2399" i="1"/>
  <c r="R2400" i="1"/>
  <c r="S2400" i="1"/>
  <c r="T2400" i="1"/>
  <c r="R2401" i="1"/>
  <c r="S2401" i="1"/>
  <c r="T2401" i="1"/>
  <c r="R2402" i="1"/>
  <c r="S2402" i="1"/>
  <c r="T2402" i="1"/>
  <c r="R2403" i="1"/>
  <c r="S2403" i="1"/>
  <c r="T2403" i="1"/>
  <c r="R2404" i="1"/>
  <c r="S2404" i="1"/>
  <c r="T2404" i="1"/>
  <c r="R2405" i="1"/>
  <c r="S2405" i="1"/>
  <c r="T2405" i="1"/>
  <c r="R2406" i="1"/>
  <c r="S2406" i="1"/>
  <c r="T2406" i="1"/>
  <c r="R2407" i="1"/>
  <c r="S2407" i="1"/>
  <c r="T2407" i="1"/>
  <c r="R2408" i="1"/>
  <c r="S2408" i="1"/>
  <c r="T2408" i="1"/>
  <c r="R2409" i="1"/>
  <c r="S2409" i="1"/>
  <c r="T2409" i="1"/>
  <c r="R2410" i="1"/>
  <c r="S2410" i="1"/>
  <c r="T2410" i="1"/>
  <c r="R2411" i="1"/>
  <c r="S2411" i="1"/>
  <c r="T2411" i="1"/>
  <c r="R2412" i="1"/>
  <c r="S2412" i="1"/>
  <c r="T2412" i="1"/>
  <c r="R2413" i="1"/>
  <c r="S2413" i="1"/>
  <c r="T2413" i="1"/>
  <c r="R2414" i="1"/>
  <c r="S2414" i="1"/>
  <c r="T2414" i="1"/>
  <c r="R2415" i="1"/>
  <c r="S2415" i="1"/>
  <c r="T2415" i="1"/>
  <c r="R2416" i="1"/>
  <c r="S2416" i="1"/>
  <c r="T2416" i="1"/>
  <c r="R2417" i="1"/>
  <c r="S2417" i="1"/>
  <c r="T2417" i="1"/>
  <c r="R2418" i="1"/>
  <c r="S2418" i="1"/>
  <c r="T2418" i="1"/>
  <c r="R2419" i="1"/>
  <c r="S2419" i="1"/>
  <c r="T2419" i="1"/>
  <c r="R2420" i="1"/>
  <c r="S2420" i="1"/>
  <c r="T2420" i="1"/>
  <c r="R2421" i="1"/>
  <c r="S2421" i="1"/>
  <c r="T2421" i="1"/>
  <c r="R2422" i="1"/>
  <c r="S2422" i="1"/>
  <c r="T2422" i="1"/>
  <c r="R2423" i="1"/>
  <c r="S2423" i="1"/>
  <c r="T2423" i="1"/>
  <c r="R2424" i="1"/>
  <c r="S2424" i="1"/>
  <c r="T2424" i="1"/>
  <c r="R2425" i="1"/>
  <c r="S2425" i="1"/>
  <c r="T2425" i="1"/>
  <c r="R2426" i="1"/>
  <c r="S2426" i="1"/>
  <c r="T2426" i="1"/>
  <c r="R2427" i="1"/>
  <c r="S2427" i="1"/>
  <c r="T2427" i="1"/>
  <c r="R2428" i="1"/>
  <c r="S2428" i="1"/>
  <c r="T2428" i="1"/>
  <c r="R2429" i="1"/>
  <c r="S2429" i="1"/>
  <c r="T2429" i="1"/>
  <c r="R2430" i="1"/>
  <c r="S2430" i="1"/>
  <c r="T2430" i="1"/>
  <c r="R2431" i="1"/>
  <c r="S2431" i="1"/>
  <c r="T2431" i="1"/>
  <c r="R2432" i="1"/>
  <c r="S2432" i="1"/>
  <c r="T2432" i="1"/>
  <c r="R2433" i="1"/>
  <c r="S2433" i="1"/>
  <c r="T2433" i="1"/>
  <c r="R2434" i="1"/>
  <c r="S2434" i="1"/>
  <c r="T2434" i="1"/>
  <c r="R2435" i="1"/>
  <c r="S2435" i="1"/>
  <c r="T2435" i="1"/>
  <c r="R2436" i="1"/>
  <c r="S2436" i="1"/>
  <c r="T2436" i="1"/>
  <c r="R2437" i="1"/>
  <c r="S2437" i="1"/>
  <c r="T2437" i="1"/>
  <c r="R2438" i="1"/>
  <c r="S2438" i="1"/>
  <c r="T2438" i="1"/>
  <c r="R2439" i="1"/>
  <c r="S2439" i="1"/>
  <c r="T2439" i="1"/>
  <c r="R2440" i="1"/>
  <c r="S2440" i="1"/>
  <c r="T2440" i="1"/>
  <c r="R2441" i="1"/>
  <c r="S2441" i="1"/>
  <c r="T2441" i="1"/>
  <c r="R2442" i="1"/>
  <c r="S2442" i="1"/>
  <c r="T2442" i="1"/>
  <c r="R2443" i="1"/>
  <c r="S2443" i="1"/>
  <c r="T2443" i="1"/>
  <c r="R2444" i="1"/>
  <c r="S2444" i="1"/>
  <c r="T2444" i="1"/>
  <c r="R2445" i="1"/>
  <c r="S2445" i="1"/>
  <c r="T2445" i="1"/>
  <c r="R2446" i="1"/>
  <c r="S2446" i="1"/>
  <c r="T2446" i="1"/>
  <c r="R2447" i="1"/>
  <c r="S2447" i="1"/>
  <c r="T2447" i="1"/>
  <c r="R2448" i="1"/>
  <c r="S2448" i="1"/>
  <c r="T2448" i="1"/>
  <c r="R2449" i="1"/>
  <c r="S2449" i="1"/>
  <c r="T2449" i="1"/>
  <c r="R2450" i="1"/>
  <c r="S2450" i="1"/>
  <c r="T2450" i="1"/>
  <c r="R2451" i="1"/>
  <c r="S2451" i="1"/>
  <c r="T2451" i="1"/>
  <c r="R2452" i="1"/>
  <c r="S2452" i="1"/>
  <c r="T2452" i="1"/>
  <c r="R2453" i="1"/>
  <c r="S2453" i="1"/>
  <c r="T2453" i="1"/>
  <c r="R2454" i="1"/>
  <c r="S2454" i="1"/>
  <c r="T2454" i="1"/>
  <c r="R2455" i="1"/>
  <c r="S2455" i="1"/>
  <c r="T2455" i="1"/>
  <c r="R2456" i="1"/>
  <c r="S2456" i="1"/>
  <c r="T2456" i="1"/>
  <c r="R2457" i="1"/>
  <c r="S2457" i="1"/>
  <c r="T2457" i="1"/>
  <c r="R2458" i="1"/>
  <c r="S2458" i="1"/>
  <c r="T2458" i="1"/>
  <c r="R2459" i="1"/>
  <c r="S2459" i="1"/>
  <c r="T2459" i="1"/>
  <c r="R2460" i="1"/>
  <c r="S2460" i="1"/>
  <c r="T2460" i="1"/>
  <c r="R2461" i="1"/>
  <c r="S2461" i="1"/>
  <c r="T2461" i="1"/>
  <c r="R2462" i="1"/>
  <c r="S2462" i="1"/>
  <c r="T2462" i="1"/>
  <c r="R2463" i="1"/>
  <c r="S2463" i="1"/>
  <c r="T2463" i="1"/>
  <c r="R2464" i="1"/>
  <c r="S2464" i="1"/>
  <c r="T2464" i="1"/>
  <c r="R2465" i="1"/>
  <c r="S2465" i="1"/>
  <c r="T2465" i="1"/>
  <c r="R2466" i="1"/>
  <c r="S2466" i="1"/>
  <c r="T2466" i="1"/>
  <c r="R2467" i="1"/>
  <c r="S2467" i="1"/>
  <c r="T2467" i="1"/>
  <c r="R2468" i="1"/>
  <c r="S2468" i="1"/>
  <c r="T2468" i="1"/>
  <c r="R2469" i="1"/>
  <c r="S2469" i="1"/>
  <c r="T2469" i="1"/>
  <c r="R2470" i="1"/>
  <c r="S2470" i="1"/>
  <c r="T2470" i="1"/>
  <c r="R2471" i="1"/>
  <c r="S2471" i="1"/>
  <c r="T2471" i="1"/>
  <c r="R2472" i="1"/>
  <c r="S2472" i="1"/>
  <c r="T2472" i="1"/>
  <c r="R2473" i="1"/>
  <c r="S2473" i="1"/>
  <c r="T2473" i="1"/>
  <c r="R2474" i="1"/>
  <c r="S2474" i="1"/>
  <c r="T2474" i="1"/>
  <c r="R2475" i="1"/>
  <c r="S2475" i="1"/>
  <c r="T2475" i="1"/>
  <c r="R2476" i="1"/>
  <c r="S2476" i="1"/>
  <c r="T2476" i="1"/>
  <c r="R2477" i="1"/>
  <c r="S2477" i="1"/>
  <c r="T2477" i="1"/>
  <c r="R2478" i="1"/>
  <c r="S2478" i="1"/>
  <c r="T2478" i="1"/>
  <c r="R2479" i="1"/>
  <c r="S2479" i="1"/>
  <c r="T2479" i="1"/>
  <c r="R2480" i="1"/>
  <c r="S2480" i="1"/>
  <c r="T2480" i="1"/>
  <c r="R2481" i="1"/>
  <c r="S2481" i="1"/>
  <c r="T2481" i="1"/>
  <c r="R2482" i="1"/>
  <c r="S2482" i="1"/>
  <c r="T2482" i="1"/>
  <c r="R2483" i="1"/>
  <c r="S2483" i="1"/>
  <c r="T2483" i="1"/>
  <c r="R2484" i="1"/>
  <c r="S2484" i="1"/>
  <c r="T2484" i="1"/>
  <c r="R2485" i="1"/>
  <c r="S2485" i="1"/>
  <c r="T2485" i="1"/>
  <c r="R2486" i="1"/>
  <c r="S2486" i="1"/>
  <c r="T2486" i="1"/>
  <c r="R2487" i="1"/>
  <c r="S2487" i="1"/>
  <c r="T2487" i="1"/>
  <c r="R2488" i="1"/>
  <c r="S2488" i="1"/>
  <c r="T2488" i="1"/>
  <c r="R2489" i="1"/>
  <c r="S2489" i="1"/>
  <c r="T2489" i="1"/>
  <c r="R2490" i="1"/>
  <c r="S2490" i="1"/>
  <c r="T2490" i="1"/>
  <c r="R2491" i="1"/>
  <c r="S2491" i="1"/>
  <c r="T2491" i="1"/>
  <c r="R2492" i="1"/>
  <c r="S2492" i="1"/>
  <c r="T2492" i="1"/>
  <c r="R2493" i="1"/>
  <c r="S2493" i="1"/>
  <c r="T2493" i="1"/>
  <c r="R2494" i="1"/>
  <c r="S2494" i="1"/>
  <c r="T2494" i="1"/>
  <c r="R2495" i="1"/>
  <c r="S2495" i="1"/>
  <c r="T2495" i="1"/>
  <c r="R2496" i="1"/>
  <c r="S2496" i="1"/>
  <c r="T2496" i="1"/>
  <c r="R2497" i="1"/>
  <c r="S2497" i="1"/>
  <c r="T2497" i="1"/>
  <c r="R2498" i="1"/>
  <c r="S2498" i="1"/>
  <c r="T2498" i="1"/>
  <c r="R2499" i="1"/>
  <c r="S2499" i="1"/>
  <c r="T2499" i="1"/>
  <c r="R2500" i="1"/>
  <c r="S2500" i="1"/>
  <c r="T2500" i="1"/>
  <c r="R2501" i="1"/>
  <c r="S2501" i="1"/>
  <c r="T2501" i="1"/>
  <c r="R2502" i="1"/>
  <c r="S2502" i="1"/>
  <c r="T2502" i="1"/>
  <c r="R2503" i="1"/>
  <c r="S2503" i="1"/>
  <c r="T2503" i="1"/>
  <c r="R2504" i="1"/>
  <c r="S2504" i="1"/>
  <c r="T2504" i="1"/>
  <c r="R2505" i="1"/>
  <c r="S2505" i="1"/>
  <c r="T2505" i="1"/>
  <c r="R2506" i="1"/>
  <c r="S2506" i="1"/>
  <c r="T2506" i="1"/>
  <c r="R2507" i="1"/>
  <c r="S2507" i="1"/>
  <c r="T2507" i="1"/>
  <c r="R2508" i="1"/>
  <c r="S2508" i="1"/>
  <c r="T2508" i="1"/>
  <c r="R2509" i="1"/>
  <c r="S2509" i="1"/>
  <c r="T2509" i="1"/>
  <c r="R2510" i="1"/>
  <c r="S2510" i="1"/>
  <c r="T2510" i="1"/>
  <c r="R2511" i="1"/>
  <c r="S2511" i="1"/>
  <c r="T2511" i="1"/>
  <c r="R2512" i="1"/>
  <c r="S2512" i="1"/>
  <c r="T2512" i="1"/>
  <c r="R2513" i="1"/>
  <c r="S2513" i="1"/>
  <c r="T2513" i="1"/>
  <c r="R2514" i="1"/>
  <c r="S2514" i="1"/>
  <c r="T2514" i="1"/>
  <c r="R2515" i="1"/>
  <c r="S2515" i="1"/>
  <c r="T2515" i="1"/>
  <c r="R2516" i="1"/>
  <c r="S2516" i="1"/>
  <c r="T2516" i="1"/>
  <c r="R2517" i="1"/>
  <c r="S2517" i="1"/>
  <c r="T2517" i="1"/>
  <c r="R2518" i="1"/>
  <c r="S2518" i="1"/>
  <c r="T2518" i="1"/>
  <c r="R2519" i="1"/>
  <c r="S2519" i="1"/>
  <c r="T2519" i="1"/>
  <c r="R2520" i="1"/>
  <c r="S2520" i="1"/>
  <c r="T2520" i="1"/>
  <c r="R2521" i="1"/>
  <c r="S2521" i="1"/>
  <c r="T2521" i="1"/>
  <c r="R2522" i="1"/>
  <c r="S2522" i="1"/>
  <c r="T2522" i="1"/>
  <c r="R2523" i="1"/>
  <c r="S2523" i="1"/>
  <c r="T2523" i="1"/>
  <c r="R2524" i="1"/>
  <c r="S2524" i="1"/>
  <c r="T2524" i="1"/>
  <c r="R2525" i="1"/>
  <c r="S2525" i="1"/>
  <c r="T2525" i="1"/>
  <c r="R2526" i="1"/>
  <c r="S2526" i="1"/>
  <c r="T2526" i="1"/>
  <c r="R2527" i="1"/>
  <c r="S2527" i="1"/>
  <c r="T2527" i="1"/>
  <c r="R2528" i="1"/>
  <c r="S2528" i="1"/>
  <c r="T2528" i="1"/>
  <c r="R2529" i="1"/>
  <c r="S2529" i="1"/>
  <c r="T2529" i="1"/>
  <c r="R2530" i="1"/>
  <c r="S2530" i="1"/>
  <c r="T2530" i="1"/>
  <c r="R2531" i="1"/>
  <c r="S2531" i="1"/>
  <c r="T2531" i="1"/>
  <c r="R2532" i="1"/>
  <c r="S2532" i="1"/>
  <c r="T2532" i="1"/>
  <c r="R2533" i="1"/>
  <c r="S2533" i="1"/>
  <c r="T2533" i="1"/>
  <c r="R2534" i="1"/>
  <c r="S2534" i="1"/>
  <c r="T2534" i="1"/>
  <c r="R2535" i="1"/>
  <c r="S2535" i="1"/>
  <c r="T2535" i="1"/>
  <c r="R2536" i="1"/>
  <c r="S2536" i="1"/>
  <c r="T2536" i="1"/>
  <c r="R2537" i="1"/>
  <c r="S2537" i="1"/>
  <c r="T2537" i="1"/>
  <c r="R2538" i="1"/>
  <c r="S2538" i="1"/>
  <c r="T2538" i="1"/>
  <c r="R2539" i="1"/>
  <c r="S2539" i="1"/>
  <c r="T2539" i="1"/>
  <c r="R2540" i="1"/>
  <c r="S2540" i="1"/>
  <c r="T2540" i="1"/>
  <c r="R2541" i="1"/>
  <c r="S2541" i="1"/>
  <c r="T2541" i="1"/>
  <c r="R2542" i="1"/>
  <c r="S2542" i="1"/>
  <c r="T2542" i="1"/>
  <c r="R2543" i="1"/>
  <c r="S2543" i="1"/>
  <c r="T2543" i="1"/>
  <c r="R2544" i="1"/>
  <c r="S2544" i="1"/>
  <c r="T2544" i="1"/>
  <c r="R2545" i="1"/>
  <c r="S2545" i="1"/>
  <c r="T2545" i="1"/>
  <c r="R2546" i="1"/>
  <c r="S2546" i="1"/>
  <c r="T2546" i="1"/>
  <c r="R2547" i="1"/>
  <c r="S2547" i="1"/>
  <c r="T2547" i="1"/>
  <c r="R2548" i="1"/>
  <c r="S2548" i="1"/>
  <c r="T2548" i="1"/>
  <c r="R2549" i="1"/>
  <c r="S2549" i="1"/>
  <c r="T2549" i="1"/>
  <c r="R2550" i="1"/>
  <c r="S2550" i="1"/>
  <c r="T2550" i="1"/>
  <c r="R2551" i="1"/>
  <c r="S2551" i="1"/>
  <c r="T2551" i="1"/>
  <c r="R2552" i="1"/>
  <c r="S2552" i="1"/>
  <c r="T2552" i="1"/>
  <c r="R2553" i="1"/>
  <c r="S2553" i="1"/>
  <c r="T2553" i="1"/>
  <c r="R2554" i="1"/>
  <c r="S2554" i="1"/>
  <c r="T2554" i="1"/>
  <c r="R2555" i="1"/>
  <c r="S2555" i="1"/>
  <c r="T2555" i="1"/>
  <c r="R2556" i="1"/>
  <c r="S2556" i="1"/>
  <c r="T2556" i="1"/>
  <c r="R2557" i="1"/>
  <c r="S2557" i="1"/>
  <c r="T2557" i="1"/>
  <c r="R2558" i="1"/>
  <c r="S2558" i="1"/>
  <c r="T2558" i="1"/>
  <c r="R2559" i="1"/>
  <c r="S2559" i="1"/>
  <c r="T2559" i="1"/>
  <c r="R2560" i="1"/>
  <c r="S2560" i="1"/>
  <c r="T2560" i="1"/>
  <c r="R2561" i="1"/>
  <c r="S2561" i="1"/>
  <c r="T2561" i="1"/>
  <c r="R2562" i="1"/>
  <c r="S2562" i="1"/>
  <c r="T2562" i="1"/>
  <c r="R2563" i="1"/>
  <c r="S2563" i="1"/>
  <c r="T2563" i="1"/>
  <c r="R2564" i="1"/>
  <c r="S2564" i="1"/>
  <c r="T2564" i="1"/>
  <c r="R2565" i="1"/>
  <c r="S2565" i="1"/>
  <c r="T2565" i="1"/>
  <c r="R2566" i="1"/>
  <c r="S2566" i="1"/>
  <c r="T2566" i="1"/>
  <c r="R2567" i="1"/>
  <c r="S2567" i="1"/>
  <c r="T2567" i="1"/>
  <c r="R2568" i="1"/>
  <c r="S2568" i="1"/>
  <c r="T2568" i="1"/>
  <c r="R2569" i="1"/>
  <c r="S2569" i="1"/>
  <c r="T2569" i="1"/>
  <c r="R2570" i="1"/>
  <c r="S2570" i="1"/>
  <c r="T2570" i="1"/>
  <c r="R2571" i="1"/>
  <c r="S2571" i="1"/>
  <c r="T2571" i="1"/>
  <c r="R2572" i="1"/>
  <c r="S2572" i="1"/>
  <c r="T2572" i="1"/>
  <c r="R2573" i="1"/>
  <c r="S2573" i="1"/>
  <c r="T2573" i="1"/>
  <c r="R2574" i="1"/>
  <c r="S2574" i="1"/>
  <c r="T2574" i="1"/>
  <c r="R2575" i="1"/>
  <c r="S2575" i="1"/>
  <c r="T2575" i="1"/>
  <c r="R2576" i="1"/>
  <c r="S2576" i="1"/>
  <c r="T2576" i="1"/>
  <c r="R2577" i="1"/>
  <c r="S2577" i="1"/>
  <c r="T2577" i="1"/>
  <c r="R2578" i="1"/>
  <c r="S2578" i="1"/>
  <c r="T2578" i="1"/>
  <c r="R2579" i="1"/>
  <c r="S2579" i="1"/>
  <c r="T2579" i="1"/>
  <c r="R2580" i="1"/>
  <c r="S2580" i="1"/>
  <c r="T2580" i="1"/>
  <c r="R2581" i="1"/>
  <c r="S2581" i="1"/>
  <c r="T2581" i="1"/>
  <c r="R2582" i="1"/>
  <c r="S2582" i="1"/>
  <c r="T2582" i="1"/>
  <c r="R2583" i="1"/>
  <c r="S2583" i="1"/>
  <c r="T2583" i="1"/>
  <c r="R2584" i="1"/>
  <c r="S2584" i="1"/>
  <c r="T2584" i="1"/>
  <c r="R2585" i="1"/>
  <c r="S2585" i="1"/>
  <c r="T2585" i="1"/>
  <c r="R2586" i="1"/>
  <c r="S2586" i="1"/>
  <c r="T2586" i="1"/>
  <c r="R2587" i="1"/>
  <c r="S2587" i="1"/>
  <c r="T2587" i="1"/>
  <c r="R2588" i="1"/>
  <c r="S2588" i="1"/>
  <c r="T2588" i="1"/>
  <c r="R2589" i="1"/>
  <c r="S2589" i="1"/>
  <c r="T2589" i="1"/>
  <c r="R2590" i="1"/>
  <c r="S2590" i="1"/>
  <c r="T2590" i="1"/>
  <c r="R2591" i="1"/>
  <c r="S2591" i="1"/>
  <c r="T2591" i="1"/>
  <c r="R2592" i="1"/>
  <c r="S2592" i="1"/>
  <c r="T2592" i="1"/>
  <c r="R2593" i="1"/>
  <c r="S2593" i="1"/>
  <c r="T2593" i="1"/>
  <c r="R2594" i="1"/>
  <c r="S2594" i="1"/>
  <c r="T2594" i="1"/>
  <c r="R2595" i="1"/>
  <c r="S2595" i="1"/>
  <c r="T2595" i="1"/>
  <c r="R2596" i="1"/>
  <c r="S2596" i="1"/>
  <c r="T2596" i="1"/>
  <c r="R2597" i="1"/>
  <c r="S2597" i="1"/>
  <c r="T2597" i="1"/>
  <c r="R2598" i="1"/>
  <c r="S2598" i="1"/>
  <c r="T2598" i="1"/>
  <c r="R2599" i="1"/>
  <c r="S2599" i="1"/>
  <c r="T2599" i="1"/>
  <c r="R2600" i="1"/>
  <c r="S2600" i="1"/>
  <c r="T2600" i="1"/>
  <c r="R2601" i="1"/>
  <c r="S2601" i="1"/>
  <c r="T2601" i="1"/>
  <c r="R2602" i="1"/>
  <c r="S2602" i="1"/>
  <c r="T2602" i="1"/>
  <c r="R2603" i="1"/>
  <c r="S2603" i="1"/>
  <c r="T2603" i="1"/>
  <c r="R2604" i="1"/>
  <c r="S2604" i="1"/>
  <c r="T2604" i="1"/>
  <c r="R2605" i="1"/>
  <c r="S2605" i="1"/>
  <c r="T2605" i="1"/>
  <c r="R2606" i="1"/>
  <c r="S2606" i="1"/>
  <c r="T2606" i="1"/>
  <c r="R2607" i="1"/>
  <c r="S2607" i="1"/>
  <c r="T2607" i="1"/>
  <c r="R2608" i="1"/>
  <c r="S2608" i="1"/>
  <c r="T2608" i="1"/>
  <c r="R2609" i="1"/>
  <c r="S2609" i="1"/>
  <c r="T2609" i="1"/>
  <c r="R2610" i="1"/>
  <c r="S2610" i="1"/>
  <c r="T2610" i="1"/>
  <c r="R2611" i="1"/>
  <c r="S2611" i="1"/>
  <c r="T2611" i="1"/>
  <c r="R2612" i="1"/>
  <c r="S2612" i="1"/>
  <c r="T2612" i="1"/>
  <c r="R2613" i="1"/>
  <c r="S2613" i="1"/>
  <c r="T2613" i="1"/>
  <c r="R2614" i="1"/>
  <c r="S2614" i="1"/>
  <c r="T2614" i="1"/>
  <c r="R2615" i="1"/>
  <c r="S2615" i="1"/>
  <c r="T2615" i="1"/>
  <c r="R2616" i="1"/>
  <c r="S2616" i="1"/>
  <c r="T2616" i="1"/>
  <c r="R2617" i="1"/>
  <c r="S2617" i="1"/>
  <c r="T2617" i="1"/>
  <c r="R2618" i="1"/>
  <c r="S2618" i="1"/>
  <c r="T2618" i="1"/>
  <c r="R2619" i="1"/>
  <c r="S2619" i="1"/>
  <c r="T2619" i="1"/>
  <c r="R2620" i="1"/>
  <c r="S2620" i="1"/>
  <c r="T2620" i="1"/>
  <c r="R2621" i="1"/>
  <c r="S2621" i="1"/>
  <c r="T2621" i="1"/>
  <c r="R2622" i="1"/>
  <c r="S2622" i="1"/>
  <c r="T2622" i="1"/>
  <c r="R2623" i="1"/>
  <c r="S2623" i="1"/>
  <c r="T2623" i="1"/>
  <c r="R2624" i="1"/>
  <c r="S2624" i="1"/>
  <c r="T2624" i="1"/>
  <c r="R2625" i="1"/>
  <c r="S2625" i="1"/>
  <c r="T2625" i="1"/>
  <c r="R2626" i="1"/>
  <c r="S2626" i="1"/>
  <c r="T2626" i="1"/>
  <c r="R2627" i="1"/>
  <c r="S2627" i="1"/>
  <c r="T2627" i="1"/>
  <c r="R2628" i="1"/>
  <c r="S2628" i="1"/>
  <c r="T2628" i="1"/>
  <c r="R2629" i="1"/>
  <c r="S2629" i="1"/>
  <c r="T2629" i="1"/>
  <c r="R2630" i="1"/>
  <c r="S2630" i="1"/>
  <c r="T2630" i="1"/>
  <c r="R2631" i="1"/>
  <c r="S2631" i="1"/>
  <c r="T2631" i="1"/>
  <c r="R2632" i="1"/>
  <c r="S2632" i="1"/>
  <c r="T2632" i="1"/>
  <c r="R2633" i="1"/>
  <c r="S2633" i="1"/>
  <c r="T2633" i="1"/>
  <c r="R2634" i="1"/>
  <c r="S2634" i="1"/>
  <c r="T2634" i="1"/>
  <c r="R2635" i="1"/>
  <c r="S2635" i="1"/>
  <c r="T2635" i="1"/>
  <c r="R2636" i="1"/>
  <c r="S2636" i="1"/>
  <c r="T2636" i="1"/>
  <c r="R2637" i="1"/>
  <c r="S2637" i="1"/>
  <c r="T2637" i="1"/>
  <c r="R2638" i="1"/>
  <c r="S2638" i="1"/>
  <c r="T2638" i="1"/>
  <c r="R2639" i="1"/>
  <c r="S2639" i="1"/>
  <c r="T2639" i="1"/>
  <c r="R2640" i="1"/>
  <c r="S2640" i="1"/>
  <c r="T2640" i="1"/>
  <c r="R2641" i="1"/>
  <c r="S2641" i="1"/>
  <c r="T2641" i="1"/>
  <c r="R2642" i="1"/>
  <c r="S2642" i="1"/>
  <c r="T2642" i="1"/>
  <c r="R2643" i="1"/>
  <c r="S2643" i="1"/>
  <c r="T2643" i="1"/>
  <c r="R2644" i="1"/>
  <c r="S2644" i="1"/>
  <c r="T2644" i="1"/>
  <c r="R2645" i="1"/>
  <c r="S2645" i="1"/>
  <c r="T2645" i="1"/>
  <c r="R2646" i="1"/>
  <c r="S2646" i="1"/>
  <c r="T2646" i="1"/>
  <c r="R2647" i="1"/>
  <c r="S2647" i="1"/>
  <c r="T2647" i="1"/>
  <c r="R2648" i="1"/>
  <c r="S2648" i="1"/>
  <c r="T2648" i="1"/>
  <c r="R2649" i="1"/>
  <c r="S2649" i="1"/>
  <c r="T2649" i="1"/>
  <c r="R2650" i="1"/>
  <c r="S2650" i="1"/>
  <c r="T2650" i="1"/>
  <c r="R2651" i="1"/>
  <c r="S2651" i="1"/>
  <c r="T2651" i="1"/>
  <c r="R2652" i="1"/>
  <c r="S2652" i="1"/>
  <c r="T2652" i="1"/>
  <c r="R2653" i="1"/>
  <c r="S2653" i="1"/>
  <c r="T2653" i="1"/>
  <c r="R2654" i="1"/>
  <c r="S2654" i="1"/>
  <c r="T2654" i="1"/>
  <c r="R2655" i="1"/>
  <c r="S2655" i="1"/>
  <c r="T2655" i="1"/>
  <c r="R2656" i="1"/>
  <c r="S2656" i="1"/>
  <c r="T2656" i="1"/>
  <c r="R2657" i="1"/>
  <c r="S2657" i="1"/>
  <c r="T2657" i="1"/>
  <c r="R2658" i="1"/>
  <c r="S2658" i="1"/>
  <c r="T2658" i="1"/>
  <c r="R2659" i="1"/>
  <c r="S2659" i="1"/>
  <c r="T2659" i="1"/>
  <c r="R2660" i="1"/>
  <c r="S2660" i="1"/>
  <c r="T2660" i="1"/>
  <c r="R2661" i="1"/>
  <c r="S2661" i="1"/>
  <c r="T2661" i="1"/>
  <c r="R2662" i="1"/>
  <c r="S2662" i="1"/>
  <c r="T2662" i="1"/>
  <c r="R2663" i="1"/>
  <c r="S2663" i="1"/>
  <c r="T2663" i="1"/>
  <c r="R2664" i="1"/>
  <c r="S2664" i="1"/>
  <c r="T2664" i="1"/>
  <c r="R2665" i="1"/>
  <c r="S2665" i="1"/>
  <c r="T2665" i="1"/>
  <c r="R2666" i="1"/>
  <c r="S2666" i="1"/>
  <c r="T2666" i="1"/>
  <c r="R2667" i="1"/>
  <c r="S2667" i="1"/>
  <c r="T2667" i="1"/>
  <c r="R2668" i="1"/>
  <c r="S2668" i="1"/>
  <c r="T2668" i="1"/>
  <c r="R2669" i="1"/>
  <c r="S2669" i="1"/>
  <c r="T2669" i="1"/>
  <c r="R2670" i="1"/>
  <c r="S2670" i="1"/>
  <c r="T2670" i="1"/>
  <c r="R2671" i="1"/>
  <c r="S2671" i="1"/>
  <c r="T2671" i="1"/>
  <c r="R2672" i="1"/>
  <c r="S2672" i="1"/>
  <c r="T2672" i="1"/>
  <c r="R2673" i="1"/>
  <c r="S2673" i="1"/>
  <c r="T2673" i="1"/>
  <c r="R2674" i="1"/>
  <c r="S2674" i="1"/>
  <c r="T2674" i="1"/>
  <c r="R2675" i="1"/>
  <c r="S2675" i="1"/>
  <c r="T2675" i="1"/>
  <c r="R2676" i="1"/>
  <c r="S2676" i="1"/>
  <c r="T2676" i="1"/>
  <c r="R2677" i="1"/>
  <c r="S2677" i="1"/>
  <c r="T2677" i="1"/>
  <c r="R2678" i="1"/>
  <c r="S2678" i="1"/>
  <c r="T2678" i="1"/>
  <c r="R2679" i="1"/>
  <c r="S2679" i="1"/>
  <c r="T2679" i="1"/>
  <c r="R2680" i="1"/>
  <c r="S2680" i="1"/>
  <c r="T2680" i="1"/>
  <c r="R2681" i="1"/>
  <c r="S2681" i="1"/>
  <c r="T2681" i="1"/>
  <c r="R2682" i="1"/>
  <c r="S2682" i="1"/>
  <c r="T2682" i="1"/>
  <c r="R2683" i="1"/>
  <c r="S2683" i="1"/>
  <c r="T2683" i="1"/>
  <c r="R2684" i="1"/>
  <c r="S2684" i="1"/>
  <c r="T2684" i="1"/>
  <c r="R2685" i="1"/>
  <c r="S2685" i="1"/>
  <c r="T2685" i="1"/>
  <c r="R2686" i="1"/>
  <c r="S2686" i="1"/>
  <c r="T2686" i="1"/>
  <c r="R2687" i="1"/>
  <c r="S2687" i="1"/>
  <c r="T2687" i="1"/>
  <c r="R2688" i="1"/>
  <c r="S2688" i="1"/>
  <c r="T2688" i="1"/>
  <c r="R2689" i="1"/>
  <c r="S2689" i="1"/>
  <c r="T2689" i="1"/>
  <c r="R2690" i="1"/>
  <c r="S2690" i="1"/>
  <c r="T2690" i="1"/>
  <c r="R2691" i="1"/>
  <c r="S2691" i="1"/>
  <c r="T2691" i="1"/>
  <c r="R2692" i="1"/>
  <c r="S2692" i="1"/>
  <c r="T2692" i="1"/>
  <c r="R2693" i="1"/>
  <c r="S2693" i="1"/>
  <c r="T2693" i="1"/>
  <c r="R2694" i="1"/>
  <c r="S2694" i="1"/>
  <c r="T2694" i="1"/>
  <c r="R2695" i="1"/>
  <c r="S2695" i="1"/>
  <c r="T2695" i="1"/>
  <c r="R2696" i="1"/>
  <c r="S2696" i="1"/>
  <c r="T2696" i="1"/>
  <c r="R2697" i="1"/>
  <c r="S2697" i="1"/>
  <c r="T2697" i="1"/>
  <c r="R2698" i="1"/>
  <c r="S2698" i="1"/>
  <c r="T2698" i="1"/>
  <c r="R2699" i="1"/>
  <c r="S2699" i="1"/>
  <c r="T2699" i="1"/>
  <c r="R2700" i="1"/>
  <c r="S2700" i="1"/>
  <c r="T2700" i="1"/>
  <c r="R2701" i="1"/>
  <c r="S2701" i="1"/>
  <c r="T2701" i="1"/>
  <c r="R2702" i="1"/>
  <c r="S2702" i="1"/>
  <c r="T2702" i="1"/>
  <c r="R2703" i="1"/>
  <c r="S2703" i="1"/>
  <c r="T2703" i="1"/>
  <c r="R2704" i="1"/>
  <c r="S2704" i="1"/>
  <c r="T2704" i="1"/>
  <c r="R2705" i="1"/>
  <c r="S2705" i="1"/>
  <c r="T2705" i="1"/>
  <c r="R2706" i="1"/>
  <c r="S2706" i="1"/>
  <c r="T2706" i="1"/>
  <c r="R2707" i="1"/>
  <c r="S2707" i="1"/>
  <c r="T2707" i="1"/>
  <c r="R2708" i="1"/>
  <c r="S2708" i="1"/>
  <c r="T2708" i="1"/>
  <c r="R2709" i="1"/>
  <c r="S2709" i="1"/>
  <c r="T2709" i="1"/>
  <c r="R2710" i="1"/>
  <c r="S2710" i="1"/>
  <c r="T2710" i="1"/>
  <c r="R2711" i="1"/>
  <c r="S2711" i="1"/>
  <c r="T2711" i="1"/>
  <c r="R2712" i="1"/>
  <c r="S2712" i="1"/>
  <c r="T2712" i="1"/>
  <c r="R2713" i="1"/>
  <c r="S2713" i="1"/>
  <c r="T2713" i="1"/>
  <c r="R2714" i="1"/>
  <c r="S2714" i="1"/>
  <c r="T2714" i="1"/>
  <c r="R2715" i="1"/>
  <c r="S2715" i="1"/>
  <c r="T2715" i="1"/>
  <c r="R2716" i="1"/>
  <c r="S2716" i="1"/>
  <c r="T2716" i="1"/>
  <c r="R2717" i="1"/>
  <c r="S2717" i="1"/>
  <c r="T2717" i="1"/>
  <c r="R2718" i="1"/>
  <c r="S2718" i="1"/>
  <c r="T2718" i="1"/>
  <c r="R2719" i="1"/>
  <c r="S2719" i="1"/>
  <c r="T2719" i="1"/>
  <c r="R2720" i="1"/>
  <c r="S2720" i="1"/>
  <c r="T2720" i="1"/>
  <c r="R2721" i="1"/>
  <c r="S2721" i="1"/>
  <c r="T2721" i="1"/>
  <c r="R2722" i="1"/>
  <c r="S2722" i="1"/>
  <c r="T2722" i="1"/>
  <c r="R2723" i="1"/>
  <c r="S2723" i="1"/>
  <c r="T2723" i="1"/>
  <c r="R2724" i="1"/>
  <c r="S2724" i="1"/>
  <c r="T2724" i="1"/>
  <c r="R2725" i="1"/>
  <c r="S2725" i="1"/>
  <c r="T2725" i="1"/>
  <c r="R2726" i="1"/>
  <c r="S2726" i="1"/>
  <c r="T2726" i="1"/>
  <c r="R2727" i="1"/>
  <c r="S2727" i="1"/>
  <c r="T2727" i="1"/>
  <c r="R2728" i="1"/>
  <c r="S2728" i="1"/>
  <c r="T2728" i="1"/>
  <c r="R2729" i="1"/>
  <c r="S2729" i="1"/>
  <c r="T2729" i="1"/>
  <c r="R2730" i="1"/>
  <c r="S2730" i="1"/>
  <c r="T2730" i="1"/>
  <c r="R2731" i="1"/>
  <c r="S2731" i="1"/>
  <c r="T2731" i="1"/>
  <c r="R2732" i="1"/>
  <c r="S2732" i="1"/>
  <c r="T2732" i="1"/>
  <c r="R2733" i="1"/>
  <c r="S2733" i="1"/>
  <c r="T2733" i="1"/>
  <c r="R2734" i="1"/>
  <c r="S2734" i="1"/>
  <c r="T2734" i="1"/>
  <c r="R2735" i="1"/>
  <c r="S2735" i="1"/>
  <c r="T2735" i="1"/>
  <c r="R2736" i="1"/>
  <c r="S2736" i="1"/>
  <c r="T2736" i="1"/>
  <c r="R2737" i="1"/>
  <c r="S2737" i="1"/>
  <c r="T2737" i="1"/>
  <c r="R2738" i="1"/>
  <c r="S2738" i="1"/>
  <c r="T2738" i="1"/>
  <c r="R2739" i="1"/>
  <c r="S2739" i="1"/>
  <c r="T2739" i="1"/>
  <c r="R2740" i="1"/>
  <c r="S2740" i="1"/>
  <c r="T2740" i="1"/>
  <c r="R2741" i="1"/>
  <c r="S2741" i="1"/>
  <c r="T2741" i="1"/>
  <c r="R2742" i="1"/>
  <c r="S2742" i="1"/>
  <c r="T2742" i="1"/>
  <c r="R2743" i="1"/>
  <c r="S2743" i="1"/>
  <c r="T2743" i="1"/>
  <c r="R2744" i="1"/>
  <c r="S2744" i="1"/>
  <c r="T2744" i="1"/>
  <c r="R2745" i="1"/>
  <c r="S2745" i="1"/>
  <c r="T2745" i="1"/>
  <c r="R2746" i="1"/>
  <c r="S2746" i="1"/>
  <c r="T2746" i="1"/>
  <c r="R2747" i="1"/>
  <c r="S2747" i="1"/>
  <c r="T2747" i="1"/>
  <c r="R2748" i="1"/>
  <c r="S2748" i="1"/>
  <c r="T2748" i="1"/>
  <c r="R2749" i="1"/>
  <c r="S2749" i="1"/>
  <c r="T2749" i="1"/>
  <c r="R2750" i="1"/>
  <c r="S2750" i="1"/>
  <c r="T2750" i="1"/>
  <c r="R2751" i="1"/>
  <c r="S2751" i="1"/>
  <c r="T2751" i="1"/>
  <c r="R2752" i="1"/>
  <c r="S2752" i="1"/>
  <c r="T2752" i="1"/>
  <c r="R2753" i="1"/>
  <c r="S2753" i="1"/>
  <c r="T2753" i="1"/>
  <c r="R2754" i="1"/>
  <c r="S2754" i="1"/>
  <c r="T2754" i="1"/>
  <c r="R2755" i="1"/>
  <c r="S2755" i="1"/>
  <c r="T2755" i="1"/>
  <c r="R2756" i="1"/>
  <c r="S2756" i="1"/>
  <c r="T2756" i="1"/>
  <c r="R2757" i="1"/>
  <c r="S2757" i="1"/>
  <c r="T2757" i="1"/>
  <c r="R2758" i="1"/>
  <c r="S2758" i="1"/>
  <c r="T2758" i="1"/>
  <c r="R2759" i="1"/>
  <c r="S2759" i="1"/>
  <c r="T2759" i="1"/>
  <c r="R2760" i="1"/>
  <c r="S2760" i="1"/>
  <c r="T2760" i="1"/>
  <c r="R2761" i="1"/>
  <c r="S2761" i="1"/>
  <c r="T2761" i="1"/>
  <c r="R2762" i="1"/>
  <c r="S2762" i="1"/>
  <c r="T2762" i="1"/>
  <c r="R2763" i="1"/>
  <c r="S2763" i="1"/>
  <c r="T2763" i="1"/>
  <c r="R2764" i="1"/>
  <c r="S2764" i="1"/>
  <c r="T2764" i="1"/>
  <c r="R2765" i="1"/>
  <c r="S2765" i="1"/>
  <c r="T2765" i="1"/>
  <c r="R2766" i="1"/>
  <c r="S2766" i="1"/>
  <c r="T2766" i="1"/>
  <c r="R2767" i="1"/>
  <c r="S2767" i="1"/>
  <c r="T2767" i="1"/>
  <c r="R2768" i="1"/>
  <c r="S2768" i="1"/>
  <c r="T2768" i="1"/>
  <c r="R2769" i="1"/>
  <c r="S2769" i="1"/>
  <c r="T2769" i="1"/>
  <c r="R2770" i="1"/>
  <c r="S2770" i="1"/>
  <c r="T2770" i="1"/>
  <c r="R2771" i="1"/>
  <c r="S2771" i="1"/>
  <c r="T2771" i="1"/>
  <c r="R2772" i="1"/>
  <c r="S2772" i="1"/>
  <c r="T2772" i="1"/>
  <c r="R2773" i="1"/>
  <c r="S2773" i="1"/>
  <c r="T2773" i="1"/>
  <c r="R2774" i="1"/>
  <c r="S2774" i="1"/>
  <c r="T2774" i="1"/>
  <c r="R2775" i="1"/>
  <c r="S2775" i="1"/>
  <c r="T2775" i="1"/>
  <c r="R2776" i="1"/>
  <c r="S2776" i="1"/>
  <c r="T2776" i="1"/>
  <c r="R2777" i="1"/>
  <c r="S2777" i="1"/>
  <c r="T2777" i="1"/>
  <c r="R2778" i="1"/>
  <c r="S2778" i="1"/>
  <c r="T2778" i="1"/>
  <c r="R2779" i="1"/>
  <c r="S2779" i="1"/>
  <c r="T2779" i="1"/>
  <c r="R2780" i="1"/>
  <c r="S2780" i="1"/>
  <c r="T2780" i="1"/>
  <c r="R2781" i="1"/>
  <c r="S2781" i="1"/>
  <c r="T2781" i="1"/>
  <c r="R2782" i="1"/>
  <c r="S2782" i="1"/>
  <c r="T2782" i="1"/>
  <c r="R2783" i="1"/>
  <c r="S2783" i="1"/>
  <c r="T2783" i="1"/>
  <c r="R2784" i="1"/>
  <c r="S2784" i="1"/>
  <c r="T2784" i="1"/>
  <c r="R2785" i="1"/>
  <c r="S2785" i="1"/>
  <c r="T2785" i="1"/>
  <c r="R2786" i="1"/>
  <c r="S2786" i="1"/>
  <c r="T2786" i="1"/>
  <c r="R2787" i="1"/>
  <c r="S2787" i="1"/>
  <c r="T2787" i="1"/>
  <c r="R2788" i="1"/>
  <c r="S2788" i="1"/>
  <c r="T2788" i="1"/>
  <c r="R2789" i="1"/>
  <c r="S2789" i="1"/>
  <c r="T2789" i="1"/>
  <c r="R2790" i="1"/>
  <c r="S2790" i="1"/>
  <c r="T2790" i="1"/>
  <c r="R2791" i="1"/>
  <c r="S2791" i="1"/>
  <c r="T2791" i="1"/>
  <c r="R2792" i="1"/>
  <c r="S2792" i="1"/>
  <c r="T2792" i="1"/>
  <c r="R2793" i="1"/>
  <c r="S2793" i="1"/>
  <c r="T2793" i="1"/>
  <c r="R2794" i="1"/>
  <c r="S2794" i="1"/>
  <c r="T2794" i="1"/>
  <c r="R2795" i="1"/>
  <c r="S2795" i="1"/>
  <c r="T2795" i="1"/>
  <c r="R2796" i="1"/>
  <c r="S2796" i="1"/>
  <c r="T2796" i="1"/>
  <c r="R2797" i="1"/>
  <c r="S2797" i="1"/>
  <c r="T2797" i="1"/>
  <c r="R2798" i="1"/>
  <c r="S2798" i="1"/>
  <c r="T2798" i="1"/>
  <c r="R2799" i="1"/>
  <c r="S2799" i="1"/>
  <c r="T2799" i="1"/>
  <c r="R2800" i="1"/>
  <c r="S2800" i="1"/>
  <c r="T2800" i="1"/>
  <c r="R2801" i="1"/>
  <c r="S2801" i="1"/>
  <c r="T2801" i="1"/>
  <c r="R2802" i="1"/>
  <c r="S2802" i="1"/>
  <c r="T2802" i="1"/>
  <c r="R2803" i="1"/>
  <c r="S2803" i="1"/>
  <c r="T2803" i="1"/>
  <c r="R2804" i="1"/>
  <c r="S2804" i="1"/>
  <c r="T2804" i="1"/>
  <c r="R2805" i="1"/>
  <c r="S2805" i="1"/>
  <c r="T2805" i="1"/>
  <c r="R2806" i="1"/>
  <c r="S2806" i="1"/>
  <c r="T2806" i="1"/>
  <c r="R2807" i="1"/>
  <c r="S2807" i="1"/>
  <c r="T2807" i="1"/>
  <c r="R2808" i="1"/>
  <c r="S2808" i="1"/>
  <c r="T2808" i="1"/>
  <c r="R2809" i="1"/>
  <c r="S2809" i="1"/>
  <c r="T2809" i="1"/>
  <c r="R2810" i="1"/>
  <c r="S2810" i="1"/>
  <c r="T2810" i="1"/>
  <c r="R2811" i="1"/>
  <c r="S2811" i="1"/>
  <c r="T2811" i="1"/>
  <c r="R2812" i="1"/>
  <c r="S2812" i="1"/>
  <c r="T2812" i="1"/>
  <c r="R2813" i="1"/>
  <c r="S2813" i="1"/>
  <c r="T2813" i="1"/>
  <c r="R2814" i="1"/>
  <c r="S2814" i="1"/>
  <c r="T2814" i="1"/>
  <c r="R2815" i="1"/>
  <c r="S2815" i="1"/>
  <c r="T2815" i="1"/>
  <c r="R2816" i="1"/>
  <c r="S2816" i="1"/>
  <c r="T2816" i="1"/>
  <c r="R2817" i="1"/>
  <c r="S2817" i="1"/>
  <c r="T2817" i="1"/>
  <c r="R2818" i="1"/>
  <c r="S2818" i="1"/>
  <c r="T2818" i="1"/>
  <c r="R2819" i="1"/>
  <c r="S2819" i="1"/>
  <c r="T2819" i="1"/>
  <c r="R2820" i="1"/>
  <c r="S2820" i="1"/>
  <c r="T2820" i="1"/>
  <c r="R2821" i="1"/>
  <c r="S2821" i="1"/>
  <c r="T2821" i="1"/>
  <c r="R2822" i="1"/>
  <c r="S2822" i="1"/>
  <c r="T2822" i="1"/>
  <c r="R2823" i="1"/>
  <c r="S2823" i="1"/>
  <c r="T2823" i="1"/>
  <c r="R2824" i="1"/>
  <c r="S2824" i="1"/>
  <c r="T2824" i="1"/>
  <c r="R2825" i="1"/>
  <c r="S2825" i="1"/>
  <c r="T2825" i="1"/>
  <c r="R2826" i="1"/>
  <c r="S2826" i="1"/>
  <c r="T2826" i="1"/>
  <c r="R2827" i="1"/>
  <c r="S2827" i="1"/>
  <c r="T2827" i="1"/>
  <c r="R2828" i="1"/>
  <c r="S2828" i="1"/>
  <c r="T2828" i="1"/>
  <c r="R2829" i="1"/>
  <c r="S2829" i="1"/>
  <c r="T2829" i="1"/>
  <c r="R2830" i="1"/>
  <c r="S2830" i="1"/>
  <c r="T2830" i="1"/>
  <c r="R2831" i="1"/>
  <c r="S2831" i="1"/>
  <c r="T2831" i="1"/>
  <c r="R2832" i="1"/>
  <c r="S2832" i="1"/>
  <c r="T2832" i="1"/>
  <c r="R2833" i="1"/>
  <c r="S2833" i="1"/>
  <c r="T2833" i="1"/>
  <c r="R2834" i="1"/>
  <c r="S2834" i="1"/>
  <c r="T2834" i="1"/>
  <c r="R2835" i="1"/>
  <c r="S2835" i="1"/>
  <c r="T2835" i="1"/>
  <c r="R2836" i="1"/>
  <c r="S2836" i="1"/>
  <c r="T2836" i="1"/>
  <c r="R2837" i="1"/>
  <c r="S2837" i="1"/>
  <c r="T2837" i="1"/>
  <c r="R2838" i="1"/>
  <c r="S2838" i="1"/>
  <c r="T2838" i="1"/>
  <c r="R2839" i="1"/>
  <c r="S2839" i="1"/>
  <c r="T2839" i="1"/>
  <c r="R2840" i="1"/>
  <c r="S2840" i="1"/>
  <c r="T2840" i="1"/>
  <c r="R2841" i="1"/>
  <c r="S2841" i="1"/>
  <c r="T2841" i="1"/>
  <c r="R2842" i="1"/>
  <c r="S2842" i="1"/>
  <c r="T2842" i="1"/>
  <c r="R2843" i="1"/>
  <c r="S2843" i="1"/>
  <c r="T2843" i="1"/>
  <c r="R2844" i="1"/>
  <c r="S2844" i="1"/>
  <c r="T2844" i="1"/>
  <c r="R2845" i="1"/>
  <c r="S2845" i="1"/>
  <c r="T2845" i="1"/>
  <c r="R2846" i="1"/>
  <c r="S2846" i="1"/>
  <c r="T2846" i="1"/>
  <c r="R2847" i="1"/>
  <c r="S2847" i="1"/>
  <c r="T2847" i="1"/>
  <c r="R2848" i="1"/>
  <c r="S2848" i="1"/>
  <c r="T2848" i="1"/>
  <c r="R2849" i="1"/>
  <c r="S2849" i="1"/>
  <c r="T2849" i="1"/>
  <c r="R2850" i="1"/>
  <c r="S2850" i="1"/>
  <c r="T2850" i="1"/>
  <c r="R2851" i="1"/>
  <c r="S2851" i="1"/>
  <c r="T2851" i="1"/>
  <c r="R2852" i="1"/>
  <c r="S2852" i="1"/>
  <c r="T2852" i="1"/>
  <c r="R2853" i="1"/>
  <c r="S2853" i="1"/>
  <c r="T2853" i="1"/>
  <c r="R2854" i="1"/>
  <c r="S2854" i="1"/>
  <c r="T2854" i="1"/>
  <c r="R2855" i="1"/>
  <c r="S2855" i="1"/>
  <c r="T2855" i="1"/>
  <c r="R2856" i="1"/>
  <c r="S2856" i="1"/>
  <c r="T2856" i="1"/>
  <c r="R2857" i="1"/>
  <c r="S2857" i="1"/>
  <c r="T2857" i="1"/>
  <c r="R2858" i="1"/>
  <c r="S2858" i="1"/>
  <c r="T2858" i="1"/>
  <c r="R2859" i="1"/>
  <c r="S2859" i="1"/>
  <c r="T2859" i="1"/>
  <c r="R2860" i="1"/>
  <c r="S2860" i="1"/>
  <c r="T2860" i="1"/>
  <c r="R2861" i="1"/>
  <c r="S2861" i="1"/>
  <c r="T2861" i="1"/>
  <c r="R2862" i="1"/>
  <c r="S2862" i="1"/>
  <c r="T2862" i="1"/>
  <c r="R2863" i="1"/>
  <c r="S2863" i="1"/>
  <c r="T2863" i="1"/>
  <c r="R2864" i="1"/>
  <c r="S2864" i="1"/>
  <c r="T2864" i="1"/>
  <c r="R2865" i="1"/>
  <c r="S2865" i="1"/>
  <c r="T2865" i="1"/>
  <c r="R2866" i="1"/>
  <c r="S2866" i="1"/>
  <c r="T2866" i="1"/>
  <c r="R2867" i="1"/>
  <c r="S2867" i="1"/>
  <c r="T2867" i="1"/>
  <c r="R2868" i="1"/>
  <c r="S2868" i="1"/>
  <c r="T2868" i="1"/>
  <c r="R2869" i="1"/>
  <c r="S2869" i="1"/>
  <c r="T2869" i="1"/>
  <c r="R2870" i="1"/>
  <c r="S2870" i="1"/>
  <c r="T2870" i="1"/>
  <c r="R2871" i="1"/>
  <c r="S2871" i="1"/>
  <c r="T2871" i="1"/>
  <c r="R2872" i="1"/>
  <c r="S2872" i="1"/>
  <c r="T2872" i="1"/>
  <c r="R2873" i="1"/>
  <c r="S2873" i="1"/>
  <c r="T2873" i="1"/>
  <c r="R2874" i="1"/>
  <c r="S2874" i="1"/>
  <c r="T2874" i="1"/>
  <c r="R2875" i="1"/>
  <c r="S2875" i="1"/>
  <c r="T2875" i="1"/>
  <c r="R2876" i="1"/>
  <c r="S2876" i="1"/>
  <c r="T2876" i="1"/>
  <c r="R2877" i="1"/>
  <c r="S2877" i="1"/>
  <c r="T2877" i="1"/>
  <c r="R2878" i="1"/>
  <c r="S2878" i="1"/>
  <c r="T2878" i="1"/>
  <c r="R2879" i="1"/>
  <c r="S2879" i="1"/>
  <c r="T2879" i="1"/>
  <c r="R2880" i="1"/>
  <c r="S2880" i="1"/>
  <c r="T2880" i="1"/>
  <c r="R2881" i="1"/>
  <c r="S2881" i="1"/>
  <c r="T2881" i="1"/>
  <c r="R2882" i="1"/>
  <c r="S2882" i="1"/>
  <c r="T2882" i="1"/>
  <c r="R2883" i="1"/>
  <c r="S2883" i="1"/>
  <c r="T2883" i="1"/>
  <c r="R2884" i="1"/>
  <c r="S2884" i="1"/>
  <c r="T2884" i="1"/>
  <c r="R2885" i="1"/>
  <c r="S2885" i="1"/>
  <c r="T2885" i="1"/>
  <c r="R2886" i="1"/>
  <c r="S2886" i="1"/>
  <c r="T2886" i="1"/>
  <c r="R2887" i="1"/>
  <c r="S2887" i="1"/>
  <c r="T2887" i="1"/>
  <c r="R2888" i="1"/>
  <c r="S2888" i="1"/>
  <c r="T2888" i="1"/>
  <c r="R2889" i="1"/>
  <c r="S2889" i="1"/>
  <c r="T2889" i="1"/>
  <c r="R2890" i="1"/>
  <c r="S2890" i="1"/>
  <c r="T2890" i="1"/>
  <c r="R2891" i="1"/>
  <c r="S2891" i="1"/>
  <c r="T2891" i="1"/>
  <c r="R2892" i="1"/>
  <c r="S2892" i="1"/>
  <c r="T2892" i="1"/>
  <c r="R2893" i="1"/>
  <c r="S2893" i="1"/>
  <c r="T2893" i="1"/>
  <c r="R2894" i="1"/>
  <c r="S2894" i="1"/>
  <c r="T2894" i="1"/>
  <c r="R2895" i="1"/>
  <c r="S2895" i="1"/>
  <c r="T2895" i="1"/>
  <c r="R2896" i="1"/>
  <c r="S2896" i="1"/>
  <c r="T2896" i="1"/>
  <c r="R2897" i="1"/>
  <c r="S2897" i="1"/>
  <c r="T2897" i="1"/>
  <c r="R2898" i="1"/>
  <c r="S2898" i="1"/>
  <c r="T2898" i="1"/>
  <c r="R2899" i="1"/>
  <c r="S2899" i="1"/>
  <c r="T2899" i="1"/>
  <c r="R2900" i="1"/>
  <c r="S2900" i="1"/>
  <c r="T2900" i="1"/>
  <c r="R2901" i="1"/>
  <c r="S2901" i="1"/>
  <c r="T2901" i="1"/>
  <c r="R2902" i="1"/>
  <c r="S2902" i="1"/>
  <c r="T2902" i="1"/>
  <c r="R2903" i="1"/>
  <c r="S2903" i="1"/>
  <c r="T2903" i="1"/>
  <c r="R2904" i="1"/>
  <c r="S2904" i="1"/>
  <c r="T2904" i="1"/>
  <c r="R2905" i="1"/>
  <c r="S2905" i="1"/>
  <c r="T2905" i="1"/>
  <c r="R2906" i="1"/>
  <c r="S2906" i="1"/>
  <c r="T2906" i="1"/>
  <c r="R2907" i="1"/>
  <c r="S2907" i="1"/>
  <c r="T2907" i="1"/>
  <c r="R2908" i="1"/>
  <c r="S2908" i="1"/>
  <c r="T2908" i="1"/>
  <c r="R2909" i="1"/>
  <c r="S2909" i="1"/>
  <c r="T2909" i="1"/>
  <c r="R2910" i="1"/>
  <c r="S2910" i="1"/>
  <c r="T2910" i="1"/>
  <c r="R2911" i="1"/>
  <c r="S2911" i="1"/>
  <c r="T2911" i="1"/>
  <c r="R2912" i="1"/>
  <c r="S2912" i="1"/>
  <c r="T2912" i="1"/>
  <c r="R2913" i="1"/>
  <c r="S2913" i="1"/>
  <c r="T2913" i="1"/>
  <c r="R2914" i="1"/>
  <c r="S2914" i="1"/>
  <c r="T2914" i="1"/>
  <c r="R2915" i="1"/>
  <c r="S2915" i="1"/>
  <c r="T2915" i="1"/>
  <c r="R2916" i="1"/>
  <c r="S2916" i="1"/>
  <c r="T2916" i="1"/>
  <c r="R2917" i="1"/>
  <c r="S2917" i="1"/>
  <c r="T2917" i="1"/>
  <c r="R2918" i="1"/>
  <c r="S2918" i="1"/>
  <c r="T2918" i="1"/>
  <c r="R2919" i="1"/>
  <c r="S2919" i="1"/>
  <c r="T2919" i="1"/>
  <c r="R2920" i="1"/>
  <c r="S2920" i="1"/>
  <c r="T2920" i="1"/>
  <c r="R2921" i="1"/>
  <c r="S2921" i="1"/>
  <c r="T2921" i="1"/>
  <c r="R2922" i="1"/>
  <c r="S2922" i="1"/>
  <c r="T2922" i="1"/>
  <c r="R2923" i="1"/>
  <c r="S2923" i="1"/>
  <c r="T2923" i="1"/>
  <c r="R2924" i="1"/>
  <c r="S2924" i="1"/>
  <c r="T2924" i="1"/>
  <c r="R2925" i="1"/>
  <c r="S2925" i="1"/>
  <c r="T2925" i="1"/>
  <c r="R2926" i="1"/>
  <c r="S2926" i="1"/>
  <c r="T2926" i="1"/>
  <c r="R2927" i="1"/>
  <c r="S2927" i="1"/>
  <c r="T2927" i="1"/>
  <c r="R2928" i="1"/>
  <c r="S2928" i="1"/>
  <c r="T2928" i="1"/>
  <c r="R2929" i="1"/>
  <c r="S2929" i="1"/>
  <c r="T2929" i="1"/>
  <c r="R2930" i="1"/>
  <c r="S2930" i="1"/>
  <c r="T2930" i="1"/>
  <c r="R2931" i="1"/>
  <c r="S2931" i="1"/>
  <c r="T2931" i="1"/>
  <c r="R2932" i="1"/>
  <c r="S2932" i="1"/>
  <c r="T2932" i="1"/>
  <c r="R2933" i="1"/>
  <c r="S2933" i="1"/>
  <c r="T2933" i="1"/>
  <c r="R2934" i="1"/>
  <c r="S2934" i="1"/>
  <c r="T2934" i="1"/>
  <c r="R2935" i="1"/>
  <c r="S2935" i="1"/>
  <c r="T2935" i="1"/>
  <c r="R2936" i="1"/>
  <c r="S2936" i="1"/>
  <c r="T2936" i="1"/>
  <c r="R2937" i="1"/>
  <c r="S2937" i="1"/>
  <c r="T2937" i="1"/>
  <c r="R2938" i="1"/>
  <c r="S2938" i="1"/>
  <c r="T2938" i="1"/>
  <c r="R2939" i="1"/>
  <c r="S2939" i="1"/>
  <c r="T2939" i="1"/>
  <c r="R2940" i="1"/>
  <c r="S2940" i="1"/>
  <c r="T2940" i="1"/>
  <c r="R2941" i="1"/>
  <c r="S2941" i="1"/>
  <c r="T2941" i="1"/>
  <c r="R2942" i="1"/>
  <c r="S2942" i="1"/>
  <c r="T2942" i="1"/>
  <c r="R2943" i="1"/>
  <c r="S2943" i="1"/>
  <c r="T2943" i="1"/>
  <c r="R2944" i="1"/>
  <c r="S2944" i="1"/>
  <c r="T2944" i="1"/>
  <c r="R2945" i="1"/>
  <c r="S2945" i="1"/>
  <c r="T2945" i="1"/>
  <c r="R2946" i="1"/>
  <c r="S2946" i="1"/>
  <c r="T2946" i="1"/>
  <c r="R2947" i="1"/>
  <c r="S2947" i="1"/>
  <c r="T2947" i="1"/>
  <c r="R2948" i="1"/>
  <c r="S2948" i="1"/>
  <c r="T2948" i="1"/>
  <c r="R2949" i="1"/>
  <c r="S2949" i="1"/>
  <c r="T2949" i="1"/>
  <c r="R2950" i="1"/>
  <c r="S2950" i="1"/>
  <c r="T2950" i="1"/>
  <c r="R2951" i="1"/>
  <c r="S2951" i="1"/>
  <c r="T2951" i="1"/>
  <c r="R2952" i="1"/>
  <c r="S2952" i="1"/>
  <c r="T2952" i="1"/>
  <c r="R2953" i="1"/>
  <c r="S2953" i="1"/>
  <c r="T2953" i="1"/>
  <c r="R2954" i="1"/>
  <c r="S2954" i="1"/>
  <c r="T2954" i="1"/>
  <c r="R2955" i="1"/>
  <c r="S2955" i="1"/>
  <c r="T2955" i="1"/>
  <c r="R2956" i="1"/>
  <c r="S2956" i="1"/>
  <c r="T2956" i="1"/>
  <c r="R2957" i="1"/>
  <c r="S2957" i="1"/>
  <c r="T2957" i="1"/>
  <c r="R2958" i="1"/>
  <c r="S2958" i="1"/>
  <c r="T2958" i="1"/>
  <c r="R2959" i="1"/>
  <c r="S2959" i="1"/>
  <c r="T2959" i="1"/>
  <c r="R2960" i="1"/>
  <c r="S2960" i="1"/>
  <c r="T2960" i="1"/>
  <c r="R2961" i="1"/>
  <c r="S2961" i="1"/>
  <c r="T2961" i="1"/>
  <c r="R2962" i="1"/>
  <c r="S2962" i="1"/>
  <c r="T2962" i="1"/>
  <c r="R2963" i="1"/>
  <c r="S2963" i="1"/>
  <c r="T2963" i="1"/>
  <c r="R2964" i="1"/>
  <c r="S2964" i="1"/>
  <c r="T2964" i="1"/>
  <c r="R2965" i="1"/>
  <c r="S2965" i="1"/>
  <c r="T2965" i="1"/>
  <c r="R2966" i="1"/>
  <c r="S2966" i="1"/>
  <c r="T2966" i="1"/>
  <c r="R2967" i="1"/>
  <c r="S2967" i="1"/>
  <c r="T2967" i="1"/>
  <c r="R2968" i="1"/>
  <c r="S2968" i="1"/>
  <c r="T2968" i="1"/>
  <c r="R2969" i="1"/>
  <c r="S2969" i="1"/>
  <c r="T2969" i="1"/>
  <c r="R2970" i="1"/>
  <c r="S2970" i="1"/>
  <c r="T2970" i="1"/>
  <c r="R2971" i="1"/>
  <c r="S2971" i="1"/>
  <c r="T2971" i="1"/>
  <c r="R2972" i="1"/>
  <c r="S2972" i="1"/>
  <c r="T2972" i="1"/>
  <c r="R2973" i="1"/>
  <c r="S2973" i="1"/>
  <c r="T2973" i="1"/>
  <c r="R2974" i="1"/>
  <c r="S2974" i="1"/>
  <c r="T2974" i="1"/>
  <c r="R2975" i="1"/>
  <c r="S2975" i="1"/>
  <c r="T2975" i="1"/>
  <c r="R2976" i="1"/>
  <c r="S2976" i="1"/>
  <c r="T2976" i="1"/>
  <c r="R2977" i="1"/>
  <c r="S2977" i="1"/>
  <c r="T2977" i="1"/>
  <c r="R2978" i="1"/>
  <c r="S2978" i="1"/>
  <c r="T2978" i="1"/>
  <c r="R2979" i="1"/>
  <c r="S2979" i="1"/>
  <c r="T2979" i="1"/>
  <c r="R2980" i="1"/>
  <c r="S2980" i="1"/>
  <c r="T2980" i="1"/>
  <c r="R2981" i="1"/>
  <c r="S2981" i="1"/>
  <c r="T2981" i="1"/>
  <c r="R2982" i="1"/>
  <c r="S2982" i="1"/>
  <c r="T2982" i="1"/>
  <c r="R2983" i="1"/>
  <c r="S2983" i="1"/>
  <c r="T2983" i="1"/>
  <c r="R2984" i="1"/>
  <c r="S2984" i="1"/>
  <c r="T2984" i="1"/>
  <c r="R2985" i="1"/>
  <c r="S2985" i="1"/>
  <c r="T2985" i="1"/>
  <c r="R2986" i="1"/>
  <c r="S2986" i="1"/>
  <c r="T2986" i="1"/>
  <c r="R2987" i="1"/>
  <c r="S2987" i="1"/>
  <c r="T2987" i="1"/>
  <c r="R2988" i="1"/>
  <c r="S2988" i="1"/>
  <c r="T2988" i="1"/>
  <c r="R2989" i="1"/>
  <c r="S2989" i="1"/>
  <c r="T2989" i="1"/>
  <c r="R2990" i="1"/>
  <c r="S2990" i="1"/>
  <c r="T2990" i="1"/>
  <c r="R2991" i="1"/>
  <c r="S2991" i="1"/>
  <c r="T2991" i="1"/>
  <c r="R2992" i="1"/>
  <c r="S2992" i="1"/>
  <c r="T2992" i="1"/>
  <c r="R2993" i="1"/>
  <c r="S2993" i="1"/>
  <c r="T2993" i="1"/>
  <c r="R2994" i="1"/>
  <c r="S2994" i="1"/>
  <c r="T2994" i="1"/>
  <c r="R2995" i="1"/>
  <c r="S2995" i="1"/>
  <c r="T2995" i="1"/>
  <c r="R2996" i="1"/>
  <c r="S2996" i="1"/>
  <c r="T2996" i="1"/>
  <c r="R2997" i="1"/>
  <c r="S2997" i="1"/>
  <c r="T2997" i="1"/>
  <c r="R2998" i="1"/>
  <c r="S2998" i="1"/>
  <c r="T2998" i="1"/>
  <c r="R2999" i="1"/>
  <c r="S2999" i="1"/>
  <c r="T2999" i="1"/>
  <c r="R3000" i="1"/>
  <c r="S3000" i="1"/>
  <c r="T3000" i="1"/>
  <c r="R3001" i="1"/>
  <c r="S3001" i="1"/>
  <c r="T3001" i="1"/>
  <c r="R3002" i="1"/>
  <c r="S3002" i="1"/>
  <c r="T3002" i="1"/>
  <c r="R3003" i="1"/>
  <c r="S3003" i="1"/>
  <c r="T3003" i="1"/>
  <c r="R3004" i="1"/>
  <c r="S3004" i="1"/>
  <c r="T3004" i="1"/>
  <c r="R3005" i="1"/>
  <c r="S3005" i="1"/>
  <c r="T3005" i="1"/>
  <c r="R3006" i="1"/>
  <c r="S3006" i="1"/>
  <c r="T3006" i="1"/>
  <c r="R3007" i="1"/>
  <c r="S3007" i="1"/>
  <c r="T3007" i="1"/>
  <c r="R3008" i="1"/>
  <c r="S3008" i="1"/>
  <c r="T3008" i="1"/>
  <c r="R3009" i="1"/>
  <c r="S3009" i="1"/>
  <c r="T3009" i="1"/>
  <c r="R3010" i="1"/>
  <c r="S3010" i="1"/>
  <c r="T3010" i="1"/>
  <c r="R3011" i="1"/>
  <c r="S3011" i="1"/>
  <c r="T3011" i="1"/>
  <c r="R3012" i="1"/>
  <c r="S3012" i="1"/>
  <c r="T3012" i="1"/>
  <c r="R3013" i="1"/>
  <c r="S3013" i="1"/>
  <c r="T3013" i="1"/>
  <c r="R3014" i="1"/>
  <c r="S3014" i="1"/>
  <c r="T3014" i="1"/>
  <c r="R3015" i="1"/>
  <c r="S3015" i="1"/>
  <c r="T3015" i="1"/>
  <c r="R3016" i="1"/>
  <c r="S3016" i="1"/>
  <c r="T3016" i="1"/>
  <c r="R3017" i="1"/>
  <c r="S3017" i="1"/>
  <c r="T3017" i="1"/>
  <c r="R3018" i="1"/>
  <c r="S3018" i="1"/>
  <c r="T3018" i="1"/>
  <c r="R3019" i="1"/>
  <c r="S3019" i="1"/>
  <c r="T3019" i="1"/>
  <c r="R3020" i="1"/>
  <c r="S3020" i="1"/>
  <c r="T3020" i="1"/>
  <c r="R3021" i="1"/>
  <c r="S3021" i="1"/>
  <c r="T3021" i="1"/>
  <c r="R3022" i="1"/>
  <c r="S3022" i="1"/>
  <c r="T3022" i="1"/>
  <c r="R3023" i="1"/>
  <c r="S3023" i="1"/>
  <c r="T3023" i="1"/>
  <c r="R3024" i="1"/>
  <c r="S3024" i="1"/>
  <c r="T3024" i="1"/>
  <c r="R3025" i="1"/>
  <c r="S3025" i="1"/>
  <c r="T3025" i="1"/>
  <c r="R3026" i="1"/>
  <c r="S3026" i="1"/>
  <c r="T3026" i="1"/>
  <c r="R3027" i="1"/>
  <c r="S3027" i="1"/>
  <c r="T3027" i="1"/>
  <c r="R3028" i="1"/>
  <c r="S3028" i="1"/>
  <c r="T3028" i="1"/>
  <c r="R3029" i="1"/>
  <c r="S3029" i="1"/>
  <c r="T3029" i="1"/>
  <c r="R3030" i="1"/>
  <c r="S3030" i="1"/>
  <c r="T3030" i="1"/>
  <c r="R3031" i="1"/>
  <c r="S3031" i="1"/>
  <c r="T3031" i="1"/>
  <c r="R3032" i="1"/>
  <c r="S3032" i="1"/>
  <c r="T3032" i="1"/>
  <c r="R3033" i="1"/>
  <c r="S3033" i="1"/>
  <c r="T3033" i="1"/>
  <c r="R3034" i="1"/>
  <c r="S3034" i="1"/>
  <c r="T3034" i="1"/>
  <c r="R3035" i="1"/>
  <c r="S3035" i="1"/>
  <c r="T3035" i="1"/>
  <c r="R3036" i="1"/>
  <c r="S3036" i="1"/>
  <c r="T3036" i="1"/>
  <c r="R3037" i="1"/>
  <c r="S3037" i="1"/>
  <c r="T3037" i="1"/>
  <c r="R3038" i="1"/>
  <c r="S3038" i="1"/>
  <c r="T3038" i="1"/>
  <c r="R3039" i="1"/>
  <c r="S3039" i="1"/>
  <c r="T3039" i="1"/>
  <c r="R3040" i="1"/>
  <c r="S3040" i="1"/>
  <c r="T3040" i="1"/>
  <c r="R3041" i="1"/>
  <c r="S3041" i="1"/>
  <c r="T3041" i="1"/>
  <c r="R3042" i="1"/>
  <c r="S3042" i="1"/>
  <c r="T3042" i="1"/>
  <c r="R3043" i="1"/>
  <c r="S3043" i="1"/>
  <c r="T3043" i="1"/>
  <c r="R3044" i="1"/>
  <c r="S3044" i="1"/>
  <c r="T3044" i="1"/>
  <c r="R3045" i="1"/>
  <c r="S3045" i="1"/>
  <c r="T3045" i="1"/>
  <c r="R3046" i="1"/>
  <c r="S3046" i="1"/>
  <c r="T3046" i="1"/>
  <c r="R3047" i="1"/>
  <c r="S3047" i="1"/>
  <c r="T3047" i="1"/>
  <c r="R3048" i="1"/>
  <c r="S3048" i="1"/>
  <c r="T3048" i="1"/>
  <c r="R3049" i="1"/>
  <c r="S3049" i="1"/>
  <c r="T3049" i="1"/>
  <c r="R3050" i="1"/>
  <c r="S3050" i="1"/>
  <c r="T3050" i="1"/>
  <c r="R3051" i="1"/>
  <c r="S3051" i="1"/>
  <c r="T3051" i="1"/>
  <c r="R3052" i="1"/>
  <c r="S3052" i="1"/>
  <c r="T3052" i="1"/>
  <c r="R3053" i="1"/>
  <c r="S3053" i="1"/>
  <c r="T3053" i="1"/>
  <c r="R3054" i="1"/>
  <c r="S3054" i="1"/>
  <c r="T3054" i="1"/>
  <c r="R3055" i="1"/>
  <c r="S3055" i="1"/>
  <c r="T3055" i="1"/>
  <c r="R3056" i="1"/>
  <c r="S3056" i="1"/>
  <c r="T3056" i="1"/>
  <c r="R3057" i="1"/>
  <c r="S3057" i="1"/>
  <c r="T3057" i="1"/>
  <c r="R3058" i="1"/>
  <c r="S3058" i="1"/>
  <c r="T3058" i="1"/>
  <c r="R3059" i="1"/>
  <c r="S3059" i="1"/>
  <c r="T3059" i="1"/>
  <c r="R3060" i="1"/>
  <c r="S3060" i="1"/>
  <c r="T3060" i="1"/>
  <c r="R3061" i="1"/>
  <c r="S3061" i="1"/>
  <c r="T3061" i="1"/>
  <c r="R3062" i="1"/>
  <c r="S3062" i="1"/>
  <c r="T3062" i="1"/>
  <c r="R3063" i="1"/>
  <c r="S3063" i="1"/>
  <c r="T3063" i="1"/>
  <c r="R3064" i="1"/>
  <c r="S3064" i="1"/>
  <c r="T3064" i="1"/>
  <c r="R3065" i="1"/>
  <c r="S3065" i="1"/>
  <c r="T3065" i="1"/>
  <c r="R3066" i="1"/>
  <c r="S3066" i="1"/>
  <c r="T3066" i="1"/>
  <c r="R3067" i="1"/>
  <c r="S3067" i="1"/>
  <c r="T3067" i="1"/>
  <c r="R3068" i="1"/>
  <c r="S3068" i="1"/>
  <c r="T3068" i="1"/>
  <c r="R3069" i="1"/>
  <c r="S3069" i="1"/>
  <c r="T3069" i="1"/>
  <c r="R3070" i="1"/>
  <c r="S3070" i="1"/>
  <c r="T3070" i="1"/>
  <c r="R3071" i="1"/>
  <c r="S3071" i="1"/>
  <c r="T3071" i="1"/>
  <c r="R3072" i="1"/>
  <c r="S3072" i="1"/>
  <c r="T3072" i="1"/>
  <c r="R3073" i="1"/>
  <c r="S3073" i="1"/>
  <c r="T3073" i="1"/>
  <c r="R3074" i="1"/>
  <c r="S3074" i="1"/>
  <c r="T3074" i="1"/>
  <c r="R3075" i="1"/>
  <c r="S3075" i="1"/>
  <c r="T3075" i="1"/>
  <c r="R3076" i="1"/>
  <c r="S3076" i="1"/>
  <c r="T3076" i="1"/>
  <c r="R3077" i="1"/>
  <c r="S3077" i="1"/>
  <c r="T3077" i="1"/>
  <c r="R3078" i="1"/>
  <c r="S3078" i="1"/>
  <c r="T3078" i="1"/>
  <c r="R3079" i="1"/>
  <c r="S3079" i="1"/>
  <c r="T3079" i="1"/>
  <c r="R3080" i="1"/>
  <c r="S3080" i="1"/>
  <c r="T3080" i="1"/>
  <c r="R3081" i="1"/>
  <c r="S3081" i="1"/>
  <c r="T3081" i="1"/>
  <c r="R3082" i="1"/>
  <c r="S3082" i="1"/>
  <c r="T3082" i="1"/>
  <c r="R3083" i="1"/>
  <c r="S3083" i="1"/>
  <c r="T3083" i="1"/>
  <c r="R3084" i="1"/>
  <c r="S3084" i="1"/>
  <c r="T3084" i="1"/>
  <c r="R3085" i="1"/>
  <c r="S3085" i="1"/>
  <c r="T3085" i="1"/>
  <c r="R3086" i="1"/>
  <c r="S3086" i="1"/>
  <c r="T3086" i="1"/>
  <c r="R3087" i="1"/>
  <c r="S3087" i="1"/>
  <c r="T3087" i="1"/>
  <c r="R3088" i="1"/>
  <c r="S3088" i="1"/>
  <c r="T3088" i="1"/>
  <c r="R3089" i="1"/>
  <c r="S3089" i="1"/>
  <c r="T3089" i="1"/>
  <c r="R3090" i="1"/>
  <c r="S3090" i="1"/>
  <c r="T3090" i="1"/>
  <c r="R3091" i="1"/>
  <c r="S3091" i="1"/>
  <c r="T3091" i="1"/>
  <c r="R3092" i="1"/>
  <c r="S3092" i="1"/>
  <c r="T3092" i="1"/>
  <c r="R3093" i="1"/>
  <c r="S3093" i="1"/>
  <c r="T3093" i="1"/>
  <c r="R3094" i="1"/>
  <c r="S3094" i="1"/>
  <c r="T3094" i="1"/>
  <c r="R3095" i="1"/>
  <c r="S3095" i="1"/>
  <c r="T3095" i="1"/>
  <c r="R3096" i="1"/>
  <c r="S3096" i="1"/>
  <c r="T3096" i="1"/>
  <c r="R3097" i="1"/>
  <c r="S3097" i="1"/>
  <c r="T3097" i="1"/>
  <c r="R3098" i="1"/>
  <c r="S3098" i="1"/>
  <c r="T3098" i="1"/>
  <c r="R3099" i="1"/>
  <c r="S3099" i="1"/>
  <c r="T3099" i="1"/>
  <c r="R3100" i="1"/>
  <c r="S3100" i="1"/>
  <c r="T3100" i="1"/>
  <c r="R3101" i="1"/>
  <c r="S3101" i="1"/>
  <c r="T3101" i="1"/>
  <c r="R3102" i="1"/>
  <c r="S3102" i="1"/>
  <c r="T3102" i="1"/>
  <c r="R3103" i="1"/>
  <c r="S3103" i="1"/>
  <c r="T3103" i="1"/>
  <c r="R3104" i="1"/>
  <c r="S3104" i="1"/>
  <c r="T3104" i="1"/>
  <c r="R3105" i="1"/>
  <c r="S3105" i="1"/>
  <c r="T3105" i="1"/>
  <c r="R3106" i="1"/>
  <c r="S3106" i="1"/>
  <c r="T3106" i="1"/>
  <c r="R3107" i="1"/>
  <c r="S3107" i="1"/>
  <c r="T3107" i="1"/>
  <c r="R3108" i="1"/>
  <c r="S3108" i="1"/>
  <c r="T3108" i="1"/>
  <c r="R3109" i="1"/>
  <c r="S3109" i="1"/>
  <c r="T3109" i="1"/>
  <c r="R3110" i="1"/>
  <c r="S3110" i="1"/>
  <c r="T3110" i="1"/>
  <c r="R3111" i="1"/>
  <c r="S3111" i="1"/>
  <c r="T3111" i="1"/>
  <c r="R3112" i="1"/>
  <c r="S3112" i="1"/>
  <c r="T3112" i="1"/>
  <c r="R3113" i="1"/>
  <c r="S3113" i="1"/>
  <c r="T3113" i="1"/>
  <c r="R3114" i="1"/>
  <c r="S3114" i="1"/>
  <c r="T3114" i="1"/>
  <c r="R3115" i="1"/>
  <c r="S3115" i="1"/>
  <c r="T3115" i="1"/>
  <c r="R3116" i="1"/>
  <c r="S3116" i="1"/>
  <c r="T3116" i="1"/>
  <c r="R3117" i="1"/>
  <c r="S3117" i="1"/>
  <c r="T3117" i="1"/>
  <c r="R3118" i="1"/>
  <c r="S3118" i="1"/>
  <c r="T3118" i="1"/>
  <c r="R3119" i="1"/>
  <c r="S3119" i="1"/>
  <c r="T3119" i="1"/>
  <c r="R3120" i="1"/>
  <c r="S3120" i="1"/>
  <c r="T3120" i="1"/>
  <c r="R3121" i="1"/>
  <c r="S3121" i="1"/>
  <c r="T3121" i="1"/>
  <c r="R3122" i="1"/>
  <c r="S3122" i="1"/>
  <c r="T3122" i="1"/>
  <c r="R3123" i="1"/>
  <c r="S3123" i="1"/>
  <c r="T3123" i="1"/>
  <c r="R3124" i="1"/>
  <c r="S3124" i="1"/>
  <c r="T3124" i="1"/>
  <c r="R3125" i="1"/>
  <c r="S3125" i="1"/>
  <c r="T3125" i="1"/>
  <c r="R3126" i="1"/>
  <c r="S3126" i="1"/>
  <c r="T3126" i="1"/>
  <c r="R3127" i="1"/>
  <c r="S3127" i="1"/>
  <c r="T3127" i="1"/>
  <c r="R3128" i="1"/>
  <c r="S3128" i="1"/>
  <c r="T3128" i="1"/>
  <c r="R3129" i="1"/>
  <c r="S3129" i="1"/>
  <c r="T3129" i="1"/>
  <c r="R3130" i="1"/>
  <c r="S3130" i="1"/>
  <c r="T3130" i="1"/>
  <c r="R3131" i="1"/>
  <c r="S3131" i="1"/>
  <c r="T3131" i="1"/>
  <c r="R3132" i="1"/>
  <c r="S3132" i="1"/>
  <c r="T3132" i="1"/>
  <c r="R3133" i="1"/>
  <c r="S3133" i="1"/>
  <c r="T3133" i="1"/>
  <c r="R3134" i="1"/>
  <c r="S3134" i="1"/>
  <c r="T3134" i="1"/>
  <c r="R3135" i="1"/>
  <c r="S3135" i="1"/>
  <c r="T3135" i="1"/>
  <c r="R3136" i="1"/>
  <c r="S3136" i="1"/>
  <c r="T3136" i="1"/>
  <c r="R3137" i="1"/>
  <c r="S3137" i="1"/>
  <c r="T3137" i="1"/>
  <c r="R3138" i="1"/>
  <c r="S3138" i="1"/>
  <c r="T3138" i="1"/>
  <c r="R3139" i="1"/>
  <c r="S3139" i="1"/>
  <c r="T3139" i="1"/>
  <c r="R3140" i="1"/>
  <c r="S3140" i="1"/>
  <c r="T3140" i="1"/>
  <c r="R3141" i="1"/>
  <c r="S3141" i="1"/>
  <c r="T3141" i="1"/>
  <c r="R3142" i="1"/>
  <c r="S3142" i="1"/>
  <c r="T3142" i="1"/>
  <c r="R3143" i="1"/>
  <c r="S3143" i="1"/>
  <c r="T3143" i="1"/>
  <c r="R3144" i="1"/>
  <c r="S3144" i="1"/>
  <c r="T3144" i="1"/>
  <c r="R3145" i="1"/>
  <c r="S3145" i="1"/>
  <c r="T3145" i="1"/>
  <c r="R3146" i="1"/>
  <c r="S3146" i="1"/>
  <c r="T3146" i="1"/>
  <c r="R3147" i="1"/>
  <c r="S3147" i="1"/>
  <c r="T3147" i="1"/>
  <c r="R3148" i="1"/>
  <c r="S3148" i="1"/>
  <c r="T3148" i="1"/>
  <c r="R3149" i="1"/>
  <c r="S3149" i="1"/>
  <c r="T3149" i="1"/>
  <c r="R3150" i="1"/>
  <c r="S3150" i="1"/>
  <c r="T3150" i="1"/>
  <c r="R3151" i="1"/>
  <c r="S3151" i="1"/>
  <c r="T3151" i="1"/>
  <c r="R3152" i="1"/>
  <c r="S3152" i="1"/>
  <c r="T3152" i="1"/>
  <c r="R3153" i="1"/>
  <c r="S3153" i="1"/>
  <c r="T3153" i="1"/>
  <c r="R3154" i="1"/>
  <c r="S3154" i="1"/>
  <c r="T3154" i="1"/>
  <c r="R3155" i="1"/>
  <c r="S3155" i="1"/>
  <c r="T3155" i="1"/>
  <c r="R3156" i="1"/>
  <c r="S3156" i="1"/>
  <c r="T3156" i="1"/>
  <c r="R3157" i="1"/>
  <c r="S3157" i="1"/>
  <c r="T3157" i="1"/>
  <c r="R3158" i="1"/>
  <c r="S3158" i="1"/>
  <c r="T3158" i="1"/>
  <c r="R3159" i="1"/>
  <c r="S3159" i="1"/>
  <c r="T3159" i="1"/>
  <c r="R3160" i="1"/>
  <c r="S3160" i="1"/>
  <c r="T3160" i="1"/>
  <c r="R3161" i="1"/>
  <c r="S3161" i="1"/>
  <c r="T3161" i="1"/>
  <c r="R3162" i="1"/>
  <c r="S3162" i="1"/>
  <c r="T3162" i="1"/>
  <c r="R3163" i="1"/>
  <c r="S3163" i="1"/>
  <c r="T3163" i="1"/>
  <c r="R3164" i="1"/>
  <c r="S3164" i="1"/>
  <c r="T3164" i="1"/>
  <c r="R3165" i="1"/>
  <c r="S3165" i="1"/>
  <c r="T3165" i="1"/>
  <c r="R3166" i="1"/>
  <c r="S3166" i="1"/>
  <c r="T3166" i="1"/>
  <c r="R3167" i="1"/>
  <c r="S3167" i="1"/>
  <c r="T3167" i="1"/>
  <c r="R3168" i="1"/>
  <c r="S3168" i="1"/>
  <c r="T3168" i="1"/>
  <c r="R3169" i="1"/>
  <c r="S3169" i="1"/>
  <c r="T3169" i="1"/>
  <c r="R3170" i="1"/>
  <c r="S3170" i="1"/>
  <c r="T3170" i="1"/>
  <c r="R3171" i="1"/>
  <c r="S3171" i="1"/>
  <c r="T3171" i="1"/>
  <c r="R3172" i="1"/>
  <c r="S3172" i="1"/>
  <c r="T3172" i="1"/>
  <c r="R3173" i="1"/>
  <c r="S3173" i="1"/>
  <c r="T3173" i="1"/>
  <c r="R3174" i="1"/>
  <c r="S3174" i="1"/>
  <c r="T3174" i="1"/>
  <c r="R3175" i="1"/>
  <c r="S3175" i="1"/>
  <c r="T3175" i="1"/>
  <c r="R3176" i="1"/>
  <c r="S3176" i="1"/>
  <c r="T3176" i="1"/>
  <c r="R3177" i="1"/>
  <c r="S3177" i="1"/>
  <c r="T3177" i="1"/>
  <c r="R3178" i="1"/>
  <c r="S3178" i="1"/>
  <c r="T3178" i="1"/>
  <c r="R3179" i="1"/>
  <c r="S3179" i="1"/>
  <c r="T3179" i="1"/>
  <c r="R3180" i="1"/>
  <c r="S3180" i="1"/>
  <c r="T3180" i="1"/>
  <c r="R3181" i="1"/>
  <c r="S3181" i="1"/>
  <c r="T3181" i="1"/>
  <c r="R3182" i="1"/>
  <c r="S3182" i="1"/>
  <c r="T3182" i="1"/>
  <c r="R3183" i="1"/>
  <c r="S3183" i="1"/>
  <c r="T3183" i="1"/>
  <c r="R3184" i="1"/>
  <c r="S3184" i="1"/>
  <c r="T3184" i="1"/>
  <c r="R3185" i="1"/>
  <c r="S3185" i="1"/>
  <c r="T3185" i="1"/>
  <c r="R3186" i="1"/>
  <c r="S3186" i="1"/>
  <c r="T3186" i="1"/>
  <c r="R3187" i="1"/>
  <c r="S3187" i="1"/>
  <c r="T3187" i="1"/>
  <c r="R3188" i="1"/>
  <c r="S3188" i="1"/>
  <c r="T3188" i="1"/>
  <c r="R3189" i="1"/>
  <c r="S3189" i="1"/>
  <c r="T3189" i="1"/>
  <c r="R3190" i="1"/>
  <c r="S3190" i="1"/>
  <c r="T3190" i="1"/>
  <c r="R3191" i="1"/>
  <c r="S3191" i="1"/>
  <c r="T3191" i="1"/>
  <c r="R3192" i="1"/>
  <c r="S3192" i="1"/>
  <c r="T3192" i="1"/>
  <c r="R3193" i="1"/>
  <c r="S3193" i="1"/>
  <c r="T3193" i="1"/>
  <c r="R3194" i="1"/>
  <c r="S3194" i="1"/>
  <c r="T3194" i="1"/>
  <c r="R3195" i="1"/>
  <c r="S3195" i="1"/>
  <c r="T3195" i="1"/>
  <c r="R3196" i="1"/>
  <c r="S3196" i="1"/>
  <c r="T3196" i="1"/>
  <c r="R3197" i="1"/>
  <c r="S3197" i="1"/>
  <c r="T3197" i="1"/>
  <c r="R3198" i="1"/>
  <c r="S3198" i="1"/>
  <c r="T3198" i="1"/>
  <c r="R3199" i="1"/>
  <c r="S3199" i="1"/>
  <c r="T3199" i="1"/>
  <c r="R3200" i="1"/>
  <c r="S3200" i="1"/>
  <c r="T3200" i="1"/>
  <c r="R3201" i="1"/>
  <c r="S3201" i="1"/>
  <c r="T3201" i="1"/>
  <c r="R3202" i="1"/>
  <c r="S3202" i="1"/>
  <c r="T3202" i="1"/>
  <c r="R3203" i="1"/>
  <c r="S3203" i="1"/>
  <c r="T3203" i="1"/>
  <c r="R3204" i="1"/>
  <c r="S3204" i="1"/>
  <c r="T3204" i="1"/>
  <c r="R3205" i="1"/>
  <c r="S3205" i="1"/>
  <c r="T3205" i="1"/>
  <c r="R3206" i="1"/>
  <c r="S3206" i="1"/>
  <c r="T3206" i="1"/>
  <c r="R3207" i="1"/>
  <c r="S3207" i="1"/>
  <c r="T3207" i="1"/>
  <c r="R3208" i="1"/>
  <c r="S3208" i="1"/>
  <c r="T3208" i="1"/>
  <c r="R3209" i="1"/>
  <c r="S3209" i="1"/>
  <c r="T3209" i="1"/>
  <c r="R3210" i="1"/>
  <c r="S3210" i="1"/>
  <c r="T3210" i="1"/>
  <c r="R3211" i="1"/>
  <c r="S3211" i="1"/>
  <c r="T3211" i="1"/>
  <c r="R3212" i="1"/>
  <c r="S3212" i="1"/>
  <c r="T3212" i="1"/>
  <c r="R3213" i="1"/>
  <c r="S3213" i="1"/>
  <c r="T3213" i="1"/>
  <c r="R3214" i="1"/>
  <c r="S3214" i="1"/>
  <c r="T3214" i="1"/>
  <c r="R3215" i="1"/>
  <c r="S3215" i="1"/>
  <c r="T3215" i="1"/>
  <c r="R3216" i="1"/>
  <c r="S3216" i="1"/>
  <c r="T3216" i="1"/>
  <c r="R3217" i="1"/>
  <c r="S3217" i="1"/>
  <c r="T3217" i="1"/>
  <c r="R3218" i="1"/>
  <c r="S3218" i="1"/>
  <c r="T3218" i="1"/>
  <c r="R3219" i="1"/>
  <c r="S3219" i="1"/>
  <c r="T3219" i="1"/>
  <c r="R3220" i="1"/>
  <c r="S3220" i="1"/>
  <c r="T3220" i="1"/>
  <c r="R3221" i="1"/>
  <c r="S3221" i="1"/>
  <c r="T3221" i="1"/>
  <c r="R3222" i="1"/>
  <c r="S3222" i="1"/>
  <c r="T3222" i="1"/>
  <c r="R3223" i="1"/>
  <c r="S3223" i="1"/>
  <c r="T3223" i="1"/>
  <c r="R3224" i="1"/>
  <c r="S3224" i="1"/>
  <c r="T3224" i="1"/>
  <c r="R3225" i="1"/>
  <c r="S3225" i="1"/>
  <c r="T3225" i="1"/>
  <c r="R3226" i="1"/>
  <c r="S3226" i="1"/>
  <c r="T3226" i="1"/>
  <c r="R3227" i="1"/>
  <c r="S3227" i="1"/>
  <c r="T3227" i="1"/>
  <c r="R3228" i="1"/>
  <c r="S3228" i="1"/>
  <c r="T3228" i="1"/>
  <c r="R3229" i="1"/>
  <c r="S3229" i="1"/>
  <c r="T3229" i="1"/>
  <c r="R3230" i="1"/>
  <c r="S3230" i="1"/>
  <c r="T3230" i="1"/>
  <c r="R3231" i="1"/>
  <c r="S3231" i="1"/>
  <c r="T3231" i="1"/>
  <c r="R3232" i="1"/>
  <c r="S3232" i="1"/>
  <c r="T3232" i="1"/>
  <c r="R3233" i="1"/>
  <c r="S3233" i="1"/>
  <c r="T3233" i="1"/>
  <c r="R3234" i="1"/>
  <c r="S3234" i="1"/>
  <c r="T3234" i="1"/>
  <c r="R3235" i="1"/>
  <c r="S3235" i="1"/>
  <c r="T3235" i="1"/>
  <c r="R3236" i="1"/>
  <c r="S3236" i="1"/>
  <c r="T3236" i="1"/>
  <c r="R3237" i="1"/>
  <c r="S3237" i="1"/>
  <c r="T3237" i="1"/>
  <c r="R3238" i="1"/>
  <c r="S3238" i="1"/>
  <c r="T3238" i="1"/>
  <c r="R3239" i="1"/>
  <c r="S3239" i="1"/>
  <c r="T3239" i="1"/>
  <c r="R3240" i="1"/>
  <c r="S3240" i="1"/>
  <c r="T3240" i="1"/>
  <c r="R3241" i="1"/>
  <c r="S3241" i="1"/>
  <c r="T3241" i="1"/>
  <c r="R3242" i="1"/>
  <c r="S3242" i="1"/>
  <c r="T3242" i="1"/>
  <c r="R3243" i="1"/>
  <c r="S3243" i="1"/>
  <c r="T3243" i="1"/>
  <c r="R3244" i="1"/>
  <c r="S3244" i="1"/>
  <c r="T3244" i="1"/>
  <c r="R3245" i="1"/>
  <c r="S3245" i="1"/>
  <c r="T3245" i="1"/>
  <c r="R3246" i="1"/>
  <c r="S3246" i="1"/>
  <c r="T3246" i="1"/>
  <c r="R3247" i="1"/>
  <c r="S3247" i="1"/>
  <c r="T3247" i="1"/>
  <c r="R3248" i="1"/>
  <c r="S3248" i="1"/>
  <c r="T3248" i="1"/>
  <c r="R3249" i="1"/>
  <c r="S3249" i="1"/>
  <c r="T3249" i="1"/>
  <c r="R3250" i="1"/>
  <c r="S3250" i="1"/>
  <c r="T3250" i="1"/>
  <c r="R3251" i="1"/>
  <c r="S3251" i="1"/>
  <c r="T3251" i="1"/>
  <c r="R3252" i="1"/>
  <c r="S3252" i="1"/>
  <c r="T3252" i="1"/>
  <c r="R3253" i="1"/>
  <c r="S3253" i="1"/>
  <c r="T3253" i="1"/>
  <c r="R3254" i="1"/>
  <c r="S3254" i="1"/>
  <c r="T3254" i="1"/>
  <c r="R3255" i="1"/>
  <c r="S3255" i="1"/>
  <c r="T3255" i="1"/>
  <c r="R3256" i="1"/>
  <c r="S3256" i="1"/>
  <c r="T3256" i="1"/>
  <c r="R3257" i="1"/>
  <c r="S3257" i="1"/>
  <c r="T3257" i="1"/>
  <c r="R3258" i="1"/>
  <c r="S3258" i="1"/>
  <c r="T3258" i="1"/>
  <c r="R3259" i="1"/>
  <c r="S3259" i="1"/>
  <c r="T3259" i="1"/>
  <c r="R3260" i="1"/>
  <c r="S3260" i="1"/>
  <c r="T3260" i="1"/>
  <c r="R3261" i="1"/>
  <c r="S3261" i="1"/>
  <c r="T3261" i="1"/>
  <c r="R3262" i="1"/>
  <c r="S3262" i="1"/>
  <c r="T3262" i="1"/>
  <c r="R3263" i="1"/>
  <c r="S3263" i="1"/>
  <c r="T3263" i="1"/>
  <c r="R3264" i="1"/>
  <c r="S3264" i="1"/>
  <c r="T3264" i="1"/>
  <c r="R3265" i="1"/>
  <c r="S3265" i="1"/>
  <c r="T3265" i="1"/>
  <c r="R3266" i="1"/>
  <c r="S3266" i="1"/>
  <c r="T3266" i="1"/>
  <c r="R3267" i="1"/>
  <c r="S3267" i="1"/>
  <c r="T3267" i="1"/>
  <c r="R3268" i="1"/>
  <c r="S3268" i="1"/>
  <c r="T3268" i="1"/>
  <c r="R3269" i="1"/>
  <c r="S3269" i="1"/>
  <c r="T3269" i="1"/>
  <c r="R3270" i="1"/>
  <c r="S3270" i="1"/>
  <c r="T3270" i="1"/>
  <c r="R3271" i="1"/>
  <c r="S3271" i="1"/>
  <c r="T3271" i="1"/>
  <c r="R3272" i="1"/>
  <c r="S3272" i="1"/>
  <c r="T3272" i="1"/>
  <c r="R3273" i="1"/>
  <c r="S3273" i="1"/>
  <c r="T3273" i="1"/>
  <c r="R3274" i="1"/>
  <c r="S3274" i="1"/>
  <c r="T3274" i="1"/>
  <c r="R3275" i="1"/>
  <c r="S3275" i="1"/>
  <c r="T3275" i="1"/>
  <c r="R3276" i="1"/>
  <c r="S3276" i="1"/>
  <c r="T3276" i="1"/>
  <c r="R3277" i="1"/>
  <c r="S3277" i="1"/>
  <c r="T3277" i="1"/>
  <c r="R3278" i="1"/>
  <c r="S3278" i="1"/>
  <c r="T3278" i="1"/>
  <c r="R3279" i="1"/>
  <c r="S3279" i="1"/>
  <c r="T3279" i="1"/>
  <c r="R3280" i="1"/>
  <c r="S3280" i="1"/>
  <c r="T3280" i="1"/>
  <c r="R3281" i="1"/>
  <c r="S3281" i="1"/>
  <c r="T3281" i="1"/>
  <c r="R3282" i="1"/>
  <c r="S3282" i="1"/>
  <c r="T3282" i="1"/>
  <c r="R3283" i="1"/>
  <c r="S3283" i="1"/>
  <c r="T3283" i="1"/>
  <c r="R3284" i="1"/>
  <c r="S3284" i="1"/>
  <c r="T3284" i="1"/>
  <c r="R3285" i="1"/>
  <c r="S3285" i="1"/>
  <c r="T3285" i="1"/>
  <c r="R3286" i="1"/>
  <c r="S3286" i="1"/>
  <c r="T3286" i="1"/>
  <c r="R3287" i="1"/>
  <c r="S3287" i="1"/>
  <c r="T3287" i="1"/>
  <c r="R3288" i="1"/>
  <c r="S3288" i="1"/>
  <c r="T3288" i="1"/>
  <c r="R3289" i="1"/>
  <c r="S3289" i="1"/>
  <c r="T3289" i="1"/>
  <c r="R3290" i="1"/>
  <c r="S3290" i="1"/>
  <c r="T3290" i="1"/>
  <c r="R3291" i="1"/>
  <c r="S3291" i="1"/>
  <c r="T3291" i="1"/>
  <c r="R3292" i="1"/>
  <c r="S3292" i="1"/>
  <c r="T3292" i="1"/>
  <c r="R3293" i="1"/>
  <c r="S3293" i="1"/>
  <c r="T3293" i="1"/>
  <c r="R3294" i="1"/>
  <c r="S3294" i="1"/>
  <c r="T3294" i="1"/>
  <c r="R3295" i="1"/>
  <c r="S3295" i="1"/>
  <c r="T3295" i="1"/>
  <c r="R3296" i="1"/>
  <c r="S3296" i="1"/>
  <c r="T3296" i="1"/>
  <c r="R3297" i="1"/>
  <c r="S3297" i="1"/>
  <c r="T3297" i="1"/>
  <c r="R3298" i="1"/>
  <c r="S3298" i="1"/>
  <c r="T3298" i="1"/>
  <c r="R3299" i="1"/>
  <c r="S3299" i="1"/>
  <c r="T3299" i="1"/>
  <c r="R3300" i="1"/>
  <c r="S3300" i="1"/>
  <c r="T3300" i="1"/>
  <c r="R3301" i="1"/>
  <c r="S3301" i="1"/>
  <c r="T3301" i="1"/>
  <c r="R3302" i="1"/>
  <c r="S3302" i="1"/>
  <c r="T3302" i="1"/>
  <c r="R3303" i="1"/>
  <c r="S3303" i="1"/>
  <c r="T3303" i="1"/>
  <c r="R3304" i="1"/>
  <c r="S3304" i="1"/>
  <c r="T3304" i="1"/>
  <c r="R3305" i="1"/>
  <c r="S3305" i="1"/>
  <c r="T3305" i="1"/>
  <c r="R3306" i="1"/>
  <c r="S3306" i="1"/>
  <c r="T3306" i="1"/>
  <c r="R3307" i="1"/>
  <c r="S3307" i="1"/>
  <c r="T3307" i="1"/>
  <c r="R3308" i="1"/>
  <c r="S3308" i="1"/>
  <c r="T3308" i="1"/>
  <c r="R3309" i="1"/>
  <c r="S3309" i="1"/>
  <c r="T3309" i="1"/>
  <c r="R3310" i="1"/>
  <c r="S3310" i="1"/>
  <c r="T3310" i="1"/>
  <c r="R3311" i="1"/>
  <c r="S3311" i="1"/>
  <c r="T3311" i="1"/>
  <c r="R3312" i="1"/>
  <c r="S3312" i="1"/>
  <c r="T3312" i="1"/>
  <c r="R3313" i="1"/>
  <c r="S3313" i="1"/>
  <c r="T3313" i="1"/>
  <c r="R3314" i="1"/>
  <c r="S3314" i="1"/>
  <c r="T3314" i="1"/>
  <c r="R3315" i="1"/>
  <c r="S3315" i="1"/>
  <c r="T3315" i="1"/>
  <c r="R3316" i="1"/>
  <c r="S3316" i="1"/>
  <c r="T3316" i="1"/>
  <c r="R3317" i="1"/>
  <c r="S3317" i="1"/>
  <c r="T3317" i="1"/>
  <c r="R3318" i="1"/>
  <c r="S3318" i="1"/>
  <c r="T3318" i="1"/>
  <c r="R3319" i="1"/>
  <c r="S3319" i="1"/>
  <c r="T3319" i="1"/>
  <c r="R3320" i="1"/>
  <c r="S3320" i="1"/>
  <c r="T3320" i="1"/>
  <c r="R3321" i="1"/>
  <c r="S3321" i="1"/>
  <c r="T3321" i="1"/>
  <c r="R3322" i="1"/>
  <c r="S3322" i="1"/>
  <c r="T3322" i="1"/>
  <c r="R3323" i="1"/>
  <c r="S3323" i="1"/>
  <c r="T3323" i="1"/>
  <c r="R3324" i="1"/>
  <c r="S3324" i="1"/>
  <c r="T3324" i="1"/>
  <c r="R3325" i="1"/>
  <c r="S3325" i="1"/>
  <c r="T3325" i="1"/>
  <c r="R3326" i="1"/>
  <c r="S3326" i="1"/>
  <c r="T3326" i="1"/>
  <c r="R3327" i="1"/>
  <c r="S3327" i="1"/>
  <c r="T3327" i="1"/>
  <c r="R3328" i="1"/>
  <c r="S3328" i="1"/>
  <c r="T3328" i="1"/>
  <c r="R3329" i="1"/>
  <c r="S3329" i="1"/>
  <c r="T3329" i="1"/>
  <c r="R3330" i="1"/>
  <c r="S3330" i="1"/>
  <c r="T3330" i="1"/>
  <c r="R3331" i="1"/>
  <c r="S3331" i="1"/>
  <c r="T3331" i="1"/>
  <c r="R3332" i="1"/>
  <c r="S3332" i="1"/>
  <c r="T3332" i="1"/>
  <c r="R3333" i="1"/>
  <c r="S3333" i="1"/>
  <c r="T3333" i="1"/>
  <c r="R3334" i="1"/>
  <c r="S3334" i="1"/>
  <c r="T3334" i="1"/>
  <c r="R3335" i="1"/>
  <c r="S3335" i="1"/>
  <c r="T3335" i="1"/>
  <c r="R3336" i="1"/>
  <c r="S3336" i="1"/>
  <c r="T3336" i="1"/>
  <c r="R3337" i="1"/>
  <c r="S3337" i="1"/>
  <c r="T3337" i="1"/>
  <c r="R3338" i="1"/>
  <c r="S3338" i="1"/>
  <c r="T3338" i="1"/>
  <c r="R3339" i="1"/>
  <c r="S3339" i="1"/>
  <c r="T3339" i="1"/>
  <c r="R3340" i="1"/>
  <c r="S3340" i="1"/>
  <c r="T3340" i="1"/>
  <c r="R3341" i="1"/>
  <c r="S3341" i="1"/>
  <c r="T3341" i="1"/>
  <c r="R3342" i="1"/>
  <c r="S3342" i="1"/>
  <c r="T3342" i="1"/>
  <c r="R3343" i="1"/>
  <c r="S3343" i="1"/>
  <c r="T3343" i="1"/>
  <c r="R3344" i="1"/>
  <c r="S3344" i="1"/>
  <c r="T3344" i="1"/>
  <c r="R3345" i="1"/>
  <c r="S3345" i="1"/>
  <c r="T3345" i="1"/>
  <c r="R3346" i="1"/>
  <c r="S3346" i="1"/>
  <c r="T3346" i="1"/>
  <c r="R3347" i="1"/>
  <c r="S3347" i="1"/>
  <c r="T3347" i="1"/>
  <c r="R3348" i="1"/>
  <c r="S3348" i="1"/>
  <c r="T3348" i="1"/>
  <c r="R3349" i="1"/>
  <c r="S3349" i="1"/>
  <c r="T3349" i="1"/>
  <c r="R3350" i="1"/>
  <c r="S3350" i="1"/>
  <c r="T3350" i="1"/>
  <c r="R3351" i="1"/>
  <c r="S3351" i="1"/>
  <c r="T3351" i="1"/>
  <c r="R3352" i="1"/>
  <c r="S3352" i="1"/>
  <c r="T3352" i="1"/>
  <c r="R3353" i="1"/>
  <c r="S3353" i="1"/>
  <c r="T3353" i="1"/>
  <c r="R3354" i="1"/>
  <c r="S3354" i="1"/>
  <c r="T3354" i="1"/>
  <c r="R3355" i="1"/>
  <c r="S3355" i="1"/>
  <c r="T3355" i="1"/>
  <c r="R3356" i="1"/>
  <c r="S3356" i="1"/>
  <c r="T3356" i="1"/>
  <c r="R3357" i="1"/>
  <c r="S3357" i="1"/>
  <c r="T3357" i="1"/>
  <c r="R3358" i="1"/>
  <c r="S3358" i="1"/>
  <c r="T3358" i="1"/>
  <c r="R3359" i="1"/>
  <c r="S3359" i="1"/>
  <c r="T3359" i="1"/>
  <c r="R3360" i="1"/>
  <c r="S3360" i="1"/>
  <c r="T3360" i="1"/>
  <c r="R3361" i="1"/>
  <c r="S3361" i="1"/>
  <c r="T3361" i="1"/>
  <c r="R3362" i="1"/>
  <c r="S3362" i="1"/>
  <c r="T3362" i="1"/>
  <c r="R3363" i="1"/>
  <c r="S3363" i="1"/>
  <c r="T3363" i="1"/>
  <c r="R3364" i="1"/>
  <c r="S3364" i="1"/>
  <c r="T3364" i="1"/>
  <c r="R3365" i="1"/>
  <c r="S3365" i="1"/>
  <c r="T3365" i="1"/>
  <c r="R3366" i="1"/>
  <c r="S3366" i="1"/>
  <c r="T3366" i="1"/>
  <c r="R3367" i="1"/>
  <c r="S3367" i="1"/>
  <c r="T3367" i="1"/>
  <c r="R3368" i="1"/>
  <c r="S3368" i="1"/>
  <c r="T3368" i="1"/>
  <c r="R3369" i="1"/>
  <c r="S3369" i="1"/>
  <c r="T3369" i="1"/>
  <c r="R3370" i="1"/>
  <c r="S3370" i="1"/>
  <c r="T3370" i="1"/>
  <c r="R3371" i="1"/>
  <c r="S3371" i="1"/>
  <c r="T3371" i="1"/>
  <c r="R3372" i="1"/>
  <c r="S3372" i="1"/>
  <c r="T3372" i="1"/>
  <c r="R3373" i="1"/>
  <c r="S3373" i="1"/>
  <c r="T3373" i="1"/>
  <c r="R3374" i="1"/>
  <c r="S3374" i="1"/>
  <c r="T3374" i="1"/>
  <c r="R3375" i="1"/>
  <c r="S3375" i="1"/>
  <c r="T3375" i="1"/>
  <c r="R3376" i="1"/>
  <c r="S3376" i="1"/>
  <c r="T3376" i="1"/>
  <c r="R3377" i="1"/>
  <c r="S3377" i="1"/>
  <c r="T3377" i="1"/>
  <c r="R3378" i="1"/>
  <c r="S3378" i="1"/>
  <c r="T3378" i="1"/>
  <c r="R3379" i="1"/>
  <c r="S3379" i="1"/>
  <c r="T3379" i="1"/>
  <c r="R3380" i="1"/>
  <c r="S3380" i="1"/>
  <c r="T3380" i="1"/>
  <c r="R3381" i="1"/>
  <c r="S3381" i="1"/>
  <c r="T3381" i="1"/>
  <c r="R3382" i="1"/>
  <c r="S3382" i="1"/>
  <c r="T3382" i="1"/>
  <c r="R3383" i="1"/>
  <c r="S3383" i="1"/>
  <c r="T3383" i="1"/>
  <c r="R3384" i="1"/>
  <c r="S3384" i="1"/>
  <c r="T3384" i="1"/>
  <c r="R3385" i="1"/>
  <c r="S3385" i="1"/>
  <c r="T3385" i="1"/>
  <c r="R3386" i="1"/>
  <c r="S3386" i="1"/>
  <c r="T3386" i="1"/>
  <c r="R3387" i="1"/>
  <c r="S3387" i="1"/>
  <c r="T3387" i="1"/>
  <c r="R3388" i="1"/>
  <c r="S3388" i="1"/>
  <c r="T3388" i="1"/>
  <c r="R3389" i="1"/>
  <c r="S3389" i="1"/>
  <c r="T3389" i="1"/>
  <c r="R3390" i="1"/>
  <c r="S3390" i="1"/>
  <c r="T3390" i="1"/>
  <c r="R3391" i="1"/>
  <c r="S3391" i="1"/>
  <c r="T3391" i="1"/>
  <c r="R3392" i="1"/>
  <c r="S3392" i="1"/>
  <c r="T3392" i="1"/>
  <c r="R3393" i="1"/>
  <c r="S3393" i="1"/>
  <c r="T3393" i="1"/>
  <c r="R3394" i="1"/>
  <c r="S3394" i="1"/>
  <c r="T3394" i="1"/>
  <c r="R3395" i="1"/>
  <c r="S3395" i="1"/>
  <c r="T3395" i="1"/>
  <c r="R3396" i="1"/>
  <c r="S3396" i="1"/>
  <c r="T3396" i="1"/>
  <c r="R3397" i="1"/>
  <c r="S3397" i="1"/>
  <c r="T3397" i="1"/>
  <c r="R3398" i="1"/>
  <c r="S3398" i="1"/>
  <c r="T3398" i="1"/>
  <c r="R3399" i="1"/>
  <c r="S3399" i="1"/>
  <c r="T3399" i="1"/>
  <c r="R3400" i="1"/>
  <c r="S3400" i="1"/>
  <c r="T3400" i="1"/>
  <c r="R3401" i="1"/>
  <c r="S3401" i="1"/>
  <c r="T3401" i="1"/>
  <c r="R3402" i="1"/>
  <c r="S3402" i="1"/>
  <c r="T3402" i="1"/>
  <c r="R3403" i="1"/>
  <c r="S3403" i="1"/>
  <c r="T3403" i="1"/>
  <c r="R3404" i="1"/>
  <c r="S3404" i="1"/>
  <c r="T3404" i="1"/>
  <c r="R3405" i="1"/>
  <c r="S3405" i="1"/>
  <c r="T3405" i="1"/>
  <c r="R3406" i="1"/>
  <c r="S3406" i="1"/>
  <c r="T3406" i="1"/>
  <c r="R3407" i="1"/>
  <c r="S3407" i="1"/>
  <c r="T3407" i="1"/>
  <c r="R3408" i="1"/>
  <c r="S3408" i="1"/>
  <c r="T3408" i="1"/>
  <c r="R3409" i="1"/>
  <c r="S3409" i="1"/>
  <c r="T3409" i="1"/>
  <c r="R3410" i="1"/>
  <c r="S3410" i="1"/>
  <c r="T3410" i="1"/>
  <c r="R3411" i="1"/>
  <c r="S3411" i="1"/>
  <c r="T3411" i="1"/>
  <c r="R3412" i="1"/>
  <c r="S3412" i="1"/>
  <c r="T3412" i="1"/>
  <c r="R3413" i="1"/>
  <c r="S3413" i="1"/>
  <c r="T3413" i="1"/>
  <c r="R3414" i="1"/>
  <c r="S3414" i="1"/>
  <c r="T3414" i="1"/>
  <c r="R3415" i="1"/>
  <c r="S3415" i="1"/>
  <c r="T3415" i="1"/>
  <c r="R3416" i="1"/>
  <c r="S3416" i="1"/>
  <c r="T3416" i="1"/>
  <c r="R3417" i="1"/>
  <c r="S3417" i="1"/>
  <c r="T3417" i="1"/>
  <c r="R3418" i="1"/>
  <c r="S3418" i="1"/>
  <c r="T3418" i="1"/>
  <c r="R3419" i="1"/>
  <c r="S3419" i="1"/>
  <c r="T3419" i="1"/>
  <c r="R3420" i="1"/>
  <c r="S3420" i="1"/>
  <c r="T3420" i="1"/>
  <c r="R3421" i="1"/>
  <c r="S3421" i="1"/>
  <c r="T3421" i="1"/>
  <c r="R3422" i="1"/>
  <c r="S3422" i="1"/>
  <c r="T3422" i="1"/>
  <c r="R3423" i="1"/>
  <c r="S3423" i="1"/>
  <c r="T3423" i="1"/>
  <c r="R3424" i="1"/>
  <c r="S3424" i="1"/>
  <c r="T3424" i="1"/>
  <c r="R3425" i="1"/>
  <c r="S3425" i="1"/>
  <c r="T3425" i="1"/>
  <c r="R3426" i="1"/>
  <c r="S3426" i="1"/>
  <c r="T3426" i="1"/>
  <c r="R3427" i="1"/>
  <c r="S3427" i="1"/>
  <c r="T3427" i="1"/>
  <c r="R3428" i="1"/>
  <c r="S3428" i="1"/>
  <c r="T3428" i="1"/>
  <c r="R3429" i="1"/>
  <c r="S3429" i="1"/>
  <c r="T3429" i="1"/>
  <c r="R3430" i="1"/>
  <c r="S3430" i="1"/>
  <c r="T3430" i="1"/>
  <c r="R3431" i="1"/>
  <c r="S3431" i="1"/>
  <c r="T3431" i="1"/>
  <c r="R3432" i="1"/>
  <c r="S3432" i="1"/>
  <c r="T3432" i="1"/>
  <c r="R3433" i="1"/>
  <c r="S3433" i="1"/>
  <c r="T3433" i="1"/>
  <c r="R3434" i="1"/>
  <c r="S3434" i="1"/>
  <c r="T3434" i="1"/>
  <c r="R3435" i="1"/>
  <c r="S3435" i="1"/>
  <c r="T3435" i="1"/>
  <c r="R3436" i="1"/>
  <c r="S3436" i="1"/>
  <c r="T3436" i="1"/>
  <c r="R3437" i="1"/>
  <c r="S3437" i="1"/>
  <c r="T3437" i="1"/>
  <c r="R3438" i="1"/>
  <c r="S3438" i="1"/>
  <c r="T3438" i="1"/>
  <c r="R3439" i="1"/>
  <c r="S3439" i="1"/>
  <c r="T3439" i="1"/>
  <c r="R3440" i="1"/>
  <c r="S3440" i="1"/>
  <c r="T3440" i="1"/>
  <c r="R3441" i="1"/>
  <c r="S3441" i="1"/>
  <c r="T3441" i="1"/>
  <c r="R3442" i="1"/>
  <c r="S3442" i="1"/>
  <c r="T3442" i="1"/>
  <c r="R3443" i="1"/>
  <c r="S3443" i="1"/>
  <c r="T3443" i="1"/>
  <c r="R3444" i="1"/>
  <c r="S3444" i="1"/>
  <c r="T3444" i="1"/>
  <c r="R3445" i="1"/>
  <c r="S3445" i="1"/>
  <c r="T3445" i="1"/>
  <c r="R3446" i="1"/>
  <c r="S3446" i="1"/>
  <c r="T3446" i="1"/>
  <c r="R3447" i="1"/>
  <c r="S3447" i="1"/>
  <c r="T3447" i="1"/>
  <c r="R3448" i="1"/>
  <c r="S3448" i="1"/>
  <c r="T3448" i="1"/>
  <c r="R3449" i="1"/>
  <c r="S3449" i="1"/>
  <c r="T3449" i="1"/>
  <c r="R3450" i="1"/>
  <c r="S3450" i="1"/>
  <c r="T3450" i="1"/>
  <c r="R3451" i="1"/>
  <c r="S3451" i="1"/>
  <c r="T3451" i="1"/>
  <c r="R3452" i="1"/>
  <c r="S3452" i="1"/>
  <c r="T3452" i="1"/>
  <c r="R3453" i="1"/>
  <c r="S3453" i="1"/>
  <c r="T3453" i="1"/>
  <c r="R3454" i="1"/>
  <c r="S3454" i="1"/>
  <c r="T3454" i="1"/>
  <c r="R3455" i="1"/>
  <c r="S3455" i="1"/>
  <c r="T3455" i="1"/>
  <c r="R3456" i="1"/>
  <c r="S3456" i="1"/>
  <c r="T3456" i="1"/>
  <c r="R3457" i="1"/>
  <c r="S3457" i="1"/>
  <c r="T3457" i="1"/>
  <c r="R3458" i="1"/>
  <c r="S3458" i="1"/>
  <c r="T3458" i="1"/>
  <c r="R3459" i="1"/>
  <c r="S3459" i="1"/>
  <c r="T3459" i="1"/>
  <c r="R3460" i="1"/>
  <c r="S3460" i="1"/>
  <c r="T3460" i="1"/>
  <c r="R3461" i="1"/>
  <c r="S3461" i="1"/>
  <c r="T3461" i="1"/>
  <c r="R3462" i="1"/>
  <c r="S3462" i="1"/>
  <c r="T3462" i="1"/>
  <c r="R3463" i="1"/>
  <c r="S3463" i="1"/>
  <c r="T3463" i="1"/>
  <c r="R3464" i="1"/>
  <c r="S3464" i="1"/>
  <c r="T3464" i="1"/>
  <c r="R3465" i="1"/>
  <c r="S3465" i="1"/>
  <c r="T3465" i="1"/>
  <c r="R3466" i="1"/>
  <c r="S3466" i="1"/>
  <c r="T3466" i="1"/>
  <c r="R3467" i="1"/>
  <c r="S3467" i="1"/>
  <c r="T3467" i="1"/>
  <c r="R3468" i="1"/>
  <c r="S3468" i="1"/>
  <c r="T3468" i="1"/>
  <c r="R3469" i="1"/>
  <c r="S3469" i="1"/>
  <c r="T3469" i="1"/>
  <c r="R3470" i="1"/>
  <c r="S3470" i="1"/>
  <c r="T3470" i="1"/>
  <c r="R3471" i="1"/>
  <c r="S3471" i="1"/>
  <c r="T3471" i="1"/>
  <c r="R3472" i="1"/>
  <c r="S3472" i="1"/>
  <c r="T3472" i="1"/>
  <c r="R3473" i="1"/>
  <c r="S3473" i="1"/>
  <c r="T3473" i="1"/>
  <c r="R3474" i="1"/>
  <c r="S3474" i="1"/>
  <c r="T3474" i="1"/>
  <c r="R3475" i="1"/>
  <c r="S3475" i="1"/>
  <c r="T3475" i="1"/>
  <c r="R3476" i="1"/>
  <c r="S3476" i="1"/>
  <c r="T3476" i="1"/>
  <c r="R3477" i="1"/>
  <c r="S3477" i="1"/>
  <c r="T3477" i="1"/>
  <c r="R3478" i="1"/>
  <c r="S3478" i="1"/>
  <c r="T3478" i="1"/>
  <c r="R3479" i="1"/>
  <c r="S3479" i="1"/>
  <c r="T3479" i="1"/>
  <c r="R3480" i="1"/>
  <c r="S3480" i="1"/>
  <c r="T3480" i="1"/>
  <c r="R3481" i="1"/>
  <c r="S3481" i="1"/>
  <c r="T3481" i="1"/>
  <c r="R3482" i="1"/>
  <c r="S3482" i="1"/>
  <c r="T3482" i="1"/>
  <c r="R3483" i="1"/>
  <c r="S3483" i="1"/>
  <c r="T3483" i="1"/>
  <c r="R3484" i="1"/>
  <c r="S3484" i="1"/>
  <c r="T3484" i="1"/>
  <c r="R3485" i="1"/>
  <c r="S3485" i="1"/>
  <c r="T3485" i="1"/>
  <c r="R3486" i="1"/>
  <c r="S3486" i="1"/>
  <c r="T3486" i="1"/>
  <c r="R3487" i="1"/>
  <c r="S3487" i="1"/>
  <c r="T3487" i="1"/>
  <c r="R3488" i="1"/>
  <c r="S3488" i="1"/>
  <c r="T3488" i="1"/>
  <c r="R3489" i="1"/>
  <c r="S3489" i="1"/>
  <c r="T3489" i="1"/>
  <c r="R3490" i="1"/>
  <c r="S3490" i="1"/>
  <c r="T3490" i="1"/>
  <c r="R3491" i="1"/>
  <c r="S3491" i="1"/>
  <c r="T3491" i="1"/>
  <c r="R3492" i="1"/>
  <c r="S3492" i="1"/>
  <c r="T3492" i="1"/>
  <c r="R3493" i="1"/>
  <c r="S3493" i="1"/>
  <c r="T3493" i="1"/>
  <c r="R3494" i="1"/>
  <c r="S3494" i="1"/>
  <c r="T3494" i="1"/>
  <c r="R3495" i="1"/>
  <c r="S3495" i="1"/>
  <c r="T3495" i="1"/>
  <c r="R3496" i="1"/>
  <c r="S3496" i="1"/>
  <c r="T3496" i="1"/>
  <c r="R3497" i="1"/>
  <c r="S3497" i="1"/>
  <c r="T3497" i="1"/>
  <c r="R3498" i="1"/>
  <c r="S3498" i="1"/>
  <c r="T3498" i="1"/>
  <c r="R3499" i="1"/>
  <c r="S3499" i="1"/>
  <c r="T3499" i="1"/>
  <c r="R3500" i="1"/>
  <c r="S3500" i="1"/>
  <c r="T3500" i="1"/>
  <c r="R3501" i="1"/>
  <c r="S3501" i="1"/>
  <c r="T3501" i="1"/>
  <c r="R3502" i="1"/>
  <c r="S3502" i="1"/>
  <c r="T3502" i="1"/>
  <c r="R3503" i="1"/>
  <c r="S3503" i="1"/>
  <c r="T3503" i="1"/>
  <c r="R3504" i="1"/>
  <c r="S3504" i="1"/>
  <c r="T3504" i="1"/>
  <c r="R3505" i="1"/>
  <c r="S3505" i="1"/>
  <c r="T3505" i="1"/>
  <c r="R3506" i="1"/>
  <c r="S3506" i="1"/>
  <c r="T3506" i="1"/>
  <c r="R3507" i="1"/>
  <c r="S3507" i="1"/>
  <c r="T3507" i="1"/>
  <c r="R3508" i="1"/>
  <c r="S3508" i="1"/>
  <c r="T3508" i="1"/>
  <c r="R3509" i="1"/>
  <c r="S3509" i="1"/>
  <c r="T3509" i="1"/>
  <c r="R3510" i="1"/>
  <c r="S3510" i="1"/>
  <c r="T3510" i="1"/>
  <c r="R3511" i="1"/>
  <c r="S3511" i="1"/>
  <c r="T3511" i="1"/>
  <c r="R3512" i="1"/>
  <c r="S3512" i="1"/>
  <c r="T3512" i="1"/>
  <c r="R3513" i="1"/>
  <c r="S3513" i="1"/>
  <c r="T3513" i="1"/>
  <c r="R3514" i="1"/>
  <c r="S3514" i="1"/>
  <c r="T3514" i="1"/>
  <c r="R3515" i="1"/>
  <c r="S3515" i="1"/>
  <c r="T3515" i="1"/>
  <c r="R3516" i="1"/>
  <c r="S3516" i="1"/>
  <c r="T3516" i="1"/>
  <c r="R3517" i="1"/>
  <c r="S3517" i="1"/>
  <c r="T3517" i="1"/>
  <c r="R3518" i="1"/>
  <c r="S3518" i="1"/>
  <c r="T3518" i="1"/>
  <c r="R3519" i="1"/>
  <c r="S3519" i="1"/>
  <c r="T3519" i="1"/>
  <c r="R3520" i="1"/>
  <c r="S3520" i="1"/>
  <c r="T3520" i="1"/>
  <c r="R3521" i="1"/>
  <c r="S3521" i="1"/>
  <c r="T3521" i="1"/>
  <c r="R3522" i="1"/>
  <c r="S3522" i="1"/>
  <c r="T3522" i="1"/>
  <c r="R3523" i="1"/>
  <c r="S3523" i="1"/>
  <c r="T3523" i="1"/>
  <c r="R3524" i="1"/>
  <c r="S3524" i="1"/>
  <c r="T3524" i="1"/>
  <c r="R3525" i="1"/>
  <c r="S3525" i="1"/>
  <c r="T3525" i="1"/>
  <c r="R3526" i="1"/>
  <c r="S3526" i="1"/>
  <c r="T3526" i="1"/>
  <c r="R3527" i="1"/>
  <c r="S3527" i="1"/>
  <c r="T3527" i="1"/>
  <c r="R3528" i="1"/>
  <c r="S3528" i="1"/>
  <c r="T3528" i="1"/>
  <c r="R3529" i="1"/>
  <c r="S3529" i="1"/>
  <c r="T3529" i="1"/>
  <c r="R3530" i="1"/>
  <c r="S3530" i="1"/>
  <c r="T3530" i="1"/>
  <c r="R3531" i="1"/>
  <c r="S3531" i="1"/>
  <c r="T3531" i="1"/>
  <c r="R3532" i="1"/>
  <c r="S3532" i="1"/>
  <c r="T3532" i="1"/>
  <c r="R3533" i="1"/>
  <c r="S3533" i="1"/>
  <c r="T3533" i="1"/>
  <c r="R3534" i="1"/>
  <c r="S3534" i="1"/>
  <c r="T3534" i="1"/>
  <c r="R3535" i="1"/>
  <c r="S3535" i="1"/>
  <c r="T3535" i="1"/>
  <c r="R3536" i="1"/>
  <c r="S3536" i="1"/>
  <c r="T3536" i="1"/>
  <c r="R3537" i="1"/>
  <c r="S3537" i="1"/>
  <c r="T3537" i="1"/>
  <c r="R3538" i="1"/>
  <c r="S3538" i="1"/>
  <c r="T3538" i="1"/>
  <c r="R3539" i="1"/>
  <c r="S3539" i="1"/>
  <c r="T3539" i="1"/>
  <c r="R3540" i="1"/>
  <c r="S3540" i="1"/>
  <c r="T3540" i="1"/>
  <c r="R3541" i="1"/>
  <c r="S3541" i="1"/>
  <c r="T3541" i="1"/>
  <c r="R3542" i="1"/>
  <c r="S3542" i="1"/>
  <c r="T3542" i="1"/>
  <c r="R3543" i="1"/>
  <c r="S3543" i="1"/>
  <c r="T3543" i="1"/>
  <c r="R3544" i="1"/>
  <c r="S3544" i="1"/>
  <c r="T3544" i="1"/>
  <c r="R3545" i="1"/>
  <c r="S3545" i="1"/>
  <c r="T3545" i="1"/>
  <c r="R3546" i="1"/>
  <c r="S3546" i="1"/>
  <c r="T3546" i="1"/>
  <c r="R3547" i="1"/>
  <c r="S3547" i="1"/>
  <c r="T3547" i="1"/>
  <c r="R3548" i="1"/>
  <c r="S3548" i="1"/>
  <c r="T3548" i="1"/>
  <c r="R3549" i="1"/>
  <c r="S3549" i="1"/>
  <c r="T3549" i="1"/>
  <c r="R3550" i="1"/>
  <c r="S3550" i="1"/>
  <c r="T3550" i="1"/>
  <c r="R3551" i="1"/>
  <c r="S3551" i="1"/>
  <c r="T3551" i="1"/>
  <c r="R3552" i="1"/>
  <c r="S3552" i="1"/>
  <c r="T3552" i="1"/>
  <c r="R3553" i="1"/>
  <c r="S3553" i="1"/>
  <c r="T3553" i="1"/>
  <c r="R3554" i="1"/>
  <c r="S3554" i="1"/>
  <c r="T3554" i="1"/>
  <c r="R3555" i="1"/>
  <c r="S3555" i="1"/>
  <c r="T3555" i="1"/>
  <c r="R3556" i="1"/>
  <c r="S3556" i="1"/>
  <c r="T3556" i="1"/>
  <c r="R3557" i="1"/>
  <c r="S3557" i="1"/>
  <c r="T3557" i="1"/>
  <c r="R3558" i="1"/>
  <c r="S3558" i="1"/>
  <c r="T3558" i="1"/>
  <c r="R3559" i="1"/>
  <c r="S3559" i="1"/>
  <c r="T3559" i="1"/>
  <c r="R3560" i="1"/>
  <c r="S3560" i="1"/>
  <c r="T3560" i="1"/>
  <c r="R3561" i="1"/>
  <c r="S3561" i="1"/>
  <c r="T3561" i="1"/>
  <c r="R3562" i="1"/>
  <c r="S3562" i="1"/>
  <c r="T3562" i="1"/>
  <c r="R3563" i="1"/>
  <c r="S3563" i="1"/>
  <c r="T3563" i="1"/>
  <c r="R3564" i="1"/>
  <c r="S3564" i="1"/>
  <c r="T3564" i="1"/>
  <c r="R3565" i="1"/>
  <c r="S3565" i="1"/>
  <c r="T3565" i="1"/>
  <c r="R3566" i="1"/>
  <c r="S3566" i="1"/>
  <c r="T3566" i="1"/>
  <c r="R3567" i="1"/>
  <c r="S3567" i="1"/>
  <c r="T3567" i="1"/>
  <c r="R3568" i="1"/>
  <c r="S3568" i="1"/>
  <c r="T3568" i="1"/>
  <c r="R3569" i="1"/>
  <c r="S3569" i="1"/>
  <c r="T3569" i="1"/>
  <c r="R3570" i="1"/>
  <c r="S3570" i="1"/>
  <c r="T3570" i="1"/>
  <c r="R3571" i="1"/>
  <c r="S3571" i="1"/>
  <c r="T3571" i="1"/>
  <c r="R3572" i="1"/>
  <c r="S3572" i="1"/>
  <c r="T3572" i="1"/>
  <c r="R3573" i="1"/>
  <c r="S3573" i="1"/>
  <c r="T3573" i="1"/>
  <c r="R3574" i="1"/>
  <c r="S3574" i="1"/>
  <c r="T3574" i="1"/>
  <c r="R3575" i="1"/>
  <c r="S3575" i="1"/>
  <c r="T3575" i="1"/>
  <c r="R3576" i="1"/>
  <c r="S3576" i="1"/>
  <c r="T3576" i="1"/>
  <c r="R3577" i="1"/>
  <c r="S3577" i="1"/>
  <c r="T3577" i="1"/>
  <c r="R3578" i="1"/>
  <c r="S3578" i="1"/>
  <c r="T3578" i="1"/>
  <c r="R3579" i="1"/>
  <c r="S3579" i="1"/>
  <c r="T3579" i="1"/>
  <c r="R3580" i="1"/>
  <c r="S3580" i="1"/>
  <c r="T3580" i="1"/>
  <c r="R3581" i="1"/>
  <c r="S3581" i="1"/>
  <c r="T3581" i="1"/>
  <c r="R3582" i="1"/>
  <c r="S3582" i="1"/>
  <c r="T3582" i="1"/>
  <c r="R3583" i="1"/>
  <c r="S3583" i="1"/>
  <c r="T3583" i="1"/>
  <c r="R3584" i="1"/>
  <c r="S3584" i="1"/>
  <c r="T3584" i="1"/>
  <c r="R3585" i="1"/>
  <c r="S3585" i="1"/>
  <c r="T3585" i="1"/>
  <c r="R3586" i="1"/>
  <c r="S3586" i="1"/>
  <c r="T3586" i="1"/>
  <c r="R3587" i="1"/>
  <c r="S3587" i="1"/>
  <c r="T3587" i="1"/>
  <c r="R3588" i="1"/>
  <c r="S3588" i="1"/>
  <c r="T3588" i="1"/>
  <c r="R3589" i="1"/>
  <c r="S3589" i="1"/>
  <c r="T3589" i="1"/>
  <c r="R3590" i="1"/>
  <c r="S3590" i="1"/>
  <c r="T3590" i="1"/>
  <c r="R3591" i="1"/>
  <c r="S3591" i="1"/>
  <c r="T3591" i="1"/>
  <c r="R3592" i="1"/>
  <c r="S3592" i="1"/>
  <c r="T3592" i="1"/>
  <c r="R3593" i="1"/>
  <c r="S3593" i="1"/>
  <c r="T3593" i="1"/>
  <c r="R3594" i="1"/>
  <c r="S3594" i="1"/>
  <c r="T3594" i="1"/>
  <c r="R3595" i="1"/>
  <c r="S3595" i="1"/>
  <c r="T3595" i="1"/>
  <c r="R3596" i="1"/>
  <c r="S3596" i="1"/>
  <c r="T3596" i="1"/>
  <c r="R3597" i="1"/>
  <c r="S3597" i="1"/>
  <c r="T3597" i="1"/>
  <c r="R3598" i="1"/>
  <c r="S3598" i="1"/>
  <c r="T3598" i="1"/>
  <c r="R3599" i="1"/>
  <c r="S3599" i="1"/>
  <c r="T3599" i="1"/>
  <c r="R3600" i="1"/>
  <c r="S3600" i="1"/>
  <c r="T3600" i="1"/>
  <c r="R3601" i="1"/>
  <c r="S3601" i="1"/>
  <c r="T3601" i="1"/>
  <c r="R3602" i="1"/>
  <c r="S3602" i="1"/>
  <c r="T3602" i="1"/>
  <c r="R3603" i="1"/>
  <c r="S3603" i="1"/>
  <c r="T3603" i="1"/>
  <c r="R3604" i="1"/>
  <c r="S3604" i="1"/>
  <c r="T3604" i="1"/>
  <c r="R3605" i="1"/>
  <c r="S3605" i="1"/>
  <c r="T3605" i="1"/>
  <c r="R3606" i="1"/>
  <c r="S3606" i="1"/>
  <c r="T3606" i="1"/>
  <c r="R3607" i="1"/>
  <c r="S3607" i="1"/>
  <c r="T3607" i="1"/>
  <c r="R3608" i="1"/>
  <c r="S3608" i="1"/>
  <c r="T3608" i="1"/>
  <c r="R3609" i="1"/>
  <c r="S3609" i="1"/>
  <c r="T3609" i="1"/>
  <c r="R3610" i="1"/>
  <c r="S3610" i="1"/>
  <c r="T3610" i="1"/>
  <c r="R3611" i="1"/>
  <c r="S3611" i="1"/>
  <c r="T3611" i="1"/>
  <c r="R3612" i="1"/>
  <c r="S3612" i="1"/>
  <c r="T3612" i="1"/>
  <c r="R3613" i="1"/>
  <c r="S3613" i="1"/>
  <c r="T3613" i="1"/>
  <c r="R3614" i="1"/>
  <c r="S3614" i="1"/>
  <c r="T3614" i="1"/>
  <c r="R3615" i="1"/>
  <c r="S3615" i="1"/>
  <c r="T3615" i="1"/>
  <c r="R3616" i="1"/>
  <c r="S3616" i="1"/>
  <c r="T3616" i="1"/>
  <c r="R3617" i="1"/>
  <c r="S3617" i="1"/>
  <c r="T3617" i="1"/>
  <c r="R3618" i="1"/>
  <c r="S3618" i="1"/>
  <c r="T3618" i="1"/>
  <c r="R3619" i="1"/>
  <c r="S3619" i="1"/>
  <c r="T3619" i="1"/>
  <c r="R3620" i="1"/>
  <c r="S3620" i="1"/>
  <c r="T3620" i="1"/>
  <c r="R3621" i="1"/>
  <c r="S3621" i="1"/>
  <c r="T3621" i="1"/>
  <c r="R3622" i="1"/>
  <c r="S3622" i="1"/>
  <c r="T3622" i="1"/>
  <c r="R3623" i="1"/>
  <c r="S3623" i="1"/>
  <c r="T3623" i="1"/>
  <c r="R3624" i="1"/>
  <c r="S3624" i="1"/>
  <c r="T3624" i="1"/>
  <c r="R3625" i="1"/>
  <c r="S3625" i="1"/>
  <c r="T3625" i="1"/>
  <c r="R3626" i="1"/>
  <c r="S3626" i="1"/>
  <c r="T3626" i="1"/>
  <c r="R3627" i="1"/>
  <c r="S3627" i="1"/>
  <c r="T3627" i="1"/>
  <c r="R3628" i="1"/>
  <c r="S3628" i="1"/>
  <c r="T3628" i="1"/>
  <c r="R3629" i="1"/>
  <c r="S3629" i="1"/>
  <c r="T3629" i="1"/>
  <c r="R3630" i="1"/>
  <c r="S3630" i="1"/>
  <c r="T3630" i="1"/>
  <c r="R3631" i="1"/>
  <c r="S3631" i="1"/>
  <c r="T3631" i="1"/>
  <c r="R3632" i="1"/>
  <c r="S3632" i="1"/>
  <c r="T3632" i="1"/>
  <c r="R3633" i="1"/>
  <c r="S3633" i="1"/>
  <c r="T3633" i="1"/>
  <c r="R3634" i="1"/>
  <c r="S3634" i="1"/>
  <c r="T3634" i="1"/>
  <c r="R3635" i="1"/>
  <c r="S3635" i="1"/>
  <c r="T3635" i="1"/>
  <c r="R3636" i="1"/>
  <c r="S3636" i="1"/>
  <c r="T3636" i="1"/>
  <c r="R3637" i="1"/>
  <c r="S3637" i="1"/>
  <c r="T3637" i="1"/>
  <c r="R3638" i="1"/>
  <c r="S3638" i="1"/>
  <c r="T3638" i="1"/>
  <c r="R3639" i="1"/>
  <c r="S3639" i="1"/>
  <c r="T3639" i="1"/>
  <c r="R3640" i="1"/>
  <c r="S3640" i="1"/>
  <c r="T3640" i="1"/>
  <c r="R3641" i="1"/>
  <c r="S3641" i="1"/>
  <c r="T3641" i="1"/>
  <c r="R3642" i="1"/>
  <c r="S3642" i="1"/>
  <c r="T3642" i="1"/>
  <c r="R3643" i="1"/>
  <c r="S3643" i="1"/>
  <c r="T3643" i="1"/>
  <c r="R3644" i="1"/>
  <c r="S3644" i="1"/>
  <c r="T3644" i="1"/>
  <c r="R3645" i="1"/>
  <c r="S3645" i="1"/>
  <c r="T3645" i="1"/>
  <c r="R3646" i="1"/>
  <c r="S3646" i="1"/>
  <c r="T3646" i="1"/>
  <c r="R3647" i="1"/>
  <c r="S3647" i="1"/>
  <c r="T3647" i="1"/>
  <c r="R3648" i="1"/>
  <c r="S3648" i="1"/>
  <c r="T3648" i="1"/>
  <c r="R3649" i="1"/>
  <c r="S3649" i="1"/>
  <c r="T3649" i="1"/>
  <c r="R3650" i="1"/>
  <c r="S3650" i="1"/>
  <c r="T3650" i="1"/>
  <c r="R3651" i="1"/>
  <c r="S3651" i="1"/>
  <c r="T3651" i="1"/>
  <c r="R3652" i="1"/>
  <c r="S3652" i="1"/>
  <c r="T3652" i="1"/>
  <c r="R3653" i="1"/>
  <c r="S3653" i="1"/>
  <c r="T3653" i="1"/>
  <c r="R3654" i="1"/>
  <c r="S3654" i="1"/>
  <c r="T3654" i="1"/>
  <c r="R3655" i="1"/>
  <c r="S3655" i="1"/>
  <c r="T3655" i="1"/>
  <c r="R3656" i="1"/>
  <c r="S3656" i="1"/>
  <c r="T3656" i="1"/>
  <c r="R3657" i="1"/>
  <c r="S3657" i="1"/>
  <c r="T3657" i="1"/>
  <c r="R3658" i="1"/>
  <c r="S3658" i="1"/>
  <c r="T3658" i="1"/>
  <c r="R3659" i="1"/>
  <c r="S3659" i="1"/>
  <c r="T3659" i="1"/>
  <c r="R3660" i="1"/>
  <c r="S3660" i="1"/>
  <c r="T3660" i="1"/>
  <c r="R3661" i="1"/>
  <c r="S3661" i="1"/>
  <c r="T3661" i="1"/>
  <c r="R3662" i="1"/>
  <c r="S3662" i="1"/>
  <c r="T3662" i="1"/>
  <c r="R3663" i="1"/>
  <c r="S3663" i="1"/>
  <c r="T3663" i="1"/>
  <c r="R3664" i="1"/>
  <c r="S3664" i="1"/>
  <c r="T3664" i="1"/>
  <c r="R3665" i="1"/>
  <c r="S3665" i="1"/>
  <c r="T3665" i="1"/>
  <c r="R3666" i="1"/>
  <c r="S3666" i="1"/>
  <c r="T3666" i="1"/>
  <c r="R3667" i="1"/>
  <c r="S3667" i="1"/>
  <c r="T3667" i="1"/>
  <c r="R3668" i="1"/>
  <c r="S3668" i="1"/>
  <c r="T3668" i="1"/>
  <c r="R3669" i="1"/>
  <c r="S3669" i="1"/>
  <c r="T3669" i="1"/>
  <c r="R3670" i="1"/>
  <c r="S3670" i="1"/>
  <c r="T3670" i="1"/>
  <c r="R3671" i="1"/>
  <c r="S3671" i="1"/>
  <c r="T3671" i="1"/>
  <c r="R3672" i="1"/>
  <c r="S3672" i="1"/>
  <c r="T3672" i="1"/>
  <c r="R3673" i="1"/>
  <c r="S3673" i="1"/>
  <c r="T3673" i="1"/>
  <c r="R3674" i="1"/>
  <c r="S3674" i="1"/>
  <c r="T3674" i="1"/>
  <c r="R3675" i="1"/>
  <c r="S3675" i="1"/>
  <c r="T3675" i="1"/>
  <c r="R3676" i="1"/>
  <c r="S3676" i="1"/>
  <c r="T3676" i="1"/>
  <c r="R3677" i="1"/>
  <c r="S3677" i="1"/>
  <c r="T3677" i="1"/>
  <c r="R3678" i="1"/>
  <c r="S3678" i="1"/>
  <c r="T3678" i="1"/>
  <c r="R3679" i="1"/>
  <c r="S3679" i="1"/>
  <c r="T3679" i="1"/>
  <c r="R3680" i="1"/>
  <c r="S3680" i="1"/>
  <c r="T3680" i="1"/>
  <c r="R3681" i="1"/>
  <c r="S3681" i="1"/>
  <c r="T3681" i="1"/>
  <c r="R3682" i="1"/>
  <c r="S3682" i="1"/>
  <c r="T3682" i="1"/>
  <c r="R3683" i="1"/>
  <c r="S3683" i="1"/>
  <c r="T3683" i="1"/>
  <c r="R3684" i="1"/>
  <c r="S3684" i="1"/>
  <c r="T3684" i="1"/>
  <c r="R3685" i="1"/>
  <c r="S3685" i="1"/>
  <c r="T3685" i="1"/>
  <c r="R3686" i="1"/>
  <c r="S3686" i="1"/>
  <c r="T3686" i="1"/>
  <c r="R3687" i="1"/>
  <c r="S3687" i="1"/>
  <c r="T3687" i="1"/>
  <c r="R3688" i="1"/>
  <c r="S3688" i="1"/>
  <c r="T3688" i="1"/>
  <c r="R3689" i="1"/>
  <c r="S3689" i="1"/>
  <c r="T3689" i="1"/>
  <c r="R3690" i="1"/>
  <c r="S3690" i="1"/>
  <c r="T3690" i="1"/>
  <c r="R3691" i="1"/>
  <c r="S3691" i="1"/>
  <c r="T3691" i="1"/>
  <c r="R3692" i="1"/>
  <c r="S3692" i="1"/>
  <c r="T3692" i="1"/>
  <c r="R3693" i="1"/>
  <c r="S3693" i="1"/>
  <c r="T3693" i="1"/>
  <c r="R3694" i="1"/>
  <c r="S3694" i="1"/>
  <c r="T3694" i="1"/>
  <c r="R3695" i="1"/>
  <c r="S3695" i="1"/>
  <c r="T3695" i="1"/>
  <c r="R3696" i="1"/>
  <c r="S3696" i="1"/>
  <c r="T3696" i="1"/>
  <c r="R3697" i="1"/>
  <c r="S3697" i="1"/>
  <c r="T3697" i="1"/>
  <c r="R3698" i="1"/>
  <c r="S3698" i="1"/>
  <c r="T3698" i="1"/>
  <c r="R3699" i="1"/>
  <c r="S3699" i="1"/>
  <c r="T3699" i="1"/>
  <c r="R3700" i="1"/>
  <c r="S3700" i="1"/>
  <c r="T3700" i="1"/>
  <c r="R3701" i="1"/>
  <c r="S3701" i="1"/>
  <c r="T3701" i="1"/>
  <c r="R3702" i="1"/>
  <c r="S3702" i="1"/>
  <c r="T3702" i="1"/>
  <c r="R3703" i="1"/>
  <c r="S3703" i="1"/>
  <c r="T3703" i="1"/>
  <c r="R3704" i="1"/>
  <c r="S3704" i="1"/>
  <c r="T3704" i="1"/>
  <c r="R3705" i="1"/>
  <c r="S3705" i="1"/>
  <c r="T3705" i="1"/>
  <c r="R3706" i="1"/>
  <c r="S3706" i="1"/>
  <c r="T3706" i="1"/>
  <c r="R3707" i="1"/>
  <c r="S3707" i="1"/>
  <c r="T3707" i="1"/>
  <c r="R3708" i="1"/>
  <c r="S3708" i="1"/>
  <c r="T3708" i="1"/>
  <c r="R3709" i="1"/>
  <c r="S3709" i="1"/>
  <c r="T3709" i="1"/>
  <c r="R3710" i="1"/>
  <c r="S3710" i="1"/>
  <c r="T3710" i="1"/>
  <c r="R3711" i="1"/>
  <c r="S3711" i="1"/>
  <c r="T3711" i="1"/>
  <c r="R3712" i="1"/>
  <c r="S3712" i="1"/>
  <c r="T3712" i="1"/>
  <c r="R3713" i="1"/>
  <c r="S3713" i="1"/>
  <c r="T3713" i="1"/>
  <c r="R3714" i="1"/>
  <c r="S3714" i="1"/>
  <c r="T3714" i="1"/>
  <c r="R3715" i="1"/>
  <c r="S3715" i="1"/>
  <c r="T3715" i="1"/>
  <c r="R3716" i="1"/>
  <c r="S3716" i="1"/>
  <c r="T3716" i="1"/>
  <c r="R3717" i="1"/>
  <c r="S3717" i="1"/>
  <c r="T3717" i="1"/>
  <c r="R3718" i="1"/>
  <c r="S3718" i="1"/>
  <c r="T3718" i="1"/>
  <c r="R3719" i="1"/>
  <c r="S3719" i="1"/>
  <c r="T3719" i="1"/>
  <c r="R3720" i="1"/>
  <c r="S3720" i="1"/>
  <c r="T3720" i="1"/>
  <c r="R3721" i="1"/>
  <c r="S3721" i="1"/>
  <c r="T3721" i="1"/>
  <c r="R3722" i="1"/>
  <c r="S3722" i="1"/>
  <c r="T3722" i="1"/>
  <c r="R3723" i="1"/>
  <c r="S3723" i="1"/>
  <c r="T3723" i="1"/>
  <c r="R3724" i="1"/>
  <c r="S3724" i="1"/>
  <c r="T3724" i="1"/>
  <c r="R3725" i="1"/>
  <c r="S3725" i="1"/>
  <c r="T3725" i="1"/>
  <c r="R3726" i="1"/>
  <c r="S3726" i="1"/>
  <c r="T3726" i="1"/>
  <c r="R3727" i="1"/>
  <c r="S3727" i="1"/>
  <c r="T3727" i="1"/>
  <c r="R3728" i="1"/>
  <c r="S3728" i="1"/>
  <c r="T3728" i="1"/>
  <c r="R3729" i="1"/>
  <c r="S3729" i="1"/>
  <c r="T3729" i="1"/>
  <c r="R3730" i="1"/>
  <c r="S3730" i="1"/>
  <c r="T3730" i="1"/>
  <c r="R3731" i="1"/>
  <c r="S3731" i="1"/>
  <c r="T3731" i="1"/>
  <c r="R3732" i="1"/>
  <c r="S3732" i="1"/>
  <c r="T3732" i="1"/>
  <c r="R3733" i="1"/>
  <c r="S3733" i="1"/>
  <c r="T3733" i="1"/>
  <c r="R3734" i="1"/>
  <c r="S3734" i="1"/>
  <c r="T3734" i="1"/>
  <c r="R3735" i="1"/>
  <c r="S3735" i="1"/>
  <c r="T3735" i="1"/>
  <c r="R3736" i="1"/>
  <c r="S3736" i="1"/>
  <c r="T3736" i="1"/>
  <c r="R3737" i="1"/>
  <c r="S3737" i="1"/>
  <c r="T3737" i="1"/>
  <c r="R3738" i="1"/>
  <c r="S3738" i="1"/>
  <c r="T3738" i="1"/>
  <c r="R3739" i="1"/>
  <c r="S3739" i="1"/>
  <c r="T3739" i="1"/>
  <c r="R3740" i="1"/>
  <c r="S3740" i="1"/>
  <c r="T3740" i="1"/>
  <c r="R3741" i="1"/>
  <c r="S3741" i="1"/>
  <c r="T3741" i="1"/>
  <c r="R3742" i="1"/>
  <c r="S3742" i="1"/>
  <c r="T3742" i="1"/>
  <c r="R3743" i="1"/>
  <c r="S3743" i="1"/>
  <c r="T3743" i="1"/>
  <c r="R3744" i="1"/>
  <c r="S3744" i="1"/>
  <c r="T3744" i="1"/>
  <c r="R3745" i="1"/>
  <c r="S3745" i="1"/>
  <c r="T3745" i="1"/>
  <c r="R3746" i="1"/>
  <c r="S3746" i="1"/>
  <c r="T3746" i="1"/>
  <c r="R3747" i="1"/>
  <c r="S3747" i="1"/>
  <c r="T3747" i="1"/>
  <c r="R3748" i="1"/>
  <c r="S3748" i="1"/>
  <c r="T3748" i="1"/>
  <c r="R3749" i="1"/>
  <c r="S3749" i="1"/>
  <c r="T3749" i="1"/>
  <c r="R3750" i="1"/>
  <c r="S3750" i="1"/>
  <c r="T3750" i="1"/>
  <c r="R3751" i="1"/>
  <c r="S3751" i="1"/>
  <c r="T3751" i="1"/>
  <c r="R3752" i="1"/>
  <c r="S3752" i="1"/>
  <c r="T3752" i="1"/>
  <c r="R3753" i="1"/>
  <c r="S3753" i="1"/>
  <c r="T3753" i="1"/>
  <c r="R3754" i="1"/>
  <c r="S3754" i="1"/>
  <c r="T3754" i="1"/>
  <c r="R3755" i="1"/>
  <c r="S3755" i="1"/>
  <c r="T3755" i="1"/>
  <c r="R3756" i="1"/>
  <c r="S3756" i="1"/>
  <c r="T3756" i="1"/>
  <c r="R3757" i="1"/>
  <c r="S3757" i="1"/>
  <c r="T3757" i="1"/>
  <c r="R3758" i="1"/>
  <c r="S3758" i="1"/>
  <c r="T3758" i="1"/>
  <c r="R3759" i="1"/>
  <c r="S3759" i="1"/>
  <c r="T3759" i="1"/>
  <c r="R3760" i="1"/>
  <c r="S3760" i="1"/>
  <c r="T3760" i="1"/>
  <c r="R3761" i="1"/>
  <c r="S3761" i="1"/>
  <c r="T3761" i="1"/>
  <c r="R3762" i="1"/>
  <c r="S3762" i="1"/>
  <c r="T3762" i="1"/>
  <c r="R3763" i="1"/>
  <c r="S3763" i="1"/>
  <c r="T3763" i="1"/>
  <c r="R3764" i="1"/>
  <c r="S3764" i="1"/>
  <c r="T3764" i="1"/>
  <c r="R3765" i="1"/>
  <c r="S3765" i="1"/>
  <c r="T3765" i="1"/>
  <c r="R3766" i="1"/>
  <c r="S3766" i="1"/>
  <c r="T3766" i="1"/>
  <c r="R3767" i="1"/>
  <c r="S3767" i="1"/>
  <c r="T3767" i="1"/>
  <c r="R3768" i="1"/>
  <c r="S3768" i="1"/>
  <c r="T3768" i="1"/>
  <c r="R3769" i="1"/>
  <c r="S3769" i="1"/>
  <c r="T3769" i="1"/>
  <c r="R3770" i="1"/>
  <c r="S3770" i="1"/>
  <c r="T3770" i="1"/>
  <c r="R3771" i="1"/>
  <c r="S3771" i="1"/>
  <c r="T3771" i="1"/>
  <c r="R3772" i="1"/>
  <c r="S3772" i="1"/>
  <c r="T3772" i="1"/>
  <c r="R3773" i="1"/>
  <c r="S3773" i="1"/>
  <c r="T3773" i="1"/>
  <c r="R3774" i="1"/>
  <c r="S3774" i="1"/>
  <c r="T3774" i="1"/>
  <c r="R3775" i="1"/>
  <c r="S3775" i="1"/>
  <c r="T3775" i="1"/>
  <c r="R3776" i="1"/>
  <c r="S3776" i="1"/>
  <c r="T3776" i="1"/>
  <c r="R3777" i="1"/>
  <c r="S3777" i="1"/>
  <c r="T3777" i="1"/>
  <c r="R3778" i="1"/>
  <c r="S3778" i="1"/>
  <c r="T3778" i="1"/>
  <c r="R3779" i="1"/>
  <c r="S3779" i="1"/>
  <c r="T3779" i="1"/>
  <c r="R3780" i="1"/>
  <c r="S3780" i="1"/>
  <c r="T3780" i="1"/>
  <c r="R3781" i="1"/>
  <c r="S3781" i="1"/>
  <c r="T3781" i="1"/>
  <c r="R3782" i="1"/>
  <c r="S3782" i="1"/>
  <c r="T3782" i="1"/>
  <c r="R3783" i="1"/>
  <c r="S3783" i="1"/>
  <c r="T3783" i="1"/>
  <c r="R3784" i="1"/>
  <c r="S3784" i="1"/>
  <c r="T3784" i="1"/>
  <c r="R3785" i="1"/>
  <c r="S3785" i="1"/>
  <c r="T3785" i="1"/>
  <c r="R3786" i="1"/>
  <c r="S3786" i="1"/>
  <c r="T3786" i="1"/>
  <c r="R3787" i="1"/>
  <c r="S3787" i="1"/>
  <c r="T3787" i="1"/>
  <c r="R3788" i="1"/>
  <c r="S3788" i="1"/>
  <c r="T3788" i="1"/>
  <c r="R3789" i="1"/>
  <c r="S3789" i="1"/>
  <c r="T3789" i="1"/>
  <c r="R3790" i="1"/>
  <c r="S3790" i="1"/>
  <c r="T3790" i="1"/>
  <c r="R3791" i="1"/>
  <c r="S3791" i="1"/>
  <c r="T3791" i="1"/>
  <c r="R3792" i="1"/>
  <c r="S3792" i="1"/>
  <c r="T3792" i="1"/>
  <c r="R3793" i="1"/>
  <c r="S3793" i="1"/>
  <c r="T3793" i="1"/>
  <c r="R3794" i="1"/>
  <c r="S3794" i="1"/>
  <c r="T3794" i="1"/>
  <c r="R3795" i="1"/>
  <c r="S3795" i="1"/>
  <c r="T3795" i="1"/>
  <c r="R3796" i="1"/>
  <c r="S3796" i="1"/>
  <c r="T3796" i="1"/>
  <c r="R3797" i="1"/>
  <c r="S3797" i="1"/>
  <c r="T3797" i="1"/>
  <c r="R3798" i="1"/>
  <c r="S3798" i="1"/>
  <c r="T3798" i="1"/>
  <c r="R3799" i="1"/>
  <c r="S3799" i="1"/>
  <c r="T3799" i="1"/>
  <c r="R3800" i="1"/>
  <c r="S3800" i="1"/>
  <c r="T3800" i="1"/>
  <c r="R3801" i="1"/>
  <c r="S3801" i="1"/>
  <c r="T3801" i="1"/>
  <c r="R3802" i="1"/>
  <c r="S3802" i="1"/>
  <c r="T3802" i="1"/>
  <c r="R3803" i="1"/>
  <c r="S3803" i="1"/>
  <c r="T3803" i="1"/>
  <c r="R3804" i="1"/>
  <c r="S3804" i="1"/>
  <c r="T3804" i="1"/>
  <c r="R3805" i="1"/>
  <c r="S3805" i="1"/>
  <c r="T3805" i="1"/>
  <c r="R3806" i="1"/>
  <c r="S3806" i="1"/>
  <c r="T3806" i="1"/>
  <c r="R3807" i="1"/>
  <c r="S3807" i="1"/>
  <c r="T3807" i="1"/>
  <c r="R3808" i="1"/>
  <c r="S3808" i="1"/>
  <c r="T3808" i="1"/>
  <c r="R3809" i="1"/>
  <c r="S3809" i="1"/>
  <c r="T3809" i="1"/>
  <c r="R3810" i="1"/>
  <c r="S3810" i="1"/>
  <c r="T3810" i="1"/>
  <c r="R3811" i="1"/>
  <c r="S3811" i="1"/>
  <c r="T3811" i="1"/>
  <c r="R3812" i="1"/>
  <c r="S3812" i="1"/>
  <c r="T3812" i="1"/>
  <c r="R3813" i="1"/>
  <c r="S3813" i="1"/>
  <c r="T3813" i="1"/>
  <c r="R3814" i="1"/>
  <c r="S3814" i="1"/>
  <c r="T3814" i="1"/>
  <c r="R3815" i="1"/>
  <c r="S3815" i="1"/>
  <c r="T3815" i="1"/>
  <c r="R3816" i="1"/>
  <c r="S3816" i="1"/>
  <c r="T3816" i="1"/>
  <c r="R3817" i="1"/>
  <c r="S3817" i="1"/>
  <c r="T3817" i="1"/>
  <c r="R3818" i="1"/>
  <c r="S3818" i="1"/>
  <c r="T3818" i="1"/>
  <c r="R3819" i="1"/>
  <c r="S3819" i="1"/>
  <c r="T3819" i="1"/>
  <c r="R3820" i="1"/>
  <c r="S3820" i="1"/>
  <c r="T3820" i="1"/>
  <c r="R3821" i="1"/>
  <c r="S3821" i="1"/>
  <c r="T3821" i="1"/>
  <c r="R3822" i="1"/>
  <c r="S3822" i="1"/>
  <c r="T3822" i="1"/>
  <c r="R3823" i="1"/>
  <c r="S3823" i="1"/>
  <c r="T3823" i="1"/>
  <c r="R3824" i="1"/>
  <c r="S3824" i="1"/>
  <c r="T3824" i="1"/>
  <c r="R3825" i="1"/>
  <c r="S3825" i="1"/>
  <c r="T3825" i="1"/>
  <c r="R3826" i="1"/>
  <c r="S3826" i="1"/>
  <c r="T3826" i="1"/>
  <c r="R3827" i="1"/>
  <c r="S3827" i="1"/>
  <c r="T3827" i="1"/>
  <c r="R3828" i="1"/>
  <c r="S3828" i="1"/>
  <c r="T3828" i="1"/>
  <c r="R3829" i="1"/>
  <c r="S3829" i="1"/>
  <c r="T3829" i="1"/>
  <c r="R3830" i="1"/>
  <c r="S3830" i="1"/>
  <c r="T3830" i="1"/>
  <c r="R3831" i="1"/>
  <c r="S3831" i="1"/>
  <c r="T3831" i="1"/>
  <c r="R3832" i="1"/>
  <c r="S3832" i="1"/>
  <c r="T3832" i="1"/>
  <c r="R3833" i="1"/>
  <c r="S3833" i="1"/>
  <c r="T3833" i="1"/>
  <c r="R3834" i="1"/>
  <c r="S3834" i="1"/>
  <c r="T3834" i="1"/>
  <c r="R3835" i="1"/>
  <c r="S3835" i="1"/>
  <c r="T3835" i="1"/>
  <c r="R3836" i="1"/>
  <c r="S3836" i="1"/>
  <c r="T3836" i="1"/>
  <c r="R3837" i="1"/>
  <c r="S3837" i="1"/>
  <c r="T3837" i="1"/>
  <c r="R3838" i="1"/>
  <c r="S3838" i="1"/>
  <c r="T3838" i="1"/>
  <c r="R3839" i="1"/>
  <c r="S3839" i="1"/>
  <c r="T3839" i="1"/>
  <c r="R3840" i="1"/>
  <c r="S3840" i="1"/>
  <c r="T3840" i="1"/>
  <c r="R3841" i="1"/>
  <c r="S3841" i="1"/>
  <c r="T3841" i="1"/>
  <c r="R3842" i="1"/>
  <c r="S3842" i="1"/>
  <c r="T3842" i="1"/>
  <c r="R3843" i="1"/>
  <c r="S3843" i="1"/>
  <c r="T3843" i="1"/>
  <c r="R3844" i="1"/>
  <c r="S3844" i="1"/>
  <c r="T3844" i="1"/>
  <c r="R3845" i="1"/>
  <c r="S3845" i="1"/>
  <c r="T3845" i="1"/>
  <c r="R3846" i="1"/>
  <c r="S3846" i="1"/>
  <c r="T3846" i="1"/>
  <c r="R3847" i="1"/>
  <c r="S3847" i="1"/>
  <c r="T3847" i="1"/>
  <c r="R3848" i="1"/>
  <c r="S3848" i="1"/>
  <c r="T3848" i="1"/>
  <c r="R3849" i="1"/>
  <c r="S3849" i="1"/>
  <c r="T3849" i="1"/>
  <c r="R3850" i="1"/>
  <c r="S3850" i="1"/>
  <c r="T3850" i="1"/>
  <c r="R3851" i="1"/>
  <c r="S3851" i="1"/>
  <c r="T3851" i="1"/>
  <c r="R3852" i="1"/>
  <c r="S3852" i="1"/>
  <c r="T3852" i="1"/>
  <c r="R3853" i="1"/>
  <c r="S3853" i="1"/>
  <c r="T3853" i="1"/>
  <c r="R3854" i="1"/>
  <c r="S3854" i="1"/>
  <c r="T3854" i="1"/>
  <c r="R3855" i="1"/>
  <c r="S3855" i="1"/>
  <c r="T3855" i="1"/>
  <c r="R3856" i="1"/>
  <c r="S3856" i="1"/>
  <c r="T3856" i="1"/>
  <c r="R3857" i="1"/>
  <c r="S3857" i="1"/>
  <c r="T3857" i="1"/>
  <c r="R3858" i="1"/>
  <c r="S3858" i="1"/>
  <c r="T3858" i="1"/>
  <c r="R3859" i="1"/>
  <c r="S3859" i="1"/>
  <c r="T3859" i="1"/>
  <c r="R3860" i="1"/>
  <c r="S3860" i="1"/>
  <c r="T3860" i="1"/>
  <c r="R3861" i="1"/>
  <c r="S3861" i="1"/>
  <c r="T3861" i="1"/>
  <c r="R3862" i="1"/>
  <c r="S3862" i="1"/>
  <c r="T3862" i="1"/>
  <c r="R3863" i="1"/>
  <c r="S3863" i="1"/>
  <c r="T3863" i="1"/>
  <c r="R3864" i="1"/>
  <c r="S3864" i="1"/>
  <c r="T3864" i="1"/>
  <c r="R3865" i="1"/>
  <c r="S3865" i="1"/>
  <c r="T3865" i="1"/>
  <c r="R3866" i="1"/>
  <c r="S3866" i="1"/>
  <c r="T3866" i="1"/>
  <c r="R3867" i="1"/>
  <c r="S3867" i="1"/>
  <c r="T3867" i="1"/>
  <c r="R3868" i="1"/>
  <c r="S3868" i="1"/>
  <c r="T3868" i="1"/>
  <c r="R3869" i="1"/>
  <c r="S3869" i="1"/>
  <c r="T3869" i="1"/>
  <c r="R3870" i="1"/>
  <c r="S3870" i="1"/>
  <c r="T3870" i="1"/>
  <c r="R3871" i="1"/>
  <c r="S3871" i="1"/>
  <c r="T3871" i="1"/>
  <c r="R3872" i="1"/>
  <c r="S3872" i="1"/>
  <c r="T3872" i="1"/>
  <c r="R3873" i="1"/>
  <c r="S3873" i="1"/>
  <c r="T3873" i="1"/>
  <c r="R3874" i="1"/>
  <c r="S3874" i="1"/>
  <c r="T3874" i="1"/>
  <c r="R3875" i="1"/>
  <c r="S3875" i="1"/>
  <c r="T3875" i="1"/>
  <c r="R3876" i="1"/>
  <c r="S3876" i="1"/>
  <c r="T3876" i="1"/>
  <c r="R3877" i="1"/>
  <c r="S3877" i="1"/>
  <c r="T3877" i="1"/>
  <c r="R3878" i="1"/>
  <c r="S3878" i="1"/>
  <c r="T3878" i="1"/>
  <c r="R3879" i="1"/>
  <c r="S3879" i="1"/>
  <c r="T3879" i="1"/>
  <c r="R3880" i="1"/>
  <c r="S3880" i="1"/>
  <c r="T3880" i="1"/>
  <c r="R3881" i="1"/>
  <c r="S3881" i="1"/>
  <c r="T3881" i="1"/>
  <c r="R3882" i="1"/>
  <c r="S3882" i="1"/>
  <c r="T3882" i="1"/>
  <c r="R3883" i="1"/>
  <c r="S3883" i="1"/>
  <c r="T3883" i="1"/>
  <c r="R3884" i="1"/>
  <c r="S3884" i="1"/>
  <c r="T3884" i="1"/>
  <c r="R3885" i="1"/>
  <c r="S3885" i="1"/>
  <c r="T3885" i="1"/>
  <c r="R3886" i="1"/>
  <c r="S3886" i="1"/>
  <c r="T3886" i="1"/>
  <c r="R3887" i="1"/>
  <c r="S3887" i="1"/>
  <c r="T3887" i="1"/>
  <c r="R3888" i="1"/>
  <c r="S3888" i="1"/>
  <c r="T3888" i="1"/>
  <c r="R3889" i="1"/>
  <c r="S3889" i="1"/>
  <c r="T3889" i="1"/>
  <c r="R3890" i="1"/>
  <c r="S3890" i="1"/>
  <c r="T3890" i="1"/>
  <c r="R3891" i="1"/>
  <c r="S3891" i="1"/>
  <c r="T3891" i="1"/>
  <c r="R3892" i="1"/>
  <c r="S3892" i="1"/>
  <c r="T3892" i="1"/>
  <c r="R3893" i="1"/>
  <c r="S3893" i="1"/>
  <c r="T3893" i="1"/>
  <c r="R3894" i="1"/>
  <c r="S3894" i="1"/>
  <c r="T3894" i="1"/>
  <c r="R3895" i="1"/>
  <c r="S3895" i="1"/>
  <c r="T3895" i="1"/>
  <c r="R3896" i="1"/>
  <c r="S3896" i="1"/>
  <c r="T3896" i="1"/>
  <c r="R3897" i="1"/>
  <c r="S3897" i="1"/>
  <c r="T3897" i="1"/>
  <c r="R3898" i="1"/>
  <c r="S3898" i="1"/>
  <c r="T3898" i="1"/>
  <c r="R3899" i="1"/>
  <c r="S3899" i="1"/>
  <c r="T3899" i="1"/>
  <c r="R3900" i="1"/>
  <c r="S3900" i="1"/>
  <c r="T3900" i="1"/>
  <c r="R3901" i="1"/>
  <c r="S3901" i="1"/>
  <c r="T3901" i="1"/>
  <c r="R3902" i="1"/>
  <c r="S3902" i="1"/>
  <c r="T3902" i="1"/>
  <c r="R3903" i="1"/>
  <c r="S3903" i="1"/>
  <c r="T3903" i="1"/>
  <c r="R3904" i="1"/>
  <c r="S3904" i="1"/>
  <c r="T3904" i="1"/>
  <c r="R3905" i="1"/>
  <c r="S3905" i="1"/>
  <c r="T3905" i="1"/>
  <c r="R3906" i="1"/>
  <c r="S3906" i="1"/>
  <c r="T3906" i="1"/>
  <c r="R3907" i="1"/>
  <c r="S3907" i="1"/>
  <c r="T3907" i="1"/>
  <c r="R3908" i="1"/>
  <c r="S3908" i="1"/>
  <c r="T3908" i="1"/>
  <c r="R3909" i="1"/>
  <c r="S3909" i="1"/>
  <c r="T3909" i="1"/>
  <c r="R3910" i="1"/>
  <c r="S3910" i="1"/>
  <c r="T3910" i="1"/>
  <c r="R3911" i="1"/>
  <c r="S3911" i="1"/>
  <c r="T3911" i="1"/>
  <c r="R3912" i="1"/>
  <c r="S3912" i="1"/>
  <c r="T3912" i="1"/>
  <c r="R3913" i="1"/>
  <c r="S3913" i="1"/>
  <c r="T3913" i="1"/>
  <c r="R3914" i="1"/>
  <c r="S3914" i="1"/>
  <c r="T3914" i="1"/>
  <c r="R3915" i="1"/>
  <c r="S3915" i="1"/>
  <c r="T3915" i="1"/>
  <c r="R3916" i="1"/>
  <c r="S3916" i="1"/>
  <c r="T3916" i="1"/>
  <c r="R3917" i="1"/>
  <c r="S3917" i="1"/>
  <c r="T3917" i="1"/>
  <c r="R3918" i="1"/>
  <c r="S3918" i="1"/>
  <c r="T3918" i="1"/>
  <c r="R3919" i="1"/>
  <c r="S3919" i="1"/>
  <c r="T3919" i="1"/>
  <c r="R3920" i="1"/>
  <c r="S3920" i="1"/>
  <c r="T3920" i="1"/>
  <c r="R3921" i="1"/>
  <c r="S3921" i="1"/>
  <c r="T3921" i="1"/>
  <c r="R3922" i="1"/>
  <c r="S3922" i="1"/>
  <c r="T3922" i="1"/>
  <c r="R3923" i="1"/>
  <c r="S3923" i="1"/>
  <c r="T3923" i="1"/>
  <c r="R3924" i="1"/>
  <c r="S3924" i="1"/>
  <c r="T3924" i="1"/>
  <c r="R3925" i="1"/>
  <c r="S3925" i="1"/>
  <c r="T3925" i="1"/>
  <c r="R3926" i="1"/>
  <c r="S3926" i="1"/>
  <c r="T3926" i="1"/>
  <c r="R3927" i="1"/>
  <c r="S3927" i="1"/>
  <c r="T3927" i="1"/>
  <c r="R3928" i="1"/>
  <c r="S3928" i="1"/>
  <c r="T3928" i="1"/>
  <c r="R3929" i="1"/>
  <c r="S3929" i="1"/>
  <c r="T3929" i="1"/>
  <c r="R3930" i="1"/>
  <c r="S3930" i="1"/>
  <c r="T3930" i="1"/>
  <c r="R3931" i="1"/>
  <c r="S3931" i="1"/>
  <c r="T3931" i="1"/>
  <c r="R3932" i="1"/>
  <c r="S3932" i="1"/>
  <c r="T3932" i="1"/>
  <c r="R3933" i="1"/>
  <c r="S3933" i="1"/>
  <c r="T3933" i="1"/>
  <c r="R3934" i="1"/>
  <c r="S3934" i="1"/>
  <c r="T3934" i="1"/>
  <c r="R3935" i="1"/>
  <c r="S3935" i="1"/>
  <c r="T3935" i="1"/>
  <c r="R3936" i="1"/>
  <c r="S3936" i="1"/>
  <c r="T3936" i="1"/>
  <c r="R3937" i="1"/>
  <c r="S3937" i="1"/>
  <c r="T3937" i="1"/>
  <c r="R3938" i="1"/>
  <c r="S3938" i="1"/>
  <c r="T3938" i="1"/>
  <c r="R3939" i="1"/>
  <c r="S3939" i="1"/>
  <c r="T3939" i="1"/>
  <c r="R3940" i="1"/>
  <c r="S3940" i="1"/>
  <c r="T3940" i="1"/>
  <c r="R3941" i="1"/>
  <c r="S3941" i="1"/>
  <c r="T3941" i="1"/>
  <c r="R3942" i="1"/>
  <c r="S3942" i="1"/>
  <c r="T3942" i="1"/>
  <c r="R3943" i="1"/>
  <c r="S3943" i="1"/>
  <c r="T3943" i="1"/>
  <c r="R3944" i="1"/>
  <c r="S3944" i="1"/>
  <c r="T3944" i="1"/>
  <c r="R3945" i="1"/>
  <c r="S3945" i="1"/>
  <c r="T3945" i="1"/>
  <c r="R3946" i="1"/>
  <c r="S3946" i="1"/>
  <c r="T3946" i="1"/>
  <c r="R3947" i="1"/>
  <c r="S3947" i="1"/>
  <c r="T3947" i="1"/>
  <c r="R3948" i="1"/>
  <c r="S3948" i="1"/>
  <c r="T3948" i="1"/>
  <c r="R3949" i="1"/>
  <c r="S3949" i="1"/>
  <c r="T3949" i="1"/>
  <c r="R3950" i="1"/>
  <c r="S3950" i="1"/>
  <c r="T3950" i="1"/>
  <c r="R3951" i="1"/>
  <c r="S3951" i="1"/>
  <c r="T3951" i="1"/>
  <c r="R3952" i="1"/>
  <c r="S3952" i="1"/>
  <c r="T3952" i="1"/>
  <c r="R3953" i="1"/>
  <c r="S3953" i="1"/>
  <c r="T3953" i="1"/>
  <c r="R3954" i="1"/>
  <c r="S3954" i="1"/>
  <c r="T3954" i="1"/>
  <c r="R3955" i="1"/>
  <c r="S3955" i="1"/>
  <c r="T3955" i="1"/>
  <c r="R3956" i="1"/>
  <c r="S3956" i="1"/>
  <c r="T3956" i="1"/>
  <c r="R3957" i="1"/>
  <c r="S3957" i="1"/>
  <c r="T3957" i="1"/>
  <c r="R3958" i="1"/>
  <c r="S3958" i="1"/>
  <c r="T3958" i="1"/>
  <c r="R3959" i="1"/>
  <c r="S3959" i="1"/>
  <c r="T3959" i="1"/>
  <c r="R3960" i="1"/>
  <c r="S3960" i="1"/>
  <c r="T3960" i="1"/>
  <c r="R3961" i="1"/>
  <c r="S3961" i="1"/>
  <c r="T3961" i="1"/>
  <c r="R3962" i="1"/>
  <c r="S3962" i="1"/>
  <c r="T3962" i="1"/>
  <c r="R3963" i="1"/>
  <c r="S3963" i="1"/>
  <c r="T3963" i="1"/>
  <c r="R3964" i="1"/>
  <c r="S3964" i="1"/>
  <c r="T3964" i="1"/>
  <c r="R3965" i="1"/>
  <c r="S3965" i="1"/>
  <c r="T3965" i="1"/>
  <c r="R3966" i="1"/>
  <c r="S3966" i="1"/>
  <c r="T3966" i="1"/>
  <c r="R3967" i="1"/>
  <c r="S3967" i="1"/>
  <c r="T3967" i="1"/>
  <c r="R3968" i="1"/>
  <c r="S3968" i="1"/>
  <c r="T3968" i="1"/>
  <c r="R3969" i="1"/>
  <c r="S3969" i="1"/>
  <c r="T3969" i="1"/>
  <c r="R3970" i="1"/>
  <c r="S3970" i="1"/>
  <c r="T3970" i="1"/>
  <c r="R3971" i="1"/>
  <c r="S3971" i="1"/>
  <c r="T3971" i="1"/>
  <c r="R3972" i="1"/>
  <c r="S3972" i="1"/>
  <c r="T3972" i="1"/>
  <c r="R3973" i="1"/>
  <c r="S3973" i="1"/>
  <c r="T3973" i="1"/>
  <c r="R3974" i="1"/>
  <c r="S3974" i="1"/>
  <c r="T3974" i="1"/>
  <c r="R3975" i="1"/>
  <c r="S3975" i="1"/>
  <c r="T3975" i="1"/>
  <c r="R3976" i="1"/>
  <c r="S3976" i="1"/>
  <c r="T3976" i="1"/>
  <c r="R3977" i="1"/>
  <c r="S3977" i="1"/>
  <c r="T3977" i="1"/>
  <c r="R3978" i="1"/>
  <c r="S3978" i="1"/>
  <c r="T3978" i="1"/>
  <c r="R3979" i="1"/>
  <c r="S3979" i="1"/>
  <c r="T3979" i="1"/>
  <c r="R3980" i="1"/>
  <c r="S3980" i="1"/>
  <c r="T3980" i="1"/>
  <c r="R3981" i="1"/>
  <c r="S3981" i="1"/>
  <c r="T3981" i="1"/>
  <c r="R3982" i="1"/>
  <c r="S3982" i="1"/>
  <c r="T3982" i="1"/>
  <c r="R3983" i="1"/>
  <c r="S3983" i="1"/>
  <c r="T3983" i="1"/>
  <c r="R3984" i="1"/>
  <c r="S3984" i="1"/>
  <c r="T3984" i="1"/>
  <c r="R3985" i="1"/>
  <c r="S3985" i="1"/>
  <c r="T3985" i="1"/>
  <c r="R3986" i="1"/>
  <c r="S3986" i="1"/>
  <c r="T3986" i="1"/>
  <c r="R3987" i="1"/>
  <c r="S3987" i="1"/>
  <c r="T3987" i="1"/>
  <c r="R3988" i="1"/>
  <c r="S3988" i="1"/>
  <c r="T3988" i="1"/>
  <c r="R3989" i="1"/>
  <c r="S3989" i="1"/>
  <c r="T3989" i="1"/>
  <c r="R3990" i="1"/>
  <c r="S3990" i="1"/>
  <c r="T3990" i="1"/>
  <c r="R3991" i="1"/>
  <c r="S3991" i="1"/>
  <c r="T3991" i="1"/>
  <c r="R3992" i="1"/>
  <c r="S3992" i="1"/>
  <c r="T3992" i="1"/>
  <c r="R3993" i="1"/>
  <c r="S3993" i="1"/>
  <c r="T3993" i="1"/>
  <c r="R3994" i="1"/>
  <c r="S3994" i="1"/>
  <c r="T3994" i="1"/>
  <c r="R3995" i="1"/>
  <c r="S3995" i="1"/>
  <c r="T3995" i="1"/>
  <c r="R3996" i="1"/>
  <c r="S3996" i="1"/>
  <c r="T3996" i="1"/>
  <c r="R3997" i="1"/>
  <c r="S3997" i="1"/>
  <c r="T3997" i="1"/>
  <c r="R3998" i="1"/>
  <c r="S3998" i="1"/>
  <c r="T3998" i="1"/>
  <c r="R3999" i="1"/>
  <c r="S3999" i="1"/>
  <c r="T3999" i="1"/>
  <c r="R4000" i="1"/>
  <c r="S4000" i="1"/>
  <c r="T4000" i="1"/>
  <c r="R4001" i="1"/>
  <c r="S4001" i="1"/>
  <c r="T4001" i="1"/>
  <c r="R4002" i="1"/>
  <c r="S4002" i="1"/>
  <c r="T4002" i="1"/>
  <c r="R4003" i="1"/>
  <c r="S4003" i="1"/>
  <c r="T4003" i="1"/>
  <c r="R4004" i="1"/>
  <c r="S4004" i="1"/>
  <c r="T4004" i="1"/>
  <c r="R4005" i="1"/>
  <c r="S4005" i="1"/>
  <c r="T4005" i="1"/>
  <c r="R4006" i="1"/>
  <c r="S4006" i="1"/>
  <c r="T4006" i="1"/>
  <c r="R4007" i="1"/>
  <c r="S4007" i="1"/>
  <c r="T4007" i="1"/>
  <c r="R4008" i="1"/>
  <c r="S4008" i="1"/>
  <c r="T4008" i="1"/>
  <c r="R4009" i="1"/>
  <c r="S4009" i="1"/>
  <c r="T4009" i="1"/>
  <c r="R4010" i="1"/>
  <c r="S4010" i="1"/>
  <c r="T4010" i="1"/>
  <c r="R4011" i="1"/>
  <c r="S4011" i="1"/>
  <c r="T4011" i="1"/>
  <c r="R4012" i="1"/>
  <c r="S4012" i="1"/>
  <c r="T4012" i="1"/>
  <c r="R4013" i="1"/>
  <c r="S4013" i="1"/>
  <c r="T4013" i="1"/>
  <c r="R4014" i="1"/>
  <c r="S4014" i="1"/>
  <c r="T4014" i="1"/>
  <c r="R4015" i="1"/>
  <c r="S4015" i="1"/>
  <c r="T4015" i="1"/>
  <c r="R4016" i="1"/>
  <c r="S4016" i="1"/>
  <c r="T4016" i="1"/>
  <c r="R4017" i="1"/>
  <c r="S4017" i="1"/>
  <c r="T4017" i="1"/>
  <c r="R4018" i="1"/>
  <c r="S4018" i="1"/>
  <c r="T4018" i="1"/>
  <c r="R4019" i="1"/>
  <c r="S4019" i="1"/>
  <c r="T4019" i="1"/>
  <c r="R4020" i="1"/>
  <c r="S4020" i="1"/>
  <c r="T4020" i="1"/>
  <c r="R4021" i="1"/>
  <c r="S4021" i="1"/>
  <c r="T4021" i="1"/>
  <c r="R4022" i="1"/>
  <c r="S4022" i="1"/>
  <c r="T4022" i="1"/>
  <c r="R4023" i="1"/>
  <c r="S4023" i="1"/>
  <c r="T4023" i="1"/>
  <c r="R4024" i="1"/>
  <c r="S4024" i="1"/>
  <c r="T4024" i="1"/>
  <c r="R4025" i="1"/>
  <c r="S4025" i="1"/>
  <c r="T4025" i="1"/>
  <c r="R4026" i="1"/>
  <c r="S4026" i="1"/>
  <c r="T4026" i="1"/>
  <c r="R4027" i="1"/>
  <c r="S4027" i="1"/>
  <c r="T4027" i="1"/>
  <c r="R4028" i="1"/>
  <c r="S4028" i="1"/>
  <c r="T4028" i="1"/>
  <c r="R4029" i="1"/>
  <c r="S4029" i="1"/>
  <c r="T4029" i="1"/>
  <c r="R4030" i="1"/>
  <c r="S4030" i="1"/>
  <c r="T4030" i="1"/>
  <c r="R4031" i="1"/>
  <c r="S4031" i="1"/>
  <c r="T4031" i="1"/>
  <c r="R4032" i="1"/>
  <c r="S4032" i="1"/>
  <c r="T4032" i="1"/>
  <c r="R4033" i="1"/>
  <c r="S4033" i="1"/>
  <c r="T4033" i="1"/>
  <c r="R4034" i="1"/>
  <c r="S4034" i="1"/>
  <c r="T4034" i="1"/>
  <c r="R4035" i="1"/>
  <c r="S4035" i="1"/>
  <c r="T4035" i="1"/>
  <c r="R4036" i="1"/>
  <c r="S4036" i="1"/>
  <c r="T4036" i="1"/>
  <c r="R4037" i="1"/>
  <c r="S4037" i="1"/>
  <c r="T4037" i="1"/>
  <c r="R4038" i="1"/>
  <c r="S4038" i="1"/>
  <c r="T4038" i="1"/>
  <c r="R4039" i="1"/>
  <c r="S4039" i="1"/>
  <c r="T4039" i="1"/>
  <c r="R4040" i="1"/>
  <c r="S4040" i="1"/>
  <c r="T4040" i="1"/>
  <c r="R4041" i="1"/>
  <c r="S4041" i="1"/>
  <c r="T4041" i="1"/>
  <c r="R4042" i="1"/>
  <c r="S4042" i="1"/>
  <c r="T4042" i="1"/>
  <c r="R4043" i="1"/>
  <c r="S4043" i="1"/>
  <c r="T4043" i="1"/>
  <c r="R4044" i="1"/>
  <c r="S4044" i="1"/>
  <c r="T4044" i="1"/>
  <c r="R4045" i="1"/>
  <c r="S4045" i="1"/>
  <c r="T4045" i="1"/>
  <c r="R4046" i="1"/>
  <c r="S4046" i="1"/>
  <c r="T4046" i="1"/>
  <c r="R4047" i="1"/>
  <c r="S4047" i="1"/>
  <c r="T4047" i="1"/>
  <c r="R4048" i="1"/>
  <c r="S4048" i="1"/>
  <c r="T4048" i="1"/>
  <c r="R4049" i="1"/>
  <c r="S4049" i="1"/>
  <c r="T4049" i="1"/>
  <c r="R4050" i="1"/>
  <c r="S4050" i="1"/>
  <c r="T4050" i="1"/>
  <c r="R4051" i="1"/>
  <c r="S4051" i="1"/>
  <c r="T4051" i="1"/>
  <c r="R4052" i="1"/>
  <c r="S4052" i="1"/>
  <c r="T4052" i="1"/>
  <c r="R4053" i="1"/>
  <c r="S4053" i="1"/>
  <c r="T4053" i="1"/>
  <c r="R4054" i="1"/>
  <c r="S4054" i="1"/>
  <c r="T4054" i="1"/>
  <c r="R4055" i="1"/>
  <c r="S4055" i="1"/>
  <c r="T4055" i="1"/>
  <c r="R4056" i="1"/>
  <c r="S4056" i="1"/>
  <c r="T4056" i="1"/>
  <c r="R4057" i="1"/>
  <c r="S4057" i="1"/>
  <c r="T4057" i="1"/>
  <c r="R4058" i="1"/>
  <c r="S4058" i="1"/>
  <c r="T4058" i="1"/>
  <c r="R4059" i="1"/>
  <c r="S4059" i="1"/>
  <c r="T4059" i="1"/>
  <c r="R4060" i="1"/>
  <c r="S4060" i="1"/>
  <c r="T4060" i="1"/>
  <c r="R4061" i="1"/>
  <c r="S4061" i="1"/>
  <c r="T4061" i="1"/>
  <c r="R4062" i="1"/>
  <c r="S4062" i="1"/>
  <c r="T4062" i="1"/>
  <c r="R4063" i="1"/>
  <c r="S4063" i="1"/>
  <c r="T4063" i="1"/>
  <c r="R4064" i="1"/>
  <c r="S4064" i="1"/>
  <c r="T4064" i="1"/>
  <c r="R4065" i="1"/>
  <c r="S4065" i="1"/>
  <c r="T4065" i="1"/>
  <c r="R4066" i="1"/>
  <c r="S4066" i="1"/>
  <c r="T4066" i="1"/>
  <c r="R4067" i="1"/>
  <c r="S4067" i="1"/>
  <c r="T4067" i="1"/>
  <c r="R4068" i="1"/>
  <c r="S4068" i="1"/>
  <c r="T4068" i="1"/>
  <c r="R4069" i="1"/>
  <c r="S4069" i="1"/>
  <c r="T4069" i="1"/>
  <c r="R4070" i="1"/>
  <c r="S4070" i="1"/>
  <c r="T4070" i="1"/>
  <c r="R4071" i="1"/>
  <c r="S4071" i="1"/>
  <c r="T4071" i="1"/>
  <c r="R4072" i="1"/>
  <c r="S4072" i="1"/>
  <c r="T4072" i="1"/>
  <c r="R4073" i="1"/>
  <c r="S4073" i="1"/>
  <c r="T4073" i="1"/>
  <c r="R4074" i="1"/>
  <c r="S4074" i="1"/>
  <c r="T4074" i="1"/>
  <c r="R4075" i="1"/>
  <c r="S4075" i="1"/>
  <c r="T4075" i="1"/>
  <c r="R4076" i="1"/>
  <c r="S4076" i="1"/>
  <c r="T4076" i="1"/>
  <c r="R4077" i="1"/>
  <c r="S4077" i="1"/>
  <c r="T4077" i="1"/>
  <c r="R4078" i="1"/>
  <c r="S4078" i="1"/>
  <c r="T4078" i="1"/>
  <c r="R4079" i="1"/>
  <c r="S4079" i="1"/>
  <c r="T4079" i="1"/>
  <c r="R4080" i="1"/>
  <c r="S4080" i="1"/>
  <c r="T4080" i="1"/>
  <c r="R4081" i="1"/>
  <c r="S4081" i="1"/>
  <c r="T4081" i="1"/>
  <c r="R4082" i="1"/>
  <c r="S4082" i="1"/>
  <c r="T4082" i="1"/>
  <c r="R4083" i="1"/>
  <c r="S4083" i="1"/>
  <c r="T4083" i="1"/>
  <c r="R4084" i="1"/>
  <c r="S4084" i="1"/>
  <c r="T4084" i="1"/>
  <c r="R4085" i="1"/>
  <c r="S4085" i="1"/>
  <c r="T4085" i="1"/>
  <c r="R4086" i="1"/>
  <c r="S4086" i="1"/>
  <c r="T4086" i="1"/>
  <c r="R4087" i="1"/>
  <c r="S4087" i="1"/>
  <c r="T4087" i="1"/>
  <c r="R4088" i="1"/>
  <c r="S4088" i="1"/>
  <c r="T4088" i="1"/>
  <c r="R4089" i="1"/>
  <c r="S4089" i="1"/>
  <c r="T4089" i="1"/>
  <c r="R4090" i="1"/>
  <c r="S4090" i="1"/>
  <c r="T4090" i="1"/>
  <c r="R4091" i="1"/>
  <c r="S4091" i="1"/>
  <c r="T4091" i="1"/>
  <c r="R4092" i="1"/>
  <c r="S4092" i="1"/>
  <c r="T4092" i="1"/>
  <c r="R4093" i="1"/>
  <c r="S4093" i="1"/>
  <c r="T4093" i="1"/>
  <c r="R4094" i="1"/>
  <c r="S4094" i="1"/>
  <c r="T4094" i="1"/>
  <c r="R4095" i="1"/>
  <c r="S4095" i="1"/>
  <c r="T4095" i="1"/>
  <c r="R4096" i="1"/>
  <c r="S4096" i="1"/>
  <c r="T4096" i="1"/>
  <c r="R4097" i="1"/>
  <c r="S4097" i="1"/>
  <c r="T4097" i="1"/>
  <c r="R4098" i="1"/>
  <c r="S4098" i="1"/>
  <c r="T4098" i="1"/>
  <c r="R4099" i="1"/>
  <c r="S4099" i="1"/>
  <c r="T4099" i="1"/>
  <c r="R4100" i="1"/>
  <c r="S4100" i="1"/>
  <c r="T4100" i="1"/>
  <c r="R4101" i="1"/>
  <c r="S4101" i="1"/>
  <c r="T4101" i="1"/>
  <c r="R4102" i="1"/>
  <c r="S4102" i="1"/>
  <c r="T4102" i="1"/>
  <c r="R4103" i="1"/>
  <c r="S4103" i="1"/>
  <c r="T4103" i="1"/>
  <c r="R4104" i="1"/>
  <c r="S4104" i="1"/>
  <c r="T4104" i="1"/>
  <c r="R4105" i="1"/>
  <c r="S4105" i="1"/>
  <c r="T4105" i="1"/>
  <c r="R4106" i="1"/>
  <c r="S4106" i="1"/>
  <c r="T4106" i="1"/>
  <c r="R4107" i="1"/>
  <c r="S4107" i="1"/>
  <c r="T4107" i="1"/>
  <c r="R4108" i="1"/>
  <c r="S4108" i="1"/>
  <c r="T4108" i="1"/>
  <c r="R4109" i="1"/>
  <c r="S4109" i="1"/>
  <c r="T4109" i="1"/>
  <c r="R4110" i="1"/>
  <c r="S4110" i="1"/>
  <c r="T4110" i="1"/>
  <c r="R4111" i="1"/>
  <c r="S4111" i="1"/>
  <c r="T4111" i="1"/>
  <c r="R4112" i="1"/>
  <c r="S4112" i="1"/>
  <c r="T4112" i="1"/>
  <c r="R4113" i="1"/>
  <c r="S4113" i="1"/>
  <c r="T4113" i="1"/>
  <c r="R4114" i="1"/>
  <c r="S4114" i="1"/>
  <c r="T4114" i="1"/>
  <c r="R4115" i="1"/>
  <c r="S4115" i="1"/>
  <c r="T4115" i="1"/>
  <c r="R4116" i="1"/>
  <c r="S4116" i="1"/>
  <c r="T4116" i="1"/>
  <c r="R4117" i="1"/>
  <c r="S4117" i="1"/>
  <c r="T4117" i="1"/>
  <c r="R4118" i="1"/>
  <c r="S4118" i="1"/>
  <c r="T4118" i="1"/>
  <c r="R4119" i="1"/>
  <c r="S4119" i="1"/>
  <c r="T4119" i="1"/>
  <c r="R4120" i="1"/>
  <c r="S4120" i="1"/>
  <c r="T4120" i="1"/>
  <c r="R4121" i="1"/>
  <c r="S4121" i="1"/>
  <c r="T4121" i="1"/>
  <c r="R4122" i="1"/>
  <c r="S4122" i="1"/>
  <c r="T4122" i="1"/>
  <c r="R4123" i="1"/>
  <c r="S4123" i="1"/>
  <c r="T4123" i="1"/>
  <c r="R4124" i="1"/>
  <c r="S4124" i="1"/>
  <c r="T4124" i="1"/>
  <c r="R4125" i="1"/>
  <c r="S4125" i="1"/>
  <c r="T4125" i="1"/>
  <c r="R4126" i="1"/>
  <c r="S4126" i="1"/>
  <c r="T4126" i="1"/>
  <c r="R4127" i="1"/>
  <c r="S4127" i="1"/>
  <c r="T4127" i="1"/>
  <c r="R4128" i="1"/>
  <c r="S4128" i="1"/>
  <c r="T4128" i="1"/>
  <c r="R4129" i="1"/>
  <c r="S4129" i="1"/>
  <c r="T4129" i="1"/>
  <c r="R4130" i="1"/>
  <c r="S4130" i="1"/>
  <c r="T4130" i="1"/>
  <c r="R4131" i="1"/>
  <c r="S4131" i="1"/>
  <c r="T4131" i="1"/>
  <c r="R4132" i="1"/>
  <c r="S4132" i="1"/>
  <c r="T4132" i="1"/>
  <c r="R4133" i="1"/>
  <c r="S4133" i="1"/>
  <c r="T4133" i="1"/>
  <c r="R4134" i="1"/>
  <c r="S4134" i="1"/>
  <c r="T4134" i="1"/>
  <c r="R4135" i="1"/>
  <c r="S4135" i="1"/>
  <c r="T4135" i="1"/>
  <c r="R4136" i="1"/>
  <c r="S4136" i="1"/>
  <c r="T4136" i="1"/>
  <c r="R4137" i="1"/>
  <c r="S4137" i="1"/>
  <c r="T4137" i="1"/>
  <c r="R4138" i="1"/>
  <c r="S4138" i="1"/>
  <c r="T4138" i="1"/>
  <c r="R4139" i="1"/>
  <c r="S4139" i="1"/>
  <c r="T4139" i="1"/>
  <c r="R4140" i="1"/>
  <c r="S4140" i="1"/>
  <c r="T4140" i="1"/>
  <c r="R4141" i="1"/>
  <c r="S4141" i="1"/>
  <c r="T4141" i="1"/>
  <c r="R4142" i="1"/>
  <c r="S4142" i="1"/>
  <c r="T4142" i="1"/>
  <c r="R4143" i="1"/>
  <c r="S4143" i="1"/>
  <c r="T4143" i="1"/>
  <c r="R4144" i="1"/>
  <c r="S4144" i="1"/>
  <c r="T4144" i="1"/>
  <c r="R4145" i="1"/>
  <c r="S4145" i="1"/>
  <c r="T4145" i="1"/>
  <c r="R4146" i="1"/>
  <c r="S4146" i="1"/>
  <c r="T4146" i="1"/>
  <c r="R4147" i="1"/>
  <c r="S4147" i="1"/>
  <c r="T4147" i="1"/>
  <c r="R4148" i="1"/>
  <c r="S4148" i="1"/>
  <c r="T4148" i="1"/>
  <c r="R4149" i="1"/>
  <c r="S4149" i="1"/>
  <c r="T4149" i="1"/>
  <c r="R4150" i="1"/>
  <c r="S4150" i="1"/>
  <c r="T4150" i="1"/>
  <c r="R4151" i="1"/>
  <c r="S4151" i="1"/>
  <c r="T4151" i="1"/>
  <c r="R4152" i="1"/>
  <c r="S4152" i="1"/>
  <c r="T4152" i="1"/>
  <c r="R4153" i="1"/>
  <c r="S4153" i="1"/>
  <c r="T4153" i="1"/>
  <c r="R4154" i="1"/>
  <c r="S4154" i="1"/>
  <c r="T4154" i="1"/>
  <c r="R4155" i="1"/>
  <c r="S4155" i="1"/>
  <c r="T4155" i="1"/>
  <c r="R4156" i="1"/>
  <c r="S4156" i="1"/>
  <c r="T4156" i="1"/>
  <c r="R4157" i="1"/>
  <c r="S4157" i="1"/>
  <c r="T4157" i="1"/>
  <c r="R4158" i="1"/>
  <c r="S4158" i="1"/>
  <c r="T4158" i="1"/>
  <c r="R4159" i="1"/>
  <c r="S4159" i="1"/>
  <c r="T4159" i="1"/>
  <c r="R4160" i="1"/>
  <c r="S4160" i="1"/>
  <c r="T4160" i="1"/>
  <c r="R4161" i="1"/>
  <c r="S4161" i="1"/>
  <c r="T4161" i="1"/>
  <c r="R4162" i="1"/>
  <c r="S4162" i="1"/>
  <c r="T4162" i="1"/>
  <c r="R4163" i="1"/>
  <c r="S4163" i="1"/>
  <c r="T4163" i="1"/>
  <c r="R4164" i="1"/>
  <c r="S4164" i="1"/>
  <c r="T4164" i="1"/>
  <c r="R4165" i="1"/>
  <c r="S4165" i="1"/>
  <c r="T4165" i="1"/>
  <c r="R4166" i="1"/>
  <c r="S4166" i="1"/>
  <c r="T4166" i="1"/>
  <c r="R4167" i="1"/>
  <c r="S4167" i="1"/>
  <c r="T4167" i="1"/>
  <c r="R4168" i="1"/>
  <c r="S4168" i="1"/>
  <c r="T4168" i="1"/>
  <c r="R4169" i="1"/>
  <c r="S4169" i="1"/>
  <c r="T4169" i="1"/>
  <c r="R4170" i="1"/>
  <c r="S4170" i="1"/>
  <c r="T4170" i="1"/>
  <c r="R4171" i="1"/>
  <c r="S4171" i="1"/>
  <c r="T4171" i="1"/>
  <c r="R4172" i="1"/>
  <c r="S4172" i="1"/>
  <c r="T4172" i="1"/>
  <c r="R4173" i="1"/>
  <c r="S4173" i="1"/>
  <c r="T4173" i="1"/>
  <c r="R4174" i="1"/>
  <c r="S4174" i="1"/>
  <c r="T4174" i="1"/>
  <c r="R4175" i="1"/>
  <c r="S4175" i="1"/>
  <c r="T4175" i="1"/>
  <c r="R4176" i="1"/>
  <c r="S4176" i="1"/>
  <c r="T4176" i="1"/>
  <c r="R4177" i="1"/>
  <c r="S4177" i="1"/>
  <c r="T4177" i="1"/>
  <c r="R4178" i="1"/>
  <c r="S4178" i="1"/>
  <c r="T4178" i="1"/>
  <c r="R4179" i="1"/>
  <c r="S4179" i="1"/>
  <c r="T4179" i="1"/>
  <c r="R4180" i="1"/>
  <c r="S4180" i="1"/>
  <c r="T4180" i="1"/>
  <c r="R4181" i="1"/>
  <c r="S4181" i="1"/>
  <c r="T4181" i="1"/>
  <c r="R4182" i="1"/>
  <c r="S4182" i="1"/>
  <c r="T4182" i="1"/>
  <c r="R4183" i="1"/>
  <c r="S4183" i="1"/>
  <c r="T4183" i="1"/>
  <c r="R4184" i="1"/>
  <c r="S4184" i="1"/>
  <c r="T4184" i="1"/>
  <c r="R4185" i="1"/>
  <c r="S4185" i="1"/>
  <c r="T4185" i="1"/>
  <c r="R4186" i="1"/>
  <c r="S4186" i="1"/>
  <c r="T4186" i="1"/>
  <c r="R4187" i="1"/>
  <c r="S4187" i="1"/>
  <c r="T4187" i="1"/>
  <c r="R4188" i="1"/>
  <c r="S4188" i="1"/>
  <c r="T4188" i="1"/>
  <c r="R4189" i="1"/>
  <c r="S4189" i="1"/>
  <c r="T4189" i="1"/>
  <c r="R4190" i="1"/>
  <c r="S4190" i="1"/>
  <c r="T4190" i="1"/>
  <c r="R4191" i="1"/>
  <c r="S4191" i="1"/>
  <c r="T4191" i="1"/>
  <c r="R4192" i="1"/>
  <c r="S4192" i="1"/>
  <c r="T4192" i="1"/>
  <c r="R4193" i="1"/>
  <c r="S4193" i="1"/>
  <c r="T4193" i="1"/>
  <c r="R4194" i="1"/>
  <c r="S4194" i="1"/>
  <c r="T4194" i="1"/>
  <c r="R4195" i="1"/>
  <c r="S4195" i="1"/>
  <c r="T4195" i="1"/>
  <c r="R4196" i="1"/>
  <c r="S4196" i="1"/>
  <c r="T4196" i="1"/>
  <c r="R4197" i="1"/>
  <c r="S4197" i="1"/>
  <c r="T4197" i="1"/>
  <c r="R4198" i="1"/>
  <c r="S4198" i="1"/>
  <c r="T4198" i="1"/>
  <c r="R4199" i="1"/>
  <c r="S4199" i="1"/>
  <c r="T4199" i="1"/>
  <c r="R4200" i="1"/>
  <c r="S4200" i="1"/>
  <c r="T4200" i="1"/>
  <c r="R4201" i="1"/>
  <c r="S4201" i="1"/>
  <c r="T4201" i="1"/>
  <c r="R4202" i="1"/>
  <c r="S4202" i="1"/>
  <c r="T4202" i="1"/>
  <c r="R4203" i="1"/>
  <c r="S4203" i="1"/>
  <c r="T4203" i="1"/>
  <c r="R4204" i="1"/>
  <c r="S4204" i="1"/>
  <c r="T4204" i="1"/>
  <c r="R4205" i="1"/>
  <c r="S4205" i="1"/>
  <c r="T4205" i="1"/>
  <c r="R4206" i="1"/>
  <c r="S4206" i="1"/>
  <c r="T4206" i="1"/>
  <c r="R4207" i="1"/>
  <c r="S4207" i="1"/>
  <c r="T4207" i="1"/>
  <c r="R4208" i="1"/>
  <c r="S4208" i="1"/>
  <c r="T4208" i="1"/>
  <c r="R4209" i="1"/>
  <c r="S4209" i="1"/>
  <c r="T4209" i="1"/>
  <c r="R4210" i="1"/>
  <c r="S4210" i="1"/>
  <c r="T4210" i="1"/>
  <c r="R4211" i="1"/>
  <c r="S4211" i="1"/>
  <c r="T4211" i="1"/>
  <c r="R4212" i="1"/>
  <c r="S4212" i="1"/>
  <c r="T4212" i="1"/>
  <c r="R4213" i="1"/>
  <c r="S4213" i="1"/>
  <c r="T4213" i="1"/>
  <c r="R4214" i="1"/>
  <c r="S4214" i="1"/>
  <c r="T4214" i="1"/>
  <c r="R4215" i="1"/>
  <c r="S4215" i="1"/>
  <c r="T4215" i="1"/>
  <c r="R4216" i="1"/>
  <c r="S4216" i="1"/>
  <c r="T4216" i="1"/>
  <c r="R4217" i="1"/>
  <c r="S4217" i="1"/>
  <c r="T4217" i="1"/>
  <c r="R4218" i="1"/>
  <c r="S4218" i="1"/>
  <c r="T4218" i="1"/>
  <c r="R4219" i="1"/>
  <c r="S4219" i="1"/>
  <c r="T4219" i="1"/>
  <c r="R4220" i="1"/>
  <c r="S4220" i="1"/>
  <c r="T4220" i="1"/>
  <c r="R4221" i="1"/>
  <c r="S4221" i="1"/>
  <c r="T4221" i="1"/>
  <c r="R4222" i="1"/>
  <c r="S4222" i="1"/>
  <c r="T4222" i="1"/>
  <c r="R4223" i="1"/>
  <c r="S4223" i="1"/>
  <c r="T4223" i="1"/>
  <c r="R4224" i="1"/>
  <c r="S4224" i="1"/>
  <c r="T4224" i="1"/>
  <c r="R4225" i="1"/>
  <c r="S4225" i="1"/>
  <c r="T4225" i="1"/>
  <c r="R4226" i="1"/>
  <c r="S4226" i="1"/>
  <c r="T4226" i="1"/>
  <c r="R4227" i="1"/>
  <c r="S4227" i="1"/>
  <c r="T4227" i="1"/>
  <c r="R4228" i="1"/>
  <c r="S4228" i="1"/>
  <c r="T4228" i="1"/>
  <c r="R4229" i="1"/>
  <c r="S4229" i="1"/>
  <c r="T4229" i="1"/>
  <c r="R4230" i="1"/>
  <c r="S4230" i="1"/>
  <c r="T4230" i="1"/>
  <c r="R4231" i="1"/>
  <c r="S4231" i="1"/>
  <c r="T4231" i="1"/>
  <c r="R4232" i="1"/>
  <c r="S4232" i="1"/>
  <c r="T4232" i="1"/>
  <c r="R4233" i="1"/>
  <c r="S4233" i="1"/>
  <c r="T4233" i="1"/>
  <c r="R4234" i="1"/>
  <c r="S4234" i="1"/>
  <c r="T4234" i="1"/>
  <c r="R4235" i="1"/>
  <c r="S4235" i="1"/>
  <c r="T4235" i="1"/>
  <c r="R4236" i="1"/>
  <c r="S4236" i="1"/>
  <c r="T4236" i="1"/>
  <c r="R4237" i="1"/>
  <c r="S4237" i="1"/>
  <c r="T4237" i="1"/>
  <c r="R4238" i="1"/>
  <c r="S4238" i="1"/>
  <c r="T4238" i="1"/>
  <c r="R4239" i="1"/>
  <c r="S4239" i="1"/>
  <c r="T4239" i="1"/>
  <c r="R4240" i="1"/>
  <c r="S4240" i="1"/>
  <c r="T4240" i="1"/>
  <c r="R4241" i="1"/>
  <c r="S4241" i="1"/>
  <c r="T4241" i="1"/>
  <c r="R4242" i="1"/>
  <c r="S4242" i="1"/>
  <c r="T4242" i="1"/>
  <c r="R4243" i="1"/>
  <c r="S4243" i="1"/>
  <c r="T4243" i="1"/>
  <c r="R4244" i="1"/>
  <c r="S4244" i="1"/>
  <c r="T4244" i="1"/>
  <c r="R4245" i="1"/>
  <c r="S4245" i="1"/>
  <c r="T4245" i="1"/>
  <c r="R4246" i="1"/>
  <c r="S4246" i="1"/>
  <c r="T4246" i="1"/>
  <c r="R4247" i="1"/>
  <c r="S4247" i="1"/>
  <c r="T4247" i="1"/>
  <c r="R4248" i="1"/>
  <c r="S4248" i="1"/>
  <c r="T4248" i="1"/>
  <c r="R4249" i="1"/>
  <c r="S4249" i="1"/>
  <c r="T4249" i="1"/>
  <c r="R4250" i="1"/>
  <c r="S4250" i="1"/>
  <c r="T4250" i="1"/>
  <c r="R4251" i="1"/>
  <c r="S4251" i="1"/>
  <c r="T4251" i="1"/>
  <c r="R4252" i="1"/>
  <c r="S4252" i="1"/>
  <c r="T4252" i="1"/>
  <c r="R4253" i="1"/>
  <c r="S4253" i="1"/>
  <c r="T4253" i="1"/>
  <c r="R4254" i="1"/>
  <c r="S4254" i="1"/>
  <c r="T4254" i="1"/>
  <c r="R4255" i="1"/>
  <c r="S4255" i="1"/>
  <c r="T4255" i="1"/>
  <c r="R4256" i="1"/>
  <c r="S4256" i="1"/>
  <c r="T4256" i="1"/>
  <c r="R4257" i="1"/>
  <c r="S4257" i="1"/>
  <c r="T4257" i="1"/>
  <c r="R4258" i="1"/>
  <c r="S4258" i="1"/>
  <c r="T4258" i="1"/>
  <c r="R4259" i="1"/>
  <c r="S4259" i="1"/>
  <c r="T4259" i="1"/>
  <c r="R4260" i="1"/>
  <c r="S4260" i="1"/>
  <c r="T4260" i="1"/>
  <c r="R4261" i="1"/>
  <c r="S4261" i="1"/>
  <c r="T4261" i="1"/>
  <c r="R4262" i="1"/>
  <c r="S4262" i="1"/>
  <c r="T4262" i="1"/>
  <c r="R4263" i="1"/>
  <c r="S4263" i="1"/>
  <c r="T4263" i="1"/>
  <c r="R4264" i="1"/>
  <c r="S4264" i="1"/>
  <c r="T4264" i="1"/>
  <c r="R4265" i="1"/>
  <c r="S4265" i="1"/>
  <c r="T4265" i="1"/>
  <c r="R4266" i="1"/>
  <c r="S4266" i="1"/>
  <c r="T4266" i="1"/>
  <c r="R4267" i="1"/>
  <c r="S4267" i="1"/>
  <c r="T4267" i="1"/>
  <c r="R4268" i="1"/>
  <c r="S4268" i="1"/>
  <c r="T4268" i="1"/>
  <c r="R4269" i="1"/>
  <c r="S4269" i="1"/>
  <c r="T4269" i="1"/>
  <c r="R4270" i="1"/>
  <c r="S4270" i="1"/>
  <c r="T4270" i="1"/>
  <c r="R4271" i="1"/>
  <c r="S4271" i="1"/>
  <c r="T4271" i="1"/>
  <c r="R4272" i="1"/>
  <c r="S4272" i="1"/>
  <c r="T4272" i="1"/>
  <c r="R4273" i="1"/>
  <c r="S4273" i="1"/>
  <c r="T4273" i="1"/>
  <c r="R4274" i="1"/>
  <c r="S4274" i="1"/>
  <c r="T4274" i="1"/>
  <c r="R4275" i="1"/>
  <c r="S4275" i="1"/>
  <c r="T4275" i="1"/>
  <c r="R4276" i="1"/>
  <c r="S4276" i="1"/>
  <c r="T4276" i="1"/>
  <c r="R4277" i="1"/>
  <c r="S4277" i="1"/>
  <c r="T4277" i="1"/>
  <c r="R4278" i="1"/>
  <c r="S4278" i="1"/>
  <c r="T4278" i="1"/>
  <c r="R4279" i="1"/>
  <c r="S4279" i="1"/>
  <c r="T4279" i="1"/>
  <c r="R4280" i="1"/>
  <c r="S4280" i="1"/>
  <c r="T4280" i="1"/>
  <c r="R4281" i="1"/>
  <c r="S4281" i="1"/>
  <c r="T4281" i="1"/>
  <c r="R4282" i="1"/>
  <c r="S4282" i="1"/>
  <c r="T4282" i="1"/>
  <c r="R4283" i="1"/>
  <c r="S4283" i="1"/>
  <c r="T4283" i="1"/>
  <c r="R4284" i="1"/>
  <c r="S4284" i="1"/>
  <c r="T4284" i="1"/>
  <c r="R4285" i="1"/>
  <c r="S4285" i="1"/>
  <c r="T4285" i="1"/>
  <c r="R4286" i="1"/>
  <c r="S4286" i="1"/>
  <c r="T4286" i="1"/>
  <c r="R4287" i="1"/>
  <c r="S4287" i="1"/>
  <c r="T4287" i="1"/>
  <c r="R4288" i="1"/>
  <c r="S4288" i="1"/>
  <c r="T4288" i="1"/>
  <c r="R4289" i="1"/>
  <c r="S4289" i="1"/>
  <c r="T4289" i="1"/>
  <c r="R4290" i="1"/>
  <c r="S4290" i="1"/>
  <c r="T4290" i="1"/>
  <c r="R4291" i="1"/>
  <c r="S4291" i="1"/>
  <c r="T4291" i="1"/>
  <c r="R4292" i="1"/>
  <c r="S4292" i="1"/>
  <c r="T4292" i="1"/>
  <c r="R4293" i="1"/>
  <c r="S4293" i="1"/>
  <c r="T4293" i="1"/>
  <c r="R4294" i="1"/>
  <c r="S4294" i="1"/>
  <c r="T4294" i="1"/>
  <c r="R4295" i="1"/>
  <c r="S4295" i="1"/>
  <c r="T4295" i="1"/>
  <c r="R4296" i="1"/>
  <c r="S4296" i="1"/>
  <c r="T4296" i="1"/>
  <c r="R4297" i="1"/>
  <c r="S4297" i="1"/>
  <c r="T4297" i="1"/>
  <c r="R4298" i="1"/>
  <c r="S4298" i="1"/>
  <c r="T4298" i="1"/>
  <c r="R4299" i="1"/>
  <c r="S4299" i="1"/>
  <c r="T4299" i="1"/>
  <c r="R4300" i="1"/>
  <c r="S4300" i="1"/>
  <c r="T4300" i="1"/>
  <c r="R4301" i="1"/>
  <c r="S4301" i="1"/>
  <c r="T4301" i="1"/>
  <c r="R4302" i="1"/>
  <c r="S4302" i="1"/>
  <c r="T4302" i="1"/>
  <c r="R4303" i="1"/>
  <c r="S4303" i="1"/>
  <c r="T4303" i="1"/>
  <c r="R4304" i="1"/>
  <c r="S4304" i="1"/>
  <c r="T4304" i="1"/>
  <c r="R4305" i="1"/>
  <c r="S4305" i="1"/>
  <c r="T4305" i="1"/>
  <c r="R4306" i="1"/>
  <c r="S4306" i="1"/>
  <c r="T4306" i="1"/>
  <c r="R4307" i="1"/>
  <c r="S4307" i="1"/>
  <c r="T4307" i="1"/>
  <c r="R4308" i="1"/>
  <c r="S4308" i="1"/>
  <c r="T4308" i="1"/>
  <c r="R4309" i="1"/>
  <c r="S4309" i="1"/>
  <c r="T4309" i="1"/>
  <c r="R4310" i="1"/>
  <c r="S4310" i="1"/>
  <c r="T4310" i="1"/>
  <c r="R4311" i="1"/>
  <c r="S4311" i="1"/>
  <c r="T4311" i="1"/>
  <c r="R4312" i="1"/>
  <c r="S4312" i="1"/>
  <c r="T4312" i="1"/>
  <c r="R4313" i="1"/>
  <c r="S4313" i="1"/>
  <c r="T4313" i="1"/>
  <c r="R4314" i="1"/>
  <c r="S4314" i="1"/>
  <c r="T4314" i="1"/>
  <c r="R4315" i="1"/>
  <c r="S4315" i="1"/>
  <c r="T4315" i="1"/>
  <c r="R4316" i="1"/>
  <c r="S4316" i="1"/>
  <c r="T4316" i="1"/>
  <c r="R4317" i="1"/>
  <c r="S4317" i="1"/>
  <c r="T4317" i="1"/>
  <c r="R4318" i="1"/>
  <c r="S4318" i="1"/>
  <c r="T4318" i="1"/>
  <c r="R4319" i="1"/>
  <c r="S4319" i="1"/>
  <c r="T4319" i="1"/>
  <c r="R4320" i="1"/>
  <c r="S4320" i="1"/>
  <c r="T4320" i="1"/>
  <c r="R4321" i="1"/>
  <c r="S4321" i="1"/>
  <c r="T4321" i="1"/>
  <c r="R4322" i="1"/>
  <c r="S4322" i="1"/>
  <c r="T4322" i="1"/>
  <c r="R4323" i="1"/>
  <c r="S4323" i="1"/>
  <c r="T4323" i="1"/>
  <c r="R4324" i="1"/>
  <c r="S4324" i="1"/>
  <c r="T4324" i="1"/>
  <c r="R4325" i="1"/>
  <c r="S4325" i="1"/>
  <c r="T4325" i="1"/>
  <c r="R4326" i="1"/>
  <c r="S4326" i="1"/>
  <c r="T4326" i="1"/>
  <c r="R4327" i="1"/>
  <c r="S4327" i="1"/>
  <c r="T4327" i="1"/>
  <c r="R4328" i="1"/>
  <c r="S4328" i="1"/>
  <c r="T4328" i="1"/>
  <c r="R4329" i="1"/>
  <c r="S4329" i="1"/>
  <c r="T4329" i="1"/>
  <c r="R4330" i="1"/>
  <c r="S4330" i="1"/>
  <c r="T4330" i="1"/>
  <c r="R4331" i="1"/>
  <c r="S4331" i="1"/>
  <c r="T4331" i="1"/>
  <c r="R4332" i="1"/>
  <c r="S4332" i="1"/>
  <c r="T4332" i="1"/>
  <c r="R4333" i="1"/>
  <c r="S4333" i="1"/>
  <c r="T4333" i="1"/>
  <c r="R4334" i="1"/>
  <c r="S4334" i="1"/>
  <c r="T4334" i="1"/>
  <c r="R4335" i="1"/>
  <c r="S4335" i="1"/>
  <c r="T4335" i="1"/>
  <c r="R4336" i="1"/>
  <c r="S4336" i="1"/>
  <c r="T4336" i="1"/>
  <c r="R4337" i="1"/>
  <c r="S4337" i="1"/>
  <c r="T4337" i="1"/>
  <c r="R4338" i="1"/>
  <c r="S4338" i="1"/>
  <c r="T4338" i="1"/>
  <c r="R4339" i="1"/>
  <c r="S4339" i="1"/>
  <c r="T4339" i="1"/>
  <c r="R4340" i="1"/>
  <c r="S4340" i="1"/>
  <c r="T4340" i="1"/>
  <c r="R4341" i="1"/>
  <c r="S4341" i="1"/>
  <c r="T4341" i="1"/>
  <c r="R4342" i="1"/>
  <c r="S4342" i="1"/>
  <c r="T4342" i="1"/>
  <c r="R4343" i="1"/>
  <c r="S4343" i="1"/>
  <c r="T4343" i="1"/>
  <c r="R4344" i="1"/>
  <c r="S4344" i="1"/>
  <c r="T4344" i="1"/>
  <c r="R4345" i="1"/>
  <c r="S4345" i="1"/>
  <c r="T4345" i="1"/>
  <c r="R4346" i="1"/>
  <c r="S4346" i="1"/>
  <c r="T4346" i="1"/>
  <c r="R4347" i="1"/>
  <c r="S4347" i="1"/>
  <c r="T4347" i="1"/>
  <c r="R4348" i="1"/>
  <c r="S4348" i="1"/>
  <c r="T4348" i="1"/>
  <c r="R4349" i="1"/>
  <c r="S4349" i="1"/>
  <c r="T4349" i="1"/>
  <c r="R4350" i="1"/>
  <c r="S4350" i="1"/>
  <c r="T4350" i="1"/>
  <c r="R4351" i="1"/>
  <c r="S4351" i="1"/>
  <c r="T4351" i="1"/>
  <c r="R4352" i="1"/>
  <c r="S4352" i="1"/>
  <c r="T4352" i="1"/>
  <c r="R4353" i="1"/>
  <c r="S4353" i="1"/>
  <c r="T4353" i="1"/>
  <c r="R4354" i="1"/>
  <c r="S4354" i="1"/>
  <c r="T4354" i="1"/>
  <c r="R4355" i="1"/>
  <c r="S4355" i="1"/>
  <c r="T4355" i="1"/>
  <c r="R4356" i="1"/>
  <c r="S4356" i="1"/>
  <c r="T4356" i="1"/>
  <c r="R4357" i="1"/>
  <c r="S4357" i="1"/>
  <c r="T4357" i="1"/>
  <c r="R4358" i="1"/>
  <c r="S4358" i="1"/>
  <c r="T4358" i="1"/>
  <c r="R4359" i="1"/>
  <c r="S4359" i="1"/>
  <c r="T4359" i="1"/>
  <c r="R4360" i="1"/>
  <c r="S4360" i="1"/>
  <c r="T4360" i="1"/>
  <c r="R4361" i="1"/>
  <c r="S4361" i="1"/>
  <c r="T4361" i="1"/>
  <c r="R4362" i="1"/>
  <c r="S4362" i="1"/>
  <c r="T4362" i="1"/>
  <c r="R4363" i="1"/>
  <c r="S4363" i="1"/>
  <c r="T4363" i="1"/>
  <c r="R4364" i="1"/>
  <c r="S4364" i="1"/>
  <c r="T4364" i="1"/>
  <c r="R4365" i="1"/>
  <c r="S4365" i="1"/>
  <c r="T4365" i="1"/>
  <c r="R4366" i="1"/>
  <c r="S4366" i="1"/>
  <c r="T4366" i="1"/>
  <c r="R4367" i="1"/>
  <c r="S4367" i="1"/>
  <c r="T4367" i="1"/>
  <c r="R4368" i="1"/>
  <c r="S4368" i="1"/>
  <c r="T4368" i="1"/>
  <c r="R4369" i="1"/>
  <c r="S4369" i="1"/>
  <c r="T4369" i="1"/>
  <c r="R4370" i="1"/>
  <c r="S4370" i="1"/>
  <c r="T4370" i="1"/>
  <c r="R4371" i="1"/>
  <c r="S4371" i="1"/>
  <c r="T4371" i="1"/>
  <c r="R4372" i="1"/>
  <c r="S4372" i="1"/>
  <c r="T4372" i="1"/>
  <c r="R4373" i="1"/>
  <c r="S4373" i="1"/>
  <c r="T4373" i="1"/>
  <c r="R4374" i="1"/>
  <c r="S4374" i="1"/>
  <c r="T4374" i="1"/>
  <c r="R4375" i="1"/>
  <c r="S4375" i="1"/>
  <c r="T4375" i="1"/>
  <c r="R4376" i="1"/>
  <c r="S4376" i="1"/>
  <c r="T4376" i="1"/>
  <c r="R4377" i="1"/>
  <c r="S4377" i="1"/>
  <c r="T4377" i="1"/>
  <c r="R4378" i="1"/>
  <c r="S4378" i="1"/>
  <c r="T4378" i="1"/>
  <c r="R4379" i="1"/>
  <c r="S4379" i="1"/>
  <c r="T4379" i="1"/>
  <c r="R4380" i="1"/>
  <c r="S4380" i="1"/>
  <c r="T4380" i="1"/>
  <c r="R4381" i="1"/>
  <c r="S4381" i="1"/>
  <c r="T4381" i="1"/>
  <c r="R4382" i="1"/>
  <c r="S4382" i="1"/>
  <c r="T4382" i="1"/>
  <c r="R4383" i="1"/>
  <c r="S4383" i="1"/>
  <c r="T4383" i="1"/>
  <c r="R4384" i="1"/>
  <c r="S4384" i="1"/>
  <c r="T4384" i="1"/>
  <c r="R4385" i="1"/>
  <c r="S4385" i="1"/>
  <c r="T4385" i="1"/>
  <c r="R4386" i="1"/>
  <c r="S4386" i="1"/>
  <c r="T4386" i="1"/>
  <c r="R4387" i="1"/>
  <c r="S4387" i="1"/>
  <c r="T4387" i="1"/>
  <c r="R4388" i="1"/>
  <c r="S4388" i="1"/>
  <c r="T4388" i="1"/>
  <c r="R4389" i="1"/>
  <c r="S4389" i="1"/>
  <c r="T4389" i="1"/>
  <c r="R4390" i="1"/>
  <c r="S4390" i="1"/>
  <c r="T4390" i="1"/>
  <c r="R4391" i="1"/>
  <c r="S4391" i="1"/>
  <c r="T4391" i="1"/>
  <c r="R4392" i="1"/>
  <c r="S4392" i="1"/>
  <c r="T4392" i="1"/>
  <c r="R4393" i="1"/>
  <c r="S4393" i="1"/>
  <c r="T4393" i="1"/>
  <c r="R4394" i="1"/>
  <c r="S4394" i="1"/>
  <c r="T4394" i="1"/>
  <c r="R4395" i="1"/>
  <c r="S4395" i="1"/>
  <c r="T4395" i="1"/>
  <c r="R4396" i="1"/>
  <c r="S4396" i="1"/>
  <c r="T4396" i="1"/>
  <c r="R4397" i="1"/>
  <c r="S4397" i="1"/>
  <c r="T4397" i="1"/>
  <c r="R4398" i="1"/>
  <c r="S4398" i="1"/>
  <c r="T4398" i="1"/>
  <c r="R4399" i="1"/>
  <c r="S4399" i="1"/>
  <c r="T4399" i="1"/>
  <c r="R4400" i="1"/>
  <c r="S4400" i="1"/>
  <c r="T4400" i="1"/>
  <c r="R4401" i="1"/>
  <c r="S4401" i="1"/>
  <c r="T4401" i="1"/>
  <c r="R4402" i="1"/>
  <c r="S4402" i="1"/>
  <c r="T4402" i="1"/>
  <c r="R4403" i="1"/>
  <c r="S4403" i="1"/>
  <c r="T4403" i="1"/>
  <c r="R4404" i="1"/>
  <c r="S4404" i="1"/>
  <c r="T4404" i="1"/>
  <c r="R4405" i="1"/>
  <c r="S4405" i="1"/>
  <c r="T4405" i="1"/>
  <c r="R4406" i="1"/>
  <c r="S4406" i="1"/>
  <c r="T4406" i="1"/>
  <c r="R4407" i="1"/>
  <c r="S4407" i="1"/>
  <c r="T4407" i="1"/>
  <c r="R4408" i="1"/>
  <c r="S4408" i="1"/>
  <c r="T4408" i="1"/>
  <c r="R4409" i="1"/>
  <c r="S4409" i="1"/>
  <c r="T4409" i="1"/>
  <c r="R4410" i="1"/>
  <c r="S4410" i="1"/>
  <c r="T4410" i="1"/>
  <c r="R4411" i="1"/>
  <c r="S4411" i="1"/>
  <c r="T4411" i="1"/>
  <c r="R4412" i="1"/>
  <c r="S4412" i="1"/>
  <c r="T4412" i="1"/>
  <c r="R4413" i="1"/>
  <c r="S4413" i="1"/>
  <c r="T4413" i="1"/>
  <c r="R4414" i="1"/>
  <c r="S4414" i="1"/>
  <c r="T4414" i="1"/>
  <c r="R4415" i="1"/>
  <c r="S4415" i="1"/>
  <c r="T4415" i="1"/>
  <c r="R4416" i="1"/>
  <c r="S4416" i="1"/>
  <c r="T4416" i="1"/>
  <c r="R4417" i="1"/>
  <c r="S4417" i="1"/>
  <c r="T4417" i="1"/>
  <c r="R4418" i="1"/>
  <c r="S4418" i="1"/>
  <c r="T4418" i="1"/>
  <c r="R4419" i="1"/>
  <c r="S4419" i="1"/>
  <c r="T4419" i="1"/>
  <c r="R4420" i="1"/>
  <c r="S4420" i="1"/>
  <c r="T4420" i="1"/>
  <c r="R4421" i="1"/>
  <c r="S4421" i="1"/>
  <c r="T4421" i="1"/>
  <c r="R4422" i="1"/>
  <c r="S4422" i="1"/>
  <c r="T4422" i="1"/>
  <c r="R4423" i="1"/>
  <c r="S4423" i="1"/>
  <c r="T4423" i="1"/>
  <c r="R4424" i="1"/>
  <c r="S4424" i="1"/>
  <c r="T4424" i="1"/>
  <c r="R4425" i="1"/>
  <c r="S4425" i="1"/>
  <c r="T4425" i="1"/>
  <c r="R4426" i="1"/>
  <c r="S4426" i="1"/>
  <c r="T4426" i="1"/>
  <c r="R4427" i="1"/>
  <c r="S4427" i="1"/>
  <c r="T4427" i="1"/>
  <c r="R4428" i="1"/>
  <c r="S4428" i="1"/>
  <c r="T4428" i="1"/>
  <c r="R4429" i="1"/>
  <c r="S4429" i="1"/>
  <c r="T4429" i="1"/>
  <c r="R4430" i="1"/>
  <c r="S4430" i="1"/>
  <c r="T4430" i="1"/>
  <c r="R4431" i="1"/>
  <c r="S4431" i="1"/>
  <c r="T4431" i="1"/>
  <c r="R4432" i="1"/>
  <c r="S4432" i="1"/>
  <c r="T4432" i="1"/>
  <c r="R4433" i="1"/>
  <c r="S4433" i="1"/>
  <c r="T4433" i="1"/>
  <c r="R4434" i="1"/>
  <c r="S4434" i="1"/>
  <c r="T4434" i="1"/>
  <c r="R4435" i="1"/>
  <c r="S4435" i="1"/>
  <c r="T4435" i="1"/>
  <c r="R4436" i="1"/>
  <c r="S4436" i="1"/>
  <c r="T4436" i="1"/>
  <c r="R4437" i="1"/>
  <c r="S4437" i="1"/>
  <c r="T4437" i="1"/>
  <c r="R4438" i="1"/>
  <c r="S4438" i="1"/>
  <c r="T4438" i="1"/>
  <c r="R4439" i="1"/>
  <c r="S4439" i="1"/>
  <c r="T4439" i="1"/>
  <c r="R4440" i="1"/>
  <c r="S4440" i="1"/>
  <c r="T4440" i="1"/>
  <c r="R4441" i="1"/>
  <c r="S4441" i="1"/>
  <c r="T4441" i="1"/>
  <c r="R4442" i="1"/>
  <c r="S4442" i="1"/>
  <c r="T4442" i="1"/>
  <c r="R4443" i="1"/>
  <c r="S4443" i="1"/>
  <c r="T4443" i="1"/>
  <c r="R4444" i="1"/>
  <c r="S4444" i="1"/>
  <c r="T4444" i="1"/>
  <c r="R4445" i="1"/>
  <c r="S4445" i="1"/>
  <c r="T4445" i="1"/>
  <c r="R4446" i="1"/>
  <c r="S4446" i="1"/>
  <c r="T4446" i="1"/>
  <c r="R4447" i="1"/>
  <c r="S4447" i="1"/>
  <c r="T4447" i="1"/>
  <c r="R4448" i="1"/>
  <c r="S4448" i="1"/>
  <c r="T4448" i="1"/>
  <c r="R4449" i="1"/>
  <c r="S4449" i="1"/>
  <c r="T4449" i="1"/>
  <c r="R4450" i="1"/>
  <c r="S4450" i="1"/>
  <c r="T4450" i="1"/>
  <c r="R4451" i="1"/>
  <c r="S4451" i="1"/>
  <c r="T4451" i="1"/>
  <c r="R4452" i="1"/>
  <c r="S4452" i="1"/>
  <c r="T4452" i="1"/>
  <c r="R4453" i="1"/>
  <c r="S4453" i="1"/>
  <c r="T4453" i="1"/>
  <c r="R4454" i="1"/>
  <c r="S4454" i="1"/>
  <c r="T4454" i="1"/>
  <c r="R4455" i="1"/>
  <c r="S4455" i="1"/>
  <c r="T4455" i="1"/>
  <c r="R4456" i="1"/>
  <c r="S4456" i="1"/>
  <c r="T4456" i="1"/>
  <c r="R4457" i="1"/>
  <c r="S4457" i="1"/>
  <c r="T4457" i="1"/>
  <c r="R4458" i="1"/>
  <c r="S4458" i="1"/>
  <c r="T4458" i="1"/>
  <c r="R4459" i="1"/>
  <c r="S4459" i="1"/>
  <c r="T4459" i="1"/>
  <c r="R4460" i="1"/>
  <c r="S4460" i="1"/>
  <c r="T4460" i="1"/>
  <c r="R4461" i="1"/>
  <c r="S4461" i="1"/>
  <c r="T4461" i="1"/>
  <c r="R4462" i="1"/>
  <c r="S4462" i="1"/>
  <c r="T4462" i="1"/>
  <c r="R4463" i="1"/>
  <c r="S4463" i="1"/>
  <c r="T4463" i="1"/>
  <c r="R4464" i="1"/>
  <c r="S4464" i="1"/>
  <c r="T4464" i="1"/>
  <c r="R4465" i="1"/>
  <c r="S4465" i="1"/>
  <c r="T4465" i="1"/>
  <c r="R4466" i="1"/>
  <c r="S4466" i="1"/>
  <c r="T4466" i="1"/>
  <c r="R4467" i="1"/>
  <c r="S4467" i="1"/>
  <c r="T4467" i="1"/>
  <c r="R4468" i="1"/>
  <c r="S4468" i="1"/>
  <c r="T4468" i="1"/>
  <c r="R4469" i="1"/>
  <c r="S4469" i="1"/>
  <c r="T4469" i="1"/>
  <c r="R4470" i="1"/>
  <c r="S4470" i="1"/>
  <c r="T4470" i="1"/>
  <c r="R4471" i="1"/>
  <c r="S4471" i="1"/>
  <c r="T4471" i="1"/>
  <c r="R4472" i="1"/>
  <c r="S4472" i="1"/>
  <c r="T4472" i="1"/>
  <c r="R4473" i="1"/>
  <c r="S4473" i="1"/>
  <c r="T4473" i="1"/>
  <c r="R4474" i="1"/>
  <c r="S4474" i="1"/>
  <c r="T4474" i="1"/>
  <c r="R4475" i="1"/>
  <c r="S4475" i="1"/>
  <c r="T4475" i="1"/>
  <c r="R4476" i="1"/>
  <c r="S4476" i="1"/>
  <c r="T4476" i="1"/>
  <c r="R4477" i="1"/>
  <c r="S4477" i="1"/>
  <c r="T4477" i="1"/>
  <c r="R4478" i="1"/>
  <c r="S4478" i="1"/>
  <c r="T4478" i="1"/>
  <c r="R4479" i="1"/>
  <c r="S4479" i="1"/>
  <c r="T4479" i="1"/>
  <c r="R4480" i="1"/>
  <c r="S4480" i="1"/>
  <c r="T4480" i="1"/>
  <c r="R4481" i="1"/>
  <c r="S4481" i="1"/>
  <c r="T4481" i="1"/>
  <c r="R4482" i="1"/>
  <c r="S4482" i="1"/>
  <c r="T4482" i="1"/>
  <c r="R4483" i="1"/>
  <c r="S4483" i="1"/>
  <c r="T4483" i="1"/>
  <c r="R4484" i="1"/>
  <c r="S4484" i="1"/>
  <c r="T4484" i="1"/>
  <c r="R4485" i="1"/>
  <c r="S4485" i="1"/>
  <c r="T4485" i="1"/>
  <c r="R4486" i="1"/>
  <c r="S4486" i="1"/>
  <c r="T4486" i="1"/>
  <c r="R4487" i="1"/>
  <c r="S4487" i="1"/>
  <c r="T4487" i="1"/>
  <c r="R4488" i="1"/>
  <c r="S4488" i="1"/>
  <c r="T4488" i="1"/>
  <c r="R4489" i="1"/>
  <c r="S4489" i="1"/>
  <c r="T4489" i="1"/>
  <c r="R4490" i="1"/>
  <c r="S4490" i="1"/>
  <c r="T4490" i="1"/>
  <c r="R4491" i="1"/>
  <c r="S4491" i="1"/>
  <c r="T4491" i="1"/>
  <c r="R4492" i="1"/>
  <c r="S4492" i="1"/>
  <c r="T4492" i="1"/>
  <c r="R4493" i="1"/>
  <c r="S4493" i="1"/>
  <c r="T4493" i="1"/>
  <c r="R4494" i="1"/>
  <c r="S4494" i="1"/>
  <c r="T4494" i="1"/>
  <c r="R4495" i="1"/>
  <c r="S4495" i="1"/>
  <c r="T4495" i="1"/>
  <c r="R4496" i="1"/>
  <c r="S4496" i="1"/>
  <c r="T4496" i="1"/>
  <c r="R4497" i="1"/>
  <c r="S4497" i="1"/>
  <c r="T4497" i="1"/>
  <c r="R4498" i="1"/>
  <c r="S4498" i="1"/>
  <c r="T4498" i="1"/>
  <c r="R4499" i="1"/>
  <c r="S4499" i="1"/>
  <c r="T4499" i="1"/>
  <c r="R4500" i="1"/>
  <c r="S4500" i="1"/>
  <c r="T4500" i="1"/>
  <c r="R4501" i="1"/>
  <c r="S4501" i="1"/>
  <c r="T4501" i="1"/>
  <c r="R4502" i="1"/>
  <c r="S4502" i="1"/>
  <c r="T4502" i="1"/>
  <c r="R4503" i="1"/>
  <c r="S4503" i="1"/>
  <c r="T4503" i="1"/>
  <c r="R4504" i="1"/>
  <c r="S4504" i="1"/>
  <c r="T4504" i="1"/>
  <c r="R4505" i="1"/>
  <c r="S4505" i="1"/>
  <c r="T4505" i="1"/>
  <c r="R4506" i="1"/>
  <c r="S4506" i="1"/>
  <c r="T4506" i="1"/>
  <c r="R4507" i="1"/>
  <c r="S4507" i="1"/>
  <c r="T4507" i="1"/>
  <c r="R4508" i="1"/>
  <c r="S4508" i="1"/>
  <c r="T4508" i="1"/>
  <c r="R4509" i="1"/>
  <c r="S4509" i="1"/>
  <c r="T4509" i="1"/>
  <c r="R4510" i="1"/>
  <c r="S4510" i="1"/>
  <c r="T4510" i="1"/>
  <c r="R4511" i="1"/>
  <c r="S4511" i="1"/>
  <c r="T4511" i="1"/>
  <c r="R4512" i="1"/>
  <c r="S4512" i="1"/>
  <c r="T4512" i="1"/>
  <c r="R4513" i="1"/>
  <c r="S4513" i="1"/>
  <c r="T4513" i="1"/>
  <c r="R4514" i="1"/>
  <c r="S4514" i="1"/>
  <c r="T4514" i="1"/>
  <c r="R4515" i="1"/>
  <c r="S4515" i="1"/>
  <c r="T4515" i="1"/>
  <c r="R4516" i="1"/>
  <c r="S4516" i="1"/>
  <c r="T4516" i="1"/>
  <c r="R4517" i="1"/>
  <c r="S4517" i="1"/>
  <c r="T4517" i="1"/>
  <c r="R4518" i="1"/>
  <c r="S4518" i="1"/>
  <c r="T4518" i="1"/>
  <c r="R4519" i="1"/>
  <c r="S4519" i="1"/>
  <c r="T4519" i="1"/>
  <c r="R4520" i="1"/>
  <c r="S4520" i="1"/>
  <c r="T4520" i="1"/>
  <c r="R4521" i="1"/>
  <c r="S4521" i="1"/>
  <c r="T4521" i="1"/>
  <c r="R4522" i="1"/>
  <c r="S4522" i="1"/>
  <c r="T4522" i="1"/>
  <c r="R4523" i="1"/>
  <c r="S4523" i="1"/>
  <c r="T4523" i="1"/>
  <c r="R4524" i="1"/>
  <c r="S4524" i="1"/>
  <c r="T4524" i="1"/>
  <c r="R4525" i="1"/>
  <c r="S4525" i="1"/>
  <c r="T4525" i="1"/>
  <c r="R4526" i="1"/>
  <c r="S4526" i="1"/>
  <c r="T4526" i="1"/>
  <c r="R4527" i="1"/>
  <c r="S4527" i="1"/>
  <c r="T4527" i="1"/>
  <c r="R4528" i="1"/>
  <c r="S4528" i="1"/>
  <c r="T4528" i="1"/>
  <c r="R4529" i="1"/>
  <c r="S4529" i="1"/>
  <c r="T4529" i="1"/>
  <c r="R4530" i="1"/>
  <c r="S4530" i="1"/>
  <c r="T4530" i="1"/>
  <c r="R4531" i="1"/>
  <c r="S4531" i="1"/>
  <c r="T4531" i="1"/>
  <c r="R4532" i="1"/>
  <c r="S4532" i="1"/>
  <c r="T4532" i="1"/>
  <c r="R4533" i="1"/>
  <c r="S4533" i="1"/>
  <c r="T4533" i="1"/>
  <c r="R4534" i="1"/>
  <c r="S4534" i="1"/>
  <c r="T4534" i="1"/>
  <c r="R4535" i="1"/>
  <c r="S4535" i="1"/>
  <c r="T4535" i="1"/>
  <c r="R4536" i="1"/>
  <c r="S4536" i="1"/>
  <c r="T4536" i="1"/>
  <c r="R4537" i="1"/>
  <c r="S4537" i="1"/>
  <c r="T4537" i="1"/>
  <c r="R4538" i="1"/>
  <c r="S4538" i="1"/>
  <c r="T4538" i="1"/>
  <c r="R4539" i="1"/>
  <c r="S4539" i="1"/>
  <c r="T4539" i="1"/>
  <c r="R4540" i="1"/>
  <c r="S4540" i="1"/>
  <c r="T4540" i="1"/>
  <c r="R4541" i="1"/>
  <c r="S4541" i="1"/>
  <c r="T4541" i="1"/>
  <c r="R4542" i="1"/>
  <c r="S4542" i="1"/>
  <c r="T4542" i="1"/>
  <c r="R4543" i="1"/>
  <c r="S4543" i="1"/>
  <c r="T4543" i="1"/>
  <c r="R4544" i="1"/>
  <c r="S4544" i="1"/>
  <c r="T4544" i="1"/>
  <c r="R4545" i="1"/>
  <c r="S4545" i="1"/>
  <c r="T4545" i="1"/>
  <c r="R4546" i="1"/>
  <c r="S4546" i="1"/>
  <c r="T4546" i="1"/>
  <c r="R4547" i="1"/>
  <c r="S4547" i="1"/>
  <c r="T4547" i="1"/>
  <c r="R4548" i="1"/>
  <c r="S4548" i="1"/>
  <c r="T4548" i="1"/>
  <c r="R4549" i="1"/>
  <c r="S4549" i="1"/>
  <c r="T4549" i="1"/>
  <c r="R4550" i="1"/>
  <c r="S4550" i="1"/>
  <c r="T4550" i="1"/>
  <c r="R4551" i="1"/>
  <c r="S4551" i="1"/>
  <c r="T4551" i="1"/>
  <c r="R4552" i="1"/>
  <c r="S4552" i="1"/>
  <c r="T4552" i="1"/>
  <c r="R4553" i="1"/>
  <c r="S4553" i="1"/>
  <c r="T4553" i="1"/>
  <c r="R4554" i="1"/>
  <c r="S4554" i="1"/>
  <c r="T4554" i="1"/>
  <c r="R4555" i="1"/>
  <c r="S4555" i="1"/>
  <c r="T4555" i="1"/>
  <c r="R4556" i="1"/>
  <c r="S4556" i="1"/>
  <c r="T4556" i="1"/>
  <c r="R4557" i="1"/>
  <c r="S4557" i="1"/>
  <c r="T4557" i="1"/>
  <c r="R4558" i="1"/>
  <c r="S4558" i="1"/>
  <c r="T4558" i="1"/>
  <c r="R4559" i="1"/>
  <c r="S4559" i="1"/>
  <c r="T4559" i="1"/>
  <c r="R4560" i="1"/>
  <c r="S4560" i="1"/>
  <c r="T4560" i="1"/>
  <c r="R4561" i="1"/>
  <c r="S4561" i="1"/>
  <c r="T4561" i="1"/>
  <c r="R4562" i="1"/>
  <c r="S4562" i="1"/>
  <c r="T4562" i="1"/>
  <c r="R4563" i="1"/>
  <c r="S4563" i="1"/>
  <c r="T4563" i="1"/>
  <c r="R4564" i="1"/>
  <c r="S4564" i="1"/>
  <c r="T4564" i="1"/>
  <c r="R4565" i="1"/>
  <c r="S4565" i="1"/>
  <c r="T4565" i="1"/>
  <c r="R4566" i="1"/>
  <c r="S4566" i="1"/>
  <c r="T4566" i="1"/>
  <c r="R4567" i="1"/>
  <c r="S4567" i="1"/>
  <c r="T4567" i="1"/>
  <c r="R4568" i="1"/>
  <c r="S4568" i="1"/>
  <c r="T4568" i="1"/>
  <c r="R4569" i="1"/>
  <c r="S4569" i="1"/>
  <c r="T4569" i="1"/>
  <c r="R4570" i="1"/>
  <c r="S4570" i="1"/>
  <c r="T4570" i="1"/>
  <c r="R4571" i="1"/>
  <c r="S4571" i="1"/>
  <c r="T4571" i="1"/>
  <c r="R4572" i="1"/>
  <c r="S4572" i="1"/>
  <c r="T4572" i="1"/>
  <c r="R4573" i="1"/>
  <c r="S4573" i="1"/>
  <c r="T4573" i="1"/>
  <c r="R4574" i="1"/>
  <c r="S4574" i="1"/>
  <c r="T4574" i="1"/>
  <c r="R4575" i="1"/>
  <c r="S4575" i="1"/>
  <c r="T4575" i="1"/>
  <c r="R4576" i="1"/>
  <c r="S4576" i="1"/>
  <c r="T4576" i="1"/>
  <c r="R4577" i="1"/>
  <c r="S4577" i="1"/>
  <c r="T4577" i="1"/>
  <c r="R4578" i="1"/>
  <c r="S4578" i="1"/>
  <c r="T4578" i="1"/>
  <c r="R4579" i="1"/>
  <c r="S4579" i="1"/>
  <c r="T4579" i="1"/>
  <c r="R4580" i="1"/>
  <c r="S4580" i="1"/>
  <c r="T4580" i="1"/>
  <c r="R4581" i="1"/>
  <c r="S4581" i="1"/>
  <c r="T4581" i="1"/>
  <c r="R4582" i="1"/>
  <c r="S4582" i="1"/>
  <c r="T4582" i="1"/>
  <c r="R4583" i="1"/>
  <c r="S4583" i="1"/>
  <c r="T4583" i="1"/>
  <c r="R4584" i="1"/>
  <c r="S4584" i="1"/>
  <c r="T4584" i="1"/>
  <c r="R4585" i="1"/>
  <c r="S4585" i="1"/>
  <c r="T4585" i="1"/>
  <c r="R4586" i="1"/>
  <c r="S4586" i="1"/>
  <c r="T4586" i="1"/>
  <c r="R4587" i="1"/>
  <c r="S4587" i="1"/>
  <c r="T4587" i="1"/>
  <c r="R4588" i="1"/>
  <c r="S4588" i="1"/>
  <c r="T4588" i="1"/>
  <c r="R4589" i="1"/>
  <c r="S4589" i="1"/>
  <c r="T4589" i="1"/>
  <c r="R4590" i="1"/>
  <c r="S4590" i="1"/>
  <c r="T4590" i="1"/>
  <c r="R4591" i="1"/>
  <c r="S4591" i="1"/>
  <c r="T4591" i="1"/>
  <c r="R4592" i="1"/>
  <c r="S4592" i="1"/>
  <c r="T4592" i="1"/>
  <c r="R4593" i="1"/>
  <c r="S4593" i="1"/>
  <c r="T4593" i="1"/>
  <c r="R4594" i="1"/>
  <c r="S4594" i="1"/>
  <c r="T4594" i="1"/>
  <c r="R4595" i="1"/>
  <c r="S4595" i="1"/>
  <c r="T4595" i="1"/>
  <c r="R4596" i="1"/>
  <c r="S4596" i="1"/>
  <c r="T4596" i="1"/>
  <c r="R4597" i="1"/>
  <c r="S4597" i="1"/>
  <c r="T4597" i="1"/>
  <c r="R4598" i="1"/>
  <c r="S4598" i="1"/>
  <c r="T4598" i="1"/>
  <c r="R4599" i="1"/>
  <c r="S4599" i="1"/>
  <c r="T4599" i="1"/>
  <c r="R4600" i="1"/>
  <c r="S4600" i="1"/>
  <c r="T4600" i="1"/>
  <c r="R4601" i="1"/>
  <c r="S4601" i="1"/>
  <c r="T4601" i="1"/>
  <c r="R4602" i="1"/>
  <c r="S4602" i="1"/>
  <c r="T4602" i="1"/>
  <c r="R4603" i="1"/>
  <c r="S4603" i="1"/>
  <c r="T4603" i="1"/>
  <c r="R4604" i="1"/>
  <c r="S4604" i="1"/>
  <c r="T4604" i="1"/>
  <c r="R4605" i="1"/>
  <c r="S4605" i="1"/>
  <c r="T4605" i="1"/>
  <c r="R4606" i="1"/>
  <c r="S4606" i="1"/>
  <c r="T4606" i="1"/>
  <c r="R4607" i="1"/>
  <c r="S4607" i="1"/>
  <c r="T4607" i="1"/>
  <c r="R4608" i="1"/>
  <c r="S4608" i="1"/>
  <c r="T4608" i="1"/>
  <c r="R4609" i="1"/>
  <c r="S4609" i="1"/>
  <c r="T4609" i="1"/>
  <c r="R4610" i="1"/>
  <c r="S4610" i="1"/>
  <c r="T4610" i="1"/>
  <c r="R4611" i="1"/>
  <c r="S4611" i="1"/>
  <c r="T4611" i="1"/>
  <c r="R4612" i="1"/>
  <c r="S4612" i="1"/>
  <c r="T4612" i="1"/>
  <c r="R4613" i="1"/>
  <c r="S4613" i="1"/>
  <c r="T4613" i="1"/>
  <c r="R4614" i="1"/>
  <c r="S4614" i="1"/>
  <c r="T4614" i="1"/>
  <c r="R4615" i="1"/>
  <c r="S4615" i="1"/>
  <c r="T4615" i="1"/>
  <c r="R4616" i="1"/>
  <c r="S4616" i="1"/>
  <c r="T4616" i="1"/>
  <c r="R4617" i="1"/>
  <c r="S4617" i="1"/>
  <c r="T4617" i="1"/>
  <c r="R4618" i="1"/>
  <c r="S4618" i="1"/>
  <c r="T4618" i="1"/>
  <c r="R4619" i="1"/>
  <c r="S4619" i="1"/>
  <c r="T4619" i="1"/>
  <c r="R4620" i="1"/>
  <c r="S4620" i="1"/>
  <c r="T4620" i="1"/>
  <c r="R4621" i="1"/>
  <c r="S4621" i="1"/>
  <c r="T4621" i="1"/>
  <c r="R4622" i="1"/>
  <c r="S4622" i="1"/>
  <c r="T4622" i="1"/>
  <c r="R4623" i="1"/>
  <c r="S4623" i="1"/>
  <c r="T4623" i="1"/>
  <c r="R4624" i="1"/>
  <c r="S4624" i="1"/>
  <c r="T4624" i="1"/>
  <c r="R4625" i="1"/>
  <c r="S4625" i="1"/>
  <c r="T4625" i="1"/>
  <c r="R4626" i="1"/>
  <c r="S4626" i="1"/>
  <c r="T4626" i="1"/>
  <c r="R4627" i="1"/>
  <c r="S4627" i="1"/>
  <c r="T4627" i="1"/>
  <c r="R4628" i="1"/>
  <c r="S4628" i="1"/>
  <c r="T4628" i="1"/>
  <c r="R4629" i="1"/>
  <c r="S4629" i="1"/>
  <c r="T4629" i="1"/>
  <c r="R4630" i="1"/>
  <c r="S4630" i="1"/>
  <c r="T4630" i="1"/>
  <c r="R4631" i="1"/>
  <c r="S4631" i="1"/>
  <c r="T4631" i="1"/>
  <c r="R4632" i="1"/>
  <c r="S4632" i="1"/>
  <c r="T4632" i="1"/>
  <c r="R4633" i="1"/>
  <c r="S4633" i="1"/>
  <c r="T4633" i="1"/>
  <c r="R4634" i="1"/>
  <c r="S4634" i="1"/>
  <c r="T4634" i="1"/>
  <c r="R4635" i="1"/>
  <c r="S4635" i="1"/>
  <c r="T4635" i="1"/>
  <c r="R4636" i="1"/>
  <c r="S4636" i="1"/>
  <c r="T4636" i="1"/>
  <c r="R4637" i="1"/>
  <c r="S4637" i="1"/>
  <c r="T4637" i="1"/>
  <c r="R4638" i="1"/>
  <c r="S4638" i="1"/>
  <c r="T4638" i="1"/>
  <c r="R4639" i="1"/>
  <c r="S4639" i="1"/>
  <c r="T4639" i="1"/>
  <c r="R4640" i="1"/>
  <c r="S4640" i="1"/>
  <c r="T4640" i="1"/>
  <c r="R4641" i="1"/>
  <c r="S4641" i="1"/>
  <c r="T4641" i="1"/>
  <c r="R4642" i="1"/>
  <c r="S4642" i="1"/>
  <c r="T4642" i="1"/>
  <c r="R4643" i="1"/>
  <c r="S4643" i="1"/>
  <c r="T4643" i="1"/>
  <c r="R4644" i="1"/>
  <c r="S4644" i="1"/>
  <c r="T4644" i="1"/>
  <c r="R4645" i="1"/>
  <c r="S4645" i="1"/>
  <c r="T4645" i="1"/>
  <c r="R4646" i="1"/>
  <c r="S4646" i="1"/>
  <c r="T4646" i="1"/>
  <c r="R4647" i="1"/>
  <c r="S4647" i="1"/>
  <c r="T4647" i="1"/>
  <c r="R4648" i="1"/>
  <c r="S4648" i="1"/>
  <c r="T4648" i="1"/>
  <c r="R4649" i="1"/>
  <c r="S4649" i="1"/>
  <c r="T4649" i="1"/>
  <c r="R4650" i="1"/>
  <c r="S4650" i="1"/>
  <c r="T4650" i="1"/>
  <c r="R4651" i="1"/>
  <c r="S4651" i="1"/>
  <c r="T4651" i="1"/>
  <c r="R4652" i="1"/>
  <c r="S4652" i="1"/>
  <c r="T4652" i="1"/>
  <c r="R4653" i="1"/>
  <c r="S4653" i="1"/>
  <c r="T4653" i="1"/>
  <c r="R4654" i="1"/>
  <c r="S4654" i="1"/>
  <c r="T4654" i="1"/>
  <c r="R4655" i="1"/>
  <c r="S4655" i="1"/>
  <c r="T4655" i="1"/>
  <c r="R4656" i="1"/>
  <c r="S4656" i="1"/>
  <c r="T4656" i="1"/>
  <c r="R4657" i="1"/>
  <c r="S4657" i="1"/>
  <c r="T4657" i="1"/>
  <c r="R4658" i="1"/>
  <c r="S4658" i="1"/>
  <c r="T4658" i="1"/>
  <c r="R4659" i="1"/>
  <c r="S4659" i="1"/>
  <c r="T4659" i="1"/>
  <c r="R4660" i="1"/>
  <c r="S4660" i="1"/>
  <c r="T4660" i="1"/>
  <c r="R4661" i="1"/>
  <c r="S4661" i="1"/>
  <c r="T4661" i="1"/>
  <c r="R4662" i="1"/>
  <c r="S4662" i="1"/>
  <c r="T4662" i="1"/>
  <c r="R4663" i="1"/>
  <c r="S4663" i="1"/>
  <c r="T4663" i="1"/>
  <c r="R4664" i="1"/>
  <c r="S4664" i="1"/>
  <c r="T4664" i="1"/>
  <c r="R4665" i="1"/>
  <c r="S4665" i="1"/>
  <c r="T4665" i="1"/>
  <c r="R4666" i="1"/>
  <c r="S4666" i="1"/>
  <c r="T4666" i="1"/>
  <c r="R4667" i="1"/>
  <c r="S4667" i="1"/>
  <c r="T4667" i="1"/>
  <c r="R4668" i="1"/>
  <c r="S4668" i="1"/>
  <c r="T4668" i="1"/>
  <c r="R4669" i="1"/>
  <c r="S4669" i="1"/>
  <c r="T4669" i="1"/>
  <c r="R4670" i="1"/>
  <c r="S4670" i="1"/>
  <c r="T4670" i="1"/>
  <c r="R4671" i="1"/>
  <c r="S4671" i="1"/>
  <c r="T4671" i="1"/>
  <c r="R4672" i="1"/>
  <c r="S4672" i="1"/>
  <c r="T4672" i="1"/>
  <c r="R4673" i="1"/>
  <c r="S4673" i="1"/>
  <c r="T4673" i="1"/>
  <c r="R4674" i="1"/>
  <c r="S4674" i="1"/>
  <c r="T4674" i="1"/>
  <c r="R4675" i="1"/>
  <c r="S4675" i="1"/>
  <c r="T4675" i="1"/>
  <c r="R4676" i="1"/>
  <c r="S4676" i="1"/>
  <c r="T4676" i="1"/>
  <c r="R4677" i="1"/>
  <c r="S4677" i="1"/>
  <c r="T4677" i="1"/>
  <c r="R4678" i="1"/>
  <c r="S4678" i="1"/>
  <c r="T4678" i="1"/>
  <c r="R4679" i="1"/>
  <c r="S4679" i="1"/>
  <c r="T4679" i="1"/>
  <c r="R4680" i="1"/>
  <c r="S4680" i="1"/>
  <c r="T4680" i="1"/>
  <c r="R4681" i="1"/>
  <c r="S4681" i="1"/>
  <c r="T4681" i="1"/>
  <c r="R4682" i="1"/>
  <c r="S4682" i="1"/>
  <c r="T4682" i="1"/>
  <c r="R4683" i="1"/>
  <c r="S4683" i="1"/>
  <c r="T4683" i="1"/>
  <c r="R4684" i="1"/>
  <c r="S4684" i="1"/>
  <c r="T4684" i="1"/>
  <c r="R4685" i="1"/>
  <c r="S4685" i="1"/>
  <c r="T4685" i="1"/>
  <c r="R4686" i="1"/>
  <c r="S4686" i="1"/>
  <c r="T4686" i="1"/>
  <c r="R4687" i="1"/>
  <c r="S4687" i="1"/>
  <c r="T4687" i="1"/>
  <c r="R4688" i="1"/>
  <c r="S4688" i="1"/>
  <c r="T4688" i="1"/>
  <c r="R4689" i="1"/>
  <c r="S4689" i="1"/>
  <c r="T4689" i="1"/>
  <c r="R4690" i="1"/>
  <c r="S4690" i="1"/>
  <c r="T4690" i="1"/>
  <c r="R4691" i="1"/>
  <c r="S4691" i="1"/>
  <c r="T4691" i="1"/>
  <c r="R4692" i="1"/>
  <c r="S4692" i="1"/>
  <c r="T4692" i="1"/>
  <c r="R4693" i="1"/>
  <c r="S4693" i="1"/>
  <c r="T4693" i="1"/>
  <c r="R4694" i="1"/>
  <c r="S4694" i="1"/>
  <c r="T4694" i="1"/>
  <c r="R4695" i="1"/>
  <c r="S4695" i="1"/>
  <c r="T4695" i="1"/>
  <c r="R4696" i="1"/>
  <c r="S4696" i="1"/>
  <c r="T4696" i="1"/>
  <c r="R4697" i="1"/>
  <c r="S4697" i="1"/>
  <c r="T4697" i="1"/>
  <c r="R4698" i="1"/>
  <c r="S4698" i="1"/>
  <c r="T4698" i="1"/>
  <c r="R4699" i="1"/>
  <c r="S4699" i="1"/>
  <c r="T4699" i="1"/>
  <c r="R4700" i="1"/>
  <c r="S4700" i="1"/>
  <c r="T4700" i="1"/>
  <c r="R4701" i="1"/>
  <c r="S4701" i="1"/>
  <c r="T4701" i="1"/>
  <c r="R4702" i="1"/>
  <c r="S4702" i="1"/>
  <c r="T4702" i="1"/>
  <c r="R4703" i="1"/>
  <c r="S4703" i="1"/>
  <c r="T4703" i="1"/>
  <c r="R4704" i="1"/>
  <c r="S4704" i="1"/>
  <c r="T4704" i="1"/>
  <c r="R4705" i="1"/>
  <c r="S4705" i="1"/>
  <c r="T4705" i="1"/>
  <c r="R4706" i="1"/>
  <c r="S4706" i="1"/>
  <c r="T4706" i="1"/>
  <c r="R4707" i="1"/>
  <c r="S4707" i="1"/>
  <c r="T4707" i="1"/>
  <c r="R4708" i="1"/>
  <c r="S4708" i="1"/>
  <c r="T4708" i="1"/>
  <c r="R4709" i="1"/>
  <c r="S4709" i="1"/>
  <c r="T4709" i="1"/>
  <c r="R4710" i="1"/>
  <c r="S4710" i="1"/>
  <c r="T4710" i="1"/>
  <c r="R4711" i="1"/>
  <c r="S4711" i="1"/>
  <c r="T4711" i="1"/>
  <c r="R4712" i="1"/>
  <c r="S4712" i="1"/>
  <c r="T4712" i="1"/>
  <c r="R4713" i="1"/>
  <c r="S4713" i="1"/>
  <c r="T4713" i="1"/>
  <c r="R4714" i="1"/>
  <c r="S4714" i="1"/>
  <c r="T4714" i="1"/>
  <c r="R4715" i="1"/>
  <c r="S4715" i="1"/>
  <c r="T4715" i="1"/>
  <c r="R4716" i="1"/>
  <c r="S4716" i="1"/>
  <c r="T4716" i="1"/>
  <c r="R4717" i="1"/>
  <c r="S4717" i="1"/>
  <c r="T4717" i="1"/>
  <c r="R4718" i="1"/>
  <c r="S4718" i="1"/>
  <c r="T4718" i="1"/>
  <c r="R4719" i="1"/>
  <c r="S4719" i="1"/>
  <c r="T4719" i="1"/>
  <c r="R4720" i="1"/>
  <c r="S4720" i="1"/>
  <c r="T4720" i="1"/>
  <c r="R4721" i="1"/>
  <c r="S4721" i="1"/>
  <c r="T4721" i="1"/>
  <c r="R4722" i="1"/>
  <c r="S4722" i="1"/>
  <c r="T4722" i="1"/>
  <c r="R4723" i="1"/>
  <c r="S4723" i="1"/>
  <c r="T4723" i="1"/>
  <c r="R4724" i="1"/>
  <c r="S4724" i="1"/>
  <c r="T4724" i="1"/>
  <c r="R4725" i="1"/>
  <c r="S4725" i="1"/>
  <c r="T4725" i="1"/>
  <c r="R4726" i="1"/>
  <c r="S4726" i="1"/>
  <c r="T4726" i="1"/>
  <c r="R4727" i="1"/>
  <c r="S4727" i="1"/>
  <c r="T4727" i="1"/>
  <c r="R4728" i="1"/>
  <c r="S4728" i="1"/>
  <c r="T4728" i="1"/>
  <c r="R4729" i="1"/>
  <c r="S4729" i="1"/>
  <c r="T4729" i="1"/>
  <c r="R4730" i="1"/>
  <c r="S4730" i="1"/>
  <c r="T4730" i="1"/>
  <c r="R4731" i="1"/>
  <c r="S4731" i="1"/>
  <c r="T4731" i="1"/>
  <c r="R4732" i="1"/>
  <c r="S4732" i="1"/>
  <c r="T4732" i="1"/>
  <c r="R4733" i="1"/>
  <c r="S4733" i="1"/>
  <c r="T4733" i="1"/>
  <c r="R4734" i="1"/>
  <c r="S4734" i="1"/>
  <c r="T4734" i="1"/>
  <c r="R4735" i="1"/>
  <c r="S4735" i="1"/>
  <c r="T4735" i="1"/>
  <c r="R4736" i="1"/>
  <c r="S4736" i="1"/>
  <c r="T4736" i="1"/>
  <c r="R4737" i="1"/>
  <c r="S4737" i="1"/>
  <c r="T4737" i="1"/>
  <c r="R4738" i="1"/>
  <c r="S4738" i="1"/>
  <c r="T4738" i="1"/>
  <c r="R4739" i="1"/>
  <c r="S4739" i="1"/>
  <c r="T4739" i="1"/>
  <c r="R4740" i="1"/>
  <c r="S4740" i="1"/>
  <c r="T4740" i="1"/>
  <c r="R4741" i="1"/>
  <c r="S4741" i="1"/>
  <c r="T4741" i="1"/>
  <c r="R4742" i="1"/>
  <c r="S4742" i="1"/>
  <c r="T4742" i="1"/>
  <c r="R4743" i="1"/>
  <c r="S4743" i="1"/>
  <c r="T4743" i="1"/>
  <c r="R4744" i="1"/>
  <c r="S4744" i="1"/>
  <c r="T4744" i="1"/>
  <c r="R4745" i="1"/>
  <c r="S4745" i="1"/>
  <c r="T4745" i="1"/>
  <c r="R4746" i="1"/>
  <c r="S4746" i="1"/>
  <c r="T4746" i="1"/>
  <c r="R4747" i="1"/>
  <c r="S4747" i="1"/>
  <c r="T4747" i="1"/>
  <c r="R4748" i="1"/>
  <c r="S4748" i="1"/>
  <c r="T4748" i="1"/>
  <c r="R4749" i="1"/>
  <c r="S4749" i="1"/>
  <c r="T4749" i="1"/>
  <c r="R4750" i="1"/>
  <c r="S4750" i="1"/>
  <c r="T4750" i="1"/>
  <c r="R4751" i="1"/>
  <c r="S4751" i="1"/>
  <c r="T4751" i="1"/>
  <c r="R4752" i="1"/>
  <c r="S4752" i="1"/>
  <c r="T4752" i="1"/>
  <c r="R4753" i="1"/>
  <c r="S4753" i="1"/>
  <c r="T4753" i="1"/>
  <c r="R4754" i="1"/>
  <c r="S4754" i="1"/>
  <c r="T4754" i="1"/>
  <c r="R4755" i="1"/>
  <c r="S4755" i="1"/>
  <c r="T4755" i="1"/>
  <c r="R4756" i="1"/>
  <c r="S4756" i="1"/>
  <c r="T4756" i="1"/>
  <c r="R4757" i="1"/>
  <c r="S4757" i="1"/>
  <c r="T4757" i="1"/>
  <c r="R4758" i="1"/>
  <c r="S4758" i="1"/>
  <c r="T4758" i="1"/>
  <c r="R4759" i="1"/>
  <c r="S4759" i="1"/>
  <c r="T4759" i="1"/>
  <c r="R4760" i="1"/>
  <c r="S4760" i="1"/>
  <c r="T4760" i="1"/>
  <c r="R4761" i="1"/>
  <c r="S4761" i="1"/>
  <c r="T4761" i="1"/>
  <c r="R4762" i="1"/>
  <c r="S4762" i="1"/>
  <c r="T4762" i="1"/>
  <c r="R4763" i="1"/>
  <c r="S4763" i="1"/>
  <c r="T4763" i="1"/>
  <c r="R4764" i="1"/>
  <c r="S4764" i="1"/>
  <c r="T4764" i="1"/>
  <c r="R4765" i="1"/>
  <c r="S4765" i="1"/>
  <c r="T4765" i="1"/>
  <c r="R4766" i="1"/>
  <c r="S4766" i="1"/>
  <c r="T4766" i="1"/>
  <c r="R4767" i="1"/>
  <c r="S4767" i="1"/>
  <c r="T4767" i="1"/>
  <c r="R4768" i="1"/>
  <c r="S4768" i="1"/>
  <c r="T4768" i="1"/>
  <c r="R4769" i="1"/>
  <c r="S4769" i="1"/>
  <c r="T4769" i="1"/>
  <c r="R4770" i="1"/>
  <c r="S4770" i="1"/>
  <c r="T4770" i="1"/>
  <c r="R4771" i="1"/>
  <c r="S4771" i="1"/>
  <c r="T4771" i="1"/>
  <c r="R4772" i="1"/>
  <c r="S4772" i="1"/>
  <c r="T4772" i="1"/>
  <c r="R4773" i="1"/>
  <c r="S4773" i="1"/>
  <c r="T4773" i="1"/>
  <c r="R4774" i="1"/>
  <c r="S4774" i="1"/>
  <c r="T4774" i="1"/>
  <c r="R4775" i="1"/>
  <c r="S4775" i="1"/>
  <c r="T4775" i="1"/>
  <c r="R4776" i="1"/>
  <c r="S4776" i="1"/>
  <c r="T4776" i="1"/>
  <c r="R4777" i="1"/>
  <c r="S4777" i="1"/>
  <c r="T4777" i="1"/>
  <c r="R4778" i="1"/>
  <c r="S4778" i="1"/>
  <c r="T4778" i="1"/>
  <c r="R4779" i="1"/>
  <c r="S4779" i="1"/>
  <c r="T4779" i="1"/>
  <c r="R4780" i="1"/>
  <c r="S4780" i="1"/>
  <c r="T4780" i="1"/>
  <c r="R4781" i="1"/>
  <c r="S4781" i="1"/>
  <c r="T4781" i="1"/>
  <c r="R4782" i="1"/>
  <c r="S4782" i="1"/>
  <c r="T4782" i="1"/>
  <c r="R4783" i="1"/>
  <c r="S4783" i="1"/>
  <c r="T4783" i="1"/>
  <c r="R4784" i="1"/>
  <c r="S4784" i="1"/>
  <c r="T4784" i="1"/>
  <c r="R4785" i="1"/>
  <c r="S4785" i="1"/>
  <c r="T4785" i="1"/>
  <c r="R4786" i="1"/>
  <c r="S4786" i="1"/>
  <c r="T4786" i="1"/>
  <c r="R4787" i="1"/>
  <c r="S4787" i="1"/>
  <c r="T4787" i="1"/>
  <c r="R4788" i="1"/>
  <c r="S4788" i="1"/>
  <c r="T4788" i="1"/>
  <c r="R4789" i="1"/>
  <c r="S4789" i="1"/>
  <c r="T4789" i="1"/>
  <c r="R4790" i="1"/>
  <c r="S4790" i="1"/>
  <c r="T4790" i="1"/>
  <c r="R4791" i="1"/>
  <c r="S4791" i="1"/>
  <c r="T4791" i="1"/>
  <c r="R4792" i="1"/>
  <c r="S4792" i="1"/>
  <c r="T4792" i="1"/>
  <c r="R4793" i="1"/>
  <c r="S4793" i="1"/>
  <c r="T4793" i="1"/>
  <c r="R4794" i="1"/>
  <c r="S4794" i="1"/>
  <c r="T4794" i="1"/>
  <c r="R4795" i="1"/>
  <c r="S4795" i="1"/>
  <c r="T4795" i="1"/>
  <c r="R4796" i="1"/>
  <c r="S4796" i="1"/>
  <c r="T4796" i="1"/>
  <c r="R4797" i="1"/>
  <c r="S4797" i="1"/>
  <c r="T4797" i="1"/>
  <c r="R4798" i="1"/>
  <c r="S4798" i="1"/>
  <c r="T4798" i="1"/>
  <c r="R4799" i="1"/>
  <c r="S4799" i="1"/>
  <c r="T4799" i="1"/>
  <c r="R4800" i="1"/>
  <c r="S4800" i="1"/>
  <c r="T4800" i="1"/>
  <c r="R4801" i="1"/>
  <c r="S4801" i="1"/>
  <c r="T4801" i="1"/>
  <c r="R4802" i="1"/>
  <c r="S4802" i="1"/>
  <c r="T4802" i="1"/>
  <c r="R4803" i="1"/>
  <c r="S4803" i="1"/>
  <c r="T4803" i="1"/>
  <c r="R4804" i="1"/>
  <c r="S4804" i="1"/>
  <c r="T4804" i="1"/>
  <c r="R4805" i="1"/>
  <c r="S4805" i="1"/>
  <c r="T4805" i="1"/>
  <c r="R4806" i="1"/>
  <c r="S4806" i="1"/>
  <c r="T4806" i="1"/>
  <c r="R4807" i="1"/>
  <c r="S4807" i="1"/>
  <c r="T4807" i="1"/>
  <c r="R4808" i="1"/>
  <c r="S4808" i="1"/>
  <c r="T4808" i="1"/>
  <c r="R4809" i="1"/>
  <c r="S4809" i="1"/>
  <c r="T4809" i="1"/>
  <c r="R4810" i="1"/>
  <c r="S4810" i="1"/>
  <c r="T4810" i="1"/>
  <c r="R4811" i="1"/>
  <c r="S4811" i="1"/>
  <c r="T4811" i="1"/>
  <c r="R4812" i="1"/>
  <c r="S4812" i="1"/>
  <c r="T4812" i="1"/>
  <c r="R4813" i="1"/>
  <c r="S4813" i="1"/>
  <c r="T4813" i="1"/>
  <c r="R4814" i="1"/>
  <c r="S4814" i="1"/>
  <c r="T4814" i="1"/>
  <c r="R4815" i="1"/>
  <c r="S4815" i="1"/>
  <c r="T4815" i="1"/>
  <c r="R4816" i="1"/>
  <c r="S4816" i="1"/>
  <c r="T4816" i="1"/>
  <c r="R4817" i="1"/>
  <c r="S4817" i="1"/>
  <c r="T4817" i="1"/>
  <c r="R4818" i="1"/>
  <c r="S4818" i="1"/>
  <c r="T4818" i="1"/>
  <c r="R4819" i="1"/>
  <c r="S4819" i="1"/>
  <c r="T4819" i="1"/>
  <c r="R4820" i="1"/>
  <c r="S4820" i="1"/>
  <c r="T4820" i="1"/>
  <c r="R4821" i="1"/>
  <c r="S4821" i="1"/>
  <c r="T4821" i="1"/>
  <c r="R4822" i="1"/>
  <c r="S4822" i="1"/>
  <c r="T4822" i="1"/>
  <c r="R4823" i="1"/>
  <c r="S4823" i="1"/>
  <c r="T4823" i="1"/>
  <c r="R4824" i="1"/>
  <c r="S4824" i="1"/>
  <c r="T4824" i="1"/>
  <c r="R4825" i="1"/>
  <c r="S4825" i="1"/>
  <c r="T4825" i="1"/>
  <c r="R4826" i="1"/>
  <c r="S4826" i="1"/>
  <c r="T4826" i="1"/>
  <c r="R4827" i="1"/>
  <c r="S4827" i="1"/>
  <c r="T4827" i="1"/>
  <c r="R4828" i="1"/>
  <c r="S4828" i="1"/>
  <c r="T4828" i="1"/>
  <c r="R4829" i="1"/>
  <c r="S4829" i="1"/>
  <c r="T4829" i="1"/>
  <c r="R4830" i="1"/>
  <c r="S4830" i="1"/>
  <c r="T4830" i="1"/>
  <c r="R4831" i="1"/>
  <c r="S4831" i="1"/>
  <c r="T4831" i="1"/>
  <c r="R4832" i="1"/>
  <c r="S4832" i="1"/>
  <c r="T4832" i="1"/>
  <c r="R4833" i="1"/>
  <c r="S4833" i="1"/>
  <c r="T4833" i="1"/>
  <c r="R4834" i="1"/>
  <c r="S4834" i="1"/>
  <c r="T4834" i="1"/>
  <c r="R4835" i="1"/>
  <c r="S4835" i="1"/>
  <c r="T4835" i="1"/>
  <c r="R4836" i="1"/>
  <c r="S4836" i="1"/>
  <c r="T4836" i="1"/>
  <c r="R4837" i="1"/>
  <c r="S4837" i="1"/>
  <c r="T4837" i="1"/>
  <c r="R4838" i="1"/>
  <c r="S4838" i="1"/>
  <c r="T4838" i="1"/>
  <c r="R4839" i="1"/>
  <c r="S4839" i="1"/>
  <c r="T4839" i="1"/>
  <c r="R4840" i="1"/>
  <c r="S4840" i="1"/>
  <c r="T4840" i="1"/>
  <c r="R4841" i="1"/>
  <c r="S4841" i="1"/>
  <c r="T4841" i="1"/>
  <c r="R4842" i="1"/>
  <c r="S4842" i="1"/>
  <c r="T4842" i="1"/>
  <c r="R4843" i="1"/>
  <c r="S4843" i="1"/>
  <c r="T4843" i="1"/>
  <c r="R4844" i="1"/>
  <c r="S4844" i="1"/>
  <c r="T4844" i="1"/>
  <c r="R4845" i="1"/>
  <c r="S4845" i="1"/>
  <c r="T4845" i="1"/>
  <c r="R4846" i="1"/>
  <c r="S4846" i="1"/>
  <c r="T4846" i="1"/>
  <c r="R4847" i="1"/>
  <c r="S4847" i="1"/>
  <c r="T4847" i="1"/>
  <c r="R4848" i="1"/>
  <c r="S4848" i="1"/>
  <c r="T4848" i="1"/>
  <c r="R4849" i="1"/>
  <c r="S4849" i="1"/>
  <c r="T4849" i="1"/>
  <c r="R4850" i="1"/>
  <c r="S4850" i="1"/>
  <c r="T4850" i="1"/>
  <c r="R4851" i="1"/>
  <c r="S4851" i="1"/>
  <c r="T4851" i="1"/>
  <c r="R4852" i="1"/>
  <c r="S4852" i="1"/>
  <c r="T4852" i="1"/>
  <c r="R4853" i="1"/>
  <c r="S4853" i="1"/>
  <c r="T4853" i="1"/>
  <c r="R4854" i="1"/>
  <c r="S4854" i="1"/>
  <c r="T4854" i="1"/>
  <c r="R4855" i="1"/>
  <c r="S4855" i="1"/>
  <c r="T4855" i="1"/>
  <c r="R4856" i="1"/>
  <c r="S4856" i="1"/>
  <c r="T4856" i="1"/>
  <c r="R4857" i="1"/>
  <c r="S4857" i="1"/>
  <c r="T4857" i="1"/>
  <c r="R4858" i="1"/>
  <c r="S4858" i="1"/>
  <c r="T4858" i="1"/>
  <c r="R4859" i="1"/>
  <c r="S4859" i="1"/>
  <c r="T4859" i="1"/>
  <c r="R4860" i="1"/>
  <c r="S4860" i="1"/>
  <c r="T4860" i="1"/>
  <c r="R4861" i="1"/>
  <c r="S4861" i="1"/>
  <c r="T4861" i="1"/>
  <c r="R4862" i="1"/>
  <c r="S4862" i="1"/>
  <c r="T4862" i="1"/>
  <c r="R4863" i="1"/>
  <c r="S4863" i="1"/>
  <c r="T4863" i="1"/>
  <c r="R4864" i="1"/>
  <c r="S4864" i="1"/>
  <c r="T4864" i="1"/>
  <c r="R4865" i="1"/>
  <c r="S4865" i="1"/>
  <c r="T4865" i="1"/>
  <c r="R4866" i="1"/>
  <c r="S4866" i="1"/>
  <c r="T4866" i="1"/>
  <c r="R4867" i="1"/>
  <c r="S4867" i="1"/>
  <c r="T4867" i="1"/>
  <c r="R4868" i="1"/>
  <c r="S4868" i="1"/>
  <c r="T4868" i="1"/>
  <c r="R4869" i="1"/>
  <c r="S4869" i="1"/>
  <c r="T4869" i="1"/>
  <c r="R4870" i="1"/>
  <c r="S4870" i="1"/>
  <c r="T4870" i="1"/>
  <c r="R4871" i="1"/>
  <c r="S4871" i="1"/>
  <c r="T4871" i="1"/>
  <c r="R4872" i="1"/>
  <c r="S4872" i="1"/>
  <c r="T4872" i="1"/>
  <c r="R4873" i="1"/>
  <c r="S4873" i="1"/>
  <c r="T4873" i="1"/>
  <c r="R4874" i="1"/>
  <c r="S4874" i="1"/>
  <c r="T4874" i="1"/>
  <c r="R4875" i="1"/>
  <c r="S4875" i="1"/>
  <c r="T4875" i="1"/>
  <c r="R4876" i="1"/>
  <c r="S4876" i="1"/>
  <c r="T4876" i="1"/>
  <c r="R4877" i="1"/>
  <c r="S4877" i="1"/>
  <c r="T4877" i="1"/>
  <c r="R4878" i="1"/>
  <c r="S4878" i="1"/>
  <c r="T4878" i="1"/>
  <c r="R4879" i="1"/>
  <c r="S4879" i="1"/>
  <c r="T4879" i="1"/>
  <c r="R4880" i="1"/>
  <c r="S4880" i="1"/>
  <c r="T4880" i="1"/>
  <c r="R4881" i="1"/>
  <c r="S4881" i="1"/>
  <c r="T4881" i="1"/>
  <c r="R4882" i="1"/>
  <c r="S4882" i="1"/>
  <c r="T4882" i="1"/>
  <c r="R4883" i="1"/>
  <c r="S4883" i="1"/>
  <c r="T4883" i="1"/>
  <c r="R4884" i="1"/>
  <c r="S4884" i="1"/>
  <c r="T4884" i="1"/>
  <c r="R4885" i="1"/>
  <c r="S4885" i="1"/>
  <c r="T4885" i="1"/>
  <c r="R4886" i="1"/>
  <c r="S4886" i="1"/>
  <c r="T4886" i="1"/>
  <c r="R4887" i="1"/>
  <c r="S4887" i="1"/>
  <c r="T4887" i="1"/>
  <c r="R4888" i="1"/>
  <c r="S4888" i="1"/>
  <c r="T4888" i="1"/>
  <c r="R4889" i="1"/>
  <c r="S4889" i="1"/>
  <c r="T4889" i="1"/>
  <c r="R4890" i="1"/>
  <c r="S4890" i="1"/>
  <c r="T4890" i="1"/>
  <c r="R4891" i="1"/>
  <c r="S4891" i="1"/>
  <c r="T4891" i="1"/>
  <c r="R4892" i="1"/>
  <c r="S4892" i="1"/>
  <c r="T4892" i="1"/>
  <c r="R4893" i="1"/>
  <c r="S4893" i="1"/>
  <c r="T4893" i="1"/>
  <c r="R4894" i="1"/>
  <c r="S4894" i="1"/>
  <c r="T4894" i="1"/>
  <c r="R4895" i="1"/>
  <c r="S4895" i="1"/>
  <c r="T4895" i="1"/>
  <c r="R4896" i="1"/>
  <c r="S4896" i="1"/>
  <c r="T4896" i="1"/>
  <c r="R4897" i="1"/>
  <c r="S4897" i="1"/>
  <c r="T4897" i="1"/>
  <c r="R4898" i="1"/>
  <c r="S4898" i="1"/>
  <c r="T4898" i="1"/>
  <c r="R4899" i="1"/>
  <c r="S4899" i="1"/>
  <c r="T4899" i="1"/>
  <c r="R4900" i="1"/>
  <c r="S4900" i="1"/>
  <c r="T4900" i="1"/>
  <c r="R4901" i="1"/>
  <c r="S4901" i="1"/>
  <c r="T4901" i="1"/>
  <c r="R4902" i="1"/>
  <c r="S4902" i="1"/>
  <c r="T4902" i="1"/>
  <c r="R4903" i="1"/>
  <c r="S4903" i="1"/>
  <c r="T4903" i="1"/>
  <c r="R4904" i="1"/>
  <c r="S4904" i="1"/>
  <c r="T4904" i="1"/>
  <c r="R4905" i="1"/>
  <c r="S4905" i="1"/>
  <c r="T4905" i="1"/>
  <c r="R4906" i="1"/>
  <c r="S4906" i="1"/>
  <c r="T4906" i="1"/>
  <c r="R4907" i="1"/>
  <c r="S4907" i="1"/>
  <c r="T4907" i="1"/>
  <c r="R4908" i="1"/>
  <c r="S4908" i="1"/>
  <c r="T4908" i="1"/>
  <c r="R4909" i="1"/>
  <c r="S4909" i="1"/>
  <c r="T4909" i="1"/>
  <c r="R4910" i="1"/>
  <c r="S4910" i="1"/>
  <c r="T4910" i="1"/>
  <c r="R4911" i="1"/>
  <c r="S4911" i="1"/>
  <c r="T4911" i="1"/>
  <c r="R4912" i="1"/>
  <c r="S4912" i="1"/>
  <c r="T4912" i="1"/>
  <c r="R4913" i="1"/>
  <c r="S4913" i="1"/>
  <c r="T4913" i="1"/>
  <c r="R4914" i="1"/>
  <c r="S4914" i="1"/>
  <c r="T4914" i="1"/>
  <c r="R4915" i="1"/>
  <c r="S4915" i="1"/>
  <c r="T4915" i="1"/>
  <c r="R4916" i="1"/>
  <c r="S4916" i="1"/>
  <c r="T4916" i="1"/>
  <c r="R4917" i="1"/>
  <c r="S4917" i="1"/>
  <c r="T4917" i="1"/>
  <c r="R4918" i="1"/>
  <c r="S4918" i="1"/>
  <c r="T4918" i="1"/>
  <c r="R4919" i="1"/>
  <c r="S4919" i="1"/>
  <c r="T4919" i="1"/>
  <c r="R4920" i="1"/>
  <c r="S4920" i="1"/>
  <c r="T4920" i="1"/>
  <c r="R4921" i="1"/>
  <c r="S4921" i="1"/>
  <c r="T4921" i="1"/>
  <c r="R4922" i="1"/>
  <c r="S4922" i="1"/>
  <c r="T4922" i="1"/>
  <c r="R4923" i="1"/>
  <c r="S4923" i="1"/>
  <c r="T4923" i="1"/>
  <c r="R4924" i="1"/>
  <c r="S4924" i="1"/>
  <c r="T4924" i="1"/>
  <c r="R4925" i="1"/>
  <c r="S4925" i="1"/>
  <c r="T4925" i="1"/>
  <c r="R4926" i="1"/>
  <c r="S4926" i="1"/>
  <c r="T4926" i="1"/>
  <c r="R4927" i="1"/>
  <c r="S4927" i="1"/>
  <c r="T4927" i="1"/>
  <c r="R4928" i="1"/>
  <c r="S4928" i="1"/>
  <c r="T4928" i="1"/>
  <c r="R4929" i="1"/>
  <c r="S4929" i="1"/>
  <c r="T4929" i="1"/>
  <c r="R4930" i="1"/>
  <c r="S4930" i="1"/>
  <c r="T4930" i="1"/>
  <c r="R4931" i="1"/>
  <c r="S4931" i="1"/>
  <c r="T4931" i="1"/>
  <c r="R4932" i="1"/>
  <c r="S4932" i="1"/>
  <c r="T4932" i="1"/>
  <c r="R4933" i="1"/>
  <c r="S4933" i="1"/>
  <c r="T4933" i="1"/>
  <c r="R4934" i="1"/>
  <c r="S4934" i="1"/>
  <c r="T4934" i="1"/>
  <c r="R4935" i="1"/>
  <c r="S4935" i="1"/>
  <c r="T4935" i="1"/>
  <c r="R4936" i="1"/>
  <c r="S4936" i="1"/>
  <c r="T4936" i="1"/>
  <c r="R4937" i="1"/>
  <c r="S4937" i="1"/>
  <c r="T4937" i="1"/>
  <c r="R4938" i="1"/>
  <c r="S4938" i="1"/>
  <c r="T4938" i="1"/>
  <c r="R4939" i="1"/>
  <c r="S4939" i="1"/>
  <c r="T4939" i="1"/>
  <c r="R4940" i="1"/>
  <c r="S4940" i="1"/>
  <c r="T4940" i="1"/>
  <c r="R4941" i="1"/>
  <c r="S4941" i="1"/>
  <c r="T4941" i="1"/>
  <c r="R4942" i="1"/>
  <c r="S4942" i="1"/>
  <c r="T4942" i="1"/>
  <c r="R4943" i="1"/>
  <c r="S4943" i="1"/>
  <c r="T4943" i="1"/>
  <c r="R4944" i="1"/>
  <c r="S4944" i="1"/>
  <c r="T4944" i="1"/>
  <c r="R4945" i="1"/>
  <c r="S4945" i="1"/>
  <c r="T4945" i="1"/>
  <c r="R4946" i="1"/>
  <c r="S4946" i="1"/>
  <c r="T4946" i="1"/>
  <c r="R4947" i="1"/>
  <c r="S4947" i="1"/>
  <c r="T4947" i="1"/>
  <c r="R4948" i="1"/>
  <c r="S4948" i="1"/>
  <c r="T4948" i="1"/>
  <c r="R4949" i="1"/>
  <c r="S4949" i="1"/>
  <c r="T4949" i="1"/>
  <c r="R4950" i="1"/>
  <c r="S4950" i="1"/>
  <c r="T4950" i="1"/>
  <c r="R4951" i="1"/>
  <c r="S4951" i="1"/>
  <c r="T4951" i="1"/>
  <c r="R4952" i="1"/>
  <c r="S4952" i="1"/>
  <c r="T4952" i="1"/>
  <c r="R4953" i="1"/>
  <c r="S4953" i="1"/>
  <c r="T4953" i="1"/>
  <c r="R4954" i="1"/>
  <c r="S4954" i="1"/>
  <c r="T4954" i="1"/>
  <c r="R4955" i="1"/>
  <c r="S4955" i="1"/>
  <c r="T4955" i="1"/>
  <c r="R4956" i="1"/>
  <c r="S4956" i="1"/>
  <c r="T4956" i="1"/>
  <c r="R4957" i="1"/>
  <c r="S4957" i="1"/>
  <c r="T4957" i="1"/>
  <c r="R4958" i="1"/>
  <c r="S4958" i="1"/>
  <c r="T4958" i="1"/>
  <c r="R4959" i="1"/>
  <c r="S4959" i="1"/>
  <c r="T4959" i="1"/>
  <c r="R4960" i="1"/>
  <c r="S4960" i="1"/>
  <c r="T4960" i="1"/>
  <c r="R4961" i="1"/>
  <c r="S4961" i="1"/>
  <c r="T4961" i="1"/>
  <c r="R4962" i="1"/>
  <c r="S4962" i="1"/>
  <c r="T4962" i="1"/>
  <c r="R4963" i="1"/>
  <c r="S4963" i="1"/>
  <c r="T4963" i="1"/>
  <c r="R4964" i="1"/>
  <c r="S4964" i="1"/>
  <c r="T4964" i="1"/>
  <c r="R4965" i="1"/>
  <c r="S4965" i="1"/>
  <c r="T4965" i="1"/>
  <c r="R4966" i="1"/>
  <c r="S4966" i="1"/>
  <c r="T4966" i="1"/>
  <c r="R4967" i="1"/>
  <c r="S4967" i="1"/>
  <c r="T4967" i="1"/>
  <c r="R4968" i="1"/>
  <c r="S4968" i="1"/>
  <c r="T4968" i="1"/>
  <c r="R4969" i="1"/>
  <c r="S4969" i="1"/>
  <c r="T4969" i="1"/>
  <c r="R4970" i="1"/>
  <c r="S4970" i="1"/>
  <c r="T4970" i="1"/>
  <c r="R4971" i="1"/>
  <c r="S4971" i="1"/>
  <c r="T4971" i="1"/>
  <c r="R4972" i="1"/>
  <c r="S4972" i="1"/>
  <c r="T4972" i="1"/>
  <c r="R4973" i="1"/>
  <c r="S4973" i="1"/>
  <c r="T4973" i="1"/>
  <c r="R4974" i="1"/>
  <c r="S4974" i="1"/>
  <c r="T4974" i="1"/>
  <c r="R4975" i="1"/>
  <c r="S4975" i="1"/>
  <c r="T4975" i="1"/>
  <c r="R4976" i="1"/>
  <c r="S4976" i="1"/>
  <c r="T4976" i="1"/>
  <c r="R4977" i="1"/>
  <c r="S4977" i="1"/>
  <c r="T4977" i="1"/>
  <c r="R4978" i="1"/>
  <c r="S4978" i="1"/>
  <c r="T4978" i="1"/>
  <c r="R4979" i="1"/>
  <c r="S4979" i="1"/>
  <c r="T4979" i="1"/>
  <c r="R4980" i="1"/>
  <c r="S4980" i="1"/>
  <c r="T4980" i="1"/>
  <c r="R4981" i="1"/>
  <c r="S4981" i="1"/>
  <c r="T4981" i="1"/>
  <c r="R4982" i="1"/>
  <c r="S4982" i="1"/>
  <c r="T4982" i="1"/>
  <c r="R4983" i="1"/>
  <c r="S4983" i="1"/>
  <c r="T4983" i="1"/>
  <c r="R4984" i="1"/>
  <c r="S4984" i="1"/>
  <c r="T4984" i="1"/>
  <c r="R4985" i="1"/>
  <c r="S4985" i="1"/>
  <c r="T4985" i="1"/>
  <c r="R4986" i="1"/>
  <c r="S4986" i="1"/>
  <c r="T4986" i="1"/>
  <c r="R4987" i="1"/>
  <c r="S4987" i="1"/>
  <c r="T4987" i="1"/>
  <c r="R4988" i="1"/>
  <c r="S4988" i="1"/>
  <c r="T4988" i="1"/>
  <c r="R4989" i="1"/>
  <c r="S4989" i="1"/>
  <c r="T4989" i="1"/>
  <c r="R4990" i="1"/>
  <c r="S4990" i="1"/>
  <c r="T4990" i="1"/>
  <c r="R4991" i="1"/>
  <c r="S4991" i="1"/>
  <c r="T4991" i="1"/>
  <c r="R4992" i="1"/>
  <c r="S4992" i="1"/>
  <c r="T4992" i="1"/>
  <c r="R4993" i="1"/>
  <c r="S4993" i="1"/>
  <c r="T4993" i="1"/>
  <c r="R4994" i="1"/>
  <c r="S4994" i="1"/>
  <c r="T4994" i="1"/>
  <c r="R4995" i="1"/>
  <c r="S4995" i="1"/>
  <c r="T4995" i="1"/>
  <c r="R4996" i="1"/>
  <c r="S4996" i="1"/>
  <c r="T4996" i="1"/>
  <c r="R4997" i="1"/>
  <c r="S4997" i="1"/>
  <c r="T4997" i="1"/>
  <c r="R4998" i="1"/>
  <c r="S4998" i="1"/>
  <c r="T4998" i="1"/>
  <c r="R4999" i="1"/>
  <c r="S4999" i="1"/>
  <c r="T4999" i="1"/>
  <c r="R5000" i="1"/>
  <c r="S5000" i="1"/>
  <c r="T5000" i="1"/>
  <c r="R5001" i="1"/>
  <c r="S5001" i="1"/>
  <c r="T5001" i="1"/>
  <c r="R5002" i="1"/>
  <c r="S5002" i="1"/>
  <c r="T5002" i="1"/>
  <c r="R5003" i="1"/>
  <c r="S5003" i="1"/>
  <c r="T5003" i="1"/>
  <c r="R5004" i="1"/>
  <c r="S5004" i="1"/>
  <c r="T5004" i="1"/>
  <c r="R5005" i="1"/>
  <c r="S5005" i="1"/>
  <c r="T5005" i="1"/>
  <c r="R5006" i="1"/>
  <c r="S5006" i="1"/>
  <c r="T5006" i="1"/>
  <c r="R5007" i="1"/>
  <c r="S5007" i="1"/>
  <c r="T5007" i="1"/>
  <c r="R5008" i="1"/>
  <c r="S5008" i="1"/>
  <c r="T5008" i="1"/>
  <c r="R5009" i="1"/>
  <c r="S5009" i="1"/>
  <c r="T5009" i="1"/>
  <c r="R5010" i="1"/>
  <c r="S5010" i="1"/>
  <c r="T5010" i="1"/>
  <c r="R5011" i="1"/>
  <c r="S5011" i="1"/>
  <c r="T5011" i="1"/>
  <c r="R5012" i="1"/>
  <c r="S5012" i="1"/>
  <c r="T5012" i="1"/>
  <c r="R5013" i="1"/>
  <c r="S5013" i="1"/>
  <c r="T5013" i="1"/>
  <c r="R5014" i="1"/>
  <c r="S5014" i="1"/>
  <c r="T5014" i="1"/>
  <c r="R5015" i="1"/>
  <c r="S5015" i="1"/>
  <c r="T5015" i="1"/>
  <c r="R5016" i="1"/>
  <c r="S5016" i="1"/>
  <c r="T5016" i="1"/>
  <c r="R5017" i="1"/>
  <c r="S5017" i="1"/>
  <c r="T5017" i="1"/>
  <c r="R5018" i="1"/>
  <c r="S5018" i="1"/>
  <c r="T5018" i="1"/>
  <c r="R5019" i="1"/>
  <c r="S5019" i="1"/>
  <c r="T5019" i="1"/>
  <c r="R5020" i="1"/>
  <c r="S5020" i="1"/>
  <c r="T5020" i="1"/>
  <c r="R5021" i="1"/>
  <c r="S5021" i="1"/>
  <c r="T5021" i="1"/>
  <c r="R5022" i="1"/>
  <c r="S5022" i="1"/>
  <c r="T5022" i="1"/>
  <c r="R5023" i="1"/>
  <c r="S5023" i="1"/>
  <c r="T5023" i="1"/>
  <c r="R5024" i="1"/>
  <c r="S5024" i="1"/>
  <c r="T5024" i="1"/>
  <c r="R5025" i="1"/>
  <c r="S5025" i="1"/>
  <c r="T5025" i="1"/>
  <c r="R5026" i="1"/>
  <c r="S5026" i="1"/>
  <c r="T5026" i="1"/>
  <c r="R5027" i="1"/>
  <c r="S5027" i="1"/>
  <c r="T5027" i="1"/>
  <c r="R5028" i="1"/>
  <c r="S5028" i="1"/>
  <c r="T5028" i="1"/>
  <c r="R5029" i="1"/>
  <c r="S5029" i="1"/>
  <c r="T5029" i="1"/>
  <c r="R5030" i="1"/>
  <c r="S5030" i="1"/>
  <c r="T5030" i="1"/>
  <c r="R5031" i="1"/>
  <c r="S5031" i="1"/>
  <c r="T5031" i="1"/>
  <c r="R5032" i="1"/>
  <c r="S5032" i="1"/>
  <c r="T5032" i="1"/>
  <c r="R5033" i="1"/>
  <c r="S5033" i="1"/>
  <c r="T5033" i="1"/>
  <c r="R5034" i="1"/>
  <c r="S5034" i="1"/>
  <c r="T5034" i="1"/>
  <c r="R5035" i="1"/>
  <c r="S5035" i="1"/>
  <c r="T5035" i="1"/>
  <c r="R5036" i="1"/>
  <c r="S5036" i="1"/>
  <c r="T5036" i="1"/>
  <c r="R5037" i="1"/>
  <c r="S5037" i="1"/>
  <c r="T5037" i="1"/>
  <c r="R5038" i="1"/>
  <c r="S5038" i="1"/>
  <c r="T5038" i="1"/>
  <c r="R5039" i="1"/>
  <c r="S5039" i="1"/>
  <c r="T5039" i="1"/>
  <c r="R5040" i="1"/>
  <c r="S5040" i="1"/>
  <c r="T5040" i="1"/>
  <c r="R5041" i="1"/>
  <c r="S5041" i="1"/>
  <c r="T5041" i="1"/>
  <c r="R5042" i="1"/>
  <c r="S5042" i="1"/>
  <c r="T5042" i="1"/>
  <c r="R5043" i="1"/>
  <c r="S5043" i="1"/>
  <c r="T5043" i="1"/>
  <c r="R5044" i="1"/>
  <c r="S5044" i="1"/>
  <c r="T5044" i="1"/>
  <c r="R5045" i="1"/>
  <c r="S5045" i="1"/>
  <c r="T5045" i="1"/>
  <c r="R5046" i="1"/>
  <c r="S5046" i="1"/>
  <c r="T5046" i="1"/>
  <c r="R5047" i="1"/>
  <c r="S5047" i="1"/>
  <c r="T5047" i="1"/>
  <c r="R5048" i="1"/>
  <c r="S5048" i="1"/>
  <c r="T5048" i="1"/>
  <c r="R5049" i="1"/>
  <c r="S5049" i="1"/>
  <c r="T5049" i="1"/>
  <c r="R5050" i="1"/>
  <c r="S5050" i="1"/>
  <c r="T5050" i="1"/>
  <c r="R5051" i="1"/>
  <c r="S5051" i="1"/>
  <c r="T5051" i="1"/>
  <c r="R5052" i="1"/>
  <c r="S5052" i="1"/>
  <c r="T5052" i="1"/>
  <c r="R5053" i="1"/>
  <c r="S5053" i="1"/>
  <c r="T5053" i="1"/>
  <c r="R5054" i="1"/>
  <c r="S5054" i="1"/>
  <c r="T5054" i="1"/>
  <c r="R5055" i="1"/>
  <c r="S5055" i="1"/>
  <c r="T5055" i="1"/>
  <c r="R5056" i="1"/>
  <c r="S5056" i="1"/>
  <c r="T5056" i="1"/>
  <c r="R5057" i="1"/>
  <c r="S5057" i="1"/>
  <c r="T5057" i="1"/>
  <c r="R5058" i="1"/>
  <c r="S5058" i="1"/>
  <c r="T5058" i="1"/>
  <c r="R5059" i="1"/>
  <c r="S5059" i="1"/>
  <c r="T5059" i="1"/>
  <c r="R5060" i="1"/>
  <c r="S5060" i="1"/>
  <c r="T5060" i="1"/>
  <c r="R5061" i="1"/>
  <c r="S5061" i="1"/>
  <c r="T5061" i="1"/>
  <c r="R5062" i="1"/>
  <c r="S5062" i="1"/>
  <c r="T5062" i="1"/>
  <c r="R5063" i="1"/>
  <c r="S5063" i="1"/>
  <c r="T5063" i="1"/>
  <c r="R5064" i="1"/>
  <c r="S5064" i="1"/>
  <c r="T5064" i="1"/>
  <c r="R5065" i="1"/>
  <c r="S5065" i="1"/>
  <c r="T5065" i="1"/>
  <c r="R5066" i="1"/>
  <c r="S5066" i="1"/>
  <c r="T5066" i="1"/>
  <c r="R5067" i="1"/>
  <c r="S5067" i="1"/>
  <c r="T5067" i="1"/>
  <c r="R5068" i="1"/>
  <c r="S5068" i="1"/>
  <c r="T5068" i="1"/>
  <c r="R5069" i="1"/>
  <c r="S5069" i="1"/>
  <c r="T5069" i="1"/>
  <c r="R5070" i="1"/>
  <c r="S5070" i="1"/>
  <c r="T5070" i="1"/>
  <c r="R5071" i="1"/>
  <c r="S5071" i="1"/>
  <c r="T5071" i="1"/>
  <c r="R5072" i="1"/>
  <c r="S5072" i="1"/>
  <c r="T5072" i="1"/>
  <c r="R5073" i="1"/>
  <c r="S5073" i="1"/>
  <c r="T5073" i="1"/>
  <c r="R5074" i="1"/>
  <c r="S5074" i="1"/>
  <c r="T5074" i="1"/>
  <c r="R5075" i="1"/>
  <c r="S5075" i="1"/>
  <c r="T5075" i="1"/>
  <c r="R5076" i="1"/>
  <c r="S5076" i="1"/>
  <c r="T5076" i="1"/>
  <c r="R5077" i="1"/>
  <c r="S5077" i="1"/>
  <c r="T5077" i="1"/>
  <c r="R5078" i="1"/>
  <c r="S5078" i="1"/>
  <c r="T5078" i="1"/>
  <c r="R5079" i="1"/>
  <c r="S5079" i="1"/>
  <c r="T5079" i="1"/>
  <c r="R5080" i="1"/>
  <c r="S5080" i="1"/>
  <c r="T5080" i="1"/>
  <c r="R5081" i="1"/>
  <c r="S5081" i="1"/>
  <c r="T5081" i="1"/>
  <c r="R5082" i="1"/>
  <c r="S5082" i="1"/>
  <c r="T5082" i="1"/>
  <c r="R5083" i="1"/>
  <c r="S5083" i="1"/>
  <c r="T5083" i="1"/>
  <c r="R5084" i="1"/>
  <c r="S5084" i="1"/>
  <c r="T5084" i="1"/>
  <c r="R5085" i="1"/>
  <c r="S5085" i="1"/>
  <c r="T5085" i="1"/>
  <c r="R5086" i="1"/>
  <c r="S5086" i="1"/>
  <c r="T5086" i="1"/>
  <c r="R5087" i="1"/>
  <c r="S5087" i="1"/>
  <c r="T5087" i="1"/>
  <c r="R5088" i="1"/>
  <c r="S5088" i="1"/>
  <c r="T5088" i="1"/>
  <c r="R5089" i="1"/>
  <c r="S5089" i="1"/>
  <c r="T5089" i="1"/>
  <c r="R5090" i="1"/>
  <c r="S5090" i="1"/>
  <c r="T5090" i="1"/>
  <c r="R5091" i="1"/>
  <c r="S5091" i="1"/>
  <c r="T5091" i="1"/>
  <c r="R5092" i="1"/>
  <c r="S5092" i="1"/>
  <c r="T5092" i="1"/>
  <c r="R5093" i="1"/>
  <c r="S5093" i="1"/>
  <c r="T5093" i="1"/>
  <c r="R5094" i="1"/>
  <c r="S5094" i="1"/>
  <c r="T5094" i="1"/>
  <c r="R5095" i="1"/>
  <c r="S5095" i="1"/>
  <c r="T5095" i="1"/>
  <c r="R5096" i="1"/>
  <c r="S5096" i="1"/>
  <c r="T5096" i="1"/>
  <c r="R5097" i="1"/>
  <c r="S5097" i="1"/>
  <c r="T5097" i="1"/>
  <c r="R5098" i="1"/>
  <c r="S5098" i="1"/>
  <c r="T5098" i="1"/>
  <c r="R5099" i="1"/>
  <c r="S5099" i="1"/>
  <c r="T5099" i="1"/>
  <c r="R5100" i="1"/>
  <c r="S5100" i="1"/>
  <c r="T5100" i="1"/>
  <c r="R5101" i="1"/>
  <c r="S5101" i="1"/>
  <c r="T5101" i="1"/>
  <c r="R5102" i="1"/>
  <c r="S5102" i="1"/>
  <c r="T5102" i="1"/>
  <c r="R5103" i="1"/>
  <c r="S5103" i="1"/>
  <c r="T5103" i="1"/>
  <c r="R5104" i="1"/>
  <c r="S5104" i="1"/>
  <c r="T5104" i="1"/>
  <c r="R5105" i="1"/>
  <c r="S5105" i="1"/>
  <c r="T5105" i="1"/>
  <c r="R5106" i="1"/>
  <c r="S5106" i="1"/>
  <c r="T5106" i="1"/>
  <c r="R5107" i="1"/>
  <c r="S5107" i="1"/>
  <c r="T5107" i="1"/>
  <c r="R5108" i="1"/>
  <c r="S5108" i="1"/>
  <c r="T5108" i="1"/>
  <c r="R5109" i="1"/>
  <c r="S5109" i="1"/>
  <c r="T5109" i="1"/>
  <c r="R5110" i="1"/>
  <c r="S5110" i="1"/>
  <c r="T5110" i="1"/>
  <c r="R5111" i="1"/>
  <c r="S5111" i="1"/>
  <c r="T5111" i="1"/>
  <c r="R5112" i="1"/>
  <c r="S5112" i="1"/>
  <c r="T5112" i="1"/>
  <c r="R5113" i="1"/>
  <c r="S5113" i="1"/>
  <c r="T5113" i="1"/>
  <c r="R5114" i="1"/>
  <c r="S5114" i="1"/>
  <c r="T5114" i="1"/>
  <c r="R5115" i="1"/>
  <c r="S5115" i="1"/>
  <c r="T5115" i="1"/>
  <c r="R5116" i="1"/>
  <c r="S5116" i="1"/>
  <c r="T5116" i="1"/>
  <c r="R5117" i="1"/>
  <c r="S5117" i="1"/>
  <c r="T5117" i="1"/>
  <c r="R5118" i="1"/>
  <c r="S5118" i="1"/>
  <c r="T5118" i="1"/>
  <c r="R5119" i="1"/>
  <c r="S5119" i="1"/>
  <c r="T5119" i="1"/>
  <c r="R5120" i="1"/>
  <c r="S5120" i="1"/>
  <c r="T5120" i="1"/>
  <c r="R5121" i="1"/>
  <c r="S5121" i="1"/>
  <c r="T5121" i="1"/>
  <c r="R5122" i="1"/>
  <c r="S5122" i="1"/>
  <c r="T5122" i="1"/>
  <c r="R5123" i="1"/>
  <c r="S5123" i="1"/>
  <c r="T5123" i="1"/>
  <c r="R5124" i="1"/>
  <c r="S5124" i="1"/>
  <c r="T5124" i="1"/>
  <c r="R5125" i="1"/>
  <c r="S5125" i="1"/>
  <c r="T5125" i="1"/>
  <c r="R5126" i="1"/>
  <c r="S5126" i="1"/>
  <c r="T5126" i="1"/>
  <c r="R5127" i="1"/>
  <c r="S5127" i="1"/>
  <c r="T5127" i="1"/>
  <c r="R5128" i="1"/>
  <c r="S5128" i="1"/>
  <c r="T5128" i="1"/>
  <c r="R5129" i="1"/>
  <c r="S5129" i="1"/>
  <c r="T5129" i="1"/>
  <c r="R5130" i="1"/>
  <c r="S5130" i="1"/>
  <c r="T5130" i="1"/>
  <c r="R5131" i="1"/>
  <c r="S5131" i="1"/>
  <c r="T5131" i="1"/>
  <c r="R5132" i="1"/>
  <c r="S5132" i="1"/>
  <c r="T5132" i="1"/>
  <c r="R5133" i="1"/>
  <c r="S5133" i="1"/>
  <c r="T5133" i="1"/>
  <c r="R5134" i="1"/>
  <c r="S5134" i="1"/>
  <c r="T5134" i="1"/>
  <c r="R5135" i="1"/>
  <c r="S5135" i="1"/>
  <c r="T5135" i="1"/>
  <c r="R5136" i="1"/>
  <c r="S5136" i="1"/>
  <c r="T5136" i="1"/>
  <c r="R5137" i="1"/>
  <c r="S5137" i="1"/>
  <c r="T5137" i="1"/>
  <c r="R5138" i="1"/>
  <c r="S5138" i="1"/>
  <c r="T5138" i="1"/>
  <c r="R5139" i="1"/>
  <c r="S5139" i="1"/>
  <c r="T5139" i="1"/>
  <c r="R5140" i="1"/>
  <c r="S5140" i="1"/>
  <c r="T5140" i="1"/>
  <c r="R5141" i="1"/>
  <c r="S5141" i="1"/>
  <c r="T5141" i="1"/>
  <c r="R5142" i="1"/>
  <c r="S5142" i="1"/>
  <c r="T5142" i="1"/>
  <c r="R5143" i="1"/>
  <c r="S5143" i="1"/>
  <c r="T5143" i="1"/>
  <c r="R5144" i="1"/>
  <c r="S5144" i="1"/>
  <c r="T5144" i="1"/>
  <c r="R5145" i="1"/>
  <c r="S5145" i="1"/>
  <c r="T5145" i="1"/>
  <c r="R5146" i="1"/>
  <c r="S5146" i="1"/>
  <c r="T5146" i="1"/>
  <c r="R5147" i="1"/>
  <c r="S5147" i="1"/>
  <c r="T5147" i="1"/>
  <c r="R5148" i="1"/>
  <c r="S5148" i="1"/>
  <c r="T5148" i="1"/>
  <c r="R5149" i="1"/>
  <c r="S5149" i="1"/>
  <c r="T5149" i="1"/>
  <c r="R5150" i="1"/>
  <c r="S5150" i="1"/>
  <c r="T5150" i="1"/>
  <c r="R5151" i="1"/>
  <c r="S5151" i="1"/>
  <c r="T5151" i="1"/>
  <c r="R5152" i="1"/>
  <c r="S5152" i="1"/>
  <c r="T5152" i="1"/>
  <c r="R5153" i="1"/>
  <c r="S5153" i="1"/>
  <c r="T5153" i="1"/>
  <c r="R5154" i="1"/>
  <c r="S5154" i="1"/>
  <c r="T5154" i="1"/>
  <c r="R5155" i="1"/>
  <c r="S5155" i="1"/>
  <c r="T5155" i="1"/>
  <c r="R5156" i="1"/>
  <c r="S5156" i="1"/>
  <c r="T5156" i="1"/>
  <c r="R5157" i="1"/>
  <c r="S5157" i="1"/>
  <c r="T5157" i="1"/>
  <c r="R5158" i="1"/>
  <c r="S5158" i="1"/>
  <c r="T5158" i="1"/>
  <c r="R5159" i="1"/>
  <c r="S5159" i="1"/>
  <c r="T5159" i="1"/>
  <c r="R5160" i="1"/>
  <c r="S5160" i="1"/>
  <c r="T5160" i="1"/>
  <c r="R5161" i="1"/>
  <c r="S5161" i="1"/>
  <c r="T5161" i="1"/>
  <c r="R5162" i="1"/>
  <c r="S5162" i="1"/>
  <c r="T5162" i="1"/>
  <c r="R5163" i="1"/>
  <c r="S5163" i="1"/>
  <c r="T5163" i="1"/>
  <c r="R5164" i="1"/>
  <c r="S5164" i="1"/>
  <c r="T5164" i="1"/>
  <c r="R5165" i="1"/>
  <c r="S5165" i="1"/>
  <c r="T5165" i="1"/>
  <c r="R5166" i="1"/>
  <c r="S5166" i="1"/>
  <c r="T5166" i="1"/>
  <c r="R5167" i="1"/>
  <c r="S5167" i="1"/>
  <c r="T5167" i="1"/>
  <c r="R5168" i="1"/>
  <c r="S5168" i="1"/>
  <c r="T5168" i="1"/>
  <c r="R5169" i="1"/>
  <c r="S5169" i="1"/>
  <c r="T5169" i="1"/>
  <c r="R5170" i="1"/>
  <c r="S5170" i="1"/>
  <c r="T5170" i="1"/>
  <c r="R5171" i="1"/>
  <c r="S5171" i="1"/>
  <c r="T5171" i="1"/>
  <c r="R5172" i="1"/>
  <c r="S5172" i="1"/>
  <c r="T5172" i="1"/>
  <c r="R5173" i="1"/>
  <c r="S5173" i="1"/>
  <c r="T5173" i="1"/>
  <c r="R5174" i="1"/>
  <c r="S5174" i="1"/>
  <c r="T5174" i="1"/>
  <c r="R5175" i="1"/>
  <c r="S5175" i="1"/>
  <c r="T5175" i="1"/>
  <c r="R5176" i="1"/>
  <c r="S5176" i="1"/>
  <c r="T5176" i="1"/>
  <c r="R5177" i="1"/>
  <c r="S5177" i="1"/>
  <c r="T5177" i="1"/>
  <c r="R5178" i="1"/>
  <c r="S5178" i="1"/>
  <c r="T5178" i="1"/>
  <c r="R5179" i="1"/>
  <c r="S5179" i="1"/>
  <c r="T5179" i="1"/>
  <c r="R5180" i="1"/>
  <c r="S5180" i="1"/>
  <c r="T5180" i="1"/>
  <c r="R5181" i="1"/>
  <c r="S5181" i="1"/>
  <c r="T5181" i="1"/>
  <c r="R5182" i="1"/>
  <c r="S5182" i="1"/>
  <c r="T5182" i="1"/>
  <c r="R5183" i="1"/>
  <c r="S5183" i="1"/>
  <c r="T5183" i="1"/>
  <c r="R5184" i="1"/>
  <c r="S5184" i="1"/>
  <c r="T5184" i="1"/>
  <c r="R5185" i="1"/>
  <c r="S5185" i="1"/>
  <c r="T5185" i="1"/>
  <c r="R5186" i="1"/>
  <c r="S5186" i="1"/>
  <c r="T5186" i="1"/>
  <c r="R5187" i="1"/>
  <c r="S5187" i="1"/>
  <c r="T5187" i="1"/>
  <c r="R5188" i="1"/>
  <c r="S5188" i="1"/>
  <c r="T5188" i="1"/>
  <c r="R5189" i="1"/>
  <c r="S5189" i="1"/>
  <c r="T5189" i="1"/>
  <c r="R5190" i="1"/>
  <c r="S5190" i="1"/>
  <c r="T5190" i="1"/>
  <c r="R5191" i="1"/>
  <c r="S5191" i="1"/>
  <c r="T5191" i="1"/>
  <c r="R5192" i="1"/>
  <c r="S5192" i="1"/>
  <c r="T5192" i="1"/>
  <c r="R5193" i="1"/>
  <c r="S5193" i="1"/>
  <c r="T5193" i="1"/>
  <c r="R5194" i="1"/>
  <c r="S5194" i="1"/>
  <c r="T5194" i="1"/>
  <c r="R5195" i="1"/>
  <c r="S5195" i="1"/>
  <c r="T5195" i="1"/>
  <c r="R5196" i="1"/>
  <c r="S5196" i="1"/>
  <c r="T5196" i="1"/>
  <c r="R5197" i="1"/>
  <c r="S5197" i="1"/>
  <c r="T5197" i="1"/>
  <c r="R5198" i="1"/>
  <c r="S5198" i="1"/>
  <c r="T5198" i="1"/>
  <c r="R5199" i="1"/>
  <c r="S5199" i="1"/>
  <c r="T5199" i="1"/>
  <c r="R5200" i="1"/>
  <c r="S5200" i="1"/>
  <c r="T5200" i="1"/>
  <c r="R5201" i="1"/>
  <c r="S5201" i="1"/>
  <c r="T5201" i="1"/>
  <c r="R5202" i="1"/>
  <c r="S5202" i="1"/>
  <c r="T5202" i="1"/>
  <c r="R5203" i="1"/>
  <c r="S5203" i="1"/>
  <c r="T5203" i="1"/>
  <c r="R5204" i="1"/>
  <c r="S5204" i="1"/>
  <c r="T5204" i="1"/>
  <c r="R5205" i="1"/>
  <c r="S5205" i="1"/>
  <c r="T5205" i="1"/>
  <c r="R5206" i="1"/>
  <c r="S5206" i="1"/>
  <c r="T5206" i="1"/>
  <c r="R5207" i="1"/>
  <c r="S5207" i="1"/>
  <c r="T5207" i="1"/>
  <c r="R5208" i="1"/>
  <c r="S5208" i="1"/>
  <c r="T5208" i="1"/>
  <c r="R5209" i="1"/>
  <c r="S5209" i="1"/>
  <c r="T5209" i="1"/>
  <c r="R5210" i="1"/>
  <c r="S5210" i="1"/>
  <c r="T5210" i="1"/>
  <c r="R5211" i="1"/>
  <c r="S5211" i="1"/>
  <c r="T5211" i="1"/>
  <c r="R5212" i="1"/>
  <c r="S5212" i="1"/>
  <c r="T5212" i="1"/>
  <c r="R5213" i="1"/>
  <c r="S5213" i="1"/>
  <c r="T5213" i="1"/>
  <c r="R5214" i="1"/>
  <c r="S5214" i="1"/>
  <c r="T5214" i="1"/>
  <c r="R5215" i="1"/>
  <c r="S5215" i="1"/>
  <c r="T5215" i="1"/>
  <c r="R5216" i="1"/>
  <c r="S5216" i="1"/>
  <c r="T5216" i="1"/>
  <c r="R5217" i="1"/>
  <c r="S5217" i="1"/>
  <c r="T5217" i="1"/>
  <c r="R5218" i="1"/>
  <c r="S5218" i="1"/>
  <c r="T5218" i="1"/>
  <c r="R5219" i="1"/>
  <c r="S5219" i="1"/>
  <c r="T5219" i="1"/>
  <c r="R5220" i="1"/>
  <c r="S5220" i="1"/>
  <c r="T5220" i="1"/>
  <c r="R5221" i="1"/>
  <c r="S5221" i="1"/>
  <c r="T5221" i="1"/>
  <c r="R5222" i="1"/>
  <c r="S5222" i="1"/>
  <c r="T5222" i="1"/>
  <c r="R5223" i="1"/>
  <c r="S5223" i="1"/>
  <c r="T5223" i="1"/>
  <c r="R5224" i="1"/>
  <c r="S5224" i="1"/>
  <c r="T5224" i="1"/>
  <c r="R5225" i="1"/>
  <c r="S5225" i="1"/>
  <c r="T5225" i="1"/>
  <c r="R5226" i="1"/>
  <c r="S5226" i="1"/>
  <c r="T5226" i="1"/>
  <c r="R5227" i="1"/>
  <c r="S5227" i="1"/>
  <c r="T5227" i="1"/>
  <c r="R5228" i="1"/>
  <c r="S5228" i="1"/>
  <c r="T5228" i="1"/>
  <c r="R5229" i="1"/>
  <c r="S5229" i="1"/>
  <c r="T5229" i="1"/>
  <c r="R5230" i="1"/>
  <c r="S5230" i="1"/>
  <c r="T5230" i="1"/>
  <c r="R5231" i="1"/>
  <c r="S5231" i="1"/>
  <c r="T5231" i="1"/>
  <c r="R5232" i="1"/>
  <c r="S5232" i="1"/>
  <c r="T5232" i="1"/>
  <c r="R5233" i="1"/>
  <c r="S5233" i="1"/>
  <c r="T5233" i="1"/>
  <c r="R5234" i="1"/>
  <c r="S5234" i="1"/>
  <c r="T5234" i="1"/>
  <c r="R5235" i="1"/>
  <c r="S5235" i="1"/>
  <c r="T5235" i="1"/>
  <c r="R5236" i="1"/>
  <c r="S5236" i="1"/>
  <c r="T5236" i="1"/>
  <c r="R5237" i="1"/>
  <c r="S5237" i="1"/>
  <c r="T5237" i="1"/>
  <c r="R5238" i="1"/>
  <c r="S5238" i="1"/>
  <c r="T5238" i="1"/>
  <c r="R5239" i="1"/>
  <c r="S5239" i="1"/>
  <c r="T5239" i="1"/>
  <c r="R5240" i="1"/>
  <c r="S5240" i="1"/>
  <c r="T5240" i="1"/>
  <c r="R5241" i="1"/>
  <c r="S5241" i="1"/>
  <c r="T5241" i="1"/>
  <c r="R5242" i="1"/>
  <c r="S5242" i="1"/>
  <c r="T5242" i="1"/>
  <c r="R5243" i="1"/>
  <c r="S5243" i="1"/>
  <c r="T5243" i="1"/>
  <c r="R5244" i="1"/>
  <c r="S5244" i="1"/>
  <c r="T5244" i="1"/>
  <c r="R5245" i="1"/>
  <c r="S5245" i="1"/>
  <c r="T5245" i="1"/>
  <c r="R5246" i="1"/>
  <c r="S5246" i="1"/>
  <c r="T5246" i="1"/>
  <c r="R5247" i="1"/>
  <c r="S5247" i="1"/>
  <c r="T5247" i="1"/>
  <c r="R5248" i="1"/>
  <c r="S5248" i="1"/>
  <c r="T5248" i="1"/>
  <c r="R5249" i="1"/>
  <c r="S5249" i="1"/>
  <c r="T5249" i="1"/>
  <c r="R5250" i="1"/>
  <c r="S5250" i="1"/>
  <c r="T5250" i="1"/>
  <c r="R5251" i="1"/>
  <c r="S5251" i="1"/>
  <c r="T5251" i="1"/>
  <c r="R5252" i="1"/>
  <c r="S5252" i="1"/>
  <c r="T5252" i="1"/>
  <c r="R5253" i="1"/>
  <c r="S5253" i="1"/>
  <c r="T5253" i="1"/>
  <c r="R5254" i="1"/>
  <c r="S5254" i="1"/>
  <c r="T5254" i="1"/>
  <c r="R5255" i="1"/>
  <c r="S5255" i="1"/>
  <c r="T5255" i="1"/>
  <c r="R5256" i="1"/>
  <c r="S5256" i="1"/>
  <c r="T5256" i="1"/>
  <c r="R5257" i="1"/>
  <c r="S5257" i="1"/>
  <c r="T5257" i="1"/>
  <c r="R5258" i="1"/>
  <c r="S5258" i="1"/>
  <c r="T5258" i="1"/>
  <c r="R5259" i="1"/>
  <c r="S5259" i="1"/>
  <c r="T5259" i="1"/>
  <c r="R5260" i="1"/>
  <c r="S5260" i="1"/>
  <c r="T5260" i="1"/>
  <c r="R5261" i="1"/>
  <c r="S5261" i="1"/>
  <c r="T5261" i="1"/>
  <c r="R5262" i="1"/>
  <c r="S5262" i="1"/>
  <c r="T5262" i="1"/>
  <c r="R5263" i="1"/>
  <c r="S5263" i="1"/>
  <c r="T5263" i="1"/>
  <c r="R5264" i="1"/>
  <c r="S5264" i="1"/>
  <c r="T5264" i="1"/>
  <c r="R5265" i="1"/>
  <c r="S5265" i="1"/>
  <c r="T5265" i="1"/>
  <c r="R5266" i="1"/>
  <c r="S5266" i="1"/>
  <c r="T5266" i="1"/>
  <c r="R5267" i="1"/>
  <c r="S5267" i="1"/>
  <c r="T5267" i="1"/>
  <c r="R5268" i="1"/>
  <c r="S5268" i="1"/>
  <c r="T5268" i="1"/>
  <c r="R5269" i="1"/>
  <c r="S5269" i="1"/>
  <c r="T5269" i="1"/>
  <c r="R5270" i="1"/>
  <c r="S5270" i="1"/>
  <c r="T5270" i="1"/>
  <c r="R5271" i="1"/>
  <c r="S5271" i="1"/>
  <c r="T5271" i="1"/>
  <c r="R5272" i="1"/>
  <c r="S5272" i="1"/>
  <c r="T5272" i="1"/>
  <c r="R5273" i="1"/>
  <c r="S5273" i="1"/>
  <c r="T5273" i="1"/>
  <c r="R5274" i="1"/>
  <c r="S5274" i="1"/>
  <c r="T5274" i="1"/>
  <c r="R5275" i="1"/>
  <c r="S5275" i="1"/>
  <c r="T5275" i="1"/>
  <c r="R5276" i="1"/>
  <c r="S5276" i="1"/>
  <c r="T5276" i="1"/>
  <c r="R5277" i="1"/>
  <c r="S5277" i="1"/>
  <c r="T5277" i="1"/>
  <c r="R5278" i="1"/>
  <c r="S5278" i="1"/>
  <c r="T5278" i="1"/>
  <c r="R5279" i="1"/>
  <c r="S5279" i="1"/>
  <c r="T5279" i="1"/>
  <c r="R5280" i="1"/>
  <c r="S5280" i="1"/>
  <c r="T5280" i="1"/>
  <c r="R5281" i="1"/>
  <c r="S5281" i="1"/>
  <c r="T5281" i="1"/>
  <c r="R5282" i="1"/>
  <c r="S5282" i="1"/>
  <c r="T5282" i="1"/>
  <c r="R5283" i="1"/>
  <c r="S5283" i="1"/>
  <c r="T5283" i="1"/>
  <c r="R5284" i="1"/>
  <c r="S5284" i="1"/>
  <c r="T5284" i="1"/>
  <c r="R5285" i="1"/>
  <c r="S5285" i="1"/>
  <c r="T5285" i="1"/>
  <c r="R5286" i="1"/>
  <c r="S5286" i="1"/>
  <c r="T5286" i="1"/>
  <c r="R5287" i="1"/>
  <c r="S5287" i="1"/>
  <c r="T5287" i="1"/>
  <c r="R5288" i="1"/>
  <c r="S5288" i="1"/>
  <c r="T5288" i="1"/>
  <c r="R5289" i="1"/>
  <c r="S5289" i="1"/>
  <c r="T5289" i="1"/>
  <c r="R5290" i="1"/>
  <c r="S5290" i="1"/>
  <c r="T5290" i="1"/>
  <c r="R5291" i="1"/>
  <c r="S5291" i="1"/>
  <c r="T5291" i="1"/>
  <c r="R5292" i="1"/>
  <c r="S5292" i="1"/>
  <c r="T5292" i="1"/>
  <c r="R5293" i="1"/>
  <c r="S5293" i="1"/>
  <c r="T5293" i="1"/>
  <c r="R5294" i="1"/>
  <c r="S5294" i="1"/>
  <c r="T5294" i="1"/>
  <c r="R5295" i="1"/>
  <c r="S5295" i="1"/>
  <c r="T5295" i="1"/>
  <c r="R5296" i="1"/>
  <c r="S5296" i="1"/>
  <c r="T5296" i="1"/>
  <c r="R5297" i="1"/>
  <c r="S5297" i="1"/>
  <c r="T5297" i="1"/>
  <c r="R5298" i="1"/>
  <c r="S5298" i="1"/>
  <c r="T5298" i="1"/>
  <c r="R5299" i="1"/>
  <c r="S5299" i="1"/>
  <c r="T5299" i="1"/>
  <c r="R5300" i="1"/>
  <c r="S5300" i="1"/>
  <c r="T5300" i="1"/>
  <c r="R5301" i="1"/>
  <c r="S5301" i="1"/>
  <c r="T5301" i="1"/>
  <c r="R5302" i="1"/>
  <c r="S5302" i="1"/>
  <c r="T5302" i="1"/>
  <c r="R5303" i="1"/>
  <c r="S5303" i="1"/>
  <c r="T5303" i="1"/>
  <c r="R5304" i="1"/>
  <c r="S5304" i="1"/>
  <c r="T5304" i="1"/>
  <c r="R5305" i="1"/>
  <c r="S5305" i="1"/>
  <c r="T5305" i="1"/>
  <c r="R5306" i="1"/>
  <c r="S5306" i="1"/>
  <c r="T5306" i="1"/>
  <c r="R5307" i="1"/>
  <c r="S5307" i="1"/>
  <c r="T5307" i="1"/>
  <c r="R5308" i="1"/>
  <c r="S5308" i="1"/>
  <c r="T5308" i="1"/>
  <c r="R5309" i="1"/>
  <c r="S5309" i="1"/>
  <c r="T5309" i="1"/>
  <c r="R5310" i="1"/>
  <c r="S5310" i="1"/>
  <c r="T5310" i="1"/>
  <c r="R5311" i="1"/>
  <c r="S5311" i="1"/>
  <c r="T5311" i="1"/>
  <c r="R5312" i="1"/>
  <c r="S5312" i="1"/>
  <c r="T5312" i="1"/>
  <c r="R5313" i="1"/>
  <c r="S5313" i="1"/>
  <c r="T5313" i="1"/>
  <c r="R5314" i="1"/>
  <c r="S5314" i="1"/>
  <c r="T5314" i="1"/>
  <c r="R5315" i="1"/>
  <c r="S5315" i="1"/>
  <c r="T5315" i="1"/>
  <c r="R5316" i="1"/>
  <c r="S5316" i="1"/>
  <c r="T5316" i="1"/>
  <c r="R5317" i="1"/>
  <c r="S5317" i="1"/>
  <c r="T5317" i="1"/>
  <c r="R5318" i="1"/>
  <c r="S5318" i="1"/>
  <c r="T5318" i="1"/>
  <c r="R5319" i="1"/>
  <c r="S5319" i="1"/>
  <c r="T5319" i="1"/>
  <c r="R5320" i="1"/>
  <c r="S5320" i="1"/>
  <c r="T5320" i="1"/>
  <c r="R5321" i="1"/>
  <c r="S5321" i="1"/>
  <c r="T5321" i="1"/>
  <c r="R5322" i="1"/>
  <c r="S5322" i="1"/>
  <c r="T5322" i="1"/>
  <c r="R5323" i="1"/>
  <c r="S5323" i="1"/>
  <c r="T5323" i="1"/>
  <c r="R5324" i="1"/>
  <c r="S5324" i="1"/>
  <c r="T5324" i="1"/>
  <c r="R5325" i="1"/>
  <c r="S5325" i="1"/>
  <c r="T5325" i="1"/>
  <c r="R5326" i="1"/>
  <c r="S5326" i="1"/>
  <c r="T5326" i="1"/>
  <c r="R5327" i="1"/>
  <c r="S5327" i="1"/>
  <c r="T5327" i="1"/>
  <c r="R5328" i="1"/>
  <c r="S5328" i="1"/>
  <c r="T5328" i="1"/>
  <c r="R5329" i="1"/>
  <c r="S5329" i="1"/>
  <c r="T5329" i="1"/>
  <c r="R5330" i="1"/>
  <c r="S5330" i="1"/>
  <c r="T5330" i="1"/>
  <c r="R5331" i="1"/>
  <c r="S5331" i="1"/>
  <c r="T5331" i="1"/>
  <c r="R5332" i="1"/>
  <c r="S5332" i="1"/>
  <c r="T5332" i="1"/>
  <c r="R5333" i="1"/>
  <c r="S5333" i="1"/>
  <c r="T5333" i="1"/>
  <c r="R5334" i="1"/>
  <c r="S5334" i="1"/>
  <c r="T5334" i="1"/>
  <c r="R5335" i="1"/>
  <c r="S5335" i="1"/>
  <c r="T5335" i="1"/>
  <c r="R5336" i="1"/>
  <c r="S5336" i="1"/>
  <c r="T5336" i="1"/>
  <c r="R5337" i="1"/>
  <c r="S5337" i="1"/>
  <c r="T5337" i="1"/>
  <c r="R5338" i="1"/>
  <c r="S5338" i="1"/>
  <c r="T5338" i="1"/>
  <c r="R5339" i="1"/>
  <c r="S5339" i="1"/>
  <c r="T5339" i="1"/>
  <c r="R5340" i="1"/>
  <c r="S5340" i="1"/>
  <c r="T5340" i="1"/>
  <c r="R5341" i="1"/>
  <c r="S5341" i="1"/>
  <c r="T5341" i="1"/>
  <c r="R5342" i="1"/>
  <c r="S5342" i="1"/>
  <c r="T5342" i="1"/>
  <c r="R5343" i="1"/>
  <c r="S5343" i="1"/>
  <c r="T5343" i="1"/>
  <c r="R5344" i="1"/>
  <c r="S5344" i="1"/>
  <c r="T5344" i="1"/>
  <c r="R5345" i="1"/>
  <c r="S5345" i="1"/>
  <c r="T5345" i="1"/>
  <c r="R5346" i="1"/>
  <c r="S5346" i="1"/>
  <c r="T5346" i="1"/>
  <c r="R5347" i="1"/>
  <c r="S5347" i="1"/>
  <c r="T5347" i="1"/>
  <c r="R5348" i="1"/>
  <c r="S5348" i="1"/>
  <c r="T5348" i="1"/>
  <c r="R5349" i="1"/>
  <c r="S5349" i="1"/>
  <c r="T5349" i="1"/>
  <c r="R5350" i="1"/>
  <c r="S5350" i="1"/>
  <c r="T5350" i="1"/>
  <c r="R5351" i="1"/>
  <c r="S5351" i="1"/>
  <c r="T5351" i="1"/>
  <c r="R5352" i="1"/>
  <c r="S5352" i="1"/>
  <c r="T5352" i="1"/>
  <c r="R5353" i="1"/>
  <c r="S5353" i="1"/>
  <c r="T5353" i="1"/>
  <c r="R5354" i="1"/>
  <c r="S5354" i="1"/>
  <c r="T5354" i="1"/>
  <c r="R5355" i="1"/>
  <c r="S5355" i="1"/>
  <c r="T5355" i="1"/>
  <c r="R5356" i="1"/>
  <c r="S5356" i="1"/>
  <c r="T5356" i="1"/>
  <c r="R5357" i="1"/>
  <c r="S5357" i="1"/>
  <c r="T5357" i="1"/>
  <c r="R5358" i="1"/>
  <c r="S5358" i="1"/>
  <c r="T5358" i="1"/>
  <c r="R5359" i="1"/>
  <c r="S5359" i="1"/>
  <c r="T5359" i="1"/>
  <c r="R5360" i="1"/>
  <c r="S5360" i="1"/>
  <c r="T5360" i="1"/>
  <c r="R5361" i="1"/>
  <c r="S5361" i="1"/>
  <c r="T5361" i="1"/>
  <c r="R5362" i="1"/>
  <c r="S5362" i="1"/>
  <c r="T5362" i="1"/>
  <c r="R5363" i="1"/>
  <c r="S5363" i="1"/>
  <c r="T5363" i="1"/>
  <c r="R5364" i="1"/>
  <c r="S5364" i="1"/>
  <c r="T5364" i="1"/>
  <c r="R5365" i="1"/>
  <c r="S5365" i="1"/>
  <c r="T5365" i="1"/>
  <c r="R5366" i="1"/>
  <c r="S5366" i="1"/>
  <c r="T5366" i="1"/>
  <c r="R5367" i="1"/>
  <c r="S5367" i="1"/>
  <c r="T5367" i="1"/>
  <c r="R5368" i="1"/>
  <c r="S5368" i="1"/>
  <c r="T5368" i="1"/>
  <c r="R5369" i="1"/>
  <c r="S5369" i="1"/>
  <c r="T5369" i="1"/>
  <c r="R5370" i="1"/>
  <c r="S5370" i="1"/>
  <c r="T5370" i="1"/>
  <c r="R5371" i="1"/>
  <c r="S5371" i="1"/>
  <c r="T5371" i="1"/>
  <c r="R5372" i="1"/>
  <c r="S5372" i="1"/>
  <c r="T5372" i="1"/>
  <c r="R5373" i="1"/>
  <c r="S5373" i="1"/>
  <c r="T5373" i="1"/>
  <c r="R5374" i="1"/>
  <c r="S5374" i="1"/>
  <c r="T5374" i="1"/>
  <c r="R5375" i="1"/>
  <c r="S5375" i="1"/>
  <c r="T5375" i="1"/>
  <c r="R5376" i="1"/>
  <c r="S5376" i="1"/>
  <c r="T5376" i="1"/>
  <c r="R5377" i="1"/>
  <c r="S5377" i="1"/>
  <c r="T5377" i="1"/>
  <c r="R5378" i="1"/>
  <c r="S5378" i="1"/>
  <c r="T5378" i="1"/>
  <c r="R5379" i="1"/>
  <c r="S5379" i="1"/>
  <c r="T5379" i="1"/>
  <c r="R5380" i="1"/>
  <c r="S5380" i="1"/>
  <c r="T5380" i="1"/>
  <c r="R5381" i="1"/>
  <c r="S5381" i="1"/>
  <c r="T5381" i="1"/>
  <c r="R5382" i="1"/>
  <c r="S5382" i="1"/>
  <c r="T5382" i="1"/>
  <c r="R5383" i="1"/>
  <c r="S5383" i="1"/>
  <c r="T5383" i="1"/>
  <c r="R5384" i="1"/>
  <c r="S5384" i="1"/>
  <c r="T5384" i="1"/>
  <c r="R5385" i="1"/>
  <c r="S5385" i="1"/>
  <c r="T5385" i="1"/>
  <c r="R5386" i="1"/>
  <c r="S5386" i="1"/>
  <c r="T5386" i="1"/>
  <c r="R5387" i="1"/>
  <c r="S5387" i="1"/>
  <c r="T5387" i="1"/>
  <c r="R5388" i="1"/>
  <c r="S5388" i="1"/>
  <c r="T5388" i="1"/>
  <c r="R5389" i="1"/>
  <c r="S5389" i="1"/>
  <c r="T5389" i="1"/>
  <c r="R5390" i="1"/>
  <c r="S5390" i="1"/>
  <c r="T5390" i="1"/>
  <c r="R5391" i="1"/>
  <c r="S5391" i="1"/>
  <c r="T5391" i="1"/>
  <c r="R5392" i="1"/>
  <c r="S5392" i="1"/>
  <c r="T5392" i="1"/>
  <c r="R5393" i="1"/>
  <c r="S5393" i="1"/>
  <c r="T5393" i="1"/>
  <c r="R5394" i="1"/>
  <c r="S5394" i="1"/>
  <c r="T5394" i="1"/>
  <c r="R5395" i="1"/>
  <c r="S5395" i="1"/>
  <c r="T5395" i="1"/>
  <c r="R5396" i="1"/>
  <c r="S5396" i="1"/>
  <c r="T5396" i="1"/>
  <c r="R5397" i="1"/>
  <c r="S5397" i="1"/>
  <c r="T5397" i="1"/>
  <c r="R5398" i="1"/>
  <c r="S5398" i="1"/>
  <c r="T5398" i="1"/>
  <c r="R5399" i="1"/>
  <c r="S5399" i="1"/>
  <c r="T5399" i="1"/>
  <c r="R5400" i="1"/>
  <c r="S5400" i="1"/>
  <c r="T5400" i="1"/>
  <c r="R5401" i="1"/>
  <c r="S5401" i="1"/>
  <c r="T5401" i="1"/>
  <c r="R5402" i="1"/>
  <c r="S5402" i="1"/>
  <c r="T5402" i="1"/>
  <c r="R5403" i="1"/>
  <c r="S5403" i="1"/>
  <c r="T5403" i="1"/>
  <c r="R5404" i="1"/>
  <c r="S5404" i="1"/>
  <c r="T5404" i="1"/>
  <c r="R5405" i="1"/>
  <c r="S5405" i="1"/>
  <c r="T5405" i="1"/>
  <c r="R5406" i="1"/>
  <c r="S5406" i="1"/>
  <c r="T5406" i="1"/>
  <c r="R5407" i="1"/>
  <c r="S5407" i="1"/>
  <c r="T5407" i="1"/>
  <c r="R5408" i="1"/>
  <c r="S5408" i="1"/>
  <c r="T5408" i="1"/>
  <c r="R5409" i="1"/>
  <c r="S5409" i="1"/>
  <c r="T5409" i="1"/>
  <c r="R5410" i="1"/>
  <c r="S5410" i="1"/>
  <c r="T5410" i="1"/>
  <c r="R5411" i="1"/>
  <c r="S5411" i="1"/>
  <c r="T5411" i="1"/>
  <c r="R5412" i="1"/>
  <c r="S5412" i="1"/>
  <c r="T5412" i="1"/>
  <c r="R5413" i="1"/>
  <c r="S5413" i="1"/>
  <c r="T5413" i="1"/>
  <c r="R5414" i="1"/>
  <c r="S5414" i="1"/>
  <c r="T5414" i="1"/>
  <c r="R5415" i="1"/>
  <c r="S5415" i="1"/>
  <c r="T5415" i="1"/>
  <c r="R5416" i="1"/>
  <c r="S5416" i="1"/>
  <c r="T5416" i="1"/>
  <c r="R5417" i="1"/>
  <c r="S5417" i="1"/>
  <c r="T5417" i="1"/>
  <c r="R5418" i="1"/>
  <c r="S5418" i="1"/>
  <c r="T5418" i="1"/>
  <c r="R5419" i="1"/>
  <c r="S5419" i="1"/>
  <c r="T5419" i="1"/>
  <c r="R5420" i="1"/>
  <c r="S5420" i="1"/>
  <c r="T5420" i="1"/>
  <c r="R5421" i="1"/>
  <c r="S5421" i="1"/>
  <c r="T5421" i="1"/>
  <c r="R5422" i="1"/>
  <c r="S5422" i="1"/>
  <c r="T5422" i="1"/>
  <c r="R5423" i="1"/>
  <c r="S5423" i="1"/>
  <c r="T5423" i="1"/>
  <c r="R5424" i="1"/>
  <c r="S5424" i="1"/>
  <c r="T5424" i="1"/>
  <c r="R5425" i="1"/>
  <c r="S5425" i="1"/>
  <c r="T5425" i="1"/>
  <c r="R5426" i="1"/>
  <c r="S5426" i="1"/>
  <c r="T5426" i="1"/>
  <c r="R5427" i="1"/>
  <c r="S5427" i="1"/>
  <c r="T5427" i="1"/>
  <c r="R5428" i="1"/>
  <c r="S5428" i="1"/>
  <c r="T5428" i="1"/>
  <c r="R5429" i="1"/>
  <c r="S5429" i="1"/>
  <c r="T5429" i="1"/>
  <c r="R5430" i="1"/>
  <c r="S5430" i="1"/>
  <c r="T5430" i="1"/>
  <c r="R5431" i="1"/>
  <c r="S5431" i="1"/>
  <c r="T5431" i="1"/>
  <c r="R5432" i="1"/>
  <c r="S5432" i="1"/>
  <c r="T5432" i="1"/>
  <c r="R5433" i="1"/>
  <c r="S5433" i="1"/>
  <c r="T5433" i="1"/>
  <c r="R5434" i="1"/>
  <c r="S5434" i="1"/>
  <c r="T5434" i="1"/>
  <c r="R5435" i="1"/>
  <c r="S5435" i="1"/>
  <c r="T5435" i="1"/>
  <c r="R5436" i="1"/>
  <c r="S5436" i="1"/>
  <c r="T5436" i="1"/>
  <c r="R5437" i="1"/>
  <c r="S5437" i="1"/>
  <c r="T5437" i="1"/>
  <c r="R5438" i="1"/>
  <c r="S5438" i="1"/>
  <c r="T5438" i="1"/>
  <c r="R5439" i="1"/>
  <c r="S5439" i="1"/>
  <c r="T5439" i="1"/>
  <c r="R5440" i="1"/>
  <c r="S5440" i="1"/>
  <c r="T5440" i="1"/>
  <c r="R5441" i="1"/>
  <c r="S5441" i="1"/>
  <c r="T5441" i="1"/>
  <c r="R5442" i="1"/>
  <c r="S5442" i="1"/>
  <c r="T5442" i="1"/>
  <c r="R5443" i="1"/>
  <c r="S5443" i="1"/>
  <c r="T5443" i="1"/>
  <c r="R5444" i="1"/>
  <c r="S5444" i="1"/>
  <c r="T5444" i="1"/>
  <c r="R5445" i="1"/>
  <c r="S5445" i="1"/>
  <c r="T5445" i="1"/>
  <c r="R5446" i="1"/>
  <c r="S5446" i="1"/>
  <c r="T5446" i="1"/>
  <c r="R5447" i="1"/>
  <c r="S5447" i="1"/>
  <c r="T5447" i="1"/>
  <c r="R5448" i="1"/>
  <c r="S5448" i="1"/>
  <c r="T5448" i="1"/>
  <c r="R5449" i="1"/>
  <c r="S5449" i="1"/>
  <c r="T5449" i="1"/>
  <c r="R5450" i="1"/>
  <c r="S5450" i="1"/>
  <c r="T5450" i="1"/>
  <c r="R5451" i="1"/>
  <c r="S5451" i="1"/>
  <c r="T5451" i="1"/>
  <c r="R5452" i="1"/>
  <c r="S5452" i="1"/>
  <c r="T5452" i="1"/>
  <c r="R5453" i="1"/>
  <c r="S5453" i="1"/>
  <c r="T5453" i="1"/>
  <c r="R5454" i="1"/>
  <c r="S5454" i="1"/>
  <c r="T5454" i="1"/>
  <c r="R5455" i="1"/>
  <c r="S5455" i="1"/>
  <c r="T5455" i="1"/>
  <c r="R5456" i="1"/>
  <c r="S5456" i="1"/>
  <c r="T5456" i="1"/>
  <c r="R5457" i="1"/>
  <c r="S5457" i="1"/>
  <c r="T5457" i="1"/>
  <c r="R5458" i="1"/>
  <c r="S5458" i="1"/>
  <c r="T5458" i="1"/>
  <c r="R5459" i="1"/>
  <c r="S5459" i="1"/>
  <c r="T5459" i="1"/>
  <c r="R5460" i="1"/>
  <c r="S5460" i="1"/>
  <c r="T5460" i="1"/>
  <c r="R5461" i="1"/>
  <c r="S5461" i="1"/>
  <c r="T5461" i="1"/>
  <c r="R5462" i="1"/>
  <c r="S5462" i="1"/>
  <c r="T5462" i="1"/>
  <c r="R5463" i="1"/>
  <c r="S5463" i="1"/>
  <c r="T5463" i="1"/>
  <c r="R5464" i="1"/>
  <c r="S5464" i="1"/>
  <c r="T5464" i="1"/>
  <c r="R5465" i="1"/>
  <c r="S5465" i="1"/>
  <c r="T5465" i="1"/>
  <c r="R5466" i="1"/>
  <c r="S5466" i="1"/>
  <c r="T5466" i="1"/>
  <c r="R5467" i="1"/>
  <c r="S5467" i="1"/>
  <c r="T5467" i="1"/>
  <c r="R5468" i="1"/>
  <c r="S5468" i="1"/>
  <c r="T5468" i="1"/>
  <c r="R5469" i="1"/>
  <c r="S5469" i="1"/>
  <c r="T5469" i="1"/>
  <c r="R5470" i="1"/>
  <c r="S5470" i="1"/>
  <c r="T5470" i="1"/>
  <c r="R5471" i="1"/>
  <c r="S5471" i="1"/>
  <c r="T5471" i="1"/>
  <c r="R5472" i="1"/>
  <c r="S5472" i="1"/>
  <c r="T5472" i="1"/>
  <c r="R5473" i="1"/>
  <c r="S5473" i="1"/>
  <c r="T5473" i="1"/>
  <c r="R5474" i="1"/>
  <c r="S5474" i="1"/>
  <c r="T5474" i="1"/>
  <c r="R5475" i="1"/>
  <c r="S5475" i="1"/>
  <c r="T5475" i="1"/>
  <c r="R5476" i="1"/>
  <c r="S5476" i="1"/>
  <c r="T5476" i="1"/>
  <c r="R5477" i="1"/>
  <c r="S5477" i="1"/>
  <c r="T5477" i="1"/>
  <c r="R5478" i="1"/>
  <c r="S5478" i="1"/>
  <c r="T5478" i="1"/>
  <c r="R5479" i="1"/>
  <c r="S5479" i="1"/>
  <c r="T5479" i="1"/>
  <c r="R5480" i="1"/>
  <c r="S5480" i="1"/>
  <c r="T5480" i="1"/>
  <c r="R5481" i="1"/>
  <c r="S5481" i="1"/>
  <c r="T5481" i="1"/>
  <c r="R5482" i="1"/>
  <c r="S5482" i="1"/>
  <c r="T5482" i="1"/>
  <c r="R5483" i="1"/>
  <c r="S5483" i="1"/>
  <c r="T5483" i="1"/>
  <c r="R5484" i="1"/>
  <c r="S5484" i="1"/>
  <c r="T5484" i="1"/>
  <c r="R5485" i="1"/>
  <c r="S5485" i="1"/>
  <c r="T5485" i="1"/>
  <c r="R5486" i="1"/>
  <c r="S5486" i="1"/>
  <c r="T5486" i="1"/>
  <c r="R5487" i="1"/>
  <c r="S5487" i="1"/>
  <c r="T5487" i="1"/>
  <c r="R5488" i="1"/>
  <c r="S5488" i="1"/>
  <c r="T5488" i="1"/>
  <c r="R5489" i="1"/>
  <c r="S5489" i="1"/>
  <c r="T5489" i="1"/>
  <c r="R5490" i="1"/>
  <c r="S5490" i="1"/>
  <c r="T5490" i="1"/>
  <c r="R5491" i="1"/>
  <c r="S5491" i="1"/>
  <c r="T5491" i="1"/>
  <c r="R5492" i="1"/>
  <c r="S5492" i="1"/>
  <c r="T5492" i="1"/>
  <c r="R5493" i="1"/>
  <c r="S5493" i="1"/>
  <c r="T5493" i="1"/>
  <c r="R5494" i="1"/>
  <c r="S5494" i="1"/>
  <c r="T5494" i="1"/>
  <c r="R5495" i="1"/>
  <c r="S5495" i="1"/>
  <c r="T5495" i="1"/>
  <c r="R5496" i="1"/>
  <c r="S5496" i="1"/>
  <c r="T5496" i="1"/>
  <c r="R5497" i="1"/>
  <c r="S5497" i="1"/>
  <c r="T5497" i="1"/>
  <c r="R5498" i="1"/>
  <c r="S5498" i="1"/>
  <c r="T5498" i="1"/>
  <c r="R5499" i="1"/>
  <c r="S5499" i="1"/>
  <c r="T5499" i="1"/>
  <c r="R5500" i="1"/>
  <c r="S5500" i="1"/>
  <c r="T5500" i="1"/>
  <c r="R5501" i="1"/>
  <c r="S5501" i="1"/>
  <c r="T5501" i="1"/>
  <c r="R5502" i="1"/>
  <c r="S5502" i="1"/>
  <c r="T5502" i="1"/>
  <c r="R5503" i="1"/>
  <c r="S5503" i="1"/>
  <c r="T5503" i="1"/>
  <c r="R5504" i="1"/>
  <c r="S5504" i="1"/>
  <c r="T5504" i="1"/>
  <c r="R5505" i="1"/>
  <c r="S5505" i="1"/>
  <c r="T5505" i="1"/>
  <c r="R5506" i="1"/>
  <c r="S5506" i="1"/>
  <c r="T5506" i="1"/>
  <c r="R5507" i="1"/>
  <c r="S5507" i="1"/>
  <c r="T5507" i="1"/>
  <c r="R5508" i="1"/>
  <c r="S5508" i="1"/>
  <c r="T5508" i="1"/>
  <c r="R5509" i="1"/>
  <c r="S5509" i="1"/>
  <c r="T5509" i="1"/>
  <c r="R5510" i="1"/>
  <c r="S5510" i="1"/>
  <c r="T5510" i="1"/>
  <c r="R5511" i="1"/>
  <c r="S5511" i="1"/>
  <c r="T5511" i="1"/>
  <c r="R5512" i="1"/>
  <c r="S5512" i="1"/>
  <c r="T5512" i="1"/>
  <c r="R5513" i="1"/>
  <c r="S5513" i="1"/>
  <c r="T5513" i="1"/>
  <c r="R5514" i="1"/>
  <c r="S5514" i="1"/>
  <c r="T5514" i="1"/>
  <c r="R5515" i="1"/>
  <c r="S5515" i="1"/>
  <c r="T5515" i="1"/>
  <c r="R5516" i="1"/>
  <c r="S5516" i="1"/>
  <c r="T5516" i="1"/>
  <c r="R5517" i="1"/>
  <c r="S5517" i="1"/>
  <c r="T5517" i="1"/>
  <c r="R5518" i="1"/>
  <c r="S5518" i="1"/>
  <c r="T5518" i="1"/>
  <c r="R5519" i="1"/>
  <c r="S5519" i="1"/>
  <c r="T5519" i="1"/>
  <c r="R5520" i="1"/>
  <c r="S5520" i="1"/>
  <c r="T5520" i="1"/>
  <c r="R5521" i="1"/>
  <c r="S5521" i="1"/>
  <c r="T5521" i="1"/>
  <c r="R5522" i="1"/>
  <c r="S5522" i="1"/>
  <c r="T5522" i="1"/>
  <c r="R5523" i="1"/>
  <c r="S5523" i="1"/>
  <c r="T5523" i="1"/>
  <c r="R5524" i="1"/>
  <c r="S5524" i="1"/>
  <c r="T5524" i="1"/>
  <c r="R5525" i="1"/>
  <c r="S5525" i="1"/>
  <c r="T5525" i="1"/>
  <c r="R5526" i="1"/>
  <c r="S5526" i="1"/>
  <c r="T5526" i="1"/>
  <c r="R5527" i="1"/>
  <c r="S5527" i="1"/>
  <c r="T5527" i="1"/>
  <c r="R5528" i="1"/>
  <c r="S5528" i="1"/>
  <c r="T5528" i="1"/>
  <c r="R5529" i="1"/>
  <c r="S5529" i="1"/>
  <c r="T5529" i="1"/>
  <c r="R5530" i="1"/>
  <c r="S5530" i="1"/>
  <c r="T5530" i="1"/>
  <c r="R5531" i="1"/>
  <c r="S5531" i="1"/>
  <c r="T5531" i="1"/>
  <c r="R5532" i="1"/>
  <c r="S5532" i="1"/>
  <c r="T5532" i="1"/>
  <c r="R5533" i="1"/>
  <c r="S5533" i="1"/>
  <c r="T5533" i="1"/>
  <c r="R5534" i="1"/>
  <c r="S5534" i="1"/>
  <c r="T5534" i="1"/>
  <c r="R5535" i="1"/>
  <c r="S5535" i="1"/>
  <c r="T5535" i="1"/>
  <c r="R5536" i="1"/>
  <c r="S5536" i="1"/>
  <c r="T5536" i="1"/>
  <c r="R5537" i="1"/>
  <c r="S5537" i="1"/>
  <c r="T5537" i="1"/>
  <c r="R5538" i="1"/>
  <c r="S5538" i="1"/>
  <c r="T5538" i="1"/>
  <c r="R5539" i="1"/>
  <c r="S5539" i="1"/>
  <c r="T5539" i="1"/>
  <c r="R5540" i="1"/>
  <c r="S5540" i="1"/>
  <c r="T5540" i="1"/>
  <c r="R5541" i="1"/>
  <c r="S5541" i="1"/>
  <c r="T5541" i="1"/>
  <c r="R5542" i="1"/>
  <c r="S5542" i="1"/>
  <c r="T5542" i="1"/>
  <c r="R5543" i="1"/>
  <c r="S5543" i="1"/>
  <c r="T5543" i="1"/>
  <c r="R5544" i="1"/>
  <c r="S5544" i="1"/>
  <c r="T5544" i="1"/>
  <c r="R5545" i="1"/>
  <c r="S5545" i="1"/>
  <c r="T5545" i="1"/>
  <c r="R5546" i="1"/>
  <c r="S5546" i="1"/>
  <c r="T5546" i="1"/>
  <c r="R5547" i="1"/>
  <c r="S5547" i="1"/>
  <c r="T5547" i="1"/>
  <c r="R5548" i="1"/>
  <c r="S5548" i="1"/>
  <c r="T5548" i="1"/>
  <c r="R5549" i="1"/>
  <c r="S5549" i="1"/>
  <c r="T5549" i="1"/>
  <c r="R5550" i="1"/>
  <c r="S5550" i="1"/>
  <c r="T5550" i="1"/>
  <c r="R5551" i="1"/>
  <c r="S5551" i="1"/>
  <c r="T5551" i="1"/>
  <c r="R5552" i="1"/>
  <c r="S5552" i="1"/>
  <c r="T5552" i="1"/>
  <c r="R5553" i="1"/>
  <c r="S5553" i="1"/>
  <c r="T5553" i="1"/>
  <c r="R5554" i="1"/>
  <c r="S5554" i="1"/>
  <c r="T5554" i="1"/>
  <c r="R5555" i="1"/>
  <c r="S5555" i="1"/>
  <c r="T5555" i="1"/>
  <c r="R5556" i="1"/>
  <c r="S5556" i="1"/>
  <c r="T5556" i="1"/>
  <c r="R5557" i="1"/>
  <c r="S5557" i="1"/>
  <c r="T5557" i="1"/>
  <c r="R5558" i="1"/>
  <c r="S5558" i="1"/>
  <c r="T5558" i="1"/>
  <c r="R5559" i="1"/>
  <c r="S5559" i="1"/>
  <c r="T5559" i="1"/>
  <c r="R5560" i="1"/>
  <c r="S5560" i="1"/>
  <c r="T5560" i="1"/>
  <c r="R5561" i="1"/>
  <c r="S5561" i="1"/>
  <c r="T5561" i="1"/>
  <c r="R5562" i="1"/>
  <c r="S5562" i="1"/>
  <c r="T5562" i="1"/>
  <c r="R5563" i="1"/>
  <c r="S5563" i="1"/>
  <c r="T5563" i="1"/>
  <c r="R5564" i="1"/>
  <c r="S5564" i="1"/>
  <c r="T5564" i="1"/>
  <c r="R5565" i="1"/>
  <c r="S5565" i="1"/>
  <c r="T5565" i="1"/>
  <c r="R5566" i="1"/>
  <c r="S5566" i="1"/>
  <c r="T5566" i="1"/>
  <c r="R5567" i="1"/>
  <c r="S5567" i="1"/>
  <c r="T5567" i="1"/>
  <c r="R5568" i="1"/>
  <c r="S5568" i="1"/>
  <c r="T5568" i="1"/>
  <c r="R5569" i="1"/>
  <c r="S5569" i="1"/>
  <c r="T5569" i="1"/>
  <c r="R5570" i="1"/>
  <c r="S5570" i="1"/>
  <c r="T5570" i="1"/>
  <c r="R5571" i="1"/>
  <c r="S5571" i="1"/>
  <c r="T5571" i="1"/>
  <c r="R5572" i="1"/>
  <c r="S5572" i="1"/>
  <c r="T5572" i="1"/>
  <c r="R5573" i="1"/>
  <c r="S5573" i="1"/>
  <c r="T5573" i="1"/>
  <c r="R5574" i="1"/>
  <c r="S5574" i="1"/>
  <c r="T5574" i="1"/>
  <c r="R5575" i="1"/>
  <c r="S5575" i="1"/>
  <c r="T5575" i="1"/>
  <c r="R5576" i="1"/>
  <c r="S5576" i="1"/>
  <c r="T5576" i="1"/>
  <c r="R5577" i="1"/>
  <c r="S5577" i="1"/>
  <c r="T5577" i="1"/>
  <c r="R5578" i="1"/>
  <c r="S5578" i="1"/>
  <c r="T5578" i="1"/>
  <c r="R5579" i="1"/>
  <c r="S5579" i="1"/>
  <c r="T5579" i="1"/>
  <c r="R5580" i="1"/>
  <c r="S5580" i="1"/>
  <c r="T5580" i="1"/>
  <c r="R5581" i="1"/>
  <c r="S5581" i="1"/>
  <c r="T5581" i="1"/>
  <c r="R5582" i="1"/>
  <c r="S5582" i="1"/>
  <c r="T5582" i="1"/>
  <c r="R5583" i="1"/>
  <c r="S5583" i="1"/>
  <c r="T5583" i="1"/>
  <c r="R5584" i="1"/>
  <c r="S5584" i="1"/>
  <c r="T5584" i="1"/>
  <c r="R5585" i="1"/>
  <c r="S5585" i="1"/>
  <c r="T5585" i="1"/>
  <c r="R5586" i="1"/>
  <c r="S5586" i="1"/>
  <c r="T5586" i="1"/>
  <c r="R5587" i="1"/>
  <c r="S5587" i="1"/>
  <c r="T5587" i="1"/>
  <c r="R5588" i="1"/>
  <c r="S5588" i="1"/>
  <c r="T5588" i="1"/>
  <c r="R5589" i="1"/>
  <c r="S5589" i="1"/>
  <c r="T5589" i="1"/>
  <c r="R5590" i="1"/>
  <c r="S5590" i="1"/>
  <c r="T5590" i="1"/>
  <c r="R5591" i="1"/>
  <c r="S5591" i="1"/>
  <c r="T5591" i="1"/>
  <c r="R5592" i="1"/>
  <c r="S5592" i="1"/>
  <c r="T5592" i="1"/>
  <c r="R5593" i="1"/>
  <c r="S5593" i="1"/>
  <c r="T5593" i="1"/>
  <c r="R5594" i="1"/>
  <c r="S5594" i="1"/>
  <c r="T5594" i="1"/>
  <c r="R5595" i="1"/>
  <c r="S5595" i="1"/>
  <c r="T5595" i="1"/>
  <c r="R5596" i="1"/>
  <c r="S5596" i="1"/>
  <c r="T5596" i="1"/>
  <c r="R5597" i="1"/>
  <c r="S5597" i="1"/>
  <c r="T5597" i="1"/>
  <c r="R5598" i="1"/>
  <c r="S5598" i="1"/>
  <c r="T5598" i="1"/>
  <c r="R5599" i="1"/>
  <c r="S5599" i="1"/>
  <c r="T5599" i="1"/>
  <c r="R5600" i="1"/>
  <c r="S5600" i="1"/>
  <c r="T5600" i="1"/>
  <c r="R5601" i="1"/>
  <c r="S5601" i="1"/>
  <c r="T5601" i="1"/>
  <c r="R5602" i="1"/>
  <c r="S5602" i="1"/>
  <c r="T5602" i="1"/>
  <c r="R5603" i="1"/>
  <c r="S5603" i="1"/>
  <c r="T5603" i="1"/>
  <c r="R5604" i="1"/>
  <c r="S5604" i="1"/>
  <c r="T5604" i="1"/>
  <c r="R5605" i="1"/>
  <c r="S5605" i="1"/>
  <c r="T5605" i="1"/>
  <c r="R5606" i="1"/>
  <c r="S5606" i="1"/>
  <c r="T5606" i="1"/>
  <c r="R5607" i="1"/>
  <c r="S5607" i="1"/>
  <c r="T5607" i="1"/>
  <c r="R5608" i="1"/>
  <c r="S5608" i="1"/>
  <c r="T5608" i="1"/>
  <c r="R5609" i="1"/>
  <c r="S5609" i="1"/>
  <c r="T5609" i="1"/>
  <c r="R5610" i="1"/>
  <c r="S5610" i="1"/>
  <c r="T5610" i="1"/>
  <c r="R5611" i="1"/>
  <c r="S5611" i="1"/>
  <c r="T5611" i="1"/>
  <c r="R5612" i="1"/>
  <c r="S5612" i="1"/>
  <c r="T5612" i="1"/>
  <c r="R5613" i="1"/>
  <c r="S5613" i="1"/>
  <c r="T5613" i="1"/>
  <c r="R5614" i="1"/>
  <c r="S5614" i="1"/>
  <c r="T5614" i="1"/>
  <c r="R5615" i="1"/>
  <c r="S5615" i="1"/>
  <c r="T5615" i="1"/>
  <c r="R5616" i="1"/>
  <c r="S5616" i="1"/>
  <c r="T5616" i="1"/>
  <c r="R5617" i="1"/>
  <c r="S5617" i="1"/>
  <c r="T5617" i="1"/>
  <c r="R5618" i="1"/>
  <c r="S5618" i="1"/>
  <c r="T5618" i="1"/>
  <c r="R5619" i="1"/>
  <c r="S5619" i="1"/>
  <c r="T5619" i="1"/>
  <c r="R5620" i="1"/>
  <c r="S5620" i="1"/>
  <c r="T5620" i="1"/>
  <c r="R5621" i="1"/>
  <c r="S5621" i="1"/>
  <c r="T5621" i="1"/>
  <c r="R5622" i="1"/>
  <c r="S5622" i="1"/>
  <c r="T5622" i="1"/>
  <c r="R5623" i="1"/>
  <c r="S5623" i="1"/>
  <c r="T5623" i="1"/>
  <c r="R5624" i="1"/>
  <c r="S5624" i="1"/>
  <c r="T5624" i="1"/>
  <c r="R5625" i="1"/>
  <c r="S5625" i="1"/>
  <c r="T5625" i="1"/>
  <c r="R5626" i="1"/>
  <c r="S5626" i="1"/>
  <c r="T5626" i="1"/>
  <c r="R5627" i="1"/>
  <c r="S5627" i="1"/>
  <c r="T5627" i="1"/>
  <c r="R5628" i="1"/>
  <c r="S5628" i="1"/>
  <c r="T5628" i="1"/>
  <c r="R5629" i="1"/>
  <c r="S5629" i="1"/>
  <c r="T5629" i="1"/>
  <c r="R5630" i="1"/>
  <c r="S5630" i="1"/>
  <c r="T5630" i="1"/>
  <c r="R5631" i="1"/>
  <c r="S5631" i="1"/>
  <c r="T5631" i="1"/>
  <c r="R5632" i="1"/>
  <c r="S5632" i="1"/>
  <c r="T5632" i="1"/>
  <c r="R5633" i="1"/>
  <c r="S5633" i="1"/>
  <c r="T5633" i="1"/>
  <c r="R5634" i="1"/>
  <c r="S5634" i="1"/>
  <c r="T5634" i="1"/>
  <c r="R5635" i="1"/>
  <c r="S5635" i="1"/>
  <c r="T5635" i="1"/>
  <c r="R5636" i="1"/>
  <c r="S5636" i="1"/>
  <c r="T5636" i="1"/>
  <c r="R5637" i="1"/>
  <c r="S5637" i="1"/>
  <c r="T5637" i="1"/>
  <c r="R5638" i="1"/>
  <c r="S5638" i="1"/>
  <c r="T5638" i="1"/>
  <c r="R5639" i="1"/>
  <c r="S5639" i="1"/>
  <c r="T5639" i="1"/>
  <c r="R5640" i="1"/>
  <c r="S5640" i="1"/>
  <c r="T5640" i="1"/>
  <c r="R5641" i="1"/>
  <c r="S5641" i="1"/>
  <c r="T5641" i="1"/>
  <c r="R5642" i="1"/>
  <c r="S5642" i="1"/>
  <c r="T5642" i="1"/>
  <c r="R5643" i="1"/>
  <c r="S5643" i="1"/>
  <c r="T5643" i="1"/>
  <c r="R5644" i="1"/>
  <c r="S5644" i="1"/>
  <c r="T5644" i="1"/>
  <c r="R5645" i="1"/>
  <c r="S5645" i="1"/>
  <c r="T5645" i="1"/>
  <c r="R5646" i="1"/>
  <c r="S5646" i="1"/>
  <c r="T5646" i="1"/>
  <c r="R5647" i="1"/>
  <c r="S5647" i="1"/>
  <c r="T5647" i="1"/>
  <c r="R5648" i="1"/>
  <c r="S5648" i="1"/>
  <c r="T5648" i="1"/>
  <c r="R5649" i="1"/>
  <c r="S5649" i="1"/>
  <c r="T5649" i="1"/>
  <c r="R5650" i="1"/>
  <c r="S5650" i="1"/>
  <c r="T5650" i="1"/>
  <c r="R5651" i="1"/>
  <c r="S5651" i="1"/>
  <c r="T5651" i="1"/>
  <c r="R5652" i="1"/>
  <c r="S5652" i="1"/>
  <c r="T5652" i="1"/>
  <c r="R5653" i="1"/>
  <c r="S5653" i="1"/>
  <c r="T5653" i="1"/>
  <c r="R5654" i="1"/>
  <c r="S5654" i="1"/>
  <c r="T5654" i="1"/>
  <c r="R5655" i="1"/>
  <c r="S5655" i="1"/>
  <c r="T5655" i="1"/>
  <c r="R5656" i="1"/>
  <c r="S5656" i="1"/>
  <c r="T5656" i="1"/>
  <c r="R5657" i="1"/>
  <c r="S5657" i="1"/>
  <c r="T5657" i="1"/>
  <c r="R5658" i="1"/>
  <c r="S5658" i="1"/>
  <c r="T5658" i="1"/>
  <c r="R5659" i="1"/>
  <c r="S5659" i="1"/>
  <c r="T5659" i="1"/>
  <c r="R5660" i="1"/>
  <c r="S5660" i="1"/>
  <c r="T5660" i="1"/>
  <c r="R5661" i="1"/>
  <c r="S5661" i="1"/>
  <c r="T5661" i="1"/>
  <c r="R5662" i="1"/>
  <c r="S5662" i="1"/>
  <c r="T5662" i="1"/>
  <c r="R5663" i="1"/>
  <c r="S5663" i="1"/>
  <c r="T5663" i="1"/>
  <c r="R5664" i="1"/>
  <c r="S5664" i="1"/>
  <c r="T5664" i="1"/>
  <c r="R5665" i="1"/>
  <c r="S5665" i="1"/>
  <c r="T5665" i="1"/>
  <c r="R5666" i="1"/>
  <c r="S5666" i="1"/>
  <c r="T5666" i="1"/>
  <c r="R5667" i="1"/>
  <c r="S5667" i="1"/>
  <c r="T5667" i="1"/>
  <c r="R5668" i="1"/>
  <c r="S5668" i="1"/>
  <c r="T5668" i="1"/>
  <c r="R5669" i="1"/>
  <c r="S5669" i="1"/>
  <c r="T5669" i="1"/>
  <c r="R5670" i="1"/>
  <c r="S5670" i="1"/>
  <c r="T5670" i="1"/>
  <c r="R5671" i="1"/>
  <c r="S5671" i="1"/>
  <c r="T5671" i="1"/>
  <c r="R5672" i="1"/>
  <c r="S5672" i="1"/>
  <c r="T5672" i="1"/>
  <c r="R5673" i="1"/>
  <c r="S5673" i="1"/>
  <c r="T5673" i="1"/>
  <c r="R5674" i="1"/>
  <c r="S5674" i="1"/>
  <c r="T5674" i="1"/>
  <c r="R5675" i="1"/>
  <c r="S5675" i="1"/>
  <c r="T5675" i="1"/>
  <c r="R5676" i="1"/>
  <c r="S5676" i="1"/>
  <c r="T5676" i="1"/>
  <c r="R5677" i="1"/>
  <c r="S5677" i="1"/>
  <c r="T5677" i="1"/>
  <c r="R5678" i="1"/>
  <c r="S5678" i="1"/>
  <c r="T5678" i="1"/>
  <c r="R5679" i="1"/>
  <c r="S5679" i="1"/>
  <c r="T5679" i="1"/>
  <c r="R5680" i="1"/>
  <c r="S5680" i="1"/>
  <c r="T5680" i="1"/>
  <c r="R5681" i="1"/>
  <c r="S5681" i="1"/>
  <c r="T5681" i="1"/>
  <c r="R5682" i="1"/>
  <c r="S5682" i="1"/>
  <c r="T5682" i="1"/>
  <c r="R5683" i="1"/>
  <c r="S5683" i="1"/>
  <c r="T5683" i="1"/>
  <c r="R5684" i="1"/>
  <c r="S5684" i="1"/>
  <c r="T5684" i="1"/>
  <c r="R5685" i="1"/>
  <c r="S5685" i="1"/>
  <c r="T5685" i="1"/>
  <c r="R5686" i="1"/>
  <c r="S5686" i="1"/>
  <c r="T5686" i="1"/>
  <c r="R5687" i="1"/>
  <c r="S5687" i="1"/>
  <c r="T5687" i="1"/>
  <c r="R5688" i="1"/>
  <c r="S5688" i="1"/>
  <c r="T5688" i="1"/>
  <c r="R5689" i="1"/>
  <c r="S5689" i="1"/>
  <c r="T5689" i="1"/>
  <c r="R5690" i="1"/>
  <c r="S5690" i="1"/>
  <c r="T5690" i="1"/>
  <c r="R5691" i="1"/>
  <c r="S5691" i="1"/>
  <c r="T5691" i="1"/>
  <c r="R5692" i="1"/>
  <c r="S5692" i="1"/>
  <c r="T5692" i="1"/>
  <c r="R5693" i="1"/>
  <c r="S5693" i="1"/>
  <c r="T5693" i="1"/>
  <c r="R5694" i="1"/>
  <c r="S5694" i="1"/>
  <c r="T5694" i="1"/>
  <c r="R5695" i="1"/>
  <c r="S5695" i="1"/>
  <c r="T5695" i="1"/>
  <c r="R5696" i="1"/>
  <c r="S5696" i="1"/>
  <c r="T5696" i="1"/>
  <c r="R5697" i="1"/>
  <c r="S5697" i="1"/>
  <c r="T5697" i="1"/>
  <c r="R5698" i="1"/>
  <c r="S5698" i="1"/>
  <c r="T5698" i="1"/>
  <c r="R5699" i="1"/>
  <c r="S5699" i="1"/>
  <c r="T5699" i="1"/>
  <c r="R5700" i="1"/>
  <c r="S5700" i="1"/>
  <c r="T5700" i="1"/>
  <c r="R5701" i="1"/>
  <c r="S5701" i="1"/>
  <c r="T5701" i="1"/>
  <c r="R5702" i="1"/>
  <c r="S5702" i="1"/>
  <c r="T5702" i="1"/>
  <c r="R5703" i="1"/>
  <c r="S5703" i="1"/>
  <c r="T5703" i="1"/>
  <c r="R5704" i="1"/>
  <c r="S5704" i="1"/>
  <c r="T5704" i="1"/>
  <c r="R5705" i="1"/>
  <c r="S5705" i="1"/>
  <c r="T5705" i="1"/>
  <c r="R5706" i="1"/>
  <c r="S5706" i="1"/>
  <c r="T5706" i="1"/>
  <c r="R5707" i="1"/>
  <c r="S5707" i="1"/>
  <c r="T5707" i="1"/>
  <c r="R5708" i="1"/>
  <c r="S5708" i="1"/>
  <c r="T5708" i="1"/>
  <c r="R5709" i="1"/>
  <c r="S5709" i="1"/>
  <c r="T5709" i="1"/>
  <c r="R5710" i="1"/>
  <c r="S5710" i="1"/>
  <c r="T5710" i="1"/>
  <c r="R5711" i="1"/>
  <c r="S5711" i="1"/>
  <c r="T5711" i="1"/>
  <c r="R5712" i="1"/>
  <c r="S5712" i="1"/>
  <c r="T5712" i="1"/>
  <c r="R5713" i="1"/>
  <c r="S5713" i="1"/>
  <c r="T5713" i="1"/>
  <c r="R5714" i="1"/>
  <c r="S5714" i="1"/>
  <c r="T5714" i="1"/>
  <c r="R5715" i="1"/>
  <c r="S5715" i="1"/>
  <c r="T5715" i="1"/>
  <c r="R5716" i="1"/>
  <c r="S5716" i="1"/>
  <c r="T5716" i="1"/>
  <c r="R5717" i="1"/>
  <c r="S5717" i="1"/>
  <c r="T5717" i="1"/>
  <c r="R5718" i="1"/>
  <c r="S5718" i="1"/>
  <c r="T5718" i="1"/>
  <c r="R5719" i="1"/>
  <c r="S5719" i="1"/>
  <c r="T5719" i="1"/>
  <c r="R5720" i="1"/>
  <c r="S5720" i="1"/>
  <c r="T5720" i="1"/>
  <c r="R5721" i="1"/>
  <c r="S5721" i="1"/>
  <c r="T5721" i="1"/>
  <c r="R5722" i="1"/>
  <c r="S5722" i="1"/>
  <c r="T5722" i="1"/>
  <c r="R5723" i="1"/>
  <c r="S5723" i="1"/>
  <c r="T5723" i="1"/>
  <c r="R5724" i="1"/>
  <c r="S5724" i="1"/>
  <c r="T5724" i="1"/>
  <c r="R5725" i="1"/>
  <c r="S5725" i="1"/>
  <c r="T5725" i="1"/>
  <c r="R5726" i="1"/>
  <c r="S5726" i="1"/>
  <c r="T5726" i="1"/>
  <c r="R5727" i="1"/>
  <c r="S5727" i="1"/>
  <c r="T5727" i="1"/>
  <c r="R5728" i="1"/>
  <c r="S5728" i="1"/>
  <c r="T5728" i="1"/>
  <c r="R5729" i="1"/>
  <c r="S5729" i="1"/>
  <c r="T5729" i="1"/>
  <c r="R5730" i="1"/>
  <c r="S5730" i="1"/>
  <c r="T5730" i="1"/>
  <c r="R5731" i="1"/>
  <c r="S5731" i="1"/>
  <c r="T5731" i="1"/>
  <c r="R5732" i="1"/>
  <c r="S5732" i="1"/>
  <c r="T5732" i="1"/>
  <c r="R5733" i="1"/>
  <c r="S5733" i="1"/>
  <c r="T5733" i="1"/>
  <c r="R5734" i="1"/>
  <c r="S5734" i="1"/>
  <c r="T5734" i="1"/>
  <c r="R5735" i="1"/>
  <c r="S5735" i="1"/>
  <c r="T5735" i="1"/>
  <c r="R5736" i="1"/>
  <c r="S5736" i="1"/>
  <c r="T5736" i="1"/>
  <c r="R5737" i="1"/>
  <c r="S5737" i="1"/>
  <c r="T5737" i="1"/>
  <c r="R5738" i="1"/>
  <c r="S5738" i="1"/>
  <c r="T5738" i="1"/>
  <c r="R5739" i="1"/>
  <c r="S5739" i="1"/>
  <c r="T5739" i="1"/>
  <c r="R5740" i="1"/>
  <c r="S5740" i="1"/>
  <c r="T5740" i="1"/>
  <c r="R5741" i="1"/>
  <c r="S5741" i="1"/>
  <c r="T5741" i="1"/>
  <c r="R5742" i="1"/>
  <c r="S5742" i="1"/>
  <c r="T5742" i="1"/>
  <c r="R5743" i="1"/>
  <c r="S5743" i="1"/>
  <c r="T5743" i="1"/>
  <c r="R5744" i="1"/>
  <c r="S5744" i="1"/>
  <c r="T5744" i="1"/>
  <c r="R5745" i="1"/>
  <c r="S5745" i="1"/>
  <c r="T5745" i="1"/>
  <c r="R5746" i="1"/>
  <c r="S5746" i="1"/>
  <c r="T5746" i="1"/>
  <c r="R5747" i="1"/>
  <c r="S5747" i="1"/>
  <c r="T5747" i="1"/>
  <c r="R5748" i="1"/>
  <c r="S5748" i="1"/>
  <c r="T5748" i="1"/>
  <c r="R5749" i="1"/>
  <c r="S5749" i="1"/>
  <c r="T5749" i="1"/>
  <c r="R5750" i="1"/>
  <c r="S5750" i="1"/>
  <c r="T5750" i="1"/>
  <c r="R5751" i="1"/>
  <c r="S5751" i="1"/>
  <c r="T5751" i="1"/>
  <c r="R5752" i="1"/>
  <c r="S5752" i="1"/>
  <c r="T5752" i="1"/>
  <c r="R5753" i="1"/>
  <c r="S5753" i="1"/>
  <c r="T5753" i="1"/>
  <c r="R5754" i="1"/>
  <c r="S5754" i="1"/>
  <c r="T5754" i="1"/>
  <c r="R5755" i="1"/>
  <c r="S5755" i="1"/>
  <c r="T5755" i="1"/>
  <c r="R5756" i="1"/>
  <c r="S5756" i="1"/>
  <c r="T5756" i="1"/>
  <c r="R5757" i="1"/>
  <c r="S5757" i="1"/>
  <c r="T5757" i="1"/>
  <c r="R5758" i="1"/>
  <c r="S5758" i="1"/>
  <c r="T5758" i="1"/>
  <c r="R5759" i="1"/>
  <c r="S5759" i="1"/>
  <c r="T5759" i="1"/>
  <c r="R5760" i="1"/>
  <c r="S5760" i="1"/>
  <c r="T5760" i="1"/>
  <c r="R5761" i="1"/>
  <c r="S5761" i="1"/>
  <c r="T5761" i="1"/>
  <c r="R5762" i="1"/>
  <c r="S5762" i="1"/>
  <c r="T5762" i="1"/>
  <c r="R5763" i="1"/>
  <c r="S5763" i="1"/>
  <c r="T5763" i="1"/>
  <c r="R5764" i="1"/>
  <c r="S5764" i="1"/>
  <c r="T5764" i="1"/>
  <c r="R5765" i="1"/>
  <c r="S5765" i="1"/>
  <c r="T5765" i="1"/>
  <c r="R5766" i="1"/>
  <c r="S5766" i="1"/>
  <c r="T5766" i="1"/>
  <c r="R5767" i="1"/>
  <c r="S5767" i="1"/>
  <c r="T5767" i="1"/>
  <c r="R5768" i="1"/>
  <c r="S5768" i="1"/>
  <c r="T5768" i="1"/>
  <c r="R5769" i="1"/>
  <c r="S5769" i="1"/>
  <c r="T5769" i="1"/>
  <c r="R5770" i="1"/>
  <c r="S5770" i="1"/>
  <c r="T5770" i="1"/>
  <c r="R5771" i="1"/>
  <c r="S5771" i="1"/>
  <c r="T5771" i="1"/>
  <c r="R5772" i="1"/>
  <c r="S5772" i="1"/>
  <c r="T5772" i="1"/>
  <c r="R5773" i="1"/>
  <c r="S5773" i="1"/>
  <c r="T5773" i="1"/>
  <c r="R5774" i="1"/>
  <c r="S5774" i="1"/>
  <c r="T5774" i="1"/>
  <c r="R5775" i="1"/>
  <c r="S5775" i="1"/>
  <c r="T5775" i="1"/>
  <c r="R5776" i="1"/>
  <c r="S5776" i="1"/>
  <c r="T5776" i="1"/>
  <c r="R5777" i="1"/>
  <c r="S5777" i="1"/>
  <c r="T5777" i="1"/>
  <c r="R5778" i="1"/>
  <c r="S5778" i="1"/>
  <c r="T5778" i="1"/>
  <c r="R5779" i="1"/>
  <c r="S5779" i="1"/>
  <c r="T5779" i="1"/>
  <c r="R5780" i="1"/>
  <c r="S5780" i="1"/>
  <c r="T5780" i="1"/>
  <c r="R5781" i="1"/>
  <c r="S5781" i="1"/>
  <c r="T5781" i="1"/>
  <c r="R5782" i="1"/>
  <c r="S5782" i="1"/>
  <c r="T5782" i="1"/>
  <c r="R5783" i="1"/>
  <c r="S5783" i="1"/>
  <c r="T5783" i="1"/>
  <c r="R5784" i="1"/>
  <c r="S5784" i="1"/>
  <c r="T5784" i="1"/>
  <c r="R5785" i="1"/>
  <c r="S5785" i="1"/>
  <c r="T5785" i="1"/>
  <c r="R5786" i="1"/>
  <c r="S5786" i="1"/>
  <c r="T5786" i="1"/>
  <c r="R5787" i="1"/>
  <c r="S5787" i="1"/>
  <c r="T5787" i="1"/>
  <c r="R5788" i="1"/>
  <c r="S5788" i="1"/>
  <c r="T5788" i="1"/>
  <c r="R5789" i="1"/>
  <c r="S5789" i="1"/>
  <c r="T5789" i="1"/>
  <c r="R5790" i="1"/>
  <c r="S5790" i="1"/>
  <c r="T5790" i="1"/>
  <c r="R5791" i="1"/>
  <c r="S5791" i="1"/>
  <c r="T5791" i="1"/>
  <c r="R5792" i="1"/>
  <c r="S5792" i="1"/>
  <c r="T5792" i="1"/>
  <c r="R5793" i="1"/>
  <c r="S5793" i="1"/>
  <c r="T5793" i="1"/>
  <c r="R5794" i="1"/>
  <c r="S5794" i="1"/>
  <c r="T5794" i="1"/>
  <c r="R5795" i="1"/>
  <c r="S5795" i="1"/>
  <c r="T5795" i="1"/>
  <c r="R5796" i="1"/>
  <c r="S5796" i="1"/>
  <c r="T5796" i="1"/>
  <c r="R5797" i="1"/>
  <c r="S5797" i="1"/>
  <c r="T5797" i="1"/>
  <c r="R5798" i="1"/>
  <c r="S5798" i="1"/>
  <c r="T5798" i="1"/>
  <c r="R5799" i="1"/>
  <c r="S5799" i="1"/>
  <c r="T5799" i="1"/>
  <c r="R5800" i="1"/>
  <c r="S5800" i="1"/>
  <c r="T5800" i="1"/>
  <c r="R5801" i="1"/>
  <c r="S5801" i="1"/>
  <c r="T5801" i="1"/>
  <c r="R5802" i="1"/>
  <c r="S5802" i="1"/>
  <c r="T5802" i="1"/>
  <c r="R5803" i="1"/>
  <c r="S5803" i="1"/>
  <c r="T5803" i="1"/>
  <c r="R5804" i="1"/>
  <c r="S5804" i="1"/>
  <c r="T5804" i="1"/>
  <c r="R5805" i="1"/>
  <c r="S5805" i="1"/>
  <c r="T5805" i="1"/>
  <c r="R5806" i="1"/>
  <c r="S5806" i="1"/>
  <c r="T5806" i="1"/>
  <c r="R5807" i="1"/>
  <c r="S5807" i="1"/>
  <c r="T5807" i="1"/>
  <c r="R5808" i="1"/>
  <c r="S5808" i="1"/>
  <c r="T5808" i="1"/>
  <c r="R5809" i="1"/>
  <c r="S5809" i="1"/>
  <c r="T5809" i="1"/>
  <c r="R5810" i="1"/>
  <c r="S5810" i="1"/>
  <c r="T5810" i="1"/>
  <c r="R5811" i="1"/>
  <c r="S5811" i="1"/>
  <c r="T5811" i="1"/>
  <c r="R5812" i="1"/>
  <c r="S5812" i="1"/>
  <c r="T5812" i="1"/>
  <c r="R5813" i="1"/>
  <c r="S5813" i="1"/>
  <c r="T5813" i="1"/>
  <c r="R5814" i="1"/>
  <c r="S5814" i="1"/>
  <c r="T5814" i="1"/>
  <c r="R5815" i="1"/>
  <c r="S5815" i="1"/>
  <c r="T5815" i="1"/>
  <c r="R5816" i="1"/>
  <c r="S5816" i="1"/>
  <c r="T5816" i="1"/>
  <c r="R5817" i="1"/>
  <c r="S5817" i="1"/>
  <c r="T5817" i="1"/>
  <c r="R5818" i="1"/>
  <c r="S5818" i="1"/>
  <c r="T5818" i="1"/>
  <c r="R5819" i="1"/>
  <c r="S5819" i="1"/>
  <c r="T5819" i="1"/>
  <c r="R5820" i="1"/>
  <c r="S5820" i="1"/>
  <c r="T5820" i="1"/>
  <c r="R5821" i="1"/>
  <c r="S5821" i="1"/>
  <c r="T5821" i="1"/>
  <c r="R5822" i="1"/>
  <c r="S5822" i="1"/>
  <c r="T5822" i="1"/>
  <c r="R5823" i="1"/>
  <c r="S5823" i="1"/>
  <c r="T5823" i="1"/>
  <c r="R5824" i="1"/>
  <c r="S5824" i="1"/>
  <c r="T5824" i="1"/>
  <c r="R5825" i="1"/>
  <c r="S5825" i="1"/>
  <c r="T5825" i="1"/>
  <c r="R5826" i="1"/>
  <c r="S5826" i="1"/>
  <c r="T5826" i="1"/>
  <c r="R5827" i="1"/>
  <c r="S5827" i="1"/>
  <c r="T5827" i="1"/>
  <c r="R5828" i="1"/>
  <c r="S5828" i="1"/>
  <c r="T5828" i="1"/>
  <c r="R5829" i="1"/>
  <c r="S5829" i="1"/>
  <c r="T5829" i="1"/>
  <c r="R5830" i="1"/>
  <c r="S5830" i="1"/>
  <c r="T5830" i="1"/>
  <c r="R5831" i="1"/>
  <c r="S5831" i="1"/>
  <c r="T5831" i="1"/>
  <c r="R5832" i="1"/>
  <c r="S5832" i="1"/>
  <c r="T5832" i="1"/>
  <c r="R5833" i="1"/>
  <c r="S5833" i="1"/>
  <c r="T5833" i="1"/>
  <c r="R5834" i="1"/>
  <c r="S5834" i="1"/>
  <c r="T5834" i="1"/>
  <c r="R5835" i="1"/>
  <c r="S5835" i="1"/>
  <c r="T5835" i="1"/>
  <c r="R5836" i="1"/>
  <c r="S5836" i="1"/>
  <c r="T5836" i="1"/>
  <c r="R5837" i="1"/>
  <c r="S5837" i="1"/>
  <c r="T5837" i="1"/>
  <c r="R5838" i="1"/>
  <c r="S5838" i="1"/>
  <c r="T5838" i="1"/>
  <c r="R5839" i="1"/>
  <c r="S5839" i="1"/>
  <c r="T5839" i="1"/>
  <c r="R5840" i="1"/>
  <c r="S5840" i="1"/>
  <c r="T5840" i="1"/>
  <c r="R5841" i="1"/>
  <c r="S5841" i="1"/>
  <c r="T5841" i="1"/>
  <c r="R5842" i="1"/>
  <c r="S5842" i="1"/>
  <c r="T5842" i="1"/>
  <c r="R5843" i="1"/>
  <c r="S5843" i="1"/>
  <c r="T5843" i="1"/>
  <c r="R5844" i="1"/>
  <c r="S5844" i="1"/>
  <c r="T5844" i="1"/>
  <c r="R5845" i="1"/>
  <c r="S5845" i="1"/>
  <c r="T5845" i="1"/>
  <c r="R5846" i="1"/>
  <c r="S5846" i="1"/>
  <c r="T5846" i="1"/>
  <c r="R5847" i="1"/>
  <c r="S5847" i="1"/>
  <c r="T5847" i="1"/>
  <c r="R5848" i="1"/>
  <c r="S5848" i="1"/>
  <c r="T5848" i="1"/>
  <c r="R5849" i="1"/>
  <c r="S5849" i="1"/>
  <c r="T5849" i="1"/>
  <c r="R5850" i="1"/>
  <c r="S5850" i="1"/>
  <c r="T5850" i="1"/>
  <c r="R5851" i="1"/>
  <c r="S5851" i="1"/>
  <c r="T5851" i="1"/>
  <c r="R5852" i="1"/>
  <c r="S5852" i="1"/>
  <c r="T5852" i="1"/>
  <c r="R5853" i="1"/>
  <c r="S5853" i="1"/>
  <c r="T5853" i="1"/>
  <c r="R5854" i="1"/>
  <c r="S5854" i="1"/>
  <c r="T5854" i="1"/>
  <c r="R5855" i="1"/>
  <c r="S5855" i="1"/>
  <c r="T5855" i="1"/>
  <c r="R5856" i="1"/>
  <c r="S5856" i="1"/>
  <c r="T5856" i="1"/>
  <c r="R5857" i="1"/>
  <c r="S5857" i="1"/>
  <c r="T5857" i="1"/>
  <c r="R5858" i="1"/>
  <c r="S5858" i="1"/>
  <c r="T5858" i="1"/>
  <c r="R5859" i="1"/>
  <c r="S5859" i="1"/>
  <c r="T5859" i="1"/>
  <c r="R5860" i="1"/>
  <c r="S5860" i="1"/>
  <c r="T5860" i="1"/>
  <c r="R5861" i="1"/>
  <c r="S5861" i="1"/>
  <c r="T5861" i="1"/>
  <c r="R5862" i="1"/>
  <c r="S5862" i="1"/>
  <c r="T5862" i="1"/>
  <c r="R5863" i="1"/>
  <c r="S5863" i="1"/>
  <c r="T5863" i="1"/>
  <c r="R5864" i="1"/>
  <c r="S5864" i="1"/>
  <c r="T5864" i="1"/>
  <c r="R5865" i="1"/>
  <c r="S5865" i="1"/>
  <c r="T5865" i="1"/>
  <c r="R5866" i="1"/>
  <c r="S5866" i="1"/>
  <c r="T5866" i="1"/>
  <c r="R5867" i="1"/>
  <c r="S5867" i="1"/>
  <c r="T5867" i="1"/>
  <c r="R5868" i="1"/>
  <c r="S5868" i="1"/>
  <c r="T5868" i="1"/>
  <c r="R5869" i="1"/>
  <c r="S5869" i="1"/>
  <c r="T5869" i="1"/>
  <c r="R5870" i="1"/>
  <c r="S5870" i="1"/>
  <c r="T5870" i="1"/>
  <c r="R5871" i="1"/>
  <c r="S5871" i="1"/>
  <c r="T5871" i="1"/>
  <c r="R5872" i="1"/>
  <c r="S5872" i="1"/>
  <c r="T5872" i="1"/>
  <c r="R5873" i="1"/>
  <c r="S5873" i="1"/>
  <c r="T5873" i="1"/>
  <c r="R5874" i="1"/>
  <c r="S5874" i="1"/>
  <c r="T5874" i="1"/>
  <c r="R5875" i="1"/>
  <c r="S5875" i="1"/>
  <c r="T5875" i="1"/>
  <c r="R5876" i="1"/>
  <c r="S5876" i="1"/>
  <c r="T5876" i="1"/>
  <c r="R5877" i="1"/>
  <c r="S5877" i="1"/>
  <c r="T5877" i="1"/>
  <c r="R5878" i="1"/>
  <c r="S5878" i="1"/>
  <c r="T5878" i="1"/>
  <c r="R5879" i="1"/>
  <c r="S5879" i="1"/>
  <c r="T5879" i="1"/>
  <c r="R5880" i="1"/>
  <c r="S5880" i="1"/>
  <c r="T5880" i="1"/>
  <c r="R5881" i="1"/>
  <c r="S5881" i="1"/>
  <c r="T5881" i="1"/>
  <c r="R5882" i="1"/>
  <c r="S5882" i="1"/>
  <c r="T5882" i="1"/>
  <c r="R5883" i="1"/>
  <c r="S5883" i="1"/>
  <c r="T5883" i="1"/>
  <c r="R5884" i="1"/>
  <c r="S5884" i="1"/>
  <c r="T5884" i="1"/>
  <c r="R5885" i="1"/>
  <c r="S5885" i="1"/>
  <c r="T5885" i="1"/>
  <c r="R5886" i="1"/>
  <c r="S5886" i="1"/>
  <c r="T5886" i="1"/>
  <c r="R5887" i="1"/>
  <c r="S5887" i="1"/>
  <c r="T5887" i="1"/>
  <c r="R5888" i="1"/>
  <c r="S5888" i="1"/>
  <c r="T5888" i="1"/>
  <c r="R5889" i="1"/>
  <c r="S5889" i="1"/>
  <c r="T5889" i="1"/>
  <c r="R5890" i="1"/>
  <c r="S5890" i="1"/>
  <c r="T5890" i="1"/>
  <c r="R5891" i="1"/>
  <c r="S5891" i="1"/>
  <c r="T5891" i="1"/>
  <c r="R5892" i="1"/>
  <c r="S5892" i="1"/>
  <c r="T5892" i="1"/>
  <c r="R5893" i="1"/>
  <c r="S5893" i="1"/>
  <c r="T5893" i="1"/>
  <c r="R5894" i="1"/>
  <c r="S5894" i="1"/>
  <c r="T5894" i="1"/>
  <c r="R5895" i="1"/>
  <c r="S5895" i="1"/>
  <c r="T5895" i="1"/>
  <c r="R5896" i="1"/>
  <c r="S5896" i="1"/>
  <c r="T5896" i="1"/>
  <c r="R5897" i="1"/>
  <c r="S5897" i="1"/>
  <c r="T5897" i="1"/>
  <c r="R5898" i="1"/>
  <c r="S5898" i="1"/>
  <c r="T5898" i="1"/>
  <c r="R5899" i="1"/>
  <c r="S5899" i="1"/>
  <c r="T5899" i="1"/>
  <c r="R5900" i="1"/>
  <c r="S5900" i="1"/>
  <c r="T5900" i="1"/>
  <c r="R5901" i="1"/>
  <c r="S5901" i="1"/>
  <c r="T5901" i="1"/>
  <c r="R5902" i="1"/>
  <c r="S5902" i="1"/>
  <c r="T5902" i="1"/>
  <c r="R5903" i="1"/>
  <c r="S5903" i="1"/>
  <c r="T5903" i="1"/>
  <c r="R5904" i="1"/>
  <c r="S5904" i="1"/>
  <c r="T5904" i="1"/>
  <c r="R5905" i="1"/>
  <c r="S5905" i="1"/>
  <c r="T5905" i="1"/>
  <c r="R5906" i="1"/>
  <c r="S5906" i="1"/>
  <c r="T5906" i="1"/>
  <c r="R5907" i="1"/>
  <c r="S5907" i="1"/>
  <c r="T5907" i="1"/>
  <c r="R5908" i="1"/>
  <c r="S5908" i="1"/>
  <c r="T5908" i="1"/>
  <c r="R5909" i="1"/>
  <c r="S5909" i="1"/>
  <c r="T5909" i="1"/>
  <c r="R5910" i="1"/>
  <c r="S5910" i="1"/>
  <c r="T5910" i="1"/>
  <c r="R5911" i="1"/>
  <c r="S5911" i="1"/>
  <c r="T5911" i="1"/>
  <c r="R5912" i="1"/>
  <c r="S5912" i="1"/>
  <c r="T5912" i="1"/>
  <c r="R5913" i="1"/>
  <c r="S5913" i="1"/>
  <c r="T5913" i="1"/>
  <c r="R5914" i="1"/>
  <c r="S5914" i="1"/>
  <c r="T5914" i="1"/>
  <c r="R5915" i="1"/>
  <c r="S5915" i="1"/>
  <c r="T5915" i="1"/>
  <c r="R5916" i="1"/>
  <c r="S5916" i="1"/>
  <c r="T5916" i="1"/>
  <c r="R5917" i="1"/>
  <c r="S5917" i="1"/>
  <c r="T5917" i="1"/>
  <c r="R5918" i="1"/>
  <c r="S5918" i="1"/>
  <c r="T5918" i="1"/>
  <c r="R5919" i="1"/>
  <c r="S5919" i="1"/>
  <c r="T5919" i="1"/>
  <c r="R5920" i="1"/>
  <c r="S5920" i="1"/>
  <c r="T5920" i="1"/>
  <c r="R5921" i="1"/>
  <c r="S5921" i="1"/>
  <c r="T5921" i="1"/>
  <c r="R5922" i="1"/>
  <c r="S5922" i="1"/>
  <c r="T5922" i="1"/>
  <c r="R5923" i="1"/>
  <c r="S5923" i="1"/>
  <c r="T5923" i="1"/>
  <c r="R5924" i="1"/>
  <c r="S5924" i="1"/>
  <c r="T5924" i="1"/>
  <c r="R5925" i="1"/>
  <c r="S5925" i="1"/>
  <c r="T5925" i="1"/>
  <c r="R5926" i="1"/>
  <c r="S5926" i="1"/>
  <c r="T5926" i="1"/>
  <c r="R5927" i="1"/>
  <c r="S5927" i="1"/>
  <c r="T5927" i="1"/>
  <c r="R5928" i="1"/>
  <c r="S5928" i="1"/>
  <c r="T5928" i="1"/>
  <c r="R5929" i="1"/>
  <c r="S5929" i="1"/>
  <c r="T5929" i="1"/>
  <c r="R5930" i="1"/>
  <c r="S5930" i="1"/>
  <c r="T5930" i="1"/>
  <c r="R5931" i="1"/>
  <c r="S5931" i="1"/>
  <c r="T5931" i="1"/>
  <c r="R5932" i="1"/>
  <c r="S5932" i="1"/>
  <c r="T5932" i="1"/>
  <c r="R5933" i="1"/>
  <c r="S5933" i="1"/>
  <c r="T5933" i="1"/>
  <c r="R5934" i="1"/>
  <c r="S5934" i="1"/>
  <c r="T5934" i="1"/>
  <c r="R5935" i="1"/>
  <c r="S5935" i="1"/>
  <c r="T5935" i="1"/>
  <c r="R5936" i="1"/>
  <c r="S5936" i="1"/>
  <c r="T5936" i="1"/>
  <c r="R5937" i="1"/>
  <c r="S5937" i="1"/>
  <c r="T5937" i="1"/>
  <c r="R5938" i="1"/>
  <c r="S5938" i="1"/>
  <c r="T5938" i="1"/>
  <c r="R5939" i="1"/>
  <c r="S5939" i="1"/>
  <c r="T5939" i="1"/>
  <c r="R5940" i="1"/>
  <c r="S5940" i="1"/>
  <c r="T5940" i="1"/>
  <c r="R5941" i="1"/>
  <c r="S5941" i="1"/>
  <c r="T5941" i="1"/>
  <c r="R5942" i="1"/>
  <c r="S5942" i="1"/>
  <c r="T5942" i="1"/>
  <c r="R5943" i="1"/>
  <c r="S5943" i="1"/>
  <c r="T5943" i="1"/>
  <c r="R5944" i="1"/>
  <c r="S5944" i="1"/>
  <c r="T5944" i="1"/>
  <c r="R5945" i="1"/>
  <c r="S5945" i="1"/>
  <c r="T5945" i="1"/>
  <c r="R5946" i="1"/>
  <c r="S5946" i="1"/>
  <c r="T5946" i="1"/>
  <c r="R5947" i="1"/>
  <c r="S5947" i="1"/>
  <c r="T5947" i="1"/>
  <c r="R5948" i="1"/>
  <c r="S5948" i="1"/>
  <c r="T5948" i="1"/>
  <c r="R5949" i="1"/>
  <c r="S5949" i="1"/>
  <c r="T5949" i="1"/>
  <c r="R5950" i="1"/>
  <c r="S5950" i="1"/>
  <c r="T5950" i="1"/>
  <c r="R5951" i="1"/>
  <c r="S5951" i="1"/>
  <c r="T5951" i="1"/>
  <c r="R5952" i="1"/>
  <c r="S5952" i="1"/>
  <c r="T5952" i="1"/>
  <c r="R5953" i="1"/>
  <c r="S5953" i="1"/>
  <c r="T5953" i="1"/>
  <c r="R5954" i="1"/>
  <c r="S5954" i="1"/>
  <c r="T5954" i="1"/>
  <c r="R5955" i="1"/>
  <c r="S5955" i="1"/>
  <c r="T5955" i="1"/>
  <c r="R5956" i="1"/>
  <c r="S5956" i="1"/>
  <c r="T5956" i="1"/>
  <c r="R5957" i="1"/>
  <c r="S5957" i="1"/>
  <c r="T5957" i="1"/>
  <c r="R5958" i="1"/>
  <c r="S5958" i="1"/>
  <c r="T5958" i="1"/>
  <c r="R5959" i="1"/>
  <c r="S5959" i="1"/>
  <c r="T5959" i="1"/>
  <c r="R5960" i="1"/>
  <c r="S5960" i="1"/>
  <c r="T5960" i="1"/>
  <c r="R5961" i="1"/>
  <c r="S5961" i="1"/>
  <c r="T5961" i="1"/>
  <c r="R5962" i="1"/>
  <c r="S5962" i="1"/>
  <c r="T5962" i="1"/>
  <c r="R5963" i="1"/>
  <c r="S5963" i="1"/>
  <c r="T5963" i="1"/>
  <c r="R5964" i="1"/>
  <c r="S5964" i="1"/>
  <c r="T5964" i="1"/>
  <c r="R5965" i="1"/>
  <c r="S5965" i="1"/>
  <c r="T5965" i="1"/>
  <c r="R5966" i="1"/>
  <c r="S5966" i="1"/>
  <c r="T5966" i="1"/>
  <c r="R5967" i="1"/>
  <c r="S5967" i="1"/>
  <c r="T5967" i="1"/>
  <c r="R5968" i="1"/>
  <c r="S5968" i="1"/>
  <c r="T5968" i="1"/>
  <c r="R5969" i="1"/>
  <c r="S5969" i="1"/>
  <c r="T5969" i="1"/>
  <c r="R5970" i="1"/>
  <c r="S5970" i="1"/>
  <c r="T5970" i="1"/>
  <c r="R5971" i="1"/>
  <c r="S5971" i="1"/>
  <c r="T5971" i="1"/>
  <c r="R5972" i="1"/>
  <c r="S5972" i="1"/>
  <c r="T5972" i="1"/>
  <c r="R5973" i="1"/>
  <c r="S5973" i="1"/>
  <c r="T5973" i="1"/>
  <c r="R5974" i="1"/>
  <c r="S5974" i="1"/>
  <c r="T5974" i="1"/>
  <c r="R5975" i="1"/>
  <c r="S5975" i="1"/>
  <c r="T5975" i="1"/>
  <c r="R5976" i="1"/>
  <c r="S5976" i="1"/>
  <c r="T5976" i="1"/>
  <c r="R5977" i="1"/>
  <c r="S5977" i="1"/>
  <c r="T5977" i="1"/>
  <c r="R5978" i="1"/>
  <c r="S5978" i="1"/>
  <c r="T5978" i="1"/>
  <c r="R5979" i="1"/>
  <c r="S5979" i="1"/>
  <c r="T5979" i="1"/>
  <c r="R5980" i="1"/>
  <c r="S5980" i="1"/>
  <c r="T5980" i="1"/>
  <c r="R5981" i="1"/>
  <c r="S5981" i="1"/>
  <c r="T5981" i="1"/>
  <c r="R5982" i="1"/>
  <c r="S5982" i="1"/>
  <c r="T5982" i="1"/>
  <c r="R5983" i="1"/>
  <c r="S5983" i="1"/>
  <c r="T5983" i="1"/>
  <c r="R5984" i="1"/>
  <c r="S5984" i="1"/>
  <c r="T5984" i="1"/>
  <c r="R5985" i="1"/>
  <c r="S5985" i="1"/>
  <c r="T5985" i="1"/>
  <c r="R5986" i="1"/>
  <c r="S5986" i="1"/>
  <c r="T5986" i="1"/>
  <c r="R5987" i="1"/>
  <c r="S5987" i="1"/>
  <c r="T5987" i="1"/>
  <c r="R5988" i="1"/>
  <c r="S5988" i="1"/>
  <c r="T5988" i="1"/>
  <c r="R5989" i="1"/>
  <c r="S5989" i="1"/>
  <c r="T5989" i="1"/>
  <c r="R5990" i="1"/>
  <c r="S5990" i="1"/>
  <c r="T5990" i="1"/>
  <c r="R5991" i="1"/>
  <c r="S5991" i="1"/>
  <c r="T5991" i="1"/>
  <c r="R5992" i="1"/>
  <c r="S5992" i="1"/>
  <c r="T5992" i="1"/>
  <c r="R5993" i="1"/>
  <c r="S5993" i="1"/>
  <c r="T5993" i="1"/>
  <c r="R5994" i="1"/>
  <c r="S5994" i="1"/>
  <c r="T5994" i="1"/>
  <c r="R5995" i="1"/>
  <c r="S5995" i="1"/>
  <c r="T5995" i="1"/>
  <c r="R5996" i="1"/>
  <c r="S5996" i="1"/>
  <c r="T5996" i="1"/>
  <c r="R5997" i="1"/>
  <c r="S5997" i="1"/>
  <c r="T5997" i="1"/>
  <c r="R5998" i="1"/>
  <c r="S5998" i="1"/>
  <c r="T5998" i="1"/>
  <c r="R5999" i="1"/>
  <c r="S5999" i="1"/>
  <c r="T5999" i="1"/>
  <c r="R6005" i="1"/>
  <c r="S6005" i="1"/>
  <c r="T6005" i="1"/>
  <c r="R6006" i="1"/>
  <c r="S6006" i="1"/>
  <c r="T6006" i="1"/>
  <c r="R6007" i="1"/>
  <c r="S6007" i="1"/>
  <c r="T6007" i="1"/>
  <c r="R6008" i="1"/>
  <c r="S6008" i="1"/>
  <c r="T6008" i="1"/>
  <c r="R6009" i="1"/>
  <c r="S6009" i="1"/>
  <c r="T6009" i="1"/>
  <c r="R6010" i="1"/>
  <c r="S6010" i="1"/>
  <c r="T6010" i="1"/>
  <c r="R6011" i="1"/>
  <c r="S6011" i="1"/>
  <c r="T6011" i="1"/>
  <c r="R6012" i="1"/>
  <c r="S6012" i="1"/>
  <c r="T6012" i="1"/>
  <c r="R6013" i="1"/>
  <c r="S6013" i="1"/>
  <c r="T6013" i="1"/>
  <c r="R6014" i="1"/>
  <c r="S6014" i="1"/>
  <c r="T6014" i="1"/>
  <c r="R6015" i="1"/>
  <c r="S6015" i="1"/>
  <c r="T6015" i="1"/>
  <c r="R6016" i="1"/>
  <c r="S6016" i="1"/>
  <c r="T6016" i="1"/>
  <c r="R6017" i="1"/>
  <c r="S6017" i="1"/>
  <c r="T6017" i="1"/>
  <c r="R6018" i="1"/>
  <c r="S6018" i="1"/>
  <c r="T6018" i="1"/>
  <c r="R6019" i="1"/>
  <c r="S6019" i="1"/>
  <c r="T6019" i="1"/>
  <c r="R6020" i="1"/>
  <c r="S6020" i="1"/>
  <c r="T6020" i="1"/>
  <c r="R6021" i="1"/>
  <c r="S6021" i="1"/>
  <c r="T6021" i="1"/>
  <c r="R6022" i="1"/>
  <c r="S6022" i="1"/>
  <c r="T6022" i="1"/>
  <c r="R6023" i="1"/>
  <c r="S6023" i="1"/>
  <c r="T6023" i="1"/>
  <c r="R6024" i="1"/>
  <c r="S6024" i="1"/>
  <c r="T6024" i="1"/>
  <c r="R6025" i="1"/>
  <c r="S6025" i="1"/>
  <c r="T6025" i="1"/>
  <c r="R6026" i="1"/>
  <c r="S6026" i="1"/>
  <c r="T6026" i="1"/>
  <c r="R6027" i="1"/>
  <c r="S6027" i="1"/>
  <c r="T6027" i="1"/>
  <c r="R6028" i="1"/>
  <c r="S6028" i="1"/>
  <c r="T6028" i="1"/>
  <c r="R6029" i="1"/>
  <c r="S6029" i="1"/>
  <c r="T6029" i="1"/>
  <c r="R6030" i="1"/>
  <c r="S6030" i="1"/>
  <c r="T6030" i="1"/>
  <c r="R6031" i="1"/>
  <c r="S6031" i="1"/>
  <c r="T6031" i="1"/>
  <c r="R6032" i="1"/>
  <c r="S6032" i="1"/>
  <c r="T6032" i="1"/>
  <c r="R6033" i="1"/>
  <c r="S6033" i="1"/>
  <c r="T6033" i="1"/>
  <c r="R6034" i="1"/>
  <c r="S6034" i="1"/>
  <c r="T6034" i="1"/>
  <c r="R6035" i="1"/>
  <c r="S6035" i="1"/>
  <c r="T6035" i="1"/>
  <c r="R6036" i="1"/>
  <c r="S6036" i="1"/>
  <c r="T6036" i="1"/>
  <c r="R6037" i="1"/>
  <c r="S6037" i="1"/>
  <c r="T6037" i="1"/>
  <c r="R6038" i="1"/>
  <c r="S6038" i="1"/>
  <c r="T6038" i="1"/>
  <c r="R6039" i="1"/>
  <c r="S6039" i="1"/>
  <c r="T6039" i="1"/>
  <c r="R6040" i="1"/>
  <c r="S6040" i="1"/>
  <c r="T6040" i="1"/>
  <c r="R6041" i="1"/>
  <c r="S6041" i="1"/>
  <c r="T6041" i="1"/>
  <c r="R6042" i="1"/>
  <c r="S6042" i="1"/>
  <c r="T6042" i="1"/>
  <c r="R6043" i="1"/>
  <c r="S6043" i="1"/>
  <c r="T6043" i="1"/>
  <c r="R6044" i="1"/>
  <c r="S6044" i="1"/>
  <c r="T6044" i="1"/>
  <c r="R6045" i="1"/>
  <c r="S6045" i="1"/>
  <c r="T6045" i="1"/>
  <c r="R6046" i="1"/>
  <c r="S6046" i="1"/>
  <c r="T6046" i="1"/>
  <c r="R6047" i="1"/>
  <c r="S6047" i="1"/>
  <c r="T6047" i="1"/>
  <c r="R6048" i="1"/>
  <c r="S6048" i="1"/>
  <c r="T6048" i="1"/>
  <c r="R6049" i="1"/>
  <c r="S6049" i="1"/>
  <c r="T6049" i="1"/>
  <c r="R6050" i="1"/>
  <c r="S6050" i="1"/>
  <c r="T6050" i="1"/>
  <c r="R6051" i="1"/>
  <c r="S6051" i="1"/>
  <c r="T6051" i="1"/>
  <c r="R6052" i="1"/>
  <c r="S6052" i="1"/>
  <c r="T6052" i="1"/>
  <c r="R6053" i="1"/>
  <c r="S6053" i="1"/>
  <c r="T6053" i="1"/>
  <c r="R6054" i="1"/>
  <c r="S6054" i="1"/>
  <c r="T6054" i="1"/>
  <c r="R6055" i="1"/>
  <c r="S6055" i="1"/>
  <c r="T6055" i="1"/>
  <c r="R6056" i="1"/>
  <c r="S6056" i="1"/>
  <c r="T6056" i="1"/>
  <c r="R6057" i="1"/>
  <c r="S6057" i="1"/>
  <c r="T6057" i="1"/>
  <c r="R6058" i="1"/>
  <c r="S6058" i="1"/>
  <c r="T6058" i="1"/>
  <c r="R6059" i="1"/>
  <c r="S6059" i="1"/>
  <c r="T6059" i="1"/>
  <c r="R6060" i="1"/>
  <c r="S6060" i="1"/>
  <c r="T6060" i="1"/>
  <c r="R6061" i="1"/>
  <c r="S6061" i="1"/>
  <c r="T6061" i="1"/>
  <c r="R6062" i="1"/>
  <c r="S6062" i="1"/>
  <c r="T6062" i="1"/>
  <c r="R6063" i="1"/>
  <c r="S6063" i="1"/>
  <c r="T6063" i="1"/>
  <c r="R6064" i="1"/>
  <c r="S6064" i="1"/>
  <c r="T6064" i="1"/>
  <c r="R6065" i="1"/>
  <c r="S6065" i="1"/>
  <c r="T6065" i="1"/>
  <c r="R6066" i="1"/>
  <c r="S6066" i="1"/>
  <c r="T6066" i="1"/>
  <c r="R6067" i="1"/>
  <c r="S6067" i="1"/>
  <c r="T6067" i="1"/>
  <c r="R6068" i="1"/>
  <c r="S6068" i="1"/>
  <c r="T6068" i="1"/>
  <c r="R6069" i="1"/>
  <c r="S6069" i="1"/>
  <c r="T6069" i="1"/>
  <c r="R6070" i="1"/>
  <c r="S6070" i="1"/>
  <c r="T6070" i="1"/>
  <c r="R6071" i="1"/>
  <c r="S6071" i="1"/>
  <c r="T6071" i="1"/>
  <c r="R6072" i="1"/>
  <c r="S6072" i="1"/>
  <c r="T6072" i="1"/>
  <c r="R6073" i="1"/>
  <c r="S6073" i="1"/>
  <c r="T6073" i="1"/>
  <c r="R6074" i="1"/>
  <c r="S6074" i="1"/>
  <c r="T6074" i="1"/>
  <c r="R6075" i="1"/>
  <c r="S6075" i="1"/>
  <c r="T6075" i="1"/>
  <c r="R6076" i="1"/>
  <c r="S6076" i="1"/>
  <c r="T6076" i="1"/>
  <c r="R6077" i="1"/>
  <c r="S6077" i="1"/>
  <c r="T6077" i="1"/>
  <c r="R6078" i="1"/>
  <c r="S6078" i="1"/>
  <c r="T6078" i="1"/>
  <c r="R6079" i="1"/>
  <c r="S6079" i="1"/>
  <c r="T6079" i="1"/>
  <c r="R6080" i="1"/>
  <c r="S6080" i="1"/>
  <c r="T6080" i="1"/>
  <c r="R6081" i="1"/>
  <c r="S6081" i="1"/>
  <c r="T6081" i="1"/>
  <c r="R6082" i="1"/>
  <c r="S6082" i="1"/>
  <c r="T6082" i="1"/>
  <c r="R6083" i="1"/>
  <c r="S6083" i="1"/>
  <c r="T6083" i="1"/>
  <c r="R6084" i="1"/>
  <c r="S6084" i="1"/>
  <c r="T6084" i="1"/>
  <c r="R6085" i="1"/>
  <c r="S6085" i="1"/>
  <c r="T6085" i="1"/>
  <c r="R6086" i="1"/>
  <c r="S6086" i="1"/>
  <c r="T6086" i="1"/>
  <c r="R6087" i="1"/>
  <c r="S6087" i="1"/>
  <c r="T6087" i="1"/>
  <c r="R6088" i="1"/>
  <c r="S6088" i="1"/>
  <c r="T6088" i="1"/>
  <c r="R6089" i="1"/>
  <c r="S6089" i="1"/>
  <c r="T6089" i="1"/>
  <c r="R6090" i="1"/>
  <c r="S6090" i="1"/>
  <c r="T6090" i="1"/>
  <c r="R6091" i="1"/>
  <c r="S6091" i="1"/>
  <c r="T6091" i="1"/>
  <c r="R6092" i="1"/>
  <c r="S6092" i="1"/>
  <c r="T6092" i="1"/>
  <c r="R6093" i="1"/>
  <c r="S6093" i="1"/>
  <c r="T6093" i="1"/>
  <c r="R6094" i="1"/>
  <c r="S6094" i="1"/>
  <c r="T6094" i="1"/>
  <c r="R6095" i="1"/>
  <c r="S6095" i="1"/>
  <c r="T6095" i="1"/>
  <c r="R6096" i="1"/>
  <c r="S6096" i="1"/>
  <c r="T6096" i="1"/>
  <c r="R6097" i="1"/>
  <c r="S6097" i="1"/>
  <c r="T6097" i="1"/>
  <c r="R6098" i="1"/>
  <c r="S6098" i="1"/>
  <c r="T6098" i="1"/>
  <c r="R6099" i="1"/>
  <c r="S6099" i="1"/>
  <c r="T6099" i="1"/>
  <c r="R6100" i="1"/>
  <c r="S6100" i="1"/>
  <c r="T6100" i="1"/>
  <c r="R6101" i="1"/>
  <c r="S6101" i="1"/>
  <c r="T6101" i="1"/>
  <c r="R6102" i="1"/>
  <c r="S6102" i="1"/>
  <c r="T6102" i="1"/>
  <c r="R6103" i="1"/>
  <c r="S6103" i="1"/>
  <c r="T6103" i="1"/>
  <c r="R6104" i="1"/>
  <c r="S6104" i="1"/>
  <c r="T6104" i="1"/>
  <c r="R6105" i="1"/>
  <c r="S6105" i="1"/>
  <c r="T6105" i="1"/>
  <c r="R6106" i="1"/>
  <c r="S6106" i="1"/>
  <c r="T6106" i="1"/>
  <c r="R6107" i="1"/>
  <c r="S6107" i="1"/>
  <c r="T6107" i="1"/>
  <c r="R6108" i="1"/>
  <c r="S6108" i="1"/>
  <c r="T6108" i="1"/>
  <c r="R6109" i="1"/>
  <c r="S6109" i="1"/>
  <c r="T6109" i="1"/>
  <c r="R6110" i="1"/>
  <c r="S6110" i="1"/>
  <c r="T6110" i="1"/>
  <c r="R6111" i="1"/>
  <c r="S6111" i="1"/>
  <c r="T6111" i="1"/>
  <c r="R6112" i="1"/>
  <c r="S6112" i="1"/>
  <c r="T6112" i="1"/>
  <c r="R6113" i="1"/>
  <c r="S6113" i="1"/>
  <c r="T6113" i="1"/>
  <c r="R6114" i="1"/>
  <c r="S6114" i="1"/>
  <c r="T6114" i="1"/>
  <c r="R6115" i="1"/>
  <c r="S6115" i="1"/>
  <c r="T6115" i="1"/>
  <c r="R6116" i="1"/>
  <c r="S6116" i="1"/>
  <c r="T6116" i="1"/>
  <c r="R6117" i="1"/>
  <c r="S6117" i="1"/>
  <c r="T6117" i="1"/>
  <c r="R6118" i="1"/>
  <c r="S6118" i="1"/>
  <c r="T6118" i="1"/>
  <c r="R6119" i="1"/>
  <c r="S6119" i="1"/>
  <c r="T6119" i="1"/>
  <c r="R6120" i="1"/>
  <c r="S6120" i="1"/>
  <c r="T6120" i="1"/>
  <c r="R6121" i="1"/>
  <c r="S6121" i="1"/>
  <c r="T6121" i="1"/>
  <c r="R6122" i="1"/>
  <c r="S6122" i="1"/>
  <c r="T6122" i="1"/>
  <c r="R6123" i="1"/>
  <c r="S6123" i="1"/>
  <c r="T6123" i="1"/>
  <c r="R6124" i="1"/>
  <c r="S6124" i="1"/>
  <c r="T6124" i="1"/>
  <c r="R6125" i="1"/>
  <c r="S6125" i="1"/>
  <c r="T6125" i="1"/>
  <c r="R6126" i="1"/>
  <c r="S6126" i="1"/>
  <c r="T6126" i="1"/>
  <c r="R6127" i="1"/>
  <c r="S6127" i="1"/>
  <c r="T6127" i="1"/>
  <c r="R6128" i="1"/>
  <c r="S6128" i="1"/>
  <c r="T6128" i="1"/>
  <c r="R6129" i="1"/>
  <c r="S6129" i="1"/>
  <c r="T6129" i="1"/>
  <c r="R6130" i="1"/>
  <c r="S6130" i="1"/>
  <c r="T6130" i="1"/>
  <c r="R6131" i="1"/>
  <c r="S6131" i="1"/>
  <c r="T6131" i="1"/>
  <c r="R6132" i="1"/>
  <c r="S6132" i="1"/>
  <c r="T6132" i="1"/>
  <c r="R6133" i="1"/>
  <c r="S6133" i="1"/>
  <c r="T6133" i="1"/>
  <c r="R6134" i="1"/>
  <c r="S6134" i="1"/>
  <c r="T6134" i="1"/>
  <c r="R6135" i="1"/>
  <c r="S6135" i="1"/>
  <c r="T6135" i="1"/>
  <c r="R6136" i="1"/>
  <c r="S6136" i="1"/>
  <c r="T6136" i="1"/>
  <c r="R6137" i="1"/>
  <c r="S6137" i="1"/>
  <c r="T6137" i="1"/>
  <c r="R6138" i="1"/>
  <c r="S6138" i="1"/>
  <c r="T6138" i="1"/>
  <c r="R6139" i="1"/>
  <c r="S6139" i="1"/>
  <c r="T6139" i="1"/>
  <c r="R6140" i="1"/>
  <c r="S6140" i="1"/>
  <c r="T6140" i="1"/>
  <c r="R6141" i="1"/>
  <c r="S6141" i="1"/>
  <c r="T6141" i="1"/>
  <c r="R6142" i="1"/>
  <c r="S6142" i="1"/>
  <c r="T6142" i="1"/>
  <c r="R6143" i="1"/>
  <c r="S6143" i="1"/>
  <c r="T6143" i="1"/>
  <c r="R6144" i="1"/>
  <c r="S6144" i="1"/>
  <c r="T6144" i="1"/>
  <c r="R6145" i="1"/>
  <c r="S6145" i="1"/>
  <c r="T6145" i="1"/>
  <c r="R6146" i="1"/>
  <c r="S6146" i="1"/>
  <c r="T6146" i="1"/>
  <c r="R6147" i="1"/>
  <c r="S6147" i="1"/>
  <c r="T6147" i="1"/>
  <c r="R6148" i="1"/>
  <c r="S6148" i="1"/>
  <c r="T6148" i="1"/>
  <c r="R6149" i="1"/>
  <c r="S6149" i="1"/>
  <c r="T6149" i="1"/>
  <c r="R6150" i="1"/>
  <c r="S6150" i="1"/>
  <c r="T6150" i="1"/>
  <c r="R6151" i="1"/>
  <c r="S6151" i="1"/>
  <c r="T6151" i="1"/>
  <c r="R6152" i="1"/>
  <c r="S6152" i="1"/>
  <c r="T6152" i="1"/>
  <c r="R6153" i="1"/>
  <c r="S6153" i="1"/>
  <c r="T6153" i="1"/>
  <c r="R6154" i="1"/>
  <c r="S6154" i="1"/>
  <c r="T6154" i="1"/>
  <c r="R6155" i="1"/>
  <c r="S6155" i="1"/>
  <c r="T6155" i="1"/>
  <c r="R6156" i="1"/>
  <c r="S6156" i="1"/>
  <c r="T6156" i="1"/>
  <c r="R6157" i="1"/>
  <c r="S6157" i="1"/>
  <c r="T6157" i="1"/>
  <c r="R6158" i="1"/>
  <c r="S6158" i="1"/>
  <c r="T6158" i="1"/>
  <c r="R6159" i="1"/>
  <c r="S6159" i="1"/>
  <c r="T6159" i="1"/>
  <c r="R6160" i="1"/>
  <c r="S6160" i="1"/>
  <c r="T6160" i="1"/>
  <c r="R6161" i="1"/>
  <c r="S6161" i="1"/>
  <c r="T6161" i="1"/>
  <c r="R6162" i="1"/>
  <c r="S6162" i="1"/>
  <c r="T6162" i="1"/>
  <c r="R6163" i="1"/>
  <c r="S6163" i="1"/>
  <c r="T6163" i="1"/>
  <c r="R6164" i="1"/>
  <c r="S6164" i="1"/>
  <c r="T6164" i="1"/>
  <c r="R6165" i="1"/>
  <c r="S6165" i="1"/>
  <c r="T6165" i="1"/>
  <c r="R6166" i="1"/>
  <c r="S6166" i="1"/>
  <c r="T6166" i="1"/>
  <c r="R6167" i="1"/>
  <c r="S6167" i="1"/>
  <c r="T6167" i="1"/>
  <c r="R6168" i="1"/>
  <c r="S6168" i="1"/>
  <c r="T6168" i="1"/>
  <c r="R6169" i="1"/>
  <c r="S6169" i="1"/>
  <c r="T6169" i="1"/>
  <c r="R6170" i="1"/>
  <c r="S6170" i="1"/>
  <c r="T6170" i="1"/>
  <c r="R6171" i="1"/>
  <c r="S6171" i="1"/>
  <c r="T6171" i="1"/>
  <c r="R6172" i="1"/>
  <c r="S6172" i="1"/>
  <c r="T6172" i="1"/>
  <c r="R6173" i="1"/>
  <c r="S6173" i="1"/>
  <c r="T6173" i="1"/>
  <c r="R6174" i="1"/>
  <c r="S6174" i="1"/>
  <c r="T6174" i="1"/>
  <c r="R6175" i="1"/>
  <c r="S6175" i="1"/>
  <c r="T6175" i="1"/>
  <c r="R6176" i="1"/>
  <c r="S6176" i="1"/>
  <c r="T6176" i="1"/>
  <c r="R6177" i="1"/>
  <c r="S6177" i="1"/>
  <c r="T6177" i="1"/>
  <c r="R6178" i="1"/>
  <c r="S6178" i="1"/>
  <c r="T6178" i="1"/>
  <c r="R6179" i="1"/>
  <c r="S6179" i="1"/>
  <c r="T6179" i="1"/>
  <c r="R6180" i="1"/>
  <c r="S6180" i="1"/>
  <c r="T6180" i="1"/>
  <c r="R6181" i="1"/>
  <c r="S6181" i="1"/>
  <c r="T6181" i="1"/>
  <c r="R6183" i="1"/>
  <c r="S6183" i="1"/>
  <c r="T6183" i="1"/>
  <c r="R6184" i="1"/>
  <c r="S6184" i="1"/>
  <c r="T6184" i="1"/>
  <c r="R6185" i="1"/>
  <c r="S6185" i="1"/>
  <c r="T6185" i="1"/>
  <c r="R6186" i="1"/>
  <c r="S6186" i="1"/>
  <c r="T6186" i="1"/>
  <c r="R6187" i="1"/>
  <c r="S6187" i="1"/>
  <c r="T6187" i="1"/>
  <c r="R6188" i="1"/>
  <c r="S6188" i="1"/>
  <c r="T6188" i="1"/>
  <c r="R6189" i="1"/>
  <c r="S6189" i="1"/>
  <c r="T6189" i="1"/>
  <c r="R6190" i="1"/>
  <c r="S6190" i="1"/>
  <c r="T6190" i="1"/>
  <c r="R6191" i="1"/>
  <c r="S6191" i="1"/>
  <c r="T6191" i="1"/>
  <c r="R6192" i="1"/>
  <c r="S6192" i="1"/>
  <c r="T6192" i="1"/>
  <c r="R6193" i="1"/>
  <c r="S6193" i="1"/>
  <c r="T6193" i="1"/>
  <c r="R6194" i="1"/>
  <c r="S6194" i="1"/>
  <c r="T6194" i="1"/>
  <c r="R6195" i="1"/>
  <c r="S6195" i="1"/>
  <c r="T6195" i="1"/>
  <c r="R6196" i="1"/>
  <c r="S6196" i="1"/>
  <c r="T6196" i="1"/>
  <c r="R6197" i="1"/>
  <c r="S6197" i="1"/>
  <c r="T6197" i="1"/>
  <c r="R6198" i="1"/>
  <c r="S6198" i="1"/>
  <c r="T6198" i="1"/>
  <c r="R6199" i="1"/>
  <c r="S6199" i="1"/>
  <c r="T6199" i="1"/>
  <c r="R6200" i="1"/>
  <c r="S6200" i="1"/>
  <c r="T6200" i="1"/>
  <c r="R6201" i="1"/>
  <c r="S6201" i="1"/>
  <c r="T6201" i="1"/>
  <c r="R6202" i="1"/>
  <c r="S6202" i="1"/>
  <c r="T6202" i="1"/>
  <c r="R6203" i="1"/>
  <c r="S6203" i="1"/>
  <c r="T6203" i="1"/>
  <c r="R6204" i="1"/>
  <c r="S6204" i="1"/>
  <c r="T6204" i="1"/>
  <c r="R6205" i="1"/>
  <c r="S6205" i="1"/>
  <c r="T6205" i="1"/>
  <c r="R6206" i="1"/>
  <c r="S6206" i="1"/>
  <c r="T6206" i="1"/>
  <c r="R6207" i="1"/>
  <c r="S6207" i="1"/>
  <c r="T6207" i="1"/>
  <c r="R6208" i="1"/>
  <c r="S6208" i="1"/>
  <c r="T6208" i="1"/>
  <c r="R6209" i="1"/>
  <c r="S6209" i="1"/>
  <c r="T6209" i="1"/>
  <c r="R6210" i="1"/>
  <c r="S6210" i="1"/>
  <c r="T6210" i="1"/>
  <c r="R6211" i="1"/>
  <c r="S6211" i="1"/>
  <c r="T6211" i="1"/>
  <c r="R6212" i="1"/>
  <c r="S6212" i="1"/>
  <c r="T6212" i="1"/>
  <c r="R6213" i="1"/>
  <c r="S6213" i="1"/>
  <c r="T6213" i="1"/>
  <c r="R6214" i="1"/>
  <c r="S6214" i="1"/>
  <c r="T6214" i="1"/>
  <c r="R6215" i="1"/>
  <c r="S6215" i="1"/>
  <c r="T6215" i="1"/>
  <c r="R6216" i="1"/>
  <c r="S6216" i="1"/>
  <c r="T6216" i="1"/>
  <c r="R6217" i="1"/>
  <c r="S6217" i="1"/>
  <c r="T6217" i="1"/>
  <c r="R6218" i="1"/>
  <c r="S6218" i="1"/>
  <c r="T6218" i="1"/>
  <c r="R6219" i="1"/>
  <c r="S6219" i="1"/>
  <c r="T6219" i="1"/>
  <c r="R6220" i="1"/>
  <c r="S6220" i="1"/>
  <c r="T6220" i="1"/>
  <c r="R6221" i="1"/>
  <c r="S6221" i="1"/>
  <c r="T6221" i="1"/>
  <c r="R6222" i="1"/>
  <c r="S6222" i="1"/>
  <c r="T6222" i="1"/>
  <c r="R6223" i="1"/>
  <c r="S6223" i="1"/>
  <c r="T6223" i="1"/>
  <c r="R6224" i="1"/>
  <c r="S6224" i="1"/>
  <c r="T6224" i="1"/>
  <c r="R6225" i="1"/>
  <c r="S6225" i="1"/>
  <c r="T6225" i="1"/>
  <c r="R6226" i="1"/>
  <c r="S6226" i="1"/>
  <c r="T6226" i="1"/>
  <c r="R6227" i="1"/>
  <c r="S6227" i="1"/>
  <c r="T6227" i="1"/>
  <c r="R6228" i="1"/>
  <c r="S6228" i="1"/>
  <c r="T6228" i="1"/>
  <c r="R6229" i="1"/>
  <c r="S6229" i="1"/>
  <c r="T6229" i="1"/>
  <c r="R6230" i="1"/>
  <c r="S6230" i="1"/>
  <c r="T6230" i="1"/>
  <c r="R6231" i="1"/>
  <c r="S6231" i="1"/>
  <c r="T6231" i="1"/>
  <c r="R6232" i="1"/>
  <c r="S6232" i="1"/>
  <c r="T6232" i="1"/>
  <c r="R6233" i="1"/>
  <c r="S6233" i="1"/>
  <c r="T6233" i="1"/>
  <c r="R6234" i="1"/>
  <c r="S6234" i="1"/>
  <c r="T6234" i="1"/>
  <c r="R6235" i="1"/>
  <c r="S6235" i="1"/>
  <c r="T6235" i="1"/>
  <c r="R6236" i="1"/>
  <c r="S6236" i="1"/>
  <c r="T6236" i="1"/>
  <c r="R6237" i="1"/>
  <c r="S6237" i="1"/>
  <c r="T6237" i="1"/>
  <c r="R6238" i="1"/>
  <c r="S6238" i="1"/>
  <c r="T6238" i="1"/>
  <c r="R6239" i="1"/>
  <c r="S6239" i="1"/>
  <c r="T6239" i="1"/>
  <c r="R6240" i="1"/>
  <c r="S6240" i="1"/>
  <c r="T6240" i="1"/>
  <c r="R6241" i="1"/>
  <c r="S6241" i="1"/>
  <c r="T6241" i="1"/>
  <c r="R6242" i="1"/>
  <c r="S6242" i="1"/>
  <c r="T6242" i="1"/>
  <c r="R6243" i="1"/>
  <c r="S6243" i="1"/>
  <c r="T6243" i="1"/>
  <c r="R6244" i="1"/>
  <c r="S6244" i="1"/>
  <c r="T6244" i="1"/>
  <c r="R6245" i="1"/>
  <c r="S6245" i="1"/>
  <c r="T6245" i="1"/>
  <c r="R6246" i="1"/>
  <c r="S6246" i="1"/>
  <c r="T6246" i="1"/>
  <c r="R6247" i="1"/>
  <c r="S6247" i="1"/>
  <c r="T6247" i="1"/>
  <c r="R6248" i="1"/>
  <c r="S6248" i="1"/>
  <c r="T6248" i="1"/>
  <c r="R6249" i="1"/>
  <c r="S6249" i="1"/>
  <c r="T6249" i="1"/>
  <c r="R6250" i="1"/>
  <c r="S6250" i="1"/>
  <c r="T6250" i="1"/>
  <c r="R6251" i="1"/>
  <c r="S6251" i="1"/>
  <c r="T6251" i="1"/>
  <c r="R6252" i="1"/>
  <c r="S6252" i="1"/>
  <c r="T6252" i="1"/>
  <c r="R6253" i="1"/>
  <c r="S6253" i="1"/>
  <c r="T6253" i="1"/>
  <c r="R6254" i="1"/>
  <c r="S6254" i="1"/>
  <c r="T6254" i="1"/>
  <c r="R6255" i="1"/>
  <c r="S6255" i="1"/>
  <c r="T6255" i="1"/>
  <c r="R6256" i="1"/>
  <c r="S6256" i="1"/>
  <c r="T6256" i="1"/>
  <c r="R6257" i="1"/>
  <c r="S6257" i="1"/>
  <c r="T6257" i="1"/>
  <c r="R6258" i="1"/>
  <c r="S6258" i="1"/>
  <c r="T6258" i="1"/>
  <c r="R6259" i="1"/>
  <c r="S6259" i="1"/>
  <c r="T6259" i="1"/>
  <c r="R6260" i="1"/>
  <c r="S6260" i="1"/>
  <c r="T6260" i="1"/>
  <c r="R6261" i="1"/>
  <c r="S6261" i="1"/>
  <c r="T6261" i="1"/>
  <c r="R6262" i="1"/>
  <c r="S6262" i="1"/>
  <c r="T6262" i="1"/>
  <c r="R6263" i="1"/>
  <c r="S6263" i="1"/>
  <c r="T6263" i="1"/>
  <c r="R6264" i="1"/>
  <c r="S6264" i="1"/>
  <c r="T6264" i="1"/>
  <c r="R6265" i="1"/>
  <c r="S6265" i="1"/>
  <c r="T6265" i="1"/>
  <c r="R6266" i="1"/>
  <c r="S6266" i="1"/>
  <c r="T6266" i="1"/>
  <c r="R6267" i="1"/>
  <c r="S6267" i="1"/>
  <c r="T6267" i="1"/>
  <c r="R6268" i="1"/>
  <c r="S6268" i="1"/>
  <c r="T6268" i="1"/>
  <c r="R6269" i="1"/>
  <c r="S6269" i="1"/>
  <c r="T6269" i="1"/>
  <c r="R6270" i="1"/>
  <c r="S6270" i="1"/>
  <c r="T6270" i="1"/>
  <c r="R6271" i="1"/>
  <c r="S6271" i="1"/>
  <c r="T6271" i="1"/>
  <c r="R6272" i="1"/>
  <c r="S6272" i="1"/>
  <c r="T6272" i="1"/>
  <c r="R6273" i="1"/>
  <c r="S6273" i="1"/>
  <c r="T6273" i="1"/>
  <c r="R6274" i="1"/>
  <c r="S6274" i="1"/>
  <c r="T6274" i="1"/>
  <c r="R6275" i="1"/>
  <c r="S6275" i="1"/>
  <c r="T6275" i="1"/>
  <c r="R6276" i="1"/>
  <c r="S6276" i="1"/>
  <c r="T6276" i="1"/>
  <c r="R6277" i="1"/>
  <c r="S6277" i="1"/>
  <c r="T6277" i="1"/>
  <c r="R6278" i="1"/>
  <c r="S6278" i="1"/>
  <c r="T6278" i="1"/>
  <c r="R6279" i="1"/>
  <c r="S6279" i="1"/>
  <c r="T6279" i="1"/>
  <c r="R6280" i="1"/>
  <c r="S6280" i="1"/>
  <c r="T6280" i="1"/>
  <c r="R6281" i="1"/>
  <c r="S6281" i="1"/>
  <c r="T6281" i="1"/>
  <c r="R6282" i="1"/>
  <c r="S6282" i="1"/>
  <c r="T6282" i="1"/>
  <c r="R6283" i="1"/>
  <c r="S6283" i="1"/>
  <c r="T6283" i="1"/>
  <c r="R6284" i="1"/>
  <c r="S6284" i="1"/>
  <c r="T6284" i="1"/>
  <c r="R6285" i="1"/>
  <c r="S6285" i="1"/>
  <c r="T6285" i="1"/>
  <c r="R6286" i="1"/>
  <c r="S6286" i="1"/>
  <c r="T6286" i="1"/>
  <c r="R6287" i="1"/>
  <c r="S6287" i="1"/>
  <c r="T6287" i="1"/>
  <c r="R6288" i="1"/>
  <c r="S6288" i="1"/>
  <c r="T6288" i="1"/>
  <c r="R6289" i="1"/>
  <c r="S6289" i="1"/>
  <c r="T6289" i="1"/>
  <c r="R6290" i="1"/>
  <c r="S6290" i="1"/>
  <c r="T6290" i="1"/>
  <c r="R6291" i="1"/>
  <c r="S6291" i="1"/>
  <c r="T6291" i="1"/>
  <c r="R6292" i="1"/>
  <c r="S6292" i="1"/>
  <c r="T6292" i="1"/>
  <c r="R6293" i="1"/>
  <c r="S6293" i="1"/>
  <c r="T6293" i="1"/>
  <c r="R6294" i="1"/>
  <c r="S6294" i="1"/>
  <c r="T6294" i="1"/>
  <c r="R6295" i="1"/>
  <c r="S6295" i="1"/>
  <c r="T6295" i="1"/>
  <c r="R6296" i="1"/>
  <c r="S6296" i="1"/>
  <c r="T6296" i="1"/>
  <c r="R6297" i="1"/>
  <c r="S6297" i="1"/>
  <c r="T6297" i="1"/>
  <c r="R6298" i="1"/>
  <c r="S6298" i="1"/>
  <c r="T6298" i="1"/>
  <c r="R6299" i="1"/>
  <c r="S6299" i="1"/>
  <c r="T6299" i="1"/>
  <c r="R6300" i="1"/>
  <c r="S6300" i="1"/>
  <c r="T6300" i="1"/>
  <c r="R6301" i="1"/>
  <c r="S6301" i="1"/>
  <c r="T6301" i="1"/>
  <c r="R6302" i="1"/>
  <c r="S6302" i="1"/>
  <c r="T6302" i="1"/>
  <c r="R6303" i="1"/>
  <c r="S6303" i="1"/>
  <c r="T6303" i="1"/>
  <c r="R6304" i="1"/>
  <c r="S6304" i="1"/>
  <c r="T6304" i="1"/>
  <c r="R6305" i="1"/>
  <c r="S6305" i="1"/>
  <c r="T6305" i="1"/>
  <c r="R6306" i="1"/>
  <c r="S6306" i="1"/>
  <c r="T6306" i="1"/>
  <c r="R6307" i="1"/>
  <c r="S6307" i="1"/>
  <c r="T6307" i="1"/>
  <c r="R6308" i="1"/>
  <c r="S6308" i="1"/>
  <c r="T6308" i="1"/>
  <c r="R6309" i="1"/>
  <c r="S6309" i="1"/>
  <c r="T6309" i="1"/>
  <c r="R6310" i="1"/>
  <c r="S6310" i="1"/>
  <c r="T6310" i="1"/>
  <c r="R6311" i="1"/>
  <c r="S6311" i="1"/>
  <c r="T6311" i="1"/>
  <c r="R6312" i="1"/>
  <c r="S6312" i="1"/>
  <c r="T6312" i="1"/>
  <c r="R6313" i="1"/>
  <c r="S6313" i="1"/>
  <c r="T6313" i="1"/>
  <c r="R6314" i="1"/>
  <c r="S6314" i="1"/>
  <c r="T6314" i="1"/>
  <c r="R6315" i="1"/>
  <c r="S6315" i="1"/>
  <c r="T6315" i="1"/>
  <c r="R6316" i="1"/>
  <c r="S6316" i="1"/>
  <c r="T6316" i="1"/>
  <c r="R6317" i="1"/>
  <c r="S6317" i="1"/>
  <c r="T6317" i="1"/>
  <c r="R6318" i="1"/>
  <c r="S6318" i="1"/>
  <c r="T6318" i="1"/>
  <c r="R6319" i="1"/>
  <c r="S6319" i="1"/>
  <c r="T6319" i="1"/>
  <c r="R6320" i="1"/>
  <c r="S6320" i="1"/>
  <c r="T6320" i="1"/>
  <c r="R6321" i="1"/>
  <c r="S6321" i="1"/>
  <c r="T6321" i="1"/>
  <c r="R6322" i="1"/>
  <c r="S6322" i="1"/>
  <c r="T6322" i="1"/>
  <c r="R6323" i="1"/>
  <c r="S6323" i="1"/>
  <c r="T6323" i="1"/>
  <c r="R6324" i="1"/>
  <c r="S6324" i="1"/>
  <c r="T6324" i="1"/>
  <c r="R6325" i="1"/>
  <c r="S6325" i="1"/>
  <c r="T6325" i="1"/>
  <c r="R6326" i="1"/>
  <c r="S6326" i="1"/>
  <c r="T6326" i="1"/>
  <c r="R6327" i="1"/>
  <c r="S6327" i="1"/>
  <c r="T6327" i="1"/>
  <c r="R6328" i="1"/>
  <c r="S6328" i="1"/>
  <c r="T6328" i="1"/>
  <c r="R6329" i="1"/>
  <c r="S6329" i="1"/>
  <c r="T6329" i="1"/>
  <c r="R6330" i="1"/>
  <c r="S6330" i="1"/>
  <c r="T6330" i="1"/>
  <c r="R6331" i="1"/>
  <c r="S6331" i="1"/>
  <c r="T6331" i="1"/>
  <c r="R6332" i="1"/>
  <c r="S6332" i="1"/>
  <c r="T6332" i="1"/>
  <c r="R6333" i="1"/>
  <c r="S6333" i="1"/>
  <c r="T6333" i="1"/>
  <c r="R6334" i="1"/>
  <c r="S6334" i="1"/>
  <c r="T6334" i="1"/>
  <c r="R6335" i="1"/>
  <c r="S6335" i="1"/>
  <c r="T6335" i="1"/>
  <c r="R6336" i="1"/>
  <c r="S6336" i="1"/>
  <c r="T6336" i="1"/>
  <c r="R6337" i="1"/>
  <c r="S6337" i="1"/>
  <c r="T6337" i="1"/>
  <c r="R6338" i="1"/>
  <c r="S6338" i="1"/>
  <c r="T6338" i="1"/>
  <c r="R6339" i="1"/>
  <c r="S6339" i="1"/>
  <c r="T6339" i="1"/>
  <c r="R6340" i="1"/>
  <c r="S6340" i="1"/>
  <c r="T6340" i="1"/>
  <c r="R6341" i="1"/>
  <c r="S6341" i="1"/>
  <c r="T6341" i="1"/>
  <c r="R6342" i="1"/>
  <c r="S6342" i="1"/>
  <c r="T6342" i="1"/>
  <c r="R6343" i="1"/>
  <c r="S6343" i="1"/>
  <c r="T6343" i="1"/>
  <c r="R6344" i="1"/>
  <c r="S6344" i="1"/>
  <c r="T6344" i="1"/>
  <c r="R6345" i="1"/>
  <c r="S6345" i="1"/>
  <c r="T6345" i="1"/>
  <c r="R6346" i="1"/>
  <c r="S6346" i="1"/>
  <c r="T6346" i="1"/>
  <c r="R6347" i="1"/>
  <c r="S6347" i="1"/>
  <c r="T6347" i="1"/>
  <c r="R6348" i="1"/>
  <c r="S6348" i="1"/>
  <c r="T6348" i="1"/>
  <c r="R6349" i="1"/>
  <c r="S6349" i="1"/>
  <c r="T6349" i="1"/>
  <c r="R6350" i="1"/>
  <c r="S6350" i="1"/>
  <c r="T6350" i="1"/>
  <c r="R6351" i="1"/>
  <c r="S6351" i="1"/>
  <c r="T6351" i="1"/>
  <c r="R6352" i="1"/>
  <c r="S6352" i="1"/>
  <c r="T6352" i="1"/>
  <c r="R6353" i="1"/>
  <c r="S6353" i="1"/>
  <c r="T6353" i="1"/>
  <c r="R6354" i="1"/>
  <c r="S6354" i="1"/>
  <c r="T6354" i="1"/>
  <c r="R6355" i="1"/>
  <c r="S6355" i="1"/>
  <c r="T6355" i="1"/>
  <c r="R6356" i="1"/>
  <c r="S6356" i="1"/>
  <c r="T6356" i="1"/>
  <c r="R6357" i="1"/>
  <c r="S6357" i="1"/>
  <c r="T6357" i="1"/>
  <c r="R6358" i="1"/>
  <c r="S6358" i="1"/>
  <c r="T6358" i="1"/>
  <c r="R6359" i="1"/>
  <c r="S6359" i="1"/>
  <c r="T6359" i="1"/>
  <c r="R6360" i="1"/>
  <c r="S6360" i="1"/>
  <c r="T6360" i="1"/>
  <c r="R6361" i="1"/>
  <c r="S6361" i="1"/>
  <c r="T6361" i="1"/>
  <c r="R6362" i="1"/>
  <c r="S6362" i="1"/>
  <c r="T6362" i="1"/>
  <c r="R6363" i="1"/>
  <c r="S6363" i="1"/>
  <c r="T6363" i="1"/>
  <c r="R6364" i="1"/>
  <c r="S6364" i="1"/>
  <c r="T6364" i="1"/>
  <c r="R6365" i="1"/>
  <c r="S6365" i="1"/>
  <c r="T6365" i="1"/>
  <c r="R6366" i="1"/>
  <c r="S6366" i="1"/>
  <c r="T6366" i="1"/>
  <c r="R6367" i="1"/>
  <c r="S6367" i="1"/>
  <c r="T6367" i="1"/>
  <c r="R6368" i="1"/>
  <c r="S6368" i="1"/>
  <c r="T6368" i="1"/>
  <c r="R6369" i="1"/>
  <c r="S6369" i="1"/>
  <c r="T6369" i="1"/>
  <c r="R6370" i="1"/>
  <c r="S6370" i="1"/>
  <c r="T6370" i="1"/>
  <c r="R6371" i="1"/>
  <c r="S6371" i="1"/>
  <c r="T6371" i="1"/>
  <c r="R6372" i="1"/>
  <c r="S6372" i="1"/>
  <c r="T6372" i="1"/>
  <c r="R6373" i="1"/>
  <c r="S6373" i="1"/>
  <c r="T6373" i="1"/>
  <c r="R6374" i="1"/>
  <c r="S6374" i="1"/>
  <c r="T6374" i="1"/>
  <c r="R6375" i="1"/>
  <c r="S6375" i="1"/>
  <c r="T6375" i="1"/>
  <c r="R6376" i="1"/>
  <c r="S6376" i="1"/>
  <c r="T6376" i="1"/>
  <c r="R6377" i="1"/>
  <c r="S6377" i="1"/>
  <c r="T6377" i="1"/>
  <c r="R6378" i="1"/>
  <c r="S6378" i="1"/>
  <c r="T6378" i="1"/>
  <c r="R6379" i="1"/>
  <c r="S6379" i="1"/>
  <c r="T6379" i="1"/>
  <c r="R6380" i="1"/>
  <c r="S6380" i="1"/>
  <c r="T6380" i="1"/>
  <c r="R6381" i="1"/>
  <c r="S6381" i="1"/>
  <c r="T6381" i="1"/>
  <c r="R6382" i="1"/>
  <c r="S6382" i="1"/>
  <c r="T6382" i="1"/>
  <c r="R6383" i="1"/>
  <c r="S6383" i="1"/>
  <c r="T6383" i="1"/>
  <c r="R6384" i="1"/>
  <c r="S6384" i="1"/>
  <c r="T6384" i="1"/>
  <c r="R6385" i="1"/>
  <c r="S6385" i="1"/>
  <c r="T6385" i="1"/>
  <c r="R6386" i="1"/>
  <c r="S6386" i="1"/>
  <c r="T6386" i="1"/>
  <c r="R6387" i="1"/>
  <c r="S6387" i="1"/>
  <c r="T6387" i="1"/>
  <c r="R6388" i="1"/>
  <c r="S6388" i="1"/>
  <c r="T6388" i="1"/>
  <c r="R6389" i="1"/>
  <c r="S6389" i="1"/>
  <c r="T6389" i="1"/>
  <c r="R6390" i="1"/>
  <c r="S6390" i="1"/>
  <c r="T6390" i="1"/>
  <c r="R6391" i="1"/>
  <c r="S6391" i="1"/>
  <c r="T6391" i="1"/>
  <c r="R6392" i="1"/>
  <c r="S6392" i="1"/>
  <c r="T6392" i="1"/>
  <c r="R6393" i="1"/>
  <c r="S6393" i="1"/>
  <c r="T6393" i="1"/>
  <c r="R6394" i="1"/>
  <c r="S6394" i="1"/>
  <c r="T6394" i="1"/>
  <c r="R6395" i="1"/>
  <c r="S6395" i="1"/>
  <c r="T6395" i="1"/>
  <c r="R6396" i="1"/>
  <c r="S6396" i="1"/>
  <c r="T6396" i="1"/>
  <c r="R6397" i="1"/>
  <c r="S6397" i="1"/>
  <c r="T6397" i="1"/>
  <c r="R6398" i="1"/>
  <c r="S6398" i="1"/>
  <c r="T6398" i="1"/>
  <c r="R6399" i="1"/>
  <c r="S6399" i="1"/>
  <c r="T6399" i="1"/>
  <c r="R6400" i="1"/>
  <c r="S6400" i="1"/>
  <c r="T6400" i="1"/>
  <c r="R6401" i="1"/>
  <c r="S6401" i="1"/>
  <c r="T6401" i="1"/>
  <c r="R6402" i="1"/>
  <c r="S6402" i="1"/>
  <c r="T6402" i="1"/>
  <c r="R6403" i="1"/>
  <c r="S6403" i="1"/>
  <c r="T6403" i="1"/>
  <c r="R6404" i="1"/>
  <c r="S6404" i="1"/>
  <c r="T6404" i="1"/>
  <c r="R6405" i="1"/>
  <c r="S6405" i="1"/>
  <c r="T6405" i="1"/>
  <c r="R6406" i="1"/>
  <c r="S6406" i="1"/>
  <c r="T6406" i="1"/>
  <c r="R6407" i="1"/>
  <c r="S6407" i="1"/>
  <c r="T6407" i="1"/>
  <c r="R6408" i="1"/>
  <c r="S6408" i="1"/>
  <c r="T6408" i="1"/>
  <c r="R6409" i="1"/>
  <c r="S6409" i="1"/>
  <c r="T6409" i="1"/>
  <c r="R6410" i="1"/>
  <c r="S6410" i="1"/>
  <c r="T6410" i="1"/>
  <c r="R6411" i="1"/>
  <c r="S6411" i="1"/>
  <c r="T6411" i="1"/>
  <c r="R6412" i="1"/>
  <c r="S6412" i="1"/>
  <c r="T6412" i="1"/>
  <c r="R6413" i="1"/>
  <c r="S6413" i="1"/>
  <c r="T6413" i="1"/>
  <c r="R6414" i="1"/>
  <c r="S6414" i="1"/>
  <c r="T6414" i="1"/>
  <c r="R6415" i="1"/>
  <c r="S6415" i="1"/>
  <c r="T6415" i="1"/>
  <c r="R6416" i="1"/>
  <c r="S6416" i="1"/>
  <c r="T6416" i="1"/>
  <c r="R6417" i="1"/>
  <c r="S6417" i="1"/>
  <c r="T6417" i="1"/>
  <c r="R6418" i="1"/>
  <c r="S6418" i="1"/>
  <c r="T6418" i="1"/>
  <c r="R6419" i="1"/>
  <c r="S6419" i="1"/>
  <c r="T6419" i="1"/>
  <c r="R6420" i="1"/>
  <c r="S6420" i="1"/>
  <c r="T6420" i="1"/>
  <c r="R6421" i="1"/>
  <c r="S6421" i="1"/>
  <c r="T6421" i="1"/>
  <c r="R6422" i="1"/>
  <c r="S6422" i="1"/>
  <c r="T6422" i="1"/>
  <c r="R6423" i="1"/>
  <c r="S6423" i="1"/>
  <c r="T6423" i="1"/>
  <c r="R6424" i="1"/>
  <c r="S6424" i="1"/>
  <c r="T6424" i="1"/>
  <c r="R6425" i="1"/>
  <c r="S6425" i="1"/>
  <c r="T6425" i="1"/>
  <c r="R6426" i="1"/>
  <c r="S6426" i="1"/>
  <c r="T6426" i="1"/>
  <c r="R6427" i="1"/>
  <c r="S6427" i="1"/>
  <c r="T6427" i="1"/>
  <c r="R6428" i="1"/>
  <c r="S6428" i="1"/>
  <c r="T6428" i="1"/>
  <c r="R6429" i="1"/>
  <c r="S6429" i="1"/>
  <c r="T6429" i="1"/>
  <c r="R6430" i="1"/>
  <c r="S6430" i="1"/>
  <c r="T6430" i="1"/>
  <c r="R6431" i="1"/>
  <c r="S6431" i="1"/>
  <c r="T6431" i="1"/>
  <c r="R6432" i="1"/>
  <c r="S6432" i="1"/>
  <c r="T6432" i="1"/>
  <c r="R6433" i="1"/>
  <c r="S6433" i="1"/>
  <c r="T6433" i="1"/>
  <c r="R6434" i="1"/>
  <c r="S6434" i="1"/>
  <c r="T6434" i="1"/>
  <c r="R6435" i="1"/>
  <c r="S6435" i="1"/>
  <c r="T6435" i="1"/>
  <c r="R6436" i="1"/>
  <c r="S6436" i="1"/>
  <c r="T6436" i="1"/>
  <c r="R6437" i="1"/>
  <c r="S6437" i="1"/>
  <c r="T6437" i="1"/>
  <c r="R6438" i="1"/>
  <c r="S6438" i="1"/>
  <c r="T6438" i="1"/>
  <c r="R6439" i="1"/>
  <c r="S6439" i="1"/>
  <c r="T6439" i="1"/>
  <c r="R6440" i="1"/>
  <c r="S6440" i="1"/>
  <c r="T6440" i="1"/>
  <c r="R6441" i="1"/>
  <c r="S6441" i="1"/>
  <c r="T6441" i="1"/>
  <c r="R6442" i="1"/>
  <c r="S6442" i="1"/>
  <c r="T6442" i="1"/>
  <c r="R6443" i="1"/>
  <c r="S6443" i="1"/>
  <c r="T6443" i="1"/>
  <c r="R6444" i="1"/>
  <c r="S6444" i="1"/>
  <c r="T6444" i="1"/>
  <c r="R6445" i="1"/>
  <c r="S6445" i="1"/>
  <c r="T6445" i="1"/>
  <c r="R6446" i="1"/>
  <c r="S6446" i="1"/>
  <c r="T6446" i="1"/>
  <c r="R6447" i="1"/>
  <c r="S6447" i="1"/>
  <c r="T6447" i="1"/>
  <c r="R6448" i="1"/>
  <c r="S6448" i="1"/>
  <c r="T6448" i="1"/>
  <c r="R6449" i="1"/>
  <c r="S6449" i="1"/>
  <c r="T6449" i="1"/>
  <c r="R6450" i="1"/>
  <c r="S6450" i="1"/>
  <c r="T6450" i="1"/>
  <c r="R6451" i="1"/>
  <c r="S6451" i="1"/>
  <c r="T6451" i="1"/>
  <c r="R6452" i="1"/>
  <c r="S6452" i="1"/>
  <c r="T6452" i="1"/>
  <c r="R6453" i="1"/>
  <c r="S6453" i="1"/>
  <c r="T6453" i="1"/>
  <c r="R6454" i="1"/>
  <c r="S6454" i="1"/>
  <c r="T6454" i="1"/>
  <c r="R6455" i="1"/>
  <c r="S6455" i="1"/>
  <c r="T6455" i="1"/>
  <c r="R6456" i="1"/>
  <c r="S6456" i="1"/>
  <c r="T6456" i="1"/>
  <c r="R6457" i="1"/>
  <c r="S6457" i="1"/>
  <c r="T6457" i="1"/>
  <c r="R6458" i="1"/>
  <c r="S6458" i="1"/>
  <c r="T6458" i="1"/>
  <c r="R6459" i="1"/>
  <c r="S6459" i="1"/>
  <c r="T6459" i="1"/>
  <c r="R6460" i="1"/>
  <c r="S6460" i="1"/>
  <c r="T6460" i="1"/>
  <c r="R6461" i="1"/>
  <c r="S6461" i="1"/>
  <c r="T6461" i="1"/>
  <c r="R6462" i="1"/>
  <c r="S6462" i="1"/>
  <c r="T6462" i="1"/>
  <c r="R6463" i="1"/>
  <c r="S6463" i="1"/>
  <c r="T6463" i="1"/>
  <c r="R6464" i="1"/>
  <c r="S6464" i="1"/>
  <c r="T6464" i="1"/>
  <c r="R6465" i="1"/>
  <c r="S6465" i="1"/>
  <c r="T6465" i="1"/>
  <c r="R6466" i="1"/>
  <c r="S6466" i="1"/>
  <c r="T6466" i="1"/>
  <c r="R6467" i="1"/>
  <c r="S6467" i="1"/>
  <c r="T6467" i="1"/>
  <c r="R6468" i="1"/>
  <c r="S6468" i="1"/>
  <c r="T6468" i="1"/>
  <c r="R6469" i="1"/>
  <c r="S6469" i="1"/>
  <c r="T6469" i="1"/>
  <c r="R6470" i="1"/>
  <c r="S6470" i="1"/>
  <c r="T6470" i="1"/>
  <c r="R6471" i="1"/>
  <c r="S6471" i="1"/>
  <c r="T6471" i="1"/>
  <c r="R6472" i="1"/>
  <c r="S6472" i="1"/>
  <c r="T6472" i="1"/>
  <c r="R6473" i="1"/>
  <c r="S6473" i="1"/>
  <c r="T6473" i="1"/>
  <c r="R6474" i="1"/>
  <c r="S6474" i="1"/>
  <c r="T6474" i="1"/>
  <c r="R6475" i="1"/>
  <c r="S6475" i="1"/>
  <c r="T6475" i="1"/>
  <c r="R6476" i="1"/>
  <c r="S6476" i="1"/>
  <c r="T6476" i="1"/>
  <c r="R6477" i="1"/>
  <c r="S6477" i="1"/>
  <c r="T6477" i="1"/>
  <c r="R6478" i="1"/>
  <c r="S6478" i="1"/>
  <c r="T6478" i="1"/>
  <c r="R6479" i="1"/>
  <c r="S6479" i="1"/>
  <c r="T6479" i="1"/>
  <c r="R6480" i="1"/>
  <c r="S6480" i="1"/>
  <c r="T6480" i="1"/>
  <c r="R6481" i="1"/>
  <c r="S6481" i="1"/>
  <c r="T6481" i="1"/>
  <c r="R6482" i="1"/>
  <c r="S6482" i="1"/>
  <c r="T6482" i="1"/>
  <c r="R6483" i="1"/>
  <c r="S6483" i="1"/>
  <c r="T6483" i="1"/>
  <c r="R6484" i="1"/>
  <c r="S6484" i="1"/>
  <c r="T6484" i="1"/>
  <c r="R6485" i="1"/>
  <c r="S6485" i="1"/>
  <c r="T6485" i="1"/>
  <c r="R6486" i="1"/>
  <c r="S6486" i="1"/>
  <c r="T6486" i="1"/>
  <c r="R6487" i="1"/>
  <c r="S6487" i="1"/>
  <c r="T6487" i="1"/>
  <c r="R6488" i="1"/>
  <c r="S6488" i="1"/>
  <c r="T6488" i="1"/>
  <c r="R6489" i="1"/>
  <c r="S6489" i="1"/>
  <c r="T6489" i="1"/>
  <c r="R6490" i="1"/>
  <c r="S6490" i="1"/>
  <c r="T6490" i="1"/>
  <c r="R6491" i="1"/>
  <c r="S6491" i="1"/>
  <c r="T6491" i="1"/>
  <c r="R6492" i="1"/>
  <c r="S6492" i="1"/>
  <c r="T6492" i="1"/>
  <c r="R6493" i="1"/>
  <c r="S6493" i="1"/>
  <c r="T6493" i="1"/>
  <c r="R6494" i="1"/>
  <c r="S6494" i="1"/>
  <c r="T6494" i="1"/>
  <c r="R6495" i="1"/>
  <c r="S6495" i="1"/>
  <c r="T6495" i="1"/>
  <c r="R6496" i="1"/>
  <c r="S6496" i="1"/>
  <c r="T6496" i="1"/>
  <c r="R6497" i="1"/>
  <c r="S6497" i="1"/>
  <c r="T6497" i="1"/>
  <c r="R6498" i="1"/>
  <c r="S6498" i="1"/>
  <c r="T6498" i="1"/>
  <c r="R6499" i="1"/>
  <c r="S6499" i="1"/>
  <c r="T6499" i="1"/>
  <c r="R6500" i="1"/>
  <c r="S6500" i="1"/>
  <c r="T6500" i="1"/>
  <c r="R6501" i="1"/>
  <c r="S6501" i="1"/>
  <c r="T6501" i="1"/>
  <c r="R6502" i="1"/>
  <c r="S6502" i="1"/>
  <c r="T6502" i="1"/>
  <c r="R6503" i="1"/>
  <c r="S6503" i="1"/>
  <c r="T6503" i="1"/>
  <c r="R6504" i="1"/>
  <c r="S6504" i="1"/>
  <c r="T6504" i="1"/>
  <c r="R6505" i="1"/>
  <c r="S6505" i="1"/>
  <c r="T6505" i="1"/>
  <c r="R6506" i="1"/>
  <c r="S6506" i="1"/>
  <c r="T6506" i="1"/>
  <c r="R6507" i="1"/>
  <c r="S6507" i="1"/>
  <c r="T6507" i="1"/>
  <c r="R6508" i="1"/>
  <c r="S6508" i="1"/>
  <c r="T6508" i="1"/>
  <c r="R6509" i="1"/>
  <c r="S6509" i="1"/>
  <c r="T6509" i="1"/>
  <c r="R6510" i="1"/>
  <c r="S6510" i="1"/>
  <c r="T6510" i="1"/>
  <c r="R6511" i="1"/>
  <c r="S6511" i="1"/>
  <c r="T6511" i="1"/>
  <c r="R6512" i="1"/>
  <c r="S6512" i="1"/>
  <c r="T6512" i="1"/>
  <c r="R6513" i="1"/>
  <c r="S6513" i="1"/>
  <c r="T6513" i="1"/>
  <c r="R6514" i="1"/>
  <c r="S6514" i="1"/>
  <c r="T6514" i="1"/>
  <c r="R6515" i="1"/>
  <c r="S6515" i="1"/>
  <c r="T6515" i="1"/>
  <c r="R6516" i="1"/>
  <c r="S6516" i="1"/>
  <c r="T6516" i="1"/>
  <c r="R6517" i="1"/>
  <c r="S6517" i="1"/>
  <c r="T6517" i="1"/>
  <c r="R6518" i="1"/>
  <c r="S6518" i="1"/>
  <c r="T6518" i="1"/>
  <c r="R6519" i="1"/>
  <c r="S6519" i="1"/>
  <c r="T6519" i="1"/>
  <c r="R6520" i="1"/>
  <c r="S6520" i="1"/>
  <c r="T6520" i="1"/>
  <c r="R6521" i="1"/>
  <c r="S6521" i="1"/>
  <c r="T6521" i="1"/>
  <c r="R6522" i="1"/>
  <c r="S6522" i="1"/>
  <c r="T6522" i="1"/>
  <c r="R6523" i="1"/>
  <c r="S6523" i="1"/>
  <c r="T6523" i="1"/>
  <c r="R6524" i="1"/>
  <c r="S6524" i="1"/>
  <c r="T6524" i="1"/>
  <c r="R6525" i="1"/>
  <c r="S6525" i="1"/>
  <c r="T6525" i="1"/>
  <c r="R6526" i="1"/>
  <c r="S6526" i="1"/>
  <c r="T6526" i="1"/>
  <c r="R6527" i="1"/>
  <c r="S6527" i="1"/>
  <c r="T6527" i="1"/>
  <c r="R6528" i="1"/>
  <c r="S6528" i="1"/>
  <c r="T6528" i="1"/>
  <c r="R6529" i="1"/>
  <c r="S6529" i="1"/>
  <c r="T6529" i="1"/>
  <c r="R6530" i="1"/>
  <c r="S6530" i="1"/>
  <c r="T6530" i="1"/>
  <c r="R6531" i="1"/>
  <c r="S6531" i="1"/>
  <c r="T6531" i="1"/>
  <c r="R6532" i="1"/>
  <c r="S6532" i="1"/>
  <c r="T6532" i="1"/>
  <c r="R6533" i="1"/>
  <c r="S6533" i="1"/>
  <c r="T6533" i="1"/>
  <c r="R6534" i="1"/>
  <c r="S6534" i="1"/>
  <c r="T6534" i="1"/>
  <c r="R6535" i="1"/>
  <c r="S6535" i="1"/>
  <c r="T6535" i="1"/>
  <c r="R6536" i="1"/>
  <c r="S6536" i="1"/>
  <c r="T6536" i="1"/>
  <c r="R6537" i="1"/>
  <c r="S6537" i="1"/>
  <c r="T6537" i="1"/>
  <c r="R6538" i="1"/>
  <c r="S6538" i="1"/>
  <c r="T6538" i="1"/>
  <c r="R6539" i="1"/>
  <c r="S6539" i="1"/>
  <c r="T6539" i="1"/>
  <c r="R6540" i="1"/>
  <c r="S6540" i="1"/>
  <c r="T6540" i="1"/>
  <c r="R6541" i="1"/>
  <c r="S6541" i="1"/>
  <c r="T6541" i="1"/>
  <c r="R6542" i="1"/>
  <c r="S6542" i="1"/>
  <c r="T6542" i="1"/>
  <c r="R6543" i="1"/>
  <c r="S6543" i="1"/>
  <c r="T6543" i="1"/>
  <c r="R6544" i="1"/>
  <c r="S6544" i="1"/>
  <c r="T6544" i="1"/>
  <c r="R6545" i="1"/>
  <c r="S6545" i="1"/>
  <c r="T6545" i="1"/>
  <c r="R6546" i="1"/>
  <c r="S6546" i="1"/>
  <c r="T6546" i="1"/>
  <c r="R6547" i="1"/>
  <c r="S6547" i="1"/>
  <c r="T6547" i="1"/>
  <c r="R6548" i="1"/>
  <c r="S6548" i="1"/>
  <c r="T6548" i="1"/>
  <c r="R6549" i="1"/>
  <c r="S6549" i="1"/>
  <c r="T6549" i="1"/>
  <c r="R6550" i="1"/>
  <c r="S6550" i="1"/>
  <c r="T6550" i="1"/>
  <c r="R6551" i="1"/>
  <c r="S6551" i="1"/>
  <c r="T6551" i="1"/>
  <c r="R6552" i="1"/>
  <c r="S6552" i="1"/>
  <c r="T6552" i="1"/>
  <c r="R6553" i="1"/>
  <c r="S6553" i="1"/>
  <c r="T6553" i="1"/>
  <c r="R6554" i="1"/>
  <c r="S6554" i="1"/>
  <c r="T6554" i="1"/>
  <c r="R6555" i="1"/>
  <c r="S6555" i="1"/>
  <c r="T6555" i="1"/>
  <c r="R6556" i="1"/>
  <c r="S6556" i="1"/>
  <c r="T6556" i="1"/>
  <c r="R6557" i="1"/>
  <c r="S6557" i="1"/>
  <c r="T6557" i="1"/>
  <c r="R6558" i="1"/>
  <c r="S6558" i="1"/>
  <c r="T6558" i="1"/>
  <c r="R6559" i="1"/>
  <c r="S6559" i="1"/>
  <c r="T6559" i="1"/>
  <c r="R6560" i="1"/>
  <c r="S6560" i="1"/>
  <c r="T6560" i="1"/>
  <c r="R6561" i="1"/>
  <c r="S6561" i="1"/>
  <c r="T6561" i="1"/>
  <c r="R6562" i="1"/>
  <c r="S6562" i="1"/>
  <c r="T6562" i="1"/>
  <c r="R6563" i="1"/>
  <c r="S6563" i="1"/>
  <c r="T6563" i="1"/>
  <c r="R6564" i="1"/>
  <c r="S6564" i="1"/>
  <c r="T6564" i="1"/>
  <c r="R6565" i="1"/>
  <c r="S6565" i="1"/>
  <c r="T6565" i="1"/>
  <c r="R6566" i="1"/>
  <c r="S6566" i="1"/>
  <c r="T6566" i="1"/>
  <c r="R6567" i="1"/>
  <c r="S6567" i="1"/>
  <c r="T6567" i="1"/>
  <c r="R6568" i="1"/>
  <c r="S6568" i="1"/>
  <c r="T6568" i="1"/>
  <c r="R6569" i="1"/>
  <c r="S6569" i="1"/>
  <c r="T6569" i="1"/>
  <c r="R6570" i="1"/>
  <c r="S6570" i="1"/>
  <c r="T6570" i="1"/>
  <c r="R6571" i="1"/>
  <c r="S6571" i="1"/>
  <c r="T6571" i="1"/>
  <c r="R6572" i="1"/>
  <c r="S6572" i="1"/>
  <c r="T6572" i="1"/>
  <c r="R6573" i="1"/>
  <c r="S6573" i="1"/>
  <c r="T6573" i="1"/>
  <c r="R6574" i="1"/>
  <c r="S6574" i="1"/>
  <c r="T6574" i="1"/>
  <c r="R6575" i="1"/>
  <c r="S6575" i="1"/>
  <c r="T6575" i="1"/>
  <c r="R6576" i="1"/>
  <c r="S6576" i="1"/>
  <c r="T6576" i="1"/>
  <c r="R6577" i="1"/>
  <c r="S6577" i="1"/>
  <c r="T6577" i="1"/>
  <c r="R6578" i="1"/>
  <c r="S6578" i="1"/>
  <c r="T6578" i="1"/>
  <c r="R6579" i="1"/>
  <c r="S6579" i="1"/>
  <c r="T6579" i="1"/>
  <c r="R6580" i="1"/>
  <c r="S6580" i="1"/>
  <c r="T6580" i="1"/>
  <c r="R6581" i="1"/>
  <c r="S6581" i="1"/>
  <c r="T6581" i="1"/>
  <c r="R6582" i="1"/>
  <c r="S6582" i="1"/>
  <c r="T6582" i="1"/>
  <c r="R6583" i="1"/>
  <c r="S6583" i="1"/>
  <c r="T6583" i="1"/>
  <c r="R6584" i="1"/>
  <c r="S6584" i="1"/>
  <c r="T6584" i="1"/>
  <c r="R6585" i="1"/>
  <c r="S6585" i="1"/>
  <c r="T6585" i="1"/>
  <c r="R6586" i="1"/>
  <c r="S6586" i="1"/>
  <c r="T6586" i="1"/>
  <c r="R6587" i="1"/>
  <c r="S6587" i="1"/>
  <c r="T6587" i="1"/>
  <c r="R6588" i="1"/>
  <c r="S6588" i="1"/>
  <c r="T6588" i="1"/>
  <c r="R6589" i="1"/>
  <c r="S6589" i="1"/>
  <c r="T6589" i="1"/>
  <c r="R6590" i="1"/>
  <c r="S6590" i="1"/>
  <c r="T6590" i="1"/>
  <c r="R6591" i="1"/>
  <c r="S6591" i="1"/>
  <c r="T6591" i="1"/>
  <c r="R6592" i="1"/>
  <c r="S6592" i="1"/>
  <c r="T6592" i="1"/>
  <c r="R6593" i="1"/>
  <c r="S6593" i="1"/>
  <c r="T6593" i="1"/>
  <c r="R6594" i="1"/>
  <c r="S6594" i="1"/>
  <c r="T6594" i="1"/>
  <c r="R6595" i="1"/>
  <c r="S6595" i="1"/>
  <c r="T6595" i="1"/>
  <c r="R6596" i="1"/>
  <c r="S6596" i="1"/>
  <c r="T6596" i="1"/>
  <c r="R6597" i="1"/>
  <c r="S6597" i="1"/>
  <c r="T6597" i="1"/>
  <c r="R6598" i="1"/>
  <c r="S6598" i="1"/>
  <c r="T6598" i="1"/>
  <c r="R6599" i="1"/>
  <c r="S6599" i="1"/>
  <c r="T6599" i="1"/>
  <c r="R6600" i="1"/>
  <c r="S6600" i="1"/>
  <c r="T6600" i="1"/>
  <c r="R6601" i="1"/>
  <c r="S6601" i="1"/>
  <c r="T6601" i="1"/>
  <c r="R6602" i="1"/>
  <c r="S6602" i="1"/>
  <c r="T6602" i="1"/>
  <c r="R6603" i="1"/>
  <c r="S6603" i="1"/>
  <c r="T6603" i="1"/>
  <c r="R6604" i="1"/>
  <c r="S6604" i="1"/>
  <c r="T6604" i="1"/>
  <c r="R6605" i="1"/>
  <c r="S6605" i="1"/>
  <c r="T6605" i="1"/>
  <c r="R6606" i="1"/>
  <c r="S6606" i="1"/>
  <c r="T6606" i="1"/>
  <c r="R6607" i="1"/>
  <c r="S6607" i="1"/>
  <c r="T6607" i="1"/>
  <c r="R6608" i="1"/>
  <c r="S6608" i="1"/>
  <c r="T6608" i="1"/>
  <c r="R6609" i="1"/>
  <c r="S6609" i="1"/>
  <c r="T6609" i="1"/>
  <c r="R6610" i="1"/>
  <c r="S6610" i="1"/>
  <c r="T6610" i="1"/>
  <c r="R6611" i="1"/>
  <c r="S6611" i="1"/>
  <c r="T6611" i="1"/>
  <c r="R6612" i="1"/>
  <c r="S6612" i="1"/>
  <c r="T6612" i="1"/>
  <c r="R6613" i="1"/>
  <c r="S6613" i="1"/>
  <c r="T6613" i="1"/>
  <c r="R6614" i="1"/>
  <c r="S6614" i="1"/>
  <c r="T6614" i="1"/>
  <c r="R6615" i="1"/>
  <c r="S6615" i="1"/>
  <c r="T6615" i="1"/>
  <c r="R6616" i="1"/>
  <c r="S6616" i="1"/>
  <c r="T6616" i="1"/>
  <c r="R6617" i="1"/>
  <c r="S6617" i="1"/>
  <c r="T6617" i="1"/>
  <c r="R6618" i="1"/>
  <c r="S6618" i="1"/>
  <c r="T6618" i="1"/>
  <c r="R6619" i="1"/>
  <c r="S6619" i="1"/>
  <c r="T6619" i="1"/>
  <c r="R6620" i="1"/>
  <c r="S6620" i="1"/>
  <c r="T6620" i="1"/>
  <c r="R6621" i="1"/>
  <c r="S6621" i="1"/>
  <c r="T6621" i="1"/>
  <c r="R6622" i="1"/>
  <c r="S6622" i="1"/>
  <c r="T6622" i="1"/>
  <c r="R6623" i="1"/>
  <c r="S6623" i="1"/>
  <c r="T6623" i="1"/>
  <c r="R6624" i="1"/>
  <c r="S6624" i="1"/>
  <c r="T6624" i="1"/>
  <c r="R6625" i="1"/>
  <c r="S6625" i="1"/>
  <c r="T6625" i="1"/>
  <c r="R6626" i="1"/>
  <c r="S6626" i="1"/>
  <c r="T6626" i="1"/>
  <c r="R6627" i="1"/>
  <c r="S6627" i="1"/>
  <c r="T6627" i="1"/>
  <c r="R6628" i="1"/>
  <c r="S6628" i="1"/>
  <c r="T6628" i="1"/>
  <c r="R6629" i="1"/>
  <c r="S6629" i="1"/>
  <c r="T6629" i="1"/>
  <c r="R6630" i="1"/>
  <c r="S6630" i="1"/>
  <c r="T6630" i="1"/>
  <c r="R6631" i="1"/>
  <c r="S6631" i="1"/>
  <c r="T6631" i="1"/>
  <c r="R6632" i="1"/>
  <c r="S6632" i="1"/>
  <c r="T6632" i="1"/>
  <c r="R6633" i="1"/>
  <c r="S6633" i="1"/>
  <c r="T6633" i="1"/>
  <c r="R6634" i="1"/>
  <c r="S6634" i="1"/>
  <c r="T6634" i="1"/>
  <c r="R6635" i="1"/>
  <c r="S6635" i="1"/>
  <c r="T6635" i="1"/>
  <c r="R6636" i="1"/>
  <c r="S6636" i="1"/>
  <c r="T6636" i="1"/>
  <c r="R6637" i="1"/>
  <c r="S6637" i="1"/>
  <c r="T6637" i="1"/>
  <c r="R6638" i="1"/>
  <c r="S6638" i="1"/>
  <c r="T6638" i="1"/>
  <c r="R6639" i="1"/>
  <c r="S6639" i="1"/>
  <c r="T6639" i="1"/>
  <c r="R6640" i="1"/>
  <c r="S6640" i="1"/>
  <c r="T6640" i="1"/>
  <c r="R6641" i="1"/>
  <c r="S6641" i="1"/>
  <c r="T6641" i="1"/>
  <c r="R6642" i="1"/>
  <c r="S6642" i="1"/>
  <c r="T6642" i="1"/>
  <c r="R6643" i="1"/>
  <c r="S6643" i="1"/>
  <c r="T6643" i="1"/>
  <c r="R6644" i="1"/>
  <c r="S6644" i="1"/>
  <c r="T6644" i="1"/>
  <c r="R6645" i="1"/>
  <c r="S6645" i="1"/>
  <c r="T6645" i="1"/>
  <c r="R6646" i="1"/>
  <c r="S6646" i="1"/>
  <c r="T6646" i="1"/>
  <c r="R6647" i="1"/>
  <c r="S6647" i="1"/>
  <c r="T6647" i="1"/>
  <c r="R6648" i="1"/>
  <c r="S6648" i="1"/>
  <c r="T6648" i="1"/>
  <c r="R6649" i="1"/>
  <c r="S6649" i="1"/>
  <c r="T6649" i="1"/>
  <c r="R6650" i="1"/>
  <c r="S6650" i="1"/>
  <c r="T6650" i="1"/>
  <c r="R6651" i="1"/>
  <c r="S6651" i="1"/>
  <c r="T6651" i="1"/>
  <c r="R6652" i="1"/>
  <c r="S6652" i="1"/>
  <c r="T6652" i="1"/>
  <c r="R6653" i="1"/>
  <c r="S6653" i="1"/>
  <c r="T6653" i="1"/>
  <c r="R6654" i="1"/>
  <c r="S6654" i="1"/>
  <c r="T6654" i="1"/>
  <c r="R6655" i="1"/>
  <c r="S6655" i="1"/>
  <c r="T6655" i="1"/>
  <c r="R6656" i="1"/>
  <c r="S6656" i="1"/>
  <c r="T6656" i="1"/>
  <c r="R6657" i="1"/>
  <c r="S6657" i="1"/>
  <c r="T6657" i="1"/>
  <c r="R6658" i="1"/>
  <c r="S6658" i="1"/>
  <c r="T6658" i="1"/>
  <c r="R6659" i="1"/>
  <c r="S6659" i="1"/>
  <c r="T6659" i="1"/>
  <c r="R6660" i="1"/>
  <c r="S6660" i="1"/>
  <c r="T6660" i="1"/>
  <c r="R6661" i="1"/>
  <c r="S6661" i="1"/>
  <c r="T6661" i="1"/>
  <c r="R6662" i="1"/>
  <c r="S6662" i="1"/>
  <c r="T6662" i="1"/>
  <c r="R6663" i="1"/>
  <c r="S6663" i="1"/>
  <c r="T6663" i="1"/>
  <c r="R6664" i="1"/>
  <c r="S6664" i="1"/>
  <c r="T6664" i="1"/>
  <c r="R6665" i="1"/>
  <c r="S6665" i="1"/>
  <c r="T6665" i="1"/>
  <c r="R6666" i="1"/>
  <c r="S6666" i="1"/>
  <c r="T6666" i="1"/>
  <c r="R6667" i="1"/>
  <c r="S6667" i="1"/>
  <c r="T6667" i="1"/>
  <c r="R6668" i="1"/>
  <c r="S6668" i="1"/>
  <c r="T6668" i="1"/>
  <c r="R6669" i="1"/>
  <c r="S6669" i="1"/>
  <c r="T6669" i="1"/>
  <c r="R6670" i="1"/>
  <c r="S6670" i="1"/>
  <c r="T6670" i="1"/>
  <c r="R6671" i="1"/>
  <c r="S6671" i="1"/>
  <c r="T6671" i="1"/>
  <c r="R6672" i="1"/>
  <c r="S6672" i="1"/>
  <c r="T6672" i="1"/>
  <c r="R6673" i="1"/>
  <c r="S6673" i="1"/>
  <c r="T6673" i="1"/>
  <c r="R6674" i="1"/>
  <c r="S6674" i="1"/>
  <c r="T6674" i="1"/>
  <c r="R6675" i="1"/>
  <c r="S6675" i="1"/>
  <c r="T6675" i="1"/>
  <c r="R6676" i="1"/>
  <c r="S6676" i="1"/>
  <c r="T6676" i="1"/>
  <c r="R6677" i="1"/>
  <c r="S6677" i="1"/>
  <c r="T6677" i="1"/>
  <c r="R6678" i="1"/>
  <c r="S6678" i="1"/>
  <c r="T6678" i="1"/>
  <c r="R6679" i="1"/>
  <c r="S6679" i="1"/>
  <c r="T6679" i="1"/>
  <c r="R6680" i="1"/>
  <c r="S6680" i="1"/>
  <c r="T6680" i="1"/>
  <c r="R6681" i="1"/>
  <c r="S6681" i="1"/>
  <c r="T6681" i="1"/>
  <c r="R6682" i="1"/>
  <c r="S6682" i="1"/>
  <c r="T6682" i="1"/>
  <c r="R6683" i="1"/>
  <c r="S6683" i="1"/>
  <c r="T6683" i="1"/>
  <c r="R6684" i="1"/>
  <c r="S6684" i="1"/>
  <c r="T6684" i="1"/>
  <c r="R6685" i="1"/>
  <c r="S6685" i="1"/>
  <c r="T6685" i="1"/>
  <c r="R6686" i="1"/>
  <c r="S6686" i="1"/>
  <c r="T6686" i="1"/>
  <c r="R6687" i="1"/>
  <c r="S6687" i="1"/>
  <c r="T6687" i="1"/>
  <c r="R6688" i="1"/>
  <c r="S6688" i="1"/>
  <c r="T6688" i="1"/>
  <c r="R6689" i="1"/>
  <c r="S6689" i="1"/>
  <c r="T6689" i="1"/>
  <c r="R6690" i="1"/>
  <c r="S6690" i="1"/>
  <c r="T6690" i="1"/>
  <c r="R6691" i="1"/>
  <c r="S6691" i="1"/>
  <c r="T6691" i="1"/>
  <c r="R6692" i="1"/>
  <c r="S6692" i="1"/>
  <c r="T6692" i="1"/>
  <c r="R6693" i="1"/>
  <c r="S6693" i="1"/>
  <c r="T6693" i="1"/>
  <c r="R6694" i="1"/>
  <c r="S6694" i="1"/>
  <c r="T6694" i="1"/>
  <c r="R6695" i="1"/>
  <c r="S6695" i="1"/>
  <c r="T6695" i="1"/>
  <c r="R6696" i="1"/>
  <c r="S6696" i="1"/>
  <c r="T6696" i="1"/>
  <c r="R6697" i="1"/>
  <c r="S6697" i="1"/>
  <c r="T6697" i="1"/>
  <c r="R6698" i="1"/>
  <c r="S6698" i="1"/>
  <c r="T6698" i="1"/>
  <c r="R6699" i="1"/>
  <c r="S6699" i="1"/>
  <c r="T6699" i="1"/>
  <c r="R6700" i="1"/>
  <c r="S6700" i="1"/>
  <c r="T6700" i="1"/>
  <c r="R6701" i="1"/>
  <c r="S6701" i="1"/>
  <c r="T6701" i="1"/>
  <c r="R6702" i="1"/>
  <c r="S6702" i="1"/>
  <c r="T6702" i="1"/>
  <c r="R6703" i="1"/>
  <c r="S6703" i="1"/>
  <c r="T6703" i="1"/>
  <c r="R6704" i="1"/>
  <c r="S6704" i="1"/>
  <c r="T6704" i="1"/>
  <c r="R6705" i="1"/>
  <c r="S6705" i="1"/>
  <c r="T6705" i="1"/>
  <c r="R6706" i="1"/>
  <c r="S6706" i="1"/>
  <c r="T6706" i="1"/>
  <c r="R6707" i="1"/>
  <c r="S6707" i="1"/>
  <c r="T6707" i="1"/>
  <c r="T3" i="1"/>
  <c r="T4" i="1"/>
  <c r="T5" i="1"/>
  <c r="T6" i="1"/>
  <c r="T7" i="1"/>
  <c r="T8" i="1"/>
  <c r="T9" i="1"/>
  <c r="T10" i="1"/>
  <c r="T11" i="1"/>
  <c r="T2" i="1"/>
  <c r="H9" i="1"/>
  <c r="R21" i="1"/>
  <c r="R22" i="1"/>
  <c r="R23" i="1"/>
  <c r="R24" i="1"/>
  <c r="H25" i="1"/>
  <c r="R25" i="1"/>
  <c r="H26" i="1"/>
  <c r="R26" i="1"/>
  <c r="R27" i="1"/>
  <c r="H28" i="1"/>
  <c r="R28" i="1"/>
  <c r="R31" i="1"/>
  <c r="R32" i="1"/>
  <c r="R33" i="1"/>
  <c r="R35" i="1"/>
  <c r="R36" i="1"/>
  <c r="R37" i="1"/>
  <c r="R38" i="1"/>
  <c r="H39" i="1"/>
  <c r="R39" i="1"/>
  <c r="H40" i="1"/>
  <c r="R40" i="1"/>
  <c r="H41" i="1"/>
  <c r="R41" i="1"/>
  <c r="H42" i="1"/>
  <c r="R42" i="1"/>
  <c r="H43" i="1"/>
  <c r="R43" i="1"/>
  <c r="H44" i="1"/>
  <c r="R44" i="1"/>
  <c r="H45" i="1"/>
  <c r="R45" i="1"/>
  <c r="R46" i="1"/>
  <c r="H47" i="1"/>
  <c r="R47" i="1"/>
  <c r="H48" i="1"/>
  <c r="R48" i="1"/>
  <c r="R50" i="1"/>
  <c r="R51" i="1"/>
  <c r="R52" i="1"/>
  <c r="R53" i="1"/>
  <c r="R54" i="1"/>
  <c r="R55" i="1"/>
  <c r="R56" i="1"/>
  <c r="R57" i="1"/>
  <c r="R58" i="1"/>
  <c r="R59" i="1"/>
  <c r="R62" i="1"/>
  <c r="R63" i="1"/>
  <c r="R60" i="1"/>
  <c r="R61" i="1"/>
  <c r="R65" i="1"/>
  <c r="R67" i="1"/>
  <c r="R68" i="1"/>
  <c r="R69" i="1"/>
  <c r="R70" i="1"/>
  <c r="R71" i="1"/>
  <c r="H72" i="1"/>
  <c r="R72" i="1"/>
  <c r="H73" i="1"/>
  <c r="R73" i="1"/>
  <c r="R74" i="1"/>
  <c r="R49" i="1"/>
  <c r="R76" i="1"/>
  <c r="R78" i="1"/>
  <c r="R79" i="1"/>
  <c r="R80" i="1"/>
  <c r="R81" i="1"/>
  <c r="R82" i="1"/>
  <c r="H29" i="1"/>
  <c r="R29" i="1"/>
  <c r="R83" i="1"/>
  <c r="H84" i="1"/>
  <c r="R84" i="1"/>
  <c r="R34" i="1"/>
  <c r="R77" i="1"/>
  <c r="H85" i="1"/>
  <c r="R85" i="1"/>
  <c r="R86" i="1"/>
  <c r="R87" i="1"/>
  <c r="R88" i="1"/>
  <c r="R89" i="1"/>
  <c r="H90" i="1"/>
  <c r="R90" i="1"/>
  <c r="H91" i="1"/>
  <c r="R91" i="1"/>
  <c r="H92" i="1"/>
  <c r="R92" i="1"/>
  <c r="H93" i="1"/>
  <c r="R93" i="1"/>
  <c r="R94" i="1"/>
  <c r="R95" i="1"/>
  <c r="R96" i="1"/>
  <c r="R97" i="1"/>
  <c r="R98" i="1"/>
  <c r="R99" i="1"/>
  <c r="R100" i="1"/>
  <c r="R101" i="1"/>
  <c r="R102" i="1"/>
  <c r="R103" i="1"/>
  <c r="H104" i="1"/>
  <c r="R104" i="1"/>
  <c r="R105" i="1"/>
  <c r="R106" i="1"/>
  <c r="H107" i="1"/>
  <c r="R107" i="1"/>
  <c r="R108" i="1"/>
  <c r="R179" i="1"/>
  <c r="R190" i="1"/>
  <c r="R201" i="1"/>
  <c r="H211" i="1"/>
  <c r="R211" i="1"/>
  <c r="R221" i="1"/>
  <c r="R232" i="1"/>
  <c r="R243" i="1"/>
  <c r="R254" i="1"/>
  <c r="H265" i="1"/>
  <c r="R265" i="1"/>
  <c r="R276" i="1"/>
  <c r="R287" i="1"/>
  <c r="R298" i="1"/>
  <c r="R309" i="1"/>
  <c r="R320" i="1"/>
  <c r="R331" i="1"/>
  <c r="R342" i="1"/>
  <c r="R353" i="1"/>
  <c r="R364" i="1"/>
  <c r="H375" i="1"/>
  <c r="R375" i="1"/>
  <c r="R386" i="1"/>
  <c r="R397" i="1"/>
  <c r="R408" i="1"/>
  <c r="R419" i="1"/>
  <c r="R430" i="1"/>
  <c r="R441" i="1"/>
  <c r="R452" i="1"/>
  <c r="R463" i="1"/>
  <c r="R474" i="1"/>
  <c r="R485" i="1"/>
  <c r="R496" i="1"/>
  <c r="R507" i="1"/>
  <c r="R518" i="1"/>
  <c r="H529" i="1"/>
  <c r="R529" i="1"/>
  <c r="R540" i="1"/>
  <c r="R551" i="1"/>
  <c r="R562" i="1"/>
  <c r="R573" i="1"/>
  <c r="R584" i="1"/>
  <c r="R595" i="1"/>
  <c r="R606" i="1"/>
  <c r="R615" i="1"/>
  <c r="R626" i="1"/>
  <c r="R637" i="1"/>
  <c r="R648" i="1"/>
  <c r="R659" i="1"/>
  <c r="R670" i="1"/>
  <c r="R681" i="1"/>
  <c r="R692" i="1"/>
  <c r="R703" i="1"/>
  <c r="R714" i="1"/>
  <c r="R725" i="1"/>
  <c r="R736" i="1"/>
  <c r="R747" i="1"/>
  <c r="R758" i="1"/>
  <c r="H769" i="1"/>
  <c r="R769" i="1"/>
  <c r="H780" i="1"/>
  <c r="R780" i="1"/>
  <c r="H791" i="1"/>
  <c r="R791" i="1"/>
  <c r="H802" i="1"/>
  <c r="R802" i="1"/>
  <c r="H813" i="1"/>
  <c r="R813" i="1"/>
  <c r="H824" i="1"/>
  <c r="R824" i="1"/>
  <c r="H835" i="1"/>
  <c r="R835" i="1"/>
  <c r="H846" i="1"/>
  <c r="R846" i="1"/>
  <c r="H857" i="1"/>
  <c r="R857" i="1"/>
  <c r="H868" i="1"/>
  <c r="R868" i="1"/>
  <c r="H879" i="1"/>
  <c r="R879" i="1"/>
  <c r="H890" i="1"/>
  <c r="R890" i="1"/>
  <c r="H901" i="1"/>
  <c r="R901" i="1"/>
  <c r="H912" i="1"/>
  <c r="R912" i="1"/>
  <c r="H923" i="1"/>
  <c r="R923" i="1"/>
  <c r="H934" i="1"/>
  <c r="R934" i="1"/>
  <c r="H945" i="1"/>
  <c r="R945" i="1"/>
  <c r="H956" i="1"/>
  <c r="R956" i="1"/>
  <c r="H967" i="1"/>
  <c r="R967" i="1"/>
  <c r="H978" i="1"/>
  <c r="R978" i="1"/>
  <c r="H989" i="1"/>
  <c r="R989" i="1"/>
  <c r="H1000" i="1"/>
  <c r="R1000" i="1"/>
  <c r="H1011" i="1"/>
  <c r="R1011" i="1"/>
  <c r="H1022" i="1"/>
  <c r="R1022" i="1"/>
  <c r="H1033" i="1"/>
  <c r="R1033" i="1"/>
  <c r="H1044" i="1"/>
  <c r="R1044" i="1"/>
  <c r="H1055" i="1"/>
  <c r="R1055" i="1"/>
  <c r="H1066" i="1"/>
  <c r="R1066" i="1"/>
  <c r="H1077" i="1"/>
  <c r="R1077" i="1"/>
  <c r="H1088" i="1"/>
  <c r="R1088" i="1"/>
  <c r="H1099" i="1"/>
  <c r="R1099" i="1"/>
  <c r="H1110" i="1"/>
  <c r="R1110" i="1"/>
  <c r="H1121" i="1"/>
  <c r="R1121" i="1"/>
  <c r="H1132" i="1"/>
  <c r="R1132" i="1"/>
  <c r="H1143" i="1"/>
  <c r="R1143" i="1"/>
  <c r="H1154" i="1"/>
  <c r="R1154" i="1"/>
  <c r="H1165" i="1"/>
  <c r="R1165" i="1"/>
  <c r="H1176" i="1"/>
  <c r="R1176" i="1"/>
  <c r="H1187" i="1"/>
  <c r="R1187" i="1"/>
  <c r="H1198" i="1"/>
  <c r="R1198" i="1"/>
  <c r="H1200" i="1"/>
  <c r="R1200" i="1"/>
  <c r="H1201" i="1"/>
  <c r="R1201" i="1"/>
  <c r="H1202" i="1"/>
  <c r="R1202" i="1"/>
  <c r="H1203" i="1"/>
  <c r="R1203" i="1"/>
  <c r="H1204" i="1"/>
  <c r="R1204" i="1"/>
  <c r="H1205" i="1"/>
  <c r="R1205" i="1"/>
  <c r="H1206" i="1"/>
  <c r="R1206" i="1"/>
  <c r="H1207" i="1"/>
  <c r="R1207" i="1"/>
  <c r="H1208" i="1"/>
  <c r="R1208" i="1"/>
  <c r="H1209" i="1"/>
  <c r="R1209" i="1"/>
  <c r="H1210" i="1"/>
  <c r="R1210" i="1"/>
  <c r="H1211" i="1"/>
  <c r="R1211" i="1"/>
  <c r="H1212" i="1"/>
  <c r="R1212" i="1"/>
  <c r="H1213" i="1"/>
  <c r="R1213" i="1"/>
  <c r="H1214" i="1"/>
  <c r="R1214" i="1"/>
  <c r="H1215" i="1"/>
  <c r="R1215" i="1"/>
  <c r="H1216" i="1"/>
  <c r="R1216" i="1"/>
  <c r="H1217" i="1"/>
  <c r="R1217" i="1"/>
  <c r="H1218" i="1"/>
  <c r="R1218" i="1"/>
  <c r="H1219" i="1"/>
  <c r="R1219" i="1"/>
  <c r="H1220" i="1"/>
  <c r="R1220" i="1"/>
  <c r="H1221" i="1"/>
  <c r="R1221" i="1"/>
  <c r="H1222" i="1"/>
  <c r="R1222" i="1"/>
  <c r="H1223" i="1"/>
  <c r="R1223" i="1"/>
  <c r="H1224" i="1"/>
  <c r="R1224" i="1"/>
  <c r="H1225" i="1"/>
  <c r="R1225" i="1"/>
  <c r="H1226" i="1"/>
  <c r="R1226" i="1"/>
  <c r="H1227" i="1"/>
  <c r="R1227" i="1"/>
  <c r="H1228" i="1"/>
  <c r="R1228" i="1"/>
  <c r="H1229" i="1"/>
  <c r="R1229" i="1"/>
  <c r="H1230" i="1"/>
  <c r="R1230" i="1"/>
  <c r="H1231" i="1"/>
  <c r="R1231" i="1"/>
  <c r="H1232" i="1"/>
  <c r="R1232" i="1"/>
  <c r="H1233" i="1"/>
  <c r="R1233" i="1"/>
  <c r="H1234" i="1"/>
  <c r="R1234" i="1"/>
  <c r="H1235" i="1"/>
  <c r="R1235" i="1"/>
  <c r="H1236" i="1"/>
  <c r="R1236" i="1"/>
  <c r="H1237" i="1"/>
  <c r="R1237" i="1"/>
  <c r="H1238" i="1"/>
  <c r="R1238" i="1"/>
  <c r="H1239" i="1"/>
  <c r="R1239" i="1"/>
  <c r="H1240" i="1"/>
  <c r="R1240" i="1"/>
  <c r="H1241" i="1"/>
  <c r="R1241" i="1"/>
  <c r="H1242" i="1"/>
  <c r="R1242" i="1"/>
  <c r="H1243" i="1"/>
  <c r="R1243" i="1"/>
  <c r="H1244" i="1"/>
  <c r="R1244" i="1"/>
  <c r="H1245" i="1"/>
  <c r="R1245" i="1"/>
  <c r="H1246" i="1"/>
  <c r="R1246" i="1"/>
  <c r="H1247" i="1"/>
  <c r="R1247" i="1"/>
  <c r="H1248" i="1"/>
  <c r="R1248" i="1"/>
  <c r="H1249" i="1"/>
  <c r="R1249" i="1"/>
  <c r="H1250" i="1"/>
  <c r="R1250" i="1"/>
  <c r="H1251" i="1"/>
  <c r="R1251" i="1"/>
  <c r="H1252" i="1"/>
  <c r="R1252" i="1"/>
  <c r="H1253" i="1"/>
  <c r="R1253" i="1"/>
  <c r="H1254" i="1"/>
  <c r="R1254" i="1"/>
  <c r="H1255" i="1"/>
  <c r="R1255" i="1"/>
  <c r="H1256" i="1"/>
  <c r="R1256" i="1"/>
  <c r="H1257" i="1"/>
  <c r="R1257" i="1"/>
  <c r="H1258" i="1"/>
  <c r="R1258" i="1"/>
  <c r="H1259" i="1"/>
  <c r="R1259" i="1"/>
  <c r="H1260" i="1"/>
  <c r="R1260" i="1"/>
  <c r="H1261" i="1"/>
  <c r="R1261" i="1"/>
  <c r="H1262" i="1"/>
  <c r="R1262" i="1"/>
  <c r="H1263" i="1"/>
  <c r="R1263" i="1"/>
  <c r="H1264" i="1"/>
  <c r="R1264" i="1"/>
  <c r="H1265" i="1"/>
  <c r="R1265" i="1"/>
  <c r="H1266" i="1"/>
  <c r="R1266" i="1"/>
  <c r="H1267" i="1"/>
  <c r="R1267" i="1"/>
  <c r="H1268" i="1"/>
  <c r="R1268" i="1"/>
  <c r="H1269" i="1"/>
  <c r="R1269" i="1"/>
  <c r="H1270" i="1"/>
  <c r="R1270" i="1"/>
  <c r="H1271" i="1"/>
  <c r="R1271" i="1"/>
  <c r="H1272" i="1"/>
  <c r="R1272" i="1"/>
  <c r="H1273" i="1"/>
  <c r="R1273" i="1"/>
  <c r="H1274" i="1"/>
  <c r="R1274" i="1"/>
  <c r="H1275" i="1"/>
  <c r="R1275" i="1"/>
  <c r="H1276" i="1"/>
  <c r="R1276" i="1"/>
  <c r="H1277" i="1"/>
  <c r="R1277" i="1"/>
  <c r="H1278" i="1"/>
  <c r="R1278" i="1"/>
  <c r="H1279" i="1"/>
  <c r="R1279" i="1"/>
  <c r="H1280" i="1"/>
  <c r="R1280" i="1"/>
  <c r="H1281" i="1"/>
  <c r="R1281" i="1"/>
  <c r="H1282" i="1"/>
  <c r="R1282" i="1"/>
  <c r="H1283" i="1"/>
  <c r="R1283" i="1"/>
  <c r="H1284" i="1"/>
  <c r="R1284" i="1"/>
  <c r="H1285" i="1"/>
  <c r="R1285" i="1"/>
  <c r="H1286" i="1"/>
  <c r="R1286" i="1"/>
  <c r="H1287" i="1"/>
  <c r="R1287" i="1"/>
  <c r="H1288" i="1"/>
  <c r="R1288" i="1"/>
  <c r="H1289" i="1"/>
  <c r="R1289" i="1"/>
  <c r="H1290" i="1"/>
  <c r="R1290" i="1"/>
  <c r="H1291" i="1"/>
  <c r="R1291" i="1"/>
  <c r="H1292" i="1"/>
  <c r="R1292" i="1"/>
  <c r="H1293" i="1"/>
  <c r="R1293" i="1"/>
  <c r="H1294" i="1"/>
  <c r="R1294" i="1"/>
  <c r="H1295" i="1"/>
  <c r="R1295" i="1"/>
  <c r="H1296" i="1"/>
  <c r="R1296" i="1"/>
  <c r="H1297" i="1"/>
  <c r="R1297" i="1"/>
  <c r="H1298" i="1"/>
  <c r="R1298" i="1"/>
  <c r="H1299" i="1"/>
  <c r="R1299" i="1"/>
  <c r="H1300" i="1"/>
  <c r="R1300" i="1"/>
  <c r="H1301" i="1"/>
  <c r="R1301" i="1"/>
  <c r="H1302" i="1"/>
  <c r="R1302" i="1"/>
  <c r="H1303" i="1"/>
  <c r="R1303" i="1"/>
  <c r="H1304" i="1"/>
  <c r="R1304" i="1"/>
  <c r="H1305" i="1"/>
  <c r="R1305" i="1"/>
  <c r="H1306" i="1"/>
  <c r="R1306" i="1"/>
  <c r="H1307" i="1"/>
  <c r="R1307" i="1"/>
  <c r="H1308" i="1"/>
  <c r="R1308" i="1"/>
  <c r="H1309" i="1"/>
  <c r="R1309" i="1"/>
  <c r="H1310" i="1"/>
  <c r="R1310" i="1"/>
  <c r="H1311" i="1"/>
  <c r="R1311" i="1"/>
  <c r="H1312" i="1"/>
  <c r="R1312" i="1"/>
  <c r="H1313" i="1"/>
  <c r="R1313" i="1"/>
  <c r="H1314" i="1"/>
  <c r="R1314" i="1"/>
  <c r="H1315" i="1"/>
  <c r="R1315" i="1"/>
  <c r="H1316" i="1"/>
  <c r="R1316" i="1"/>
  <c r="H1317" i="1"/>
  <c r="R1317" i="1"/>
  <c r="H1318" i="1"/>
  <c r="R1318" i="1"/>
  <c r="H1319" i="1"/>
  <c r="R1319" i="1"/>
  <c r="H1320" i="1"/>
  <c r="R1320" i="1"/>
  <c r="H1321" i="1"/>
  <c r="R1321" i="1"/>
  <c r="H1322" i="1"/>
  <c r="R1322" i="1"/>
  <c r="H1323" i="1"/>
  <c r="R1323" i="1"/>
  <c r="H1324" i="1"/>
  <c r="R1324" i="1"/>
  <c r="H1325" i="1"/>
  <c r="R1325" i="1"/>
  <c r="H1326" i="1"/>
  <c r="R1326" i="1"/>
  <c r="H1327" i="1"/>
  <c r="R1327" i="1"/>
  <c r="H1328" i="1"/>
  <c r="R1328" i="1"/>
  <c r="H1329" i="1"/>
  <c r="R1329" i="1"/>
  <c r="H1330" i="1"/>
  <c r="R1330" i="1"/>
  <c r="H1331" i="1"/>
  <c r="R1331" i="1"/>
  <c r="H1332" i="1"/>
  <c r="R1332" i="1"/>
  <c r="H1333" i="1"/>
  <c r="R1333" i="1"/>
  <c r="H1334" i="1"/>
  <c r="R1334" i="1"/>
  <c r="H1335" i="1"/>
  <c r="R1335" i="1"/>
  <c r="H1336" i="1"/>
  <c r="R1336" i="1"/>
  <c r="H1337" i="1"/>
  <c r="R1337" i="1"/>
  <c r="H1338" i="1"/>
  <c r="R1338" i="1"/>
  <c r="H1339" i="1"/>
  <c r="R1339" i="1"/>
  <c r="H1340" i="1"/>
  <c r="R1340" i="1"/>
  <c r="H1341" i="1"/>
  <c r="R1341" i="1"/>
  <c r="H1342" i="1"/>
  <c r="R1342" i="1"/>
  <c r="H1343" i="1"/>
  <c r="R1343" i="1"/>
  <c r="H1344" i="1"/>
  <c r="R1344" i="1"/>
  <c r="H1345" i="1"/>
  <c r="R1345" i="1"/>
  <c r="H1346" i="1"/>
  <c r="R1346" i="1"/>
  <c r="H1347" i="1"/>
  <c r="R1347" i="1"/>
  <c r="H1348" i="1"/>
  <c r="R1348" i="1"/>
  <c r="H1349" i="1"/>
  <c r="R1349" i="1"/>
  <c r="H1350" i="1"/>
  <c r="R1350" i="1"/>
  <c r="H1351" i="1"/>
  <c r="R1351" i="1"/>
  <c r="H1352" i="1"/>
  <c r="R1352" i="1"/>
  <c r="H1353" i="1"/>
  <c r="R1353" i="1"/>
  <c r="H1354" i="1"/>
  <c r="R1354" i="1"/>
  <c r="H1355" i="1"/>
  <c r="R1355" i="1"/>
  <c r="H1356" i="1"/>
  <c r="R1356" i="1"/>
  <c r="H1357" i="1"/>
  <c r="R1357" i="1"/>
  <c r="H1358" i="1"/>
  <c r="R1358" i="1"/>
  <c r="H1359" i="1"/>
  <c r="R1359" i="1"/>
  <c r="H1360" i="1"/>
  <c r="R1360" i="1"/>
  <c r="H1361" i="1"/>
  <c r="R1361" i="1"/>
  <c r="H1362" i="1"/>
  <c r="R1362" i="1"/>
  <c r="H1363" i="1"/>
  <c r="R1363" i="1"/>
  <c r="H1364" i="1"/>
  <c r="R1364" i="1"/>
  <c r="H1365" i="1"/>
  <c r="R1365" i="1"/>
  <c r="H1366" i="1"/>
  <c r="R1366" i="1"/>
  <c r="H1367" i="1"/>
  <c r="R1367" i="1"/>
  <c r="H1368" i="1"/>
  <c r="R1368" i="1"/>
  <c r="H1369" i="1"/>
  <c r="R1369" i="1"/>
  <c r="H1370" i="1"/>
  <c r="R1370" i="1"/>
  <c r="H1371" i="1"/>
  <c r="R1371" i="1"/>
  <c r="H1372" i="1"/>
  <c r="R1372" i="1"/>
  <c r="H1373" i="1"/>
  <c r="R1373" i="1"/>
  <c r="H1374" i="1"/>
  <c r="R1374" i="1"/>
  <c r="H1375" i="1"/>
  <c r="R1375" i="1"/>
  <c r="H1376" i="1"/>
  <c r="R1376" i="1"/>
  <c r="H1377" i="1"/>
  <c r="R1377" i="1"/>
  <c r="H1378" i="1"/>
  <c r="R1378" i="1"/>
  <c r="H1379" i="1"/>
  <c r="R1379" i="1"/>
  <c r="H1380" i="1"/>
  <c r="R1380" i="1"/>
  <c r="H1381" i="1"/>
  <c r="R1381" i="1"/>
  <c r="H1382" i="1"/>
  <c r="R1382" i="1"/>
  <c r="H1383" i="1"/>
  <c r="R1383" i="1"/>
  <c r="H1384" i="1"/>
  <c r="R1384" i="1"/>
  <c r="H1385" i="1"/>
  <c r="R1385" i="1"/>
  <c r="H1386" i="1"/>
  <c r="R1386" i="1"/>
  <c r="H1387" i="1"/>
  <c r="R1387" i="1"/>
  <c r="H1388" i="1"/>
  <c r="R1388" i="1"/>
  <c r="H1389" i="1"/>
  <c r="R1389" i="1"/>
  <c r="H1390" i="1"/>
  <c r="R1390" i="1"/>
  <c r="H1391" i="1"/>
  <c r="R1391" i="1"/>
  <c r="H1392" i="1"/>
  <c r="R1392" i="1"/>
  <c r="H1393" i="1"/>
  <c r="R1393" i="1"/>
  <c r="H1394" i="1"/>
  <c r="R1394" i="1"/>
  <c r="H1395" i="1"/>
  <c r="R1395" i="1"/>
  <c r="H1396" i="1"/>
  <c r="R1396" i="1"/>
  <c r="H1397" i="1"/>
  <c r="R1397" i="1"/>
  <c r="H1398" i="1"/>
  <c r="R1398" i="1"/>
  <c r="H1399" i="1"/>
  <c r="R1399" i="1"/>
  <c r="H1400" i="1"/>
  <c r="R1400" i="1"/>
  <c r="H1401" i="1"/>
  <c r="R1401" i="1"/>
  <c r="H1402" i="1"/>
  <c r="R1402" i="1"/>
  <c r="H1403" i="1"/>
  <c r="R1403" i="1"/>
  <c r="H1404" i="1"/>
  <c r="R1404" i="1"/>
  <c r="H1405" i="1"/>
  <c r="R1405" i="1"/>
  <c r="H1406" i="1"/>
  <c r="R1406" i="1"/>
  <c r="H1407" i="1"/>
  <c r="R1407" i="1"/>
  <c r="H1408" i="1"/>
  <c r="R1408" i="1"/>
  <c r="H1409" i="1"/>
  <c r="R1409" i="1"/>
  <c r="H1410" i="1"/>
  <c r="R1410" i="1"/>
  <c r="H1411" i="1"/>
  <c r="R1411" i="1"/>
  <c r="H1412" i="1"/>
  <c r="R1412" i="1"/>
  <c r="H1413" i="1"/>
  <c r="R1413" i="1"/>
  <c r="H1414" i="1"/>
  <c r="R1414" i="1"/>
  <c r="H1415" i="1"/>
  <c r="R1415" i="1"/>
  <c r="H1416" i="1"/>
  <c r="R1416" i="1"/>
  <c r="H1417" i="1"/>
  <c r="R1417" i="1"/>
  <c r="H1418" i="1"/>
  <c r="R1418" i="1"/>
  <c r="H1419" i="1"/>
  <c r="R1419" i="1"/>
  <c r="H1420" i="1"/>
  <c r="R1420" i="1"/>
  <c r="H1421" i="1"/>
  <c r="R1421" i="1"/>
  <c r="H1422" i="1"/>
  <c r="R1422" i="1"/>
  <c r="H1423" i="1"/>
  <c r="R1423" i="1"/>
  <c r="H1424" i="1"/>
  <c r="R1424" i="1"/>
  <c r="H1425" i="1"/>
  <c r="R1425" i="1"/>
  <c r="H1426" i="1"/>
  <c r="R1426" i="1"/>
  <c r="H1427" i="1"/>
  <c r="R1427" i="1"/>
  <c r="H1428" i="1"/>
  <c r="R1428" i="1"/>
  <c r="H1429" i="1"/>
  <c r="R1429" i="1"/>
  <c r="H1430" i="1"/>
  <c r="R1430" i="1"/>
  <c r="H1431" i="1"/>
  <c r="R1431" i="1"/>
  <c r="H1432" i="1"/>
  <c r="R1432" i="1"/>
  <c r="H1433" i="1"/>
  <c r="R1433" i="1"/>
  <c r="H1434" i="1"/>
  <c r="R1434" i="1"/>
  <c r="H1435" i="1"/>
  <c r="R1435" i="1"/>
  <c r="H1436" i="1"/>
  <c r="R1436" i="1"/>
  <c r="H1437" i="1"/>
  <c r="R1437" i="1"/>
  <c r="H1438" i="1"/>
  <c r="R1438" i="1"/>
  <c r="H1439" i="1"/>
  <c r="R1439" i="1"/>
  <c r="H1440" i="1"/>
  <c r="R1440" i="1"/>
  <c r="H1441" i="1"/>
  <c r="R1441" i="1"/>
  <c r="H1442" i="1"/>
  <c r="R1442" i="1"/>
  <c r="H1443" i="1"/>
  <c r="R1443" i="1"/>
  <c r="H1444" i="1"/>
  <c r="R1444" i="1"/>
  <c r="H1445" i="1"/>
  <c r="R1445" i="1"/>
  <c r="H1446" i="1"/>
  <c r="R1446" i="1"/>
  <c r="H1447" i="1"/>
  <c r="R1447" i="1"/>
  <c r="H1448" i="1"/>
  <c r="R1448" i="1"/>
  <c r="H1449" i="1"/>
  <c r="R1449" i="1"/>
  <c r="H1450" i="1"/>
  <c r="R1450" i="1"/>
  <c r="H1451" i="1"/>
  <c r="R1451" i="1"/>
  <c r="H1452" i="1"/>
  <c r="R1452" i="1"/>
  <c r="H1453" i="1"/>
  <c r="R1453" i="1"/>
  <c r="H1454" i="1"/>
  <c r="R1454" i="1"/>
  <c r="H1455" i="1"/>
  <c r="R1455" i="1"/>
  <c r="H1456" i="1"/>
  <c r="R1456" i="1"/>
  <c r="H1457" i="1"/>
  <c r="R1457" i="1"/>
  <c r="H1458" i="1"/>
  <c r="R1458" i="1"/>
  <c r="H1459" i="1"/>
  <c r="R1459" i="1"/>
  <c r="H1460" i="1"/>
  <c r="R1460" i="1"/>
  <c r="H1461" i="1"/>
  <c r="R1461" i="1"/>
  <c r="H1462" i="1"/>
  <c r="R1462" i="1"/>
  <c r="H1463" i="1"/>
  <c r="R1463" i="1"/>
  <c r="H1464" i="1"/>
  <c r="R1464" i="1"/>
  <c r="H1465" i="1"/>
  <c r="R1465" i="1"/>
  <c r="H1466" i="1"/>
  <c r="R1466" i="1"/>
  <c r="H1467" i="1"/>
  <c r="R1467" i="1"/>
  <c r="H1468" i="1"/>
  <c r="R1468" i="1"/>
  <c r="H1469" i="1"/>
  <c r="R1469" i="1"/>
  <c r="H1470" i="1"/>
  <c r="R1470" i="1"/>
  <c r="H1471" i="1"/>
  <c r="R1471" i="1"/>
  <c r="H1472" i="1"/>
  <c r="R1472" i="1"/>
  <c r="H1473" i="1"/>
  <c r="R1473" i="1"/>
  <c r="H1474" i="1"/>
  <c r="R1474" i="1"/>
  <c r="H1475" i="1"/>
  <c r="R1475" i="1"/>
  <c r="H1476" i="1"/>
  <c r="R1476" i="1"/>
  <c r="H1477" i="1"/>
  <c r="R1477" i="1"/>
  <c r="H1478" i="1"/>
  <c r="R1478" i="1"/>
  <c r="H1479" i="1"/>
  <c r="R1479" i="1"/>
  <c r="H1480" i="1"/>
  <c r="R1480" i="1"/>
  <c r="H1481" i="1"/>
  <c r="R1481" i="1"/>
  <c r="H1482" i="1"/>
  <c r="R1482" i="1"/>
  <c r="H1483" i="1"/>
  <c r="R1483" i="1"/>
  <c r="H1484" i="1"/>
  <c r="R1484" i="1"/>
  <c r="H1485" i="1"/>
  <c r="R1485" i="1"/>
  <c r="H1486" i="1"/>
  <c r="R1486" i="1"/>
  <c r="H1487" i="1"/>
  <c r="R1487" i="1"/>
  <c r="H1488" i="1"/>
  <c r="R1488" i="1"/>
  <c r="H1489" i="1"/>
  <c r="R1489" i="1"/>
  <c r="H1490" i="1"/>
  <c r="R1490" i="1"/>
  <c r="H1491" i="1"/>
  <c r="R1491" i="1"/>
  <c r="H1492" i="1"/>
  <c r="R1492" i="1"/>
  <c r="H1493" i="1"/>
  <c r="R1493" i="1"/>
  <c r="H1494" i="1"/>
  <c r="R1494" i="1"/>
  <c r="H1495" i="1"/>
  <c r="R1495" i="1"/>
  <c r="H1496" i="1"/>
  <c r="R1496" i="1"/>
  <c r="H1497" i="1"/>
  <c r="R1497" i="1"/>
  <c r="H3" i="1"/>
  <c r="H4" i="1"/>
  <c r="H5" i="1"/>
  <c r="H6" i="1"/>
  <c r="H7" i="1"/>
  <c r="H8" i="1"/>
  <c r="H2" i="1"/>
  <c r="H1498" i="1"/>
  <c r="R1498" i="1"/>
  <c r="H1499" i="1"/>
  <c r="R1499" i="1"/>
  <c r="H1500" i="1"/>
  <c r="R1500" i="1"/>
  <c r="H1501" i="1"/>
  <c r="R1501" i="1"/>
  <c r="H1502" i="1"/>
  <c r="R1502" i="1"/>
  <c r="H1503" i="1"/>
  <c r="R1503" i="1"/>
  <c r="H1504" i="1"/>
  <c r="R1504" i="1"/>
  <c r="H1505" i="1"/>
  <c r="R1505" i="1"/>
  <c r="H1506" i="1"/>
  <c r="R1506" i="1"/>
  <c r="H1507" i="1"/>
  <c r="R1507" i="1"/>
  <c r="H1508" i="1"/>
  <c r="R1508" i="1"/>
  <c r="H1509" i="1"/>
  <c r="R1509" i="1"/>
  <c r="H1510" i="1"/>
  <c r="R1510" i="1"/>
  <c r="H1511" i="1"/>
  <c r="R1511" i="1"/>
  <c r="H1512" i="1"/>
  <c r="R1512" i="1"/>
  <c r="H1513" i="1"/>
  <c r="R1513" i="1"/>
  <c r="H1514" i="1"/>
  <c r="R1514" i="1"/>
  <c r="H1515" i="1"/>
  <c r="R1515" i="1"/>
  <c r="H1516" i="1"/>
  <c r="R1516" i="1"/>
  <c r="H1517" i="1"/>
  <c r="R1517" i="1"/>
  <c r="H1518" i="1"/>
  <c r="R1518" i="1"/>
  <c r="H1519" i="1"/>
  <c r="R1519" i="1"/>
  <c r="H1520" i="1"/>
  <c r="R1520" i="1"/>
  <c r="H1521" i="1"/>
  <c r="R1521" i="1"/>
  <c r="H1522" i="1"/>
  <c r="R1522" i="1"/>
  <c r="H1523" i="1"/>
  <c r="R1523" i="1"/>
  <c r="H1524" i="1"/>
  <c r="R1524" i="1"/>
  <c r="H1525" i="1"/>
  <c r="R1525" i="1"/>
  <c r="H1526" i="1"/>
  <c r="R1526" i="1"/>
  <c r="H1527" i="1"/>
  <c r="R1527" i="1"/>
  <c r="H1528" i="1"/>
  <c r="R1528" i="1"/>
  <c r="H1529" i="1"/>
  <c r="R1529" i="1"/>
  <c r="H1530" i="1"/>
  <c r="R1530" i="1"/>
  <c r="H1531" i="1"/>
  <c r="R1531" i="1"/>
  <c r="H1532" i="1"/>
  <c r="R1532" i="1"/>
  <c r="H1533" i="1"/>
  <c r="R1533" i="1"/>
  <c r="H1534" i="1"/>
  <c r="R1534" i="1"/>
  <c r="H1535" i="1"/>
  <c r="R1535" i="1"/>
  <c r="H1536" i="1"/>
  <c r="R1536" i="1"/>
  <c r="H1537" i="1"/>
  <c r="R1537" i="1"/>
  <c r="H1538" i="1"/>
  <c r="R1538" i="1"/>
  <c r="H1539" i="1"/>
  <c r="R1539" i="1"/>
  <c r="H1540" i="1"/>
  <c r="R1540" i="1"/>
  <c r="H1541" i="1"/>
  <c r="R1541" i="1"/>
  <c r="H1542" i="1"/>
  <c r="R1542" i="1"/>
  <c r="H1543" i="1"/>
  <c r="R1543" i="1"/>
  <c r="H1544" i="1"/>
  <c r="R1544" i="1"/>
  <c r="H1545" i="1"/>
  <c r="R1545" i="1"/>
  <c r="H1546" i="1"/>
  <c r="R1546" i="1"/>
  <c r="H1547" i="1"/>
  <c r="R1547" i="1"/>
  <c r="H1548" i="1"/>
  <c r="R1548" i="1"/>
  <c r="H1549" i="1"/>
  <c r="R1549" i="1"/>
  <c r="H1550" i="1"/>
  <c r="R1550" i="1"/>
  <c r="H1551" i="1"/>
  <c r="R1551" i="1"/>
  <c r="H1552" i="1"/>
  <c r="R1552" i="1"/>
  <c r="H1553" i="1"/>
  <c r="R1553" i="1"/>
  <c r="H1554" i="1"/>
  <c r="R1554" i="1"/>
  <c r="H1555" i="1"/>
  <c r="R1555" i="1"/>
  <c r="H1556" i="1"/>
  <c r="R1556" i="1"/>
  <c r="H1557" i="1"/>
  <c r="R1557" i="1"/>
  <c r="H1558" i="1"/>
  <c r="R1558" i="1"/>
  <c r="H1559" i="1"/>
  <c r="R1559" i="1"/>
  <c r="H1560" i="1"/>
  <c r="R1560" i="1"/>
  <c r="H1561" i="1"/>
  <c r="R1561" i="1"/>
  <c r="H1562" i="1"/>
  <c r="R1562" i="1"/>
  <c r="H1563" i="1"/>
  <c r="R1563" i="1"/>
  <c r="H1564" i="1"/>
  <c r="R1564" i="1"/>
  <c r="H1565" i="1"/>
  <c r="R1565" i="1"/>
  <c r="H1566" i="1"/>
  <c r="R1566" i="1"/>
  <c r="H1567" i="1"/>
  <c r="R1567" i="1"/>
  <c r="H1568" i="1"/>
  <c r="R1568" i="1"/>
  <c r="H1569" i="1"/>
  <c r="R1569" i="1"/>
  <c r="H1570" i="1"/>
  <c r="R1570" i="1"/>
  <c r="H1571" i="1"/>
  <c r="R1571" i="1"/>
  <c r="H1572" i="1"/>
  <c r="R1572" i="1"/>
  <c r="H1573" i="1"/>
  <c r="R1573" i="1"/>
  <c r="H1574" i="1"/>
  <c r="R1574" i="1"/>
  <c r="H1575" i="1"/>
  <c r="R1575" i="1"/>
  <c r="H1576" i="1"/>
  <c r="R1576" i="1"/>
  <c r="H1577" i="1"/>
  <c r="R1577" i="1"/>
  <c r="H1578" i="1"/>
  <c r="R1578" i="1"/>
  <c r="H1579" i="1"/>
  <c r="R1579" i="1"/>
  <c r="H1580" i="1"/>
  <c r="R1580" i="1"/>
  <c r="H1581" i="1"/>
  <c r="R1581" i="1"/>
  <c r="H1582" i="1"/>
  <c r="R1582" i="1"/>
  <c r="H1583" i="1"/>
  <c r="R1583" i="1"/>
  <c r="H1584" i="1"/>
  <c r="R1584" i="1"/>
  <c r="H1585" i="1"/>
  <c r="R1585" i="1"/>
  <c r="H1586" i="1"/>
  <c r="R1586" i="1"/>
  <c r="H1587" i="1"/>
  <c r="R1587" i="1"/>
  <c r="H1588" i="1"/>
  <c r="R1588" i="1"/>
  <c r="H1589" i="1"/>
  <c r="R1589" i="1"/>
  <c r="H1590" i="1"/>
  <c r="R1590" i="1"/>
  <c r="H1591" i="1"/>
  <c r="R1591" i="1"/>
  <c r="H1592" i="1"/>
  <c r="R1592" i="1"/>
  <c r="H1593" i="1"/>
  <c r="R1593" i="1"/>
  <c r="H1594" i="1"/>
  <c r="R1594" i="1"/>
  <c r="H1595" i="1"/>
  <c r="R1595" i="1"/>
  <c r="H1596" i="1"/>
  <c r="R1596" i="1"/>
  <c r="H1597" i="1"/>
  <c r="R1597" i="1"/>
  <c r="H1598" i="1"/>
  <c r="R1598" i="1"/>
  <c r="H1599" i="1"/>
  <c r="R1599" i="1"/>
  <c r="H1600" i="1"/>
  <c r="R1600" i="1"/>
  <c r="H1601" i="1"/>
  <c r="R1601" i="1"/>
  <c r="H1602" i="1"/>
  <c r="R1602" i="1"/>
  <c r="H1603" i="1"/>
  <c r="R1603" i="1"/>
  <c r="H1604" i="1"/>
  <c r="R1604" i="1"/>
  <c r="H1605" i="1"/>
  <c r="R1605" i="1"/>
  <c r="H1606" i="1"/>
  <c r="R1606" i="1"/>
  <c r="H1607" i="1"/>
  <c r="R1607" i="1"/>
  <c r="H1608" i="1"/>
  <c r="R1608" i="1"/>
  <c r="H1609" i="1"/>
  <c r="R1609" i="1"/>
  <c r="H1610" i="1"/>
  <c r="R1610" i="1"/>
  <c r="H1611" i="1"/>
  <c r="R1611" i="1"/>
  <c r="H1612" i="1"/>
  <c r="R1612" i="1"/>
  <c r="H1613" i="1"/>
  <c r="R1613" i="1"/>
  <c r="H1614" i="1"/>
  <c r="R1614" i="1"/>
  <c r="H1615" i="1"/>
  <c r="R1615" i="1"/>
  <c r="H1616" i="1"/>
  <c r="R1616" i="1"/>
  <c r="H1617" i="1"/>
  <c r="R1617" i="1"/>
  <c r="H1618" i="1"/>
  <c r="R1618" i="1"/>
  <c r="H1619" i="1"/>
  <c r="R1619" i="1"/>
  <c r="H1620" i="1"/>
  <c r="R1620" i="1"/>
  <c r="H1621" i="1"/>
  <c r="R1621" i="1"/>
  <c r="H1622" i="1"/>
  <c r="R1622" i="1"/>
  <c r="H1623" i="1"/>
  <c r="R1623" i="1"/>
  <c r="H1624" i="1"/>
  <c r="R1624" i="1"/>
  <c r="H1625" i="1"/>
  <c r="R1625" i="1"/>
  <c r="H1626" i="1"/>
  <c r="R1626" i="1"/>
  <c r="H1627" i="1"/>
  <c r="R1627" i="1"/>
  <c r="H1628" i="1"/>
  <c r="R1628" i="1"/>
  <c r="H1629" i="1"/>
  <c r="R1629" i="1"/>
  <c r="H1630" i="1"/>
  <c r="R1630" i="1"/>
  <c r="H1631" i="1"/>
  <c r="R1631" i="1"/>
  <c r="H1632" i="1"/>
  <c r="R1632" i="1"/>
  <c r="H1633" i="1"/>
  <c r="R1633" i="1"/>
  <c r="H1634" i="1"/>
  <c r="R1634" i="1"/>
  <c r="H1635" i="1"/>
  <c r="R1635" i="1"/>
  <c r="H1636" i="1"/>
  <c r="R1636" i="1"/>
  <c r="H1637" i="1"/>
  <c r="R1637" i="1"/>
  <c r="H1638" i="1"/>
  <c r="R1638" i="1"/>
  <c r="H1639" i="1"/>
  <c r="R1639" i="1"/>
  <c r="H1640" i="1"/>
  <c r="R1640" i="1"/>
  <c r="H1641" i="1"/>
  <c r="R1641" i="1"/>
  <c r="H1642" i="1"/>
  <c r="R1642" i="1"/>
  <c r="H1643" i="1"/>
  <c r="R1643" i="1"/>
  <c r="H1644" i="1"/>
  <c r="R1644" i="1"/>
  <c r="H1645" i="1"/>
  <c r="R1645" i="1"/>
  <c r="H1646" i="1"/>
  <c r="R1646" i="1"/>
  <c r="H1647" i="1"/>
  <c r="R1647" i="1"/>
  <c r="H1648" i="1"/>
  <c r="R1648" i="1"/>
  <c r="H1649" i="1"/>
  <c r="R1649" i="1"/>
  <c r="H1650" i="1"/>
  <c r="R1650" i="1"/>
  <c r="H1651" i="1"/>
  <c r="R1651" i="1"/>
  <c r="H1652" i="1"/>
  <c r="R1652" i="1"/>
  <c r="H1653" i="1"/>
  <c r="R1653" i="1"/>
  <c r="H1654" i="1"/>
  <c r="R1654" i="1"/>
  <c r="H1655" i="1"/>
  <c r="R1655" i="1"/>
  <c r="H1656" i="1"/>
  <c r="R1656" i="1"/>
  <c r="H1657" i="1"/>
  <c r="R1657" i="1"/>
  <c r="H1658" i="1"/>
  <c r="R1658" i="1"/>
  <c r="H1659" i="1"/>
  <c r="R1659" i="1"/>
  <c r="H1660" i="1"/>
  <c r="R1660" i="1"/>
  <c r="H1661" i="1"/>
  <c r="R1661" i="1"/>
  <c r="H1662" i="1"/>
  <c r="R1662" i="1"/>
  <c r="H1663" i="1"/>
  <c r="R1663" i="1"/>
  <c r="H1664" i="1"/>
  <c r="R1664" i="1"/>
  <c r="H1665" i="1"/>
  <c r="R1665" i="1"/>
  <c r="H1666" i="1"/>
  <c r="R1666" i="1"/>
  <c r="H1667" i="1"/>
  <c r="R1667" i="1"/>
  <c r="H1668" i="1"/>
  <c r="R1668" i="1"/>
  <c r="H1669" i="1"/>
  <c r="R1669" i="1"/>
  <c r="H1670" i="1"/>
  <c r="R1670" i="1"/>
  <c r="H1671" i="1"/>
  <c r="R1671" i="1"/>
  <c r="H1672" i="1"/>
  <c r="R1672" i="1"/>
  <c r="H1673" i="1"/>
  <c r="R1673" i="1"/>
  <c r="H1674" i="1"/>
  <c r="R1674" i="1"/>
  <c r="H1675" i="1"/>
  <c r="R1675" i="1"/>
  <c r="H1676" i="1"/>
  <c r="R1676" i="1"/>
  <c r="H1677" i="1"/>
  <c r="R1677" i="1"/>
  <c r="H1678" i="1"/>
  <c r="R1678" i="1"/>
  <c r="H1679" i="1"/>
  <c r="R1679" i="1"/>
  <c r="H1680" i="1"/>
  <c r="R1680" i="1"/>
  <c r="H1681" i="1"/>
  <c r="R1681" i="1"/>
  <c r="H1682" i="1"/>
  <c r="R1682" i="1"/>
  <c r="H1683" i="1"/>
  <c r="R1683" i="1"/>
  <c r="H1684" i="1"/>
  <c r="R1684" i="1"/>
  <c r="H1685" i="1"/>
  <c r="R1685" i="1"/>
  <c r="H1686" i="1"/>
  <c r="R1686" i="1"/>
  <c r="H1687" i="1"/>
  <c r="R1687" i="1"/>
  <c r="H1688" i="1"/>
  <c r="R1688" i="1"/>
  <c r="H1689" i="1"/>
  <c r="R1689" i="1"/>
  <c r="H1690" i="1"/>
  <c r="R1690" i="1"/>
  <c r="H1691" i="1"/>
  <c r="R1691" i="1"/>
  <c r="H1692" i="1"/>
  <c r="R1692" i="1"/>
  <c r="H1693" i="1"/>
  <c r="R1693" i="1"/>
  <c r="H1694" i="1"/>
  <c r="R1694" i="1"/>
  <c r="H1695" i="1"/>
  <c r="R1695" i="1"/>
  <c r="H1696" i="1"/>
  <c r="R1696" i="1"/>
  <c r="H1697" i="1"/>
  <c r="R1697" i="1"/>
  <c r="H1698" i="1"/>
  <c r="R1698" i="1"/>
  <c r="H1699" i="1"/>
  <c r="R1699" i="1"/>
  <c r="H1700" i="1"/>
  <c r="R1700" i="1"/>
  <c r="H1701" i="1"/>
  <c r="R1701" i="1"/>
  <c r="H1702" i="1"/>
  <c r="R1702" i="1"/>
  <c r="H1703" i="1"/>
  <c r="R1703" i="1"/>
  <c r="H1704" i="1"/>
  <c r="R1704" i="1"/>
  <c r="H1705" i="1"/>
  <c r="R1705" i="1"/>
  <c r="H1706" i="1"/>
  <c r="R1706" i="1"/>
  <c r="H1707" i="1"/>
  <c r="R1707" i="1"/>
  <c r="H1708" i="1"/>
  <c r="R1708" i="1"/>
  <c r="H1709" i="1"/>
  <c r="R1709" i="1"/>
  <c r="H1710" i="1"/>
  <c r="R1710" i="1"/>
  <c r="H1711" i="1"/>
  <c r="R1711" i="1"/>
  <c r="H1712" i="1"/>
  <c r="R1712" i="1"/>
  <c r="H1713" i="1"/>
  <c r="R1713" i="1"/>
  <c r="H1714" i="1"/>
  <c r="R1714" i="1"/>
  <c r="H1715" i="1"/>
  <c r="R1715" i="1"/>
  <c r="H1716" i="1"/>
  <c r="R1716" i="1"/>
  <c r="H1717" i="1"/>
  <c r="R1717" i="1"/>
  <c r="H1718" i="1"/>
  <c r="R1718" i="1"/>
  <c r="H1719" i="1"/>
  <c r="R1719" i="1"/>
  <c r="H1720" i="1"/>
  <c r="R1720" i="1"/>
  <c r="H1721" i="1"/>
  <c r="R1721" i="1"/>
  <c r="H1722" i="1"/>
  <c r="R1722" i="1"/>
  <c r="H1723" i="1"/>
  <c r="R1723" i="1"/>
  <c r="H1724" i="1"/>
  <c r="R1724" i="1"/>
  <c r="H1725" i="1"/>
  <c r="R1725" i="1"/>
  <c r="H1726" i="1"/>
  <c r="R1726" i="1"/>
  <c r="H1727" i="1"/>
  <c r="R1727" i="1"/>
  <c r="H1728" i="1"/>
  <c r="R1728" i="1"/>
  <c r="H1729" i="1"/>
  <c r="R1729" i="1"/>
  <c r="H1730" i="1"/>
  <c r="R1730" i="1"/>
  <c r="H1731" i="1"/>
  <c r="R1731" i="1"/>
  <c r="H1732" i="1"/>
  <c r="R1732" i="1"/>
  <c r="H1733" i="1"/>
  <c r="R1733" i="1"/>
  <c r="H1734" i="1"/>
  <c r="R1734" i="1"/>
  <c r="H1735" i="1"/>
  <c r="R1735" i="1"/>
  <c r="H1736" i="1"/>
  <c r="R1736" i="1"/>
  <c r="H1737" i="1"/>
  <c r="R1737" i="1"/>
  <c r="H1738" i="1"/>
  <c r="R1738" i="1"/>
  <c r="H1739" i="1"/>
  <c r="R1739" i="1"/>
  <c r="H1740" i="1"/>
  <c r="R1740" i="1"/>
  <c r="H1741" i="1"/>
  <c r="R1741" i="1"/>
  <c r="H1742" i="1"/>
  <c r="R1742" i="1"/>
  <c r="H1743" i="1"/>
  <c r="R1743" i="1"/>
  <c r="H1744" i="1"/>
  <c r="R1744" i="1"/>
  <c r="H1745" i="1"/>
  <c r="R1745" i="1"/>
  <c r="H1746" i="1"/>
  <c r="R1746" i="1"/>
  <c r="H1747" i="1"/>
  <c r="R1747" i="1"/>
  <c r="H1748" i="1"/>
  <c r="R1748" i="1"/>
  <c r="H1749" i="1"/>
  <c r="R1749" i="1"/>
  <c r="H1750" i="1"/>
  <c r="R1750" i="1"/>
  <c r="H1751" i="1"/>
  <c r="R1751" i="1"/>
  <c r="H1752" i="1"/>
  <c r="R1752" i="1"/>
  <c r="H1753" i="1"/>
  <c r="R1753" i="1"/>
  <c r="H1754" i="1"/>
  <c r="R1754" i="1"/>
  <c r="H1755" i="1"/>
  <c r="R1755" i="1"/>
  <c r="H1756" i="1"/>
  <c r="R1756" i="1"/>
  <c r="H1757" i="1"/>
  <c r="R1757" i="1"/>
  <c r="H1758" i="1"/>
  <c r="R1758" i="1"/>
  <c r="H1759" i="1"/>
  <c r="R1759" i="1"/>
  <c r="H1760" i="1"/>
  <c r="R1760" i="1"/>
  <c r="H1761" i="1"/>
  <c r="R1761" i="1"/>
  <c r="H1762" i="1"/>
  <c r="R1762" i="1"/>
  <c r="H1763" i="1"/>
  <c r="R1763" i="1"/>
  <c r="H1764" i="1"/>
  <c r="R1764" i="1"/>
  <c r="H1765" i="1"/>
  <c r="R1765" i="1"/>
  <c r="H1766" i="1"/>
  <c r="R1766" i="1"/>
  <c r="H1767" i="1"/>
  <c r="R1767" i="1"/>
  <c r="H1768" i="1"/>
  <c r="R1768" i="1"/>
  <c r="H1769" i="1"/>
  <c r="R1769" i="1"/>
  <c r="H1770" i="1"/>
  <c r="R1770" i="1"/>
  <c r="H1771" i="1"/>
  <c r="R1771" i="1"/>
  <c r="H1772" i="1"/>
  <c r="R1772" i="1"/>
  <c r="H1773" i="1"/>
  <c r="R1773" i="1"/>
  <c r="H1774" i="1"/>
  <c r="R1774" i="1"/>
  <c r="H1775" i="1"/>
  <c r="R1775" i="1"/>
  <c r="H1776" i="1"/>
  <c r="R1776" i="1"/>
  <c r="H1777" i="1"/>
  <c r="R1777" i="1"/>
  <c r="H1778" i="1"/>
  <c r="R1778" i="1"/>
  <c r="H1779" i="1"/>
  <c r="R1779" i="1"/>
  <c r="H1780" i="1"/>
  <c r="R1780" i="1"/>
  <c r="H1781" i="1"/>
  <c r="R1781" i="1"/>
  <c r="H1782" i="1"/>
  <c r="R1782" i="1"/>
  <c r="H1783" i="1"/>
  <c r="R1783" i="1"/>
  <c r="H1784" i="1"/>
  <c r="R1784" i="1"/>
  <c r="H1785" i="1"/>
  <c r="R1785" i="1"/>
  <c r="H1786" i="1"/>
  <c r="R1786" i="1"/>
  <c r="H1787" i="1"/>
  <c r="R1787" i="1"/>
  <c r="H1788" i="1"/>
  <c r="R1788" i="1"/>
  <c r="H1789" i="1"/>
  <c r="R1789" i="1"/>
  <c r="H1790" i="1"/>
  <c r="R1790" i="1"/>
  <c r="H1791" i="1"/>
  <c r="R1791" i="1"/>
  <c r="H1792" i="1"/>
  <c r="R1792" i="1"/>
  <c r="H1793" i="1"/>
  <c r="R1793" i="1"/>
  <c r="H1794" i="1"/>
  <c r="R1794" i="1"/>
  <c r="H1795" i="1"/>
  <c r="R1795" i="1"/>
  <c r="H1796" i="1"/>
  <c r="R1796" i="1"/>
  <c r="H1797" i="1"/>
  <c r="R1797" i="1"/>
  <c r="H1798" i="1"/>
  <c r="R1798" i="1"/>
  <c r="H1799" i="1"/>
  <c r="R1799" i="1"/>
  <c r="H1800" i="1"/>
  <c r="R1800" i="1"/>
  <c r="H1801" i="1"/>
  <c r="R1801" i="1"/>
  <c r="H1802" i="1"/>
  <c r="R1802" i="1"/>
  <c r="H1803" i="1"/>
  <c r="R1803" i="1"/>
  <c r="H1804" i="1"/>
  <c r="R1804" i="1"/>
  <c r="H1805" i="1"/>
  <c r="R1805" i="1"/>
  <c r="H1806" i="1"/>
  <c r="R1806" i="1"/>
  <c r="H1807" i="1"/>
  <c r="R1807" i="1"/>
  <c r="H1808" i="1"/>
  <c r="R1808" i="1"/>
  <c r="H1809" i="1"/>
  <c r="R1809" i="1"/>
  <c r="H1810" i="1"/>
  <c r="R1810" i="1"/>
  <c r="H1811" i="1"/>
  <c r="R1811" i="1"/>
  <c r="H1812" i="1"/>
  <c r="R1812" i="1"/>
  <c r="H1813" i="1"/>
  <c r="R1813" i="1"/>
  <c r="H1814" i="1"/>
  <c r="R1814" i="1"/>
  <c r="H1815" i="1"/>
  <c r="R1815" i="1"/>
  <c r="H1816" i="1"/>
  <c r="R1816" i="1"/>
  <c r="H1817" i="1"/>
  <c r="R1817" i="1"/>
  <c r="H1818" i="1"/>
  <c r="R1818" i="1"/>
  <c r="H1819" i="1"/>
  <c r="R1819" i="1"/>
  <c r="H1820" i="1"/>
  <c r="R1820" i="1"/>
  <c r="H1821" i="1"/>
  <c r="R1821" i="1"/>
  <c r="H1822" i="1"/>
  <c r="R1822" i="1"/>
  <c r="H1823" i="1"/>
  <c r="R1823" i="1"/>
  <c r="H1824" i="1"/>
  <c r="R1824" i="1"/>
  <c r="H1825" i="1"/>
  <c r="R1825" i="1"/>
  <c r="H1826" i="1"/>
  <c r="R1826" i="1"/>
  <c r="H1827" i="1"/>
  <c r="R1827" i="1"/>
  <c r="H1828" i="1"/>
  <c r="R1828" i="1"/>
  <c r="H1829" i="1"/>
  <c r="R1829" i="1"/>
  <c r="H1830" i="1"/>
  <c r="R1830" i="1"/>
  <c r="H1831" i="1"/>
  <c r="R1831" i="1"/>
  <c r="H1832" i="1"/>
  <c r="R1832" i="1"/>
  <c r="H1833" i="1"/>
  <c r="R1833" i="1"/>
  <c r="H1834" i="1"/>
  <c r="R1834" i="1"/>
  <c r="H1835" i="1"/>
  <c r="R1835" i="1"/>
  <c r="H1836" i="1"/>
  <c r="R1836" i="1"/>
  <c r="H1837" i="1"/>
  <c r="R1837" i="1"/>
  <c r="H1838" i="1"/>
  <c r="R1838" i="1"/>
  <c r="H1839" i="1"/>
  <c r="R1839" i="1"/>
  <c r="H1840" i="1"/>
  <c r="R1840" i="1"/>
  <c r="H1841" i="1"/>
  <c r="R1841" i="1"/>
  <c r="H1842" i="1"/>
  <c r="R1842" i="1"/>
  <c r="H1843" i="1"/>
  <c r="R1843" i="1"/>
  <c r="H1844" i="1"/>
  <c r="R1844" i="1"/>
  <c r="H1845" i="1"/>
  <c r="R1845" i="1"/>
  <c r="H1846" i="1"/>
  <c r="R1846" i="1"/>
  <c r="H1847" i="1"/>
  <c r="R1847" i="1"/>
  <c r="H1848" i="1"/>
  <c r="R1848" i="1"/>
  <c r="H1849" i="1"/>
  <c r="R1849" i="1"/>
  <c r="H1850" i="1"/>
  <c r="R1850" i="1"/>
  <c r="H1851" i="1"/>
  <c r="R1851" i="1"/>
  <c r="H1852" i="1"/>
  <c r="R1852" i="1"/>
  <c r="H1853" i="1"/>
  <c r="R1853" i="1"/>
  <c r="H1854" i="1"/>
  <c r="R1854" i="1"/>
  <c r="H1855" i="1"/>
  <c r="R1855" i="1"/>
  <c r="H1856" i="1"/>
  <c r="R1856" i="1"/>
  <c r="H1857" i="1"/>
  <c r="R1857" i="1"/>
  <c r="H1858" i="1"/>
  <c r="R1858" i="1"/>
  <c r="H1859" i="1"/>
  <c r="R1859" i="1"/>
  <c r="H1860" i="1"/>
  <c r="R1860" i="1"/>
  <c r="H1861" i="1"/>
  <c r="R1861" i="1"/>
  <c r="H1862" i="1"/>
  <c r="R1862" i="1"/>
  <c r="H1863" i="1"/>
  <c r="R1863" i="1"/>
  <c r="H1864" i="1"/>
  <c r="R1864" i="1"/>
  <c r="H1865" i="1"/>
  <c r="R1865" i="1"/>
  <c r="H1866" i="1"/>
  <c r="R1866" i="1"/>
  <c r="H1867" i="1"/>
  <c r="R1867" i="1"/>
  <c r="H1868" i="1"/>
  <c r="R1868" i="1"/>
  <c r="H1869" i="1"/>
  <c r="R1869" i="1"/>
  <c r="H1870" i="1"/>
  <c r="R1870" i="1"/>
  <c r="H1871" i="1"/>
  <c r="R1871" i="1"/>
  <c r="H1872" i="1"/>
  <c r="R1872" i="1"/>
  <c r="H1873" i="1"/>
  <c r="R1873" i="1"/>
  <c r="H1874" i="1"/>
  <c r="R1874" i="1"/>
  <c r="H1875" i="1"/>
  <c r="R1875" i="1"/>
  <c r="H1876" i="1"/>
  <c r="R1876" i="1"/>
  <c r="H1877" i="1"/>
  <c r="R1877" i="1"/>
  <c r="H1878" i="1"/>
  <c r="R1878" i="1"/>
  <c r="H1879" i="1"/>
  <c r="R1879" i="1"/>
  <c r="H1880" i="1"/>
  <c r="R1880" i="1"/>
  <c r="H1881" i="1"/>
  <c r="R1881" i="1"/>
  <c r="H1882" i="1"/>
  <c r="R1882" i="1"/>
  <c r="H1883" i="1"/>
  <c r="R1883" i="1"/>
  <c r="H1884" i="1"/>
  <c r="R1884" i="1"/>
  <c r="H1885" i="1"/>
  <c r="R1885" i="1"/>
  <c r="H1886" i="1"/>
  <c r="R1886" i="1"/>
  <c r="H1887" i="1"/>
  <c r="R1887" i="1"/>
  <c r="H1888" i="1"/>
  <c r="R1888" i="1"/>
  <c r="H1889" i="1"/>
  <c r="R1889" i="1"/>
  <c r="H1890" i="1"/>
  <c r="R1890" i="1"/>
  <c r="H1891" i="1"/>
  <c r="R1891" i="1"/>
  <c r="H1892" i="1"/>
  <c r="R1892" i="1"/>
  <c r="H1893" i="1"/>
  <c r="R1893" i="1"/>
  <c r="H1894" i="1"/>
  <c r="R1894" i="1"/>
  <c r="H1895" i="1"/>
  <c r="R1895" i="1"/>
  <c r="H1896" i="1"/>
  <c r="R1896" i="1"/>
  <c r="H1897" i="1"/>
  <c r="R1897" i="1"/>
  <c r="H1898" i="1"/>
  <c r="R1898" i="1"/>
  <c r="H1899" i="1"/>
  <c r="R1899" i="1"/>
  <c r="H1900" i="1"/>
  <c r="R1900" i="1"/>
  <c r="H1901" i="1"/>
  <c r="R1901" i="1"/>
  <c r="H1902" i="1"/>
  <c r="R1902" i="1"/>
  <c r="H1903" i="1"/>
  <c r="R1903" i="1"/>
  <c r="H1904" i="1"/>
  <c r="R1904" i="1"/>
  <c r="H1905" i="1"/>
  <c r="R1905" i="1"/>
  <c r="H1906" i="1"/>
  <c r="R1906" i="1"/>
  <c r="H1907" i="1"/>
  <c r="R1907" i="1"/>
  <c r="H1908" i="1"/>
  <c r="R1908" i="1"/>
  <c r="H1909" i="1"/>
  <c r="R1909" i="1"/>
  <c r="H1910" i="1"/>
  <c r="R1910" i="1"/>
  <c r="H1911" i="1"/>
  <c r="R1911" i="1"/>
  <c r="H1912" i="1"/>
  <c r="R1912" i="1"/>
  <c r="H1913" i="1"/>
  <c r="R1913" i="1"/>
  <c r="H1914" i="1"/>
  <c r="R1914" i="1"/>
  <c r="H1915" i="1"/>
  <c r="R1915" i="1"/>
  <c r="H1916" i="1"/>
  <c r="R1916" i="1"/>
  <c r="H1917" i="1"/>
  <c r="R1917" i="1"/>
  <c r="H1918" i="1"/>
  <c r="R1918" i="1"/>
  <c r="H1919" i="1"/>
  <c r="R1919" i="1"/>
  <c r="H1920" i="1"/>
  <c r="R1920" i="1"/>
  <c r="H1921" i="1"/>
  <c r="R1921" i="1"/>
  <c r="H1922" i="1"/>
  <c r="R1922" i="1"/>
  <c r="H1923" i="1"/>
  <c r="R1923" i="1"/>
  <c r="H1924" i="1"/>
  <c r="R1924" i="1"/>
  <c r="H1925" i="1"/>
  <c r="R1925" i="1"/>
  <c r="H1926" i="1"/>
  <c r="R1926" i="1"/>
  <c r="H1927" i="1"/>
  <c r="R1927" i="1"/>
  <c r="H1928" i="1"/>
  <c r="R1928" i="1"/>
  <c r="H1929" i="1"/>
  <c r="R1929" i="1"/>
  <c r="H1930" i="1"/>
  <c r="R1930" i="1"/>
  <c r="H1931" i="1"/>
  <c r="R1931" i="1"/>
  <c r="H1932" i="1"/>
  <c r="R1932" i="1"/>
  <c r="H1933" i="1"/>
  <c r="R1933" i="1"/>
  <c r="H1934" i="1"/>
  <c r="R1934" i="1"/>
  <c r="H1935" i="1"/>
  <c r="R1935" i="1"/>
  <c r="H1936" i="1"/>
  <c r="R1936" i="1"/>
  <c r="H1937" i="1"/>
  <c r="R1937" i="1"/>
  <c r="H1938" i="1"/>
  <c r="R1938" i="1"/>
  <c r="H1939" i="1"/>
  <c r="R1939" i="1"/>
  <c r="H1940" i="1"/>
  <c r="R1940" i="1"/>
  <c r="H1941" i="1"/>
  <c r="R1941" i="1"/>
  <c r="H1942" i="1"/>
  <c r="R1942" i="1"/>
  <c r="H1943" i="1"/>
  <c r="R1943" i="1"/>
  <c r="H1944" i="1"/>
  <c r="R1944" i="1"/>
  <c r="H1945" i="1"/>
  <c r="R1945" i="1"/>
  <c r="H1946" i="1"/>
  <c r="R1946" i="1"/>
  <c r="H1947" i="1"/>
  <c r="R1947" i="1"/>
  <c r="H1948" i="1"/>
  <c r="R1948" i="1"/>
  <c r="H1949" i="1"/>
  <c r="R1949" i="1"/>
  <c r="H1950" i="1"/>
  <c r="R1950" i="1"/>
  <c r="H1951" i="1"/>
  <c r="R1951" i="1"/>
  <c r="H1952" i="1"/>
  <c r="R1952" i="1"/>
  <c r="H1953" i="1"/>
  <c r="R1953" i="1"/>
  <c r="H1954" i="1"/>
  <c r="R1954" i="1"/>
  <c r="H1955" i="1"/>
  <c r="R1955" i="1"/>
  <c r="H1956" i="1"/>
  <c r="R1956" i="1"/>
  <c r="H1957" i="1"/>
  <c r="R1957" i="1"/>
  <c r="H1958" i="1"/>
  <c r="R1958" i="1"/>
  <c r="H1959" i="1"/>
  <c r="R1959" i="1"/>
  <c r="H1960" i="1"/>
  <c r="R1960" i="1"/>
  <c r="H1961" i="1"/>
  <c r="R1961" i="1"/>
  <c r="H1962" i="1"/>
  <c r="R1962" i="1"/>
  <c r="H1963" i="1"/>
  <c r="R1963" i="1"/>
  <c r="H1964" i="1"/>
  <c r="R1964" i="1"/>
  <c r="H1965" i="1"/>
  <c r="R1965" i="1"/>
  <c r="H1966" i="1"/>
  <c r="R1966" i="1"/>
  <c r="H1967" i="1"/>
  <c r="R1967" i="1"/>
  <c r="H1968" i="1"/>
  <c r="R1968" i="1"/>
  <c r="H1969" i="1"/>
  <c r="R1969" i="1"/>
  <c r="H1970" i="1"/>
  <c r="R1970" i="1"/>
  <c r="H1971" i="1"/>
  <c r="R1971" i="1"/>
  <c r="H1972" i="1"/>
  <c r="R1972" i="1"/>
  <c r="H1973" i="1"/>
  <c r="R1973" i="1"/>
  <c r="H1974" i="1"/>
  <c r="R1974" i="1"/>
  <c r="H1975" i="1"/>
  <c r="R1975" i="1"/>
  <c r="H1976" i="1"/>
  <c r="R1976" i="1"/>
  <c r="H1977" i="1"/>
  <c r="R1977" i="1"/>
  <c r="H1978" i="1"/>
  <c r="R1978" i="1"/>
  <c r="H1979" i="1"/>
  <c r="R1979" i="1"/>
  <c r="H1980" i="1"/>
  <c r="R1980" i="1"/>
  <c r="H1981" i="1"/>
  <c r="R1981" i="1"/>
  <c r="H1982" i="1"/>
  <c r="R1982" i="1"/>
  <c r="H1983" i="1"/>
  <c r="R1983" i="1"/>
  <c r="H1984" i="1"/>
  <c r="R1984" i="1"/>
  <c r="H1985" i="1"/>
  <c r="R1985" i="1"/>
  <c r="H1986" i="1"/>
  <c r="R1986" i="1"/>
  <c r="H1987" i="1"/>
  <c r="R1987" i="1"/>
  <c r="H1988" i="1"/>
  <c r="R1988" i="1"/>
  <c r="H1989" i="1"/>
  <c r="R1989" i="1"/>
  <c r="H1990" i="1"/>
  <c r="R1990" i="1"/>
  <c r="H1991" i="1"/>
  <c r="R1991" i="1"/>
  <c r="H1992" i="1"/>
  <c r="R1992" i="1"/>
  <c r="H1993" i="1"/>
  <c r="R1993" i="1"/>
  <c r="H1994" i="1"/>
  <c r="R1994" i="1"/>
  <c r="H1995" i="1"/>
  <c r="R1995" i="1"/>
  <c r="H1996" i="1"/>
  <c r="R1996" i="1"/>
  <c r="H1997" i="1"/>
  <c r="R1997" i="1"/>
  <c r="H1998" i="1"/>
  <c r="R1998" i="1"/>
  <c r="R109" i="1"/>
  <c r="R110" i="1"/>
  <c r="R111" i="1"/>
  <c r="R112" i="1"/>
  <c r="R113" i="1"/>
  <c r="H114" i="1"/>
  <c r="R114" i="1"/>
  <c r="H115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H134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80" i="1"/>
  <c r="R181" i="1"/>
  <c r="R182" i="1"/>
  <c r="R183" i="1"/>
  <c r="R184" i="1"/>
  <c r="R185" i="1"/>
  <c r="R186" i="1"/>
  <c r="R187" i="1"/>
  <c r="R188" i="1"/>
  <c r="R189" i="1"/>
  <c r="R191" i="1"/>
  <c r="R192" i="1"/>
  <c r="R193" i="1"/>
  <c r="R194" i="1"/>
  <c r="R195" i="1"/>
  <c r="R196" i="1"/>
  <c r="R197" i="1"/>
  <c r="R198" i="1"/>
  <c r="R199" i="1"/>
  <c r="R200" i="1"/>
  <c r="R202" i="1"/>
  <c r="R203" i="1"/>
  <c r="R204" i="1"/>
  <c r="R205" i="1"/>
  <c r="R206" i="1"/>
  <c r="R207" i="1"/>
  <c r="R208" i="1"/>
  <c r="R209" i="1"/>
  <c r="R210" i="1"/>
  <c r="H212" i="1"/>
  <c r="R212" i="1"/>
  <c r="R213" i="1"/>
  <c r="R214" i="1"/>
  <c r="R215" i="1"/>
  <c r="R216" i="1"/>
  <c r="R217" i="1"/>
  <c r="R218" i="1"/>
  <c r="R219" i="1"/>
  <c r="R220" i="1"/>
  <c r="R222" i="1"/>
  <c r="R223" i="1"/>
  <c r="R224" i="1"/>
  <c r="R225" i="1"/>
  <c r="H226" i="1"/>
  <c r="R226" i="1"/>
  <c r="R227" i="1"/>
  <c r="R228" i="1"/>
  <c r="R229" i="1"/>
  <c r="R230" i="1"/>
  <c r="R233" i="1"/>
  <c r="R234" i="1"/>
  <c r="R235" i="1"/>
  <c r="R236" i="1"/>
  <c r="R237" i="1"/>
  <c r="R238" i="1"/>
  <c r="R239" i="1"/>
  <c r="R240" i="1"/>
  <c r="R241" i="1"/>
  <c r="R242" i="1"/>
  <c r="R244" i="1"/>
  <c r="R245" i="1"/>
  <c r="R246" i="1"/>
  <c r="R247" i="1"/>
  <c r="R248" i="1"/>
  <c r="R249" i="1"/>
  <c r="R250" i="1"/>
  <c r="R251" i="1"/>
  <c r="R252" i="1"/>
  <c r="R253" i="1"/>
  <c r="R255" i="1"/>
  <c r="R256" i="1"/>
  <c r="R257" i="1"/>
  <c r="R258" i="1"/>
  <c r="R259" i="1"/>
  <c r="R260" i="1"/>
  <c r="R261" i="1"/>
  <c r="R262" i="1"/>
  <c r="R263" i="1"/>
  <c r="R264" i="1"/>
  <c r="R266" i="1"/>
  <c r="R267" i="1"/>
  <c r="R268" i="1"/>
  <c r="R269" i="1"/>
  <c r="R270" i="1"/>
  <c r="R271" i="1"/>
  <c r="R272" i="1"/>
  <c r="R273" i="1"/>
  <c r="R274" i="1"/>
  <c r="R275" i="1"/>
  <c r="R277" i="1"/>
  <c r="R278" i="1"/>
  <c r="R279" i="1"/>
  <c r="R280" i="1"/>
  <c r="R281" i="1"/>
  <c r="R282" i="1"/>
  <c r="H283" i="1"/>
  <c r="R283" i="1"/>
  <c r="R284" i="1"/>
  <c r="R285" i="1"/>
  <c r="R286" i="1"/>
  <c r="R288" i="1"/>
  <c r="H289" i="1"/>
  <c r="R289" i="1"/>
  <c r="H290" i="1"/>
  <c r="R290" i="1"/>
  <c r="R291" i="1"/>
  <c r="R292" i="1"/>
  <c r="R293" i="1"/>
  <c r="R294" i="1"/>
  <c r="H295" i="1"/>
  <c r="R295" i="1"/>
  <c r="R296" i="1"/>
  <c r="R297" i="1"/>
  <c r="R299" i="1"/>
  <c r="R300" i="1"/>
  <c r="R301" i="1"/>
  <c r="R302" i="1"/>
  <c r="R303" i="1"/>
  <c r="R304" i="1"/>
  <c r="R305" i="1"/>
  <c r="R306" i="1"/>
  <c r="R307" i="1"/>
  <c r="R308" i="1"/>
  <c r="R310" i="1"/>
  <c r="R311" i="1"/>
  <c r="R312" i="1"/>
  <c r="H313" i="1"/>
  <c r="R313" i="1"/>
  <c r="R314" i="1"/>
  <c r="R315" i="1"/>
  <c r="R316" i="1"/>
  <c r="R317" i="1"/>
  <c r="R318" i="1"/>
  <c r="R319" i="1"/>
  <c r="R321" i="1"/>
  <c r="R322" i="1"/>
  <c r="R323" i="1"/>
  <c r="R324" i="1"/>
  <c r="R325" i="1"/>
  <c r="R326" i="1"/>
  <c r="R327" i="1"/>
  <c r="H328" i="1"/>
  <c r="R328" i="1"/>
  <c r="H329" i="1"/>
  <c r="R329" i="1"/>
  <c r="R330" i="1"/>
  <c r="R332" i="1"/>
  <c r="R333" i="1"/>
  <c r="R334" i="1"/>
  <c r="R335" i="1"/>
  <c r="R336" i="1"/>
  <c r="R337" i="1"/>
  <c r="R338" i="1"/>
  <c r="R339" i="1"/>
  <c r="R340" i="1"/>
  <c r="R341" i="1"/>
  <c r="H343" i="1"/>
  <c r="R343" i="1"/>
  <c r="R344" i="1"/>
  <c r="R345" i="1"/>
  <c r="R346" i="1"/>
  <c r="R347" i="1"/>
  <c r="R348" i="1"/>
  <c r="R349" i="1"/>
  <c r="R350" i="1"/>
  <c r="R351" i="1"/>
  <c r="R352" i="1"/>
  <c r="R354" i="1"/>
  <c r="R355" i="1"/>
  <c r="R356" i="1"/>
  <c r="R357" i="1"/>
  <c r="R358" i="1"/>
  <c r="R359" i="1"/>
  <c r="R360" i="1"/>
  <c r="R361" i="1"/>
  <c r="R362" i="1"/>
  <c r="R363" i="1"/>
  <c r="R365" i="1"/>
  <c r="R366" i="1"/>
  <c r="R367" i="1"/>
  <c r="R368" i="1"/>
  <c r="R369" i="1"/>
  <c r="R370" i="1"/>
  <c r="R371" i="1"/>
  <c r="R372" i="1"/>
  <c r="R373" i="1"/>
  <c r="H374" i="1"/>
  <c r="R374" i="1"/>
  <c r="R376" i="1"/>
  <c r="R377" i="1"/>
  <c r="R378" i="1"/>
  <c r="R379" i="1"/>
  <c r="R380" i="1"/>
  <c r="H381" i="1"/>
  <c r="R381" i="1"/>
  <c r="R382" i="1"/>
  <c r="R383" i="1"/>
  <c r="R384" i="1"/>
  <c r="R385" i="1"/>
  <c r="R387" i="1"/>
  <c r="R388" i="1"/>
  <c r="H389" i="1"/>
  <c r="R389" i="1"/>
  <c r="R390" i="1"/>
  <c r="R391" i="1"/>
  <c r="R392" i="1"/>
  <c r="H393" i="1"/>
  <c r="R393" i="1"/>
  <c r="R394" i="1"/>
  <c r="R395" i="1"/>
  <c r="H396" i="1"/>
  <c r="R396" i="1"/>
  <c r="R398" i="1"/>
  <c r="H399" i="1"/>
  <c r="R399" i="1"/>
  <c r="R400" i="1"/>
  <c r="R401" i="1"/>
  <c r="R402" i="1"/>
  <c r="R403" i="1"/>
  <c r="R404" i="1"/>
  <c r="R405" i="1"/>
  <c r="R406" i="1"/>
  <c r="R407" i="1"/>
  <c r="R409" i="1"/>
  <c r="R410" i="1"/>
  <c r="R411" i="1"/>
  <c r="R412" i="1"/>
  <c r="R413" i="1"/>
  <c r="R414" i="1"/>
  <c r="R415" i="1"/>
  <c r="R416" i="1"/>
  <c r="R417" i="1"/>
  <c r="R418" i="1"/>
  <c r="R420" i="1"/>
  <c r="R421" i="1"/>
  <c r="R422" i="1"/>
  <c r="R423" i="1"/>
  <c r="R424" i="1"/>
  <c r="R425" i="1"/>
  <c r="R426" i="1"/>
  <c r="R427" i="1"/>
  <c r="R428" i="1"/>
  <c r="R429" i="1"/>
  <c r="R431" i="1"/>
  <c r="R432" i="1"/>
  <c r="R433" i="1"/>
  <c r="R434" i="1"/>
  <c r="R435" i="1"/>
  <c r="R436" i="1"/>
  <c r="R437" i="1"/>
  <c r="R438" i="1"/>
  <c r="R439" i="1"/>
  <c r="R440" i="1"/>
  <c r="R442" i="1"/>
  <c r="R443" i="1"/>
  <c r="R444" i="1"/>
  <c r="R445" i="1"/>
  <c r="R446" i="1"/>
  <c r="R447" i="1"/>
  <c r="R448" i="1"/>
  <c r="H449" i="1"/>
  <c r="R449" i="1"/>
  <c r="R450" i="1"/>
  <c r="R451" i="1"/>
  <c r="R453" i="1"/>
  <c r="R454" i="1"/>
  <c r="R455" i="1"/>
  <c r="R456" i="1"/>
  <c r="R457" i="1"/>
  <c r="R458" i="1"/>
  <c r="R459" i="1"/>
  <c r="R460" i="1"/>
  <c r="R461" i="1"/>
  <c r="R462" i="1"/>
  <c r="R464" i="1"/>
  <c r="R465" i="1"/>
  <c r="R466" i="1"/>
  <c r="R467" i="1"/>
  <c r="R468" i="1"/>
  <c r="R469" i="1"/>
  <c r="R470" i="1"/>
  <c r="R471" i="1"/>
  <c r="H472" i="1"/>
  <c r="R472" i="1"/>
  <c r="H473" i="1"/>
  <c r="R473" i="1"/>
  <c r="R475" i="1"/>
  <c r="H476" i="1"/>
  <c r="R476" i="1"/>
  <c r="R477" i="1"/>
  <c r="R478" i="1"/>
  <c r="R479" i="1"/>
  <c r="H480" i="1"/>
  <c r="R480" i="1"/>
  <c r="H481" i="1"/>
  <c r="R481" i="1"/>
  <c r="H482" i="1"/>
  <c r="R482" i="1"/>
  <c r="H483" i="1"/>
  <c r="R483" i="1"/>
  <c r="H484" i="1"/>
  <c r="R484" i="1"/>
  <c r="R486" i="1"/>
  <c r="H487" i="1"/>
  <c r="R487" i="1"/>
  <c r="H488" i="1"/>
  <c r="R488" i="1"/>
  <c r="H489" i="1"/>
  <c r="R489" i="1"/>
  <c r="H490" i="1"/>
  <c r="R490" i="1"/>
  <c r="H491" i="1"/>
  <c r="R491" i="1"/>
  <c r="R492" i="1"/>
  <c r="R493" i="1"/>
  <c r="R494" i="1"/>
  <c r="R495" i="1"/>
  <c r="R497" i="1"/>
  <c r="R498" i="1"/>
  <c r="R499" i="1"/>
  <c r="R500" i="1"/>
  <c r="R501" i="1"/>
  <c r="R502" i="1"/>
  <c r="R503" i="1"/>
  <c r="R504" i="1"/>
  <c r="R505" i="1"/>
  <c r="R506" i="1"/>
  <c r="R508" i="1"/>
  <c r="R509" i="1"/>
  <c r="R510" i="1"/>
  <c r="R511" i="1"/>
  <c r="R512" i="1"/>
  <c r="R513" i="1"/>
  <c r="R514" i="1"/>
  <c r="R515" i="1"/>
  <c r="R516" i="1"/>
  <c r="R517" i="1"/>
  <c r="R519" i="1"/>
  <c r="R520" i="1"/>
  <c r="R521" i="1"/>
  <c r="R522" i="1"/>
  <c r="R523" i="1"/>
  <c r="R524" i="1"/>
  <c r="R525" i="1"/>
  <c r="R526" i="1"/>
  <c r="R527" i="1"/>
  <c r="R528" i="1"/>
  <c r="R530" i="1"/>
  <c r="H531" i="1"/>
  <c r="R531" i="1"/>
  <c r="R532" i="1"/>
  <c r="R533" i="1"/>
  <c r="R534" i="1"/>
  <c r="R535" i="1"/>
  <c r="R536" i="1"/>
  <c r="R537" i="1"/>
  <c r="R538" i="1"/>
  <c r="R539" i="1"/>
  <c r="R541" i="1"/>
  <c r="R542" i="1"/>
  <c r="R543" i="1"/>
  <c r="R544" i="1"/>
  <c r="R545" i="1"/>
  <c r="R546" i="1"/>
  <c r="R547" i="1"/>
  <c r="R548" i="1"/>
  <c r="R549" i="1"/>
  <c r="R550" i="1"/>
  <c r="R552" i="1"/>
  <c r="R553" i="1"/>
  <c r="R554" i="1"/>
  <c r="R555" i="1"/>
  <c r="R556" i="1"/>
  <c r="R557" i="1"/>
  <c r="R558" i="1"/>
  <c r="R559" i="1"/>
  <c r="R560" i="1"/>
  <c r="R561" i="1"/>
  <c r="R563" i="1"/>
  <c r="R564" i="1"/>
  <c r="R565" i="1"/>
  <c r="R566" i="1"/>
  <c r="R567" i="1"/>
  <c r="R568" i="1"/>
  <c r="R569" i="1"/>
  <c r="R570" i="1"/>
  <c r="R571" i="1"/>
  <c r="R572" i="1"/>
  <c r="R574" i="1"/>
  <c r="R575" i="1"/>
  <c r="R576" i="1"/>
  <c r="R577" i="1"/>
  <c r="R578" i="1"/>
  <c r="R579" i="1"/>
  <c r="R580" i="1"/>
  <c r="R581" i="1"/>
  <c r="R582" i="1"/>
  <c r="R583" i="1"/>
  <c r="R585" i="1"/>
  <c r="R586" i="1"/>
  <c r="R587" i="1"/>
  <c r="R588" i="1"/>
  <c r="R589" i="1"/>
  <c r="R590" i="1"/>
  <c r="R591" i="1"/>
  <c r="R592" i="1"/>
  <c r="R593" i="1"/>
  <c r="R594" i="1"/>
  <c r="R596" i="1"/>
  <c r="H597" i="1"/>
  <c r="R597" i="1"/>
  <c r="R598" i="1"/>
  <c r="R599" i="1"/>
  <c r="R600" i="1"/>
  <c r="R601" i="1"/>
  <c r="R602" i="1"/>
  <c r="R603" i="1"/>
  <c r="R604" i="1"/>
  <c r="R605" i="1"/>
  <c r="R607" i="1"/>
  <c r="R608" i="1"/>
  <c r="R609" i="1"/>
  <c r="R610" i="1"/>
  <c r="R611" i="1"/>
  <c r="R612" i="1"/>
  <c r="R613" i="1"/>
  <c r="R614" i="1"/>
  <c r="R616" i="1"/>
  <c r="R617" i="1"/>
  <c r="R618" i="1"/>
  <c r="H619" i="1"/>
  <c r="R619" i="1"/>
  <c r="H620" i="1"/>
  <c r="R620" i="1"/>
  <c r="H621" i="1"/>
  <c r="R621" i="1"/>
  <c r="R622" i="1"/>
  <c r="H623" i="1"/>
  <c r="R623" i="1"/>
  <c r="H624" i="1"/>
  <c r="R624" i="1"/>
  <c r="H625" i="1"/>
  <c r="R625" i="1"/>
  <c r="R627" i="1"/>
  <c r="H628" i="1"/>
  <c r="R628" i="1"/>
  <c r="R629" i="1"/>
  <c r="R630" i="1"/>
  <c r="R631" i="1"/>
  <c r="R632" i="1"/>
  <c r="R633" i="1"/>
  <c r="R634" i="1"/>
  <c r="R635" i="1"/>
  <c r="R636" i="1"/>
  <c r="R638" i="1"/>
  <c r="R639" i="1"/>
  <c r="R640" i="1"/>
  <c r="R641" i="1"/>
  <c r="R642" i="1"/>
  <c r="R643" i="1"/>
  <c r="R644" i="1"/>
  <c r="R645" i="1"/>
  <c r="R646" i="1"/>
  <c r="R647" i="1"/>
  <c r="R649" i="1"/>
  <c r="R650" i="1"/>
  <c r="R651" i="1"/>
  <c r="R652" i="1"/>
  <c r="R653" i="1"/>
  <c r="R654" i="1"/>
  <c r="R655" i="1"/>
  <c r="R656" i="1"/>
  <c r="R657" i="1"/>
  <c r="R658" i="1"/>
  <c r="R660" i="1"/>
  <c r="H661" i="1"/>
  <c r="R661" i="1"/>
  <c r="R662" i="1"/>
  <c r="R663" i="1"/>
  <c r="R664" i="1"/>
  <c r="R665" i="1"/>
  <c r="R666" i="1"/>
  <c r="R667" i="1"/>
  <c r="R668" i="1"/>
  <c r="R669" i="1"/>
  <c r="R671" i="1"/>
  <c r="R672" i="1"/>
  <c r="R673" i="1"/>
  <c r="R674" i="1"/>
  <c r="R675" i="1"/>
  <c r="R676" i="1"/>
  <c r="R677" i="1"/>
  <c r="R678" i="1"/>
  <c r="R679" i="1"/>
  <c r="R680" i="1"/>
  <c r="R682" i="1"/>
  <c r="R683" i="1"/>
  <c r="R684" i="1"/>
  <c r="R685" i="1"/>
  <c r="R686" i="1"/>
  <c r="R687" i="1"/>
  <c r="R688" i="1"/>
  <c r="R689" i="1"/>
  <c r="R690" i="1"/>
  <c r="R691" i="1"/>
  <c r="R693" i="1"/>
  <c r="R694" i="1"/>
  <c r="R695" i="1"/>
  <c r="H696" i="1"/>
  <c r="R696" i="1"/>
  <c r="R697" i="1"/>
  <c r="R698" i="1"/>
  <c r="R699" i="1"/>
  <c r="R700" i="1"/>
  <c r="R701" i="1"/>
  <c r="R702" i="1"/>
  <c r="R704" i="1"/>
  <c r="R705" i="1"/>
  <c r="R706" i="1"/>
  <c r="R707" i="1"/>
  <c r="R708" i="1"/>
  <c r="R709" i="1"/>
  <c r="R710" i="1"/>
  <c r="R711" i="1"/>
  <c r="R712" i="1"/>
  <c r="R713" i="1"/>
  <c r="R715" i="1"/>
  <c r="H716" i="1"/>
  <c r="R716" i="1"/>
  <c r="H717" i="1"/>
  <c r="R717" i="1"/>
  <c r="H718" i="1"/>
  <c r="R718" i="1"/>
  <c r="R719" i="1"/>
  <c r="R720" i="1"/>
  <c r="R721" i="1"/>
  <c r="R722" i="1"/>
  <c r="R723" i="1"/>
  <c r="R724" i="1"/>
  <c r="R726" i="1"/>
  <c r="R727" i="1"/>
  <c r="R728" i="1"/>
  <c r="R729" i="1"/>
  <c r="R730" i="1"/>
  <c r="R731" i="1"/>
  <c r="R732" i="1"/>
  <c r="R733" i="1"/>
  <c r="R734" i="1"/>
  <c r="R735" i="1"/>
  <c r="R737" i="1"/>
  <c r="R738" i="1"/>
  <c r="H739" i="1"/>
  <c r="R739" i="1"/>
  <c r="R740" i="1"/>
  <c r="R741" i="1"/>
  <c r="R742" i="1"/>
  <c r="H743" i="1"/>
  <c r="R743" i="1"/>
  <c r="R744" i="1"/>
  <c r="R745" i="1"/>
  <c r="R746" i="1"/>
  <c r="R748" i="1"/>
  <c r="R749" i="1"/>
  <c r="R750" i="1"/>
  <c r="R751" i="1"/>
  <c r="R752" i="1"/>
  <c r="R753" i="1"/>
  <c r="R754" i="1"/>
  <c r="R755" i="1"/>
  <c r="R756" i="1"/>
  <c r="R757" i="1"/>
  <c r="R759" i="1"/>
  <c r="R760" i="1"/>
  <c r="R761" i="1"/>
  <c r="R762" i="1"/>
  <c r="R763" i="1"/>
  <c r="R764" i="1"/>
  <c r="R765" i="1"/>
  <c r="H766" i="1"/>
  <c r="R766" i="1"/>
  <c r="H767" i="1"/>
  <c r="R767" i="1"/>
  <c r="H768" i="1"/>
  <c r="R768" i="1"/>
  <c r="H770" i="1"/>
  <c r="R770" i="1"/>
  <c r="H771" i="1"/>
  <c r="R771" i="1"/>
  <c r="H772" i="1"/>
  <c r="R772" i="1"/>
  <c r="H773" i="1"/>
  <c r="R773" i="1"/>
  <c r="H774" i="1"/>
  <c r="R774" i="1"/>
  <c r="H775" i="1"/>
  <c r="R775" i="1"/>
  <c r="H776" i="1"/>
  <c r="R776" i="1"/>
  <c r="H777" i="1"/>
  <c r="R777" i="1"/>
  <c r="H778" i="1"/>
  <c r="R778" i="1"/>
  <c r="H779" i="1"/>
  <c r="R779" i="1"/>
  <c r="H781" i="1"/>
  <c r="R781" i="1"/>
  <c r="H782" i="1"/>
  <c r="R782" i="1"/>
  <c r="H783" i="1"/>
  <c r="R783" i="1"/>
  <c r="H784" i="1"/>
  <c r="R784" i="1"/>
  <c r="H785" i="1"/>
  <c r="R785" i="1"/>
  <c r="H786" i="1"/>
  <c r="R786" i="1"/>
  <c r="H787" i="1"/>
  <c r="R787" i="1"/>
  <c r="H788" i="1"/>
  <c r="R788" i="1"/>
  <c r="H789" i="1"/>
  <c r="R789" i="1"/>
  <c r="H790" i="1"/>
  <c r="R790" i="1"/>
  <c r="H792" i="1"/>
  <c r="R792" i="1"/>
  <c r="H793" i="1"/>
  <c r="R793" i="1"/>
  <c r="H794" i="1"/>
  <c r="R794" i="1"/>
  <c r="H795" i="1"/>
  <c r="R795" i="1"/>
  <c r="H796" i="1"/>
  <c r="R796" i="1"/>
  <c r="H797" i="1"/>
  <c r="R797" i="1"/>
  <c r="H798" i="1"/>
  <c r="R798" i="1"/>
  <c r="H799" i="1"/>
  <c r="R799" i="1"/>
  <c r="H800" i="1"/>
  <c r="R800" i="1"/>
  <c r="H801" i="1"/>
  <c r="R801" i="1"/>
  <c r="H803" i="1"/>
  <c r="R803" i="1"/>
  <c r="H804" i="1"/>
  <c r="R804" i="1"/>
  <c r="H805" i="1"/>
  <c r="R805" i="1"/>
  <c r="H806" i="1"/>
  <c r="R806" i="1"/>
  <c r="H807" i="1"/>
  <c r="R807" i="1"/>
  <c r="H808" i="1"/>
  <c r="R808" i="1"/>
  <c r="H809" i="1"/>
  <c r="R809" i="1"/>
  <c r="H810" i="1"/>
  <c r="R810" i="1"/>
  <c r="H811" i="1"/>
  <c r="R811" i="1"/>
  <c r="H812" i="1"/>
  <c r="R812" i="1"/>
  <c r="H814" i="1"/>
  <c r="R814" i="1"/>
  <c r="H815" i="1"/>
  <c r="R815" i="1"/>
  <c r="H816" i="1"/>
  <c r="R816" i="1"/>
  <c r="H817" i="1"/>
  <c r="R817" i="1"/>
  <c r="H818" i="1"/>
  <c r="R818" i="1"/>
  <c r="H819" i="1"/>
  <c r="R819" i="1"/>
  <c r="H820" i="1"/>
  <c r="R820" i="1"/>
  <c r="H821" i="1"/>
  <c r="R821" i="1"/>
  <c r="H822" i="1"/>
  <c r="R822" i="1"/>
  <c r="H823" i="1"/>
  <c r="R823" i="1"/>
  <c r="H825" i="1"/>
  <c r="R825" i="1"/>
  <c r="H826" i="1"/>
  <c r="R826" i="1"/>
  <c r="H827" i="1"/>
  <c r="R827" i="1"/>
  <c r="H828" i="1"/>
  <c r="R828" i="1"/>
  <c r="H829" i="1"/>
  <c r="R829" i="1"/>
  <c r="H830" i="1"/>
  <c r="R830" i="1"/>
  <c r="H831" i="1"/>
  <c r="R831" i="1"/>
  <c r="H832" i="1"/>
  <c r="R832" i="1"/>
  <c r="H833" i="1"/>
  <c r="R833" i="1"/>
  <c r="H834" i="1"/>
  <c r="R834" i="1"/>
  <c r="H836" i="1"/>
  <c r="R836" i="1"/>
  <c r="H837" i="1"/>
  <c r="R837" i="1"/>
  <c r="H838" i="1"/>
  <c r="R838" i="1"/>
  <c r="H839" i="1"/>
  <c r="R839" i="1"/>
  <c r="H840" i="1"/>
  <c r="R840" i="1"/>
  <c r="H841" i="1"/>
  <c r="R841" i="1"/>
  <c r="H842" i="1"/>
  <c r="R842" i="1"/>
  <c r="H843" i="1"/>
  <c r="R843" i="1"/>
  <c r="H844" i="1"/>
  <c r="R844" i="1"/>
  <c r="H845" i="1"/>
  <c r="R845" i="1"/>
  <c r="H847" i="1"/>
  <c r="R847" i="1"/>
  <c r="H848" i="1"/>
  <c r="R848" i="1"/>
  <c r="H849" i="1"/>
  <c r="R849" i="1"/>
  <c r="H850" i="1"/>
  <c r="R850" i="1"/>
  <c r="H851" i="1"/>
  <c r="R851" i="1"/>
  <c r="H852" i="1"/>
  <c r="R852" i="1"/>
  <c r="H853" i="1"/>
  <c r="R853" i="1"/>
  <c r="H854" i="1"/>
  <c r="R854" i="1"/>
  <c r="H855" i="1"/>
  <c r="R855" i="1"/>
  <c r="H856" i="1"/>
  <c r="R856" i="1"/>
  <c r="H858" i="1"/>
  <c r="R858" i="1"/>
  <c r="H859" i="1"/>
  <c r="R859" i="1"/>
  <c r="H860" i="1"/>
  <c r="R860" i="1"/>
  <c r="H861" i="1"/>
  <c r="R861" i="1"/>
  <c r="H862" i="1"/>
  <c r="R862" i="1"/>
  <c r="H863" i="1"/>
  <c r="R863" i="1"/>
  <c r="H864" i="1"/>
  <c r="R864" i="1"/>
  <c r="H865" i="1"/>
  <c r="R865" i="1"/>
  <c r="H866" i="1"/>
  <c r="R866" i="1"/>
  <c r="H867" i="1"/>
  <c r="R867" i="1"/>
  <c r="H869" i="1"/>
  <c r="R869" i="1"/>
  <c r="H870" i="1"/>
  <c r="R870" i="1"/>
  <c r="H871" i="1"/>
  <c r="R871" i="1"/>
  <c r="H872" i="1"/>
  <c r="R872" i="1"/>
  <c r="H873" i="1"/>
  <c r="R873" i="1"/>
  <c r="H874" i="1"/>
  <c r="R874" i="1"/>
  <c r="H875" i="1"/>
  <c r="R875" i="1"/>
  <c r="H876" i="1"/>
  <c r="R876" i="1"/>
  <c r="H877" i="1"/>
  <c r="R877" i="1"/>
  <c r="H878" i="1"/>
  <c r="R878" i="1"/>
  <c r="H880" i="1"/>
  <c r="R880" i="1"/>
  <c r="H881" i="1"/>
  <c r="R881" i="1"/>
  <c r="H882" i="1"/>
  <c r="R882" i="1"/>
  <c r="H883" i="1"/>
  <c r="R883" i="1"/>
  <c r="H884" i="1"/>
  <c r="R884" i="1"/>
  <c r="H885" i="1"/>
  <c r="R885" i="1"/>
  <c r="H886" i="1"/>
  <c r="R886" i="1"/>
  <c r="H887" i="1"/>
  <c r="R887" i="1"/>
  <c r="H888" i="1"/>
  <c r="R888" i="1"/>
  <c r="H889" i="1"/>
  <c r="R889" i="1"/>
  <c r="H891" i="1"/>
  <c r="R891" i="1"/>
  <c r="H892" i="1"/>
  <c r="R892" i="1"/>
  <c r="H893" i="1"/>
  <c r="R893" i="1"/>
  <c r="H894" i="1"/>
  <c r="R894" i="1"/>
  <c r="H895" i="1"/>
  <c r="R895" i="1"/>
  <c r="H896" i="1"/>
  <c r="R896" i="1"/>
  <c r="H897" i="1"/>
  <c r="R897" i="1"/>
  <c r="H898" i="1"/>
  <c r="R898" i="1"/>
  <c r="H899" i="1"/>
  <c r="R899" i="1"/>
  <c r="H900" i="1"/>
  <c r="R900" i="1"/>
  <c r="H902" i="1"/>
  <c r="R902" i="1"/>
  <c r="H903" i="1"/>
  <c r="R903" i="1"/>
  <c r="H904" i="1"/>
  <c r="R904" i="1"/>
  <c r="H905" i="1"/>
  <c r="R905" i="1"/>
  <c r="H906" i="1"/>
  <c r="R906" i="1"/>
  <c r="H907" i="1"/>
  <c r="R907" i="1"/>
  <c r="H908" i="1"/>
  <c r="R908" i="1"/>
  <c r="H909" i="1"/>
  <c r="R909" i="1"/>
  <c r="H910" i="1"/>
  <c r="R910" i="1"/>
  <c r="H911" i="1"/>
  <c r="R911" i="1"/>
  <c r="H913" i="1"/>
  <c r="R913" i="1"/>
  <c r="H914" i="1"/>
  <c r="R914" i="1"/>
  <c r="H915" i="1"/>
  <c r="R915" i="1"/>
  <c r="H916" i="1"/>
  <c r="R916" i="1"/>
  <c r="H917" i="1"/>
  <c r="R917" i="1"/>
  <c r="H918" i="1"/>
  <c r="R918" i="1"/>
  <c r="H919" i="1"/>
  <c r="R919" i="1"/>
  <c r="H920" i="1"/>
  <c r="R920" i="1"/>
  <c r="H921" i="1"/>
  <c r="R921" i="1"/>
  <c r="H922" i="1"/>
  <c r="R922" i="1"/>
  <c r="H924" i="1"/>
  <c r="R924" i="1"/>
  <c r="H925" i="1"/>
  <c r="R925" i="1"/>
  <c r="H926" i="1"/>
  <c r="R926" i="1"/>
  <c r="H927" i="1"/>
  <c r="R927" i="1"/>
  <c r="H928" i="1"/>
  <c r="R928" i="1"/>
  <c r="H929" i="1"/>
  <c r="R929" i="1"/>
  <c r="H930" i="1"/>
  <c r="R930" i="1"/>
  <c r="H931" i="1"/>
  <c r="R931" i="1"/>
  <c r="H932" i="1"/>
  <c r="R932" i="1"/>
  <c r="H933" i="1"/>
  <c r="R933" i="1"/>
  <c r="H935" i="1"/>
  <c r="R935" i="1"/>
  <c r="H936" i="1"/>
  <c r="R936" i="1"/>
  <c r="H937" i="1"/>
  <c r="R937" i="1"/>
  <c r="H938" i="1"/>
  <c r="R938" i="1"/>
  <c r="H939" i="1"/>
  <c r="R939" i="1"/>
  <c r="H940" i="1"/>
  <c r="R940" i="1"/>
  <c r="H941" i="1"/>
  <c r="R941" i="1"/>
  <c r="H942" i="1"/>
  <c r="R942" i="1"/>
  <c r="H943" i="1"/>
  <c r="R943" i="1"/>
  <c r="H944" i="1"/>
  <c r="R944" i="1"/>
  <c r="H946" i="1"/>
  <c r="R946" i="1"/>
  <c r="H947" i="1"/>
  <c r="R947" i="1"/>
  <c r="H948" i="1"/>
  <c r="R948" i="1"/>
  <c r="H949" i="1"/>
  <c r="R949" i="1"/>
  <c r="H950" i="1"/>
  <c r="R950" i="1"/>
  <c r="H951" i="1"/>
  <c r="R951" i="1"/>
  <c r="H952" i="1"/>
  <c r="R952" i="1"/>
  <c r="H953" i="1"/>
  <c r="R953" i="1"/>
  <c r="H954" i="1"/>
  <c r="R954" i="1"/>
  <c r="H955" i="1"/>
  <c r="R955" i="1"/>
  <c r="H957" i="1"/>
  <c r="R957" i="1"/>
  <c r="H958" i="1"/>
  <c r="R958" i="1"/>
  <c r="H959" i="1"/>
  <c r="R959" i="1"/>
  <c r="H960" i="1"/>
  <c r="R960" i="1"/>
  <c r="H961" i="1"/>
  <c r="R961" i="1"/>
  <c r="H962" i="1"/>
  <c r="R962" i="1"/>
  <c r="H963" i="1"/>
  <c r="R963" i="1"/>
  <c r="H964" i="1"/>
  <c r="R964" i="1"/>
  <c r="H965" i="1"/>
  <c r="R965" i="1"/>
  <c r="H966" i="1"/>
  <c r="R966" i="1"/>
  <c r="H968" i="1"/>
  <c r="R968" i="1"/>
  <c r="H969" i="1"/>
  <c r="R969" i="1"/>
  <c r="H970" i="1"/>
  <c r="R970" i="1"/>
  <c r="H971" i="1"/>
  <c r="R971" i="1"/>
  <c r="H972" i="1"/>
  <c r="R972" i="1"/>
  <c r="H973" i="1"/>
  <c r="R973" i="1"/>
  <c r="H974" i="1"/>
  <c r="R974" i="1"/>
  <c r="H975" i="1"/>
  <c r="R975" i="1"/>
  <c r="H976" i="1"/>
  <c r="R976" i="1"/>
  <c r="H977" i="1"/>
  <c r="R977" i="1"/>
  <c r="H979" i="1"/>
  <c r="R979" i="1"/>
  <c r="H980" i="1"/>
  <c r="R980" i="1"/>
  <c r="H981" i="1"/>
  <c r="R981" i="1"/>
  <c r="H982" i="1"/>
  <c r="R982" i="1"/>
  <c r="H983" i="1"/>
  <c r="R983" i="1"/>
  <c r="H984" i="1"/>
  <c r="R984" i="1"/>
  <c r="H985" i="1"/>
  <c r="R985" i="1"/>
  <c r="H986" i="1"/>
  <c r="R986" i="1"/>
  <c r="H987" i="1"/>
  <c r="R987" i="1"/>
  <c r="H988" i="1"/>
  <c r="R988" i="1"/>
  <c r="H990" i="1"/>
  <c r="R990" i="1"/>
  <c r="H991" i="1"/>
  <c r="R991" i="1"/>
  <c r="H992" i="1"/>
  <c r="R992" i="1"/>
  <c r="H993" i="1"/>
  <c r="R993" i="1"/>
  <c r="H994" i="1"/>
  <c r="R994" i="1"/>
  <c r="H995" i="1"/>
  <c r="R995" i="1"/>
  <c r="H996" i="1"/>
  <c r="R996" i="1"/>
  <c r="H997" i="1"/>
  <c r="R997" i="1"/>
  <c r="H998" i="1"/>
  <c r="R998" i="1"/>
  <c r="H999" i="1"/>
  <c r="R999" i="1"/>
  <c r="H1001" i="1"/>
  <c r="R1001" i="1"/>
  <c r="H1002" i="1"/>
  <c r="R1002" i="1"/>
  <c r="H1003" i="1"/>
  <c r="R1003" i="1"/>
  <c r="H1004" i="1"/>
  <c r="R1004" i="1"/>
  <c r="H1005" i="1"/>
  <c r="R1005" i="1"/>
  <c r="H1006" i="1"/>
  <c r="R1006" i="1"/>
  <c r="H1007" i="1"/>
  <c r="R1007" i="1"/>
  <c r="H1008" i="1"/>
  <c r="R1008" i="1"/>
  <c r="H1009" i="1"/>
  <c r="R1009" i="1"/>
  <c r="H1010" i="1"/>
  <c r="R1010" i="1"/>
  <c r="H1012" i="1"/>
  <c r="R1012" i="1"/>
  <c r="H1013" i="1"/>
  <c r="R1013" i="1"/>
  <c r="H1014" i="1"/>
  <c r="R1014" i="1"/>
  <c r="H1015" i="1"/>
  <c r="R1015" i="1"/>
  <c r="H1016" i="1"/>
  <c r="R1016" i="1"/>
  <c r="H1017" i="1"/>
  <c r="R1017" i="1"/>
  <c r="H1018" i="1"/>
  <c r="R1018" i="1"/>
  <c r="H1019" i="1"/>
  <c r="R1019" i="1"/>
  <c r="H1020" i="1"/>
  <c r="R1020" i="1"/>
  <c r="H1021" i="1"/>
  <c r="R1021" i="1"/>
  <c r="H1023" i="1"/>
  <c r="R1023" i="1"/>
  <c r="H1024" i="1"/>
  <c r="R1024" i="1"/>
  <c r="H1025" i="1"/>
  <c r="R1025" i="1"/>
  <c r="H1026" i="1"/>
  <c r="R1026" i="1"/>
  <c r="H1027" i="1"/>
  <c r="R1027" i="1"/>
  <c r="H1028" i="1"/>
  <c r="R1028" i="1"/>
  <c r="H1029" i="1"/>
  <c r="R1029" i="1"/>
  <c r="H1030" i="1"/>
  <c r="R1030" i="1"/>
  <c r="H1031" i="1"/>
  <c r="R1031" i="1"/>
  <c r="H1032" i="1"/>
  <c r="R1032" i="1"/>
  <c r="H1034" i="1"/>
  <c r="R1034" i="1"/>
  <c r="H1035" i="1"/>
  <c r="R1035" i="1"/>
  <c r="H1036" i="1"/>
  <c r="R1036" i="1"/>
  <c r="H1037" i="1"/>
  <c r="R1037" i="1"/>
  <c r="H1038" i="1"/>
  <c r="R1038" i="1"/>
  <c r="H1039" i="1"/>
  <c r="R1039" i="1"/>
  <c r="H1040" i="1"/>
  <c r="R1040" i="1"/>
  <c r="H1041" i="1"/>
  <c r="R1041" i="1"/>
  <c r="H1042" i="1"/>
  <c r="R1042" i="1"/>
  <c r="H1043" i="1"/>
  <c r="R1043" i="1"/>
  <c r="H1045" i="1"/>
  <c r="R1045" i="1"/>
  <c r="H1046" i="1"/>
  <c r="R1046" i="1"/>
  <c r="H1047" i="1"/>
  <c r="R1047" i="1"/>
  <c r="H1048" i="1"/>
  <c r="R1048" i="1"/>
  <c r="H1049" i="1"/>
  <c r="R1049" i="1"/>
  <c r="H1050" i="1"/>
  <c r="R1050" i="1"/>
  <c r="H1051" i="1"/>
  <c r="R1051" i="1"/>
  <c r="H1052" i="1"/>
  <c r="R1052" i="1"/>
  <c r="H1053" i="1"/>
  <c r="R1053" i="1"/>
  <c r="H1054" i="1"/>
  <c r="R1054" i="1"/>
  <c r="H1056" i="1"/>
  <c r="R1056" i="1"/>
  <c r="H1057" i="1"/>
  <c r="R1057" i="1"/>
  <c r="H1058" i="1"/>
  <c r="R1058" i="1"/>
  <c r="H1059" i="1"/>
  <c r="R1059" i="1"/>
  <c r="H1060" i="1"/>
  <c r="R1060" i="1"/>
  <c r="H1061" i="1"/>
  <c r="R1061" i="1"/>
  <c r="H1062" i="1"/>
  <c r="R1062" i="1"/>
  <c r="H1063" i="1"/>
  <c r="R1063" i="1"/>
  <c r="H1064" i="1"/>
  <c r="R1064" i="1"/>
  <c r="H1065" i="1"/>
  <c r="R1065" i="1"/>
  <c r="H1067" i="1"/>
  <c r="R1067" i="1"/>
  <c r="H1068" i="1"/>
  <c r="R1068" i="1"/>
  <c r="H1069" i="1"/>
  <c r="R1069" i="1"/>
  <c r="H1070" i="1"/>
  <c r="R1070" i="1"/>
  <c r="H1071" i="1"/>
  <c r="R1071" i="1"/>
  <c r="H1072" i="1"/>
  <c r="R1072" i="1"/>
  <c r="H1073" i="1"/>
  <c r="R1073" i="1"/>
  <c r="H1074" i="1"/>
  <c r="R1074" i="1"/>
  <c r="H1075" i="1"/>
  <c r="R1075" i="1"/>
  <c r="H1076" i="1"/>
  <c r="R1076" i="1"/>
  <c r="H1078" i="1"/>
  <c r="R1078" i="1"/>
  <c r="H1079" i="1"/>
  <c r="R1079" i="1"/>
  <c r="H1080" i="1"/>
  <c r="R1080" i="1"/>
  <c r="H1081" i="1"/>
  <c r="R1081" i="1"/>
  <c r="H1082" i="1"/>
  <c r="R1082" i="1"/>
  <c r="H1083" i="1"/>
  <c r="R1083" i="1"/>
  <c r="H1084" i="1"/>
  <c r="R1084" i="1"/>
  <c r="H1085" i="1"/>
  <c r="R1085" i="1"/>
  <c r="H1086" i="1"/>
  <c r="R1086" i="1"/>
  <c r="H1087" i="1"/>
  <c r="R1087" i="1"/>
  <c r="H1089" i="1"/>
  <c r="R1089" i="1"/>
  <c r="H1090" i="1"/>
  <c r="R1090" i="1"/>
  <c r="H1091" i="1"/>
  <c r="R1091" i="1"/>
  <c r="H1092" i="1"/>
  <c r="R1092" i="1"/>
  <c r="H1093" i="1"/>
  <c r="R1093" i="1"/>
  <c r="H1094" i="1"/>
  <c r="R1094" i="1"/>
  <c r="H1095" i="1"/>
  <c r="R1095" i="1"/>
  <c r="H1096" i="1"/>
  <c r="R1096" i="1"/>
  <c r="H1097" i="1"/>
  <c r="R1097" i="1"/>
  <c r="H1098" i="1"/>
  <c r="R1098" i="1"/>
  <c r="H1100" i="1"/>
  <c r="R1100" i="1"/>
  <c r="H1101" i="1"/>
  <c r="R1101" i="1"/>
  <c r="H1102" i="1"/>
  <c r="R1102" i="1"/>
  <c r="H1103" i="1"/>
  <c r="R1103" i="1"/>
  <c r="H1104" i="1"/>
  <c r="R1104" i="1"/>
  <c r="H1105" i="1"/>
  <c r="R1105" i="1"/>
  <c r="H1106" i="1"/>
  <c r="R1106" i="1"/>
  <c r="H1107" i="1"/>
  <c r="R1107" i="1"/>
  <c r="H1108" i="1"/>
  <c r="R1108" i="1"/>
  <c r="H1109" i="1"/>
  <c r="R1109" i="1"/>
  <c r="H1111" i="1"/>
  <c r="R1111" i="1"/>
  <c r="H1112" i="1"/>
  <c r="R1112" i="1"/>
  <c r="H1113" i="1"/>
  <c r="R1113" i="1"/>
  <c r="H1114" i="1"/>
  <c r="R1114" i="1"/>
  <c r="H1115" i="1"/>
  <c r="R1115" i="1"/>
  <c r="H1116" i="1"/>
  <c r="R1116" i="1"/>
  <c r="H1117" i="1"/>
  <c r="R1117" i="1"/>
  <c r="H1118" i="1"/>
  <c r="R1118" i="1"/>
  <c r="H1119" i="1"/>
  <c r="R1119" i="1"/>
  <c r="H1120" i="1"/>
  <c r="R1120" i="1"/>
  <c r="H1122" i="1"/>
  <c r="R1122" i="1"/>
  <c r="H1123" i="1"/>
  <c r="R1123" i="1"/>
  <c r="H1124" i="1"/>
  <c r="R1124" i="1"/>
  <c r="H1125" i="1"/>
  <c r="R1125" i="1"/>
  <c r="H1126" i="1"/>
  <c r="R1126" i="1"/>
  <c r="H1127" i="1"/>
  <c r="R1127" i="1"/>
  <c r="H1128" i="1"/>
  <c r="R1128" i="1"/>
  <c r="H1129" i="1"/>
  <c r="R1129" i="1"/>
  <c r="H1130" i="1"/>
  <c r="R1130" i="1"/>
  <c r="H1131" i="1"/>
  <c r="R1131" i="1"/>
  <c r="H1133" i="1"/>
  <c r="R1133" i="1"/>
  <c r="H1134" i="1"/>
  <c r="R1134" i="1"/>
  <c r="H1135" i="1"/>
  <c r="R1135" i="1"/>
  <c r="H1136" i="1"/>
  <c r="R1136" i="1"/>
  <c r="H1137" i="1"/>
  <c r="R1137" i="1"/>
  <c r="H1138" i="1"/>
  <c r="R1138" i="1"/>
  <c r="H1139" i="1"/>
  <c r="R1139" i="1"/>
  <c r="H1140" i="1"/>
  <c r="R1140" i="1"/>
  <c r="H1141" i="1"/>
  <c r="R1141" i="1"/>
  <c r="H1142" i="1"/>
  <c r="R1142" i="1"/>
  <c r="H1144" i="1"/>
  <c r="R1144" i="1"/>
  <c r="H1145" i="1"/>
  <c r="R1145" i="1"/>
  <c r="H1146" i="1"/>
  <c r="R1146" i="1"/>
  <c r="H1147" i="1"/>
  <c r="R1147" i="1"/>
  <c r="H1148" i="1"/>
  <c r="R1148" i="1"/>
  <c r="H1149" i="1"/>
  <c r="R1149" i="1"/>
  <c r="H1150" i="1"/>
  <c r="R1150" i="1"/>
  <c r="H1151" i="1"/>
  <c r="R1151" i="1"/>
  <c r="H1152" i="1"/>
  <c r="R1152" i="1"/>
  <c r="H1153" i="1"/>
  <c r="R1153" i="1"/>
  <c r="H1155" i="1"/>
  <c r="R1155" i="1"/>
  <c r="H1156" i="1"/>
  <c r="R1156" i="1"/>
  <c r="H1157" i="1"/>
  <c r="R1157" i="1"/>
  <c r="H1158" i="1"/>
  <c r="R1158" i="1"/>
  <c r="H1159" i="1"/>
  <c r="R1159" i="1"/>
  <c r="H1160" i="1"/>
  <c r="R1160" i="1"/>
  <c r="H1161" i="1"/>
  <c r="R1161" i="1"/>
  <c r="H1162" i="1"/>
  <c r="R1162" i="1"/>
  <c r="H1163" i="1"/>
  <c r="R1163" i="1"/>
  <c r="H1164" i="1"/>
  <c r="R1164" i="1"/>
  <c r="H1166" i="1"/>
  <c r="R1166" i="1"/>
  <c r="H1167" i="1"/>
  <c r="R1167" i="1"/>
  <c r="H1168" i="1"/>
  <c r="R1168" i="1"/>
  <c r="H1169" i="1"/>
  <c r="R1169" i="1"/>
  <c r="H1170" i="1"/>
  <c r="R1170" i="1"/>
  <c r="H1171" i="1"/>
  <c r="R1171" i="1"/>
  <c r="H1172" i="1"/>
  <c r="R1172" i="1"/>
  <c r="H1173" i="1"/>
  <c r="R1173" i="1"/>
  <c r="H1174" i="1"/>
  <c r="R1174" i="1"/>
  <c r="H1175" i="1"/>
  <c r="R1175" i="1"/>
  <c r="H1177" i="1"/>
  <c r="R1177" i="1"/>
  <c r="H1178" i="1"/>
  <c r="R1178" i="1"/>
  <c r="H1179" i="1"/>
  <c r="R1179" i="1"/>
  <c r="H1180" i="1"/>
  <c r="R1180" i="1"/>
  <c r="H1181" i="1"/>
  <c r="R1181" i="1"/>
  <c r="H1182" i="1"/>
  <c r="R1182" i="1"/>
  <c r="H1183" i="1"/>
  <c r="R1183" i="1"/>
  <c r="H1184" i="1"/>
  <c r="R1184" i="1"/>
  <c r="H1185" i="1"/>
  <c r="R1185" i="1"/>
  <c r="H1186" i="1"/>
  <c r="R1186" i="1"/>
  <c r="H1188" i="1"/>
  <c r="R1188" i="1"/>
  <c r="H1189" i="1"/>
  <c r="R1189" i="1"/>
  <c r="H1190" i="1"/>
  <c r="R1190" i="1"/>
  <c r="H1191" i="1"/>
  <c r="R1191" i="1"/>
  <c r="H1192" i="1"/>
  <c r="R1192" i="1"/>
  <c r="H1193" i="1"/>
  <c r="R1193" i="1"/>
  <c r="H1194" i="1"/>
  <c r="R1194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999" i="1"/>
  <c r="T11902" i="1"/>
  <c r="T11901" i="1"/>
  <c r="T6002" i="1"/>
  <c r="T6003" i="1"/>
  <c r="T11900" i="1"/>
  <c r="T11992" i="1"/>
  <c r="T11993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6000" i="1"/>
  <c r="T2000" i="1"/>
  <c r="T2001" i="1"/>
  <c r="T6182" i="1"/>
  <c r="T6004" i="1"/>
  <c r="T6001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869" i="1"/>
  <c r="T11870" i="1"/>
  <c r="T11988" i="1"/>
  <c r="T11989" i="1"/>
  <c r="T11990" i="1"/>
  <c r="T11991" i="1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K11" i="1"/>
  <c r="K10" i="1"/>
  <c r="K9" i="1"/>
  <c r="K8" i="1"/>
  <c r="K7" i="1"/>
  <c r="K6" i="1"/>
  <c r="K4" i="1"/>
  <c r="K3" i="1"/>
  <c r="K2" i="1"/>
  <c r="E37" i="3"/>
  <c r="D37" i="3"/>
  <c r="C37" i="3"/>
  <c r="B37" i="3"/>
  <c r="E32" i="3"/>
  <c r="E34" i="3"/>
  <c r="E35" i="3"/>
  <c r="D32" i="3"/>
  <c r="D34" i="3"/>
  <c r="D35" i="3"/>
  <c r="C32" i="3"/>
  <c r="C34" i="3"/>
  <c r="C35" i="3"/>
  <c r="B32" i="3"/>
  <c r="B34" i="3"/>
  <c r="B35" i="3"/>
  <c r="E33" i="3"/>
  <c r="E36" i="3"/>
  <c r="D33" i="3"/>
  <c r="D36" i="3"/>
  <c r="C33" i="3"/>
  <c r="C36" i="3"/>
  <c r="B33" i="3"/>
  <c r="B36" i="3"/>
  <c r="E24" i="3"/>
  <c r="E25" i="3"/>
  <c r="E26" i="3"/>
  <c r="E27" i="3"/>
  <c r="E28" i="3"/>
  <c r="E29" i="3"/>
  <c r="E30" i="3"/>
  <c r="E31" i="3"/>
  <c r="D24" i="3"/>
  <c r="D25" i="3"/>
  <c r="D26" i="3"/>
  <c r="D27" i="3"/>
  <c r="D28" i="3"/>
  <c r="D29" i="3"/>
  <c r="D30" i="3"/>
  <c r="D31" i="3"/>
  <c r="C24" i="3"/>
  <c r="C25" i="3"/>
  <c r="C26" i="3"/>
  <c r="C27" i="3"/>
  <c r="C28" i="3"/>
  <c r="C29" i="3"/>
  <c r="C30" i="3"/>
  <c r="C31" i="3"/>
  <c r="B24" i="3"/>
  <c r="B25" i="3"/>
  <c r="B26" i="3"/>
  <c r="B27" i="3"/>
  <c r="B28" i="3"/>
  <c r="B29" i="3"/>
  <c r="B30" i="3"/>
  <c r="B31" i="3"/>
  <c r="R75" i="1"/>
  <c r="R64" i="1"/>
  <c r="E18" i="3"/>
  <c r="E19" i="3"/>
  <c r="E20" i="3"/>
  <c r="E21" i="3"/>
  <c r="E22" i="3"/>
  <c r="E23" i="3"/>
  <c r="D18" i="3"/>
  <c r="D19" i="3"/>
  <c r="D20" i="3"/>
  <c r="D21" i="3"/>
  <c r="D22" i="3"/>
  <c r="D23" i="3"/>
  <c r="C18" i="3"/>
  <c r="C19" i="3"/>
  <c r="C20" i="3"/>
  <c r="C21" i="3"/>
  <c r="C22" i="3"/>
  <c r="C23" i="3"/>
  <c r="B18" i="3"/>
  <c r="B19" i="3"/>
  <c r="B20" i="3"/>
  <c r="B21" i="3"/>
  <c r="B22" i="3"/>
  <c r="B23" i="3"/>
  <c r="H15" i="1"/>
  <c r="B14" i="3"/>
  <c r="B15" i="3"/>
  <c r="E10" i="3"/>
  <c r="E11" i="3"/>
  <c r="E12" i="3"/>
  <c r="E13" i="3"/>
  <c r="E14" i="3"/>
  <c r="E15" i="3"/>
  <c r="E16" i="3"/>
  <c r="E17" i="3"/>
  <c r="D10" i="3"/>
  <c r="D11" i="3"/>
  <c r="D12" i="3"/>
  <c r="D13" i="3"/>
  <c r="D14" i="3"/>
  <c r="D15" i="3"/>
  <c r="D16" i="3"/>
  <c r="D17" i="3"/>
  <c r="C10" i="3"/>
  <c r="C11" i="3"/>
  <c r="C12" i="3"/>
  <c r="C13" i="3"/>
  <c r="C14" i="3"/>
  <c r="C15" i="3"/>
  <c r="C16" i="3"/>
  <c r="C17" i="3"/>
  <c r="B10" i="3"/>
  <c r="B11" i="3"/>
  <c r="B12" i="3"/>
  <c r="B13" i="3"/>
  <c r="B16" i="3"/>
  <c r="B17" i="3"/>
  <c r="J6" i="2"/>
  <c r="J2" i="2"/>
  <c r="J3" i="2"/>
  <c r="J4" i="2"/>
  <c r="E9" i="3"/>
  <c r="D9" i="3"/>
  <c r="C9" i="3"/>
  <c r="B9" i="3"/>
  <c r="J9" i="2"/>
  <c r="J10" i="2"/>
  <c r="G9" i="3"/>
  <c r="J7" i="2"/>
  <c r="B10" i="2"/>
  <c r="C10" i="2"/>
  <c r="D10" i="2"/>
  <c r="E10" i="2"/>
  <c r="F10" i="2"/>
  <c r="G10" i="2"/>
  <c r="H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J8" i="2"/>
  <c r="C3" i="2"/>
  <c r="F5" i="2"/>
  <c r="F3" i="2"/>
  <c r="E4" i="2"/>
  <c r="E3" i="2"/>
  <c r="B5" i="2"/>
  <c r="D6" i="2"/>
  <c r="G6" i="2"/>
  <c r="B4" i="2"/>
  <c r="E5" i="2"/>
  <c r="D5" i="2"/>
  <c r="G5" i="2"/>
  <c r="B3" i="2"/>
  <c r="D4" i="2"/>
  <c r="G4" i="2"/>
  <c r="H6" i="2"/>
  <c r="I6" i="2"/>
  <c r="K6" i="2"/>
  <c r="E6" i="2"/>
  <c r="D3" i="2"/>
  <c r="G3" i="2"/>
  <c r="H5" i="2"/>
  <c r="I5" i="2"/>
  <c r="H4" i="2"/>
  <c r="I4" i="2"/>
  <c r="K4" i="2"/>
  <c r="H3" i="2"/>
  <c r="I3" i="2"/>
  <c r="K3" i="2"/>
  <c r="C6" i="2"/>
  <c r="F6" i="2"/>
  <c r="C5" i="2"/>
  <c r="C4" i="2"/>
  <c r="F4" i="2"/>
  <c r="B6" i="2"/>
  <c r="G6" i="3"/>
  <c r="C6" i="3"/>
  <c r="B6" i="3"/>
  <c r="D6" i="3"/>
  <c r="E6" i="3"/>
  <c r="C8" i="3"/>
  <c r="B8" i="3"/>
  <c r="D8" i="3"/>
  <c r="E8" i="3"/>
  <c r="G8" i="3"/>
  <c r="G4" i="3"/>
  <c r="C4" i="3"/>
  <c r="B4" i="3"/>
  <c r="D4" i="3"/>
  <c r="E4" i="3"/>
  <c r="G5" i="3"/>
  <c r="C5" i="3"/>
  <c r="B5" i="3"/>
  <c r="D5" i="3"/>
  <c r="E5" i="3"/>
  <c r="C7" i="3"/>
  <c r="B7" i="3"/>
  <c r="D7" i="3"/>
  <c r="E7" i="3"/>
  <c r="G7" i="3"/>
  <c r="C3" i="3"/>
  <c r="B3" i="3"/>
  <c r="G3" i="3"/>
  <c r="E3" i="3"/>
  <c r="D3" i="3"/>
  <c r="D2" i="3"/>
  <c r="E2" i="3"/>
  <c r="C2" i="3"/>
  <c r="B2" i="3"/>
  <c r="G2" i="3"/>
  <c r="J26" i="2"/>
  <c r="J27" i="2"/>
  <c r="J28" i="2"/>
  <c r="J29" i="2"/>
  <c r="J30" i="2"/>
  <c r="J31" i="2"/>
  <c r="J32" i="2"/>
  <c r="J33" i="2"/>
  <c r="J34" i="2"/>
  <c r="J12" i="2"/>
  <c r="J16" i="2"/>
  <c r="K16" i="2"/>
  <c r="K10" i="2"/>
  <c r="K2" i="2"/>
  <c r="J545" i="2"/>
  <c r="K545" i="2"/>
  <c r="J546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J554" i="2"/>
  <c r="K554" i="2"/>
  <c r="J555" i="2"/>
  <c r="K555" i="2"/>
  <c r="J556" i="2"/>
  <c r="K556" i="2"/>
  <c r="J557" i="2"/>
  <c r="K557" i="2"/>
  <c r="J558" i="2"/>
  <c r="K558" i="2"/>
  <c r="J559" i="2"/>
  <c r="K559" i="2"/>
  <c r="J560" i="2"/>
  <c r="K560" i="2"/>
  <c r="J561" i="2"/>
  <c r="K561" i="2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630" i="2"/>
  <c r="K630" i="2"/>
  <c r="J631" i="2"/>
  <c r="K631" i="2"/>
  <c r="J632" i="2"/>
  <c r="K632" i="2"/>
  <c r="J633" i="2"/>
  <c r="K633" i="2"/>
  <c r="J634" i="2"/>
  <c r="K634" i="2"/>
  <c r="J635" i="2"/>
  <c r="K635" i="2"/>
  <c r="J636" i="2"/>
  <c r="K636" i="2"/>
  <c r="J637" i="2"/>
  <c r="K637" i="2"/>
  <c r="J638" i="2"/>
  <c r="K638" i="2"/>
  <c r="J639" i="2"/>
  <c r="K639" i="2"/>
  <c r="J640" i="2"/>
  <c r="K640" i="2"/>
  <c r="J641" i="2"/>
  <c r="K641" i="2"/>
  <c r="J642" i="2"/>
  <c r="K642" i="2"/>
  <c r="J643" i="2"/>
  <c r="K643" i="2"/>
  <c r="J644" i="2"/>
  <c r="K644" i="2"/>
  <c r="J645" i="2"/>
  <c r="K645" i="2"/>
  <c r="J646" i="2"/>
  <c r="K646" i="2"/>
  <c r="J647" i="2"/>
  <c r="K647" i="2"/>
  <c r="J648" i="2"/>
  <c r="K648" i="2"/>
  <c r="J649" i="2"/>
  <c r="K649" i="2"/>
  <c r="J650" i="2"/>
  <c r="K650" i="2"/>
  <c r="J651" i="2"/>
  <c r="K651" i="2"/>
  <c r="J652" i="2"/>
  <c r="K652" i="2"/>
  <c r="J653" i="2"/>
  <c r="K653" i="2"/>
  <c r="J654" i="2"/>
  <c r="K654" i="2"/>
  <c r="J655" i="2"/>
  <c r="K655" i="2"/>
  <c r="J656" i="2"/>
  <c r="K656" i="2"/>
  <c r="J657" i="2"/>
  <c r="K657" i="2"/>
  <c r="J658" i="2"/>
  <c r="K658" i="2"/>
  <c r="J659" i="2"/>
  <c r="K659" i="2"/>
  <c r="J660" i="2"/>
  <c r="K660" i="2"/>
  <c r="J661" i="2"/>
  <c r="K661" i="2"/>
  <c r="J662" i="2"/>
  <c r="K662" i="2"/>
  <c r="J663" i="2"/>
  <c r="K663" i="2"/>
  <c r="J664" i="2"/>
  <c r="K664" i="2"/>
  <c r="J665" i="2"/>
  <c r="K665" i="2"/>
  <c r="J666" i="2"/>
  <c r="K666" i="2"/>
  <c r="J667" i="2"/>
  <c r="K667" i="2"/>
  <c r="J668" i="2"/>
  <c r="K668" i="2"/>
  <c r="J669" i="2"/>
  <c r="K669" i="2"/>
  <c r="J670" i="2"/>
  <c r="K670" i="2"/>
  <c r="J671" i="2"/>
  <c r="K671" i="2"/>
  <c r="J672" i="2"/>
  <c r="K672" i="2"/>
  <c r="J673" i="2"/>
  <c r="K673" i="2"/>
  <c r="J674" i="2"/>
  <c r="K674" i="2"/>
  <c r="J675" i="2"/>
  <c r="K675" i="2"/>
  <c r="J676" i="2"/>
  <c r="K676" i="2"/>
  <c r="J677" i="2"/>
  <c r="K677" i="2"/>
  <c r="J678" i="2"/>
  <c r="K678" i="2"/>
  <c r="J679" i="2"/>
  <c r="K679" i="2"/>
  <c r="J680" i="2"/>
  <c r="K680" i="2"/>
  <c r="J681" i="2"/>
  <c r="K681" i="2"/>
  <c r="J682" i="2"/>
  <c r="K682" i="2"/>
  <c r="J683" i="2"/>
  <c r="K683" i="2"/>
  <c r="J684" i="2"/>
  <c r="K684" i="2"/>
  <c r="J685" i="2"/>
  <c r="K685" i="2"/>
  <c r="J686" i="2"/>
  <c r="K686" i="2"/>
  <c r="J687" i="2"/>
  <c r="K687" i="2"/>
  <c r="J688" i="2"/>
  <c r="K688" i="2"/>
  <c r="J689" i="2"/>
  <c r="K689" i="2"/>
  <c r="J690" i="2"/>
  <c r="K690" i="2"/>
  <c r="J691" i="2"/>
  <c r="K691" i="2"/>
  <c r="J692" i="2"/>
  <c r="K692" i="2"/>
  <c r="J693" i="2"/>
  <c r="K693" i="2"/>
  <c r="J694" i="2"/>
  <c r="K694" i="2"/>
  <c r="J695" i="2"/>
  <c r="K695" i="2"/>
  <c r="J696" i="2"/>
  <c r="K696" i="2"/>
  <c r="J697" i="2"/>
  <c r="K697" i="2"/>
  <c r="J698" i="2"/>
  <c r="K698" i="2"/>
  <c r="J699" i="2"/>
  <c r="K699" i="2"/>
  <c r="J700" i="2"/>
  <c r="K700" i="2"/>
  <c r="J701" i="2"/>
  <c r="K701" i="2"/>
  <c r="J702" i="2"/>
  <c r="K702" i="2"/>
  <c r="J703" i="2"/>
  <c r="K703" i="2"/>
  <c r="J704" i="2"/>
  <c r="K704" i="2"/>
  <c r="J705" i="2"/>
  <c r="K705" i="2"/>
  <c r="J706" i="2"/>
  <c r="K706" i="2"/>
  <c r="J707" i="2"/>
  <c r="K707" i="2"/>
  <c r="J708" i="2"/>
  <c r="K708" i="2"/>
  <c r="J709" i="2"/>
  <c r="K709" i="2"/>
  <c r="J710" i="2"/>
  <c r="K710" i="2"/>
  <c r="J711" i="2"/>
  <c r="K711" i="2"/>
  <c r="J712" i="2"/>
  <c r="K712" i="2"/>
  <c r="J713" i="2"/>
  <c r="K713" i="2"/>
  <c r="J714" i="2"/>
  <c r="K714" i="2"/>
  <c r="J715" i="2"/>
  <c r="K715" i="2"/>
  <c r="J716" i="2"/>
  <c r="K716" i="2"/>
  <c r="J717" i="2"/>
  <c r="K717" i="2"/>
  <c r="J718" i="2"/>
  <c r="K718" i="2"/>
  <c r="J719" i="2"/>
  <c r="K719" i="2"/>
  <c r="J720" i="2"/>
  <c r="K720" i="2"/>
  <c r="J721" i="2"/>
  <c r="K721" i="2"/>
  <c r="J722" i="2"/>
  <c r="K722" i="2"/>
  <c r="J723" i="2"/>
  <c r="K723" i="2"/>
  <c r="J724" i="2"/>
  <c r="K724" i="2"/>
  <c r="J725" i="2"/>
  <c r="K725" i="2"/>
  <c r="J726" i="2"/>
  <c r="K726" i="2"/>
  <c r="J727" i="2"/>
  <c r="K727" i="2"/>
  <c r="J728" i="2"/>
  <c r="K728" i="2"/>
  <c r="J729" i="2"/>
  <c r="K729" i="2"/>
  <c r="J730" i="2"/>
  <c r="K730" i="2"/>
  <c r="J731" i="2"/>
  <c r="K731" i="2"/>
  <c r="J732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J740" i="2"/>
  <c r="K740" i="2"/>
  <c r="J741" i="2"/>
  <c r="K741" i="2"/>
  <c r="J742" i="2"/>
  <c r="K742" i="2"/>
  <c r="J743" i="2"/>
  <c r="K743" i="2"/>
  <c r="J744" i="2"/>
  <c r="K744" i="2"/>
  <c r="J745" i="2"/>
  <c r="K745" i="2"/>
  <c r="J746" i="2"/>
  <c r="K746" i="2"/>
  <c r="J747" i="2"/>
  <c r="K747" i="2"/>
  <c r="J748" i="2"/>
  <c r="K748" i="2"/>
  <c r="J749" i="2"/>
  <c r="K749" i="2"/>
  <c r="J750" i="2"/>
  <c r="K750" i="2"/>
  <c r="J751" i="2"/>
  <c r="K751" i="2"/>
  <c r="J752" i="2"/>
  <c r="K752" i="2"/>
  <c r="J753" i="2"/>
  <c r="K753" i="2"/>
  <c r="J754" i="2"/>
  <c r="K754" i="2"/>
  <c r="J755" i="2"/>
  <c r="K755" i="2"/>
  <c r="J756" i="2"/>
  <c r="K756" i="2"/>
  <c r="J757" i="2"/>
  <c r="K757" i="2"/>
  <c r="J758" i="2"/>
  <c r="K758" i="2"/>
  <c r="J759" i="2"/>
  <c r="K759" i="2"/>
  <c r="J760" i="2"/>
  <c r="K760" i="2"/>
  <c r="J761" i="2"/>
  <c r="K761" i="2"/>
  <c r="J762" i="2"/>
  <c r="K762" i="2"/>
  <c r="J763" i="2"/>
  <c r="K763" i="2"/>
  <c r="J764" i="2"/>
  <c r="K764" i="2"/>
  <c r="J765" i="2"/>
  <c r="K765" i="2"/>
  <c r="J766" i="2"/>
  <c r="K766" i="2"/>
  <c r="J767" i="2"/>
  <c r="K767" i="2"/>
  <c r="J768" i="2"/>
  <c r="K768" i="2"/>
  <c r="J769" i="2"/>
  <c r="K769" i="2"/>
  <c r="J770" i="2"/>
  <c r="K770" i="2"/>
  <c r="J771" i="2"/>
  <c r="K771" i="2"/>
  <c r="J772" i="2"/>
  <c r="K772" i="2"/>
  <c r="J773" i="2"/>
  <c r="K773" i="2"/>
  <c r="J774" i="2"/>
  <c r="K774" i="2"/>
  <c r="J775" i="2"/>
  <c r="K775" i="2"/>
  <c r="J776" i="2"/>
  <c r="K776" i="2"/>
  <c r="J777" i="2"/>
  <c r="K777" i="2"/>
  <c r="J778" i="2"/>
  <c r="K778" i="2"/>
  <c r="J779" i="2"/>
  <c r="K779" i="2"/>
  <c r="J780" i="2"/>
  <c r="K780" i="2"/>
  <c r="J781" i="2"/>
  <c r="K781" i="2"/>
  <c r="J782" i="2"/>
  <c r="K782" i="2"/>
  <c r="J783" i="2"/>
  <c r="K783" i="2"/>
  <c r="J784" i="2"/>
  <c r="K784" i="2"/>
  <c r="J785" i="2"/>
  <c r="K785" i="2"/>
  <c r="J786" i="2"/>
  <c r="K786" i="2"/>
  <c r="J787" i="2"/>
  <c r="K787" i="2"/>
  <c r="J788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K794" i="2"/>
  <c r="J795" i="2"/>
  <c r="K795" i="2"/>
  <c r="J796" i="2"/>
  <c r="K796" i="2"/>
  <c r="J797" i="2"/>
  <c r="K797" i="2"/>
  <c r="J798" i="2"/>
  <c r="K798" i="2"/>
  <c r="J799" i="2"/>
  <c r="K799" i="2"/>
  <c r="J800" i="2"/>
  <c r="K800" i="2"/>
  <c r="J801" i="2"/>
  <c r="K801" i="2"/>
  <c r="J802" i="2"/>
  <c r="K802" i="2"/>
  <c r="J803" i="2"/>
  <c r="K803" i="2"/>
  <c r="J804" i="2"/>
  <c r="K804" i="2"/>
  <c r="J805" i="2"/>
  <c r="K805" i="2"/>
  <c r="J806" i="2"/>
  <c r="K806" i="2"/>
  <c r="J807" i="2"/>
  <c r="K807" i="2"/>
  <c r="J808" i="2"/>
  <c r="K808" i="2"/>
  <c r="J809" i="2"/>
  <c r="K809" i="2"/>
  <c r="J810" i="2"/>
  <c r="K810" i="2"/>
  <c r="J811" i="2"/>
  <c r="K811" i="2"/>
  <c r="J812" i="2"/>
  <c r="K812" i="2"/>
  <c r="J813" i="2"/>
  <c r="K813" i="2"/>
  <c r="J814" i="2"/>
  <c r="K814" i="2"/>
  <c r="J815" i="2"/>
  <c r="K815" i="2"/>
  <c r="J816" i="2"/>
  <c r="K816" i="2"/>
  <c r="J817" i="2"/>
  <c r="K817" i="2"/>
  <c r="J818" i="2"/>
  <c r="K818" i="2"/>
  <c r="J819" i="2"/>
  <c r="K819" i="2"/>
  <c r="J820" i="2"/>
  <c r="K820" i="2"/>
  <c r="J821" i="2"/>
  <c r="K821" i="2"/>
  <c r="J822" i="2"/>
  <c r="K822" i="2"/>
  <c r="J823" i="2"/>
  <c r="K823" i="2"/>
  <c r="J824" i="2"/>
  <c r="K824" i="2"/>
  <c r="J825" i="2"/>
  <c r="K825" i="2"/>
  <c r="J826" i="2"/>
  <c r="K826" i="2"/>
  <c r="J827" i="2"/>
  <c r="K827" i="2"/>
  <c r="J828" i="2"/>
  <c r="K828" i="2"/>
  <c r="J829" i="2"/>
  <c r="K829" i="2"/>
  <c r="J830" i="2"/>
  <c r="K830" i="2"/>
  <c r="J831" i="2"/>
  <c r="K831" i="2"/>
  <c r="J832" i="2"/>
  <c r="K832" i="2"/>
  <c r="J833" i="2"/>
  <c r="K833" i="2"/>
  <c r="J834" i="2"/>
  <c r="K834" i="2"/>
  <c r="J835" i="2"/>
  <c r="K835" i="2"/>
  <c r="J836" i="2"/>
  <c r="K836" i="2"/>
  <c r="J837" i="2"/>
  <c r="K837" i="2"/>
  <c r="J838" i="2"/>
  <c r="K838" i="2"/>
  <c r="J839" i="2"/>
  <c r="K839" i="2"/>
  <c r="J840" i="2"/>
  <c r="K840" i="2"/>
  <c r="J841" i="2"/>
  <c r="K841" i="2"/>
  <c r="J842" i="2"/>
  <c r="K842" i="2"/>
  <c r="J843" i="2"/>
  <c r="K843" i="2"/>
  <c r="J844" i="2"/>
  <c r="K844" i="2"/>
  <c r="J845" i="2"/>
  <c r="K845" i="2"/>
  <c r="J846" i="2"/>
  <c r="K846" i="2"/>
  <c r="J847" i="2"/>
  <c r="K847" i="2"/>
  <c r="J848" i="2"/>
  <c r="K848" i="2"/>
  <c r="J849" i="2"/>
  <c r="K849" i="2"/>
  <c r="J850" i="2"/>
  <c r="K850" i="2"/>
  <c r="J851" i="2"/>
  <c r="K851" i="2"/>
  <c r="J852" i="2"/>
  <c r="K852" i="2"/>
  <c r="J853" i="2"/>
  <c r="K853" i="2"/>
  <c r="J854" i="2"/>
  <c r="K854" i="2"/>
  <c r="J855" i="2"/>
  <c r="K855" i="2"/>
  <c r="J856" i="2"/>
  <c r="K856" i="2"/>
  <c r="J857" i="2"/>
  <c r="K857" i="2"/>
  <c r="J858" i="2"/>
  <c r="K858" i="2"/>
  <c r="J859" i="2"/>
  <c r="K859" i="2"/>
  <c r="J860" i="2"/>
  <c r="K860" i="2"/>
  <c r="J861" i="2"/>
  <c r="K861" i="2"/>
  <c r="J862" i="2"/>
  <c r="K862" i="2"/>
  <c r="J863" i="2"/>
  <c r="K863" i="2"/>
  <c r="J864" i="2"/>
  <c r="K864" i="2"/>
  <c r="J865" i="2"/>
  <c r="K865" i="2"/>
  <c r="J866" i="2"/>
  <c r="K866" i="2"/>
  <c r="J867" i="2"/>
  <c r="K867" i="2"/>
  <c r="J868" i="2"/>
  <c r="K868" i="2"/>
  <c r="J869" i="2"/>
  <c r="K869" i="2"/>
  <c r="J870" i="2"/>
  <c r="K870" i="2"/>
  <c r="J871" i="2"/>
  <c r="K871" i="2"/>
  <c r="J872" i="2"/>
  <c r="K872" i="2"/>
  <c r="J873" i="2"/>
  <c r="K873" i="2"/>
  <c r="J874" i="2"/>
  <c r="K874" i="2"/>
  <c r="J875" i="2"/>
  <c r="K875" i="2"/>
  <c r="J876" i="2"/>
  <c r="K876" i="2"/>
  <c r="J877" i="2"/>
  <c r="K877" i="2"/>
  <c r="J878" i="2"/>
  <c r="K878" i="2"/>
  <c r="J879" i="2"/>
  <c r="K879" i="2"/>
  <c r="J880" i="2"/>
  <c r="K880" i="2"/>
  <c r="J881" i="2"/>
  <c r="K881" i="2"/>
  <c r="J882" i="2"/>
  <c r="K882" i="2"/>
  <c r="J883" i="2"/>
  <c r="K883" i="2"/>
  <c r="J884" i="2"/>
  <c r="K884" i="2"/>
  <c r="J885" i="2"/>
  <c r="K885" i="2"/>
  <c r="J886" i="2"/>
  <c r="K886" i="2"/>
  <c r="J887" i="2"/>
  <c r="K887" i="2"/>
  <c r="J888" i="2"/>
  <c r="K888" i="2"/>
  <c r="J889" i="2"/>
  <c r="K889" i="2"/>
  <c r="J890" i="2"/>
  <c r="K890" i="2"/>
  <c r="J891" i="2"/>
  <c r="K891" i="2"/>
  <c r="J892" i="2"/>
  <c r="K892" i="2"/>
  <c r="J893" i="2"/>
  <c r="K893" i="2"/>
  <c r="J894" i="2"/>
  <c r="K894" i="2"/>
  <c r="J895" i="2"/>
  <c r="K895" i="2"/>
  <c r="J896" i="2"/>
  <c r="K896" i="2"/>
  <c r="J897" i="2"/>
  <c r="K897" i="2"/>
  <c r="J898" i="2"/>
  <c r="K898" i="2"/>
  <c r="J899" i="2"/>
  <c r="K899" i="2"/>
  <c r="J900" i="2"/>
  <c r="K900" i="2"/>
  <c r="J901" i="2"/>
  <c r="K901" i="2"/>
  <c r="J902" i="2"/>
  <c r="K902" i="2"/>
  <c r="J903" i="2"/>
  <c r="K903" i="2"/>
  <c r="J904" i="2"/>
  <c r="K904" i="2"/>
  <c r="J905" i="2"/>
  <c r="K905" i="2"/>
  <c r="J906" i="2"/>
  <c r="K906" i="2"/>
  <c r="J907" i="2"/>
  <c r="K907" i="2"/>
  <c r="J908" i="2"/>
  <c r="K908" i="2"/>
  <c r="J909" i="2"/>
  <c r="K909" i="2"/>
  <c r="J910" i="2"/>
  <c r="K910" i="2"/>
  <c r="J911" i="2"/>
  <c r="K911" i="2"/>
  <c r="J912" i="2"/>
  <c r="K912" i="2"/>
  <c r="J913" i="2"/>
  <c r="K913" i="2"/>
  <c r="J914" i="2"/>
  <c r="K914" i="2"/>
  <c r="J915" i="2"/>
  <c r="K915" i="2"/>
  <c r="J916" i="2"/>
  <c r="K916" i="2"/>
  <c r="J917" i="2"/>
  <c r="K917" i="2"/>
  <c r="J918" i="2"/>
  <c r="K918" i="2"/>
  <c r="J919" i="2"/>
  <c r="K919" i="2"/>
  <c r="J920" i="2"/>
  <c r="K920" i="2"/>
  <c r="J921" i="2"/>
  <c r="K921" i="2"/>
  <c r="J922" i="2"/>
  <c r="K922" i="2"/>
  <c r="J923" i="2"/>
  <c r="K923" i="2"/>
  <c r="J924" i="2"/>
  <c r="K924" i="2"/>
  <c r="J925" i="2"/>
  <c r="K925" i="2"/>
  <c r="J926" i="2"/>
  <c r="K926" i="2"/>
  <c r="J927" i="2"/>
  <c r="K927" i="2"/>
  <c r="J928" i="2"/>
  <c r="K928" i="2"/>
  <c r="J929" i="2"/>
  <c r="K929" i="2"/>
  <c r="J930" i="2"/>
  <c r="K930" i="2"/>
  <c r="J931" i="2"/>
  <c r="K931" i="2"/>
  <c r="J932" i="2"/>
  <c r="K932" i="2"/>
  <c r="J933" i="2"/>
  <c r="K933" i="2"/>
  <c r="J934" i="2"/>
  <c r="K934" i="2"/>
  <c r="J935" i="2"/>
  <c r="K935" i="2"/>
  <c r="J936" i="2"/>
  <c r="K936" i="2"/>
  <c r="J937" i="2"/>
  <c r="K937" i="2"/>
  <c r="J938" i="2"/>
  <c r="K938" i="2"/>
  <c r="J939" i="2"/>
  <c r="K939" i="2"/>
  <c r="J940" i="2"/>
  <c r="K940" i="2"/>
  <c r="J941" i="2"/>
  <c r="K941" i="2"/>
  <c r="J942" i="2"/>
  <c r="K942" i="2"/>
  <c r="J943" i="2"/>
  <c r="K943" i="2"/>
  <c r="J944" i="2"/>
  <c r="K944" i="2"/>
  <c r="J945" i="2"/>
  <c r="K945" i="2"/>
  <c r="J946" i="2"/>
  <c r="K946" i="2"/>
  <c r="J947" i="2"/>
  <c r="K947" i="2"/>
  <c r="J948" i="2"/>
  <c r="K948" i="2"/>
  <c r="J949" i="2"/>
  <c r="K949" i="2"/>
  <c r="J950" i="2"/>
  <c r="K950" i="2"/>
  <c r="J951" i="2"/>
  <c r="K951" i="2"/>
  <c r="J952" i="2"/>
  <c r="K952" i="2"/>
  <c r="J953" i="2"/>
  <c r="K953" i="2"/>
  <c r="J954" i="2"/>
  <c r="K954" i="2"/>
  <c r="J955" i="2"/>
  <c r="K955" i="2"/>
  <c r="J956" i="2"/>
  <c r="K956" i="2"/>
  <c r="J957" i="2"/>
  <c r="K957" i="2"/>
  <c r="J958" i="2"/>
  <c r="K958" i="2"/>
  <c r="J959" i="2"/>
  <c r="K959" i="2"/>
  <c r="J960" i="2"/>
  <c r="K960" i="2"/>
  <c r="J961" i="2"/>
  <c r="K961" i="2"/>
  <c r="J962" i="2"/>
  <c r="K962" i="2"/>
  <c r="J963" i="2"/>
  <c r="K963" i="2"/>
  <c r="J964" i="2"/>
  <c r="K964" i="2"/>
  <c r="J965" i="2"/>
  <c r="K965" i="2"/>
  <c r="J966" i="2"/>
  <c r="K966" i="2"/>
  <c r="J967" i="2"/>
  <c r="K967" i="2"/>
  <c r="J968" i="2"/>
  <c r="K968" i="2"/>
  <c r="J969" i="2"/>
  <c r="K969" i="2"/>
  <c r="J970" i="2"/>
  <c r="K970" i="2"/>
  <c r="J971" i="2"/>
  <c r="K971" i="2"/>
  <c r="J972" i="2"/>
  <c r="K972" i="2"/>
  <c r="J973" i="2"/>
  <c r="K973" i="2"/>
  <c r="J974" i="2"/>
  <c r="K974" i="2"/>
  <c r="J975" i="2"/>
  <c r="K975" i="2"/>
  <c r="J976" i="2"/>
  <c r="K976" i="2"/>
  <c r="J977" i="2"/>
  <c r="K977" i="2"/>
  <c r="J978" i="2"/>
  <c r="K978" i="2"/>
  <c r="J979" i="2"/>
  <c r="K979" i="2"/>
  <c r="J980" i="2"/>
  <c r="K980" i="2"/>
  <c r="J981" i="2"/>
  <c r="K981" i="2"/>
  <c r="J982" i="2"/>
  <c r="K982" i="2"/>
  <c r="J983" i="2"/>
  <c r="K983" i="2"/>
  <c r="J984" i="2"/>
  <c r="K984" i="2"/>
  <c r="J985" i="2"/>
  <c r="K985" i="2"/>
  <c r="J986" i="2"/>
  <c r="K986" i="2"/>
  <c r="J987" i="2"/>
  <c r="K987" i="2"/>
  <c r="J988" i="2"/>
  <c r="K988" i="2"/>
  <c r="J989" i="2"/>
  <c r="K989" i="2"/>
  <c r="J990" i="2"/>
  <c r="K990" i="2"/>
  <c r="J991" i="2"/>
  <c r="K991" i="2"/>
  <c r="J992" i="2"/>
  <c r="K992" i="2"/>
  <c r="J993" i="2"/>
  <c r="K993" i="2"/>
  <c r="J994" i="2"/>
  <c r="K994" i="2"/>
  <c r="J995" i="2"/>
  <c r="K995" i="2"/>
  <c r="J996" i="2"/>
  <c r="K996" i="2"/>
  <c r="J5" i="2"/>
  <c r="K5" i="2"/>
  <c r="R15" i="1"/>
  <c r="J11" i="2"/>
  <c r="K11" i="2"/>
  <c r="K12" i="2"/>
  <c r="J13" i="2"/>
  <c r="J14" i="2"/>
  <c r="J15" i="2"/>
  <c r="J17" i="2"/>
  <c r="J19" i="2"/>
  <c r="J20" i="2"/>
  <c r="J21" i="2"/>
  <c r="J22" i="2"/>
  <c r="J23" i="2"/>
  <c r="J24" i="2"/>
  <c r="J25" i="2"/>
  <c r="J35" i="2"/>
  <c r="J36" i="2"/>
  <c r="J37" i="2"/>
  <c r="J38" i="2"/>
  <c r="J39" i="2"/>
  <c r="J40" i="2"/>
  <c r="J41" i="2"/>
  <c r="J42" i="2"/>
  <c r="J43" i="2"/>
  <c r="K43" i="2"/>
  <c r="J44" i="2"/>
  <c r="J45" i="2"/>
  <c r="J46" i="2"/>
  <c r="J47" i="2"/>
  <c r="K47" i="2"/>
  <c r="J48" i="2"/>
  <c r="J49" i="2"/>
  <c r="J50" i="2"/>
  <c r="J51" i="2"/>
  <c r="J52" i="2"/>
  <c r="J53" i="2"/>
  <c r="J54" i="2"/>
  <c r="J55" i="2"/>
  <c r="J56" i="2"/>
  <c r="J57" i="2"/>
  <c r="K57" i="2"/>
  <c r="J58" i="2"/>
  <c r="K58" i="2"/>
  <c r="J59" i="2"/>
  <c r="J60" i="2"/>
  <c r="J61" i="2"/>
  <c r="J62" i="2"/>
  <c r="K62" i="2"/>
  <c r="J63" i="2"/>
  <c r="K63" i="2"/>
  <c r="J64" i="2"/>
  <c r="J65" i="2"/>
  <c r="J66" i="2"/>
  <c r="J67" i="2"/>
  <c r="J68" i="2"/>
  <c r="J69" i="2"/>
  <c r="J70" i="2"/>
  <c r="K70" i="2"/>
  <c r="J71" i="2"/>
  <c r="J72" i="2"/>
  <c r="J73" i="2"/>
  <c r="J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K149" i="2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K273" i="2"/>
  <c r="J274" i="2"/>
  <c r="K274" i="2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K281" i="2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K290" i="2"/>
  <c r="J291" i="2"/>
  <c r="K291" i="2"/>
  <c r="J292" i="2"/>
  <c r="K292" i="2"/>
  <c r="J293" i="2"/>
  <c r="K293" i="2"/>
  <c r="J294" i="2"/>
  <c r="K294" i="2"/>
  <c r="J295" i="2"/>
  <c r="K295" i="2"/>
  <c r="J296" i="2"/>
  <c r="K296" i="2"/>
  <c r="J297" i="2"/>
  <c r="K297" i="2"/>
  <c r="J298" i="2"/>
  <c r="K298" i="2"/>
  <c r="J299" i="2"/>
  <c r="K299" i="2"/>
  <c r="J300" i="2"/>
  <c r="K300" i="2"/>
  <c r="J301" i="2"/>
  <c r="K301" i="2"/>
  <c r="J302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346" i="2"/>
  <c r="K346" i="2"/>
  <c r="J347" i="2"/>
  <c r="K347" i="2"/>
  <c r="J348" i="2"/>
  <c r="K348" i="2"/>
  <c r="J349" i="2"/>
  <c r="K349" i="2"/>
  <c r="J350" i="2"/>
  <c r="K350" i="2"/>
  <c r="J351" i="2"/>
  <c r="K351" i="2"/>
  <c r="J352" i="2"/>
  <c r="K352" i="2"/>
  <c r="J353" i="2"/>
  <c r="K353" i="2"/>
  <c r="J354" i="2"/>
  <c r="K354" i="2"/>
  <c r="J355" i="2"/>
  <c r="K355" i="2"/>
  <c r="J356" i="2"/>
  <c r="K356" i="2"/>
  <c r="J357" i="2"/>
  <c r="K357" i="2"/>
  <c r="J358" i="2"/>
  <c r="K358" i="2"/>
  <c r="J359" i="2"/>
  <c r="K359" i="2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K368" i="2"/>
  <c r="J369" i="2"/>
  <c r="K369" i="2"/>
  <c r="J370" i="2"/>
  <c r="K370" i="2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K394" i="2"/>
  <c r="J395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K414" i="2"/>
  <c r="J415" i="2"/>
  <c r="K415" i="2"/>
  <c r="J416" i="2"/>
  <c r="K416" i="2"/>
  <c r="J417" i="2"/>
  <c r="K417" i="2"/>
  <c r="J418" i="2"/>
  <c r="K418" i="2"/>
  <c r="J419" i="2"/>
  <c r="K419" i="2"/>
  <c r="J420" i="2"/>
  <c r="K420" i="2"/>
  <c r="J421" i="2"/>
  <c r="K421" i="2"/>
  <c r="J422" i="2"/>
  <c r="K422" i="2"/>
  <c r="J423" i="2"/>
  <c r="K423" i="2"/>
  <c r="J424" i="2"/>
  <c r="K424" i="2"/>
  <c r="J425" i="2"/>
  <c r="K425" i="2"/>
  <c r="J426" i="2"/>
  <c r="K426" i="2"/>
  <c r="J427" i="2"/>
  <c r="K427" i="2"/>
  <c r="J428" i="2"/>
  <c r="K428" i="2"/>
  <c r="J429" i="2"/>
  <c r="K429" i="2"/>
  <c r="J430" i="2"/>
  <c r="K430" i="2"/>
  <c r="J431" i="2"/>
  <c r="K431" i="2"/>
  <c r="J432" i="2"/>
  <c r="K432" i="2"/>
  <c r="J433" i="2"/>
  <c r="K433" i="2"/>
  <c r="J434" i="2"/>
  <c r="K434" i="2"/>
  <c r="J435" i="2"/>
  <c r="K435" i="2"/>
  <c r="J436" i="2"/>
  <c r="K436" i="2"/>
  <c r="J437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K452" i="2"/>
  <c r="J453" i="2"/>
  <c r="K453" i="2"/>
  <c r="J454" i="2"/>
  <c r="K454" i="2"/>
  <c r="J455" i="2"/>
  <c r="K455" i="2"/>
  <c r="J456" i="2"/>
  <c r="K456" i="2"/>
  <c r="J457" i="2"/>
  <c r="K457" i="2"/>
  <c r="J458" i="2"/>
  <c r="K458" i="2"/>
  <c r="J459" i="2"/>
  <c r="K459" i="2"/>
  <c r="J460" i="2"/>
  <c r="K460" i="2"/>
  <c r="J461" i="2"/>
  <c r="K461" i="2"/>
  <c r="J462" i="2"/>
  <c r="K462" i="2"/>
  <c r="J463" i="2"/>
  <c r="K463" i="2"/>
  <c r="J464" i="2"/>
  <c r="K464" i="2"/>
  <c r="J465" i="2"/>
  <c r="K465" i="2"/>
  <c r="J466" i="2"/>
  <c r="K466" i="2"/>
  <c r="J467" i="2"/>
  <c r="K467" i="2"/>
  <c r="J468" i="2"/>
  <c r="K468" i="2"/>
  <c r="J469" i="2"/>
  <c r="K469" i="2"/>
  <c r="J470" i="2"/>
  <c r="K470" i="2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K484" i="2"/>
  <c r="J485" i="2"/>
  <c r="K485" i="2"/>
  <c r="J486" i="2"/>
  <c r="K486" i="2"/>
  <c r="J487" i="2"/>
  <c r="K487" i="2"/>
  <c r="J488" i="2"/>
  <c r="K488" i="2"/>
  <c r="J489" i="2"/>
  <c r="K489" i="2"/>
  <c r="J490" i="2"/>
  <c r="K490" i="2"/>
  <c r="J491" i="2"/>
  <c r="K491" i="2"/>
  <c r="J492" i="2"/>
  <c r="K492" i="2"/>
  <c r="J493" i="2"/>
  <c r="K493" i="2"/>
  <c r="J494" i="2"/>
  <c r="K494" i="2"/>
  <c r="J495" i="2"/>
  <c r="K495" i="2"/>
  <c r="J496" i="2"/>
  <c r="K496" i="2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1" i="2"/>
  <c r="K541" i="2"/>
  <c r="J542" i="2"/>
  <c r="K542" i="2"/>
  <c r="J543" i="2"/>
  <c r="K543" i="2"/>
  <c r="J544" i="2"/>
  <c r="K544" i="2"/>
  <c r="I10" i="2"/>
  <c r="F2" i="2"/>
  <c r="E2" i="2"/>
  <c r="C2" i="2"/>
  <c r="B2" i="2"/>
  <c r="D2" i="2"/>
  <c r="G2" i="2"/>
  <c r="H2" i="2"/>
  <c r="I2" i="2"/>
  <c r="B9" i="2"/>
  <c r="C9" i="2"/>
  <c r="D9" i="2"/>
  <c r="E9" i="2"/>
  <c r="F9" i="2"/>
  <c r="G9" i="2"/>
  <c r="H9" i="2"/>
  <c r="I9" i="2"/>
  <c r="K9" i="2"/>
  <c r="E7" i="2"/>
  <c r="D8" i="2"/>
  <c r="G8" i="2"/>
  <c r="D7" i="2"/>
  <c r="G7" i="2"/>
  <c r="H8" i="2"/>
  <c r="I8" i="2"/>
  <c r="K8" i="2"/>
  <c r="H7" i="2"/>
  <c r="I7" i="2"/>
  <c r="K7" i="2"/>
  <c r="C8" i="2"/>
  <c r="F8" i="2"/>
  <c r="C7" i="2"/>
  <c r="F7" i="2"/>
  <c r="E8" i="2"/>
  <c r="B8" i="2"/>
  <c r="B7" i="2"/>
  <c r="B13" i="2"/>
  <c r="C13" i="2"/>
  <c r="D13" i="2"/>
  <c r="E13" i="2"/>
  <c r="F13" i="2"/>
  <c r="G13" i="2"/>
  <c r="H13" i="2"/>
  <c r="I13" i="2"/>
  <c r="K13" i="2"/>
  <c r="B14" i="2"/>
  <c r="C14" i="2"/>
  <c r="D14" i="2"/>
  <c r="E14" i="2"/>
  <c r="F14" i="2"/>
  <c r="G14" i="2"/>
  <c r="H14" i="2"/>
  <c r="B15" i="2"/>
  <c r="C15" i="2"/>
  <c r="D15" i="2"/>
  <c r="E15" i="2"/>
  <c r="F15" i="2"/>
  <c r="G15" i="2"/>
  <c r="H15" i="2"/>
  <c r="K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I19" i="2"/>
  <c r="K19" i="2"/>
  <c r="B20" i="2"/>
  <c r="C20" i="2"/>
  <c r="D20" i="2"/>
  <c r="E20" i="2"/>
  <c r="F20" i="2"/>
  <c r="G20" i="2"/>
  <c r="H20" i="2"/>
  <c r="B21" i="2"/>
  <c r="C21" i="2"/>
  <c r="D21" i="2"/>
  <c r="E21" i="2"/>
  <c r="F21" i="2"/>
  <c r="G21" i="2"/>
  <c r="H21" i="2"/>
  <c r="B22" i="2"/>
  <c r="C22" i="2"/>
  <c r="D22" i="2"/>
  <c r="E22" i="2"/>
  <c r="F22" i="2"/>
  <c r="G22" i="2"/>
  <c r="H22" i="2"/>
  <c r="B23" i="2"/>
  <c r="C23" i="2"/>
  <c r="D23" i="2"/>
  <c r="E23" i="2"/>
  <c r="F23" i="2"/>
  <c r="G23" i="2"/>
  <c r="H23" i="2"/>
  <c r="B24" i="2"/>
  <c r="C24" i="2"/>
  <c r="D24" i="2"/>
  <c r="E24" i="2"/>
  <c r="F24" i="2"/>
  <c r="G24" i="2"/>
  <c r="H24" i="2"/>
  <c r="K24" i="2"/>
  <c r="B25" i="2"/>
  <c r="C25" i="2"/>
  <c r="D25" i="2"/>
  <c r="E25" i="2"/>
  <c r="F25" i="2"/>
  <c r="G25" i="2"/>
  <c r="H25" i="2"/>
  <c r="K25" i="2"/>
  <c r="B26" i="2"/>
  <c r="C26" i="2"/>
  <c r="D26" i="2"/>
  <c r="E26" i="2"/>
  <c r="F26" i="2"/>
  <c r="G26" i="2"/>
  <c r="H26" i="2"/>
  <c r="K26" i="2"/>
  <c r="B27" i="2"/>
  <c r="C27" i="2"/>
  <c r="D27" i="2"/>
  <c r="E27" i="2"/>
  <c r="F27" i="2"/>
  <c r="G27" i="2"/>
  <c r="H27" i="2"/>
  <c r="K27" i="2"/>
  <c r="B28" i="2"/>
  <c r="C28" i="2"/>
  <c r="D28" i="2"/>
  <c r="E28" i="2"/>
  <c r="F28" i="2"/>
  <c r="G28" i="2"/>
  <c r="H28" i="2"/>
  <c r="K28" i="2"/>
  <c r="B29" i="2"/>
  <c r="C29" i="2"/>
  <c r="D29" i="2"/>
  <c r="E29" i="2"/>
  <c r="F29" i="2"/>
  <c r="G29" i="2"/>
  <c r="H29" i="2"/>
  <c r="K29" i="2"/>
  <c r="B30" i="2"/>
  <c r="C30" i="2"/>
  <c r="D30" i="2"/>
  <c r="E30" i="2"/>
  <c r="F30" i="2"/>
  <c r="G30" i="2"/>
  <c r="H30" i="2"/>
  <c r="K30" i="2"/>
  <c r="B31" i="2"/>
  <c r="C31" i="2"/>
  <c r="D31" i="2"/>
  <c r="E31" i="2"/>
  <c r="F31" i="2"/>
  <c r="G31" i="2"/>
  <c r="H31" i="2"/>
  <c r="K31" i="2"/>
  <c r="B32" i="2"/>
  <c r="C32" i="2"/>
  <c r="D32" i="2"/>
  <c r="E32" i="2"/>
  <c r="F32" i="2"/>
  <c r="G32" i="2"/>
  <c r="H32" i="2"/>
  <c r="K32" i="2"/>
  <c r="B33" i="2"/>
  <c r="C33" i="2"/>
  <c r="D33" i="2"/>
  <c r="E33" i="2"/>
  <c r="F33" i="2"/>
  <c r="G33" i="2"/>
  <c r="H33" i="2"/>
  <c r="K33" i="2"/>
  <c r="B34" i="2"/>
  <c r="C34" i="2"/>
  <c r="D34" i="2"/>
  <c r="E34" i="2"/>
  <c r="F34" i="2"/>
  <c r="G34" i="2"/>
  <c r="H34" i="2"/>
  <c r="K34" i="2"/>
  <c r="B35" i="2"/>
  <c r="C35" i="2"/>
  <c r="D35" i="2"/>
  <c r="E35" i="2"/>
  <c r="F35" i="2"/>
  <c r="G35" i="2"/>
  <c r="H35" i="2"/>
  <c r="K35" i="2"/>
  <c r="B36" i="2"/>
  <c r="C36" i="2"/>
  <c r="D36" i="2"/>
  <c r="E36" i="2"/>
  <c r="F36" i="2"/>
  <c r="G36" i="2"/>
  <c r="H36" i="2"/>
  <c r="K36" i="2"/>
  <c r="B37" i="2"/>
  <c r="C37" i="2"/>
  <c r="D37" i="2"/>
  <c r="E37" i="2"/>
  <c r="F37" i="2"/>
  <c r="G37" i="2"/>
  <c r="H37" i="2"/>
  <c r="K37" i="2"/>
  <c r="B38" i="2"/>
  <c r="C38" i="2"/>
  <c r="D38" i="2"/>
  <c r="E38" i="2"/>
  <c r="F38" i="2"/>
  <c r="G38" i="2"/>
  <c r="H38" i="2"/>
  <c r="B39" i="2"/>
  <c r="C39" i="2"/>
  <c r="D39" i="2"/>
  <c r="E39" i="2"/>
  <c r="F39" i="2"/>
  <c r="G39" i="2"/>
  <c r="H39" i="2"/>
  <c r="B40" i="2"/>
  <c r="C40" i="2"/>
  <c r="D40" i="2"/>
  <c r="E40" i="2"/>
  <c r="F40" i="2"/>
  <c r="G40" i="2"/>
  <c r="H40" i="2"/>
  <c r="B41" i="2"/>
  <c r="C41" i="2"/>
  <c r="D41" i="2"/>
  <c r="E41" i="2"/>
  <c r="F41" i="2"/>
  <c r="G41" i="2"/>
  <c r="H41" i="2"/>
  <c r="K41" i="2"/>
  <c r="B42" i="2"/>
  <c r="C42" i="2"/>
  <c r="D42" i="2"/>
  <c r="E42" i="2"/>
  <c r="F42" i="2"/>
  <c r="G42" i="2"/>
  <c r="H42" i="2"/>
  <c r="K42" i="2"/>
  <c r="B43" i="2"/>
  <c r="C43" i="2"/>
  <c r="D43" i="2"/>
  <c r="E43" i="2"/>
  <c r="F43" i="2"/>
  <c r="G43" i="2"/>
  <c r="H43" i="2"/>
  <c r="B44" i="2"/>
  <c r="C44" i="2"/>
  <c r="D44" i="2"/>
  <c r="E44" i="2"/>
  <c r="F44" i="2"/>
  <c r="G44" i="2"/>
  <c r="H44" i="2"/>
  <c r="K44" i="2"/>
  <c r="B45" i="2"/>
  <c r="C45" i="2"/>
  <c r="D45" i="2"/>
  <c r="E45" i="2"/>
  <c r="F45" i="2"/>
  <c r="G45" i="2"/>
  <c r="H45" i="2"/>
  <c r="K45" i="2" s="1"/>
  <c r="C46" i="2"/>
  <c r="D46" i="2"/>
  <c r="E46" i="2"/>
  <c r="F46" i="2"/>
  <c r="G46" i="2"/>
  <c r="H46" i="2"/>
  <c r="K46" i="2" s="1"/>
  <c r="B47" i="2"/>
  <c r="C47" i="2"/>
  <c r="D47" i="2"/>
  <c r="E47" i="2"/>
  <c r="F47" i="2"/>
  <c r="G47" i="2"/>
  <c r="H47" i="2"/>
  <c r="B48" i="2"/>
  <c r="C48" i="2"/>
  <c r="D48" i="2"/>
  <c r="E48" i="2"/>
  <c r="F48" i="2"/>
  <c r="G48" i="2"/>
  <c r="H48" i="2"/>
  <c r="K48" i="2" s="1"/>
  <c r="B49" i="2"/>
  <c r="C49" i="2"/>
  <c r="E49" i="2"/>
  <c r="F49" i="2"/>
  <c r="G49" i="2"/>
  <c r="H49" i="2"/>
  <c r="K49" i="2" s="1"/>
  <c r="B50" i="2"/>
  <c r="C50" i="2"/>
  <c r="D50" i="2"/>
  <c r="E50" i="2"/>
  <c r="F50" i="2"/>
  <c r="G50" i="2"/>
  <c r="H50" i="2"/>
  <c r="B51" i="2"/>
  <c r="C51" i="2"/>
  <c r="D51" i="2"/>
  <c r="E51" i="2"/>
  <c r="F51" i="2"/>
  <c r="G51" i="2"/>
  <c r="H51" i="2"/>
  <c r="B52" i="2"/>
  <c r="C52" i="2"/>
  <c r="D52" i="2"/>
  <c r="E52" i="2"/>
  <c r="F52" i="2"/>
  <c r="G52" i="2"/>
  <c r="H52" i="2"/>
  <c r="B53" i="2"/>
  <c r="C53" i="2"/>
  <c r="D53" i="2"/>
  <c r="E53" i="2"/>
  <c r="F53" i="2"/>
  <c r="G53" i="2"/>
  <c r="H53" i="2"/>
  <c r="K53" i="2" s="1"/>
  <c r="B54" i="2"/>
  <c r="C54" i="2"/>
  <c r="D54" i="2"/>
  <c r="E54" i="2"/>
  <c r="F54" i="2"/>
  <c r="G54" i="2"/>
  <c r="H54" i="2"/>
  <c r="K54" i="2" s="1"/>
  <c r="B55" i="2"/>
  <c r="C55" i="2"/>
  <c r="D55" i="2"/>
  <c r="E55" i="2"/>
  <c r="F55" i="2"/>
  <c r="G55" i="2"/>
  <c r="H55" i="2"/>
  <c r="B56" i="2"/>
  <c r="C56" i="2"/>
  <c r="D56" i="2"/>
  <c r="E56" i="2"/>
  <c r="F56" i="2"/>
  <c r="G56" i="2"/>
  <c r="H56" i="2"/>
  <c r="B57" i="2"/>
  <c r="C57" i="2"/>
  <c r="D57" i="2"/>
  <c r="E57" i="2"/>
  <c r="F57" i="2"/>
  <c r="G57" i="2"/>
  <c r="H57" i="2"/>
  <c r="B58" i="2"/>
  <c r="C58" i="2"/>
  <c r="D58" i="2"/>
  <c r="E58" i="2"/>
  <c r="F58" i="2"/>
  <c r="G58" i="2"/>
  <c r="H58" i="2"/>
  <c r="B59" i="2"/>
  <c r="C59" i="2"/>
  <c r="D59" i="2"/>
  <c r="E59" i="2"/>
  <c r="F59" i="2"/>
  <c r="G59" i="2"/>
  <c r="H59" i="2"/>
  <c r="K59" i="2" s="1"/>
  <c r="B60" i="2"/>
  <c r="C60" i="2"/>
  <c r="D60" i="2"/>
  <c r="E60" i="2"/>
  <c r="F60" i="2"/>
  <c r="G60" i="2"/>
  <c r="H60" i="2"/>
  <c r="K60" i="2" s="1"/>
  <c r="B61" i="2"/>
  <c r="C61" i="2"/>
  <c r="D61" i="2"/>
  <c r="E61" i="2"/>
  <c r="F61" i="2"/>
  <c r="G61" i="2"/>
  <c r="H61" i="2"/>
  <c r="K61" i="2" s="1"/>
  <c r="B62" i="2"/>
  <c r="C62" i="2"/>
  <c r="D62" i="2"/>
  <c r="E62" i="2"/>
  <c r="F62" i="2"/>
  <c r="G62" i="2"/>
  <c r="H62" i="2"/>
  <c r="B63" i="2"/>
  <c r="C63" i="2"/>
  <c r="D63" i="2"/>
  <c r="E63" i="2"/>
  <c r="F63" i="2"/>
  <c r="G63" i="2"/>
  <c r="H63" i="2"/>
  <c r="B64" i="2"/>
  <c r="C64" i="2"/>
  <c r="D64" i="2"/>
  <c r="E64" i="2"/>
  <c r="F64" i="2"/>
  <c r="G64" i="2"/>
  <c r="H64" i="2"/>
  <c r="B65" i="2"/>
  <c r="C65" i="2"/>
  <c r="D65" i="2"/>
  <c r="E65" i="2"/>
  <c r="F65" i="2"/>
  <c r="G65" i="2"/>
  <c r="H65" i="2"/>
  <c r="B66" i="2"/>
  <c r="C66" i="2"/>
  <c r="D66" i="2"/>
  <c r="E66" i="2"/>
  <c r="F66" i="2"/>
  <c r="G66" i="2"/>
  <c r="H66" i="2"/>
  <c r="K66" i="2" s="1"/>
  <c r="B67" i="2"/>
  <c r="C67" i="2"/>
  <c r="D67" i="2"/>
  <c r="E67" i="2"/>
  <c r="F67" i="2"/>
  <c r="G67" i="2"/>
  <c r="H67" i="2"/>
  <c r="K67" i="2" s="1"/>
  <c r="B68" i="2"/>
  <c r="C68" i="2"/>
  <c r="D68" i="2"/>
  <c r="E68" i="2"/>
  <c r="F68" i="2"/>
  <c r="G68" i="2"/>
  <c r="H68" i="2"/>
  <c r="K68" i="2" s="1"/>
  <c r="B69" i="2"/>
  <c r="C69" i="2"/>
  <c r="D69" i="2"/>
  <c r="E69" i="2"/>
  <c r="F69" i="2"/>
  <c r="G69" i="2"/>
  <c r="H69" i="2"/>
  <c r="K69" i="2" s="1"/>
  <c r="B70" i="2"/>
  <c r="C70" i="2"/>
  <c r="D70" i="2"/>
  <c r="E70" i="2"/>
  <c r="F70" i="2"/>
  <c r="G70" i="2"/>
  <c r="H70" i="2"/>
  <c r="B71" i="2"/>
  <c r="C71" i="2"/>
  <c r="D71" i="2"/>
  <c r="E71" i="2"/>
  <c r="F71" i="2"/>
  <c r="G71" i="2"/>
  <c r="H71" i="2"/>
  <c r="K71" i="2" s="1"/>
  <c r="B72" i="2"/>
  <c r="C72" i="2"/>
  <c r="D72" i="2"/>
  <c r="E72" i="2"/>
  <c r="F72" i="2"/>
  <c r="G72" i="2"/>
  <c r="H72" i="2"/>
  <c r="K72" i="2" s="1"/>
  <c r="B73" i="2"/>
  <c r="C73" i="2"/>
  <c r="D73" i="2"/>
  <c r="E73" i="2"/>
  <c r="F73" i="2"/>
  <c r="G73" i="2"/>
  <c r="H73" i="2"/>
  <c r="B74" i="2"/>
  <c r="C74" i="2"/>
  <c r="D74" i="2"/>
  <c r="E74" i="2"/>
  <c r="F74" i="2"/>
  <c r="G74" i="2"/>
  <c r="H74" i="2"/>
  <c r="B75" i="2"/>
  <c r="C75" i="2"/>
  <c r="D75" i="2"/>
  <c r="E75" i="2"/>
  <c r="F75" i="2"/>
  <c r="G75" i="2"/>
  <c r="H75" i="2"/>
  <c r="B76" i="2"/>
  <c r="C76" i="2"/>
  <c r="D76" i="2"/>
  <c r="E76" i="2"/>
  <c r="F76" i="2"/>
  <c r="G76" i="2"/>
  <c r="H76" i="2"/>
  <c r="B77" i="2"/>
  <c r="C77" i="2"/>
  <c r="D77" i="2"/>
  <c r="E77" i="2"/>
  <c r="F77" i="2"/>
  <c r="G77" i="2"/>
  <c r="H77" i="2"/>
  <c r="B78" i="2"/>
  <c r="C78" i="2"/>
  <c r="D78" i="2"/>
  <c r="E78" i="2"/>
  <c r="F78" i="2"/>
  <c r="G78" i="2"/>
  <c r="H78" i="2"/>
  <c r="B79" i="2"/>
  <c r="C79" i="2"/>
  <c r="D79" i="2"/>
  <c r="E79" i="2"/>
  <c r="F79" i="2"/>
  <c r="G79" i="2"/>
  <c r="H79" i="2"/>
  <c r="B80" i="2"/>
  <c r="C80" i="2"/>
  <c r="D80" i="2"/>
  <c r="E80" i="2"/>
  <c r="F80" i="2"/>
  <c r="G80" i="2"/>
  <c r="H80" i="2"/>
  <c r="B81" i="2"/>
  <c r="C81" i="2"/>
  <c r="D81" i="2"/>
  <c r="E81" i="2"/>
  <c r="F81" i="2"/>
  <c r="G81" i="2"/>
  <c r="H81" i="2"/>
  <c r="B82" i="2"/>
  <c r="C82" i="2"/>
  <c r="D82" i="2"/>
  <c r="E82" i="2"/>
  <c r="F82" i="2"/>
  <c r="G82" i="2"/>
  <c r="H82" i="2"/>
  <c r="B83" i="2"/>
  <c r="C83" i="2"/>
  <c r="D83" i="2"/>
  <c r="E83" i="2"/>
  <c r="F83" i="2"/>
  <c r="G83" i="2"/>
  <c r="H83" i="2"/>
  <c r="B84" i="2"/>
  <c r="C84" i="2"/>
  <c r="D84" i="2"/>
  <c r="E84" i="2"/>
  <c r="F84" i="2"/>
  <c r="G84" i="2"/>
  <c r="H84" i="2"/>
  <c r="B85" i="2"/>
  <c r="C85" i="2"/>
  <c r="D85" i="2"/>
  <c r="E85" i="2"/>
  <c r="F85" i="2"/>
  <c r="G85" i="2"/>
  <c r="H85" i="2"/>
  <c r="B86" i="2"/>
  <c r="C86" i="2"/>
  <c r="D86" i="2"/>
  <c r="E86" i="2"/>
  <c r="F86" i="2"/>
  <c r="G86" i="2"/>
  <c r="H86" i="2"/>
  <c r="B87" i="2"/>
  <c r="C87" i="2"/>
  <c r="D87" i="2"/>
  <c r="E87" i="2"/>
  <c r="F87" i="2"/>
  <c r="G87" i="2"/>
  <c r="H87" i="2"/>
  <c r="B88" i="2"/>
  <c r="C88" i="2"/>
  <c r="D88" i="2"/>
  <c r="E88" i="2"/>
  <c r="F88" i="2"/>
  <c r="G88" i="2"/>
  <c r="H88" i="2"/>
  <c r="B89" i="2"/>
  <c r="C89" i="2"/>
  <c r="D89" i="2"/>
  <c r="E89" i="2"/>
  <c r="F89" i="2"/>
  <c r="G89" i="2"/>
  <c r="H89" i="2"/>
  <c r="B90" i="2"/>
  <c r="C90" i="2"/>
  <c r="D90" i="2"/>
  <c r="E90" i="2"/>
  <c r="F90" i="2"/>
  <c r="G90" i="2"/>
  <c r="H90" i="2"/>
  <c r="B91" i="2"/>
  <c r="C91" i="2"/>
  <c r="D91" i="2"/>
  <c r="E91" i="2"/>
  <c r="F91" i="2"/>
  <c r="G91" i="2"/>
  <c r="H91" i="2"/>
  <c r="B92" i="2"/>
  <c r="C92" i="2"/>
  <c r="D92" i="2"/>
  <c r="E92" i="2"/>
  <c r="F92" i="2"/>
  <c r="G92" i="2"/>
  <c r="H92" i="2"/>
  <c r="B93" i="2"/>
  <c r="C93" i="2"/>
  <c r="D93" i="2"/>
  <c r="E93" i="2"/>
  <c r="F93" i="2"/>
  <c r="G93" i="2"/>
  <c r="H93" i="2"/>
  <c r="B94" i="2"/>
  <c r="C94" i="2"/>
  <c r="D94" i="2"/>
  <c r="E94" i="2"/>
  <c r="F94" i="2"/>
  <c r="G94" i="2"/>
  <c r="H94" i="2"/>
  <c r="B95" i="2"/>
  <c r="C95" i="2"/>
  <c r="D95" i="2"/>
  <c r="E95" i="2"/>
  <c r="F95" i="2"/>
  <c r="G95" i="2"/>
  <c r="H95" i="2"/>
  <c r="B96" i="2"/>
  <c r="C96" i="2"/>
  <c r="D96" i="2"/>
  <c r="E96" i="2"/>
  <c r="F96" i="2"/>
  <c r="G96" i="2"/>
  <c r="H96" i="2"/>
  <c r="B97" i="2"/>
  <c r="C97" i="2"/>
  <c r="D97" i="2"/>
  <c r="E97" i="2"/>
  <c r="F97" i="2"/>
  <c r="G97" i="2"/>
  <c r="H97" i="2"/>
  <c r="B98" i="2"/>
  <c r="C98" i="2"/>
  <c r="D98" i="2"/>
  <c r="E98" i="2"/>
  <c r="F98" i="2"/>
  <c r="G98" i="2"/>
  <c r="H98" i="2"/>
  <c r="B99" i="2"/>
  <c r="C99" i="2"/>
  <c r="D99" i="2"/>
  <c r="E99" i="2"/>
  <c r="F99" i="2"/>
  <c r="G99" i="2"/>
  <c r="H99" i="2"/>
  <c r="B100" i="2"/>
  <c r="C100" i="2"/>
  <c r="D100" i="2"/>
  <c r="E100" i="2"/>
  <c r="F100" i="2"/>
  <c r="G100" i="2"/>
  <c r="H100" i="2"/>
  <c r="B101" i="2"/>
  <c r="C101" i="2"/>
  <c r="D101" i="2"/>
  <c r="E101" i="2"/>
  <c r="F101" i="2"/>
  <c r="G101" i="2"/>
  <c r="H101" i="2"/>
  <c r="B102" i="2"/>
  <c r="C102" i="2"/>
  <c r="D102" i="2"/>
  <c r="E102" i="2"/>
  <c r="F102" i="2"/>
  <c r="G102" i="2"/>
  <c r="H102" i="2"/>
  <c r="B103" i="2"/>
  <c r="C103" i="2"/>
  <c r="D103" i="2"/>
  <c r="E103" i="2"/>
  <c r="F103" i="2"/>
  <c r="G103" i="2"/>
  <c r="H103" i="2"/>
  <c r="B104" i="2"/>
  <c r="C104" i="2"/>
  <c r="D104" i="2"/>
  <c r="E104" i="2"/>
  <c r="F104" i="2"/>
  <c r="G104" i="2"/>
  <c r="H104" i="2"/>
  <c r="B105" i="2"/>
  <c r="C105" i="2"/>
  <c r="D105" i="2"/>
  <c r="E105" i="2"/>
  <c r="F105" i="2"/>
  <c r="G105" i="2"/>
  <c r="H105" i="2"/>
  <c r="B106" i="2"/>
  <c r="C106" i="2"/>
  <c r="D106" i="2"/>
  <c r="E106" i="2"/>
  <c r="F106" i="2"/>
  <c r="G106" i="2"/>
  <c r="H106" i="2"/>
  <c r="B107" i="2"/>
  <c r="C107" i="2"/>
  <c r="D107" i="2"/>
  <c r="E107" i="2"/>
  <c r="F107" i="2"/>
  <c r="G107" i="2"/>
  <c r="H107" i="2"/>
  <c r="B108" i="2"/>
  <c r="C108" i="2"/>
  <c r="D108" i="2"/>
  <c r="E108" i="2"/>
  <c r="F108" i="2"/>
  <c r="G108" i="2"/>
  <c r="H108" i="2"/>
  <c r="B109" i="2"/>
  <c r="C109" i="2"/>
  <c r="D109" i="2"/>
  <c r="E109" i="2"/>
  <c r="F109" i="2"/>
  <c r="G109" i="2"/>
  <c r="H109" i="2"/>
  <c r="B110" i="2"/>
  <c r="C110" i="2"/>
  <c r="D110" i="2"/>
  <c r="E110" i="2"/>
  <c r="F110" i="2"/>
  <c r="G110" i="2"/>
  <c r="H110" i="2"/>
  <c r="B111" i="2"/>
  <c r="C111" i="2"/>
  <c r="D111" i="2"/>
  <c r="E111" i="2"/>
  <c r="F111" i="2"/>
  <c r="G111" i="2"/>
  <c r="H111" i="2"/>
  <c r="B112" i="2"/>
  <c r="C112" i="2"/>
  <c r="D112" i="2"/>
  <c r="E112" i="2"/>
  <c r="F112" i="2"/>
  <c r="G112" i="2"/>
  <c r="H112" i="2"/>
  <c r="B113" i="2"/>
  <c r="C113" i="2"/>
  <c r="D113" i="2"/>
  <c r="E113" i="2"/>
  <c r="F113" i="2"/>
  <c r="G113" i="2"/>
  <c r="H113" i="2"/>
  <c r="B114" i="2"/>
  <c r="C114" i="2"/>
  <c r="D114" i="2"/>
  <c r="E114" i="2"/>
  <c r="F114" i="2"/>
  <c r="G114" i="2"/>
  <c r="H114" i="2"/>
  <c r="B115" i="2"/>
  <c r="C115" i="2"/>
  <c r="D115" i="2"/>
  <c r="E115" i="2"/>
  <c r="F115" i="2"/>
  <c r="G115" i="2"/>
  <c r="H115" i="2"/>
  <c r="B116" i="2"/>
  <c r="C116" i="2"/>
  <c r="D116" i="2"/>
  <c r="E116" i="2"/>
  <c r="F116" i="2"/>
  <c r="G116" i="2"/>
  <c r="H116" i="2"/>
  <c r="B117" i="2"/>
  <c r="C117" i="2"/>
  <c r="D117" i="2"/>
  <c r="E117" i="2"/>
  <c r="F117" i="2"/>
  <c r="G117" i="2"/>
  <c r="H117" i="2"/>
  <c r="B118" i="2"/>
  <c r="C118" i="2"/>
  <c r="D118" i="2"/>
  <c r="E118" i="2"/>
  <c r="F118" i="2"/>
  <c r="G118" i="2"/>
  <c r="H118" i="2"/>
  <c r="B119" i="2"/>
  <c r="C119" i="2"/>
  <c r="D119" i="2"/>
  <c r="E119" i="2"/>
  <c r="F119" i="2"/>
  <c r="G119" i="2"/>
  <c r="H119" i="2"/>
  <c r="B120" i="2"/>
  <c r="C120" i="2"/>
  <c r="D120" i="2"/>
  <c r="E120" i="2"/>
  <c r="F120" i="2"/>
  <c r="G120" i="2"/>
  <c r="H120" i="2"/>
  <c r="B121" i="2"/>
  <c r="C121" i="2"/>
  <c r="D121" i="2"/>
  <c r="E121" i="2"/>
  <c r="F121" i="2"/>
  <c r="G121" i="2"/>
  <c r="H121" i="2"/>
  <c r="B122" i="2"/>
  <c r="C122" i="2"/>
  <c r="D122" i="2"/>
  <c r="E122" i="2"/>
  <c r="F122" i="2"/>
  <c r="G122" i="2"/>
  <c r="H122" i="2"/>
  <c r="B123" i="2"/>
  <c r="C123" i="2"/>
  <c r="D123" i="2"/>
  <c r="E123" i="2"/>
  <c r="F123" i="2"/>
  <c r="G123" i="2"/>
  <c r="H123" i="2"/>
  <c r="B124" i="2"/>
  <c r="C124" i="2"/>
  <c r="D124" i="2"/>
  <c r="E124" i="2"/>
  <c r="F124" i="2"/>
  <c r="G124" i="2"/>
  <c r="H124" i="2"/>
  <c r="B125" i="2"/>
  <c r="C125" i="2"/>
  <c r="D125" i="2"/>
  <c r="E125" i="2"/>
  <c r="F125" i="2"/>
  <c r="G125" i="2"/>
  <c r="H125" i="2"/>
  <c r="B126" i="2"/>
  <c r="C126" i="2"/>
  <c r="D126" i="2"/>
  <c r="E126" i="2"/>
  <c r="F126" i="2"/>
  <c r="G126" i="2"/>
  <c r="H126" i="2"/>
  <c r="B127" i="2"/>
  <c r="C127" i="2"/>
  <c r="D127" i="2"/>
  <c r="E127" i="2"/>
  <c r="F127" i="2"/>
  <c r="G127" i="2"/>
  <c r="H127" i="2"/>
  <c r="B128" i="2"/>
  <c r="C128" i="2"/>
  <c r="D128" i="2"/>
  <c r="E128" i="2"/>
  <c r="F128" i="2"/>
  <c r="G128" i="2"/>
  <c r="H128" i="2"/>
  <c r="B129" i="2"/>
  <c r="C129" i="2"/>
  <c r="D129" i="2"/>
  <c r="E129" i="2"/>
  <c r="F129" i="2"/>
  <c r="G129" i="2"/>
  <c r="H129" i="2"/>
  <c r="B130" i="2"/>
  <c r="C130" i="2"/>
  <c r="D130" i="2"/>
  <c r="E130" i="2"/>
  <c r="F130" i="2"/>
  <c r="G130" i="2"/>
  <c r="H130" i="2"/>
  <c r="B131" i="2"/>
  <c r="C131" i="2"/>
  <c r="D131" i="2"/>
  <c r="E131" i="2"/>
  <c r="F131" i="2"/>
  <c r="G131" i="2"/>
  <c r="H131" i="2"/>
  <c r="B132" i="2"/>
  <c r="C132" i="2"/>
  <c r="D132" i="2"/>
  <c r="E132" i="2"/>
  <c r="F132" i="2"/>
  <c r="G132" i="2"/>
  <c r="H132" i="2"/>
  <c r="B133" i="2"/>
  <c r="C133" i="2"/>
  <c r="D133" i="2"/>
  <c r="E133" i="2"/>
  <c r="F133" i="2"/>
  <c r="G133" i="2"/>
  <c r="H133" i="2"/>
  <c r="B134" i="2"/>
  <c r="C134" i="2"/>
  <c r="D134" i="2"/>
  <c r="E134" i="2"/>
  <c r="F134" i="2"/>
  <c r="G134" i="2"/>
  <c r="H134" i="2"/>
  <c r="B135" i="2"/>
  <c r="C135" i="2"/>
  <c r="D135" i="2"/>
  <c r="E135" i="2"/>
  <c r="F135" i="2"/>
  <c r="G135" i="2"/>
  <c r="H135" i="2"/>
  <c r="B136" i="2"/>
  <c r="C136" i="2"/>
  <c r="D136" i="2"/>
  <c r="E136" i="2"/>
  <c r="F136" i="2"/>
  <c r="G136" i="2"/>
  <c r="H136" i="2"/>
  <c r="B137" i="2"/>
  <c r="C137" i="2"/>
  <c r="D137" i="2"/>
  <c r="E137" i="2"/>
  <c r="F137" i="2"/>
  <c r="G137" i="2"/>
  <c r="H137" i="2"/>
  <c r="B138" i="2"/>
  <c r="C138" i="2"/>
  <c r="D138" i="2"/>
  <c r="E138" i="2"/>
  <c r="F138" i="2"/>
  <c r="G138" i="2"/>
  <c r="H138" i="2"/>
  <c r="B139" i="2"/>
  <c r="C139" i="2"/>
  <c r="D139" i="2"/>
  <c r="E139" i="2"/>
  <c r="F139" i="2"/>
  <c r="G139" i="2"/>
  <c r="H139" i="2"/>
  <c r="B140" i="2"/>
  <c r="C140" i="2"/>
  <c r="D140" i="2"/>
  <c r="E140" i="2"/>
  <c r="F140" i="2"/>
  <c r="G140" i="2"/>
  <c r="H140" i="2"/>
  <c r="B141" i="2"/>
  <c r="C141" i="2"/>
  <c r="D141" i="2"/>
  <c r="E141" i="2"/>
  <c r="F141" i="2"/>
  <c r="G141" i="2"/>
  <c r="H141" i="2"/>
  <c r="B142" i="2"/>
  <c r="C142" i="2"/>
  <c r="D142" i="2"/>
  <c r="E142" i="2"/>
  <c r="F142" i="2"/>
  <c r="G142" i="2"/>
  <c r="H142" i="2"/>
  <c r="B143" i="2"/>
  <c r="C143" i="2"/>
  <c r="D143" i="2"/>
  <c r="E143" i="2"/>
  <c r="F143" i="2"/>
  <c r="G143" i="2"/>
  <c r="H143" i="2"/>
  <c r="B144" i="2"/>
  <c r="C144" i="2"/>
  <c r="D144" i="2"/>
  <c r="E144" i="2"/>
  <c r="F144" i="2"/>
  <c r="G144" i="2"/>
  <c r="H144" i="2"/>
  <c r="B145" i="2"/>
  <c r="C145" i="2"/>
  <c r="D145" i="2"/>
  <c r="E145" i="2"/>
  <c r="F145" i="2"/>
  <c r="G145" i="2"/>
  <c r="H145" i="2"/>
  <c r="B146" i="2"/>
  <c r="C146" i="2"/>
  <c r="D146" i="2"/>
  <c r="E146" i="2"/>
  <c r="F146" i="2"/>
  <c r="G146" i="2"/>
  <c r="H146" i="2"/>
  <c r="B147" i="2"/>
  <c r="C147" i="2"/>
  <c r="D147" i="2"/>
  <c r="E147" i="2"/>
  <c r="F147" i="2"/>
  <c r="G147" i="2"/>
  <c r="H147" i="2"/>
  <c r="B148" i="2"/>
  <c r="C148" i="2"/>
  <c r="D148" i="2"/>
  <c r="E148" i="2"/>
  <c r="F148" i="2"/>
  <c r="G148" i="2"/>
  <c r="H148" i="2"/>
  <c r="B149" i="2"/>
  <c r="C149" i="2"/>
  <c r="D149" i="2"/>
  <c r="E149" i="2"/>
  <c r="F149" i="2"/>
  <c r="G149" i="2"/>
  <c r="H149" i="2"/>
  <c r="B150" i="2"/>
  <c r="C150" i="2"/>
  <c r="D150" i="2"/>
  <c r="E150" i="2"/>
  <c r="F150" i="2"/>
  <c r="G150" i="2"/>
  <c r="H150" i="2"/>
  <c r="B151" i="2"/>
  <c r="C151" i="2"/>
  <c r="D151" i="2"/>
  <c r="E151" i="2"/>
  <c r="F151" i="2"/>
  <c r="G151" i="2"/>
  <c r="H151" i="2"/>
  <c r="B152" i="2"/>
  <c r="C152" i="2"/>
  <c r="D152" i="2"/>
  <c r="E152" i="2"/>
  <c r="F152" i="2"/>
  <c r="G152" i="2"/>
  <c r="H152" i="2"/>
  <c r="B153" i="2"/>
  <c r="C153" i="2"/>
  <c r="D153" i="2"/>
  <c r="E153" i="2"/>
  <c r="F153" i="2"/>
  <c r="G153" i="2"/>
  <c r="H153" i="2"/>
  <c r="B154" i="2"/>
  <c r="C154" i="2"/>
  <c r="D154" i="2"/>
  <c r="E154" i="2"/>
  <c r="F154" i="2"/>
  <c r="G154" i="2"/>
  <c r="H154" i="2"/>
  <c r="B155" i="2"/>
  <c r="C155" i="2"/>
  <c r="D155" i="2"/>
  <c r="E155" i="2"/>
  <c r="F155" i="2"/>
  <c r="G155" i="2"/>
  <c r="H155" i="2"/>
  <c r="B156" i="2"/>
  <c r="C156" i="2"/>
  <c r="D156" i="2"/>
  <c r="E156" i="2"/>
  <c r="F156" i="2"/>
  <c r="G156" i="2"/>
  <c r="H156" i="2"/>
  <c r="B157" i="2"/>
  <c r="C157" i="2"/>
  <c r="D157" i="2"/>
  <c r="E157" i="2"/>
  <c r="F157" i="2"/>
  <c r="G157" i="2"/>
  <c r="H157" i="2"/>
  <c r="B158" i="2"/>
  <c r="C158" i="2"/>
  <c r="D158" i="2"/>
  <c r="E158" i="2"/>
  <c r="F158" i="2"/>
  <c r="G158" i="2"/>
  <c r="H158" i="2"/>
  <c r="B159" i="2"/>
  <c r="C159" i="2"/>
  <c r="D159" i="2"/>
  <c r="E159" i="2"/>
  <c r="F159" i="2"/>
  <c r="G159" i="2"/>
  <c r="H159" i="2"/>
  <c r="B160" i="2"/>
  <c r="C160" i="2"/>
  <c r="D160" i="2"/>
  <c r="E160" i="2"/>
  <c r="F160" i="2"/>
  <c r="G160" i="2"/>
  <c r="H160" i="2"/>
  <c r="B161" i="2"/>
  <c r="C161" i="2"/>
  <c r="D161" i="2"/>
  <c r="E161" i="2"/>
  <c r="F161" i="2"/>
  <c r="G161" i="2"/>
  <c r="H161" i="2"/>
  <c r="B162" i="2"/>
  <c r="C162" i="2"/>
  <c r="D162" i="2"/>
  <c r="E162" i="2"/>
  <c r="F162" i="2"/>
  <c r="G162" i="2"/>
  <c r="H162" i="2"/>
  <c r="B163" i="2"/>
  <c r="C163" i="2"/>
  <c r="D163" i="2"/>
  <c r="E163" i="2"/>
  <c r="F163" i="2"/>
  <c r="G163" i="2"/>
  <c r="H163" i="2"/>
  <c r="B164" i="2"/>
  <c r="C164" i="2"/>
  <c r="D164" i="2"/>
  <c r="E164" i="2"/>
  <c r="F164" i="2"/>
  <c r="G164" i="2"/>
  <c r="H164" i="2"/>
  <c r="B165" i="2"/>
  <c r="C165" i="2"/>
  <c r="D165" i="2"/>
  <c r="E165" i="2"/>
  <c r="F165" i="2"/>
  <c r="G165" i="2"/>
  <c r="H165" i="2"/>
  <c r="B166" i="2"/>
  <c r="C166" i="2"/>
  <c r="D166" i="2"/>
  <c r="E166" i="2"/>
  <c r="F166" i="2"/>
  <c r="G166" i="2"/>
  <c r="H166" i="2"/>
  <c r="B167" i="2"/>
  <c r="C167" i="2"/>
  <c r="D167" i="2"/>
  <c r="E167" i="2"/>
  <c r="F167" i="2"/>
  <c r="G167" i="2"/>
  <c r="H167" i="2"/>
  <c r="B168" i="2"/>
  <c r="C168" i="2"/>
  <c r="D168" i="2"/>
  <c r="E168" i="2"/>
  <c r="F168" i="2"/>
  <c r="G168" i="2"/>
  <c r="H168" i="2"/>
  <c r="B169" i="2"/>
  <c r="C169" i="2"/>
  <c r="D169" i="2"/>
  <c r="E169" i="2"/>
  <c r="F169" i="2"/>
  <c r="G169" i="2"/>
  <c r="H169" i="2"/>
  <c r="B170" i="2"/>
  <c r="C170" i="2"/>
  <c r="D170" i="2"/>
  <c r="E170" i="2"/>
  <c r="F170" i="2"/>
  <c r="G170" i="2"/>
  <c r="H170" i="2"/>
  <c r="B171" i="2"/>
  <c r="C171" i="2"/>
  <c r="D171" i="2"/>
  <c r="E171" i="2"/>
  <c r="F171" i="2"/>
  <c r="G171" i="2"/>
  <c r="H171" i="2"/>
  <c r="B172" i="2"/>
  <c r="C172" i="2"/>
  <c r="D172" i="2"/>
  <c r="E172" i="2"/>
  <c r="F172" i="2"/>
  <c r="G172" i="2"/>
  <c r="H172" i="2"/>
  <c r="B173" i="2"/>
  <c r="C173" i="2"/>
  <c r="D173" i="2"/>
  <c r="E173" i="2"/>
  <c r="F173" i="2"/>
  <c r="G173" i="2"/>
  <c r="H173" i="2"/>
  <c r="B174" i="2"/>
  <c r="C174" i="2"/>
  <c r="D174" i="2"/>
  <c r="E174" i="2"/>
  <c r="F174" i="2"/>
  <c r="G174" i="2"/>
  <c r="H174" i="2"/>
  <c r="B175" i="2"/>
  <c r="C175" i="2"/>
  <c r="D175" i="2"/>
  <c r="E175" i="2"/>
  <c r="F175" i="2"/>
  <c r="G175" i="2"/>
  <c r="H175" i="2"/>
  <c r="B176" i="2"/>
  <c r="C176" i="2"/>
  <c r="D176" i="2"/>
  <c r="E176" i="2"/>
  <c r="F176" i="2"/>
  <c r="G176" i="2"/>
  <c r="H176" i="2"/>
  <c r="B177" i="2"/>
  <c r="C177" i="2"/>
  <c r="D177" i="2"/>
  <c r="E177" i="2"/>
  <c r="F177" i="2"/>
  <c r="G177" i="2"/>
  <c r="H177" i="2"/>
  <c r="B178" i="2"/>
  <c r="C178" i="2"/>
  <c r="D178" i="2"/>
  <c r="E178" i="2"/>
  <c r="F178" i="2"/>
  <c r="G178" i="2"/>
  <c r="H178" i="2"/>
  <c r="B179" i="2"/>
  <c r="C179" i="2"/>
  <c r="D179" i="2"/>
  <c r="E179" i="2"/>
  <c r="F179" i="2"/>
  <c r="G179" i="2"/>
  <c r="H179" i="2"/>
  <c r="B180" i="2"/>
  <c r="C180" i="2"/>
  <c r="D180" i="2"/>
  <c r="E180" i="2"/>
  <c r="F180" i="2"/>
  <c r="G180" i="2"/>
  <c r="H180" i="2"/>
  <c r="B181" i="2"/>
  <c r="C181" i="2"/>
  <c r="D181" i="2"/>
  <c r="E181" i="2"/>
  <c r="F181" i="2"/>
  <c r="G181" i="2"/>
  <c r="H181" i="2"/>
  <c r="B182" i="2"/>
  <c r="C182" i="2"/>
  <c r="D182" i="2"/>
  <c r="E182" i="2"/>
  <c r="F182" i="2"/>
  <c r="G182" i="2"/>
  <c r="H182" i="2"/>
  <c r="B183" i="2"/>
  <c r="C183" i="2"/>
  <c r="D183" i="2"/>
  <c r="E183" i="2"/>
  <c r="F183" i="2"/>
  <c r="G183" i="2"/>
  <c r="H183" i="2"/>
  <c r="B184" i="2"/>
  <c r="C184" i="2"/>
  <c r="D184" i="2"/>
  <c r="E184" i="2"/>
  <c r="F184" i="2"/>
  <c r="G184" i="2"/>
  <c r="H184" i="2"/>
  <c r="B185" i="2"/>
  <c r="C185" i="2"/>
  <c r="D185" i="2"/>
  <c r="E185" i="2"/>
  <c r="F185" i="2"/>
  <c r="G185" i="2"/>
  <c r="H185" i="2"/>
  <c r="B186" i="2"/>
  <c r="C186" i="2"/>
  <c r="D186" i="2"/>
  <c r="E186" i="2"/>
  <c r="F186" i="2"/>
  <c r="G186" i="2"/>
  <c r="H186" i="2"/>
  <c r="B187" i="2"/>
  <c r="C187" i="2"/>
  <c r="D187" i="2"/>
  <c r="E187" i="2"/>
  <c r="F187" i="2"/>
  <c r="G187" i="2"/>
  <c r="H187" i="2"/>
  <c r="B188" i="2"/>
  <c r="C188" i="2"/>
  <c r="D188" i="2"/>
  <c r="E188" i="2"/>
  <c r="F188" i="2"/>
  <c r="G188" i="2"/>
  <c r="H188" i="2"/>
  <c r="B189" i="2"/>
  <c r="C189" i="2"/>
  <c r="D189" i="2"/>
  <c r="E189" i="2"/>
  <c r="F189" i="2"/>
  <c r="G189" i="2"/>
  <c r="H189" i="2"/>
  <c r="B190" i="2"/>
  <c r="C190" i="2"/>
  <c r="D190" i="2"/>
  <c r="E190" i="2"/>
  <c r="F190" i="2"/>
  <c r="G190" i="2"/>
  <c r="H190" i="2"/>
  <c r="B191" i="2"/>
  <c r="C191" i="2"/>
  <c r="D191" i="2"/>
  <c r="E191" i="2"/>
  <c r="F191" i="2"/>
  <c r="G191" i="2"/>
  <c r="H191" i="2"/>
  <c r="B192" i="2"/>
  <c r="C192" i="2"/>
  <c r="D192" i="2"/>
  <c r="E192" i="2"/>
  <c r="F192" i="2"/>
  <c r="G192" i="2"/>
  <c r="H192" i="2"/>
  <c r="B193" i="2"/>
  <c r="C193" i="2"/>
  <c r="D193" i="2"/>
  <c r="E193" i="2"/>
  <c r="F193" i="2"/>
  <c r="G193" i="2"/>
  <c r="H193" i="2"/>
  <c r="B194" i="2"/>
  <c r="C194" i="2"/>
  <c r="D194" i="2"/>
  <c r="E194" i="2"/>
  <c r="F194" i="2"/>
  <c r="G194" i="2"/>
  <c r="H194" i="2"/>
  <c r="B195" i="2"/>
  <c r="C195" i="2"/>
  <c r="D195" i="2"/>
  <c r="E195" i="2"/>
  <c r="F195" i="2"/>
  <c r="G195" i="2"/>
  <c r="H195" i="2"/>
  <c r="B196" i="2"/>
  <c r="C196" i="2"/>
  <c r="D196" i="2"/>
  <c r="E196" i="2"/>
  <c r="F196" i="2"/>
  <c r="G196" i="2"/>
  <c r="H196" i="2"/>
  <c r="B197" i="2"/>
  <c r="C197" i="2"/>
  <c r="D197" i="2"/>
  <c r="E197" i="2"/>
  <c r="F197" i="2"/>
  <c r="G197" i="2"/>
  <c r="H197" i="2"/>
  <c r="B198" i="2"/>
  <c r="C198" i="2"/>
  <c r="D198" i="2"/>
  <c r="E198" i="2"/>
  <c r="F198" i="2"/>
  <c r="G198" i="2"/>
  <c r="H198" i="2"/>
  <c r="B199" i="2"/>
  <c r="C199" i="2"/>
  <c r="D199" i="2"/>
  <c r="E199" i="2"/>
  <c r="F199" i="2"/>
  <c r="G199" i="2"/>
  <c r="H199" i="2"/>
  <c r="B200" i="2"/>
  <c r="C200" i="2"/>
  <c r="D200" i="2"/>
  <c r="E200" i="2"/>
  <c r="F200" i="2"/>
  <c r="G200" i="2"/>
  <c r="H200" i="2"/>
  <c r="B201" i="2"/>
  <c r="C201" i="2"/>
  <c r="D201" i="2"/>
  <c r="E201" i="2"/>
  <c r="F201" i="2"/>
  <c r="G201" i="2"/>
  <c r="H201" i="2"/>
  <c r="B202" i="2"/>
  <c r="C202" i="2"/>
  <c r="D202" i="2"/>
  <c r="E202" i="2"/>
  <c r="F202" i="2"/>
  <c r="G202" i="2"/>
  <c r="H202" i="2"/>
  <c r="B203" i="2"/>
  <c r="C203" i="2"/>
  <c r="D203" i="2"/>
  <c r="E203" i="2"/>
  <c r="F203" i="2"/>
  <c r="G203" i="2"/>
  <c r="H203" i="2"/>
  <c r="B204" i="2"/>
  <c r="C204" i="2"/>
  <c r="D204" i="2"/>
  <c r="E204" i="2"/>
  <c r="F204" i="2"/>
  <c r="G204" i="2"/>
  <c r="H204" i="2"/>
  <c r="B205" i="2"/>
  <c r="C205" i="2"/>
  <c r="D205" i="2"/>
  <c r="E205" i="2"/>
  <c r="F205" i="2"/>
  <c r="G205" i="2"/>
  <c r="H205" i="2"/>
  <c r="B206" i="2"/>
  <c r="C206" i="2"/>
  <c r="D206" i="2"/>
  <c r="E206" i="2"/>
  <c r="F206" i="2"/>
  <c r="G206" i="2"/>
  <c r="H206" i="2"/>
  <c r="B207" i="2"/>
  <c r="C207" i="2"/>
  <c r="D207" i="2"/>
  <c r="E207" i="2"/>
  <c r="F207" i="2"/>
  <c r="G207" i="2"/>
  <c r="H207" i="2"/>
  <c r="B208" i="2"/>
  <c r="C208" i="2"/>
  <c r="D208" i="2"/>
  <c r="E208" i="2"/>
  <c r="F208" i="2"/>
  <c r="G208" i="2"/>
  <c r="H208" i="2"/>
  <c r="B209" i="2"/>
  <c r="C209" i="2"/>
  <c r="D209" i="2"/>
  <c r="E209" i="2"/>
  <c r="F209" i="2"/>
  <c r="G209" i="2"/>
  <c r="H209" i="2"/>
  <c r="B210" i="2"/>
  <c r="C210" i="2"/>
  <c r="D210" i="2"/>
  <c r="E210" i="2"/>
  <c r="F210" i="2"/>
  <c r="G210" i="2"/>
  <c r="H210" i="2"/>
  <c r="B211" i="2"/>
  <c r="C211" i="2"/>
  <c r="D211" i="2"/>
  <c r="E211" i="2"/>
  <c r="F211" i="2"/>
  <c r="G211" i="2"/>
  <c r="H211" i="2"/>
  <c r="B212" i="2"/>
  <c r="C212" i="2"/>
  <c r="D212" i="2"/>
  <c r="E212" i="2"/>
  <c r="F212" i="2"/>
  <c r="G212" i="2"/>
  <c r="H212" i="2"/>
  <c r="B213" i="2"/>
  <c r="C213" i="2"/>
  <c r="D213" i="2"/>
  <c r="E213" i="2"/>
  <c r="F213" i="2"/>
  <c r="G213" i="2"/>
  <c r="H213" i="2"/>
  <c r="B214" i="2"/>
  <c r="C214" i="2"/>
  <c r="D214" i="2"/>
  <c r="E214" i="2"/>
  <c r="F214" i="2"/>
  <c r="G214" i="2"/>
  <c r="H214" i="2"/>
  <c r="B215" i="2"/>
  <c r="C215" i="2"/>
  <c r="D215" i="2"/>
  <c r="E215" i="2"/>
  <c r="F215" i="2"/>
  <c r="G215" i="2"/>
  <c r="H215" i="2"/>
  <c r="B216" i="2"/>
  <c r="C216" i="2"/>
  <c r="D216" i="2"/>
  <c r="E216" i="2"/>
  <c r="F216" i="2"/>
  <c r="G216" i="2"/>
  <c r="H216" i="2"/>
  <c r="B217" i="2"/>
  <c r="C217" i="2"/>
  <c r="D217" i="2"/>
  <c r="E217" i="2"/>
  <c r="F217" i="2"/>
  <c r="G217" i="2"/>
  <c r="H217" i="2"/>
  <c r="B218" i="2"/>
  <c r="C218" i="2"/>
  <c r="D218" i="2"/>
  <c r="E218" i="2"/>
  <c r="F218" i="2"/>
  <c r="G218" i="2"/>
  <c r="H218" i="2"/>
  <c r="B219" i="2"/>
  <c r="C219" i="2"/>
  <c r="D219" i="2"/>
  <c r="E219" i="2"/>
  <c r="F219" i="2"/>
  <c r="G219" i="2"/>
  <c r="H219" i="2"/>
  <c r="B220" i="2"/>
  <c r="C220" i="2"/>
  <c r="D220" i="2"/>
  <c r="E220" i="2"/>
  <c r="F220" i="2"/>
  <c r="G220" i="2"/>
  <c r="H220" i="2"/>
  <c r="B221" i="2"/>
  <c r="C221" i="2"/>
  <c r="D221" i="2"/>
  <c r="E221" i="2"/>
  <c r="F221" i="2"/>
  <c r="G221" i="2"/>
  <c r="H221" i="2"/>
  <c r="B222" i="2"/>
  <c r="C222" i="2"/>
  <c r="D222" i="2"/>
  <c r="E222" i="2"/>
  <c r="F222" i="2"/>
  <c r="G222" i="2"/>
  <c r="H222" i="2"/>
  <c r="B223" i="2"/>
  <c r="C223" i="2"/>
  <c r="D223" i="2"/>
  <c r="E223" i="2"/>
  <c r="F223" i="2"/>
  <c r="G223" i="2"/>
  <c r="H223" i="2"/>
  <c r="B224" i="2"/>
  <c r="C224" i="2"/>
  <c r="D224" i="2"/>
  <c r="E224" i="2"/>
  <c r="F224" i="2"/>
  <c r="G224" i="2"/>
  <c r="H224" i="2"/>
  <c r="B225" i="2"/>
  <c r="C225" i="2"/>
  <c r="D225" i="2"/>
  <c r="E225" i="2"/>
  <c r="F225" i="2"/>
  <c r="G225" i="2"/>
  <c r="H225" i="2"/>
  <c r="B226" i="2"/>
  <c r="C226" i="2"/>
  <c r="D226" i="2"/>
  <c r="E226" i="2"/>
  <c r="F226" i="2"/>
  <c r="G226" i="2"/>
  <c r="H226" i="2"/>
  <c r="B227" i="2"/>
  <c r="C227" i="2"/>
  <c r="D227" i="2"/>
  <c r="E227" i="2"/>
  <c r="F227" i="2"/>
  <c r="G227" i="2"/>
  <c r="H227" i="2"/>
  <c r="B228" i="2"/>
  <c r="C228" i="2"/>
  <c r="D228" i="2"/>
  <c r="E228" i="2"/>
  <c r="F228" i="2"/>
  <c r="G228" i="2"/>
  <c r="H228" i="2"/>
  <c r="B229" i="2"/>
  <c r="C229" i="2"/>
  <c r="D229" i="2"/>
  <c r="E229" i="2"/>
  <c r="F229" i="2"/>
  <c r="G229" i="2"/>
  <c r="H229" i="2"/>
  <c r="B230" i="2"/>
  <c r="C230" i="2"/>
  <c r="D230" i="2"/>
  <c r="E230" i="2"/>
  <c r="F230" i="2"/>
  <c r="G230" i="2"/>
  <c r="H230" i="2"/>
  <c r="B231" i="2"/>
  <c r="C231" i="2"/>
  <c r="D231" i="2"/>
  <c r="E231" i="2"/>
  <c r="F231" i="2"/>
  <c r="G231" i="2"/>
  <c r="H231" i="2"/>
  <c r="B232" i="2"/>
  <c r="C232" i="2"/>
  <c r="D232" i="2"/>
  <c r="E232" i="2"/>
  <c r="F232" i="2"/>
  <c r="G232" i="2"/>
  <c r="H232" i="2"/>
  <c r="B233" i="2"/>
  <c r="C233" i="2"/>
  <c r="D233" i="2"/>
  <c r="E233" i="2"/>
  <c r="F233" i="2"/>
  <c r="G233" i="2"/>
  <c r="H233" i="2"/>
  <c r="B234" i="2"/>
  <c r="C234" i="2"/>
  <c r="D234" i="2"/>
  <c r="E234" i="2"/>
  <c r="F234" i="2"/>
  <c r="G234" i="2"/>
  <c r="H234" i="2"/>
  <c r="B235" i="2"/>
  <c r="C235" i="2"/>
  <c r="D235" i="2"/>
  <c r="E235" i="2"/>
  <c r="F235" i="2"/>
  <c r="G235" i="2"/>
  <c r="H235" i="2"/>
  <c r="B236" i="2"/>
  <c r="C236" i="2"/>
  <c r="D236" i="2"/>
  <c r="E236" i="2"/>
  <c r="F236" i="2"/>
  <c r="G236" i="2"/>
  <c r="H236" i="2"/>
  <c r="B237" i="2"/>
  <c r="C237" i="2"/>
  <c r="D237" i="2"/>
  <c r="E237" i="2"/>
  <c r="F237" i="2"/>
  <c r="G237" i="2"/>
  <c r="H237" i="2"/>
  <c r="B238" i="2"/>
  <c r="C238" i="2"/>
  <c r="D238" i="2"/>
  <c r="E238" i="2"/>
  <c r="F238" i="2"/>
  <c r="G238" i="2"/>
  <c r="H238" i="2"/>
  <c r="B239" i="2"/>
  <c r="C239" i="2"/>
  <c r="D239" i="2"/>
  <c r="E239" i="2"/>
  <c r="F239" i="2"/>
  <c r="G239" i="2"/>
  <c r="H239" i="2"/>
  <c r="B240" i="2"/>
  <c r="C240" i="2"/>
  <c r="D240" i="2"/>
  <c r="E240" i="2"/>
  <c r="F240" i="2"/>
  <c r="G240" i="2"/>
  <c r="H240" i="2"/>
  <c r="B241" i="2"/>
  <c r="C241" i="2"/>
  <c r="D241" i="2"/>
  <c r="E241" i="2"/>
  <c r="F241" i="2"/>
  <c r="G241" i="2"/>
  <c r="H241" i="2"/>
  <c r="B242" i="2"/>
  <c r="C242" i="2"/>
  <c r="D242" i="2"/>
  <c r="E242" i="2"/>
  <c r="F242" i="2"/>
  <c r="G242" i="2"/>
  <c r="H242" i="2"/>
  <c r="B243" i="2"/>
  <c r="C243" i="2"/>
  <c r="D243" i="2"/>
  <c r="E243" i="2"/>
  <c r="F243" i="2"/>
  <c r="G243" i="2"/>
  <c r="H243" i="2"/>
  <c r="B244" i="2"/>
  <c r="C244" i="2"/>
  <c r="D244" i="2"/>
  <c r="E244" i="2"/>
  <c r="F244" i="2"/>
  <c r="G244" i="2"/>
  <c r="H244" i="2"/>
  <c r="B245" i="2"/>
  <c r="C245" i="2"/>
  <c r="D245" i="2"/>
  <c r="E245" i="2"/>
  <c r="F245" i="2"/>
  <c r="G245" i="2"/>
  <c r="H245" i="2"/>
  <c r="B246" i="2"/>
  <c r="C246" i="2"/>
  <c r="D246" i="2"/>
  <c r="E246" i="2"/>
  <c r="F246" i="2"/>
  <c r="G246" i="2"/>
  <c r="H246" i="2"/>
  <c r="B247" i="2"/>
  <c r="C247" i="2"/>
  <c r="D247" i="2"/>
  <c r="E247" i="2"/>
  <c r="F247" i="2"/>
  <c r="G247" i="2"/>
  <c r="H247" i="2"/>
  <c r="B248" i="2"/>
  <c r="C248" i="2"/>
  <c r="D248" i="2"/>
  <c r="E248" i="2"/>
  <c r="F248" i="2"/>
  <c r="G248" i="2"/>
  <c r="H248" i="2"/>
  <c r="B249" i="2"/>
  <c r="C249" i="2"/>
  <c r="D249" i="2"/>
  <c r="E249" i="2"/>
  <c r="F249" i="2"/>
  <c r="G249" i="2"/>
  <c r="H249" i="2"/>
  <c r="B250" i="2"/>
  <c r="C250" i="2"/>
  <c r="D250" i="2"/>
  <c r="E250" i="2"/>
  <c r="F250" i="2"/>
  <c r="G250" i="2"/>
  <c r="H250" i="2"/>
  <c r="B251" i="2"/>
  <c r="C251" i="2"/>
  <c r="D251" i="2"/>
  <c r="E251" i="2"/>
  <c r="F251" i="2"/>
  <c r="G251" i="2"/>
  <c r="H251" i="2"/>
  <c r="B252" i="2"/>
  <c r="C252" i="2"/>
  <c r="D252" i="2"/>
  <c r="E252" i="2"/>
  <c r="F252" i="2"/>
  <c r="G252" i="2"/>
  <c r="H252" i="2"/>
  <c r="B253" i="2"/>
  <c r="C253" i="2"/>
  <c r="D253" i="2"/>
  <c r="E253" i="2"/>
  <c r="F253" i="2"/>
  <c r="G253" i="2"/>
  <c r="H253" i="2"/>
  <c r="B254" i="2"/>
  <c r="C254" i="2"/>
  <c r="D254" i="2"/>
  <c r="E254" i="2"/>
  <c r="F254" i="2"/>
  <c r="G254" i="2"/>
  <c r="H254" i="2"/>
  <c r="B255" i="2"/>
  <c r="C255" i="2"/>
  <c r="D255" i="2"/>
  <c r="E255" i="2"/>
  <c r="F255" i="2"/>
  <c r="G255" i="2"/>
  <c r="H255" i="2"/>
  <c r="B256" i="2"/>
  <c r="C256" i="2"/>
  <c r="D256" i="2"/>
  <c r="E256" i="2"/>
  <c r="F256" i="2"/>
  <c r="G256" i="2"/>
  <c r="H256" i="2"/>
  <c r="B257" i="2"/>
  <c r="C257" i="2"/>
  <c r="D257" i="2"/>
  <c r="E257" i="2"/>
  <c r="F257" i="2"/>
  <c r="G257" i="2"/>
  <c r="H257" i="2"/>
  <c r="B258" i="2"/>
  <c r="C258" i="2"/>
  <c r="D258" i="2"/>
  <c r="E258" i="2"/>
  <c r="F258" i="2"/>
  <c r="G258" i="2"/>
  <c r="H258" i="2"/>
  <c r="B259" i="2"/>
  <c r="C259" i="2"/>
  <c r="D259" i="2"/>
  <c r="E259" i="2"/>
  <c r="F259" i="2"/>
  <c r="G259" i="2"/>
  <c r="H259" i="2"/>
  <c r="B260" i="2"/>
  <c r="C260" i="2"/>
  <c r="D260" i="2"/>
  <c r="E260" i="2"/>
  <c r="F260" i="2"/>
  <c r="G260" i="2"/>
  <c r="H260" i="2"/>
  <c r="B261" i="2"/>
  <c r="C261" i="2"/>
  <c r="D261" i="2"/>
  <c r="E261" i="2"/>
  <c r="F261" i="2"/>
  <c r="G261" i="2"/>
  <c r="H261" i="2"/>
  <c r="B262" i="2"/>
  <c r="C262" i="2"/>
  <c r="D262" i="2"/>
  <c r="E262" i="2"/>
  <c r="F262" i="2"/>
  <c r="G262" i="2"/>
  <c r="H262" i="2"/>
  <c r="B263" i="2"/>
  <c r="C263" i="2"/>
  <c r="D263" i="2"/>
  <c r="E263" i="2"/>
  <c r="F263" i="2"/>
  <c r="G263" i="2"/>
  <c r="H263" i="2"/>
  <c r="B264" i="2"/>
  <c r="C264" i="2"/>
  <c r="D264" i="2"/>
  <c r="E264" i="2"/>
  <c r="F264" i="2"/>
  <c r="G264" i="2"/>
  <c r="H264" i="2"/>
  <c r="B265" i="2"/>
  <c r="C265" i="2"/>
  <c r="D265" i="2"/>
  <c r="E265" i="2"/>
  <c r="F265" i="2"/>
  <c r="G265" i="2"/>
  <c r="H265" i="2"/>
  <c r="B266" i="2"/>
  <c r="C266" i="2"/>
  <c r="D266" i="2"/>
  <c r="E266" i="2"/>
  <c r="F266" i="2"/>
  <c r="G266" i="2"/>
  <c r="H266" i="2"/>
  <c r="B267" i="2"/>
  <c r="C267" i="2"/>
  <c r="D267" i="2"/>
  <c r="E267" i="2"/>
  <c r="F267" i="2"/>
  <c r="G267" i="2"/>
  <c r="H267" i="2"/>
  <c r="B268" i="2"/>
  <c r="C268" i="2"/>
  <c r="D268" i="2"/>
  <c r="E268" i="2"/>
  <c r="F268" i="2"/>
  <c r="G268" i="2"/>
  <c r="H268" i="2"/>
  <c r="B269" i="2"/>
  <c r="C269" i="2"/>
  <c r="D269" i="2"/>
  <c r="E269" i="2"/>
  <c r="F269" i="2"/>
  <c r="G269" i="2"/>
  <c r="H269" i="2"/>
  <c r="B270" i="2"/>
  <c r="C270" i="2"/>
  <c r="D270" i="2"/>
  <c r="E270" i="2"/>
  <c r="F270" i="2"/>
  <c r="G270" i="2"/>
  <c r="H270" i="2"/>
  <c r="B271" i="2"/>
  <c r="C271" i="2"/>
  <c r="D271" i="2"/>
  <c r="E271" i="2"/>
  <c r="F271" i="2"/>
  <c r="G271" i="2"/>
  <c r="H271" i="2"/>
  <c r="B272" i="2"/>
  <c r="C272" i="2"/>
  <c r="D272" i="2"/>
  <c r="E272" i="2"/>
  <c r="F272" i="2"/>
  <c r="G272" i="2"/>
  <c r="H272" i="2"/>
  <c r="B273" i="2"/>
  <c r="C273" i="2"/>
  <c r="D273" i="2"/>
  <c r="E273" i="2"/>
  <c r="F273" i="2"/>
  <c r="G273" i="2"/>
  <c r="H273" i="2"/>
  <c r="B274" i="2"/>
  <c r="C274" i="2"/>
  <c r="D274" i="2"/>
  <c r="E274" i="2"/>
  <c r="F274" i="2"/>
  <c r="G274" i="2"/>
  <c r="H274" i="2"/>
  <c r="B275" i="2"/>
  <c r="C275" i="2"/>
  <c r="D275" i="2"/>
  <c r="E275" i="2"/>
  <c r="F275" i="2"/>
  <c r="G275" i="2"/>
  <c r="H275" i="2"/>
  <c r="B276" i="2"/>
  <c r="C276" i="2"/>
  <c r="D276" i="2"/>
  <c r="E276" i="2"/>
  <c r="F276" i="2"/>
  <c r="G276" i="2"/>
  <c r="H276" i="2"/>
  <c r="B277" i="2"/>
  <c r="C277" i="2"/>
  <c r="D277" i="2"/>
  <c r="E277" i="2"/>
  <c r="F277" i="2"/>
  <c r="G277" i="2"/>
  <c r="H277" i="2"/>
  <c r="B278" i="2"/>
  <c r="C278" i="2"/>
  <c r="D278" i="2"/>
  <c r="E278" i="2"/>
  <c r="F278" i="2"/>
  <c r="G278" i="2"/>
  <c r="H278" i="2"/>
  <c r="B279" i="2"/>
  <c r="C279" i="2"/>
  <c r="D279" i="2"/>
  <c r="E279" i="2"/>
  <c r="F279" i="2"/>
  <c r="G279" i="2"/>
  <c r="H279" i="2"/>
  <c r="B280" i="2"/>
  <c r="C280" i="2"/>
  <c r="D280" i="2"/>
  <c r="E280" i="2"/>
  <c r="F280" i="2"/>
  <c r="G280" i="2"/>
  <c r="H280" i="2"/>
  <c r="B281" i="2"/>
  <c r="C281" i="2"/>
  <c r="D281" i="2"/>
  <c r="E281" i="2"/>
  <c r="F281" i="2"/>
  <c r="G281" i="2"/>
  <c r="H281" i="2"/>
  <c r="B282" i="2"/>
  <c r="C282" i="2"/>
  <c r="D282" i="2"/>
  <c r="E282" i="2"/>
  <c r="F282" i="2"/>
  <c r="G282" i="2"/>
  <c r="H282" i="2"/>
  <c r="B283" i="2"/>
  <c r="C283" i="2"/>
  <c r="D283" i="2"/>
  <c r="E283" i="2"/>
  <c r="F283" i="2"/>
  <c r="G283" i="2"/>
  <c r="H283" i="2"/>
  <c r="B284" i="2"/>
  <c r="C284" i="2"/>
  <c r="D284" i="2"/>
  <c r="E284" i="2"/>
  <c r="F284" i="2"/>
  <c r="G284" i="2"/>
  <c r="H284" i="2"/>
  <c r="B285" i="2"/>
  <c r="C285" i="2"/>
  <c r="D285" i="2"/>
  <c r="E285" i="2"/>
  <c r="F285" i="2"/>
  <c r="G285" i="2"/>
  <c r="H285" i="2"/>
  <c r="B286" i="2"/>
  <c r="C286" i="2"/>
  <c r="D286" i="2"/>
  <c r="E286" i="2"/>
  <c r="F286" i="2"/>
  <c r="G286" i="2"/>
  <c r="H286" i="2"/>
  <c r="B287" i="2"/>
  <c r="C287" i="2"/>
  <c r="D287" i="2"/>
  <c r="E287" i="2"/>
  <c r="F287" i="2"/>
  <c r="G287" i="2"/>
  <c r="H287" i="2"/>
  <c r="B288" i="2"/>
  <c r="C288" i="2"/>
  <c r="D288" i="2"/>
  <c r="E288" i="2"/>
  <c r="F288" i="2"/>
  <c r="G288" i="2"/>
  <c r="H288" i="2"/>
  <c r="B289" i="2"/>
  <c r="C289" i="2"/>
  <c r="D289" i="2"/>
  <c r="E289" i="2"/>
  <c r="F289" i="2"/>
  <c r="G289" i="2"/>
  <c r="H289" i="2"/>
  <c r="B290" i="2"/>
  <c r="C290" i="2"/>
  <c r="D290" i="2"/>
  <c r="E290" i="2"/>
  <c r="F290" i="2"/>
  <c r="G290" i="2"/>
  <c r="H290" i="2"/>
  <c r="B291" i="2"/>
  <c r="C291" i="2"/>
  <c r="D291" i="2"/>
  <c r="E291" i="2"/>
  <c r="F291" i="2"/>
  <c r="G291" i="2"/>
  <c r="H291" i="2"/>
  <c r="B292" i="2"/>
  <c r="C292" i="2"/>
  <c r="D292" i="2"/>
  <c r="E292" i="2"/>
  <c r="F292" i="2"/>
  <c r="G292" i="2"/>
  <c r="H292" i="2"/>
  <c r="B293" i="2"/>
  <c r="C293" i="2"/>
  <c r="D293" i="2"/>
  <c r="E293" i="2"/>
  <c r="F293" i="2"/>
  <c r="G293" i="2"/>
  <c r="H293" i="2"/>
  <c r="B294" i="2"/>
  <c r="C294" i="2"/>
  <c r="D294" i="2"/>
  <c r="E294" i="2"/>
  <c r="F294" i="2"/>
  <c r="G294" i="2"/>
  <c r="H294" i="2"/>
  <c r="B295" i="2"/>
  <c r="C295" i="2"/>
  <c r="D295" i="2"/>
  <c r="E295" i="2"/>
  <c r="F295" i="2"/>
  <c r="G295" i="2"/>
  <c r="H295" i="2"/>
  <c r="B296" i="2"/>
  <c r="C296" i="2"/>
  <c r="D296" i="2"/>
  <c r="E296" i="2"/>
  <c r="F296" i="2"/>
  <c r="G296" i="2"/>
  <c r="H296" i="2"/>
  <c r="B297" i="2"/>
  <c r="C297" i="2"/>
  <c r="D297" i="2"/>
  <c r="E297" i="2"/>
  <c r="F297" i="2"/>
  <c r="G297" i="2"/>
  <c r="H297" i="2"/>
  <c r="B298" i="2"/>
  <c r="C298" i="2"/>
  <c r="D298" i="2"/>
  <c r="E298" i="2"/>
  <c r="F298" i="2"/>
  <c r="G298" i="2"/>
  <c r="H298" i="2"/>
  <c r="B299" i="2"/>
  <c r="C299" i="2"/>
  <c r="D299" i="2"/>
  <c r="E299" i="2"/>
  <c r="F299" i="2"/>
  <c r="G299" i="2"/>
  <c r="H299" i="2"/>
  <c r="B300" i="2"/>
  <c r="C300" i="2"/>
  <c r="D300" i="2"/>
  <c r="E300" i="2"/>
  <c r="F300" i="2"/>
  <c r="G300" i="2"/>
  <c r="H300" i="2"/>
  <c r="B301" i="2"/>
  <c r="C301" i="2"/>
  <c r="D301" i="2"/>
  <c r="E301" i="2"/>
  <c r="F301" i="2"/>
  <c r="G301" i="2"/>
  <c r="H301" i="2"/>
  <c r="B302" i="2"/>
  <c r="C302" i="2"/>
  <c r="D302" i="2"/>
  <c r="E302" i="2"/>
  <c r="F302" i="2"/>
  <c r="G302" i="2"/>
  <c r="H302" i="2"/>
  <c r="B303" i="2"/>
  <c r="C303" i="2"/>
  <c r="D303" i="2"/>
  <c r="E303" i="2"/>
  <c r="F303" i="2"/>
  <c r="G303" i="2"/>
  <c r="H303" i="2"/>
  <c r="B304" i="2"/>
  <c r="C304" i="2"/>
  <c r="D304" i="2"/>
  <c r="E304" i="2"/>
  <c r="F304" i="2"/>
  <c r="G304" i="2"/>
  <c r="H304" i="2"/>
  <c r="B305" i="2"/>
  <c r="C305" i="2"/>
  <c r="D305" i="2"/>
  <c r="E305" i="2"/>
  <c r="F305" i="2"/>
  <c r="G305" i="2"/>
  <c r="H305" i="2"/>
  <c r="B306" i="2"/>
  <c r="C306" i="2"/>
  <c r="D306" i="2"/>
  <c r="E306" i="2"/>
  <c r="F306" i="2"/>
  <c r="G306" i="2"/>
  <c r="H306" i="2"/>
  <c r="B307" i="2"/>
  <c r="C307" i="2"/>
  <c r="D307" i="2"/>
  <c r="E307" i="2"/>
  <c r="F307" i="2"/>
  <c r="G307" i="2"/>
  <c r="H307" i="2"/>
  <c r="B308" i="2"/>
  <c r="C308" i="2"/>
  <c r="D308" i="2"/>
  <c r="E308" i="2"/>
  <c r="F308" i="2"/>
  <c r="G308" i="2"/>
  <c r="H308" i="2"/>
  <c r="B309" i="2"/>
  <c r="C309" i="2"/>
  <c r="D309" i="2"/>
  <c r="E309" i="2"/>
  <c r="F309" i="2"/>
  <c r="G309" i="2"/>
  <c r="H309" i="2"/>
  <c r="B310" i="2"/>
  <c r="C310" i="2"/>
  <c r="D310" i="2"/>
  <c r="E310" i="2"/>
  <c r="F310" i="2"/>
  <c r="G310" i="2"/>
  <c r="H310" i="2"/>
  <c r="B311" i="2"/>
  <c r="C311" i="2"/>
  <c r="D311" i="2"/>
  <c r="E311" i="2"/>
  <c r="F311" i="2"/>
  <c r="G311" i="2"/>
  <c r="H311" i="2"/>
  <c r="B312" i="2"/>
  <c r="C312" i="2"/>
  <c r="D312" i="2"/>
  <c r="E312" i="2"/>
  <c r="F312" i="2"/>
  <c r="G312" i="2"/>
  <c r="H312" i="2"/>
  <c r="B313" i="2"/>
  <c r="C313" i="2"/>
  <c r="D313" i="2"/>
  <c r="E313" i="2"/>
  <c r="F313" i="2"/>
  <c r="G313" i="2"/>
  <c r="H313" i="2"/>
  <c r="B314" i="2"/>
  <c r="C314" i="2"/>
  <c r="D314" i="2"/>
  <c r="E314" i="2"/>
  <c r="F314" i="2"/>
  <c r="G314" i="2"/>
  <c r="H314" i="2"/>
  <c r="B315" i="2"/>
  <c r="C315" i="2"/>
  <c r="D315" i="2"/>
  <c r="E315" i="2"/>
  <c r="F315" i="2"/>
  <c r="G315" i="2"/>
  <c r="H315" i="2"/>
  <c r="B316" i="2"/>
  <c r="C316" i="2"/>
  <c r="D316" i="2"/>
  <c r="E316" i="2"/>
  <c r="F316" i="2"/>
  <c r="G316" i="2"/>
  <c r="H316" i="2"/>
  <c r="B317" i="2"/>
  <c r="C317" i="2"/>
  <c r="D317" i="2"/>
  <c r="E317" i="2"/>
  <c r="F317" i="2"/>
  <c r="G317" i="2"/>
  <c r="H317" i="2"/>
  <c r="B318" i="2"/>
  <c r="C318" i="2"/>
  <c r="D318" i="2"/>
  <c r="E318" i="2"/>
  <c r="F318" i="2"/>
  <c r="G318" i="2"/>
  <c r="H318" i="2"/>
  <c r="B319" i="2"/>
  <c r="C319" i="2"/>
  <c r="D319" i="2"/>
  <c r="E319" i="2"/>
  <c r="F319" i="2"/>
  <c r="G319" i="2"/>
  <c r="H319" i="2"/>
  <c r="B320" i="2"/>
  <c r="C320" i="2"/>
  <c r="D320" i="2"/>
  <c r="E320" i="2"/>
  <c r="F320" i="2"/>
  <c r="G320" i="2"/>
  <c r="H320" i="2"/>
  <c r="B321" i="2"/>
  <c r="C321" i="2"/>
  <c r="D321" i="2"/>
  <c r="E321" i="2"/>
  <c r="F321" i="2"/>
  <c r="G321" i="2"/>
  <c r="H321" i="2"/>
  <c r="B322" i="2"/>
  <c r="C322" i="2"/>
  <c r="D322" i="2"/>
  <c r="E322" i="2"/>
  <c r="F322" i="2"/>
  <c r="G322" i="2"/>
  <c r="H322" i="2"/>
  <c r="B323" i="2"/>
  <c r="C323" i="2"/>
  <c r="D323" i="2"/>
  <c r="E323" i="2"/>
  <c r="F323" i="2"/>
  <c r="G323" i="2"/>
  <c r="H323" i="2"/>
  <c r="B324" i="2"/>
  <c r="C324" i="2"/>
  <c r="D324" i="2"/>
  <c r="E324" i="2"/>
  <c r="F324" i="2"/>
  <c r="G324" i="2"/>
  <c r="H324" i="2"/>
  <c r="B325" i="2"/>
  <c r="C325" i="2"/>
  <c r="D325" i="2"/>
  <c r="E325" i="2"/>
  <c r="F325" i="2"/>
  <c r="G325" i="2"/>
  <c r="H325" i="2"/>
  <c r="B326" i="2"/>
  <c r="C326" i="2"/>
  <c r="D326" i="2"/>
  <c r="E326" i="2"/>
  <c r="F326" i="2"/>
  <c r="G326" i="2"/>
  <c r="H326" i="2"/>
  <c r="B327" i="2"/>
  <c r="C327" i="2"/>
  <c r="D327" i="2"/>
  <c r="E327" i="2"/>
  <c r="F327" i="2"/>
  <c r="G327" i="2"/>
  <c r="H327" i="2"/>
  <c r="B328" i="2"/>
  <c r="C328" i="2"/>
  <c r="D328" i="2"/>
  <c r="E328" i="2"/>
  <c r="F328" i="2"/>
  <c r="G328" i="2"/>
  <c r="H328" i="2"/>
  <c r="B329" i="2"/>
  <c r="C329" i="2"/>
  <c r="D329" i="2"/>
  <c r="E329" i="2"/>
  <c r="F329" i="2"/>
  <c r="G329" i="2"/>
  <c r="H329" i="2"/>
  <c r="B330" i="2"/>
  <c r="C330" i="2"/>
  <c r="D330" i="2"/>
  <c r="E330" i="2"/>
  <c r="F330" i="2"/>
  <c r="G330" i="2"/>
  <c r="H330" i="2"/>
  <c r="B331" i="2"/>
  <c r="C331" i="2"/>
  <c r="D331" i="2"/>
  <c r="E331" i="2"/>
  <c r="F331" i="2"/>
  <c r="G331" i="2"/>
  <c r="H331" i="2"/>
  <c r="B332" i="2"/>
  <c r="C332" i="2"/>
  <c r="D332" i="2"/>
  <c r="E332" i="2"/>
  <c r="F332" i="2"/>
  <c r="G332" i="2"/>
  <c r="H332" i="2"/>
  <c r="B333" i="2"/>
  <c r="C333" i="2"/>
  <c r="D333" i="2"/>
  <c r="E333" i="2"/>
  <c r="F333" i="2"/>
  <c r="G333" i="2"/>
  <c r="H333" i="2"/>
  <c r="B334" i="2"/>
  <c r="C334" i="2"/>
  <c r="D334" i="2"/>
  <c r="E334" i="2"/>
  <c r="F334" i="2"/>
  <c r="G334" i="2"/>
  <c r="H334" i="2"/>
  <c r="B335" i="2"/>
  <c r="C335" i="2"/>
  <c r="D335" i="2"/>
  <c r="E335" i="2"/>
  <c r="F335" i="2"/>
  <c r="G335" i="2"/>
  <c r="H335" i="2"/>
  <c r="B336" i="2"/>
  <c r="C336" i="2"/>
  <c r="D336" i="2"/>
  <c r="E336" i="2"/>
  <c r="F336" i="2"/>
  <c r="G336" i="2"/>
  <c r="H336" i="2"/>
  <c r="B337" i="2"/>
  <c r="C337" i="2"/>
  <c r="D337" i="2"/>
  <c r="E337" i="2"/>
  <c r="F337" i="2"/>
  <c r="G337" i="2"/>
  <c r="H337" i="2"/>
  <c r="B338" i="2"/>
  <c r="C338" i="2"/>
  <c r="D338" i="2"/>
  <c r="E338" i="2"/>
  <c r="F338" i="2"/>
  <c r="G338" i="2"/>
  <c r="H338" i="2"/>
  <c r="B339" i="2"/>
  <c r="C339" i="2"/>
  <c r="D339" i="2"/>
  <c r="E339" i="2"/>
  <c r="F339" i="2"/>
  <c r="G339" i="2"/>
  <c r="H339" i="2"/>
  <c r="B340" i="2"/>
  <c r="C340" i="2"/>
  <c r="D340" i="2"/>
  <c r="E340" i="2"/>
  <c r="F340" i="2"/>
  <c r="G340" i="2"/>
  <c r="H340" i="2"/>
  <c r="B341" i="2"/>
  <c r="C341" i="2"/>
  <c r="D341" i="2"/>
  <c r="E341" i="2"/>
  <c r="F341" i="2"/>
  <c r="G341" i="2"/>
  <c r="H341" i="2"/>
  <c r="B342" i="2"/>
  <c r="C342" i="2"/>
  <c r="D342" i="2"/>
  <c r="E342" i="2"/>
  <c r="F342" i="2"/>
  <c r="G342" i="2"/>
  <c r="H342" i="2"/>
  <c r="B343" i="2"/>
  <c r="C343" i="2"/>
  <c r="D343" i="2"/>
  <c r="E343" i="2"/>
  <c r="F343" i="2"/>
  <c r="G343" i="2"/>
  <c r="H343" i="2"/>
  <c r="B344" i="2"/>
  <c r="C344" i="2"/>
  <c r="D344" i="2"/>
  <c r="E344" i="2"/>
  <c r="F344" i="2"/>
  <c r="G344" i="2"/>
  <c r="H344" i="2"/>
  <c r="B345" i="2"/>
  <c r="C345" i="2"/>
  <c r="D345" i="2"/>
  <c r="E345" i="2"/>
  <c r="F345" i="2"/>
  <c r="G345" i="2"/>
  <c r="H345" i="2"/>
  <c r="B346" i="2"/>
  <c r="C346" i="2"/>
  <c r="D346" i="2"/>
  <c r="E346" i="2"/>
  <c r="F346" i="2"/>
  <c r="G346" i="2"/>
  <c r="H346" i="2"/>
  <c r="B347" i="2"/>
  <c r="C347" i="2"/>
  <c r="D347" i="2"/>
  <c r="E347" i="2"/>
  <c r="F347" i="2"/>
  <c r="G347" i="2"/>
  <c r="H347" i="2"/>
  <c r="B348" i="2"/>
  <c r="C348" i="2"/>
  <c r="D348" i="2"/>
  <c r="E348" i="2"/>
  <c r="F348" i="2"/>
  <c r="G348" i="2"/>
  <c r="H348" i="2"/>
  <c r="B349" i="2"/>
  <c r="C349" i="2"/>
  <c r="D349" i="2"/>
  <c r="E349" i="2"/>
  <c r="F349" i="2"/>
  <c r="G349" i="2"/>
  <c r="H349" i="2"/>
  <c r="B350" i="2"/>
  <c r="C350" i="2"/>
  <c r="D350" i="2"/>
  <c r="E350" i="2"/>
  <c r="F350" i="2"/>
  <c r="G350" i="2"/>
  <c r="H350" i="2"/>
  <c r="B351" i="2"/>
  <c r="C351" i="2"/>
  <c r="D351" i="2"/>
  <c r="E351" i="2"/>
  <c r="F351" i="2"/>
  <c r="G351" i="2"/>
  <c r="H351" i="2"/>
  <c r="B352" i="2"/>
  <c r="C352" i="2"/>
  <c r="D352" i="2"/>
  <c r="E352" i="2"/>
  <c r="F352" i="2"/>
  <c r="G352" i="2"/>
  <c r="H352" i="2"/>
  <c r="B353" i="2"/>
  <c r="C353" i="2"/>
  <c r="D353" i="2"/>
  <c r="E353" i="2"/>
  <c r="F353" i="2"/>
  <c r="G353" i="2"/>
  <c r="H353" i="2"/>
  <c r="B354" i="2"/>
  <c r="C354" i="2"/>
  <c r="D354" i="2"/>
  <c r="E354" i="2"/>
  <c r="F354" i="2"/>
  <c r="G354" i="2"/>
  <c r="H354" i="2"/>
  <c r="B355" i="2"/>
  <c r="C355" i="2"/>
  <c r="D355" i="2"/>
  <c r="E355" i="2"/>
  <c r="F355" i="2"/>
  <c r="G355" i="2"/>
  <c r="H355" i="2"/>
  <c r="B356" i="2"/>
  <c r="C356" i="2"/>
  <c r="D356" i="2"/>
  <c r="E356" i="2"/>
  <c r="F356" i="2"/>
  <c r="G356" i="2"/>
  <c r="H356" i="2"/>
  <c r="B357" i="2"/>
  <c r="C357" i="2"/>
  <c r="D357" i="2"/>
  <c r="E357" i="2"/>
  <c r="F357" i="2"/>
  <c r="G357" i="2"/>
  <c r="H357" i="2"/>
  <c r="B358" i="2"/>
  <c r="C358" i="2"/>
  <c r="D358" i="2"/>
  <c r="E358" i="2"/>
  <c r="F358" i="2"/>
  <c r="G358" i="2"/>
  <c r="H358" i="2"/>
  <c r="B359" i="2"/>
  <c r="C359" i="2"/>
  <c r="D359" i="2"/>
  <c r="E359" i="2"/>
  <c r="F359" i="2"/>
  <c r="G359" i="2"/>
  <c r="H359" i="2"/>
  <c r="B360" i="2"/>
  <c r="C360" i="2"/>
  <c r="D360" i="2"/>
  <c r="E360" i="2"/>
  <c r="F360" i="2"/>
  <c r="G360" i="2"/>
  <c r="H360" i="2"/>
  <c r="B361" i="2"/>
  <c r="C361" i="2"/>
  <c r="D361" i="2"/>
  <c r="E361" i="2"/>
  <c r="F361" i="2"/>
  <c r="G361" i="2"/>
  <c r="H361" i="2"/>
  <c r="B362" i="2"/>
  <c r="C362" i="2"/>
  <c r="D362" i="2"/>
  <c r="E362" i="2"/>
  <c r="F362" i="2"/>
  <c r="G362" i="2"/>
  <c r="H362" i="2"/>
  <c r="B363" i="2"/>
  <c r="C363" i="2"/>
  <c r="D363" i="2"/>
  <c r="E363" i="2"/>
  <c r="F363" i="2"/>
  <c r="G363" i="2"/>
  <c r="H363" i="2"/>
  <c r="B364" i="2"/>
  <c r="C364" i="2"/>
  <c r="D364" i="2"/>
  <c r="E364" i="2"/>
  <c r="F364" i="2"/>
  <c r="G364" i="2"/>
  <c r="H364" i="2"/>
  <c r="B365" i="2"/>
  <c r="C365" i="2"/>
  <c r="D365" i="2"/>
  <c r="E365" i="2"/>
  <c r="F365" i="2"/>
  <c r="G365" i="2"/>
  <c r="H365" i="2"/>
  <c r="B366" i="2"/>
  <c r="C366" i="2"/>
  <c r="D366" i="2"/>
  <c r="E366" i="2"/>
  <c r="F366" i="2"/>
  <c r="G366" i="2"/>
  <c r="H366" i="2"/>
  <c r="B367" i="2"/>
  <c r="C367" i="2"/>
  <c r="D367" i="2"/>
  <c r="E367" i="2"/>
  <c r="F367" i="2"/>
  <c r="G367" i="2"/>
  <c r="H367" i="2"/>
  <c r="B368" i="2"/>
  <c r="C368" i="2"/>
  <c r="D368" i="2"/>
  <c r="E368" i="2"/>
  <c r="F368" i="2"/>
  <c r="G368" i="2"/>
  <c r="H368" i="2"/>
  <c r="B369" i="2"/>
  <c r="C369" i="2"/>
  <c r="D369" i="2"/>
  <c r="E369" i="2"/>
  <c r="F369" i="2"/>
  <c r="G369" i="2"/>
  <c r="H369" i="2"/>
  <c r="B370" i="2"/>
  <c r="C370" i="2"/>
  <c r="D370" i="2"/>
  <c r="E370" i="2"/>
  <c r="F370" i="2"/>
  <c r="G370" i="2"/>
  <c r="H370" i="2"/>
  <c r="B371" i="2"/>
  <c r="C371" i="2"/>
  <c r="D371" i="2"/>
  <c r="E371" i="2"/>
  <c r="F371" i="2"/>
  <c r="G371" i="2"/>
  <c r="H371" i="2"/>
  <c r="B372" i="2"/>
  <c r="C372" i="2"/>
  <c r="D372" i="2"/>
  <c r="E372" i="2"/>
  <c r="F372" i="2"/>
  <c r="G372" i="2"/>
  <c r="H372" i="2"/>
  <c r="B373" i="2"/>
  <c r="C373" i="2"/>
  <c r="D373" i="2"/>
  <c r="E373" i="2"/>
  <c r="F373" i="2"/>
  <c r="G373" i="2"/>
  <c r="H373" i="2"/>
  <c r="B374" i="2"/>
  <c r="C374" i="2"/>
  <c r="D374" i="2"/>
  <c r="E374" i="2"/>
  <c r="F374" i="2"/>
  <c r="G374" i="2"/>
  <c r="H374" i="2"/>
  <c r="B375" i="2"/>
  <c r="C375" i="2"/>
  <c r="D375" i="2"/>
  <c r="E375" i="2"/>
  <c r="F375" i="2"/>
  <c r="G375" i="2"/>
  <c r="H375" i="2"/>
  <c r="B376" i="2"/>
  <c r="C376" i="2"/>
  <c r="D376" i="2"/>
  <c r="E376" i="2"/>
  <c r="F376" i="2"/>
  <c r="G376" i="2"/>
  <c r="H376" i="2"/>
  <c r="B377" i="2"/>
  <c r="C377" i="2"/>
  <c r="D377" i="2"/>
  <c r="E377" i="2"/>
  <c r="F377" i="2"/>
  <c r="G377" i="2"/>
  <c r="H377" i="2"/>
  <c r="B378" i="2"/>
  <c r="C378" i="2"/>
  <c r="D378" i="2"/>
  <c r="E378" i="2"/>
  <c r="F378" i="2"/>
  <c r="G378" i="2"/>
  <c r="H378" i="2"/>
  <c r="B379" i="2"/>
  <c r="C379" i="2"/>
  <c r="D379" i="2"/>
  <c r="E379" i="2"/>
  <c r="F379" i="2"/>
  <c r="G379" i="2"/>
  <c r="H379" i="2"/>
  <c r="B380" i="2"/>
  <c r="C380" i="2"/>
  <c r="D380" i="2"/>
  <c r="E380" i="2"/>
  <c r="F380" i="2"/>
  <c r="G380" i="2"/>
  <c r="H380" i="2"/>
  <c r="B381" i="2"/>
  <c r="C381" i="2"/>
  <c r="D381" i="2"/>
  <c r="E381" i="2"/>
  <c r="F381" i="2"/>
  <c r="G381" i="2"/>
  <c r="H381" i="2"/>
  <c r="B382" i="2"/>
  <c r="C382" i="2"/>
  <c r="D382" i="2"/>
  <c r="E382" i="2"/>
  <c r="F382" i="2"/>
  <c r="G382" i="2"/>
  <c r="H382" i="2"/>
  <c r="B383" i="2"/>
  <c r="C383" i="2"/>
  <c r="D383" i="2"/>
  <c r="E383" i="2"/>
  <c r="F383" i="2"/>
  <c r="G383" i="2"/>
  <c r="H383" i="2"/>
  <c r="B384" i="2"/>
  <c r="C384" i="2"/>
  <c r="D384" i="2"/>
  <c r="E384" i="2"/>
  <c r="F384" i="2"/>
  <c r="G384" i="2"/>
  <c r="H384" i="2"/>
  <c r="B385" i="2"/>
  <c r="C385" i="2"/>
  <c r="D385" i="2"/>
  <c r="E385" i="2"/>
  <c r="F385" i="2"/>
  <c r="G385" i="2"/>
  <c r="H385" i="2"/>
  <c r="B386" i="2"/>
  <c r="C386" i="2"/>
  <c r="D386" i="2"/>
  <c r="E386" i="2"/>
  <c r="F386" i="2"/>
  <c r="G386" i="2"/>
  <c r="H386" i="2"/>
  <c r="B387" i="2"/>
  <c r="C387" i="2"/>
  <c r="D387" i="2"/>
  <c r="E387" i="2"/>
  <c r="F387" i="2"/>
  <c r="G387" i="2"/>
  <c r="H387" i="2"/>
  <c r="B388" i="2"/>
  <c r="C388" i="2"/>
  <c r="D388" i="2"/>
  <c r="E388" i="2"/>
  <c r="F388" i="2"/>
  <c r="G388" i="2"/>
  <c r="H388" i="2"/>
  <c r="B389" i="2"/>
  <c r="C389" i="2"/>
  <c r="D389" i="2"/>
  <c r="E389" i="2"/>
  <c r="F389" i="2"/>
  <c r="G389" i="2"/>
  <c r="H389" i="2"/>
  <c r="B390" i="2"/>
  <c r="C390" i="2"/>
  <c r="D390" i="2"/>
  <c r="E390" i="2"/>
  <c r="F390" i="2"/>
  <c r="G390" i="2"/>
  <c r="H390" i="2"/>
  <c r="B391" i="2"/>
  <c r="C391" i="2"/>
  <c r="D391" i="2"/>
  <c r="E391" i="2"/>
  <c r="F391" i="2"/>
  <c r="G391" i="2"/>
  <c r="H391" i="2"/>
  <c r="B392" i="2"/>
  <c r="C392" i="2"/>
  <c r="D392" i="2"/>
  <c r="E392" i="2"/>
  <c r="F392" i="2"/>
  <c r="G392" i="2"/>
  <c r="H392" i="2"/>
  <c r="B393" i="2"/>
  <c r="C393" i="2"/>
  <c r="D393" i="2"/>
  <c r="E393" i="2"/>
  <c r="F393" i="2"/>
  <c r="G393" i="2"/>
  <c r="H393" i="2"/>
  <c r="B394" i="2"/>
  <c r="C394" i="2"/>
  <c r="D394" i="2"/>
  <c r="E394" i="2"/>
  <c r="F394" i="2"/>
  <c r="G394" i="2"/>
  <c r="H394" i="2"/>
  <c r="B395" i="2"/>
  <c r="C395" i="2"/>
  <c r="D395" i="2"/>
  <c r="E395" i="2"/>
  <c r="F395" i="2"/>
  <c r="G395" i="2"/>
  <c r="H395" i="2"/>
  <c r="B396" i="2"/>
  <c r="C396" i="2"/>
  <c r="D396" i="2"/>
  <c r="E396" i="2"/>
  <c r="F396" i="2"/>
  <c r="G396" i="2"/>
  <c r="H396" i="2"/>
  <c r="B397" i="2"/>
  <c r="C397" i="2"/>
  <c r="D397" i="2"/>
  <c r="E397" i="2"/>
  <c r="F397" i="2"/>
  <c r="G397" i="2"/>
  <c r="H397" i="2"/>
  <c r="B398" i="2"/>
  <c r="C398" i="2"/>
  <c r="D398" i="2"/>
  <c r="E398" i="2"/>
  <c r="F398" i="2"/>
  <c r="G398" i="2"/>
  <c r="H398" i="2"/>
  <c r="B399" i="2"/>
  <c r="C399" i="2"/>
  <c r="D399" i="2"/>
  <c r="E399" i="2"/>
  <c r="F399" i="2"/>
  <c r="G399" i="2"/>
  <c r="H399" i="2"/>
  <c r="B400" i="2"/>
  <c r="C400" i="2"/>
  <c r="D400" i="2"/>
  <c r="E400" i="2"/>
  <c r="F400" i="2"/>
  <c r="G400" i="2"/>
  <c r="H400" i="2"/>
  <c r="B401" i="2"/>
  <c r="C401" i="2"/>
  <c r="D401" i="2"/>
  <c r="E401" i="2"/>
  <c r="F401" i="2"/>
  <c r="G401" i="2"/>
  <c r="H401" i="2"/>
  <c r="B402" i="2"/>
  <c r="C402" i="2"/>
  <c r="D402" i="2"/>
  <c r="E402" i="2"/>
  <c r="F402" i="2"/>
  <c r="G402" i="2"/>
  <c r="H402" i="2"/>
  <c r="B403" i="2"/>
  <c r="C403" i="2"/>
  <c r="D403" i="2"/>
  <c r="E403" i="2"/>
  <c r="F403" i="2"/>
  <c r="G403" i="2"/>
  <c r="H403" i="2"/>
  <c r="B404" i="2"/>
  <c r="C404" i="2"/>
  <c r="D404" i="2"/>
  <c r="E404" i="2"/>
  <c r="F404" i="2"/>
  <c r="G404" i="2"/>
  <c r="H404" i="2"/>
  <c r="B405" i="2"/>
  <c r="C405" i="2"/>
  <c r="D405" i="2"/>
  <c r="E405" i="2"/>
  <c r="F405" i="2"/>
  <c r="G405" i="2"/>
  <c r="H405" i="2"/>
  <c r="B406" i="2"/>
  <c r="C406" i="2"/>
  <c r="D406" i="2"/>
  <c r="E406" i="2"/>
  <c r="F406" i="2"/>
  <c r="G406" i="2"/>
  <c r="H406" i="2"/>
  <c r="B407" i="2"/>
  <c r="C407" i="2"/>
  <c r="D407" i="2"/>
  <c r="E407" i="2"/>
  <c r="F407" i="2"/>
  <c r="G407" i="2"/>
  <c r="H407" i="2"/>
  <c r="B408" i="2"/>
  <c r="C408" i="2"/>
  <c r="D408" i="2"/>
  <c r="E408" i="2"/>
  <c r="F408" i="2"/>
  <c r="G408" i="2"/>
  <c r="H408" i="2"/>
  <c r="B409" i="2"/>
  <c r="C409" i="2"/>
  <c r="D409" i="2"/>
  <c r="E409" i="2"/>
  <c r="F409" i="2"/>
  <c r="G409" i="2"/>
  <c r="H409" i="2"/>
  <c r="B410" i="2"/>
  <c r="C410" i="2"/>
  <c r="D410" i="2"/>
  <c r="E410" i="2"/>
  <c r="F410" i="2"/>
  <c r="G410" i="2"/>
  <c r="H410" i="2"/>
  <c r="B411" i="2"/>
  <c r="C411" i="2"/>
  <c r="D411" i="2"/>
  <c r="E411" i="2"/>
  <c r="F411" i="2"/>
  <c r="G411" i="2"/>
  <c r="H411" i="2"/>
  <c r="B412" i="2"/>
  <c r="C412" i="2"/>
  <c r="D412" i="2"/>
  <c r="E412" i="2"/>
  <c r="F412" i="2"/>
  <c r="G412" i="2"/>
  <c r="H412" i="2"/>
  <c r="B413" i="2"/>
  <c r="C413" i="2"/>
  <c r="D413" i="2"/>
  <c r="E413" i="2"/>
  <c r="F413" i="2"/>
  <c r="G413" i="2"/>
  <c r="H413" i="2"/>
  <c r="B414" i="2"/>
  <c r="C414" i="2"/>
  <c r="D414" i="2"/>
  <c r="E414" i="2"/>
  <c r="F414" i="2"/>
  <c r="G414" i="2"/>
  <c r="H414" i="2"/>
  <c r="B415" i="2"/>
  <c r="C415" i="2"/>
  <c r="D415" i="2"/>
  <c r="E415" i="2"/>
  <c r="F415" i="2"/>
  <c r="G415" i="2"/>
  <c r="H415" i="2"/>
  <c r="B416" i="2"/>
  <c r="C416" i="2"/>
  <c r="D416" i="2"/>
  <c r="E416" i="2"/>
  <c r="F416" i="2"/>
  <c r="G416" i="2"/>
  <c r="H416" i="2"/>
  <c r="B417" i="2"/>
  <c r="C417" i="2"/>
  <c r="D417" i="2"/>
  <c r="E417" i="2"/>
  <c r="F417" i="2"/>
  <c r="G417" i="2"/>
  <c r="H417" i="2"/>
  <c r="B418" i="2"/>
  <c r="C418" i="2"/>
  <c r="D418" i="2"/>
  <c r="E418" i="2"/>
  <c r="F418" i="2"/>
  <c r="G418" i="2"/>
  <c r="H418" i="2"/>
  <c r="B419" i="2"/>
  <c r="C419" i="2"/>
  <c r="D419" i="2"/>
  <c r="E419" i="2"/>
  <c r="F419" i="2"/>
  <c r="G419" i="2"/>
  <c r="H419" i="2"/>
  <c r="B420" i="2"/>
  <c r="C420" i="2"/>
  <c r="D420" i="2"/>
  <c r="E420" i="2"/>
  <c r="F420" i="2"/>
  <c r="G420" i="2"/>
  <c r="H420" i="2"/>
  <c r="B421" i="2"/>
  <c r="C421" i="2"/>
  <c r="D421" i="2"/>
  <c r="E421" i="2"/>
  <c r="F421" i="2"/>
  <c r="G421" i="2"/>
  <c r="H421" i="2"/>
  <c r="B422" i="2"/>
  <c r="C422" i="2"/>
  <c r="D422" i="2"/>
  <c r="E422" i="2"/>
  <c r="F422" i="2"/>
  <c r="G422" i="2"/>
  <c r="H422" i="2"/>
  <c r="B423" i="2"/>
  <c r="C423" i="2"/>
  <c r="D423" i="2"/>
  <c r="E423" i="2"/>
  <c r="F423" i="2"/>
  <c r="G423" i="2"/>
  <c r="H423" i="2"/>
  <c r="B424" i="2"/>
  <c r="C424" i="2"/>
  <c r="D424" i="2"/>
  <c r="E424" i="2"/>
  <c r="F424" i="2"/>
  <c r="G424" i="2"/>
  <c r="H424" i="2"/>
  <c r="B425" i="2"/>
  <c r="C425" i="2"/>
  <c r="D425" i="2"/>
  <c r="E425" i="2"/>
  <c r="F425" i="2"/>
  <c r="G425" i="2"/>
  <c r="H425" i="2"/>
  <c r="B426" i="2"/>
  <c r="C426" i="2"/>
  <c r="D426" i="2"/>
  <c r="E426" i="2"/>
  <c r="F426" i="2"/>
  <c r="G426" i="2"/>
  <c r="H426" i="2"/>
  <c r="B427" i="2"/>
  <c r="C427" i="2"/>
  <c r="D427" i="2"/>
  <c r="E427" i="2"/>
  <c r="F427" i="2"/>
  <c r="G427" i="2"/>
  <c r="H427" i="2"/>
  <c r="B428" i="2"/>
  <c r="C428" i="2"/>
  <c r="D428" i="2"/>
  <c r="E428" i="2"/>
  <c r="F428" i="2"/>
  <c r="G428" i="2"/>
  <c r="H428" i="2"/>
  <c r="B429" i="2"/>
  <c r="C429" i="2"/>
  <c r="D429" i="2"/>
  <c r="E429" i="2"/>
  <c r="F429" i="2"/>
  <c r="G429" i="2"/>
  <c r="H429" i="2"/>
  <c r="B430" i="2"/>
  <c r="C430" i="2"/>
  <c r="D430" i="2"/>
  <c r="E430" i="2"/>
  <c r="F430" i="2"/>
  <c r="G430" i="2"/>
  <c r="H430" i="2"/>
  <c r="B431" i="2"/>
  <c r="C431" i="2"/>
  <c r="D431" i="2"/>
  <c r="E431" i="2"/>
  <c r="F431" i="2"/>
  <c r="G431" i="2"/>
  <c r="H431" i="2"/>
  <c r="B432" i="2"/>
  <c r="C432" i="2"/>
  <c r="D432" i="2"/>
  <c r="E432" i="2"/>
  <c r="F432" i="2"/>
  <c r="G432" i="2"/>
  <c r="H432" i="2"/>
  <c r="B433" i="2"/>
  <c r="C433" i="2"/>
  <c r="D433" i="2"/>
  <c r="E433" i="2"/>
  <c r="F433" i="2"/>
  <c r="G433" i="2"/>
  <c r="H433" i="2"/>
  <c r="B434" i="2"/>
  <c r="C434" i="2"/>
  <c r="D434" i="2"/>
  <c r="E434" i="2"/>
  <c r="F434" i="2"/>
  <c r="G434" i="2"/>
  <c r="H434" i="2"/>
  <c r="B435" i="2"/>
  <c r="C435" i="2"/>
  <c r="D435" i="2"/>
  <c r="E435" i="2"/>
  <c r="F435" i="2"/>
  <c r="G435" i="2"/>
  <c r="H435" i="2"/>
  <c r="B436" i="2"/>
  <c r="C436" i="2"/>
  <c r="D436" i="2"/>
  <c r="E436" i="2"/>
  <c r="F436" i="2"/>
  <c r="G436" i="2"/>
  <c r="H436" i="2"/>
  <c r="B437" i="2"/>
  <c r="C437" i="2"/>
  <c r="D437" i="2"/>
  <c r="E437" i="2"/>
  <c r="F437" i="2"/>
  <c r="G437" i="2"/>
  <c r="H437" i="2"/>
  <c r="B438" i="2"/>
  <c r="C438" i="2"/>
  <c r="D438" i="2"/>
  <c r="E438" i="2"/>
  <c r="F438" i="2"/>
  <c r="G438" i="2"/>
  <c r="H438" i="2"/>
  <c r="B439" i="2"/>
  <c r="C439" i="2"/>
  <c r="D439" i="2"/>
  <c r="E439" i="2"/>
  <c r="F439" i="2"/>
  <c r="G439" i="2"/>
  <c r="H439" i="2"/>
  <c r="B440" i="2"/>
  <c r="C440" i="2"/>
  <c r="D440" i="2"/>
  <c r="E440" i="2"/>
  <c r="F440" i="2"/>
  <c r="G440" i="2"/>
  <c r="H440" i="2"/>
  <c r="B441" i="2"/>
  <c r="C441" i="2"/>
  <c r="D441" i="2"/>
  <c r="E441" i="2"/>
  <c r="F441" i="2"/>
  <c r="G441" i="2"/>
  <c r="H441" i="2"/>
  <c r="B442" i="2"/>
  <c r="C442" i="2"/>
  <c r="D442" i="2"/>
  <c r="E442" i="2"/>
  <c r="F442" i="2"/>
  <c r="G442" i="2"/>
  <c r="H442" i="2"/>
  <c r="B443" i="2"/>
  <c r="C443" i="2"/>
  <c r="D443" i="2"/>
  <c r="E443" i="2"/>
  <c r="F443" i="2"/>
  <c r="G443" i="2"/>
  <c r="H443" i="2"/>
  <c r="B444" i="2"/>
  <c r="C444" i="2"/>
  <c r="D444" i="2"/>
  <c r="E444" i="2"/>
  <c r="F444" i="2"/>
  <c r="G444" i="2"/>
  <c r="H444" i="2"/>
  <c r="B445" i="2"/>
  <c r="C445" i="2"/>
  <c r="D445" i="2"/>
  <c r="E445" i="2"/>
  <c r="F445" i="2"/>
  <c r="G445" i="2"/>
  <c r="H445" i="2"/>
  <c r="B446" i="2"/>
  <c r="C446" i="2"/>
  <c r="D446" i="2"/>
  <c r="E446" i="2"/>
  <c r="F446" i="2"/>
  <c r="G446" i="2"/>
  <c r="H446" i="2"/>
  <c r="B447" i="2"/>
  <c r="C447" i="2"/>
  <c r="D447" i="2"/>
  <c r="E447" i="2"/>
  <c r="F447" i="2"/>
  <c r="G447" i="2"/>
  <c r="H447" i="2"/>
  <c r="B448" i="2"/>
  <c r="C448" i="2"/>
  <c r="D448" i="2"/>
  <c r="E448" i="2"/>
  <c r="F448" i="2"/>
  <c r="G448" i="2"/>
  <c r="H448" i="2"/>
  <c r="B449" i="2"/>
  <c r="C449" i="2"/>
  <c r="D449" i="2"/>
  <c r="E449" i="2"/>
  <c r="F449" i="2"/>
  <c r="G449" i="2"/>
  <c r="H449" i="2"/>
  <c r="B450" i="2"/>
  <c r="C450" i="2"/>
  <c r="D450" i="2"/>
  <c r="E450" i="2"/>
  <c r="F450" i="2"/>
  <c r="G450" i="2"/>
  <c r="H450" i="2"/>
  <c r="B451" i="2"/>
  <c r="C451" i="2"/>
  <c r="D451" i="2"/>
  <c r="E451" i="2"/>
  <c r="F451" i="2"/>
  <c r="G451" i="2"/>
  <c r="H451" i="2"/>
  <c r="B452" i="2"/>
  <c r="C452" i="2"/>
  <c r="D452" i="2"/>
  <c r="E452" i="2"/>
  <c r="F452" i="2"/>
  <c r="G452" i="2"/>
  <c r="H452" i="2"/>
  <c r="B453" i="2"/>
  <c r="C453" i="2"/>
  <c r="D453" i="2"/>
  <c r="E453" i="2"/>
  <c r="F453" i="2"/>
  <c r="G453" i="2"/>
  <c r="H453" i="2"/>
  <c r="B454" i="2"/>
  <c r="C454" i="2"/>
  <c r="D454" i="2"/>
  <c r="E454" i="2"/>
  <c r="F454" i="2"/>
  <c r="G454" i="2"/>
  <c r="H454" i="2"/>
  <c r="B455" i="2"/>
  <c r="C455" i="2"/>
  <c r="D455" i="2"/>
  <c r="E455" i="2"/>
  <c r="F455" i="2"/>
  <c r="G455" i="2"/>
  <c r="H455" i="2"/>
  <c r="B456" i="2"/>
  <c r="C456" i="2"/>
  <c r="D456" i="2"/>
  <c r="E456" i="2"/>
  <c r="F456" i="2"/>
  <c r="G456" i="2"/>
  <c r="H456" i="2"/>
  <c r="B457" i="2"/>
  <c r="C457" i="2"/>
  <c r="D457" i="2"/>
  <c r="E457" i="2"/>
  <c r="F457" i="2"/>
  <c r="G457" i="2"/>
  <c r="H457" i="2"/>
  <c r="B458" i="2"/>
  <c r="C458" i="2"/>
  <c r="D458" i="2"/>
  <c r="E458" i="2"/>
  <c r="F458" i="2"/>
  <c r="G458" i="2"/>
  <c r="H458" i="2"/>
  <c r="B459" i="2"/>
  <c r="C459" i="2"/>
  <c r="D459" i="2"/>
  <c r="E459" i="2"/>
  <c r="F459" i="2"/>
  <c r="G459" i="2"/>
  <c r="H459" i="2"/>
  <c r="B460" i="2"/>
  <c r="C460" i="2"/>
  <c r="D460" i="2"/>
  <c r="E460" i="2"/>
  <c r="F460" i="2"/>
  <c r="G460" i="2"/>
  <c r="H460" i="2"/>
  <c r="B461" i="2"/>
  <c r="C461" i="2"/>
  <c r="D461" i="2"/>
  <c r="E461" i="2"/>
  <c r="F461" i="2"/>
  <c r="G461" i="2"/>
  <c r="H461" i="2"/>
  <c r="B462" i="2"/>
  <c r="C462" i="2"/>
  <c r="D462" i="2"/>
  <c r="E462" i="2"/>
  <c r="F462" i="2"/>
  <c r="G462" i="2"/>
  <c r="H462" i="2"/>
  <c r="B463" i="2"/>
  <c r="C463" i="2"/>
  <c r="D463" i="2"/>
  <c r="E463" i="2"/>
  <c r="F463" i="2"/>
  <c r="G463" i="2"/>
  <c r="H463" i="2"/>
  <c r="B464" i="2"/>
  <c r="C464" i="2"/>
  <c r="D464" i="2"/>
  <c r="E464" i="2"/>
  <c r="F464" i="2"/>
  <c r="G464" i="2"/>
  <c r="H464" i="2"/>
  <c r="B465" i="2"/>
  <c r="C465" i="2"/>
  <c r="D465" i="2"/>
  <c r="E465" i="2"/>
  <c r="F465" i="2"/>
  <c r="G465" i="2"/>
  <c r="H465" i="2"/>
  <c r="B466" i="2"/>
  <c r="C466" i="2"/>
  <c r="D466" i="2"/>
  <c r="E466" i="2"/>
  <c r="F466" i="2"/>
  <c r="G466" i="2"/>
  <c r="H466" i="2"/>
  <c r="B467" i="2"/>
  <c r="C467" i="2"/>
  <c r="D467" i="2"/>
  <c r="E467" i="2"/>
  <c r="F467" i="2"/>
  <c r="G467" i="2"/>
  <c r="H467" i="2"/>
  <c r="B468" i="2"/>
  <c r="C468" i="2"/>
  <c r="D468" i="2"/>
  <c r="E468" i="2"/>
  <c r="F468" i="2"/>
  <c r="G468" i="2"/>
  <c r="H468" i="2"/>
  <c r="B469" i="2"/>
  <c r="C469" i="2"/>
  <c r="D469" i="2"/>
  <c r="E469" i="2"/>
  <c r="F469" i="2"/>
  <c r="G469" i="2"/>
  <c r="H469" i="2"/>
  <c r="B470" i="2"/>
  <c r="C470" i="2"/>
  <c r="D470" i="2"/>
  <c r="E470" i="2"/>
  <c r="F470" i="2"/>
  <c r="G470" i="2"/>
  <c r="H470" i="2"/>
  <c r="B471" i="2"/>
  <c r="C471" i="2"/>
  <c r="D471" i="2"/>
  <c r="E471" i="2"/>
  <c r="F471" i="2"/>
  <c r="G471" i="2"/>
  <c r="H471" i="2"/>
  <c r="B472" i="2"/>
  <c r="C472" i="2"/>
  <c r="D472" i="2"/>
  <c r="E472" i="2"/>
  <c r="F472" i="2"/>
  <c r="G472" i="2"/>
  <c r="H472" i="2"/>
  <c r="B473" i="2"/>
  <c r="C473" i="2"/>
  <c r="D473" i="2"/>
  <c r="E473" i="2"/>
  <c r="F473" i="2"/>
  <c r="G473" i="2"/>
  <c r="H473" i="2"/>
  <c r="B474" i="2"/>
  <c r="C474" i="2"/>
  <c r="D474" i="2"/>
  <c r="E474" i="2"/>
  <c r="F474" i="2"/>
  <c r="G474" i="2"/>
  <c r="H474" i="2"/>
  <c r="B475" i="2"/>
  <c r="C475" i="2"/>
  <c r="D475" i="2"/>
  <c r="E475" i="2"/>
  <c r="F475" i="2"/>
  <c r="G475" i="2"/>
  <c r="H475" i="2"/>
  <c r="B476" i="2"/>
  <c r="C476" i="2"/>
  <c r="D476" i="2"/>
  <c r="E476" i="2"/>
  <c r="F476" i="2"/>
  <c r="G476" i="2"/>
  <c r="H476" i="2"/>
  <c r="B477" i="2"/>
  <c r="C477" i="2"/>
  <c r="D477" i="2"/>
  <c r="E477" i="2"/>
  <c r="F477" i="2"/>
  <c r="G477" i="2"/>
  <c r="H477" i="2"/>
  <c r="B478" i="2"/>
  <c r="C478" i="2"/>
  <c r="D478" i="2"/>
  <c r="E478" i="2"/>
  <c r="F478" i="2"/>
  <c r="G478" i="2"/>
  <c r="H478" i="2"/>
  <c r="B479" i="2"/>
  <c r="C479" i="2"/>
  <c r="D479" i="2"/>
  <c r="E479" i="2"/>
  <c r="F479" i="2"/>
  <c r="G479" i="2"/>
  <c r="H479" i="2"/>
  <c r="B480" i="2"/>
  <c r="C480" i="2"/>
  <c r="D480" i="2"/>
  <c r="E480" i="2"/>
  <c r="F480" i="2"/>
  <c r="G480" i="2"/>
  <c r="H480" i="2"/>
  <c r="B481" i="2"/>
  <c r="C481" i="2"/>
  <c r="D481" i="2"/>
  <c r="E481" i="2"/>
  <c r="F481" i="2"/>
  <c r="G481" i="2"/>
  <c r="H481" i="2"/>
  <c r="B482" i="2"/>
  <c r="C482" i="2"/>
  <c r="D482" i="2"/>
  <c r="E482" i="2"/>
  <c r="F482" i="2"/>
  <c r="G482" i="2"/>
  <c r="H482" i="2"/>
  <c r="B483" i="2"/>
  <c r="C483" i="2"/>
  <c r="D483" i="2"/>
  <c r="E483" i="2"/>
  <c r="F483" i="2"/>
  <c r="G483" i="2"/>
  <c r="H483" i="2"/>
  <c r="B484" i="2"/>
  <c r="C484" i="2"/>
  <c r="D484" i="2"/>
  <c r="E484" i="2"/>
  <c r="F484" i="2"/>
  <c r="G484" i="2"/>
  <c r="H484" i="2"/>
  <c r="B485" i="2"/>
  <c r="C485" i="2"/>
  <c r="D485" i="2"/>
  <c r="E485" i="2"/>
  <c r="F485" i="2"/>
  <c r="G485" i="2"/>
  <c r="H485" i="2"/>
  <c r="B486" i="2"/>
  <c r="C486" i="2"/>
  <c r="D486" i="2"/>
  <c r="E486" i="2"/>
  <c r="F486" i="2"/>
  <c r="G486" i="2"/>
  <c r="H486" i="2"/>
  <c r="B487" i="2"/>
  <c r="C487" i="2"/>
  <c r="D487" i="2"/>
  <c r="E487" i="2"/>
  <c r="F487" i="2"/>
  <c r="G487" i="2"/>
  <c r="H487" i="2"/>
  <c r="B488" i="2"/>
  <c r="C488" i="2"/>
  <c r="D488" i="2"/>
  <c r="E488" i="2"/>
  <c r="F488" i="2"/>
  <c r="G488" i="2"/>
  <c r="H488" i="2"/>
  <c r="B489" i="2"/>
  <c r="C489" i="2"/>
  <c r="D489" i="2"/>
  <c r="E489" i="2"/>
  <c r="F489" i="2"/>
  <c r="G489" i="2"/>
  <c r="H489" i="2"/>
  <c r="B490" i="2"/>
  <c r="C490" i="2"/>
  <c r="D490" i="2"/>
  <c r="E490" i="2"/>
  <c r="F490" i="2"/>
  <c r="G490" i="2"/>
  <c r="H490" i="2"/>
  <c r="B491" i="2"/>
  <c r="C491" i="2"/>
  <c r="D491" i="2"/>
  <c r="E491" i="2"/>
  <c r="F491" i="2"/>
  <c r="G491" i="2"/>
  <c r="H491" i="2"/>
  <c r="B492" i="2"/>
  <c r="C492" i="2"/>
  <c r="D492" i="2"/>
  <c r="E492" i="2"/>
  <c r="F492" i="2"/>
  <c r="G492" i="2"/>
  <c r="H492" i="2"/>
  <c r="B493" i="2"/>
  <c r="C493" i="2"/>
  <c r="D493" i="2"/>
  <c r="E493" i="2"/>
  <c r="F493" i="2"/>
  <c r="G493" i="2"/>
  <c r="H493" i="2"/>
  <c r="B494" i="2"/>
  <c r="C494" i="2"/>
  <c r="D494" i="2"/>
  <c r="E494" i="2"/>
  <c r="F494" i="2"/>
  <c r="G494" i="2"/>
  <c r="H494" i="2"/>
  <c r="B495" i="2"/>
  <c r="C495" i="2"/>
  <c r="D495" i="2"/>
  <c r="E495" i="2"/>
  <c r="F495" i="2"/>
  <c r="G495" i="2"/>
  <c r="H495" i="2"/>
  <c r="B496" i="2"/>
  <c r="C496" i="2"/>
  <c r="D496" i="2"/>
  <c r="E496" i="2"/>
  <c r="F496" i="2"/>
  <c r="G496" i="2"/>
  <c r="H496" i="2"/>
  <c r="B497" i="2"/>
  <c r="C497" i="2"/>
  <c r="D497" i="2"/>
  <c r="E497" i="2"/>
  <c r="F497" i="2"/>
  <c r="G497" i="2"/>
  <c r="H497" i="2"/>
  <c r="B498" i="2"/>
  <c r="C498" i="2"/>
  <c r="D498" i="2"/>
  <c r="E498" i="2"/>
  <c r="F498" i="2"/>
  <c r="G498" i="2"/>
  <c r="H498" i="2"/>
  <c r="B499" i="2"/>
  <c r="C499" i="2"/>
  <c r="D499" i="2"/>
  <c r="E499" i="2"/>
  <c r="F499" i="2"/>
  <c r="G499" i="2"/>
  <c r="H499" i="2"/>
  <c r="B500" i="2"/>
  <c r="C500" i="2"/>
  <c r="D500" i="2"/>
  <c r="E500" i="2"/>
  <c r="F500" i="2"/>
  <c r="G500" i="2"/>
  <c r="H500" i="2"/>
  <c r="B501" i="2"/>
  <c r="C501" i="2"/>
  <c r="D501" i="2"/>
  <c r="E501" i="2"/>
  <c r="F501" i="2"/>
  <c r="G501" i="2"/>
  <c r="H501" i="2"/>
  <c r="B502" i="2"/>
  <c r="C502" i="2"/>
  <c r="D502" i="2"/>
  <c r="E502" i="2"/>
  <c r="F502" i="2"/>
  <c r="G502" i="2"/>
  <c r="H502" i="2"/>
  <c r="B503" i="2"/>
  <c r="C503" i="2"/>
  <c r="D503" i="2"/>
  <c r="E503" i="2"/>
  <c r="F503" i="2"/>
  <c r="G503" i="2"/>
  <c r="H503" i="2"/>
  <c r="B504" i="2"/>
  <c r="C504" i="2"/>
  <c r="D504" i="2"/>
  <c r="E504" i="2"/>
  <c r="F504" i="2"/>
  <c r="G504" i="2"/>
  <c r="H504" i="2"/>
  <c r="B505" i="2"/>
  <c r="C505" i="2"/>
  <c r="D505" i="2"/>
  <c r="E505" i="2"/>
  <c r="F505" i="2"/>
  <c r="G505" i="2"/>
  <c r="H505" i="2"/>
  <c r="B506" i="2"/>
  <c r="C506" i="2"/>
  <c r="D506" i="2"/>
  <c r="E506" i="2"/>
  <c r="F506" i="2"/>
  <c r="G506" i="2"/>
  <c r="H506" i="2"/>
  <c r="B507" i="2"/>
  <c r="C507" i="2"/>
  <c r="D507" i="2"/>
  <c r="E507" i="2"/>
  <c r="F507" i="2"/>
  <c r="G507" i="2"/>
  <c r="H507" i="2"/>
  <c r="B508" i="2"/>
  <c r="C508" i="2"/>
  <c r="D508" i="2"/>
  <c r="E508" i="2"/>
  <c r="F508" i="2"/>
  <c r="G508" i="2"/>
  <c r="H508" i="2"/>
  <c r="B509" i="2"/>
  <c r="C509" i="2"/>
  <c r="D509" i="2"/>
  <c r="E509" i="2"/>
  <c r="F509" i="2"/>
  <c r="G509" i="2"/>
  <c r="H509" i="2"/>
  <c r="B510" i="2"/>
  <c r="C510" i="2"/>
  <c r="D510" i="2"/>
  <c r="E510" i="2"/>
  <c r="F510" i="2"/>
  <c r="G510" i="2"/>
  <c r="H510" i="2"/>
  <c r="B511" i="2"/>
  <c r="C511" i="2"/>
  <c r="D511" i="2"/>
  <c r="E511" i="2"/>
  <c r="F511" i="2"/>
  <c r="G511" i="2"/>
  <c r="H511" i="2"/>
  <c r="B512" i="2"/>
  <c r="C512" i="2"/>
  <c r="D512" i="2"/>
  <c r="E512" i="2"/>
  <c r="F512" i="2"/>
  <c r="G512" i="2"/>
  <c r="H512" i="2"/>
  <c r="B513" i="2"/>
  <c r="C513" i="2"/>
  <c r="D513" i="2"/>
  <c r="E513" i="2"/>
  <c r="F513" i="2"/>
  <c r="G513" i="2"/>
  <c r="H513" i="2"/>
  <c r="B514" i="2"/>
  <c r="C514" i="2"/>
  <c r="D514" i="2"/>
  <c r="E514" i="2"/>
  <c r="F514" i="2"/>
  <c r="G514" i="2"/>
  <c r="H514" i="2"/>
  <c r="B515" i="2"/>
  <c r="C515" i="2"/>
  <c r="D515" i="2"/>
  <c r="E515" i="2"/>
  <c r="F515" i="2"/>
  <c r="G515" i="2"/>
  <c r="H515" i="2"/>
  <c r="B516" i="2"/>
  <c r="C516" i="2"/>
  <c r="D516" i="2"/>
  <c r="E516" i="2"/>
  <c r="F516" i="2"/>
  <c r="G516" i="2"/>
  <c r="H516" i="2"/>
  <c r="B517" i="2"/>
  <c r="C517" i="2"/>
  <c r="D517" i="2"/>
  <c r="E517" i="2"/>
  <c r="F517" i="2"/>
  <c r="G517" i="2"/>
  <c r="H517" i="2"/>
  <c r="B518" i="2"/>
  <c r="C518" i="2"/>
  <c r="D518" i="2"/>
  <c r="E518" i="2"/>
  <c r="F518" i="2"/>
  <c r="G518" i="2"/>
  <c r="H518" i="2"/>
  <c r="B519" i="2"/>
  <c r="C519" i="2"/>
  <c r="D519" i="2"/>
  <c r="E519" i="2"/>
  <c r="F519" i="2"/>
  <c r="G519" i="2"/>
  <c r="H519" i="2"/>
  <c r="B520" i="2"/>
  <c r="C520" i="2"/>
  <c r="D520" i="2"/>
  <c r="E520" i="2"/>
  <c r="F520" i="2"/>
  <c r="G520" i="2"/>
  <c r="H520" i="2"/>
  <c r="B521" i="2"/>
  <c r="C521" i="2"/>
  <c r="D521" i="2"/>
  <c r="E521" i="2"/>
  <c r="F521" i="2"/>
  <c r="G521" i="2"/>
  <c r="H521" i="2"/>
  <c r="B522" i="2"/>
  <c r="C522" i="2"/>
  <c r="D522" i="2"/>
  <c r="E522" i="2"/>
  <c r="F522" i="2"/>
  <c r="G522" i="2"/>
  <c r="H522" i="2"/>
  <c r="B523" i="2"/>
  <c r="C523" i="2"/>
  <c r="D523" i="2"/>
  <c r="E523" i="2"/>
  <c r="F523" i="2"/>
  <c r="G523" i="2"/>
  <c r="H523" i="2"/>
  <c r="B524" i="2"/>
  <c r="C524" i="2"/>
  <c r="D524" i="2"/>
  <c r="E524" i="2"/>
  <c r="F524" i="2"/>
  <c r="G524" i="2"/>
  <c r="H524" i="2"/>
  <c r="B525" i="2"/>
  <c r="C525" i="2"/>
  <c r="D525" i="2"/>
  <c r="E525" i="2"/>
  <c r="F525" i="2"/>
  <c r="G525" i="2"/>
  <c r="H525" i="2"/>
  <c r="B526" i="2"/>
  <c r="C526" i="2"/>
  <c r="D526" i="2"/>
  <c r="E526" i="2"/>
  <c r="F526" i="2"/>
  <c r="G526" i="2"/>
  <c r="H526" i="2"/>
  <c r="B527" i="2"/>
  <c r="C527" i="2"/>
  <c r="D527" i="2"/>
  <c r="E527" i="2"/>
  <c r="F527" i="2"/>
  <c r="G527" i="2"/>
  <c r="H527" i="2"/>
  <c r="B528" i="2"/>
  <c r="C528" i="2"/>
  <c r="D528" i="2"/>
  <c r="E528" i="2"/>
  <c r="F528" i="2"/>
  <c r="G528" i="2"/>
  <c r="H528" i="2"/>
  <c r="B529" i="2"/>
  <c r="C529" i="2"/>
  <c r="D529" i="2"/>
  <c r="E529" i="2"/>
  <c r="F529" i="2"/>
  <c r="G529" i="2"/>
  <c r="H529" i="2"/>
  <c r="B530" i="2"/>
  <c r="C530" i="2"/>
  <c r="D530" i="2"/>
  <c r="E530" i="2"/>
  <c r="F530" i="2"/>
  <c r="G530" i="2"/>
  <c r="H530" i="2"/>
  <c r="B531" i="2"/>
  <c r="C531" i="2"/>
  <c r="D531" i="2"/>
  <c r="E531" i="2"/>
  <c r="F531" i="2"/>
  <c r="G531" i="2"/>
  <c r="H531" i="2"/>
  <c r="B532" i="2"/>
  <c r="C532" i="2"/>
  <c r="D532" i="2"/>
  <c r="E532" i="2"/>
  <c r="F532" i="2"/>
  <c r="G532" i="2"/>
  <c r="H532" i="2"/>
  <c r="B533" i="2"/>
  <c r="C533" i="2"/>
  <c r="D533" i="2"/>
  <c r="E533" i="2"/>
  <c r="F533" i="2"/>
  <c r="G533" i="2"/>
  <c r="H533" i="2"/>
  <c r="B534" i="2"/>
  <c r="C534" i="2"/>
  <c r="D534" i="2"/>
  <c r="E534" i="2"/>
  <c r="F534" i="2"/>
  <c r="G534" i="2"/>
  <c r="H534" i="2"/>
  <c r="B535" i="2"/>
  <c r="C535" i="2"/>
  <c r="D535" i="2"/>
  <c r="E535" i="2"/>
  <c r="F535" i="2"/>
  <c r="G535" i="2"/>
  <c r="H535" i="2"/>
  <c r="B536" i="2"/>
  <c r="C536" i="2"/>
  <c r="D536" i="2"/>
  <c r="E536" i="2"/>
  <c r="F536" i="2"/>
  <c r="G536" i="2"/>
  <c r="H536" i="2"/>
  <c r="B537" i="2"/>
  <c r="C537" i="2"/>
  <c r="D537" i="2"/>
  <c r="E537" i="2"/>
  <c r="F537" i="2"/>
  <c r="G537" i="2"/>
  <c r="H537" i="2"/>
  <c r="B538" i="2"/>
  <c r="C538" i="2"/>
  <c r="D538" i="2"/>
  <c r="E538" i="2"/>
  <c r="F538" i="2"/>
  <c r="G538" i="2"/>
  <c r="H538" i="2"/>
  <c r="B539" i="2"/>
  <c r="C539" i="2"/>
  <c r="D539" i="2"/>
  <c r="E539" i="2"/>
  <c r="F539" i="2"/>
  <c r="G539" i="2"/>
  <c r="H539" i="2"/>
  <c r="B540" i="2"/>
  <c r="C540" i="2"/>
  <c r="D540" i="2"/>
  <c r="E540" i="2"/>
  <c r="F540" i="2"/>
  <c r="G540" i="2"/>
  <c r="H540" i="2"/>
  <c r="B541" i="2"/>
  <c r="C541" i="2"/>
  <c r="D541" i="2"/>
  <c r="E541" i="2"/>
  <c r="F541" i="2"/>
  <c r="G541" i="2"/>
  <c r="H541" i="2"/>
  <c r="B542" i="2"/>
  <c r="C542" i="2"/>
  <c r="D542" i="2"/>
  <c r="E542" i="2"/>
  <c r="F542" i="2"/>
  <c r="G542" i="2"/>
  <c r="H542" i="2"/>
  <c r="B543" i="2"/>
  <c r="C543" i="2"/>
  <c r="D543" i="2"/>
  <c r="E543" i="2"/>
  <c r="F543" i="2"/>
  <c r="G543" i="2"/>
  <c r="H543" i="2"/>
  <c r="B544" i="2"/>
  <c r="C544" i="2"/>
  <c r="D544" i="2"/>
  <c r="E544" i="2"/>
  <c r="F544" i="2"/>
  <c r="G544" i="2"/>
  <c r="H544" i="2"/>
  <c r="B545" i="2"/>
  <c r="C545" i="2"/>
  <c r="D545" i="2"/>
  <c r="E545" i="2"/>
  <c r="F545" i="2"/>
  <c r="G545" i="2"/>
  <c r="H545" i="2"/>
  <c r="B546" i="2"/>
  <c r="C546" i="2"/>
  <c r="D546" i="2"/>
  <c r="E546" i="2"/>
  <c r="F546" i="2"/>
  <c r="G546" i="2"/>
  <c r="H546" i="2"/>
  <c r="B547" i="2"/>
  <c r="C547" i="2"/>
  <c r="D547" i="2"/>
  <c r="E547" i="2"/>
  <c r="F547" i="2"/>
  <c r="G547" i="2"/>
  <c r="H547" i="2"/>
  <c r="B548" i="2"/>
  <c r="C548" i="2"/>
  <c r="D548" i="2"/>
  <c r="E548" i="2"/>
  <c r="F548" i="2"/>
  <c r="G548" i="2"/>
  <c r="H548" i="2"/>
  <c r="B549" i="2"/>
  <c r="C549" i="2"/>
  <c r="D549" i="2"/>
  <c r="E549" i="2"/>
  <c r="F549" i="2"/>
  <c r="G549" i="2"/>
  <c r="H549" i="2"/>
  <c r="B550" i="2"/>
  <c r="C550" i="2"/>
  <c r="D550" i="2"/>
  <c r="E550" i="2"/>
  <c r="F550" i="2"/>
  <c r="G550" i="2"/>
  <c r="H550" i="2"/>
  <c r="B551" i="2"/>
  <c r="C551" i="2"/>
  <c r="D551" i="2"/>
  <c r="E551" i="2"/>
  <c r="F551" i="2"/>
  <c r="G551" i="2"/>
  <c r="H551" i="2"/>
  <c r="B552" i="2"/>
  <c r="C552" i="2"/>
  <c r="D552" i="2"/>
  <c r="E552" i="2"/>
  <c r="F552" i="2"/>
  <c r="G552" i="2"/>
  <c r="H552" i="2"/>
  <c r="B553" i="2"/>
  <c r="C553" i="2"/>
  <c r="D553" i="2"/>
  <c r="E553" i="2"/>
  <c r="F553" i="2"/>
  <c r="G553" i="2"/>
  <c r="H553" i="2"/>
  <c r="B554" i="2"/>
  <c r="C554" i="2"/>
  <c r="D554" i="2"/>
  <c r="E554" i="2"/>
  <c r="F554" i="2"/>
  <c r="G554" i="2"/>
  <c r="H554" i="2"/>
  <c r="B555" i="2"/>
  <c r="C555" i="2"/>
  <c r="D555" i="2"/>
  <c r="E555" i="2"/>
  <c r="F555" i="2"/>
  <c r="G555" i="2"/>
  <c r="H555" i="2"/>
  <c r="B556" i="2"/>
  <c r="C556" i="2"/>
  <c r="D556" i="2"/>
  <c r="E556" i="2"/>
  <c r="F556" i="2"/>
  <c r="G556" i="2"/>
  <c r="H556" i="2"/>
  <c r="B557" i="2"/>
  <c r="C557" i="2"/>
  <c r="D557" i="2"/>
  <c r="E557" i="2"/>
  <c r="F557" i="2"/>
  <c r="G557" i="2"/>
  <c r="H557" i="2"/>
  <c r="B558" i="2"/>
  <c r="C558" i="2"/>
  <c r="D558" i="2"/>
  <c r="E558" i="2"/>
  <c r="F558" i="2"/>
  <c r="G558" i="2"/>
  <c r="H558" i="2"/>
  <c r="B559" i="2"/>
  <c r="C559" i="2"/>
  <c r="D559" i="2"/>
  <c r="E559" i="2"/>
  <c r="F559" i="2"/>
  <c r="G559" i="2"/>
  <c r="H559" i="2"/>
  <c r="B560" i="2"/>
  <c r="C560" i="2"/>
  <c r="D560" i="2"/>
  <c r="E560" i="2"/>
  <c r="F560" i="2"/>
  <c r="G560" i="2"/>
  <c r="H560" i="2"/>
  <c r="B561" i="2"/>
  <c r="C561" i="2"/>
  <c r="D561" i="2"/>
  <c r="E561" i="2"/>
  <c r="F561" i="2"/>
  <c r="G561" i="2"/>
  <c r="H561" i="2"/>
  <c r="B562" i="2"/>
  <c r="C562" i="2"/>
  <c r="D562" i="2"/>
  <c r="E562" i="2"/>
  <c r="F562" i="2"/>
  <c r="G562" i="2"/>
  <c r="H562" i="2"/>
  <c r="B563" i="2"/>
  <c r="C563" i="2"/>
  <c r="D563" i="2"/>
  <c r="E563" i="2"/>
  <c r="F563" i="2"/>
  <c r="G563" i="2"/>
  <c r="H563" i="2"/>
  <c r="B564" i="2"/>
  <c r="C564" i="2"/>
  <c r="D564" i="2"/>
  <c r="E564" i="2"/>
  <c r="F564" i="2"/>
  <c r="G564" i="2"/>
  <c r="H564" i="2"/>
  <c r="B565" i="2"/>
  <c r="C565" i="2"/>
  <c r="D565" i="2"/>
  <c r="E565" i="2"/>
  <c r="F565" i="2"/>
  <c r="G565" i="2"/>
  <c r="H565" i="2"/>
  <c r="B566" i="2"/>
  <c r="C566" i="2"/>
  <c r="D566" i="2"/>
  <c r="E566" i="2"/>
  <c r="F566" i="2"/>
  <c r="G566" i="2"/>
  <c r="H566" i="2"/>
  <c r="B567" i="2"/>
  <c r="C567" i="2"/>
  <c r="D567" i="2"/>
  <c r="E567" i="2"/>
  <c r="F567" i="2"/>
  <c r="G567" i="2"/>
  <c r="H567" i="2"/>
  <c r="B568" i="2"/>
  <c r="C568" i="2"/>
  <c r="D568" i="2"/>
  <c r="E568" i="2"/>
  <c r="F568" i="2"/>
  <c r="G568" i="2"/>
  <c r="H568" i="2"/>
  <c r="B569" i="2"/>
  <c r="C569" i="2"/>
  <c r="D569" i="2"/>
  <c r="E569" i="2"/>
  <c r="F569" i="2"/>
  <c r="G569" i="2"/>
  <c r="H569" i="2"/>
  <c r="B570" i="2"/>
  <c r="C570" i="2"/>
  <c r="D570" i="2"/>
  <c r="E570" i="2"/>
  <c r="F570" i="2"/>
  <c r="G570" i="2"/>
  <c r="H570" i="2"/>
  <c r="B571" i="2"/>
  <c r="C571" i="2"/>
  <c r="D571" i="2"/>
  <c r="E571" i="2"/>
  <c r="F571" i="2"/>
  <c r="G571" i="2"/>
  <c r="H571" i="2"/>
  <c r="B572" i="2"/>
  <c r="C572" i="2"/>
  <c r="D572" i="2"/>
  <c r="E572" i="2"/>
  <c r="F572" i="2"/>
  <c r="G572" i="2"/>
  <c r="H572" i="2"/>
  <c r="B573" i="2"/>
  <c r="C573" i="2"/>
  <c r="D573" i="2"/>
  <c r="E573" i="2"/>
  <c r="F573" i="2"/>
  <c r="G573" i="2"/>
  <c r="H573" i="2"/>
  <c r="B574" i="2"/>
  <c r="C574" i="2"/>
  <c r="D574" i="2"/>
  <c r="E574" i="2"/>
  <c r="F574" i="2"/>
  <c r="G574" i="2"/>
  <c r="H574" i="2"/>
  <c r="B575" i="2"/>
  <c r="C575" i="2"/>
  <c r="D575" i="2"/>
  <c r="E575" i="2"/>
  <c r="F575" i="2"/>
  <c r="G575" i="2"/>
  <c r="H575" i="2"/>
  <c r="B576" i="2"/>
  <c r="C576" i="2"/>
  <c r="D576" i="2"/>
  <c r="E576" i="2"/>
  <c r="F576" i="2"/>
  <c r="G576" i="2"/>
  <c r="H576" i="2"/>
  <c r="B577" i="2"/>
  <c r="C577" i="2"/>
  <c r="D577" i="2"/>
  <c r="E577" i="2"/>
  <c r="F577" i="2"/>
  <c r="G577" i="2"/>
  <c r="H577" i="2"/>
  <c r="B578" i="2"/>
  <c r="C578" i="2"/>
  <c r="D578" i="2"/>
  <c r="E578" i="2"/>
  <c r="F578" i="2"/>
  <c r="G578" i="2"/>
  <c r="H578" i="2"/>
  <c r="B579" i="2"/>
  <c r="C579" i="2"/>
  <c r="D579" i="2"/>
  <c r="E579" i="2"/>
  <c r="F579" i="2"/>
  <c r="G579" i="2"/>
  <c r="H579" i="2"/>
  <c r="B580" i="2"/>
  <c r="C580" i="2"/>
  <c r="D580" i="2"/>
  <c r="E580" i="2"/>
  <c r="F580" i="2"/>
  <c r="G580" i="2"/>
  <c r="H580" i="2"/>
  <c r="B581" i="2"/>
  <c r="C581" i="2"/>
  <c r="D581" i="2"/>
  <c r="E581" i="2"/>
  <c r="F581" i="2"/>
  <c r="G581" i="2"/>
  <c r="H581" i="2"/>
  <c r="B582" i="2"/>
  <c r="C582" i="2"/>
  <c r="D582" i="2"/>
  <c r="E582" i="2"/>
  <c r="F582" i="2"/>
  <c r="G582" i="2"/>
  <c r="H582" i="2"/>
  <c r="B583" i="2"/>
  <c r="C583" i="2"/>
  <c r="D583" i="2"/>
  <c r="E583" i="2"/>
  <c r="F583" i="2"/>
  <c r="G583" i="2"/>
  <c r="H583" i="2"/>
  <c r="B584" i="2"/>
  <c r="C584" i="2"/>
  <c r="D584" i="2"/>
  <c r="E584" i="2"/>
  <c r="F584" i="2"/>
  <c r="G584" i="2"/>
  <c r="H584" i="2"/>
  <c r="B585" i="2"/>
  <c r="C585" i="2"/>
  <c r="D585" i="2"/>
  <c r="E585" i="2"/>
  <c r="F585" i="2"/>
  <c r="G585" i="2"/>
  <c r="H585" i="2"/>
  <c r="B586" i="2"/>
  <c r="C586" i="2"/>
  <c r="D586" i="2"/>
  <c r="E586" i="2"/>
  <c r="F586" i="2"/>
  <c r="G586" i="2"/>
  <c r="H586" i="2"/>
  <c r="B587" i="2"/>
  <c r="C587" i="2"/>
  <c r="D587" i="2"/>
  <c r="E587" i="2"/>
  <c r="F587" i="2"/>
  <c r="G587" i="2"/>
  <c r="H587" i="2"/>
  <c r="B588" i="2"/>
  <c r="C588" i="2"/>
  <c r="D588" i="2"/>
  <c r="E588" i="2"/>
  <c r="F588" i="2"/>
  <c r="G588" i="2"/>
  <c r="H588" i="2"/>
  <c r="B589" i="2"/>
  <c r="C589" i="2"/>
  <c r="D589" i="2"/>
  <c r="E589" i="2"/>
  <c r="F589" i="2"/>
  <c r="G589" i="2"/>
  <c r="H589" i="2"/>
  <c r="B590" i="2"/>
  <c r="C590" i="2"/>
  <c r="D590" i="2"/>
  <c r="E590" i="2"/>
  <c r="F590" i="2"/>
  <c r="G590" i="2"/>
  <c r="H590" i="2"/>
  <c r="B591" i="2"/>
  <c r="C591" i="2"/>
  <c r="D591" i="2"/>
  <c r="E591" i="2"/>
  <c r="F591" i="2"/>
  <c r="G591" i="2"/>
  <c r="H591" i="2"/>
  <c r="B592" i="2"/>
  <c r="C592" i="2"/>
  <c r="D592" i="2"/>
  <c r="E592" i="2"/>
  <c r="F592" i="2"/>
  <c r="G592" i="2"/>
  <c r="H592" i="2"/>
  <c r="B593" i="2"/>
  <c r="C593" i="2"/>
  <c r="D593" i="2"/>
  <c r="E593" i="2"/>
  <c r="F593" i="2"/>
  <c r="G593" i="2"/>
  <c r="H593" i="2"/>
  <c r="B594" i="2"/>
  <c r="C594" i="2"/>
  <c r="D594" i="2"/>
  <c r="E594" i="2"/>
  <c r="F594" i="2"/>
  <c r="G594" i="2"/>
  <c r="H594" i="2"/>
  <c r="B595" i="2"/>
  <c r="C595" i="2"/>
  <c r="D595" i="2"/>
  <c r="E595" i="2"/>
  <c r="F595" i="2"/>
  <c r="G595" i="2"/>
  <c r="H595" i="2"/>
  <c r="B596" i="2"/>
  <c r="C596" i="2"/>
  <c r="D596" i="2"/>
  <c r="E596" i="2"/>
  <c r="F596" i="2"/>
  <c r="G596" i="2"/>
  <c r="H596" i="2"/>
  <c r="B597" i="2"/>
  <c r="C597" i="2"/>
  <c r="D597" i="2"/>
  <c r="E597" i="2"/>
  <c r="F597" i="2"/>
  <c r="G597" i="2"/>
  <c r="H597" i="2"/>
  <c r="B598" i="2"/>
  <c r="C598" i="2"/>
  <c r="D598" i="2"/>
  <c r="E598" i="2"/>
  <c r="F598" i="2"/>
  <c r="G598" i="2"/>
  <c r="H598" i="2"/>
  <c r="B599" i="2"/>
  <c r="C599" i="2"/>
  <c r="D599" i="2"/>
  <c r="E599" i="2"/>
  <c r="F599" i="2"/>
  <c r="G599" i="2"/>
  <c r="H599" i="2"/>
  <c r="B600" i="2"/>
  <c r="C600" i="2"/>
  <c r="D600" i="2"/>
  <c r="E600" i="2"/>
  <c r="F600" i="2"/>
  <c r="G600" i="2"/>
  <c r="H600" i="2"/>
  <c r="B601" i="2"/>
  <c r="C601" i="2"/>
  <c r="D601" i="2"/>
  <c r="E601" i="2"/>
  <c r="F601" i="2"/>
  <c r="G601" i="2"/>
  <c r="H601" i="2"/>
  <c r="B602" i="2"/>
  <c r="C602" i="2"/>
  <c r="D602" i="2"/>
  <c r="E602" i="2"/>
  <c r="F602" i="2"/>
  <c r="G602" i="2"/>
  <c r="H602" i="2"/>
  <c r="B603" i="2"/>
  <c r="C603" i="2"/>
  <c r="D603" i="2"/>
  <c r="E603" i="2"/>
  <c r="F603" i="2"/>
  <c r="G603" i="2"/>
  <c r="H603" i="2"/>
  <c r="B604" i="2"/>
  <c r="C604" i="2"/>
  <c r="D604" i="2"/>
  <c r="E604" i="2"/>
  <c r="F604" i="2"/>
  <c r="G604" i="2"/>
  <c r="H604" i="2"/>
  <c r="B605" i="2"/>
  <c r="C605" i="2"/>
  <c r="D605" i="2"/>
  <c r="E605" i="2"/>
  <c r="F605" i="2"/>
  <c r="G605" i="2"/>
  <c r="H605" i="2"/>
  <c r="B606" i="2"/>
  <c r="C606" i="2"/>
  <c r="D606" i="2"/>
  <c r="E606" i="2"/>
  <c r="F606" i="2"/>
  <c r="G606" i="2"/>
  <c r="H606" i="2"/>
  <c r="B607" i="2"/>
  <c r="C607" i="2"/>
  <c r="D607" i="2"/>
  <c r="E607" i="2"/>
  <c r="F607" i="2"/>
  <c r="G607" i="2"/>
  <c r="H607" i="2"/>
  <c r="B608" i="2"/>
  <c r="C608" i="2"/>
  <c r="D608" i="2"/>
  <c r="E608" i="2"/>
  <c r="F608" i="2"/>
  <c r="G608" i="2"/>
  <c r="H608" i="2"/>
  <c r="B609" i="2"/>
  <c r="C609" i="2"/>
  <c r="D609" i="2"/>
  <c r="E609" i="2"/>
  <c r="F609" i="2"/>
  <c r="G609" i="2"/>
  <c r="H609" i="2"/>
  <c r="B610" i="2"/>
  <c r="C610" i="2"/>
  <c r="D610" i="2"/>
  <c r="E610" i="2"/>
  <c r="F610" i="2"/>
  <c r="G610" i="2"/>
  <c r="H610" i="2"/>
  <c r="B611" i="2"/>
  <c r="C611" i="2"/>
  <c r="D611" i="2"/>
  <c r="E611" i="2"/>
  <c r="F611" i="2"/>
  <c r="G611" i="2"/>
  <c r="H611" i="2"/>
  <c r="B612" i="2"/>
  <c r="C612" i="2"/>
  <c r="D612" i="2"/>
  <c r="E612" i="2"/>
  <c r="F612" i="2"/>
  <c r="G612" i="2"/>
  <c r="H612" i="2"/>
  <c r="B613" i="2"/>
  <c r="C613" i="2"/>
  <c r="D613" i="2"/>
  <c r="E613" i="2"/>
  <c r="F613" i="2"/>
  <c r="G613" i="2"/>
  <c r="H613" i="2"/>
  <c r="B614" i="2"/>
  <c r="C614" i="2"/>
  <c r="D614" i="2"/>
  <c r="E614" i="2"/>
  <c r="F614" i="2"/>
  <c r="G614" i="2"/>
  <c r="H614" i="2"/>
  <c r="B615" i="2"/>
  <c r="C615" i="2"/>
  <c r="D615" i="2"/>
  <c r="E615" i="2"/>
  <c r="F615" i="2"/>
  <c r="G615" i="2"/>
  <c r="H615" i="2"/>
  <c r="B616" i="2"/>
  <c r="C616" i="2"/>
  <c r="D616" i="2"/>
  <c r="E616" i="2"/>
  <c r="F616" i="2"/>
  <c r="G616" i="2"/>
  <c r="H616" i="2"/>
  <c r="B617" i="2"/>
  <c r="C617" i="2"/>
  <c r="D617" i="2"/>
  <c r="E617" i="2"/>
  <c r="F617" i="2"/>
  <c r="G617" i="2"/>
  <c r="H617" i="2"/>
  <c r="B618" i="2"/>
  <c r="C618" i="2"/>
  <c r="D618" i="2"/>
  <c r="E618" i="2"/>
  <c r="F618" i="2"/>
  <c r="G618" i="2"/>
  <c r="H618" i="2"/>
  <c r="B619" i="2"/>
  <c r="C619" i="2"/>
  <c r="D619" i="2"/>
  <c r="E619" i="2"/>
  <c r="F619" i="2"/>
  <c r="G619" i="2"/>
  <c r="H619" i="2"/>
  <c r="B620" i="2"/>
  <c r="C620" i="2"/>
  <c r="D620" i="2"/>
  <c r="E620" i="2"/>
  <c r="F620" i="2"/>
  <c r="G620" i="2"/>
  <c r="H620" i="2"/>
  <c r="B621" i="2"/>
  <c r="C621" i="2"/>
  <c r="D621" i="2"/>
  <c r="E621" i="2"/>
  <c r="F621" i="2"/>
  <c r="G621" i="2"/>
  <c r="H621" i="2"/>
  <c r="B622" i="2"/>
  <c r="C622" i="2"/>
  <c r="D622" i="2"/>
  <c r="E622" i="2"/>
  <c r="F622" i="2"/>
  <c r="G622" i="2"/>
  <c r="H622" i="2"/>
  <c r="B623" i="2"/>
  <c r="C623" i="2"/>
  <c r="D623" i="2"/>
  <c r="E623" i="2"/>
  <c r="F623" i="2"/>
  <c r="G623" i="2"/>
  <c r="H623" i="2"/>
  <c r="B624" i="2"/>
  <c r="C624" i="2"/>
  <c r="D624" i="2"/>
  <c r="E624" i="2"/>
  <c r="F624" i="2"/>
  <c r="G624" i="2"/>
  <c r="H624" i="2"/>
  <c r="B625" i="2"/>
  <c r="C625" i="2"/>
  <c r="D625" i="2"/>
  <c r="E625" i="2"/>
  <c r="F625" i="2"/>
  <c r="G625" i="2"/>
  <c r="H625" i="2"/>
  <c r="B626" i="2"/>
  <c r="C626" i="2"/>
  <c r="D626" i="2"/>
  <c r="E626" i="2"/>
  <c r="F626" i="2"/>
  <c r="G626" i="2"/>
  <c r="H626" i="2"/>
  <c r="B627" i="2"/>
  <c r="C627" i="2"/>
  <c r="D627" i="2"/>
  <c r="E627" i="2"/>
  <c r="F627" i="2"/>
  <c r="G627" i="2"/>
  <c r="H627" i="2"/>
  <c r="B628" i="2"/>
  <c r="C628" i="2"/>
  <c r="D628" i="2"/>
  <c r="E628" i="2"/>
  <c r="F628" i="2"/>
  <c r="G628" i="2"/>
  <c r="H628" i="2"/>
  <c r="B629" i="2"/>
  <c r="C629" i="2"/>
  <c r="D629" i="2"/>
  <c r="E629" i="2"/>
  <c r="F629" i="2"/>
  <c r="G629" i="2"/>
  <c r="H629" i="2"/>
  <c r="B630" i="2"/>
  <c r="C630" i="2"/>
  <c r="D630" i="2"/>
  <c r="E630" i="2"/>
  <c r="F630" i="2"/>
  <c r="G630" i="2"/>
  <c r="H630" i="2"/>
  <c r="B631" i="2"/>
  <c r="C631" i="2"/>
  <c r="D631" i="2"/>
  <c r="E631" i="2"/>
  <c r="F631" i="2"/>
  <c r="G631" i="2"/>
  <c r="H631" i="2"/>
  <c r="B632" i="2"/>
  <c r="C632" i="2"/>
  <c r="D632" i="2"/>
  <c r="E632" i="2"/>
  <c r="F632" i="2"/>
  <c r="G632" i="2"/>
  <c r="H632" i="2"/>
  <c r="B633" i="2"/>
  <c r="C633" i="2"/>
  <c r="D633" i="2"/>
  <c r="E633" i="2"/>
  <c r="F633" i="2"/>
  <c r="G633" i="2"/>
  <c r="H633" i="2"/>
  <c r="B634" i="2"/>
  <c r="C634" i="2"/>
  <c r="D634" i="2"/>
  <c r="E634" i="2"/>
  <c r="F634" i="2"/>
  <c r="G634" i="2"/>
  <c r="H634" i="2"/>
  <c r="B635" i="2"/>
  <c r="C635" i="2"/>
  <c r="D635" i="2"/>
  <c r="E635" i="2"/>
  <c r="F635" i="2"/>
  <c r="G635" i="2"/>
  <c r="H635" i="2"/>
  <c r="B636" i="2"/>
  <c r="C636" i="2"/>
  <c r="D636" i="2"/>
  <c r="E636" i="2"/>
  <c r="F636" i="2"/>
  <c r="G636" i="2"/>
  <c r="H636" i="2"/>
  <c r="B637" i="2"/>
  <c r="C637" i="2"/>
  <c r="D637" i="2"/>
  <c r="E637" i="2"/>
  <c r="F637" i="2"/>
  <c r="G637" i="2"/>
  <c r="H637" i="2"/>
  <c r="B638" i="2"/>
  <c r="C638" i="2"/>
  <c r="D638" i="2"/>
  <c r="E638" i="2"/>
  <c r="F638" i="2"/>
  <c r="G638" i="2"/>
  <c r="H638" i="2"/>
  <c r="B639" i="2"/>
  <c r="C639" i="2"/>
  <c r="D639" i="2"/>
  <c r="E639" i="2"/>
  <c r="F639" i="2"/>
  <c r="G639" i="2"/>
  <c r="H639" i="2"/>
  <c r="B640" i="2"/>
  <c r="C640" i="2"/>
  <c r="D640" i="2"/>
  <c r="E640" i="2"/>
  <c r="F640" i="2"/>
  <c r="G640" i="2"/>
  <c r="H640" i="2"/>
  <c r="B641" i="2"/>
  <c r="C641" i="2"/>
  <c r="D641" i="2"/>
  <c r="E641" i="2"/>
  <c r="F641" i="2"/>
  <c r="G641" i="2"/>
  <c r="H641" i="2"/>
  <c r="B642" i="2"/>
  <c r="C642" i="2"/>
  <c r="D642" i="2"/>
  <c r="E642" i="2"/>
  <c r="F642" i="2"/>
  <c r="G642" i="2"/>
  <c r="H642" i="2"/>
  <c r="B643" i="2"/>
  <c r="C643" i="2"/>
  <c r="D643" i="2"/>
  <c r="E643" i="2"/>
  <c r="F643" i="2"/>
  <c r="G643" i="2"/>
  <c r="H643" i="2"/>
  <c r="B644" i="2"/>
  <c r="C644" i="2"/>
  <c r="D644" i="2"/>
  <c r="E644" i="2"/>
  <c r="F644" i="2"/>
  <c r="G644" i="2"/>
  <c r="H644" i="2"/>
  <c r="B645" i="2"/>
  <c r="C645" i="2"/>
  <c r="D645" i="2"/>
  <c r="E645" i="2"/>
  <c r="F645" i="2"/>
  <c r="G645" i="2"/>
  <c r="H645" i="2"/>
  <c r="B646" i="2"/>
  <c r="C646" i="2"/>
  <c r="D646" i="2"/>
  <c r="E646" i="2"/>
  <c r="F646" i="2"/>
  <c r="G646" i="2"/>
  <c r="H646" i="2"/>
  <c r="B647" i="2"/>
  <c r="C647" i="2"/>
  <c r="D647" i="2"/>
  <c r="E647" i="2"/>
  <c r="F647" i="2"/>
  <c r="G647" i="2"/>
  <c r="H647" i="2"/>
  <c r="B648" i="2"/>
  <c r="C648" i="2"/>
  <c r="D648" i="2"/>
  <c r="E648" i="2"/>
  <c r="F648" i="2"/>
  <c r="G648" i="2"/>
  <c r="H648" i="2"/>
  <c r="B649" i="2"/>
  <c r="C649" i="2"/>
  <c r="D649" i="2"/>
  <c r="E649" i="2"/>
  <c r="F649" i="2"/>
  <c r="G649" i="2"/>
  <c r="H649" i="2"/>
  <c r="B650" i="2"/>
  <c r="C650" i="2"/>
  <c r="D650" i="2"/>
  <c r="E650" i="2"/>
  <c r="F650" i="2"/>
  <c r="G650" i="2"/>
  <c r="H650" i="2"/>
  <c r="B651" i="2"/>
  <c r="C651" i="2"/>
  <c r="D651" i="2"/>
  <c r="E651" i="2"/>
  <c r="F651" i="2"/>
  <c r="G651" i="2"/>
  <c r="H651" i="2"/>
  <c r="B652" i="2"/>
  <c r="C652" i="2"/>
  <c r="D652" i="2"/>
  <c r="E652" i="2"/>
  <c r="F652" i="2"/>
  <c r="G652" i="2"/>
  <c r="H652" i="2"/>
  <c r="B653" i="2"/>
  <c r="C653" i="2"/>
  <c r="D653" i="2"/>
  <c r="E653" i="2"/>
  <c r="F653" i="2"/>
  <c r="G653" i="2"/>
  <c r="H653" i="2"/>
  <c r="B654" i="2"/>
  <c r="C654" i="2"/>
  <c r="D654" i="2"/>
  <c r="E654" i="2"/>
  <c r="F654" i="2"/>
  <c r="G654" i="2"/>
  <c r="H654" i="2"/>
  <c r="B655" i="2"/>
  <c r="C655" i="2"/>
  <c r="D655" i="2"/>
  <c r="E655" i="2"/>
  <c r="F655" i="2"/>
  <c r="G655" i="2"/>
  <c r="H655" i="2"/>
  <c r="B656" i="2"/>
  <c r="C656" i="2"/>
  <c r="D656" i="2"/>
  <c r="E656" i="2"/>
  <c r="F656" i="2"/>
  <c r="G656" i="2"/>
  <c r="H656" i="2"/>
  <c r="B657" i="2"/>
  <c r="C657" i="2"/>
  <c r="D657" i="2"/>
  <c r="E657" i="2"/>
  <c r="F657" i="2"/>
  <c r="G657" i="2"/>
  <c r="H657" i="2"/>
  <c r="B658" i="2"/>
  <c r="C658" i="2"/>
  <c r="D658" i="2"/>
  <c r="E658" i="2"/>
  <c r="F658" i="2"/>
  <c r="G658" i="2"/>
  <c r="H658" i="2"/>
  <c r="B659" i="2"/>
  <c r="C659" i="2"/>
  <c r="D659" i="2"/>
  <c r="E659" i="2"/>
  <c r="F659" i="2"/>
  <c r="G659" i="2"/>
  <c r="H659" i="2"/>
  <c r="B660" i="2"/>
  <c r="C660" i="2"/>
  <c r="D660" i="2"/>
  <c r="E660" i="2"/>
  <c r="F660" i="2"/>
  <c r="G660" i="2"/>
  <c r="H660" i="2"/>
  <c r="B661" i="2"/>
  <c r="C661" i="2"/>
  <c r="D661" i="2"/>
  <c r="E661" i="2"/>
  <c r="F661" i="2"/>
  <c r="G661" i="2"/>
  <c r="H661" i="2"/>
  <c r="B662" i="2"/>
  <c r="C662" i="2"/>
  <c r="D662" i="2"/>
  <c r="E662" i="2"/>
  <c r="F662" i="2"/>
  <c r="G662" i="2"/>
  <c r="H662" i="2"/>
  <c r="B663" i="2"/>
  <c r="C663" i="2"/>
  <c r="D663" i="2"/>
  <c r="E663" i="2"/>
  <c r="F663" i="2"/>
  <c r="G663" i="2"/>
  <c r="H663" i="2"/>
  <c r="B664" i="2"/>
  <c r="C664" i="2"/>
  <c r="D664" i="2"/>
  <c r="E664" i="2"/>
  <c r="F664" i="2"/>
  <c r="G664" i="2"/>
  <c r="H664" i="2"/>
  <c r="B665" i="2"/>
  <c r="C665" i="2"/>
  <c r="D665" i="2"/>
  <c r="E665" i="2"/>
  <c r="F665" i="2"/>
  <c r="G665" i="2"/>
  <c r="H665" i="2"/>
  <c r="B666" i="2"/>
  <c r="C666" i="2"/>
  <c r="D666" i="2"/>
  <c r="E666" i="2"/>
  <c r="F666" i="2"/>
  <c r="G666" i="2"/>
  <c r="H666" i="2"/>
  <c r="B667" i="2"/>
  <c r="C667" i="2"/>
  <c r="D667" i="2"/>
  <c r="E667" i="2"/>
  <c r="F667" i="2"/>
  <c r="G667" i="2"/>
  <c r="H667" i="2"/>
  <c r="B668" i="2"/>
  <c r="C668" i="2"/>
  <c r="D668" i="2"/>
  <c r="E668" i="2"/>
  <c r="F668" i="2"/>
  <c r="G668" i="2"/>
  <c r="H668" i="2"/>
  <c r="B669" i="2"/>
  <c r="C669" i="2"/>
  <c r="D669" i="2"/>
  <c r="E669" i="2"/>
  <c r="F669" i="2"/>
  <c r="G669" i="2"/>
  <c r="H669" i="2"/>
  <c r="B670" i="2"/>
  <c r="C670" i="2"/>
  <c r="D670" i="2"/>
  <c r="E670" i="2"/>
  <c r="F670" i="2"/>
  <c r="G670" i="2"/>
  <c r="H670" i="2"/>
  <c r="B671" i="2"/>
  <c r="C671" i="2"/>
  <c r="D671" i="2"/>
  <c r="E671" i="2"/>
  <c r="F671" i="2"/>
  <c r="G671" i="2"/>
  <c r="H671" i="2"/>
  <c r="B672" i="2"/>
  <c r="C672" i="2"/>
  <c r="D672" i="2"/>
  <c r="E672" i="2"/>
  <c r="F672" i="2"/>
  <c r="G672" i="2"/>
  <c r="H672" i="2"/>
  <c r="B673" i="2"/>
  <c r="C673" i="2"/>
  <c r="D673" i="2"/>
  <c r="E673" i="2"/>
  <c r="F673" i="2"/>
  <c r="G673" i="2"/>
  <c r="H673" i="2"/>
  <c r="B674" i="2"/>
  <c r="C674" i="2"/>
  <c r="D674" i="2"/>
  <c r="E674" i="2"/>
  <c r="F674" i="2"/>
  <c r="G674" i="2"/>
  <c r="H674" i="2"/>
  <c r="B675" i="2"/>
  <c r="C675" i="2"/>
  <c r="D675" i="2"/>
  <c r="E675" i="2"/>
  <c r="F675" i="2"/>
  <c r="G675" i="2"/>
  <c r="H675" i="2"/>
  <c r="B676" i="2"/>
  <c r="C676" i="2"/>
  <c r="D676" i="2"/>
  <c r="E676" i="2"/>
  <c r="F676" i="2"/>
  <c r="G676" i="2"/>
  <c r="H676" i="2"/>
  <c r="B677" i="2"/>
  <c r="C677" i="2"/>
  <c r="D677" i="2"/>
  <c r="E677" i="2"/>
  <c r="F677" i="2"/>
  <c r="G677" i="2"/>
  <c r="H677" i="2"/>
  <c r="B678" i="2"/>
  <c r="C678" i="2"/>
  <c r="D678" i="2"/>
  <c r="E678" i="2"/>
  <c r="F678" i="2"/>
  <c r="G678" i="2"/>
  <c r="H678" i="2"/>
  <c r="B679" i="2"/>
  <c r="C679" i="2"/>
  <c r="D679" i="2"/>
  <c r="E679" i="2"/>
  <c r="F679" i="2"/>
  <c r="G679" i="2"/>
  <c r="H679" i="2"/>
  <c r="B680" i="2"/>
  <c r="C680" i="2"/>
  <c r="D680" i="2"/>
  <c r="E680" i="2"/>
  <c r="F680" i="2"/>
  <c r="G680" i="2"/>
  <c r="H680" i="2"/>
  <c r="B681" i="2"/>
  <c r="C681" i="2"/>
  <c r="D681" i="2"/>
  <c r="E681" i="2"/>
  <c r="F681" i="2"/>
  <c r="G681" i="2"/>
  <c r="H681" i="2"/>
  <c r="B682" i="2"/>
  <c r="C682" i="2"/>
  <c r="D682" i="2"/>
  <c r="E682" i="2"/>
  <c r="F682" i="2"/>
  <c r="G682" i="2"/>
  <c r="H682" i="2"/>
  <c r="B683" i="2"/>
  <c r="C683" i="2"/>
  <c r="D683" i="2"/>
  <c r="E683" i="2"/>
  <c r="F683" i="2"/>
  <c r="G683" i="2"/>
  <c r="H683" i="2"/>
  <c r="B684" i="2"/>
  <c r="C684" i="2"/>
  <c r="D684" i="2"/>
  <c r="E684" i="2"/>
  <c r="F684" i="2"/>
  <c r="G684" i="2"/>
  <c r="H684" i="2"/>
  <c r="B685" i="2"/>
  <c r="C685" i="2"/>
  <c r="D685" i="2"/>
  <c r="E685" i="2"/>
  <c r="F685" i="2"/>
  <c r="G685" i="2"/>
  <c r="H685" i="2"/>
  <c r="B686" i="2"/>
  <c r="C686" i="2"/>
  <c r="D686" i="2"/>
  <c r="E686" i="2"/>
  <c r="F686" i="2"/>
  <c r="G686" i="2"/>
  <c r="H686" i="2"/>
  <c r="B687" i="2"/>
  <c r="C687" i="2"/>
  <c r="D687" i="2"/>
  <c r="E687" i="2"/>
  <c r="F687" i="2"/>
  <c r="G687" i="2"/>
  <c r="H687" i="2"/>
  <c r="B688" i="2"/>
  <c r="C688" i="2"/>
  <c r="D688" i="2"/>
  <c r="E688" i="2"/>
  <c r="F688" i="2"/>
  <c r="G688" i="2"/>
  <c r="H688" i="2"/>
  <c r="B689" i="2"/>
  <c r="C689" i="2"/>
  <c r="D689" i="2"/>
  <c r="E689" i="2"/>
  <c r="F689" i="2"/>
  <c r="G689" i="2"/>
  <c r="H689" i="2"/>
  <c r="B690" i="2"/>
  <c r="C690" i="2"/>
  <c r="D690" i="2"/>
  <c r="E690" i="2"/>
  <c r="F690" i="2"/>
  <c r="G690" i="2"/>
  <c r="H690" i="2"/>
  <c r="B691" i="2"/>
  <c r="C691" i="2"/>
  <c r="D691" i="2"/>
  <c r="E691" i="2"/>
  <c r="F691" i="2"/>
  <c r="G691" i="2"/>
  <c r="H691" i="2"/>
  <c r="B692" i="2"/>
  <c r="C692" i="2"/>
  <c r="D692" i="2"/>
  <c r="E692" i="2"/>
  <c r="F692" i="2"/>
  <c r="G692" i="2"/>
  <c r="H692" i="2"/>
  <c r="B693" i="2"/>
  <c r="C693" i="2"/>
  <c r="D693" i="2"/>
  <c r="E693" i="2"/>
  <c r="F693" i="2"/>
  <c r="G693" i="2"/>
  <c r="H693" i="2"/>
  <c r="B694" i="2"/>
  <c r="C694" i="2"/>
  <c r="D694" i="2"/>
  <c r="E694" i="2"/>
  <c r="F694" i="2"/>
  <c r="G694" i="2"/>
  <c r="H694" i="2"/>
  <c r="B695" i="2"/>
  <c r="C695" i="2"/>
  <c r="D695" i="2"/>
  <c r="E695" i="2"/>
  <c r="F695" i="2"/>
  <c r="G695" i="2"/>
  <c r="H695" i="2"/>
  <c r="B696" i="2"/>
  <c r="C696" i="2"/>
  <c r="D696" i="2"/>
  <c r="E696" i="2"/>
  <c r="F696" i="2"/>
  <c r="G696" i="2"/>
  <c r="H696" i="2"/>
  <c r="B697" i="2"/>
  <c r="C697" i="2"/>
  <c r="D697" i="2"/>
  <c r="E697" i="2"/>
  <c r="F697" i="2"/>
  <c r="G697" i="2"/>
  <c r="H697" i="2"/>
  <c r="B698" i="2"/>
  <c r="C698" i="2"/>
  <c r="D698" i="2"/>
  <c r="E698" i="2"/>
  <c r="F698" i="2"/>
  <c r="G698" i="2"/>
  <c r="H698" i="2"/>
  <c r="B699" i="2"/>
  <c r="C699" i="2"/>
  <c r="D699" i="2"/>
  <c r="E699" i="2"/>
  <c r="F699" i="2"/>
  <c r="G699" i="2"/>
  <c r="H699" i="2"/>
  <c r="B700" i="2"/>
  <c r="C700" i="2"/>
  <c r="D700" i="2"/>
  <c r="E700" i="2"/>
  <c r="F700" i="2"/>
  <c r="G700" i="2"/>
  <c r="H700" i="2"/>
  <c r="B701" i="2"/>
  <c r="C701" i="2"/>
  <c r="D701" i="2"/>
  <c r="E701" i="2"/>
  <c r="F701" i="2"/>
  <c r="G701" i="2"/>
  <c r="H701" i="2"/>
  <c r="B702" i="2"/>
  <c r="C702" i="2"/>
  <c r="D702" i="2"/>
  <c r="E702" i="2"/>
  <c r="F702" i="2"/>
  <c r="G702" i="2"/>
  <c r="H702" i="2"/>
  <c r="B703" i="2"/>
  <c r="C703" i="2"/>
  <c r="D703" i="2"/>
  <c r="E703" i="2"/>
  <c r="F703" i="2"/>
  <c r="G703" i="2"/>
  <c r="H703" i="2"/>
  <c r="B704" i="2"/>
  <c r="C704" i="2"/>
  <c r="D704" i="2"/>
  <c r="E704" i="2"/>
  <c r="F704" i="2"/>
  <c r="G704" i="2"/>
  <c r="H704" i="2"/>
  <c r="B705" i="2"/>
  <c r="C705" i="2"/>
  <c r="D705" i="2"/>
  <c r="E705" i="2"/>
  <c r="F705" i="2"/>
  <c r="G705" i="2"/>
  <c r="H705" i="2"/>
  <c r="B706" i="2"/>
  <c r="C706" i="2"/>
  <c r="D706" i="2"/>
  <c r="E706" i="2"/>
  <c r="F706" i="2"/>
  <c r="G706" i="2"/>
  <c r="H706" i="2"/>
  <c r="B707" i="2"/>
  <c r="C707" i="2"/>
  <c r="D707" i="2"/>
  <c r="E707" i="2"/>
  <c r="F707" i="2"/>
  <c r="G707" i="2"/>
  <c r="H707" i="2"/>
  <c r="B708" i="2"/>
  <c r="C708" i="2"/>
  <c r="D708" i="2"/>
  <c r="E708" i="2"/>
  <c r="F708" i="2"/>
  <c r="G708" i="2"/>
  <c r="H708" i="2"/>
  <c r="B709" i="2"/>
  <c r="C709" i="2"/>
  <c r="D709" i="2"/>
  <c r="E709" i="2"/>
  <c r="F709" i="2"/>
  <c r="G709" i="2"/>
  <c r="H709" i="2"/>
  <c r="B710" i="2"/>
  <c r="C710" i="2"/>
  <c r="D710" i="2"/>
  <c r="E710" i="2"/>
  <c r="F710" i="2"/>
  <c r="G710" i="2"/>
  <c r="H710" i="2"/>
  <c r="B711" i="2"/>
  <c r="C711" i="2"/>
  <c r="D711" i="2"/>
  <c r="E711" i="2"/>
  <c r="F711" i="2"/>
  <c r="G711" i="2"/>
  <c r="H711" i="2"/>
  <c r="B712" i="2"/>
  <c r="C712" i="2"/>
  <c r="D712" i="2"/>
  <c r="E712" i="2"/>
  <c r="F712" i="2"/>
  <c r="G712" i="2"/>
  <c r="H712" i="2"/>
  <c r="B713" i="2"/>
  <c r="C713" i="2"/>
  <c r="D713" i="2"/>
  <c r="E713" i="2"/>
  <c r="F713" i="2"/>
  <c r="G713" i="2"/>
  <c r="H713" i="2"/>
  <c r="B714" i="2"/>
  <c r="C714" i="2"/>
  <c r="D714" i="2"/>
  <c r="E714" i="2"/>
  <c r="F714" i="2"/>
  <c r="G714" i="2"/>
  <c r="H714" i="2"/>
  <c r="B715" i="2"/>
  <c r="C715" i="2"/>
  <c r="D715" i="2"/>
  <c r="E715" i="2"/>
  <c r="F715" i="2"/>
  <c r="G715" i="2"/>
  <c r="H715" i="2"/>
  <c r="B716" i="2"/>
  <c r="C716" i="2"/>
  <c r="D716" i="2"/>
  <c r="E716" i="2"/>
  <c r="F716" i="2"/>
  <c r="G716" i="2"/>
  <c r="H716" i="2"/>
  <c r="B717" i="2"/>
  <c r="C717" i="2"/>
  <c r="D717" i="2"/>
  <c r="E717" i="2"/>
  <c r="F717" i="2"/>
  <c r="G717" i="2"/>
  <c r="H717" i="2"/>
  <c r="B718" i="2"/>
  <c r="C718" i="2"/>
  <c r="D718" i="2"/>
  <c r="E718" i="2"/>
  <c r="F718" i="2"/>
  <c r="G718" i="2"/>
  <c r="H718" i="2"/>
  <c r="B719" i="2"/>
  <c r="C719" i="2"/>
  <c r="D719" i="2"/>
  <c r="E719" i="2"/>
  <c r="F719" i="2"/>
  <c r="G719" i="2"/>
  <c r="H719" i="2"/>
  <c r="B720" i="2"/>
  <c r="C720" i="2"/>
  <c r="D720" i="2"/>
  <c r="E720" i="2"/>
  <c r="F720" i="2"/>
  <c r="G720" i="2"/>
  <c r="H720" i="2"/>
  <c r="B721" i="2"/>
  <c r="C721" i="2"/>
  <c r="D721" i="2"/>
  <c r="E721" i="2"/>
  <c r="F721" i="2"/>
  <c r="G721" i="2"/>
  <c r="H721" i="2"/>
  <c r="B722" i="2"/>
  <c r="C722" i="2"/>
  <c r="D722" i="2"/>
  <c r="E722" i="2"/>
  <c r="F722" i="2"/>
  <c r="G722" i="2"/>
  <c r="H722" i="2"/>
  <c r="B723" i="2"/>
  <c r="C723" i="2"/>
  <c r="D723" i="2"/>
  <c r="E723" i="2"/>
  <c r="F723" i="2"/>
  <c r="G723" i="2"/>
  <c r="H723" i="2"/>
  <c r="B724" i="2"/>
  <c r="C724" i="2"/>
  <c r="D724" i="2"/>
  <c r="E724" i="2"/>
  <c r="F724" i="2"/>
  <c r="G724" i="2"/>
  <c r="H724" i="2"/>
  <c r="B725" i="2"/>
  <c r="C725" i="2"/>
  <c r="D725" i="2"/>
  <c r="E725" i="2"/>
  <c r="F725" i="2"/>
  <c r="G725" i="2"/>
  <c r="H725" i="2"/>
  <c r="B726" i="2"/>
  <c r="C726" i="2"/>
  <c r="D726" i="2"/>
  <c r="E726" i="2"/>
  <c r="F726" i="2"/>
  <c r="G726" i="2"/>
  <c r="H726" i="2"/>
  <c r="B727" i="2"/>
  <c r="C727" i="2"/>
  <c r="D727" i="2"/>
  <c r="E727" i="2"/>
  <c r="F727" i="2"/>
  <c r="G727" i="2"/>
  <c r="H727" i="2"/>
  <c r="B728" i="2"/>
  <c r="C728" i="2"/>
  <c r="D728" i="2"/>
  <c r="E728" i="2"/>
  <c r="F728" i="2"/>
  <c r="G728" i="2"/>
  <c r="H728" i="2"/>
  <c r="B729" i="2"/>
  <c r="C729" i="2"/>
  <c r="D729" i="2"/>
  <c r="E729" i="2"/>
  <c r="F729" i="2"/>
  <c r="G729" i="2"/>
  <c r="H729" i="2"/>
  <c r="B730" i="2"/>
  <c r="C730" i="2"/>
  <c r="D730" i="2"/>
  <c r="E730" i="2"/>
  <c r="F730" i="2"/>
  <c r="G730" i="2"/>
  <c r="H730" i="2"/>
  <c r="B731" i="2"/>
  <c r="C731" i="2"/>
  <c r="D731" i="2"/>
  <c r="E731" i="2"/>
  <c r="F731" i="2"/>
  <c r="G731" i="2"/>
  <c r="H731" i="2"/>
  <c r="B732" i="2"/>
  <c r="C732" i="2"/>
  <c r="D732" i="2"/>
  <c r="E732" i="2"/>
  <c r="F732" i="2"/>
  <c r="G732" i="2"/>
  <c r="H732" i="2"/>
  <c r="B733" i="2"/>
  <c r="C733" i="2"/>
  <c r="D733" i="2"/>
  <c r="E733" i="2"/>
  <c r="F733" i="2"/>
  <c r="G733" i="2"/>
  <c r="H733" i="2"/>
  <c r="B734" i="2"/>
  <c r="C734" i="2"/>
  <c r="D734" i="2"/>
  <c r="E734" i="2"/>
  <c r="F734" i="2"/>
  <c r="G734" i="2"/>
  <c r="H734" i="2"/>
  <c r="B735" i="2"/>
  <c r="C735" i="2"/>
  <c r="D735" i="2"/>
  <c r="E735" i="2"/>
  <c r="F735" i="2"/>
  <c r="G735" i="2"/>
  <c r="H735" i="2"/>
  <c r="B736" i="2"/>
  <c r="C736" i="2"/>
  <c r="D736" i="2"/>
  <c r="E736" i="2"/>
  <c r="F736" i="2"/>
  <c r="G736" i="2"/>
  <c r="H736" i="2"/>
  <c r="B737" i="2"/>
  <c r="C737" i="2"/>
  <c r="D737" i="2"/>
  <c r="E737" i="2"/>
  <c r="F737" i="2"/>
  <c r="G737" i="2"/>
  <c r="H737" i="2"/>
  <c r="B738" i="2"/>
  <c r="C738" i="2"/>
  <c r="D738" i="2"/>
  <c r="E738" i="2"/>
  <c r="F738" i="2"/>
  <c r="G738" i="2"/>
  <c r="H738" i="2"/>
  <c r="B739" i="2"/>
  <c r="C739" i="2"/>
  <c r="D739" i="2"/>
  <c r="E739" i="2"/>
  <c r="F739" i="2"/>
  <c r="G739" i="2"/>
  <c r="H739" i="2"/>
  <c r="B740" i="2"/>
  <c r="C740" i="2"/>
  <c r="D740" i="2"/>
  <c r="E740" i="2"/>
  <c r="F740" i="2"/>
  <c r="G740" i="2"/>
  <c r="H740" i="2"/>
  <c r="B741" i="2"/>
  <c r="C741" i="2"/>
  <c r="D741" i="2"/>
  <c r="E741" i="2"/>
  <c r="F741" i="2"/>
  <c r="G741" i="2"/>
  <c r="H741" i="2"/>
  <c r="B742" i="2"/>
  <c r="C742" i="2"/>
  <c r="D742" i="2"/>
  <c r="E742" i="2"/>
  <c r="F742" i="2"/>
  <c r="G742" i="2"/>
  <c r="H742" i="2"/>
  <c r="B743" i="2"/>
  <c r="C743" i="2"/>
  <c r="D743" i="2"/>
  <c r="E743" i="2"/>
  <c r="F743" i="2"/>
  <c r="G743" i="2"/>
  <c r="H743" i="2"/>
  <c r="B744" i="2"/>
  <c r="C744" i="2"/>
  <c r="D744" i="2"/>
  <c r="E744" i="2"/>
  <c r="F744" i="2"/>
  <c r="G744" i="2"/>
  <c r="H744" i="2"/>
  <c r="B745" i="2"/>
  <c r="C745" i="2"/>
  <c r="D745" i="2"/>
  <c r="E745" i="2"/>
  <c r="F745" i="2"/>
  <c r="G745" i="2"/>
  <c r="H745" i="2"/>
  <c r="B746" i="2"/>
  <c r="C746" i="2"/>
  <c r="D746" i="2"/>
  <c r="E746" i="2"/>
  <c r="F746" i="2"/>
  <c r="G746" i="2"/>
  <c r="H746" i="2"/>
  <c r="B747" i="2"/>
  <c r="C747" i="2"/>
  <c r="D747" i="2"/>
  <c r="E747" i="2"/>
  <c r="F747" i="2"/>
  <c r="G747" i="2"/>
  <c r="H747" i="2"/>
  <c r="B748" i="2"/>
  <c r="C748" i="2"/>
  <c r="D748" i="2"/>
  <c r="E748" i="2"/>
  <c r="F748" i="2"/>
  <c r="G748" i="2"/>
  <c r="H748" i="2"/>
  <c r="B749" i="2"/>
  <c r="C749" i="2"/>
  <c r="D749" i="2"/>
  <c r="E749" i="2"/>
  <c r="F749" i="2"/>
  <c r="G749" i="2"/>
  <c r="H749" i="2"/>
  <c r="B750" i="2"/>
  <c r="C750" i="2"/>
  <c r="D750" i="2"/>
  <c r="E750" i="2"/>
  <c r="F750" i="2"/>
  <c r="G750" i="2"/>
  <c r="H750" i="2"/>
  <c r="B751" i="2"/>
  <c r="C751" i="2"/>
  <c r="D751" i="2"/>
  <c r="E751" i="2"/>
  <c r="F751" i="2"/>
  <c r="G751" i="2"/>
  <c r="H751" i="2"/>
  <c r="B752" i="2"/>
  <c r="C752" i="2"/>
  <c r="D752" i="2"/>
  <c r="E752" i="2"/>
  <c r="F752" i="2"/>
  <c r="G752" i="2"/>
  <c r="H752" i="2"/>
  <c r="B753" i="2"/>
  <c r="C753" i="2"/>
  <c r="D753" i="2"/>
  <c r="E753" i="2"/>
  <c r="F753" i="2"/>
  <c r="G753" i="2"/>
  <c r="H753" i="2"/>
  <c r="B754" i="2"/>
  <c r="C754" i="2"/>
  <c r="D754" i="2"/>
  <c r="E754" i="2"/>
  <c r="F754" i="2"/>
  <c r="G754" i="2"/>
  <c r="H754" i="2"/>
  <c r="B755" i="2"/>
  <c r="C755" i="2"/>
  <c r="D755" i="2"/>
  <c r="E755" i="2"/>
  <c r="F755" i="2"/>
  <c r="G755" i="2"/>
  <c r="H755" i="2"/>
  <c r="B756" i="2"/>
  <c r="C756" i="2"/>
  <c r="D756" i="2"/>
  <c r="E756" i="2"/>
  <c r="F756" i="2"/>
  <c r="G756" i="2"/>
  <c r="H756" i="2"/>
  <c r="B757" i="2"/>
  <c r="C757" i="2"/>
  <c r="D757" i="2"/>
  <c r="E757" i="2"/>
  <c r="F757" i="2"/>
  <c r="G757" i="2"/>
  <c r="H757" i="2"/>
  <c r="B758" i="2"/>
  <c r="C758" i="2"/>
  <c r="D758" i="2"/>
  <c r="E758" i="2"/>
  <c r="F758" i="2"/>
  <c r="G758" i="2"/>
  <c r="H758" i="2"/>
  <c r="B759" i="2"/>
  <c r="C759" i="2"/>
  <c r="D759" i="2"/>
  <c r="E759" i="2"/>
  <c r="F759" i="2"/>
  <c r="G759" i="2"/>
  <c r="H759" i="2"/>
  <c r="B760" i="2"/>
  <c r="C760" i="2"/>
  <c r="D760" i="2"/>
  <c r="E760" i="2"/>
  <c r="F760" i="2"/>
  <c r="G760" i="2"/>
  <c r="H760" i="2"/>
  <c r="B761" i="2"/>
  <c r="C761" i="2"/>
  <c r="D761" i="2"/>
  <c r="E761" i="2"/>
  <c r="F761" i="2"/>
  <c r="G761" i="2"/>
  <c r="H761" i="2"/>
  <c r="B762" i="2"/>
  <c r="C762" i="2"/>
  <c r="D762" i="2"/>
  <c r="E762" i="2"/>
  <c r="F762" i="2"/>
  <c r="G762" i="2"/>
  <c r="H762" i="2"/>
  <c r="B763" i="2"/>
  <c r="C763" i="2"/>
  <c r="D763" i="2"/>
  <c r="E763" i="2"/>
  <c r="F763" i="2"/>
  <c r="G763" i="2"/>
  <c r="H763" i="2"/>
  <c r="B764" i="2"/>
  <c r="C764" i="2"/>
  <c r="D764" i="2"/>
  <c r="E764" i="2"/>
  <c r="F764" i="2"/>
  <c r="G764" i="2"/>
  <c r="H764" i="2"/>
  <c r="B765" i="2"/>
  <c r="C765" i="2"/>
  <c r="D765" i="2"/>
  <c r="E765" i="2"/>
  <c r="F765" i="2"/>
  <c r="G765" i="2"/>
  <c r="H765" i="2"/>
  <c r="B766" i="2"/>
  <c r="C766" i="2"/>
  <c r="D766" i="2"/>
  <c r="E766" i="2"/>
  <c r="F766" i="2"/>
  <c r="G766" i="2"/>
  <c r="H766" i="2"/>
  <c r="B767" i="2"/>
  <c r="C767" i="2"/>
  <c r="D767" i="2"/>
  <c r="E767" i="2"/>
  <c r="F767" i="2"/>
  <c r="G767" i="2"/>
  <c r="H767" i="2"/>
  <c r="B768" i="2"/>
  <c r="C768" i="2"/>
  <c r="D768" i="2"/>
  <c r="E768" i="2"/>
  <c r="F768" i="2"/>
  <c r="G768" i="2"/>
  <c r="H768" i="2"/>
  <c r="B769" i="2"/>
  <c r="C769" i="2"/>
  <c r="D769" i="2"/>
  <c r="E769" i="2"/>
  <c r="F769" i="2"/>
  <c r="G769" i="2"/>
  <c r="H769" i="2"/>
  <c r="B770" i="2"/>
  <c r="C770" i="2"/>
  <c r="D770" i="2"/>
  <c r="E770" i="2"/>
  <c r="F770" i="2"/>
  <c r="G770" i="2"/>
  <c r="H770" i="2"/>
  <c r="B771" i="2"/>
  <c r="C771" i="2"/>
  <c r="D771" i="2"/>
  <c r="E771" i="2"/>
  <c r="F771" i="2"/>
  <c r="G771" i="2"/>
  <c r="H771" i="2"/>
  <c r="B772" i="2"/>
  <c r="C772" i="2"/>
  <c r="D772" i="2"/>
  <c r="E772" i="2"/>
  <c r="F772" i="2"/>
  <c r="G772" i="2"/>
  <c r="H772" i="2"/>
  <c r="B773" i="2"/>
  <c r="C773" i="2"/>
  <c r="D773" i="2"/>
  <c r="E773" i="2"/>
  <c r="F773" i="2"/>
  <c r="G773" i="2"/>
  <c r="H773" i="2"/>
  <c r="B774" i="2"/>
  <c r="C774" i="2"/>
  <c r="D774" i="2"/>
  <c r="E774" i="2"/>
  <c r="F774" i="2"/>
  <c r="G774" i="2"/>
  <c r="H774" i="2"/>
  <c r="B775" i="2"/>
  <c r="C775" i="2"/>
  <c r="D775" i="2"/>
  <c r="E775" i="2"/>
  <c r="F775" i="2"/>
  <c r="G775" i="2"/>
  <c r="H775" i="2"/>
  <c r="B776" i="2"/>
  <c r="C776" i="2"/>
  <c r="D776" i="2"/>
  <c r="E776" i="2"/>
  <c r="F776" i="2"/>
  <c r="G776" i="2"/>
  <c r="H776" i="2"/>
  <c r="B777" i="2"/>
  <c r="C777" i="2"/>
  <c r="D777" i="2"/>
  <c r="E777" i="2"/>
  <c r="F777" i="2"/>
  <c r="G777" i="2"/>
  <c r="H777" i="2"/>
  <c r="B778" i="2"/>
  <c r="C778" i="2"/>
  <c r="D778" i="2"/>
  <c r="E778" i="2"/>
  <c r="F778" i="2"/>
  <c r="G778" i="2"/>
  <c r="H778" i="2"/>
  <c r="B779" i="2"/>
  <c r="C779" i="2"/>
  <c r="D779" i="2"/>
  <c r="E779" i="2"/>
  <c r="F779" i="2"/>
  <c r="G779" i="2"/>
  <c r="H779" i="2"/>
  <c r="B780" i="2"/>
  <c r="C780" i="2"/>
  <c r="D780" i="2"/>
  <c r="E780" i="2"/>
  <c r="F780" i="2"/>
  <c r="G780" i="2"/>
  <c r="H780" i="2"/>
  <c r="B781" i="2"/>
  <c r="C781" i="2"/>
  <c r="D781" i="2"/>
  <c r="E781" i="2"/>
  <c r="F781" i="2"/>
  <c r="G781" i="2"/>
  <c r="H781" i="2"/>
  <c r="B782" i="2"/>
  <c r="C782" i="2"/>
  <c r="D782" i="2"/>
  <c r="E782" i="2"/>
  <c r="F782" i="2"/>
  <c r="G782" i="2"/>
  <c r="H782" i="2"/>
  <c r="B783" i="2"/>
  <c r="C783" i="2"/>
  <c r="D783" i="2"/>
  <c r="E783" i="2"/>
  <c r="F783" i="2"/>
  <c r="G783" i="2"/>
  <c r="H783" i="2"/>
  <c r="B784" i="2"/>
  <c r="C784" i="2"/>
  <c r="D784" i="2"/>
  <c r="E784" i="2"/>
  <c r="F784" i="2"/>
  <c r="G784" i="2"/>
  <c r="H784" i="2"/>
  <c r="B785" i="2"/>
  <c r="C785" i="2"/>
  <c r="D785" i="2"/>
  <c r="E785" i="2"/>
  <c r="F785" i="2"/>
  <c r="G785" i="2"/>
  <c r="H785" i="2"/>
  <c r="B786" i="2"/>
  <c r="C786" i="2"/>
  <c r="D786" i="2"/>
  <c r="E786" i="2"/>
  <c r="F786" i="2"/>
  <c r="G786" i="2"/>
  <c r="H786" i="2"/>
  <c r="B787" i="2"/>
  <c r="C787" i="2"/>
  <c r="D787" i="2"/>
  <c r="E787" i="2"/>
  <c r="F787" i="2"/>
  <c r="G787" i="2"/>
  <c r="H787" i="2"/>
  <c r="B788" i="2"/>
  <c r="C788" i="2"/>
  <c r="D788" i="2"/>
  <c r="E788" i="2"/>
  <c r="F788" i="2"/>
  <c r="G788" i="2"/>
  <c r="H788" i="2"/>
  <c r="B789" i="2"/>
  <c r="C789" i="2"/>
  <c r="D789" i="2"/>
  <c r="E789" i="2"/>
  <c r="F789" i="2"/>
  <c r="G789" i="2"/>
  <c r="H789" i="2"/>
  <c r="B790" i="2"/>
  <c r="C790" i="2"/>
  <c r="D790" i="2"/>
  <c r="E790" i="2"/>
  <c r="F790" i="2"/>
  <c r="G790" i="2"/>
  <c r="H790" i="2"/>
  <c r="B791" i="2"/>
  <c r="C791" i="2"/>
  <c r="D791" i="2"/>
  <c r="E791" i="2"/>
  <c r="F791" i="2"/>
  <c r="G791" i="2"/>
  <c r="H791" i="2"/>
  <c r="B792" i="2"/>
  <c r="C792" i="2"/>
  <c r="D792" i="2"/>
  <c r="E792" i="2"/>
  <c r="F792" i="2"/>
  <c r="G792" i="2"/>
  <c r="H792" i="2"/>
  <c r="B793" i="2"/>
  <c r="C793" i="2"/>
  <c r="D793" i="2"/>
  <c r="E793" i="2"/>
  <c r="F793" i="2"/>
  <c r="G793" i="2"/>
  <c r="H793" i="2"/>
  <c r="B794" i="2"/>
  <c r="C794" i="2"/>
  <c r="D794" i="2"/>
  <c r="E794" i="2"/>
  <c r="F794" i="2"/>
  <c r="G794" i="2"/>
  <c r="H794" i="2"/>
  <c r="B795" i="2"/>
  <c r="C795" i="2"/>
  <c r="D795" i="2"/>
  <c r="E795" i="2"/>
  <c r="F795" i="2"/>
  <c r="G795" i="2"/>
  <c r="H795" i="2"/>
  <c r="B796" i="2"/>
  <c r="C796" i="2"/>
  <c r="D796" i="2"/>
  <c r="E796" i="2"/>
  <c r="F796" i="2"/>
  <c r="G796" i="2"/>
  <c r="H796" i="2"/>
  <c r="B797" i="2"/>
  <c r="C797" i="2"/>
  <c r="D797" i="2"/>
  <c r="E797" i="2"/>
  <c r="F797" i="2"/>
  <c r="G797" i="2"/>
  <c r="H797" i="2"/>
  <c r="B798" i="2"/>
  <c r="C798" i="2"/>
  <c r="D798" i="2"/>
  <c r="E798" i="2"/>
  <c r="F798" i="2"/>
  <c r="G798" i="2"/>
  <c r="H798" i="2"/>
  <c r="B799" i="2"/>
  <c r="C799" i="2"/>
  <c r="D799" i="2"/>
  <c r="E799" i="2"/>
  <c r="F799" i="2"/>
  <c r="G799" i="2"/>
  <c r="H799" i="2"/>
  <c r="B800" i="2"/>
  <c r="C800" i="2"/>
  <c r="D800" i="2"/>
  <c r="E800" i="2"/>
  <c r="F800" i="2"/>
  <c r="G800" i="2"/>
  <c r="H800" i="2"/>
  <c r="B801" i="2"/>
  <c r="C801" i="2"/>
  <c r="D801" i="2"/>
  <c r="E801" i="2"/>
  <c r="F801" i="2"/>
  <c r="G801" i="2"/>
  <c r="H801" i="2"/>
  <c r="B802" i="2"/>
  <c r="C802" i="2"/>
  <c r="D802" i="2"/>
  <c r="E802" i="2"/>
  <c r="F802" i="2"/>
  <c r="G802" i="2"/>
  <c r="H802" i="2"/>
  <c r="B803" i="2"/>
  <c r="C803" i="2"/>
  <c r="D803" i="2"/>
  <c r="E803" i="2"/>
  <c r="F803" i="2"/>
  <c r="G803" i="2"/>
  <c r="H803" i="2"/>
  <c r="B804" i="2"/>
  <c r="C804" i="2"/>
  <c r="D804" i="2"/>
  <c r="E804" i="2"/>
  <c r="F804" i="2"/>
  <c r="G804" i="2"/>
  <c r="H804" i="2"/>
  <c r="B805" i="2"/>
  <c r="C805" i="2"/>
  <c r="D805" i="2"/>
  <c r="E805" i="2"/>
  <c r="F805" i="2"/>
  <c r="G805" i="2"/>
  <c r="H805" i="2"/>
  <c r="B806" i="2"/>
  <c r="C806" i="2"/>
  <c r="D806" i="2"/>
  <c r="E806" i="2"/>
  <c r="F806" i="2"/>
  <c r="G806" i="2"/>
  <c r="H806" i="2"/>
  <c r="B807" i="2"/>
  <c r="C807" i="2"/>
  <c r="D807" i="2"/>
  <c r="E807" i="2"/>
  <c r="F807" i="2"/>
  <c r="G807" i="2"/>
  <c r="H807" i="2"/>
  <c r="B808" i="2"/>
  <c r="C808" i="2"/>
  <c r="D808" i="2"/>
  <c r="E808" i="2"/>
  <c r="F808" i="2"/>
  <c r="G808" i="2"/>
  <c r="H808" i="2"/>
  <c r="B809" i="2"/>
  <c r="C809" i="2"/>
  <c r="D809" i="2"/>
  <c r="E809" i="2"/>
  <c r="F809" i="2"/>
  <c r="G809" i="2"/>
  <c r="H809" i="2"/>
  <c r="B810" i="2"/>
  <c r="C810" i="2"/>
  <c r="D810" i="2"/>
  <c r="E810" i="2"/>
  <c r="F810" i="2"/>
  <c r="G810" i="2"/>
  <c r="H810" i="2"/>
  <c r="B811" i="2"/>
  <c r="C811" i="2"/>
  <c r="D811" i="2"/>
  <c r="E811" i="2"/>
  <c r="F811" i="2"/>
  <c r="G811" i="2"/>
  <c r="H811" i="2"/>
  <c r="B812" i="2"/>
  <c r="C812" i="2"/>
  <c r="D812" i="2"/>
  <c r="E812" i="2"/>
  <c r="F812" i="2"/>
  <c r="G812" i="2"/>
  <c r="H812" i="2"/>
  <c r="B813" i="2"/>
  <c r="C813" i="2"/>
  <c r="D813" i="2"/>
  <c r="E813" i="2"/>
  <c r="F813" i="2"/>
  <c r="G813" i="2"/>
  <c r="H813" i="2"/>
  <c r="B814" i="2"/>
  <c r="C814" i="2"/>
  <c r="D814" i="2"/>
  <c r="E814" i="2"/>
  <c r="F814" i="2"/>
  <c r="G814" i="2"/>
  <c r="H814" i="2"/>
  <c r="B815" i="2"/>
  <c r="C815" i="2"/>
  <c r="D815" i="2"/>
  <c r="E815" i="2"/>
  <c r="F815" i="2"/>
  <c r="G815" i="2"/>
  <c r="H815" i="2"/>
  <c r="B816" i="2"/>
  <c r="C816" i="2"/>
  <c r="D816" i="2"/>
  <c r="E816" i="2"/>
  <c r="F816" i="2"/>
  <c r="G816" i="2"/>
  <c r="H816" i="2"/>
  <c r="B817" i="2"/>
  <c r="C817" i="2"/>
  <c r="D817" i="2"/>
  <c r="E817" i="2"/>
  <c r="F817" i="2"/>
  <c r="G817" i="2"/>
  <c r="H817" i="2"/>
  <c r="B818" i="2"/>
  <c r="C818" i="2"/>
  <c r="D818" i="2"/>
  <c r="E818" i="2"/>
  <c r="F818" i="2"/>
  <c r="G818" i="2"/>
  <c r="H818" i="2"/>
  <c r="B819" i="2"/>
  <c r="C819" i="2"/>
  <c r="D819" i="2"/>
  <c r="E819" i="2"/>
  <c r="F819" i="2"/>
  <c r="G819" i="2"/>
  <c r="H819" i="2"/>
  <c r="B820" i="2"/>
  <c r="C820" i="2"/>
  <c r="D820" i="2"/>
  <c r="E820" i="2"/>
  <c r="F820" i="2"/>
  <c r="G820" i="2"/>
  <c r="H820" i="2"/>
  <c r="B821" i="2"/>
  <c r="C821" i="2"/>
  <c r="D821" i="2"/>
  <c r="E821" i="2"/>
  <c r="F821" i="2"/>
  <c r="G821" i="2"/>
  <c r="H821" i="2"/>
  <c r="B822" i="2"/>
  <c r="C822" i="2"/>
  <c r="D822" i="2"/>
  <c r="E822" i="2"/>
  <c r="F822" i="2"/>
  <c r="G822" i="2"/>
  <c r="H822" i="2"/>
  <c r="B823" i="2"/>
  <c r="C823" i="2"/>
  <c r="D823" i="2"/>
  <c r="E823" i="2"/>
  <c r="F823" i="2"/>
  <c r="G823" i="2"/>
  <c r="H823" i="2"/>
  <c r="B824" i="2"/>
  <c r="C824" i="2"/>
  <c r="D824" i="2"/>
  <c r="E824" i="2"/>
  <c r="F824" i="2"/>
  <c r="G824" i="2"/>
  <c r="H824" i="2"/>
  <c r="B825" i="2"/>
  <c r="C825" i="2"/>
  <c r="D825" i="2"/>
  <c r="E825" i="2"/>
  <c r="F825" i="2"/>
  <c r="G825" i="2"/>
  <c r="H825" i="2"/>
  <c r="B826" i="2"/>
  <c r="C826" i="2"/>
  <c r="D826" i="2"/>
  <c r="E826" i="2"/>
  <c r="F826" i="2"/>
  <c r="G826" i="2"/>
  <c r="H826" i="2"/>
  <c r="B827" i="2"/>
  <c r="C827" i="2"/>
  <c r="D827" i="2"/>
  <c r="E827" i="2"/>
  <c r="F827" i="2"/>
  <c r="G827" i="2"/>
  <c r="H827" i="2"/>
  <c r="B828" i="2"/>
  <c r="C828" i="2"/>
  <c r="D828" i="2"/>
  <c r="E828" i="2"/>
  <c r="F828" i="2"/>
  <c r="G828" i="2"/>
  <c r="H828" i="2"/>
  <c r="B829" i="2"/>
  <c r="C829" i="2"/>
  <c r="D829" i="2"/>
  <c r="E829" i="2"/>
  <c r="F829" i="2"/>
  <c r="G829" i="2"/>
  <c r="H829" i="2"/>
  <c r="B830" i="2"/>
  <c r="C830" i="2"/>
  <c r="D830" i="2"/>
  <c r="E830" i="2"/>
  <c r="F830" i="2"/>
  <c r="G830" i="2"/>
  <c r="H830" i="2"/>
  <c r="B831" i="2"/>
  <c r="C831" i="2"/>
  <c r="D831" i="2"/>
  <c r="E831" i="2"/>
  <c r="F831" i="2"/>
  <c r="G831" i="2"/>
  <c r="H831" i="2"/>
  <c r="B832" i="2"/>
  <c r="C832" i="2"/>
  <c r="D832" i="2"/>
  <c r="E832" i="2"/>
  <c r="F832" i="2"/>
  <c r="G832" i="2"/>
  <c r="H832" i="2"/>
  <c r="B833" i="2"/>
  <c r="C833" i="2"/>
  <c r="D833" i="2"/>
  <c r="E833" i="2"/>
  <c r="F833" i="2"/>
  <c r="G833" i="2"/>
  <c r="H833" i="2"/>
  <c r="B834" i="2"/>
  <c r="C834" i="2"/>
  <c r="D834" i="2"/>
  <c r="E834" i="2"/>
  <c r="F834" i="2"/>
  <c r="G834" i="2"/>
  <c r="H834" i="2"/>
  <c r="B835" i="2"/>
  <c r="C835" i="2"/>
  <c r="D835" i="2"/>
  <c r="E835" i="2"/>
  <c r="F835" i="2"/>
  <c r="G835" i="2"/>
  <c r="H835" i="2"/>
  <c r="B836" i="2"/>
  <c r="C836" i="2"/>
  <c r="D836" i="2"/>
  <c r="E836" i="2"/>
  <c r="F836" i="2"/>
  <c r="G836" i="2"/>
  <c r="H836" i="2"/>
  <c r="B837" i="2"/>
  <c r="C837" i="2"/>
  <c r="D837" i="2"/>
  <c r="E837" i="2"/>
  <c r="F837" i="2"/>
  <c r="G837" i="2"/>
  <c r="H837" i="2"/>
  <c r="B838" i="2"/>
  <c r="C838" i="2"/>
  <c r="D838" i="2"/>
  <c r="E838" i="2"/>
  <c r="F838" i="2"/>
  <c r="G838" i="2"/>
  <c r="H838" i="2"/>
  <c r="B839" i="2"/>
  <c r="C839" i="2"/>
  <c r="D839" i="2"/>
  <c r="E839" i="2"/>
  <c r="F839" i="2"/>
  <c r="G839" i="2"/>
  <c r="H839" i="2"/>
  <c r="B840" i="2"/>
  <c r="C840" i="2"/>
  <c r="D840" i="2"/>
  <c r="E840" i="2"/>
  <c r="F840" i="2"/>
  <c r="G840" i="2"/>
  <c r="H840" i="2"/>
  <c r="B841" i="2"/>
  <c r="C841" i="2"/>
  <c r="D841" i="2"/>
  <c r="E841" i="2"/>
  <c r="F841" i="2"/>
  <c r="G841" i="2"/>
  <c r="H841" i="2"/>
  <c r="B842" i="2"/>
  <c r="C842" i="2"/>
  <c r="D842" i="2"/>
  <c r="E842" i="2"/>
  <c r="F842" i="2"/>
  <c r="G842" i="2"/>
  <c r="H842" i="2"/>
  <c r="B843" i="2"/>
  <c r="C843" i="2"/>
  <c r="D843" i="2"/>
  <c r="E843" i="2"/>
  <c r="F843" i="2"/>
  <c r="G843" i="2"/>
  <c r="H843" i="2"/>
  <c r="B844" i="2"/>
  <c r="C844" i="2"/>
  <c r="D844" i="2"/>
  <c r="E844" i="2"/>
  <c r="F844" i="2"/>
  <c r="G844" i="2"/>
  <c r="H844" i="2"/>
  <c r="B845" i="2"/>
  <c r="C845" i="2"/>
  <c r="D845" i="2"/>
  <c r="E845" i="2"/>
  <c r="F845" i="2"/>
  <c r="G845" i="2"/>
  <c r="H845" i="2"/>
  <c r="B846" i="2"/>
  <c r="C846" i="2"/>
  <c r="D846" i="2"/>
  <c r="E846" i="2"/>
  <c r="F846" i="2"/>
  <c r="G846" i="2"/>
  <c r="H846" i="2"/>
  <c r="B847" i="2"/>
  <c r="C847" i="2"/>
  <c r="D847" i="2"/>
  <c r="E847" i="2"/>
  <c r="F847" i="2"/>
  <c r="G847" i="2"/>
  <c r="H847" i="2"/>
  <c r="B848" i="2"/>
  <c r="C848" i="2"/>
  <c r="D848" i="2"/>
  <c r="E848" i="2"/>
  <c r="F848" i="2"/>
  <c r="G848" i="2"/>
  <c r="H848" i="2"/>
  <c r="B849" i="2"/>
  <c r="C849" i="2"/>
  <c r="D849" i="2"/>
  <c r="E849" i="2"/>
  <c r="F849" i="2"/>
  <c r="G849" i="2"/>
  <c r="H849" i="2"/>
  <c r="B850" i="2"/>
  <c r="C850" i="2"/>
  <c r="D850" i="2"/>
  <c r="E850" i="2"/>
  <c r="F850" i="2"/>
  <c r="G850" i="2"/>
  <c r="H850" i="2"/>
  <c r="B851" i="2"/>
  <c r="C851" i="2"/>
  <c r="D851" i="2"/>
  <c r="E851" i="2"/>
  <c r="F851" i="2"/>
  <c r="G851" i="2"/>
  <c r="H851" i="2"/>
  <c r="B852" i="2"/>
  <c r="C852" i="2"/>
  <c r="D852" i="2"/>
  <c r="E852" i="2"/>
  <c r="F852" i="2"/>
  <c r="G852" i="2"/>
  <c r="H852" i="2"/>
  <c r="B853" i="2"/>
  <c r="C853" i="2"/>
  <c r="D853" i="2"/>
  <c r="E853" i="2"/>
  <c r="F853" i="2"/>
  <c r="G853" i="2"/>
  <c r="H853" i="2"/>
  <c r="B854" i="2"/>
  <c r="C854" i="2"/>
  <c r="D854" i="2"/>
  <c r="E854" i="2"/>
  <c r="F854" i="2"/>
  <c r="G854" i="2"/>
  <c r="H854" i="2"/>
  <c r="B855" i="2"/>
  <c r="C855" i="2"/>
  <c r="D855" i="2"/>
  <c r="E855" i="2"/>
  <c r="F855" i="2"/>
  <c r="G855" i="2"/>
  <c r="H855" i="2"/>
  <c r="B856" i="2"/>
  <c r="C856" i="2"/>
  <c r="D856" i="2"/>
  <c r="E856" i="2"/>
  <c r="F856" i="2"/>
  <c r="G856" i="2"/>
  <c r="H856" i="2"/>
  <c r="B857" i="2"/>
  <c r="C857" i="2"/>
  <c r="D857" i="2"/>
  <c r="E857" i="2"/>
  <c r="F857" i="2"/>
  <c r="G857" i="2"/>
  <c r="H857" i="2"/>
  <c r="B858" i="2"/>
  <c r="C858" i="2"/>
  <c r="D858" i="2"/>
  <c r="E858" i="2"/>
  <c r="F858" i="2"/>
  <c r="G858" i="2"/>
  <c r="H858" i="2"/>
  <c r="B859" i="2"/>
  <c r="C859" i="2"/>
  <c r="D859" i="2"/>
  <c r="E859" i="2"/>
  <c r="F859" i="2"/>
  <c r="G859" i="2"/>
  <c r="H859" i="2"/>
  <c r="B860" i="2"/>
  <c r="C860" i="2"/>
  <c r="D860" i="2"/>
  <c r="E860" i="2"/>
  <c r="F860" i="2"/>
  <c r="G860" i="2"/>
  <c r="H860" i="2"/>
  <c r="B861" i="2"/>
  <c r="C861" i="2"/>
  <c r="D861" i="2"/>
  <c r="E861" i="2"/>
  <c r="F861" i="2"/>
  <c r="G861" i="2"/>
  <c r="H861" i="2"/>
  <c r="B862" i="2"/>
  <c r="C862" i="2"/>
  <c r="D862" i="2"/>
  <c r="E862" i="2"/>
  <c r="F862" i="2"/>
  <c r="G862" i="2"/>
  <c r="H862" i="2"/>
  <c r="B863" i="2"/>
  <c r="C863" i="2"/>
  <c r="D863" i="2"/>
  <c r="E863" i="2"/>
  <c r="F863" i="2"/>
  <c r="G863" i="2"/>
  <c r="H863" i="2"/>
  <c r="B864" i="2"/>
  <c r="C864" i="2"/>
  <c r="D864" i="2"/>
  <c r="E864" i="2"/>
  <c r="F864" i="2"/>
  <c r="G864" i="2"/>
  <c r="H864" i="2"/>
  <c r="B865" i="2"/>
  <c r="C865" i="2"/>
  <c r="D865" i="2"/>
  <c r="E865" i="2"/>
  <c r="F865" i="2"/>
  <c r="G865" i="2"/>
  <c r="H865" i="2"/>
  <c r="B866" i="2"/>
  <c r="C866" i="2"/>
  <c r="D866" i="2"/>
  <c r="E866" i="2"/>
  <c r="F866" i="2"/>
  <c r="G866" i="2"/>
  <c r="H866" i="2"/>
  <c r="B867" i="2"/>
  <c r="C867" i="2"/>
  <c r="D867" i="2"/>
  <c r="E867" i="2"/>
  <c r="F867" i="2"/>
  <c r="G867" i="2"/>
  <c r="H867" i="2"/>
  <c r="B868" i="2"/>
  <c r="C868" i="2"/>
  <c r="D868" i="2"/>
  <c r="E868" i="2"/>
  <c r="F868" i="2"/>
  <c r="G868" i="2"/>
  <c r="H868" i="2"/>
  <c r="B869" i="2"/>
  <c r="C869" i="2"/>
  <c r="D869" i="2"/>
  <c r="E869" i="2"/>
  <c r="F869" i="2"/>
  <c r="G869" i="2"/>
  <c r="H869" i="2"/>
  <c r="B870" i="2"/>
  <c r="C870" i="2"/>
  <c r="D870" i="2"/>
  <c r="E870" i="2"/>
  <c r="F870" i="2"/>
  <c r="G870" i="2"/>
  <c r="H870" i="2"/>
  <c r="B871" i="2"/>
  <c r="C871" i="2"/>
  <c r="D871" i="2"/>
  <c r="E871" i="2"/>
  <c r="F871" i="2"/>
  <c r="G871" i="2"/>
  <c r="H871" i="2"/>
  <c r="B872" i="2"/>
  <c r="C872" i="2"/>
  <c r="D872" i="2"/>
  <c r="E872" i="2"/>
  <c r="F872" i="2"/>
  <c r="G872" i="2"/>
  <c r="H872" i="2"/>
  <c r="B873" i="2"/>
  <c r="C873" i="2"/>
  <c r="D873" i="2"/>
  <c r="E873" i="2"/>
  <c r="F873" i="2"/>
  <c r="G873" i="2"/>
  <c r="H873" i="2"/>
  <c r="B874" i="2"/>
  <c r="C874" i="2"/>
  <c r="D874" i="2"/>
  <c r="E874" i="2"/>
  <c r="F874" i="2"/>
  <c r="G874" i="2"/>
  <c r="H874" i="2"/>
  <c r="B875" i="2"/>
  <c r="C875" i="2"/>
  <c r="D875" i="2"/>
  <c r="E875" i="2"/>
  <c r="F875" i="2"/>
  <c r="G875" i="2"/>
  <c r="H875" i="2"/>
  <c r="B876" i="2"/>
  <c r="C876" i="2"/>
  <c r="D876" i="2"/>
  <c r="E876" i="2"/>
  <c r="F876" i="2"/>
  <c r="G876" i="2"/>
  <c r="H876" i="2"/>
  <c r="B877" i="2"/>
  <c r="C877" i="2"/>
  <c r="D877" i="2"/>
  <c r="E877" i="2"/>
  <c r="F877" i="2"/>
  <c r="G877" i="2"/>
  <c r="H877" i="2"/>
  <c r="B878" i="2"/>
  <c r="C878" i="2"/>
  <c r="D878" i="2"/>
  <c r="E878" i="2"/>
  <c r="F878" i="2"/>
  <c r="G878" i="2"/>
  <c r="H878" i="2"/>
  <c r="B879" i="2"/>
  <c r="C879" i="2"/>
  <c r="D879" i="2"/>
  <c r="E879" i="2"/>
  <c r="F879" i="2"/>
  <c r="G879" i="2"/>
  <c r="H879" i="2"/>
  <c r="B880" i="2"/>
  <c r="C880" i="2"/>
  <c r="D880" i="2"/>
  <c r="E880" i="2"/>
  <c r="F880" i="2"/>
  <c r="G880" i="2"/>
  <c r="H880" i="2"/>
  <c r="B881" i="2"/>
  <c r="C881" i="2"/>
  <c r="D881" i="2"/>
  <c r="E881" i="2"/>
  <c r="F881" i="2"/>
  <c r="G881" i="2"/>
  <c r="H881" i="2"/>
  <c r="B882" i="2"/>
  <c r="C882" i="2"/>
  <c r="D882" i="2"/>
  <c r="E882" i="2"/>
  <c r="F882" i="2"/>
  <c r="G882" i="2"/>
  <c r="H882" i="2"/>
  <c r="B883" i="2"/>
  <c r="C883" i="2"/>
  <c r="D883" i="2"/>
  <c r="E883" i="2"/>
  <c r="F883" i="2"/>
  <c r="G883" i="2"/>
  <c r="H883" i="2"/>
  <c r="B884" i="2"/>
  <c r="C884" i="2"/>
  <c r="D884" i="2"/>
  <c r="E884" i="2"/>
  <c r="F884" i="2"/>
  <c r="G884" i="2"/>
  <c r="H884" i="2"/>
  <c r="B885" i="2"/>
  <c r="C885" i="2"/>
  <c r="D885" i="2"/>
  <c r="E885" i="2"/>
  <c r="F885" i="2"/>
  <c r="G885" i="2"/>
  <c r="H885" i="2"/>
  <c r="B886" i="2"/>
  <c r="C886" i="2"/>
  <c r="D886" i="2"/>
  <c r="E886" i="2"/>
  <c r="F886" i="2"/>
  <c r="G886" i="2"/>
  <c r="H886" i="2"/>
  <c r="B887" i="2"/>
  <c r="C887" i="2"/>
  <c r="D887" i="2"/>
  <c r="E887" i="2"/>
  <c r="F887" i="2"/>
  <c r="G887" i="2"/>
  <c r="H887" i="2"/>
  <c r="B888" i="2"/>
  <c r="C888" i="2"/>
  <c r="D888" i="2"/>
  <c r="E888" i="2"/>
  <c r="F888" i="2"/>
  <c r="G888" i="2"/>
  <c r="H888" i="2"/>
  <c r="B889" i="2"/>
  <c r="C889" i="2"/>
  <c r="D889" i="2"/>
  <c r="E889" i="2"/>
  <c r="F889" i="2"/>
  <c r="G889" i="2"/>
  <c r="H889" i="2"/>
  <c r="B890" i="2"/>
  <c r="C890" i="2"/>
  <c r="D890" i="2"/>
  <c r="E890" i="2"/>
  <c r="F890" i="2"/>
  <c r="G890" i="2"/>
  <c r="H890" i="2"/>
  <c r="B891" i="2"/>
  <c r="C891" i="2"/>
  <c r="D891" i="2"/>
  <c r="E891" i="2"/>
  <c r="F891" i="2"/>
  <c r="G891" i="2"/>
  <c r="H891" i="2"/>
  <c r="B892" i="2"/>
  <c r="C892" i="2"/>
  <c r="D892" i="2"/>
  <c r="E892" i="2"/>
  <c r="F892" i="2"/>
  <c r="G892" i="2"/>
  <c r="H892" i="2"/>
  <c r="B893" i="2"/>
  <c r="C893" i="2"/>
  <c r="D893" i="2"/>
  <c r="E893" i="2"/>
  <c r="F893" i="2"/>
  <c r="G893" i="2"/>
  <c r="H893" i="2"/>
  <c r="B894" i="2"/>
  <c r="C894" i="2"/>
  <c r="D894" i="2"/>
  <c r="E894" i="2"/>
  <c r="F894" i="2"/>
  <c r="G894" i="2"/>
  <c r="H894" i="2"/>
  <c r="B895" i="2"/>
  <c r="C895" i="2"/>
  <c r="D895" i="2"/>
  <c r="E895" i="2"/>
  <c r="F895" i="2"/>
  <c r="G895" i="2"/>
  <c r="H895" i="2"/>
  <c r="B896" i="2"/>
  <c r="C896" i="2"/>
  <c r="D896" i="2"/>
  <c r="E896" i="2"/>
  <c r="F896" i="2"/>
  <c r="G896" i="2"/>
  <c r="H896" i="2"/>
  <c r="B897" i="2"/>
  <c r="C897" i="2"/>
  <c r="D897" i="2"/>
  <c r="E897" i="2"/>
  <c r="F897" i="2"/>
  <c r="G897" i="2"/>
  <c r="H897" i="2"/>
  <c r="B898" i="2"/>
  <c r="C898" i="2"/>
  <c r="D898" i="2"/>
  <c r="E898" i="2"/>
  <c r="F898" i="2"/>
  <c r="G898" i="2"/>
  <c r="H898" i="2"/>
  <c r="B899" i="2"/>
  <c r="C899" i="2"/>
  <c r="D899" i="2"/>
  <c r="E899" i="2"/>
  <c r="F899" i="2"/>
  <c r="G899" i="2"/>
  <c r="H899" i="2"/>
  <c r="B900" i="2"/>
  <c r="C900" i="2"/>
  <c r="D900" i="2"/>
  <c r="E900" i="2"/>
  <c r="F900" i="2"/>
  <c r="G900" i="2"/>
  <c r="H900" i="2"/>
  <c r="B901" i="2"/>
  <c r="C901" i="2"/>
  <c r="D901" i="2"/>
  <c r="E901" i="2"/>
  <c r="F901" i="2"/>
  <c r="G901" i="2"/>
  <c r="H901" i="2"/>
  <c r="B902" i="2"/>
  <c r="C902" i="2"/>
  <c r="D902" i="2"/>
  <c r="E902" i="2"/>
  <c r="F902" i="2"/>
  <c r="G902" i="2"/>
  <c r="H902" i="2"/>
  <c r="B903" i="2"/>
  <c r="C903" i="2"/>
  <c r="D903" i="2"/>
  <c r="E903" i="2"/>
  <c r="F903" i="2"/>
  <c r="G903" i="2"/>
  <c r="H903" i="2"/>
  <c r="B904" i="2"/>
  <c r="C904" i="2"/>
  <c r="D904" i="2"/>
  <c r="E904" i="2"/>
  <c r="F904" i="2"/>
  <c r="G904" i="2"/>
  <c r="H904" i="2"/>
  <c r="B905" i="2"/>
  <c r="C905" i="2"/>
  <c r="D905" i="2"/>
  <c r="E905" i="2"/>
  <c r="F905" i="2"/>
  <c r="G905" i="2"/>
  <c r="H905" i="2"/>
  <c r="B906" i="2"/>
  <c r="C906" i="2"/>
  <c r="D906" i="2"/>
  <c r="E906" i="2"/>
  <c r="F906" i="2"/>
  <c r="G906" i="2"/>
  <c r="H906" i="2"/>
  <c r="B907" i="2"/>
  <c r="C907" i="2"/>
  <c r="D907" i="2"/>
  <c r="E907" i="2"/>
  <c r="F907" i="2"/>
  <c r="G907" i="2"/>
  <c r="H907" i="2"/>
  <c r="B908" i="2"/>
  <c r="C908" i="2"/>
  <c r="D908" i="2"/>
  <c r="E908" i="2"/>
  <c r="F908" i="2"/>
  <c r="G908" i="2"/>
  <c r="H908" i="2"/>
  <c r="B909" i="2"/>
  <c r="C909" i="2"/>
  <c r="D909" i="2"/>
  <c r="E909" i="2"/>
  <c r="F909" i="2"/>
  <c r="G909" i="2"/>
  <c r="H909" i="2"/>
  <c r="B910" i="2"/>
  <c r="C910" i="2"/>
  <c r="D910" i="2"/>
  <c r="E910" i="2"/>
  <c r="F910" i="2"/>
  <c r="G910" i="2"/>
  <c r="H910" i="2"/>
  <c r="B911" i="2"/>
  <c r="C911" i="2"/>
  <c r="D911" i="2"/>
  <c r="E911" i="2"/>
  <c r="F911" i="2"/>
  <c r="G911" i="2"/>
  <c r="H911" i="2"/>
  <c r="B912" i="2"/>
  <c r="C912" i="2"/>
  <c r="D912" i="2"/>
  <c r="E912" i="2"/>
  <c r="F912" i="2"/>
  <c r="G912" i="2"/>
  <c r="H912" i="2"/>
  <c r="B913" i="2"/>
  <c r="C913" i="2"/>
  <c r="D913" i="2"/>
  <c r="E913" i="2"/>
  <c r="F913" i="2"/>
  <c r="G913" i="2"/>
  <c r="H913" i="2"/>
  <c r="B914" i="2"/>
  <c r="C914" i="2"/>
  <c r="D914" i="2"/>
  <c r="E914" i="2"/>
  <c r="F914" i="2"/>
  <c r="G914" i="2"/>
  <c r="H914" i="2"/>
  <c r="B915" i="2"/>
  <c r="C915" i="2"/>
  <c r="D915" i="2"/>
  <c r="E915" i="2"/>
  <c r="F915" i="2"/>
  <c r="G915" i="2"/>
  <c r="H915" i="2"/>
  <c r="B916" i="2"/>
  <c r="C916" i="2"/>
  <c r="D916" i="2"/>
  <c r="E916" i="2"/>
  <c r="F916" i="2"/>
  <c r="G916" i="2"/>
  <c r="H916" i="2"/>
  <c r="B917" i="2"/>
  <c r="C917" i="2"/>
  <c r="D917" i="2"/>
  <c r="E917" i="2"/>
  <c r="F917" i="2"/>
  <c r="G917" i="2"/>
  <c r="H917" i="2"/>
  <c r="B918" i="2"/>
  <c r="C918" i="2"/>
  <c r="D918" i="2"/>
  <c r="E918" i="2"/>
  <c r="F918" i="2"/>
  <c r="G918" i="2"/>
  <c r="H918" i="2"/>
  <c r="B919" i="2"/>
  <c r="C919" i="2"/>
  <c r="D919" i="2"/>
  <c r="E919" i="2"/>
  <c r="F919" i="2"/>
  <c r="G919" i="2"/>
  <c r="H919" i="2"/>
  <c r="B920" i="2"/>
  <c r="C920" i="2"/>
  <c r="D920" i="2"/>
  <c r="E920" i="2"/>
  <c r="F920" i="2"/>
  <c r="G920" i="2"/>
  <c r="H920" i="2"/>
  <c r="B921" i="2"/>
  <c r="C921" i="2"/>
  <c r="D921" i="2"/>
  <c r="E921" i="2"/>
  <c r="F921" i="2"/>
  <c r="G921" i="2"/>
  <c r="H921" i="2"/>
  <c r="B922" i="2"/>
  <c r="C922" i="2"/>
  <c r="D922" i="2"/>
  <c r="E922" i="2"/>
  <c r="F922" i="2"/>
  <c r="G922" i="2"/>
  <c r="H922" i="2"/>
  <c r="B923" i="2"/>
  <c r="C923" i="2"/>
  <c r="D923" i="2"/>
  <c r="E923" i="2"/>
  <c r="F923" i="2"/>
  <c r="G923" i="2"/>
  <c r="H923" i="2"/>
  <c r="B924" i="2"/>
  <c r="C924" i="2"/>
  <c r="D924" i="2"/>
  <c r="E924" i="2"/>
  <c r="F924" i="2"/>
  <c r="G924" i="2"/>
  <c r="H924" i="2"/>
  <c r="B925" i="2"/>
  <c r="C925" i="2"/>
  <c r="D925" i="2"/>
  <c r="E925" i="2"/>
  <c r="F925" i="2"/>
  <c r="G925" i="2"/>
  <c r="H925" i="2"/>
  <c r="B926" i="2"/>
  <c r="C926" i="2"/>
  <c r="D926" i="2"/>
  <c r="E926" i="2"/>
  <c r="F926" i="2"/>
  <c r="G926" i="2"/>
  <c r="H926" i="2"/>
  <c r="B927" i="2"/>
  <c r="C927" i="2"/>
  <c r="D927" i="2"/>
  <c r="E927" i="2"/>
  <c r="F927" i="2"/>
  <c r="G927" i="2"/>
  <c r="H927" i="2"/>
  <c r="B928" i="2"/>
  <c r="C928" i="2"/>
  <c r="D928" i="2"/>
  <c r="E928" i="2"/>
  <c r="F928" i="2"/>
  <c r="G928" i="2"/>
  <c r="H928" i="2"/>
  <c r="B929" i="2"/>
  <c r="C929" i="2"/>
  <c r="D929" i="2"/>
  <c r="E929" i="2"/>
  <c r="F929" i="2"/>
  <c r="G929" i="2"/>
  <c r="H929" i="2"/>
  <c r="B930" i="2"/>
  <c r="C930" i="2"/>
  <c r="D930" i="2"/>
  <c r="E930" i="2"/>
  <c r="F930" i="2"/>
  <c r="G930" i="2"/>
  <c r="H930" i="2"/>
  <c r="B931" i="2"/>
  <c r="C931" i="2"/>
  <c r="D931" i="2"/>
  <c r="E931" i="2"/>
  <c r="F931" i="2"/>
  <c r="G931" i="2"/>
  <c r="H931" i="2"/>
  <c r="B932" i="2"/>
  <c r="C932" i="2"/>
  <c r="D932" i="2"/>
  <c r="E932" i="2"/>
  <c r="F932" i="2"/>
  <c r="G932" i="2"/>
  <c r="H932" i="2"/>
  <c r="B933" i="2"/>
  <c r="C933" i="2"/>
  <c r="D933" i="2"/>
  <c r="E933" i="2"/>
  <c r="F933" i="2"/>
  <c r="G933" i="2"/>
  <c r="H933" i="2"/>
  <c r="B934" i="2"/>
  <c r="C934" i="2"/>
  <c r="D934" i="2"/>
  <c r="E934" i="2"/>
  <c r="F934" i="2"/>
  <c r="G934" i="2"/>
  <c r="H934" i="2"/>
  <c r="B935" i="2"/>
  <c r="C935" i="2"/>
  <c r="D935" i="2"/>
  <c r="E935" i="2"/>
  <c r="F935" i="2"/>
  <c r="G935" i="2"/>
  <c r="H935" i="2"/>
  <c r="B936" i="2"/>
  <c r="C936" i="2"/>
  <c r="D936" i="2"/>
  <c r="E936" i="2"/>
  <c r="F936" i="2"/>
  <c r="G936" i="2"/>
  <c r="H936" i="2"/>
  <c r="B937" i="2"/>
  <c r="C937" i="2"/>
  <c r="D937" i="2"/>
  <c r="E937" i="2"/>
  <c r="F937" i="2"/>
  <c r="G937" i="2"/>
  <c r="H937" i="2"/>
  <c r="B938" i="2"/>
  <c r="C938" i="2"/>
  <c r="D938" i="2"/>
  <c r="E938" i="2"/>
  <c r="F938" i="2"/>
  <c r="G938" i="2"/>
  <c r="H938" i="2"/>
  <c r="B939" i="2"/>
  <c r="C939" i="2"/>
  <c r="D939" i="2"/>
  <c r="E939" i="2"/>
  <c r="F939" i="2"/>
  <c r="G939" i="2"/>
  <c r="H939" i="2"/>
  <c r="B940" i="2"/>
  <c r="C940" i="2"/>
  <c r="D940" i="2"/>
  <c r="E940" i="2"/>
  <c r="F940" i="2"/>
  <c r="G940" i="2"/>
  <c r="H940" i="2"/>
  <c r="B941" i="2"/>
  <c r="C941" i="2"/>
  <c r="D941" i="2"/>
  <c r="E941" i="2"/>
  <c r="F941" i="2"/>
  <c r="G941" i="2"/>
  <c r="H941" i="2"/>
  <c r="B942" i="2"/>
  <c r="C942" i="2"/>
  <c r="D942" i="2"/>
  <c r="E942" i="2"/>
  <c r="F942" i="2"/>
  <c r="G942" i="2"/>
  <c r="H942" i="2"/>
  <c r="B943" i="2"/>
  <c r="C943" i="2"/>
  <c r="D943" i="2"/>
  <c r="E943" i="2"/>
  <c r="F943" i="2"/>
  <c r="G943" i="2"/>
  <c r="H943" i="2"/>
  <c r="B944" i="2"/>
  <c r="C944" i="2"/>
  <c r="D944" i="2"/>
  <c r="E944" i="2"/>
  <c r="F944" i="2"/>
  <c r="G944" i="2"/>
  <c r="H944" i="2"/>
  <c r="B945" i="2"/>
  <c r="C945" i="2"/>
  <c r="D945" i="2"/>
  <c r="E945" i="2"/>
  <c r="F945" i="2"/>
  <c r="G945" i="2"/>
  <c r="H945" i="2"/>
  <c r="B946" i="2"/>
  <c r="C946" i="2"/>
  <c r="D946" i="2"/>
  <c r="E946" i="2"/>
  <c r="F946" i="2"/>
  <c r="G946" i="2"/>
  <c r="H946" i="2"/>
  <c r="B947" i="2"/>
  <c r="C947" i="2"/>
  <c r="D947" i="2"/>
  <c r="E947" i="2"/>
  <c r="F947" i="2"/>
  <c r="G947" i="2"/>
  <c r="H947" i="2"/>
  <c r="B948" i="2"/>
  <c r="C948" i="2"/>
  <c r="D948" i="2"/>
  <c r="E948" i="2"/>
  <c r="F948" i="2"/>
  <c r="G948" i="2"/>
  <c r="H948" i="2"/>
  <c r="B949" i="2"/>
  <c r="C949" i="2"/>
  <c r="D949" i="2"/>
  <c r="E949" i="2"/>
  <c r="F949" i="2"/>
  <c r="G949" i="2"/>
  <c r="H949" i="2"/>
  <c r="B950" i="2"/>
  <c r="C950" i="2"/>
  <c r="D950" i="2"/>
  <c r="E950" i="2"/>
  <c r="F950" i="2"/>
  <c r="G950" i="2"/>
  <c r="H950" i="2"/>
  <c r="B951" i="2"/>
  <c r="C951" i="2"/>
  <c r="D951" i="2"/>
  <c r="E951" i="2"/>
  <c r="F951" i="2"/>
  <c r="G951" i="2"/>
  <c r="H951" i="2"/>
  <c r="B952" i="2"/>
  <c r="C952" i="2"/>
  <c r="D952" i="2"/>
  <c r="E952" i="2"/>
  <c r="F952" i="2"/>
  <c r="G952" i="2"/>
  <c r="H952" i="2"/>
  <c r="B953" i="2"/>
  <c r="C953" i="2"/>
  <c r="D953" i="2"/>
  <c r="E953" i="2"/>
  <c r="F953" i="2"/>
  <c r="G953" i="2"/>
  <c r="H953" i="2"/>
  <c r="B954" i="2"/>
  <c r="C954" i="2"/>
  <c r="D954" i="2"/>
  <c r="E954" i="2"/>
  <c r="F954" i="2"/>
  <c r="G954" i="2"/>
  <c r="H954" i="2"/>
  <c r="B955" i="2"/>
  <c r="C955" i="2"/>
  <c r="D955" i="2"/>
  <c r="E955" i="2"/>
  <c r="F955" i="2"/>
  <c r="G955" i="2"/>
  <c r="H955" i="2"/>
  <c r="B956" i="2"/>
  <c r="C956" i="2"/>
  <c r="D956" i="2"/>
  <c r="E956" i="2"/>
  <c r="F956" i="2"/>
  <c r="G956" i="2"/>
  <c r="H956" i="2"/>
  <c r="B957" i="2"/>
  <c r="C957" i="2"/>
  <c r="D957" i="2"/>
  <c r="E957" i="2"/>
  <c r="F957" i="2"/>
  <c r="G957" i="2"/>
  <c r="H957" i="2"/>
  <c r="B958" i="2"/>
  <c r="C958" i="2"/>
  <c r="D958" i="2"/>
  <c r="E958" i="2"/>
  <c r="F958" i="2"/>
  <c r="G958" i="2"/>
  <c r="H958" i="2"/>
  <c r="B959" i="2"/>
  <c r="C959" i="2"/>
  <c r="D959" i="2"/>
  <c r="E959" i="2"/>
  <c r="F959" i="2"/>
  <c r="G959" i="2"/>
  <c r="H959" i="2"/>
  <c r="B960" i="2"/>
  <c r="C960" i="2"/>
  <c r="D960" i="2"/>
  <c r="E960" i="2"/>
  <c r="F960" i="2"/>
  <c r="G960" i="2"/>
  <c r="H960" i="2"/>
  <c r="B961" i="2"/>
  <c r="C961" i="2"/>
  <c r="D961" i="2"/>
  <c r="E961" i="2"/>
  <c r="F961" i="2"/>
  <c r="G961" i="2"/>
  <c r="H961" i="2"/>
  <c r="B962" i="2"/>
  <c r="C962" i="2"/>
  <c r="D962" i="2"/>
  <c r="E962" i="2"/>
  <c r="F962" i="2"/>
  <c r="G962" i="2"/>
  <c r="H962" i="2"/>
  <c r="B963" i="2"/>
  <c r="C963" i="2"/>
  <c r="D963" i="2"/>
  <c r="E963" i="2"/>
  <c r="F963" i="2"/>
  <c r="G963" i="2"/>
  <c r="H963" i="2"/>
  <c r="B964" i="2"/>
  <c r="C964" i="2"/>
  <c r="D964" i="2"/>
  <c r="E964" i="2"/>
  <c r="F964" i="2"/>
  <c r="G964" i="2"/>
  <c r="H964" i="2"/>
  <c r="B965" i="2"/>
  <c r="C965" i="2"/>
  <c r="D965" i="2"/>
  <c r="E965" i="2"/>
  <c r="F965" i="2"/>
  <c r="G965" i="2"/>
  <c r="H965" i="2"/>
  <c r="B966" i="2"/>
  <c r="C966" i="2"/>
  <c r="D966" i="2"/>
  <c r="E966" i="2"/>
  <c r="F966" i="2"/>
  <c r="G966" i="2"/>
  <c r="H966" i="2"/>
  <c r="B967" i="2"/>
  <c r="C967" i="2"/>
  <c r="D967" i="2"/>
  <c r="E967" i="2"/>
  <c r="F967" i="2"/>
  <c r="G967" i="2"/>
  <c r="H967" i="2"/>
  <c r="B968" i="2"/>
  <c r="C968" i="2"/>
  <c r="D968" i="2"/>
  <c r="E968" i="2"/>
  <c r="F968" i="2"/>
  <c r="G968" i="2"/>
  <c r="H968" i="2"/>
  <c r="B969" i="2"/>
  <c r="C969" i="2"/>
  <c r="D969" i="2"/>
  <c r="E969" i="2"/>
  <c r="F969" i="2"/>
  <c r="G969" i="2"/>
  <c r="H969" i="2"/>
  <c r="B970" i="2"/>
  <c r="C970" i="2"/>
  <c r="D970" i="2"/>
  <c r="E970" i="2"/>
  <c r="F970" i="2"/>
  <c r="G970" i="2"/>
  <c r="H970" i="2"/>
  <c r="B971" i="2"/>
  <c r="C971" i="2"/>
  <c r="D971" i="2"/>
  <c r="E971" i="2"/>
  <c r="F971" i="2"/>
  <c r="G971" i="2"/>
  <c r="H971" i="2"/>
  <c r="B972" i="2"/>
  <c r="C972" i="2"/>
  <c r="D972" i="2"/>
  <c r="E972" i="2"/>
  <c r="F972" i="2"/>
  <c r="G972" i="2"/>
  <c r="H972" i="2"/>
  <c r="B973" i="2"/>
  <c r="C973" i="2"/>
  <c r="D973" i="2"/>
  <c r="E973" i="2"/>
  <c r="F973" i="2"/>
  <c r="G973" i="2"/>
  <c r="H973" i="2"/>
  <c r="B974" i="2"/>
  <c r="C974" i="2"/>
  <c r="D974" i="2"/>
  <c r="E974" i="2"/>
  <c r="F974" i="2"/>
  <c r="G974" i="2"/>
  <c r="H974" i="2"/>
  <c r="B975" i="2"/>
  <c r="C975" i="2"/>
  <c r="D975" i="2"/>
  <c r="E975" i="2"/>
  <c r="F975" i="2"/>
  <c r="G975" i="2"/>
  <c r="H975" i="2"/>
  <c r="B976" i="2"/>
  <c r="C976" i="2"/>
  <c r="D976" i="2"/>
  <c r="E976" i="2"/>
  <c r="F976" i="2"/>
  <c r="G976" i="2"/>
  <c r="H976" i="2"/>
  <c r="B977" i="2"/>
  <c r="C977" i="2"/>
  <c r="D977" i="2"/>
  <c r="E977" i="2"/>
  <c r="F977" i="2"/>
  <c r="G977" i="2"/>
  <c r="H977" i="2"/>
  <c r="B978" i="2"/>
  <c r="C978" i="2"/>
  <c r="D978" i="2"/>
  <c r="E978" i="2"/>
  <c r="F978" i="2"/>
  <c r="G978" i="2"/>
  <c r="H978" i="2"/>
  <c r="B979" i="2"/>
  <c r="C979" i="2"/>
  <c r="D979" i="2"/>
  <c r="E979" i="2"/>
  <c r="F979" i="2"/>
  <c r="G979" i="2"/>
  <c r="H979" i="2"/>
  <c r="B980" i="2"/>
  <c r="C980" i="2"/>
  <c r="D980" i="2"/>
  <c r="E980" i="2"/>
  <c r="F980" i="2"/>
  <c r="G980" i="2"/>
  <c r="H980" i="2"/>
  <c r="B981" i="2"/>
  <c r="C981" i="2"/>
  <c r="D981" i="2"/>
  <c r="E981" i="2"/>
  <c r="F981" i="2"/>
  <c r="G981" i="2"/>
  <c r="H981" i="2"/>
  <c r="B982" i="2"/>
  <c r="C982" i="2"/>
  <c r="D982" i="2"/>
  <c r="E982" i="2"/>
  <c r="F982" i="2"/>
  <c r="G982" i="2"/>
  <c r="H982" i="2"/>
  <c r="B983" i="2"/>
  <c r="C983" i="2"/>
  <c r="D983" i="2"/>
  <c r="E983" i="2"/>
  <c r="F983" i="2"/>
  <c r="G983" i="2"/>
  <c r="H983" i="2"/>
  <c r="B984" i="2"/>
  <c r="C984" i="2"/>
  <c r="D984" i="2"/>
  <c r="E984" i="2"/>
  <c r="F984" i="2"/>
  <c r="G984" i="2"/>
  <c r="H984" i="2"/>
  <c r="B985" i="2"/>
  <c r="C985" i="2"/>
  <c r="D985" i="2"/>
  <c r="E985" i="2"/>
  <c r="F985" i="2"/>
  <c r="G985" i="2"/>
  <c r="H985" i="2"/>
  <c r="B986" i="2"/>
  <c r="C986" i="2"/>
  <c r="D986" i="2"/>
  <c r="E986" i="2"/>
  <c r="F986" i="2"/>
  <c r="G986" i="2"/>
  <c r="H986" i="2"/>
  <c r="B987" i="2"/>
  <c r="C987" i="2"/>
  <c r="D987" i="2"/>
  <c r="E987" i="2"/>
  <c r="F987" i="2"/>
  <c r="G987" i="2"/>
  <c r="H987" i="2"/>
  <c r="B988" i="2"/>
  <c r="C988" i="2"/>
  <c r="D988" i="2"/>
  <c r="E988" i="2"/>
  <c r="F988" i="2"/>
  <c r="G988" i="2"/>
  <c r="H988" i="2"/>
  <c r="B989" i="2"/>
  <c r="C989" i="2"/>
  <c r="D989" i="2"/>
  <c r="E989" i="2"/>
  <c r="F989" i="2"/>
  <c r="G989" i="2"/>
  <c r="H989" i="2"/>
  <c r="B990" i="2"/>
  <c r="C990" i="2"/>
  <c r="D990" i="2"/>
  <c r="E990" i="2"/>
  <c r="F990" i="2"/>
  <c r="G990" i="2"/>
  <c r="H990" i="2"/>
  <c r="B991" i="2"/>
  <c r="C991" i="2"/>
  <c r="D991" i="2"/>
  <c r="E991" i="2"/>
  <c r="F991" i="2"/>
  <c r="G991" i="2"/>
  <c r="H991" i="2"/>
  <c r="B992" i="2"/>
  <c r="C992" i="2"/>
  <c r="D992" i="2"/>
  <c r="E992" i="2"/>
  <c r="F992" i="2"/>
  <c r="G992" i="2"/>
  <c r="H992" i="2"/>
  <c r="B993" i="2"/>
  <c r="C993" i="2"/>
  <c r="D993" i="2"/>
  <c r="E993" i="2"/>
  <c r="F993" i="2"/>
  <c r="G993" i="2"/>
  <c r="H993" i="2"/>
  <c r="B994" i="2"/>
  <c r="C994" i="2"/>
  <c r="D994" i="2"/>
  <c r="E994" i="2"/>
  <c r="F994" i="2"/>
  <c r="G994" i="2"/>
  <c r="H994" i="2"/>
  <c r="B995" i="2"/>
  <c r="C995" i="2"/>
  <c r="D995" i="2"/>
  <c r="E995" i="2"/>
  <c r="F995" i="2"/>
  <c r="G995" i="2"/>
  <c r="H995" i="2"/>
  <c r="B996" i="2"/>
  <c r="C996" i="2"/>
  <c r="D996" i="2"/>
  <c r="E996" i="2"/>
  <c r="F996" i="2"/>
  <c r="G996" i="2"/>
  <c r="H996" i="2"/>
  <c r="I34" i="2"/>
  <c r="I33" i="2"/>
  <c r="I32" i="2"/>
  <c r="I31" i="2"/>
  <c r="I30" i="2"/>
  <c r="I29" i="2"/>
  <c r="I28" i="2"/>
  <c r="I27" i="2"/>
  <c r="I26" i="2"/>
  <c r="I994" i="2"/>
  <c r="I995" i="2"/>
  <c r="I992" i="2"/>
  <c r="I989" i="2"/>
  <c r="I986" i="2"/>
  <c r="I983" i="2"/>
  <c r="I980" i="2"/>
  <c r="I977" i="2"/>
  <c r="I974" i="2"/>
  <c r="I971" i="2"/>
  <c r="I968" i="2"/>
  <c r="I965" i="2"/>
  <c r="I962" i="2"/>
  <c r="I959" i="2"/>
  <c r="I956" i="2"/>
  <c r="I953" i="2"/>
  <c r="I950" i="2"/>
  <c r="I947" i="2"/>
  <c r="I944" i="2"/>
  <c r="I941" i="2"/>
  <c r="I938" i="2"/>
  <c r="I935" i="2"/>
  <c r="I932" i="2"/>
  <c r="I929" i="2"/>
  <c r="I926" i="2"/>
  <c r="I923" i="2"/>
  <c r="I920" i="2"/>
  <c r="I917" i="2"/>
  <c r="I914" i="2"/>
  <c r="I911" i="2"/>
  <c r="I908" i="2"/>
  <c r="I905" i="2"/>
  <c r="I902" i="2"/>
  <c r="I899" i="2"/>
  <c r="I896" i="2"/>
  <c r="I893" i="2"/>
  <c r="I890" i="2"/>
  <c r="I887" i="2"/>
  <c r="I884" i="2"/>
  <c r="I881" i="2"/>
  <c r="I878" i="2"/>
  <c r="I875" i="2"/>
  <c r="I872" i="2"/>
  <c r="I869" i="2"/>
  <c r="I866" i="2"/>
  <c r="I863" i="2"/>
  <c r="I860" i="2"/>
  <c r="I857" i="2"/>
  <c r="I854" i="2"/>
  <c r="I851" i="2"/>
  <c r="I848" i="2"/>
  <c r="I845" i="2"/>
  <c r="I842" i="2"/>
  <c r="I839" i="2"/>
  <c r="I836" i="2"/>
  <c r="I833" i="2"/>
  <c r="I830" i="2"/>
  <c r="I827" i="2"/>
  <c r="I824" i="2"/>
  <c r="I821" i="2"/>
  <c r="I818" i="2"/>
  <c r="I815" i="2"/>
  <c r="I812" i="2"/>
  <c r="I809" i="2"/>
  <c r="I806" i="2"/>
  <c r="I803" i="2"/>
  <c r="I800" i="2"/>
  <c r="I797" i="2"/>
  <c r="I794" i="2"/>
  <c r="I791" i="2"/>
  <c r="I788" i="2"/>
  <c r="I785" i="2"/>
  <c r="I782" i="2"/>
  <c r="I779" i="2"/>
  <c r="I776" i="2"/>
  <c r="I773" i="2"/>
  <c r="I770" i="2"/>
  <c r="I767" i="2"/>
  <c r="I764" i="2"/>
  <c r="I761" i="2"/>
  <c r="I758" i="2"/>
  <c r="I755" i="2"/>
  <c r="I752" i="2"/>
  <c r="I749" i="2"/>
  <c r="I746" i="2"/>
  <c r="I743" i="2"/>
  <c r="I740" i="2"/>
  <c r="I737" i="2"/>
  <c r="I734" i="2"/>
  <c r="I731" i="2"/>
  <c r="I728" i="2"/>
  <c r="I725" i="2"/>
  <c r="I722" i="2"/>
  <c r="I719" i="2"/>
  <c r="I716" i="2"/>
  <c r="I713" i="2"/>
  <c r="I710" i="2"/>
  <c r="I707" i="2"/>
  <c r="I704" i="2"/>
  <c r="I701" i="2"/>
  <c r="I698" i="2"/>
  <c r="I695" i="2"/>
  <c r="I692" i="2"/>
  <c r="I689" i="2"/>
  <c r="I686" i="2"/>
  <c r="I683" i="2"/>
  <c r="I680" i="2"/>
  <c r="I677" i="2"/>
  <c r="I674" i="2"/>
  <c r="I671" i="2"/>
  <c r="I668" i="2"/>
  <c r="I665" i="2"/>
  <c r="I662" i="2"/>
  <c r="I659" i="2"/>
  <c r="I656" i="2"/>
  <c r="I653" i="2"/>
  <c r="I650" i="2"/>
  <c r="I647" i="2"/>
  <c r="I644" i="2"/>
  <c r="I641" i="2"/>
  <c r="I638" i="2"/>
  <c r="I635" i="2"/>
  <c r="I632" i="2"/>
  <c r="I629" i="2"/>
  <c r="I626" i="2"/>
  <c r="I623" i="2"/>
  <c r="I620" i="2"/>
  <c r="I617" i="2"/>
  <c r="I614" i="2"/>
  <c r="I611" i="2"/>
  <c r="I608" i="2"/>
  <c r="I605" i="2"/>
  <c r="I602" i="2"/>
  <c r="I599" i="2"/>
  <c r="I596" i="2"/>
  <c r="I593" i="2"/>
  <c r="I590" i="2"/>
  <c r="I587" i="2"/>
  <c r="I584" i="2"/>
  <c r="I581" i="2"/>
  <c r="I578" i="2"/>
  <c r="I575" i="2"/>
  <c r="I572" i="2"/>
  <c r="I569" i="2"/>
  <c r="I566" i="2"/>
  <c r="I563" i="2"/>
  <c r="I560" i="2"/>
  <c r="I557" i="2"/>
  <c r="I554" i="2"/>
  <c r="I551" i="2"/>
  <c r="I548" i="2"/>
  <c r="I545" i="2"/>
  <c r="I542" i="2"/>
  <c r="I539" i="2"/>
  <c r="I536" i="2"/>
  <c r="I533" i="2"/>
  <c r="I530" i="2"/>
  <c r="I527" i="2"/>
  <c r="I524" i="2"/>
  <c r="I521" i="2"/>
  <c r="I518" i="2"/>
  <c r="I515" i="2"/>
  <c r="I512" i="2"/>
  <c r="I509" i="2"/>
  <c r="I506" i="2"/>
  <c r="I503" i="2"/>
  <c r="I500" i="2"/>
  <c r="I497" i="2"/>
  <c r="I494" i="2"/>
  <c r="I491" i="2"/>
  <c r="I488" i="2"/>
  <c r="I485" i="2"/>
  <c r="I482" i="2"/>
  <c r="I479" i="2"/>
  <c r="I476" i="2"/>
  <c r="I473" i="2"/>
  <c r="I470" i="2"/>
  <c r="I467" i="2"/>
  <c r="I464" i="2"/>
  <c r="I461" i="2"/>
  <c r="I458" i="2"/>
  <c r="I455" i="2"/>
  <c r="I452" i="2"/>
  <c r="I449" i="2"/>
  <c r="I446" i="2"/>
  <c r="I443" i="2"/>
  <c r="I440" i="2"/>
  <c r="I437" i="2"/>
  <c r="I434" i="2"/>
  <c r="I431" i="2"/>
  <c r="I428" i="2"/>
  <c r="I425" i="2"/>
  <c r="I422" i="2"/>
  <c r="I419" i="2"/>
  <c r="I416" i="2"/>
  <c r="I413" i="2"/>
  <c r="I410" i="2"/>
  <c r="I407" i="2"/>
  <c r="I404" i="2"/>
  <c r="I401" i="2"/>
  <c r="I398" i="2"/>
  <c r="I395" i="2"/>
  <c r="I392" i="2"/>
  <c r="I389" i="2"/>
  <c r="I386" i="2"/>
  <c r="I383" i="2"/>
  <c r="I380" i="2"/>
  <c r="I377" i="2"/>
  <c r="I374" i="2"/>
  <c r="I371" i="2"/>
  <c r="I368" i="2"/>
  <c r="I365" i="2"/>
  <c r="I362" i="2"/>
  <c r="I359" i="2"/>
  <c r="I356" i="2"/>
  <c r="I353" i="2"/>
  <c r="I350" i="2"/>
  <c r="I347" i="2"/>
  <c r="I344" i="2"/>
  <c r="I341" i="2"/>
  <c r="I338" i="2"/>
  <c r="I335" i="2"/>
  <c r="I332" i="2"/>
  <c r="I329" i="2"/>
  <c r="I326" i="2"/>
  <c r="I323" i="2"/>
  <c r="I320" i="2"/>
  <c r="I317" i="2"/>
  <c r="I314" i="2"/>
  <c r="I311" i="2"/>
  <c r="I308" i="2"/>
  <c r="I305" i="2"/>
  <c r="I302" i="2"/>
  <c r="I299" i="2"/>
  <c r="I296" i="2"/>
  <c r="I293" i="2"/>
  <c r="I290" i="2"/>
  <c r="I287" i="2"/>
  <c r="I284" i="2"/>
  <c r="I281" i="2"/>
  <c r="I278" i="2"/>
  <c r="I275" i="2"/>
  <c r="I272" i="2"/>
  <c r="I269" i="2"/>
  <c r="I266" i="2"/>
  <c r="I263" i="2"/>
  <c r="I260" i="2"/>
  <c r="I257" i="2"/>
  <c r="I254" i="2"/>
  <c r="I251" i="2"/>
  <c r="I248" i="2"/>
  <c r="I245" i="2"/>
  <c r="I242" i="2"/>
  <c r="I239" i="2"/>
  <c r="I236" i="2"/>
  <c r="I233" i="2"/>
  <c r="I230" i="2"/>
  <c r="I227" i="2"/>
  <c r="I224" i="2"/>
  <c r="I221" i="2"/>
  <c r="I218" i="2"/>
  <c r="I215" i="2"/>
  <c r="I212" i="2"/>
  <c r="I209" i="2"/>
  <c r="I206" i="2"/>
  <c r="I203" i="2"/>
  <c r="I200" i="2"/>
  <c r="I197" i="2"/>
  <c r="I194" i="2"/>
  <c r="I191" i="2"/>
  <c r="I188" i="2"/>
  <c r="I185" i="2"/>
  <c r="I182" i="2"/>
  <c r="I179" i="2"/>
  <c r="I176" i="2"/>
  <c r="I173" i="2"/>
  <c r="I170" i="2"/>
  <c r="I167" i="2"/>
  <c r="I164" i="2"/>
  <c r="I161" i="2"/>
  <c r="I158" i="2"/>
  <c r="I155" i="2"/>
  <c r="I152" i="2"/>
  <c r="I149" i="2"/>
  <c r="I146" i="2"/>
  <c r="I143" i="2"/>
  <c r="I140" i="2"/>
  <c r="I137" i="2"/>
  <c r="I134" i="2"/>
  <c r="I131" i="2"/>
  <c r="I128" i="2"/>
  <c r="I125" i="2"/>
  <c r="I122" i="2"/>
  <c r="I119" i="2"/>
  <c r="I116" i="2"/>
  <c r="I113" i="2"/>
  <c r="I110" i="2"/>
  <c r="I107" i="2"/>
  <c r="I104" i="2"/>
  <c r="I101" i="2"/>
  <c r="I98" i="2"/>
  <c r="I95" i="2"/>
  <c r="I92" i="2"/>
  <c r="I89" i="2"/>
  <c r="I86" i="2"/>
  <c r="I83" i="2"/>
  <c r="I80" i="2"/>
  <c r="I77" i="2"/>
  <c r="I74" i="2"/>
  <c r="I71" i="2"/>
  <c r="I68" i="2"/>
  <c r="I65" i="2"/>
  <c r="I62" i="2"/>
  <c r="I59" i="2"/>
  <c r="I56" i="2"/>
  <c r="I53" i="2"/>
  <c r="I50" i="2"/>
  <c r="I47" i="2"/>
  <c r="I44" i="2"/>
  <c r="I41" i="2"/>
  <c r="I38" i="2"/>
  <c r="K38" i="2"/>
  <c r="I35" i="2"/>
  <c r="I24" i="2"/>
  <c r="I21" i="2"/>
  <c r="K21" i="2"/>
  <c r="I18" i="2"/>
  <c r="I15" i="2"/>
  <c r="I991" i="2"/>
  <c r="I988" i="2"/>
  <c r="I985" i="2"/>
  <c r="I982" i="2"/>
  <c r="I979" i="2"/>
  <c r="I976" i="2"/>
  <c r="I973" i="2"/>
  <c r="I970" i="2"/>
  <c r="I967" i="2"/>
  <c r="I964" i="2"/>
  <c r="I961" i="2"/>
  <c r="I958" i="2"/>
  <c r="I955" i="2"/>
  <c r="I952" i="2"/>
  <c r="I949" i="2"/>
  <c r="I946" i="2"/>
  <c r="I943" i="2"/>
  <c r="I940" i="2"/>
  <c r="I937" i="2"/>
  <c r="I934" i="2"/>
  <c r="I931" i="2"/>
  <c r="I928" i="2"/>
  <c r="I925" i="2"/>
  <c r="I922" i="2"/>
  <c r="I919" i="2"/>
  <c r="I916" i="2"/>
  <c r="I913" i="2"/>
  <c r="I910" i="2"/>
  <c r="I907" i="2"/>
  <c r="I904" i="2"/>
  <c r="I901" i="2"/>
  <c r="I898" i="2"/>
  <c r="I895" i="2"/>
  <c r="I892" i="2"/>
  <c r="I889" i="2"/>
  <c r="I886" i="2"/>
  <c r="I883" i="2"/>
  <c r="I880" i="2"/>
  <c r="I877" i="2"/>
  <c r="I874" i="2"/>
  <c r="I871" i="2"/>
  <c r="I868" i="2"/>
  <c r="I865" i="2"/>
  <c r="I862" i="2"/>
  <c r="I859" i="2"/>
  <c r="I856" i="2"/>
  <c r="I853" i="2"/>
  <c r="I850" i="2"/>
  <c r="I847" i="2"/>
  <c r="I844" i="2"/>
  <c r="I841" i="2"/>
  <c r="I838" i="2"/>
  <c r="I835" i="2"/>
  <c r="I832" i="2"/>
  <c r="I829" i="2"/>
  <c r="I826" i="2"/>
  <c r="I823" i="2"/>
  <c r="I820" i="2"/>
  <c r="I817" i="2"/>
  <c r="I814" i="2"/>
  <c r="I811" i="2"/>
  <c r="I808" i="2"/>
  <c r="I805" i="2"/>
  <c r="I802" i="2"/>
  <c r="I799" i="2"/>
  <c r="I796" i="2"/>
  <c r="I793" i="2"/>
  <c r="I790" i="2"/>
  <c r="I787" i="2"/>
  <c r="I784" i="2"/>
  <c r="I781" i="2"/>
  <c r="I778" i="2"/>
  <c r="I775" i="2"/>
  <c r="I772" i="2"/>
  <c r="I769" i="2"/>
  <c r="I766" i="2"/>
  <c r="I763" i="2"/>
  <c r="I760" i="2"/>
  <c r="I757" i="2"/>
  <c r="I754" i="2"/>
  <c r="I751" i="2"/>
  <c r="I748" i="2"/>
  <c r="I745" i="2"/>
  <c r="I742" i="2"/>
  <c r="I739" i="2"/>
  <c r="I736" i="2"/>
  <c r="I733" i="2"/>
  <c r="I730" i="2"/>
  <c r="I727" i="2"/>
  <c r="I724" i="2"/>
  <c r="I721" i="2"/>
  <c r="I718" i="2"/>
  <c r="I715" i="2"/>
  <c r="I712" i="2"/>
  <c r="I709" i="2"/>
  <c r="I706" i="2"/>
  <c r="I703" i="2"/>
  <c r="I700" i="2"/>
  <c r="I697" i="2"/>
  <c r="I694" i="2"/>
  <c r="I691" i="2"/>
  <c r="I688" i="2"/>
  <c r="I685" i="2"/>
  <c r="I682" i="2"/>
  <c r="I679" i="2"/>
  <c r="I676" i="2"/>
  <c r="I673" i="2"/>
  <c r="I670" i="2"/>
  <c r="I667" i="2"/>
  <c r="I664" i="2"/>
  <c r="I661" i="2"/>
  <c r="I658" i="2"/>
  <c r="I655" i="2"/>
  <c r="I652" i="2"/>
  <c r="I649" i="2"/>
  <c r="I646" i="2"/>
  <c r="I643" i="2"/>
  <c r="I640" i="2"/>
  <c r="I637" i="2"/>
  <c r="I634" i="2"/>
  <c r="I631" i="2"/>
  <c r="I628" i="2"/>
  <c r="I625" i="2"/>
  <c r="I622" i="2"/>
  <c r="I619" i="2"/>
  <c r="I616" i="2"/>
  <c r="I613" i="2"/>
  <c r="I610" i="2"/>
  <c r="I607" i="2"/>
  <c r="I604" i="2"/>
  <c r="I601" i="2"/>
  <c r="I598" i="2"/>
  <c r="I595" i="2"/>
  <c r="I592" i="2"/>
  <c r="I589" i="2"/>
  <c r="I586" i="2"/>
  <c r="I583" i="2"/>
  <c r="I580" i="2"/>
  <c r="I577" i="2"/>
  <c r="I574" i="2"/>
  <c r="I571" i="2"/>
  <c r="I568" i="2"/>
  <c r="I565" i="2"/>
  <c r="I562" i="2"/>
  <c r="I559" i="2"/>
  <c r="I556" i="2"/>
  <c r="I553" i="2"/>
  <c r="I550" i="2"/>
  <c r="I547" i="2"/>
  <c r="I544" i="2"/>
  <c r="I541" i="2"/>
  <c r="I538" i="2"/>
  <c r="I535" i="2"/>
  <c r="I532" i="2"/>
  <c r="I529" i="2"/>
  <c r="I526" i="2"/>
  <c r="I523" i="2"/>
  <c r="I520" i="2"/>
  <c r="I517" i="2"/>
  <c r="I514" i="2"/>
  <c r="I511" i="2"/>
  <c r="I508" i="2"/>
  <c r="I505" i="2"/>
  <c r="I502" i="2"/>
  <c r="I499" i="2"/>
  <c r="I496" i="2"/>
  <c r="I493" i="2"/>
  <c r="I490" i="2"/>
  <c r="I487" i="2"/>
  <c r="I484" i="2"/>
  <c r="I481" i="2"/>
  <c r="I478" i="2"/>
  <c r="I475" i="2"/>
  <c r="I472" i="2"/>
  <c r="I469" i="2"/>
  <c r="I466" i="2"/>
  <c r="I463" i="2"/>
  <c r="I460" i="2"/>
  <c r="I457" i="2"/>
  <c r="I454" i="2"/>
  <c r="I451" i="2"/>
  <c r="I448" i="2"/>
  <c r="I445" i="2"/>
  <c r="I442" i="2"/>
  <c r="I439" i="2"/>
  <c r="I436" i="2"/>
  <c r="I433" i="2"/>
  <c r="I430" i="2"/>
  <c r="I427" i="2"/>
  <c r="I424" i="2"/>
  <c r="I421" i="2"/>
  <c r="I418" i="2"/>
  <c r="I415" i="2"/>
  <c r="I412" i="2"/>
  <c r="I409" i="2"/>
  <c r="I406" i="2"/>
  <c r="I403" i="2"/>
  <c r="I400" i="2"/>
  <c r="I397" i="2"/>
  <c r="I394" i="2"/>
  <c r="I391" i="2"/>
  <c r="I388" i="2"/>
  <c r="I385" i="2"/>
  <c r="I382" i="2"/>
  <c r="I379" i="2"/>
  <c r="I376" i="2"/>
  <c r="I373" i="2"/>
  <c r="I370" i="2"/>
  <c r="I367" i="2"/>
  <c r="I364" i="2"/>
  <c r="I361" i="2"/>
  <c r="I358" i="2"/>
  <c r="I355" i="2"/>
  <c r="I352" i="2"/>
  <c r="I349" i="2"/>
  <c r="I346" i="2"/>
  <c r="I343" i="2"/>
  <c r="I340" i="2"/>
  <c r="I337" i="2"/>
  <c r="I334" i="2"/>
  <c r="I331" i="2"/>
  <c r="I328" i="2"/>
  <c r="I325" i="2"/>
  <c r="I322" i="2"/>
  <c r="I319" i="2"/>
  <c r="I316" i="2"/>
  <c r="I313" i="2"/>
  <c r="I310" i="2"/>
  <c r="I307" i="2"/>
  <c r="I304" i="2"/>
  <c r="I301" i="2"/>
  <c r="I298" i="2"/>
  <c r="I295" i="2"/>
  <c r="I292" i="2"/>
  <c r="I289" i="2"/>
  <c r="I286" i="2"/>
  <c r="I283" i="2"/>
  <c r="I280" i="2"/>
  <c r="I277" i="2"/>
  <c r="I274" i="2"/>
  <c r="I271" i="2"/>
  <c r="I268" i="2"/>
  <c r="I265" i="2"/>
  <c r="I262" i="2"/>
  <c r="I259" i="2"/>
  <c r="I256" i="2"/>
  <c r="I253" i="2"/>
  <c r="I250" i="2"/>
  <c r="I247" i="2"/>
  <c r="I244" i="2"/>
  <c r="I241" i="2"/>
  <c r="I238" i="2"/>
  <c r="I235" i="2"/>
  <c r="I232" i="2"/>
  <c r="I229" i="2"/>
  <c r="I226" i="2"/>
  <c r="I223" i="2"/>
  <c r="I220" i="2"/>
  <c r="I217" i="2"/>
  <c r="I214" i="2"/>
  <c r="I211" i="2"/>
  <c r="I208" i="2"/>
  <c r="I205" i="2"/>
  <c r="I202" i="2"/>
  <c r="I199" i="2"/>
  <c r="I196" i="2"/>
  <c r="I193" i="2"/>
  <c r="I190" i="2"/>
  <c r="I187" i="2"/>
  <c r="I184" i="2"/>
  <c r="I181" i="2"/>
  <c r="I178" i="2"/>
  <c r="I175" i="2"/>
  <c r="I172" i="2"/>
  <c r="I169" i="2"/>
  <c r="I166" i="2"/>
  <c r="I163" i="2"/>
  <c r="I160" i="2"/>
  <c r="I157" i="2"/>
  <c r="I154" i="2"/>
  <c r="I151" i="2"/>
  <c r="I148" i="2"/>
  <c r="I145" i="2"/>
  <c r="I142" i="2"/>
  <c r="I139" i="2"/>
  <c r="I136" i="2"/>
  <c r="I133" i="2"/>
  <c r="I130" i="2"/>
  <c r="I127" i="2"/>
  <c r="I124" i="2"/>
  <c r="I121" i="2"/>
  <c r="I118" i="2"/>
  <c r="I115" i="2"/>
  <c r="I112" i="2"/>
  <c r="I109" i="2"/>
  <c r="I106" i="2"/>
  <c r="I103" i="2"/>
  <c r="I100" i="2"/>
  <c r="I97" i="2"/>
  <c r="I94" i="2"/>
  <c r="I91" i="2"/>
  <c r="I88" i="2"/>
  <c r="I85" i="2"/>
  <c r="I82" i="2"/>
  <c r="I79" i="2"/>
  <c r="I76" i="2"/>
  <c r="I73" i="2"/>
  <c r="I70" i="2"/>
  <c r="I67" i="2"/>
  <c r="I64" i="2"/>
  <c r="I61" i="2"/>
  <c r="I58" i="2"/>
  <c r="I55" i="2"/>
  <c r="I52" i="2"/>
  <c r="I49" i="2"/>
  <c r="I46" i="2"/>
  <c r="I43" i="2"/>
  <c r="I40" i="2"/>
  <c r="K40" i="2"/>
  <c r="I37" i="2"/>
  <c r="I23" i="2"/>
  <c r="K23" i="2"/>
  <c r="I20" i="2"/>
  <c r="K20" i="2"/>
  <c r="I17" i="2"/>
  <c r="K17" i="2"/>
  <c r="I14" i="2"/>
  <c r="K14" i="2"/>
  <c r="I996" i="2"/>
  <c r="I993" i="2"/>
  <c r="I990" i="2"/>
  <c r="I987" i="2"/>
  <c r="I984" i="2"/>
  <c r="I981" i="2"/>
  <c r="I978" i="2"/>
  <c r="I975" i="2"/>
  <c r="I972" i="2"/>
  <c r="I969" i="2"/>
  <c r="I966" i="2"/>
  <c r="I963" i="2"/>
  <c r="I960" i="2"/>
  <c r="I957" i="2"/>
  <c r="I954" i="2"/>
  <c r="I951" i="2"/>
  <c r="I948" i="2"/>
  <c r="I945" i="2"/>
  <c r="I942" i="2"/>
  <c r="I939" i="2"/>
  <c r="I936" i="2"/>
  <c r="I933" i="2"/>
  <c r="I930" i="2"/>
  <c r="I927" i="2"/>
  <c r="I924" i="2"/>
  <c r="I921" i="2"/>
  <c r="I918" i="2"/>
  <c r="I915" i="2"/>
  <c r="I912" i="2"/>
  <c r="I909" i="2"/>
  <c r="I906" i="2"/>
  <c r="I903" i="2"/>
  <c r="I900" i="2"/>
  <c r="I897" i="2"/>
  <c r="I894" i="2"/>
  <c r="I891" i="2"/>
  <c r="I888" i="2"/>
  <c r="I885" i="2"/>
  <c r="I882" i="2"/>
  <c r="I879" i="2"/>
  <c r="I876" i="2"/>
  <c r="I873" i="2"/>
  <c r="I870" i="2"/>
  <c r="I867" i="2"/>
  <c r="I864" i="2"/>
  <c r="I861" i="2"/>
  <c r="I858" i="2"/>
  <c r="I855" i="2"/>
  <c r="I852" i="2"/>
  <c r="I849" i="2"/>
  <c r="I846" i="2"/>
  <c r="I843" i="2"/>
  <c r="I840" i="2"/>
  <c r="I837" i="2"/>
  <c r="I834" i="2"/>
  <c r="I831" i="2"/>
  <c r="I828" i="2"/>
  <c r="I825" i="2"/>
  <c r="I822" i="2"/>
  <c r="I819" i="2"/>
  <c r="I816" i="2"/>
  <c r="I813" i="2"/>
  <c r="I810" i="2"/>
  <c r="I807" i="2"/>
  <c r="I804" i="2"/>
  <c r="I801" i="2"/>
  <c r="I798" i="2"/>
  <c r="I795" i="2"/>
  <c r="I792" i="2"/>
  <c r="I789" i="2"/>
  <c r="I786" i="2"/>
  <c r="I783" i="2"/>
  <c r="I780" i="2"/>
  <c r="I777" i="2"/>
  <c r="I774" i="2"/>
  <c r="I771" i="2"/>
  <c r="I768" i="2"/>
  <c r="I765" i="2"/>
  <c r="I762" i="2"/>
  <c r="I759" i="2"/>
  <c r="I756" i="2"/>
  <c r="I753" i="2"/>
  <c r="I750" i="2"/>
  <c r="I747" i="2"/>
  <c r="I744" i="2"/>
  <c r="I741" i="2"/>
  <c r="I738" i="2"/>
  <c r="I735" i="2"/>
  <c r="I732" i="2"/>
  <c r="I729" i="2"/>
  <c r="I726" i="2"/>
  <c r="I723" i="2"/>
  <c r="I720" i="2"/>
  <c r="I717" i="2"/>
  <c r="I714" i="2"/>
  <c r="I711" i="2"/>
  <c r="I708" i="2"/>
  <c r="I705" i="2"/>
  <c r="I702" i="2"/>
  <c r="I699" i="2"/>
  <c r="I696" i="2"/>
  <c r="I693" i="2"/>
  <c r="I690" i="2"/>
  <c r="I687" i="2"/>
  <c r="I684" i="2"/>
  <c r="I681" i="2"/>
  <c r="I678" i="2"/>
  <c r="I675" i="2"/>
  <c r="I672" i="2"/>
  <c r="I669" i="2"/>
  <c r="I666" i="2"/>
  <c r="I663" i="2"/>
  <c r="I660" i="2"/>
  <c r="I657" i="2"/>
  <c r="I654" i="2"/>
  <c r="I651" i="2"/>
  <c r="I648" i="2"/>
  <c r="I645" i="2"/>
  <c r="I642" i="2"/>
  <c r="I639" i="2"/>
  <c r="I636" i="2"/>
  <c r="I633" i="2"/>
  <c r="I630" i="2"/>
  <c r="I627" i="2"/>
  <c r="I624" i="2"/>
  <c r="I621" i="2"/>
  <c r="I618" i="2"/>
  <c r="I615" i="2"/>
  <c r="I612" i="2"/>
  <c r="I609" i="2"/>
  <c r="I606" i="2"/>
  <c r="I603" i="2"/>
  <c r="I600" i="2"/>
  <c r="I597" i="2"/>
  <c r="I594" i="2"/>
  <c r="I591" i="2"/>
  <c r="I588" i="2"/>
  <c r="I585" i="2"/>
  <c r="I582" i="2"/>
  <c r="I579" i="2"/>
  <c r="I576" i="2"/>
  <c r="I573" i="2"/>
  <c r="I570" i="2"/>
  <c r="I567" i="2"/>
  <c r="I564" i="2"/>
  <c r="I561" i="2"/>
  <c r="I558" i="2"/>
  <c r="I555" i="2"/>
  <c r="I552" i="2"/>
  <c r="I549" i="2"/>
  <c r="I546" i="2"/>
  <c r="I543" i="2"/>
  <c r="I540" i="2"/>
  <c r="I537" i="2"/>
  <c r="I534" i="2"/>
  <c r="I531" i="2"/>
  <c r="I528" i="2"/>
  <c r="I525" i="2"/>
  <c r="I522" i="2"/>
  <c r="I519" i="2"/>
  <c r="I516" i="2"/>
  <c r="I513" i="2"/>
  <c r="I510" i="2"/>
  <c r="I507" i="2"/>
  <c r="I504" i="2"/>
  <c r="I501" i="2"/>
  <c r="I498" i="2"/>
  <c r="I495" i="2"/>
  <c r="I492" i="2"/>
  <c r="I489" i="2"/>
  <c r="I486" i="2"/>
  <c r="I483" i="2"/>
  <c r="I480" i="2"/>
  <c r="I477" i="2"/>
  <c r="I474" i="2"/>
  <c r="I471" i="2"/>
  <c r="I468" i="2"/>
  <c r="I465" i="2"/>
  <c r="I462" i="2"/>
  <c r="I459" i="2"/>
  <c r="I456" i="2"/>
  <c r="I453" i="2"/>
  <c r="I450" i="2"/>
  <c r="I447" i="2"/>
  <c r="I444" i="2"/>
  <c r="I441" i="2"/>
  <c r="I438" i="2"/>
  <c r="I435" i="2"/>
  <c r="I432" i="2"/>
  <c r="I429" i="2"/>
  <c r="I426" i="2"/>
  <c r="I423" i="2"/>
  <c r="I420" i="2"/>
  <c r="I417" i="2"/>
  <c r="I414" i="2"/>
  <c r="I411" i="2"/>
  <c r="I408" i="2"/>
  <c r="I405" i="2"/>
  <c r="I402" i="2"/>
  <c r="I399" i="2"/>
  <c r="I396" i="2"/>
  <c r="I393" i="2"/>
  <c r="I390" i="2"/>
  <c r="I387" i="2"/>
  <c r="I384" i="2"/>
  <c r="I381" i="2"/>
  <c r="I378" i="2"/>
  <c r="I375" i="2"/>
  <c r="I372" i="2"/>
  <c r="I369" i="2"/>
  <c r="I366" i="2"/>
  <c r="I363" i="2"/>
  <c r="I360" i="2"/>
  <c r="I357" i="2"/>
  <c r="I354" i="2"/>
  <c r="I351" i="2"/>
  <c r="I348" i="2"/>
  <c r="I345" i="2"/>
  <c r="I342" i="2"/>
  <c r="I339" i="2"/>
  <c r="I336" i="2"/>
  <c r="I333" i="2"/>
  <c r="I330" i="2"/>
  <c r="I327" i="2"/>
  <c r="I324" i="2"/>
  <c r="I321" i="2"/>
  <c r="I318" i="2"/>
  <c r="I315" i="2"/>
  <c r="I312" i="2"/>
  <c r="I309" i="2"/>
  <c r="I306" i="2"/>
  <c r="I303" i="2"/>
  <c r="I300" i="2"/>
  <c r="I297" i="2"/>
  <c r="I294" i="2"/>
  <c r="I291" i="2"/>
  <c r="I288" i="2"/>
  <c r="I285" i="2"/>
  <c r="I282" i="2"/>
  <c r="I279" i="2"/>
  <c r="I276" i="2"/>
  <c r="I273" i="2"/>
  <c r="I270" i="2"/>
  <c r="I267" i="2"/>
  <c r="I264" i="2"/>
  <c r="I261" i="2"/>
  <c r="I258" i="2"/>
  <c r="I255" i="2"/>
  <c r="I252" i="2"/>
  <c r="I249" i="2"/>
  <c r="I246" i="2"/>
  <c r="I243" i="2"/>
  <c r="I240" i="2"/>
  <c r="I237" i="2"/>
  <c r="I234" i="2"/>
  <c r="I231" i="2"/>
  <c r="I228" i="2"/>
  <c r="I225" i="2"/>
  <c r="I222" i="2"/>
  <c r="I219" i="2"/>
  <c r="I216" i="2"/>
  <c r="I213" i="2"/>
  <c r="I210" i="2"/>
  <c r="I207" i="2"/>
  <c r="I204" i="2"/>
  <c r="I201" i="2"/>
  <c r="I198" i="2"/>
  <c r="I195" i="2"/>
  <c r="I192" i="2"/>
  <c r="I189" i="2"/>
  <c r="I186" i="2"/>
  <c r="I183" i="2"/>
  <c r="I180" i="2"/>
  <c r="I177" i="2"/>
  <c r="I174" i="2"/>
  <c r="I171" i="2"/>
  <c r="I168" i="2"/>
  <c r="I165" i="2"/>
  <c r="I162" i="2"/>
  <c r="I159" i="2"/>
  <c r="I156" i="2"/>
  <c r="I153" i="2"/>
  <c r="I150" i="2"/>
  <c r="I147" i="2"/>
  <c r="I144" i="2"/>
  <c r="I141" i="2"/>
  <c r="I138" i="2"/>
  <c r="I135" i="2"/>
  <c r="I132" i="2"/>
  <c r="I129" i="2"/>
  <c r="I126" i="2"/>
  <c r="I123" i="2"/>
  <c r="I120" i="2"/>
  <c r="I117" i="2"/>
  <c r="I114" i="2"/>
  <c r="I111" i="2"/>
  <c r="I108" i="2"/>
  <c r="I105" i="2"/>
  <c r="I102" i="2"/>
  <c r="I99" i="2"/>
  <c r="I96" i="2"/>
  <c r="I93" i="2"/>
  <c r="I90" i="2"/>
  <c r="I87" i="2"/>
  <c r="I84" i="2"/>
  <c r="I81" i="2"/>
  <c r="I78" i="2"/>
  <c r="I75" i="2"/>
  <c r="I72" i="2"/>
  <c r="I69" i="2"/>
  <c r="I66" i="2"/>
  <c r="I63" i="2"/>
  <c r="I60" i="2"/>
  <c r="I57" i="2"/>
  <c r="I54" i="2"/>
  <c r="I51" i="2"/>
  <c r="I48" i="2"/>
  <c r="I45" i="2"/>
  <c r="I42" i="2"/>
  <c r="I39" i="2"/>
  <c r="K39" i="2"/>
  <c r="I36" i="2"/>
  <c r="I25" i="2"/>
  <c r="I22" i="2"/>
  <c r="K22" i="2"/>
  <c r="I16" i="2"/>
  <c r="G61" i="3" l="1"/>
  <c r="B60" i="3"/>
  <c r="C60" i="3"/>
  <c r="D60" i="3"/>
  <c r="E60" i="3"/>
  <c r="B62" i="3"/>
  <c r="C62" i="3"/>
  <c r="D62" i="3"/>
  <c r="E62" i="3"/>
  <c r="B65" i="3"/>
  <c r="C65" i="3"/>
  <c r="D65" i="3"/>
  <c r="E65" i="3"/>
  <c r="B74" i="3"/>
  <c r="C74" i="3"/>
  <c r="D74" i="3"/>
  <c r="E74" i="3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G62" i="3"/>
  <c r="G71" i="3"/>
  <c r="G64" i="3"/>
  <c r="G59" i="3"/>
  <c r="G81" i="3"/>
  <c r="G65" i="3"/>
  <c r="G68" i="3"/>
  <c r="G74" i="3"/>
  <c r="G60" i="3"/>
  <c r="G77" i="3"/>
  <c r="G76" i="3"/>
  <c r="G79" i="3"/>
  <c r="G80" i="3"/>
  <c r="B64" i="3"/>
  <c r="C64" i="3"/>
  <c r="D64" i="3"/>
  <c r="E64" i="3"/>
  <c r="B70" i="3"/>
  <c r="C70" i="3"/>
  <c r="D70" i="3"/>
  <c r="E70" i="3"/>
  <c r="B71" i="3"/>
  <c r="C71" i="3"/>
  <c r="D71" i="3"/>
  <c r="E71" i="3"/>
  <c r="B73" i="3"/>
  <c r="C73" i="3"/>
  <c r="D73" i="3"/>
  <c r="E73" i="3"/>
  <c r="B80" i="3"/>
  <c r="C80" i="3"/>
  <c r="D80" i="3"/>
  <c r="E80" i="3"/>
  <c r="B81" i="3"/>
  <c r="C81" i="3"/>
  <c r="D81" i="3"/>
  <c r="E81" i="3"/>
  <c r="B82" i="3"/>
  <c r="C82" i="3"/>
  <c r="D82" i="3"/>
  <c r="E82" i="3"/>
  <c r="B61" i="3"/>
  <c r="C61" i="3"/>
  <c r="D61" i="3"/>
  <c r="E61" i="3"/>
  <c r="B63" i="3"/>
  <c r="C63" i="3"/>
  <c r="D63" i="3"/>
  <c r="E63" i="3"/>
  <c r="B66" i="3"/>
  <c r="C66" i="3"/>
  <c r="D66" i="3"/>
  <c r="E66" i="3"/>
  <c r="B67" i="3"/>
  <c r="C67" i="3"/>
  <c r="D67" i="3"/>
  <c r="E67" i="3"/>
  <c r="B68" i="3"/>
  <c r="C68" i="3"/>
  <c r="D68" i="3"/>
  <c r="E68" i="3"/>
  <c r="B69" i="3"/>
  <c r="C69" i="3"/>
  <c r="D69" i="3"/>
  <c r="E69" i="3"/>
  <c r="B72" i="3"/>
  <c r="C72" i="3"/>
  <c r="D72" i="3"/>
  <c r="E72" i="3"/>
  <c r="B75" i="3"/>
  <c r="C75" i="3"/>
  <c r="D75" i="3"/>
  <c r="E75" i="3"/>
  <c r="B57" i="3"/>
  <c r="C57" i="3"/>
  <c r="D57" i="3"/>
  <c r="E57" i="3"/>
  <c r="B58" i="3"/>
  <c r="C58" i="3"/>
  <c r="D58" i="3"/>
  <c r="E58" i="3"/>
  <c r="B59" i="3"/>
  <c r="C59" i="3"/>
  <c r="D59" i="3"/>
  <c r="E59" i="3"/>
  <c r="G58" i="3"/>
  <c r="G57" i="3"/>
  <c r="K74" i="2"/>
  <c r="K73" i="2"/>
  <c r="B46" i="2"/>
  <c r="K65" i="2"/>
  <c r="K64" i="2"/>
  <c r="G55" i="3"/>
  <c r="F56" i="3"/>
  <c r="H56" i="3"/>
  <c r="B51" i="3"/>
  <c r="C51" i="3"/>
  <c r="D51" i="3"/>
  <c r="E51" i="3"/>
  <c r="B52" i="3"/>
  <c r="C52" i="3"/>
  <c r="D52" i="3"/>
  <c r="E52" i="3"/>
  <c r="B53" i="3"/>
  <c r="C53" i="3"/>
  <c r="D53" i="3"/>
  <c r="E53" i="3"/>
  <c r="B54" i="3"/>
  <c r="C54" i="3"/>
  <c r="D54" i="3"/>
  <c r="E54" i="3"/>
  <c r="B55" i="3"/>
  <c r="C55" i="3"/>
  <c r="D55" i="3"/>
  <c r="E55" i="3"/>
  <c r="B56" i="3"/>
  <c r="C56" i="3"/>
  <c r="D56" i="3"/>
  <c r="E56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G52" i="3"/>
  <c r="G56" i="3"/>
  <c r="G51" i="3"/>
  <c r="F51" i="3"/>
  <c r="H51" i="3"/>
  <c r="F52" i="3"/>
  <c r="H52" i="3"/>
  <c r="F53" i="3"/>
  <c r="H53" i="3"/>
  <c r="F54" i="3"/>
  <c r="H54" i="3"/>
  <c r="F55" i="3"/>
  <c r="H55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K56" i="2"/>
  <c r="K55" i="2"/>
  <c r="K51" i="2"/>
  <c r="K52" i="2"/>
  <c r="K50" i="2"/>
  <c r="J18" i="2"/>
  <c r="D49" i="2"/>
  <c r="F60" i="3" l="1"/>
  <c r="H60" i="3"/>
  <c r="F61" i="3"/>
  <c r="H61" i="3"/>
  <c r="F62" i="3"/>
  <c r="H62" i="3"/>
  <c r="F63" i="3"/>
  <c r="H63" i="3"/>
  <c r="F64" i="3"/>
  <c r="H64" i="3"/>
  <c r="F65" i="3"/>
  <c r="H65" i="3"/>
  <c r="F66" i="3"/>
  <c r="H66" i="3"/>
  <c r="F67" i="3"/>
  <c r="H67" i="3"/>
  <c r="F68" i="3"/>
  <c r="H68" i="3"/>
  <c r="F69" i="3"/>
  <c r="H69" i="3"/>
  <c r="F70" i="3"/>
  <c r="H70" i="3"/>
  <c r="F71" i="3"/>
  <c r="H71" i="3"/>
  <c r="F72" i="3"/>
  <c r="H72" i="3"/>
  <c r="F73" i="3"/>
  <c r="H73" i="3"/>
  <c r="F74" i="3"/>
  <c r="H74" i="3"/>
  <c r="F75" i="3"/>
  <c r="H75" i="3"/>
  <c r="F76" i="3"/>
  <c r="H76" i="3"/>
  <c r="F77" i="3"/>
  <c r="H77" i="3"/>
  <c r="F78" i="3"/>
  <c r="H78" i="3"/>
  <c r="F79" i="3"/>
  <c r="H79" i="3"/>
  <c r="F80" i="3"/>
  <c r="H80" i="3"/>
  <c r="F81" i="3"/>
  <c r="H81" i="3"/>
  <c r="F82" i="3"/>
  <c r="H82" i="3"/>
  <c r="F57" i="3"/>
  <c r="H57" i="3"/>
  <c r="F58" i="3"/>
  <c r="H58" i="3"/>
  <c r="F59" i="3"/>
  <c r="H59" i="3"/>
  <c r="H37" i="3"/>
  <c r="F37" i="3"/>
  <c r="H32" i="3"/>
  <c r="H33" i="3"/>
  <c r="H34" i="3"/>
  <c r="H35" i="3"/>
  <c r="H36" i="3"/>
  <c r="F32" i="3"/>
  <c r="F33" i="3"/>
  <c r="F34" i="3"/>
  <c r="F35" i="3"/>
  <c r="F36" i="3"/>
  <c r="H24" i="3"/>
  <c r="H25" i="3"/>
  <c r="H26" i="3"/>
  <c r="H27" i="3"/>
  <c r="H28" i="3"/>
  <c r="H29" i="3"/>
  <c r="H30" i="3"/>
  <c r="H31" i="3"/>
  <c r="F24" i="3"/>
  <c r="F25" i="3"/>
  <c r="F26" i="3"/>
  <c r="F27" i="3"/>
  <c r="F28" i="3"/>
  <c r="F29" i="3"/>
  <c r="F30" i="3"/>
  <c r="F31" i="3"/>
  <c r="H23" i="3"/>
  <c r="H18" i="3"/>
  <c r="H21" i="3"/>
  <c r="F20" i="3"/>
  <c r="H15" i="3"/>
  <c r="F14" i="3"/>
  <c r="H13" i="3"/>
  <c r="F13" i="3"/>
  <c r="H10" i="3"/>
  <c r="F22" i="3"/>
  <c r="H19" i="3"/>
  <c r="F18" i="3"/>
  <c r="F21" i="3"/>
  <c r="H16" i="3"/>
  <c r="F15" i="3"/>
  <c r="H11" i="3"/>
  <c r="F11" i="3"/>
  <c r="F10" i="3"/>
  <c r="H9" i="3"/>
  <c r="H22" i="3"/>
  <c r="F23" i="3"/>
  <c r="H20" i="3"/>
  <c r="F19" i="3"/>
  <c r="H14" i="3"/>
  <c r="F16" i="3"/>
  <c r="H12" i="3"/>
  <c r="F9" i="3"/>
  <c r="F12" i="3"/>
  <c r="F6" i="3"/>
  <c r="H3" i="3"/>
  <c r="H7" i="3"/>
  <c r="H6" i="3"/>
  <c r="H5" i="3"/>
  <c r="F2" i="3"/>
  <c r="H4" i="3"/>
  <c r="F5" i="3"/>
  <c r="F8" i="3"/>
  <c r="F4" i="3"/>
  <c r="F7" i="3"/>
  <c r="H8" i="3"/>
  <c r="H2" i="3"/>
  <c r="F3" i="3"/>
  <c r="K18" i="2"/>
  <c r="F17" i="3"/>
  <c r="H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<sst xmlns="http://schemas.openxmlformats.org/spreadsheetml/2006/main" count="9784" uniqueCount="3356">
  <si>
    <t>ID_Mov</t>
  </si>
  <si>
    <t>Fecha</t>
  </si>
  <si>
    <t xml:space="preserve">Producto
</t>
  </si>
  <si>
    <t>Principio
Activo/variedad</t>
  </si>
  <si>
    <t>Tipo</t>
  </si>
  <si>
    <t>Subtipo</t>
  </si>
  <si>
    <t>Proveedor</t>
  </si>
  <si>
    <t>ID_Lote</t>
  </si>
  <si>
    <t>Tipo_Mov</t>
  </si>
  <si>
    <t>Cantidad
(siempre +)</t>
  </si>
  <si>
    <t>Cantidad
Neta (auto)</t>
  </si>
  <si>
    <t>Unidad</t>
  </si>
  <si>
    <t>Fecha
Vencimiento</t>
  </si>
  <si>
    <t>Nro_Remito</t>
  </si>
  <si>
    <t>Destino /
Origen</t>
  </si>
  <si>
    <t>Nro. Int Finnegans</t>
  </si>
  <si>
    <t>Fecha Recep/Mov
Finnegans</t>
  </si>
  <si>
    <t>Columna1</t>
  </si>
  <si>
    <t>Columna2</t>
  </si>
  <si>
    <t>Lote</t>
  </si>
  <si>
    <t>Ubicación</t>
  </si>
  <si>
    <t xml:space="preserve">Retira </t>
  </si>
  <si>
    <t>MOV-001</t>
  </si>
  <si>
    <t>Colza Curry CL</t>
  </si>
  <si>
    <t>CURRY CL</t>
  </si>
  <si>
    <t>Semilla</t>
  </si>
  <si>
    <t>Colza</t>
  </si>
  <si>
    <t>ERRO</t>
  </si>
  <si>
    <t>ENTRADA</t>
  </si>
  <si>
    <t>kg</t>
  </si>
  <si>
    <t>AP1-2-3</t>
  </si>
  <si>
    <t>MOV-002</t>
  </si>
  <si>
    <t>Korvetto</t>
  </si>
  <si>
    <t xml:space="preserve">Clopyralid 12% + Halauxyfen methyl 0,51% </t>
  </si>
  <si>
    <t>Herbicida</t>
  </si>
  <si>
    <t>Postemergente</t>
  </si>
  <si>
    <t>GS Agro</t>
  </si>
  <si>
    <t>L</t>
  </si>
  <si>
    <t>AP1</t>
  </si>
  <si>
    <t>MOV-003</t>
  </si>
  <si>
    <t>Lontrel</t>
  </si>
  <si>
    <t>Clopyralid sal monoetanolamina 40.9%</t>
  </si>
  <si>
    <t>A8-N1</t>
  </si>
  <si>
    <t>MOV-004</t>
  </si>
  <si>
    <t>Preside</t>
  </si>
  <si>
    <t>Flumetsulam 11,35%</t>
  </si>
  <si>
    <t>Preemergente</t>
  </si>
  <si>
    <t>A6 N2-3</t>
  </si>
  <si>
    <t>MOV-005</t>
  </si>
  <si>
    <t>MOV-006</t>
  </si>
  <si>
    <t>Tordon 24K</t>
  </si>
  <si>
    <t>Picloram 24,9%</t>
  </si>
  <si>
    <t>A1 P1</t>
  </si>
  <si>
    <t>MOV-007</t>
  </si>
  <si>
    <t>Tronador</t>
  </si>
  <si>
    <t>Halauxifen metil 3.3% + Aminopyralid 2.7% + Metsulfuron metil 20%</t>
  </si>
  <si>
    <t>Pack</t>
  </si>
  <si>
    <t>A7 N1-2</t>
  </si>
  <si>
    <t>MOV-008</t>
  </si>
  <si>
    <t>Venceweed extra</t>
  </si>
  <si>
    <t>2,4-Db-Butilo 93.1%</t>
  </si>
  <si>
    <t>A1-2N1-2</t>
  </si>
  <si>
    <t>MOV-009</t>
  </si>
  <si>
    <t>Flumetsulam 11.35%</t>
  </si>
  <si>
    <t>260401-004</t>
  </si>
  <si>
    <t>SALIDA</t>
  </si>
  <si>
    <t>Salto</t>
  </si>
  <si>
    <t>MOV-010</t>
  </si>
  <si>
    <t>260401-008</t>
  </si>
  <si>
    <t>MOV-011</t>
  </si>
  <si>
    <t>Silobolsa</t>
  </si>
  <si>
    <t>Silobolsa 9 pies</t>
  </si>
  <si>
    <t>AYP Agrogestiones</t>
  </si>
  <si>
    <t>unidad</t>
  </si>
  <si>
    <t>MOV-012</t>
  </si>
  <si>
    <t>Dedalo elite</t>
  </si>
  <si>
    <t>2,4 D Acido 27.2%</t>
  </si>
  <si>
    <t>Agromil</t>
  </si>
  <si>
    <t>B1-2-3-4N1-2</t>
  </si>
  <si>
    <t>MOV-013</t>
  </si>
  <si>
    <t>Raigrás E284</t>
  </si>
  <si>
    <t>Estanzuela 284</t>
  </si>
  <si>
    <t>Raigrás</t>
  </si>
  <si>
    <t>Granicor</t>
  </si>
  <si>
    <t>piso</t>
  </si>
  <si>
    <t>MOV-014</t>
  </si>
  <si>
    <t>Starane Xtra</t>
  </si>
  <si>
    <t>Fluroxypyr Meptil 45,52%</t>
  </si>
  <si>
    <t>A-7 N-2</t>
  </si>
  <si>
    <t>MOV-015</t>
  </si>
  <si>
    <t>Pixxaro</t>
  </si>
  <si>
    <t>Fluroxypyr meptyl 34,91% + Halauxyfen methyl 1.64% + Cloquintocet mexyl 1.57%</t>
  </si>
  <si>
    <t>A-9N-1</t>
  </si>
  <si>
    <t>MOV-016</t>
  </si>
  <si>
    <t>260407-012</t>
  </si>
  <si>
    <t>Durazno</t>
  </si>
  <si>
    <t>MOV-017</t>
  </si>
  <si>
    <t>260401-007</t>
  </si>
  <si>
    <t>MOV-018</t>
  </si>
  <si>
    <t>MOV-019</t>
  </si>
  <si>
    <t>260408-014</t>
  </si>
  <si>
    <t>MOV-020</t>
  </si>
  <si>
    <t>MOV-021</t>
  </si>
  <si>
    <t>260408-015</t>
  </si>
  <si>
    <t>MOV-022</t>
  </si>
  <si>
    <t xml:space="preserve">Clopyralid 12% + Halauxyfen methyl 0.51% </t>
  </si>
  <si>
    <t>260401-002</t>
  </si>
  <si>
    <t>MOV-023</t>
  </si>
  <si>
    <t>Colza Hyola 575 CL</t>
  </si>
  <si>
    <t>HYOLA 575 CL</t>
  </si>
  <si>
    <t>13/0472026</t>
  </si>
  <si>
    <t>MOV-024</t>
  </si>
  <si>
    <t>Colza Apolo CL</t>
  </si>
  <si>
    <t>APOLO CL</t>
  </si>
  <si>
    <t>MOV-025</t>
  </si>
  <si>
    <t>Azuka</t>
  </si>
  <si>
    <t>Glifosato Sal DMA 608 g/L. Equivalente en glifosato 480 g/L</t>
  </si>
  <si>
    <t>Proquimur</t>
  </si>
  <si>
    <t>C1-2-3-4-5-6-7-8N1-2</t>
  </si>
  <si>
    <t>MOV-026</t>
  </si>
  <si>
    <t>260410-025</t>
  </si>
  <si>
    <t>MOV-027</t>
  </si>
  <si>
    <t>Pardo</t>
  </si>
  <si>
    <t>Clethodim 240 g/L</t>
  </si>
  <si>
    <t>B4-5-6-7-8N1-2</t>
  </si>
  <si>
    <t>MOV-078</t>
  </si>
  <si>
    <t xml:space="preserve">Avena </t>
  </si>
  <si>
    <t xml:space="preserve">Avena propia </t>
  </si>
  <si>
    <t>Avena</t>
  </si>
  <si>
    <t>MOV-028</t>
  </si>
  <si>
    <t>Harrier</t>
  </si>
  <si>
    <t>ALCOHOL LINEAL ETOXILADO 32.7%</t>
  </si>
  <si>
    <t>Coadyuvante</t>
  </si>
  <si>
    <t>Don asdrual</t>
  </si>
  <si>
    <t>A3-4-5-6N1-2-3</t>
  </si>
  <si>
    <t>MOV-029</t>
  </si>
  <si>
    <t>MOV-030</t>
  </si>
  <si>
    <t>Full control</t>
  </si>
  <si>
    <t>ACIDO FOSFORICO 23 g</t>
  </si>
  <si>
    <t>A7-8N3</t>
  </si>
  <si>
    <t>MOV-031</t>
  </si>
  <si>
    <t>Maxi Drop</t>
  </si>
  <si>
    <t>ACEITE DE SOJA 48 g</t>
  </si>
  <si>
    <t>A-6N-1</t>
  </si>
  <si>
    <t>MOV-081</t>
  </si>
  <si>
    <t>260410-078</t>
  </si>
  <si>
    <t>MOV-032</t>
  </si>
  <si>
    <t>Axial</t>
  </si>
  <si>
    <t>PINOXADEN 5 GR + CLOQUINTOCET-MEXIL 1.25 GR</t>
  </si>
  <si>
    <t>A9N1-2-3</t>
  </si>
  <si>
    <t>MOV-033</t>
  </si>
  <si>
    <t>260408-013</t>
  </si>
  <si>
    <t>Lit. Norte</t>
  </si>
  <si>
    <t>MOV-034</t>
  </si>
  <si>
    <t>260406-011</t>
  </si>
  <si>
    <t>MOV-035</t>
  </si>
  <si>
    <t>Colza Nuola 300</t>
  </si>
  <si>
    <t>Nuola 300</t>
  </si>
  <si>
    <t>Agroterra</t>
  </si>
  <si>
    <t>MOV-036</t>
  </si>
  <si>
    <t>Colza Ceres IMI</t>
  </si>
  <si>
    <t>Ceres IMI</t>
  </si>
  <si>
    <t>A1/N3</t>
  </si>
  <si>
    <t>MOV-037</t>
  </si>
  <si>
    <t>Festuca Carape</t>
  </si>
  <si>
    <t>Festuca</t>
  </si>
  <si>
    <t>Megaagro</t>
  </si>
  <si>
    <t>MOV-038</t>
  </si>
  <si>
    <t>Alfalfa Verdor</t>
  </si>
  <si>
    <t>Alfalfa Verdor momla 384-2n-04</t>
  </si>
  <si>
    <t>Alfalfa</t>
  </si>
  <si>
    <t>MOV-039</t>
  </si>
  <si>
    <t>Achicora Inia Nova</t>
  </si>
  <si>
    <t xml:space="preserve">Achicora inia nova </t>
  </si>
  <si>
    <t>Achicoria</t>
  </si>
  <si>
    <t>MOV-040</t>
  </si>
  <si>
    <t>Cargil</t>
  </si>
  <si>
    <t>MOV-041</t>
  </si>
  <si>
    <t xml:space="preserve">Festuca Sortija C2 </t>
  </si>
  <si>
    <t>Festuca Sortija C2</t>
  </si>
  <si>
    <t>Agrofuturo</t>
  </si>
  <si>
    <t>MOV-042</t>
  </si>
  <si>
    <t>Dactylis Drover</t>
  </si>
  <si>
    <t>Dactylis Drover ecotec af gram c2</t>
  </si>
  <si>
    <t>Dactylis</t>
  </si>
  <si>
    <t>MOV-043</t>
  </si>
  <si>
    <t>Trebol Blanco E Zapican</t>
  </si>
  <si>
    <t>Trebol Blanco E Zapican Ecotec AF</t>
  </si>
  <si>
    <t>Trebol Blanco</t>
  </si>
  <si>
    <t>MOV-044</t>
  </si>
  <si>
    <t>Trebol Rojo E116</t>
  </si>
  <si>
    <t>Trebol Rojo E116 Ecotec AF</t>
  </si>
  <si>
    <t xml:space="preserve">Trebol Rojo </t>
  </si>
  <si>
    <t>MOV-045</t>
  </si>
  <si>
    <t>Phalaris Stockman Comb</t>
  </si>
  <si>
    <t>Phalaris</t>
  </si>
  <si>
    <t>MOV-070</t>
  </si>
  <si>
    <t>MOV-046</t>
  </si>
  <si>
    <t>260324-001</t>
  </si>
  <si>
    <t>MOV-047</t>
  </si>
  <si>
    <t>MOV-048</t>
  </si>
  <si>
    <t>Ruta 20</t>
  </si>
  <si>
    <t>MOV-049</t>
  </si>
  <si>
    <t>260410-027</t>
  </si>
  <si>
    <t>MOV-050</t>
  </si>
  <si>
    <t>MOV-051</t>
  </si>
  <si>
    <t>MOV-052</t>
  </si>
  <si>
    <t>MOV-053</t>
  </si>
  <si>
    <t>MOV-054</t>
  </si>
  <si>
    <t>260414-028</t>
  </si>
  <si>
    <t>MOV-055</t>
  </si>
  <si>
    <t>260414-030</t>
  </si>
  <si>
    <t>MOV-058</t>
  </si>
  <si>
    <t>Ruta 20 Bch</t>
  </si>
  <si>
    <t>MOV-059</t>
  </si>
  <si>
    <t>260410-024</t>
  </si>
  <si>
    <t>MOV-056</t>
  </si>
  <si>
    <t>MOV-057</t>
  </si>
  <si>
    <t>Ruta 20 Don V</t>
  </si>
  <si>
    <t>MOV-060</t>
  </si>
  <si>
    <t>MOV-061</t>
  </si>
  <si>
    <t>260414-029</t>
  </si>
  <si>
    <t>MOV-062</t>
  </si>
  <si>
    <t>MOV-063</t>
  </si>
  <si>
    <t>MOV-064</t>
  </si>
  <si>
    <t>MOV-065</t>
  </si>
  <si>
    <t>MOV-066</t>
  </si>
  <si>
    <t>MOV-067</t>
  </si>
  <si>
    <t>Colza continuum Cl</t>
  </si>
  <si>
    <t>Continuum CL</t>
  </si>
  <si>
    <t>MOV-068</t>
  </si>
  <si>
    <t>Colza Hyola Solstice cl</t>
  </si>
  <si>
    <t>MOV-069</t>
  </si>
  <si>
    <t>MOV-071</t>
  </si>
  <si>
    <t>MOV-072</t>
  </si>
  <si>
    <t>MOV-082</t>
  </si>
  <si>
    <t>MOV-073</t>
  </si>
  <si>
    <t>Tacuarembó</t>
  </si>
  <si>
    <t>MOV-074</t>
  </si>
  <si>
    <t>260416-036</t>
  </si>
  <si>
    <t>MOV-075</t>
  </si>
  <si>
    <t>MOV-076</t>
  </si>
  <si>
    <t>MOV-077</t>
  </si>
  <si>
    <t>MOV-079</t>
  </si>
  <si>
    <t>MOV-080</t>
  </si>
  <si>
    <t>Arsenal</t>
  </si>
  <si>
    <t>Imazapir sal isopropilamina 24,2%</t>
  </si>
  <si>
    <t>B4/N3</t>
  </si>
  <si>
    <t>MOV-083</t>
  </si>
  <si>
    <t>Dash HC</t>
  </si>
  <si>
    <t>Esteres metílicos de aceite vegetal 42,5%</t>
  </si>
  <si>
    <t>MOV-084</t>
  </si>
  <si>
    <t>MOV-085</t>
  </si>
  <si>
    <t>MOV-086</t>
  </si>
  <si>
    <t>MOV-087</t>
  </si>
  <si>
    <t>MOV-088</t>
  </si>
  <si>
    <t>Lotus Nilo ht</t>
  </si>
  <si>
    <t>Lotus Nilo Ht Gen Protect Plus</t>
  </si>
  <si>
    <t>Lotus</t>
  </si>
  <si>
    <t xml:space="preserve">Irmacor </t>
  </si>
  <si>
    <t>MOV-089</t>
  </si>
  <si>
    <t>Dactylis inia perseo</t>
  </si>
  <si>
    <t>Dactylis inia perseo cert +ins</t>
  </si>
  <si>
    <t>MOV-090</t>
  </si>
  <si>
    <t>Alfalfa Latte 920</t>
  </si>
  <si>
    <t>Alfalfa latte 920 gen protect plus</t>
  </si>
  <si>
    <t>MOV-091</t>
  </si>
  <si>
    <t>Colza 45y95cl</t>
  </si>
  <si>
    <t>A-1/N-3</t>
  </si>
  <si>
    <t>MOV-092</t>
  </si>
  <si>
    <t>MOV-093</t>
  </si>
  <si>
    <t>MOV-094</t>
  </si>
  <si>
    <t>MOV-095</t>
  </si>
  <si>
    <t>MOV-096</t>
  </si>
  <si>
    <t>MOV-097</t>
  </si>
  <si>
    <t>MOV-098</t>
  </si>
  <si>
    <t>MOV-099</t>
  </si>
  <si>
    <t>MOV-100</t>
  </si>
  <si>
    <t>260410-023</t>
  </si>
  <si>
    <t>MOV-101</t>
  </si>
  <si>
    <t>Picloram 24.9%</t>
  </si>
  <si>
    <t>260401-006</t>
  </si>
  <si>
    <t>MOV-102</t>
  </si>
  <si>
    <t>Hydra Hume</t>
  </si>
  <si>
    <t xml:space="preserve">Hydra hume </t>
  </si>
  <si>
    <t>Biológico</t>
  </si>
  <si>
    <t>Acidos Humicos</t>
  </si>
  <si>
    <t>MOV-103</t>
  </si>
  <si>
    <t>MOV-104</t>
  </si>
  <si>
    <t>MOV-105</t>
  </si>
  <si>
    <t>MOV-106</t>
  </si>
  <si>
    <t>MOV-107</t>
  </si>
  <si>
    <t>MOV-108</t>
  </si>
  <si>
    <t>MOV-109</t>
  </si>
  <si>
    <t>MOV-110</t>
  </si>
  <si>
    <t>260416-035</t>
  </si>
  <si>
    <t>MOV-111</t>
  </si>
  <si>
    <t>260429-105</t>
  </si>
  <si>
    <t>MOV-112</t>
  </si>
  <si>
    <t>Festuca elodie curada</t>
  </si>
  <si>
    <t xml:space="preserve">festuca elodie </t>
  </si>
  <si>
    <t xml:space="preserve">Biosfer </t>
  </si>
  <si>
    <t>OE5612</t>
  </si>
  <si>
    <t>MOV-113</t>
  </si>
  <si>
    <t xml:space="preserve">Trebol blanco Zapican inoculado </t>
  </si>
  <si>
    <t xml:space="preserve">trebol blanco zapican </t>
  </si>
  <si>
    <t>MOV-114</t>
  </si>
  <si>
    <t>MOV-115</t>
  </si>
  <si>
    <t>260417-041</t>
  </si>
  <si>
    <t>Durazno Juncal</t>
  </si>
  <si>
    <t>MOV-116</t>
  </si>
  <si>
    <t>Durazno Trebol</t>
  </si>
  <si>
    <t>MOV-117</t>
  </si>
  <si>
    <t>260424-088</t>
  </si>
  <si>
    <t>MOV-118</t>
  </si>
  <si>
    <t>260417-039</t>
  </si>
  <si>
    <t>MOV-119</t>
  </si>
  <si>
    <t>260417-037</t>
  </si>
  <si>
    <t>MOV-120</t>
  </si>
  <si>
    <t>260417-043</t>
  </si>
  <si>
    <t>MOV-121</t>
  </si>
  <si>
    <t>260417-044</t>
  </si>
  <si>
    <t>MOV-122</t>
  </si>
  <si>
    <t>260424-089</t>
  </si>
  <si>
    <t>MOV-123</t>
  </si>
  <si>
    <t>260417-045</t>
  </si>
  <si>
    <t>MOV-124</t>
  </si>
  <si>
    <t>260421-067</t>
  </si>
  <si>
    <t>MOV-125</t>
  </si>
  <si>
    <t>260421-068</t>
  </si>
  <si>
    <t>MOV-126</t>
  </si>
  <si>
    <t xml:space="preserve">Durazno Rincon </t>
  </si>
  <si>
    <t>MOV-127</t>
  </si>
  <si>
    <t>MOV-128</t>
  </si>
  <si>
    <t>MOV-129</t>
  </si>
  <si>
    <t>MOV-130</t>
  </si>
  <si>
    <t>MOV-131</t>
  </si>
  <si>
    <t>MOV-132</t>
  </si>
  <si>
    <t>MOV-133</t>
  </si>
  <si>
    <t>MOV-134</t>
  </si>
  <si>
    <t>MOV-135</t>
  </si>
  <si>
    <t>MOV-136</t>
  </si>
  <si>
    <t>MOV-137</t>
  </si>
  <si>
    <t>MOV-138</t>
  </si>
  <si>
    <t>MOV-139</t>
  </si>
  <si>
    <t>MOV-140</t>
  </si>
  <si>
    <t>MOV-141</t>
  </si>
  <si>
    <t>260417-038</t>
  </si>
  <si>
    <t>MOV-142</t>
  </si>
  <si>
    <t>260424-090</t>
  </si>
  <si>
    <t>MOV-143</t>
  </si>
  <si>
    <t>260417-042</t>
  </si>
  <si>
    <t>MOV-144</t>
  </si>
  <si>
    <t>MOV-145</t>
  </si>
  <si>
    <t>MOV-146</t>
  </si>
  <si>
    <t>MOV-147</t>
  </si>
  <si>
    <t>MOV-148</t>
  </si>
  <si>
    <t>MOV-149</t>
  </si>
  <si>
    <t>MOV-150</t>
  </si>
  <si>
    <t>MOV-151</t>
  </si>
  <si>
    <t>MOV-152</t>
  </si>
  <si>
    <t>MOV-153</t>
  </si>
  <si>
    <t>MOV-154</t>
  </si>
  <si>
    <t>MOV-155</t>
  </si>
  <si>
    <t>MOV-156</t>
  </si>
  <si>
    <t>260429-112</t>
  </si>
  <si>
    <t>MOV-157</t>
  </si>
  <si>
    <t>260417-040</t>
  </si>
  <si>
    <t>MOV-158</t>
  </si>
  <si>
    <t>MOV-159</t>
  </si>
  <si>
    <t>MOV-160</t>
  </si>
  <si>
    <t>MOV-161</t>
  </si>
  <si>
    <t>MOV-162</t>
  </si>
  <si>
    <t>MOV-163</t>
  </si>
  <si>
    <t>MOV-164</t>
  </si>
  <si>
    <t>260405-132</t>
  </si>
  <si>
    <t>MOV-165</t>
  </si>
  <si>
    <t>MOV-166</t>
  </si>
  <si>
    <t>MOV-167</t>
  </si>
  <si>
    <t>MOV-168</t>
  </si>
  <si>
    <t>MOV-169</t>
  </si>
  <si>
    <t>MOV-170</t>
  </si>
  <si>
    <t>Lit. Norte Sta Raf</t>
  </si>
  <si>
    <t>MOV-171</t>
  </si>
  <si>
    <t>MOV-172</t>
  </si>
  <si>
    <t>l</t>
  </si>
  <si>
    <t>MOV-173</t>
  </si>
  <si>
    <t>Lit. Norte Malacara</t>
  </si>
  <si>
    <t>MOV-174</t>
  </si>
  <si>
    <t>MOV-175</t>
  </si>
  <si>
    <t>MOV-176</t>
  </si>
  <si>
    <t>MOV-177</t>
  </si>
  <si>
    <t>MOV-178</t>
  </si>
  <si>
    <t>MOV-179</t>
  </si>
  <si>
    <t>MOV-180</t>
  </si>
  <si>
    <t>MOV-181</t>
  </si>
  <si>
    <t>MOV-182</t>
  </si>
  <si>
    <t>MOV-183</t>
  </si>
  <si>
    <t>MOV-184</t>
  </si>
  <si>
    <t>MOV-185</t>
  </si>
  <si>
    <t>MOV-186</t>
  </si>
  <si>
    <t>MOV-187</t>
  </si>
  <si>
    <t>MOV-188</t>
  </si>
  <si>
    <t>MOV-189</t>
  </si>
  <si>
    <t>MOV-190</t>
  </si>
  <si>
    <t>MOV-191</t>
  </si>
  <si>
    <t>MOV-192</t>
  </si>
  <si>
    <t>MOV-193</t>
  </si>
  <si>
    <t>MOV-194</t>
  </si>
  <si>
    <t>260429-113</t>
  </si>
  <si>
    <t>MOV-195</t>
  </si>
  <si>
    <t>MOV-196</t>
  </si>
  <si>
    <t>MOV-197</t>
  </si>
  <si>
    <t>MOV-198</t>
  </si>
  <si>
    <t>MOV-199</t>
  </si>
  <si>
    <t>MOV-200</t>
  </si>
  <si>
    <t>MOV-201</t>
  </si>
  <si>
    <t>MOV-202</t>
  </si>
  <si>
    <t>MOV-203</t>
  </si>
  <si>
    <t>MOV-204</t>
  </si>
  <si>
    <t>MOV-205</t>
  </si>
  <si>
    <t>MOV-207</t>
  </si>
  <si>
    <t>MOV-208</t>
  </si>
  <si>
    <t>MOV-209</t>
  </si>
  <si>
    <t>MOV-210</t>
  </si>
  <si>
    <t xml:space="preserve">Semilla trigo tipa </t>
  </si>
  <si>
    <t>semilla trigo tipa</t>
  </si>
  <si>
    <t>Trigo</t>
  </si>
  <si>
    <t>MOV-211</t>
  </si>
  <si>
    <t>Semilla trigo aromo</t>
  </si>
  <si>
    <t>semillatrigo aromo</t>
  </si>
  <si>
    <t>MOV-212</t>
  </si>
  <si>
    <t>MOV-213</t>
  </si>
  <si>
    <t>MOV-214</t>
  </si>
  <si>
    <t>MOV-215</t>
  </si>
  <si>
    <t>MOV-217</t>
  </si>
  <si>
    <t>MOV-218</t>
  </si>
  <si>
    <t>MOV-219</t>
  </si>
  <si>
    <t>MOV-220</t>
  </si>
  <si>
    <t>MOV-221</t>
  </si>
  <si>
    <t>MOV-222</t>
  </si>
  <si>
    <t>MOV-223</t>
  </si>
  <si>
    <t>MOV-224</t>
  </si>
  <si>
    <t>MOV-225</t>
  </si>
  <si>
    <t>MOV-226</t>
  </si>
  <si>
    <t>MOV-227</t>
  </si>
  <si>
    <t>260526-226</t>
  </si>
  <si>
    <t>MOV-228</t>
  </si>
  <si>
    <t>260424-091</t>
  </si>
  <si>
    <t>MOV-229</t>
  </si>
  <si>
    <t>MOV-230</t>
  </si>
  <si>
    <t>MOV-231</t>
  </si>
  <si>
    <t>MOV-232</t>
  </si>
  <si>
    <t>MOV-233</t>
  </si>
  <si>
    <t>MOV-234</t>
  </si>
  <si>
    <t>MOV-235</t>
  </si>
  <si>
    <t>MOV-236</t>
  </si>
  <si>
    <t>MOV-237</t>
  </si>
  <si>
    <t>MOV-238</t>
  </si>
  <si>
    <t>MOV-239</t>
  </si>
  <si>
    <t>MOV-240</t>
  </si>
  <si>
    <t>MOV-241</t>
  </si>
  <si>
    <t>MOV-242</t>
  </si>
  <si>
    <t>260423-080</t>
  </si>
  <si>
    <t>MOV-243</t>
  </si>
  <si>
    <t>MOV-244</t>
  </si>
  <si>
    <t>MOV-245</t>
  </si>
  <si>
    <t>MOV-246</t>
  </si>
  <si>
    <t>MOV-247</t>
  </si>
  <si>
    <t>260414-031</t>
  </si>
  <si>
    <t>MOV-248</t>
  </si>
  <si>
    <t>260401-003</t>
  </si>
  <si>
    <t>MOV-249</t>
  </si>
  <si>
    <t>MOV-250</t>
  </si>
  <si>
    <t>MOV-251</t>
  </si>
  <si>
    <t>MOV-252</t>
  </si>
  <si>
    <t>MOV-253</t>
  </si>
  <si>
    <t>MOV-254</t>
  </si>
  <si>
    <t>MOV-255</t>
  </si>
  <si>
    <t>MOV-256</t>
  </si>
  <si>
    <t>MOV-257</t>
  </si>
  <si>
    <t>260522-210</t>
  </si>
  <si>
    <t>MOV-258</t>
  </si>
  <si>
    <t>MOV-259</t>
  </si>
  <si>
    <t>MOV-260</t>
  </si>
  <si>
    <t>MOV-261</t>
  </si>
  <si>
    <t>MOV-262</t>
  </si>
  <si>
    <t>MOV-263</t>
  </si>
  <si>
    <t>MOV-264</t>
  </si>
  <si>
    <t>260522-211</t>
  </si>
  <si>
    <t>MOV-265</t>
  </si>
  <si>
    <t xml:space="preserve">Zinc Plus </t>
  </si>
  <si>
    <t xml:space="preserve">Keylate Zinc Plus </t>
  </si>
  <si>
    <t>Fertilizante</t>
  </si>
  <si>
    <t>MOV-266</t>
  </si>
  <si>
    <t>260610-265</t>
  </si>
  <si>
    <t>MOV-267</t>
  </si>
  <si>
    <t>260429-102</t>
  </si>
  <si>
    <t>MOV-268</t>
  </si>
  <si>
    <t>MOV-269</t>
  </si>
  <si>
    <t>MOV-270</t>
  </si>
  <si>
    <t>MOV-271</t>
  </si>
  <si>
    <t>MOV-272</t>
  </si>
  <si>
    <t>MOV-273</t>
  </si>
  <si>
    <t>MOV-274</t>
  </si>
  <si>
    <t>MOV-275</t>
  </si>
  <si>
    <t>MOV-276</t>
  </si>
  <si>
    <t>MOV-277</t>
  </si>
  <si>
    <t>MOV-278</t>
  </si>
  <si>
    <t>MOV-279</t>
  </si>
  <si>
    <t>MOV-280</t>
  </si>
  <si>
    <t>MOV-281</t>
  </si>
  <si>
    <t>MOV-282</t>
  </si>
  <si>
    <t>MOV-283</t>
  </si>
  <si>
    <t>Unico Max</t>
  </si>
  <si>
    <t>(Protioconazol 175 g/L + Piraclostrobin 142 g/L + Bixafen 125 g/L – SC)</t>
  </si>
  <si>
    <t>Fungicida</t>
  </si>
  <si>
    <t>MOV-284</t>
  </si>
  <si>
    <t>MOV-285</t>
  </si>
  <si>
    <t>k</t>
  </si>
  <si>
    <t>MOV-286</t>
  </si>
  <si>
    <t>MOV-287</t>
  </si>
  <si>
    <t>MOV-288</t>
  </si>
  <si>
    <t>MOV-289</t>
  </si>
  <si>
    <t xml:space="preserve">cripton xpro </t>
  </si>
  <si>
    <t>Protioconazol 175g/l trifloxistrobin 150g/l bixafen 125g/l</t>
  </si>
  <si>
    <t>MOV-290</t>
  </si>
  <si>
    <t>vitagrow</t>
  </si>
  <si>
    <t xml:space="preserve">fertilizante foliar </t>
  </si>
  <si>
    <t>MOV-291</t>
  </si>
  <si>
    <t>MOV-292</t>
  </si>
  <si>
    <t>MOV-293</t>
  </si>
  <si>
    <t>MOV-294</t>
  </si>
  <si>
    <t>MOV-295</t>
  </si>
  <si>
    <t>Paradigm</t>
  </si>
  <si>
    <t>Florasulam 20,0% Halauxyfen metil 20,85% Equivalente ácido Halauxyfen metil 20,0%</t>
  </si>
  <si>
    <t>MOV-296</t>
  </si>
  <si>
    <t>MOV-297</t>
  </si>
  <si>
    <t>MOV-298</t>
  </si>
  <si>
    <t>MOV-299</t>
  </si>
  <si>
    <t>MOV-300</t>
  </si>
  <si>
    <t>MOV-301</t>
  </si>
  <si>
    <t>MOV-302</t>
  </si>
  <si>
    <t>MOV-303</t>
  </si>
  <si>
    <t>MOV-304</t>
  </si>
  <si>
    <t>MOV-305</t>
  </si>
  <si>
    <t>MOV-306</t>
  </si>
  <si>
    <t>MOV-307</t>
  </si>
  <si>
    <t>MOV-308</t>
  </si>
  <si>
    <t>MOV-309</t>
  </si>
  <si>
    <t>MOV-310</t>
  </si>
  <si>
    <t>260623-290</t>
  </si>
  <si>
    <t>MOV-311</t>
  </si>
  <si>
    <t>260623-289</t>
  </si>
  <si>
    <t>MOV-312</t>
  </si>
  <si>
    <t>MOV-313</t>
  </si>
  <si>
    <t xml:space="preserve">semilla comprada cebada </t>
  </si>
  <si>
    <t>cebada osiris</t>
  </si>
  <si>
    <t>Cebada</t>
  </si>
  <si>
    <t>MOV-314</t>
  </si>
  <si>
    <t>260623-295</t>
  </si>
  <si>
    <t>MOV-315</t>
  </si>
  <si>
    <t>MOV-316</t>
  </si>
  <si>
    <t>260415-032</t>
  </si>
  <si>
    <t>MOV-317</t>
  </si>
  <si>
    <t>MOV-318</t>
  </si>
  <si>
    <t>MOV-319</t>
  </si>
  <si>
    <t>MOV-320</t>
  </si>
  <si>
    <t>MOV-321</t>
  </si>
  <si>
    <t>MOV-322</t>
  </si>
  <si>
    <t>MOV-323</t>
  </si>
  <si>
    <t>MOV-324</t>
  </si>
  <si>
    <t>MOV-325</t>
  </si>
  <si>
    <t>MOV-326</t>
  </si>
  <si>
    <t>MOV-327</t>
  </si>
  <si>
    <t>MOV-328</t>
  </si>
  <si>
    <t>Acrecio</t>
  </si>
  <si>
    <t>Ácidos Húmicos / L-Triptofano puro / L- Metionina pura / Acreciactiv</t>
  </si>
  <si>
    <t xml:space="preserve">Bioestimulante </t>
  </si>
  <si>
    <t>MOV-329</t>
  </si>
  <si>
    <t xml:space="preserve">Bioavanza plus </t>
  </si>
  <si>
    <t>MOV-330</t>
  </si>
  <si>
    <t>MOV-331</t>
  </si>
  <si>
    <t>MOV-332</t>
  </si>
  <si>
    <t>MOV-333</t>
  </si>
  <si>
    <t>MOV-334</t>
  </si>
  <si>
    <t>MOV-335</t>
  </si>
  <si>
    <t>260618-283</t>
  </si>
  <si>
    <t>MOV-336</t>
  </si>
  <si>
    <t>260702-328</t>
  </si>
  <si>
    <t>Lit. Norte San Luis</t>
  </si>
  <si>
    <t>MOV-337</t>
  </si>
  <si>
    <t>MOV-338</t>
  </si>
  <si>
    <t>MOV-339</t>
  </si>
  <si>
    <t>MOV-340</t>
  </si>
  <si>
    <t>MOV-341</t>
  </si>
  <si>
    <t>MOV-342</t>
  </si>
  <si>
    <t>MOV-343</t>
  </si>
  <si>
    <t>MOV-344</t>
  </si>
  <si>
    <t>MOV-345</t>
  </si>
  <si>
    <t>MOV-346</t>
  </si>
  <si>
    <t>MOV-347</t>
  </si>
  <si>
    <t>MOV-348</t>
  </si>
  <si>
    <t>MOV-349</t>
  </si>
  <si>
    <t>MOV-350</t>
  </si>
  <si>
    <t>MOV-351</t>
  </si>
  <si>
    <t>MOV-352</t>
  </si>
  <si>
    <t>MOV-353</t>
  </si>
  <si>
    <t>MOV-354</t>
  </si>
  <si>
    <t>MOV-355</t>
  </si>
  <si>
    <t>MOV-356</t>
  </si>
  <si>
    <t>MOV-357</t>
  </si>
  <si>
    <t>MOV-358</t>
  </si>
  <si>
    <t>MOV-359</t>
  </si>
  <si>
    <t>MOV-360</t>
  </si>
  <si>
    <t>MOV-361</t>
  </si>
  <si>
    <t>MOV-362</t>
  </si>
  <si>
    <t>MOV-363</t>
  </si>
  <si>
    <t>260702-329</t>
  </si>
  <si>
    <t>MOV-364</t>
  </si>
  <si>
    <t>MOV-365</t>
  </si>
  <si>
    <t>MOV-366</t>
  </si>
  <si>
    <t>MOV-367</t>
  </si>
  <si>
    <t>MOV-368</t>
  </si>
  <si>
    <t>MOV-369</t>
  </si>
  <si>
    <t>MOV-370</t>
  </si>
  <si>
    <t>MOV-371</t>
  </si>
  <si>
    <t>MOV-372</t>
  </si>
  <si>
    <t>MOV-373</t>
  </si>
  <si>
    <t>semilla maiz DK 69-62 TRE</t>
  </si>
  <si>
    <t xml:space="preserve">semilla comprada maíz </t>
  </si>
  <si>
    <t>Maíz</t>
  </si>
  <si>
    <t>bolsa</t>
  </si>
  <si>
    <t>MOV-374</t>
  </si>
  <si>
    <t>semilla maiz DK 72-10 RR2C5 refugio</t>
  </si>
  <si>
    <t>MOV-375</t>
  </si>
  <si>
    <t>semilla maiz DK 73-03 TRE</t>
  </si>
  <si>
    <t>MOV-376</t>
  </si>
  <si>
    <t>MOV-377</t>
  </si>
  <si>
    <t>MOV-378</t>
  </si>
  <si>
    <t>MOV-379</t>
  </si>
  <si>
    <t>MOV-380</t>
  </si>
  <si>
    <t>MOV-381</t>
  </si>
  <si>
    <t>MOV-382</t>
  </si>
  <si>
    <t>MOV-383</t>
  </si>
  <si>
    <t>MOV-384</t>
  </si>
  <si>
    <t>MOV-385</t>
  </si>
  <si>
    <t>MOV-386</t>
  </si>
  <si>
    <t>MOV-387</t>
  </si>
  <si>
    <t>MOV-388</t>
  </si>
  <si>
    <t>MOV-389</t>
  </si>
  <si>
    <t>packs</t>
  </si>
  <si>
    <t>MOV-390</t>
  </si>
  <si>
    <t>MOV-391</t>
  </si>
  <si>
    <t>MOV-392</t>
  </si>
  <si>
    <t>MOV-393</t>
  </si>
  <si>
    <t xml:space="preserve">Harrier Drone </t>
  </si>
  <si>
    <t>alcohol láurico etixolado 32.7 %</t>
  </si>
  <si>
    <t>MOV-394</t>
  </si>
  <si>
    <t>260729-393</t>
  </si>
  <si>
    <t>MOV-395</t>
  </si>
  <si>
    <t>260729-389</t>
  </si>
  <si>
    <t>MOV-396</t>
  </si>
  <si>
    <t>MOV-397</t>
  </si>
  <si>
    <t>260730-396</t>
  </si>
  <si>
    <t>MOV-398</t>
  </si>
  <si>
    <t>MOV-399</t>
  </si>
  <si>
    <t>MOV-400</t>
  </si>
  <si>
    <t>260727-381</t>
  </si>
  <si>
    <t>MOV-401</t>
  </si>
  <si>
    <t>MOV-402</t>
  </si>
  <si>
    <t>MOV-403</t>
  </si>
  <si>
    <t>MOV-404</t>
  </si>
  <si>
    <t>MOV-405</t>
  </si>
  <si>
    <t>MOV-406</t>
  </si>
  <si>
    <t>MOV-407</t>
  </si>
  <si>
    <t>MOV-408</t>
  </si>
  <si>
    <t>MOV-409</t>
  </si>
  <si>
    <t>MOV-410</t>
  </si>
  <si>
    <t>MOV-411</t>
  </si>
  <si>
    <t>MOV-412</t>
  </si>
  <si>
    <t>MOV-413</t>
  </si>
  <si>
    <t>MOV-414</t>
  </si>
  <si>
    <t>MOV-415</t>
  </si>
  <si>
    <t>MOV-416</t>
  </si>
  <si>
    <t>MOV-417</t>
  </si>
  <si>
    <t>MOV-418</t>
  </si>
  <si>
    <t>AJUSTE que se hizo en el primer control de stock</t>
  </si>
  <si>
    <t>MOV-419</t>
  </si>
  <si>
    <t>MOV-420</t>
  </si>
  <si>
    <t>MOV-421</t>
  </si>
  <si>
    <t>MOV-422</t>
  </si>
  <si>
    <t>MOV-423</t>
  </si>
  <si>
    <t>MOV-424</t>
  </si>
  <si>
    <t>MOV-425</t>
  </si>
  <si>
    <t>MOV-426</t>
  </si>
  <si>
    <t>MOV-427</t>
  </si>
  <si>
    <t>MOV-428</t>
  </si>
  <si>
    <t>MOV-429</t>
  </si>
  <si>
    <t>MOV-430</t>
  </si>
  <si>
    <t>MOV-431</t>
  </si>
  <si>
    <t>MOV-432</t>
  </si>
  <si>
    <t>MOV-433</t>
  </si>
  <si>
    <t>MOV-434</t>
  </si>
  <si>
    <t>MOV-435</t>
  </si>
  <si>
    <t>MOV-436</t>
  </si>
  <si>
    <t>MOV-437</t>
  </si>
  <si>
    <t>MOV-438</t>
  </si>
  <si>
    <t>MOV-439</t>
  </si>
  <si>
    <t>MOV-440</t>
  </si>
  <si>
    <t>MOV-441</t>
  </si>
  <si>
    <t>MOV-442</t>
  </si>
  <si>
    <t>MOV-443</t>
  </si>
  <si>
    <t>MOV-444</t>
  </si>
  <si>
    <t>MOV-445</t>
  </si>
  <si>
    <t>MOV-446</t>
  </si>
  <si>
    <t>MOV-447</t>
  </si>
  <si>
    <t>MOV-448</t>
  </si>
  <si>
    <t>MOV-449</t>
  </si>
  <si>
    <t xml:space="preserve">Gamina </t>
  </si>
  <si>
    <t>2,4-D Sal Dimetilamina | 578g/L  2,4-D Equivalente Ácido | 480g/L</t>
  </si>
  <si>
    <t>MOV-450</t>
  </si>
  <si>
    <t>260821-449</t>
  </si>
  <si>
    <t>MOV-451</t>
  </si>
  <si>
    <t>MOV-452</t>
  </si>
  <si>
    <t>MOV-453</t>
  </si>
  <si>
    <t>MOV-454</t>
  </si>
  <si>
    <t>MOV-455</t>
  </si>
  <si>
    <t>MOV-456</t>
  </si>
  <si>
    <t>MOV-457</t>
  </si>
  <si>
    <t>MOV-458</t>
  </si>
  <si>
    <t>MOV-459</t>
  </si>
  <si>
    <t>MOV-460</t>
  </si>
  <si>
    <t>MOV-461</t>
  </si>
  <si>
    <t>MOV-462</t>
  </si>
  <si>
    <t>MOV-463</t>
  </si>
  <si>
    <t>MOV-464</t>
  </si>
  <si>
    <t>MOV-465</t>
  </si>
  <si>
    <t>MOV-466</t>
  </si>
  <si>
    <t>MOV-467</t>
  </si>
  <si>
    <t>MOV-468</t>
  </si>
  <si>
    <t>MOV-469</t>
  </si>
  <si>
    <t>MOV-470</t>
  </si>
  <si>
    <t>MOV-471</t>
  </si>
  <si>
    <t>MOV-472</t>
  </si>
  <si>
    <t>MOV-473</t>
  </si>
  <si>
    <t>MOV-474</t>
  </si>
  <si>
    <t>MOV-475</t>
  </si>
  <si>
    <t>260827-473</t>
  </si>
  <si>
    <t>MOV-476</t>
  </si>
  <si>
    <t>Fluroxipir Forte 480</t>
  </si>
  <si>
    <t>Fluroxipir-Meptil 480g/l</t>
  </si>
  <si>
    <t>MOV-477</t>
  </si>
  <si>
    <t>260813-476</t>
  </si>
  <si>
    <t>MOV-478</t>
  </si>
  <si>
    <t>MOV-479</t>
  </si>
  <si>
    <t>MOV-480</t>
  </si>
  <si>
    <t>semilla comprada maiz illinois 2773</t>
  </si>
  <si>
    <t xml:space="preserve">sem maiz illinois 2773 trecepta Maiz 1era </t>
  </si>
  <si>
    <t>MOV-481</t>
  </si>
  <si>
    <t xml:space="preserve">semilla comprada maiz illinois 7.24 </t>
  </si>
  <si>
    <t>sem maiz illinois 7.24 trecepta Maiz 1era</t>
  </si>
  <si>
    <t>MOV-482</t>
  </si>
  <si>
    <t xml:space="preserve">refugio semilla maiz illinois </t>
  </si>
  <si>
    <t>refugio semi maiz illinoiz b2 z</t>
  </si>
  <si>
    <t>MOV-483</t>
  </si>
  <si>
    <t>semilla maiz NK842</t>
  </si>
  <si>
    <t xml:space="preserve">semilla maiz nk 842 viptera Maiz 1era </t>
  </si>
  <si>
    <t>MOV-484</t>
  </si>
  <si>
    <t xml:space="preserve">Paraquat </t>
  </si>
  <si>
    <t>Gea paraquat 200 SL</t>
  </si>
  <si>
    <t xml:space="preserve">Dapama </t>
  </si>
  <si>
    <t>MOV-485</t>
  </si>
  <si>
    <t>MOV-486</t>
  </si>
  <si>
    <t>MOV-487</t>
  </si>
  <si>
    <t>Acuron uno</t>
  </si>
  <si>
    <t>Biciclopirona</t>
  </si>
  <si>
    <t>Maccio</t>
  </si>
  <si>
    <t>MOV-488</t>
  </si>
  <si>
    <t xml:space="preserve">Voraxor </t>
  </si>
  <si>
    <t xml:space="preserve">safuflenacil + trifludimoxazin </t>
  </si>
  <si>
    <t>MOV-489</t>
  </si>
  <si>
    <t>Pyroxate</t>
  </si>
  <si>
    <t>pyroxasulfone 85%</t>
  </si>
  <si>
    <t>MOV-490</t>
  </si>
  <si>
    <t xml:space="preserve">Super Gun </t>
  </si>
  <si>
    <t>urea 11.33 % acido fosforico 27.13%</t>
  </si>
  <si>
    <t>MOV-491</t>
  </si>
  <si>
    <t>zinex</t>
  </si>
  <si>
    <t>flumioxazim 480g/l</t>
  </si>
  <si>
    <t>MOV-492</t>
  </si>
  <si>
    <t>MOV-493</t>
  </si>
  <si>
    <t>MOV-494</t>
  </si>
  <si>
    <t>260827-472</t>
  </si>
  <si>
    <t>MOV-495</t>
  </si>
  <si>
    <t>MOV-496</t>
  </si>
  <si>
    <t>MOV-497</t>
  </si>
  <si>
    <t>260801-489</t>
  </si>
  <si>
    <t>MOV-498</t>
  </si>
  <si>
    <t>260706-343</t>
  </si>
  <si>
    <t>MOV-499</t>
  </si>
  <si>
    <t>MOV-500</t>
  </si>
  <si>
    <t>MOV-501</t>
  </si>
  <si>
    <t>MOV-502</t>
  </si>
  <si>
    <t>MOV-503</t>
  </si>
  <si>
    <t>MOV-504</t>
  </si>
  <si>
    <t>260821-481</t>
  </si>
  <si>
    <t>MOV-505</t>
  </si>
  <si>
    <t>260821-482</t>
  </si>
  <si>
    <t>MOV-506</t>
  </si>
  <si>
    <t>260821-480</t>
  </si>
  <si>
    <t>MOV-507</t>
  </si>
  <si>
    <t>MOV-508</t>
  </si>
  <si>
    <t>MOV-509</t>
  </si>
  <si>
    <t>MOV-510</t>
  </si>
  <si>
    <t>MOV-511</t>
  </si>
  <si>
    <t>MOV-512</t>
  </si>
  <si>
    <t>MOV-513</t>
  </si>
  <si>
    <t>MOV-514</t>
  </si>
  <si>
    <t>MOV-515</t>
  </si>
  <si>
    <t>MOV-516</t>
  </si>
  <si>
    <t>MOV-517</t>
  </si>
  <si>
    <t>260617-373</t>
  </si>
  <si>
    <t>MOV-518</t>
  </si>
  <si>
    <t>260617-374</t>
  </si>
  <si>
    <t>MOV-519</t>
  </si>
  <si>
    <t>MOV-520</t>
  </si>
  <si>
    <t>MOV-521</t>
  </si>
  <si>
    <t>MOV-522</t>
  </si>
  <si>
    <t>260826-484</t>
  </si>
  <si>
    <t>MOV-523</t>
  </si>
  <si>
    <t>MOV-524</t>
  </si>
  <si>
    <t>MOV-525</t>
  </si>
  <si>
    <t>MOV-526</t>
  </si>
  <si>
    <t>MOV-527</t>
  </si>
  <si>
    <t>MOV-528</t>
  </si>
  <si>
    <t>260730-399</t>
  </si>
  <si>
    <t>MOV-529</t>
  </si>
  <si>
    <t xml:space="preserve">maiz Nk 825 vip3cl </t>
  </si>
  <si>
    <t>MOV-530</t>
  </si>
  <si>
    <t xml:space="preserve">Maiz Nk 800 tgcl refugio </t>
  </si>
  <si>
    <t>260903-531</t>
  </si>
  <si>
    <t>MOV-531</t>
  </si>
  <si>
    <t>MOV-532</t>
  </si>
  <si>
    <t>MOV-533</t>
  </si>
  <si>
    <t>MOV-534</t>
  </si>
  <si>
    <t>MOV-535</t>
  </si>
  <si>
    <t>MOV-536</t>
  </si>
  <si>
    <t>MOV-537</t>
  </si>
  <si>
    <t>MOV-538</t>
  </si>
  <si>
    <t>MOV-539</t>
  </si>
  <si>
    <t>MOV-540</t>
  </si>
  <si>
    <t>MOV-541</t>
  </si>
  <si>
    <t>MOV-542</t>
  </si>
  <si>
    <t>260902-487</t>
  </si>
  <si>
    <t>MOV-543</t>
  </si>
  <si>
    <t>MOV-544</t>
  </si>
  <si>
    <t>MOV-545</t>
  </si>
  <si>
    <t>MOV-546</t>
  </si>
  <si>
    <t>MOV-547</t>
  </si>
  <si>
    <t>MOV-548</t>
  </si>
  <si>
    <t>MOV-549</t>
  </si>
  <si>
    <t>MOV-550</t>
  </si>
  <si>
    <t>MOV-551</t>
  </si>
  <si>
    <t>MOV-552</t>
  </si>
  <si>
    <t>MOV-553</t>
  </si>
  <si>
    <t>MOV-554</t>
  </si>
  <si>
    <t>MOV-555</t>
  </si>
  <si>
    <t>MOV-556</t>
  </si>
  <si>
    <t>MOV-557</t>
  </si>
  <si>
    <t>MOV-558</t>
  </si>
  <si>
    <t>MOV-559</t>
  </si>
  <si>
    <t>MOV-560</t>
  </si>
  <si>
    <t>MOV-561</t>
  </si>
  <si>
    <t>MOV-562</t>
  </si>
  <si>
    <t>MOV-563</t>
  </si>
  <si>
    <t>MOV-564</t>
  </si>
  <si>
    <t>MOV-565</t>
  </si>
  <si>
    <t>MOV-566</t>
  </si>
  <si>
    <t>MOV-567</t>
  </si>
  <si>
    <t>MOV-568</t>
  </si>
  <si>
    <t>MOV-569</t>
  </si>
  <si>
    <t>MOV-570</t>
  </si>
  <si>
    <t>MOV-571</t>
  </si>
  <si>
    <t>MOV-572</t>
  </si>
  <si>
    <t>MOV-573</t>
  </si>
  <si>
    <t>MOV-574</t>
  </si>
  <si>
    <t>MOV-575</t>
  </si>
  <si>
    <t>MOV-576</t>
  </si>
  <si>
    <t>MOV-577</t>
  </si>
  <si>
    <t>MOV-578</t>
  </si>
  <si>
    <t>MOV-579</t>
  </si>
  <si>
    <t>MOV-580</t>
  </si>
  <si>
    <t>MOV-581</t>
  </si>
  <si>
    <t>MOV-582</t>
  </si>
  <si>
    <t>MOV-583</t>
  </si>
  <si>
    <t>MOV-584</t>
  </si>
  <si>
    <t>MOV-585</t>
  </si>
  <si>
    <t>MOV-586</t>
  </si>
  <si>
    <t>MOV-587</t>
  </si>
  <si>
    <t>MOV-588</t>
  </si>
  <si>
    <t>MOV-589</t>
  </si>
  <si>
    <t>MOV-590</t>
  </si>
  <si>
    <t>MOV-591</t>
  </si>
  <si>
    <t>MOV-592</t>
  </si>
  <si>
    <t>MOV-593</t>
  </si>
  <si>
    <t>MOV-594</t>
  </si>
  <si>
    <t>MOV-595</t>
  </si>
  <si>
    <t>MOV-596</t>
  </si>
  <si>
    <t>MOV-597</t>
  </si>
  <si>
    <t>maiz dk 7447</t>
  </si>
  <si>
    <t>MOV-598</t>
  </si>
  <si>
    <t>MOV-599</t>
  </si>
  <si>
    <t>MOV-600</t>
  </si>
  <si>
    <t>MOV-601</t>
  </si>
  <si>
    <t>MOV-602</t>
  </si>
  <si>
    <t>MOV-603</t>
  </si>
  <si>
    <t>MOV-604</t>
  </si>
  <si>
    <t>MOV-605</t>
  </si>
  <si>
    <t>MOV-606</t>
  </si>
  <si>
    <t>MOV-608</t>
  </si>
  <si>
    <t>MOV-609</t>
  </si>
  <si>
    <t>MOV-610</t>
  </si>
  <si>
    <t>MOV-611</t>
  </si>
  <si>
    <t>MOV-612</t>
  </si>
  <si>
    <t>MOV-613</t>
  </si>
  <si>
    <t>MOV-614</t>
  </si>
  <si>
    <t>MOV-616</t>
  </si>
  <si>
    <t>MOV-617</t>
  </si>
  <si>
    <t>MOV-618</t>
  </si>
  <si>
    <t>MOV-619</t>
  </si>
  <si>
    <t>MOV-620</t>
  </si>
  <si>
    <t>MOV-621</t>
  </si>
  <si>
    <t>swing plus</t>
  </si>
  <si>
    <t>epoxiconazol 37.5g/l metconazol 27.5g/l</t>
  </si>
  <si>
    <t>MOV-622</t>
  </si>
  <si>
    <t>MOV-623</t>
  </si>
  <si>
    <t>MOV-624</t>
  </si>
  <si>
    <t>260727-380</t>
  </si>
  <si>
    <t>MOV-625</t>
  </si>
  <si>
    <t>yesca</t>
  </si>
  <si>
    <t>Dibromuro de diquat</t>
  </si>
  <si>
    <t>MOV-626</t>
  </si>
  <si>
    <t>Miravis triple pack</t>
  </si>
  <si>
    <t>Adepidyn 75 g/l — Solatenol 50 g/l — Propiconazole 250 g/l</t>
  </si>
  <si>
    <t>MOV-627</t>
  </si>
  <si>
    <t>MOV-628</t>
  </si>
  <si>
    <t>260917-627</t>
  </si>
  <si>
    <t>MOV-629</t>
  </si>
  <si>
    <t>MOV-630</t>
  </si>
  <si>
    <t>refugio dk 72-72 RR2</t>
  </si>
  <si>
    <t>refugio Dk 72-72 RR2</t>
  </si>
  <si>
    <t>MOV-631</t>
  </si>
  <si>
    <t>260915-625</t>
  </si>
  <si>
    <t>MOV-632</t>
  </si>
  <si>
    <t>MOV-633</t>
  </si>
  <si>
    <t>MOV-634</t>
  </si>
  <si>
    <t>MOV-635</t>
  </si>
  <si>
    <t>MOV-636</t>
  </si>
  <si>
    <t>MOV-637</t>
  </si>
  <si>
    <t>MOV-638</t>
  </si>
  <si>
    <t>MOV-639</t>
  </si>
  <si>
    <t>MOV-640</t>
  </si>
  <si>
    <t>MOV-641</t>
  </si>
  <si>
    <t>MOV-642</t>
  </si>
  <si>
    <t>260617-375</t>
  </si>
  <si>
    <t>MOV-643</t>
  </si>
  <si>
    <t>MOV-644</t>
  </si>
  <si>
    <t>MOV-645</t>
  </si>
  <si>
    <t>260917-626</t>
  </si>
  <si>
    <t>MOV-646</t>
  </si>
  <si>
    <t>260910-622</t>
  </si>
  <si>
    <t>MOV-647</t>
  </si>
  <si>
    <t>MOV-648</t>
  </si>
  <si>
    <t>MOV-649</t>
  </si>
  <si>
    <t>MOV-650</t>
  </si>
  <si>
    <t>MOV-651</t>
  </si>
  <si>
    <t>MOV-652</t>
  </si>
  <si>
    <t>MOV-653</t>
  </si>
  <si>
    <t>MOV-654</t>
  </si>
  <si>
    <t>260918-630</t>
  </si>
  <si>
    <t>MOV-655</t>
  </si>
  <si>
    <t>MOV-656</t>
  </si>
  <si>
    <t>MOV-657</t>
  </si>
  <si>
    <t>MOV-658</t>
  </si>
  <si>
    <t>MOV-659</t>
  </si>
  <si>
    <t>MOV-660</t>
  </si>
  <si>
    <t>MOV-661</t>
  </si>
  <si>
    <t>MOV-662</t>
  </si>
  <si>
    <t>MOV-663</t>
  </si>
  <si>
    <t>semilla comprada maiz P 2123 Pwue</t>
  </si>
  <si>
    <t>maiz p2123 paioner</t>
  </si>
  <si>
    <t>MOV-664</t>
  </si>
  <si>
    <t>260914-621</t>
  </si>
  <si>
    <t>MOV-665</t>
  </si>
  <si>
    <t>MOV-666</t>
  </si>
  <si>
    <t>MOV-667</t>
  </si>
  <si>
    <t>MOV-668</t>
  </si>
  <si>
    <t>MOV-669</t>
  </si>
  <si>
    <t>MOV-670</t>
  </si>
  <si>
    <t>MOV-671</t>
  </si>
  <si>
    <t>MOV-672</t>
  </si>
  <si>
    <t>MOV-673</t>
  </si>
  <si>
    <t>MOV-674</t>
  </si>
  <si>
    <t>MOV-675</t>
  </si>
  <si>
    <t>MOV-676</t>
  </si>
  <si>
    <t>MOV-677</t>
  </si>
  <si>
    <t>MOV-678</t>
  </si>
  <si>
    <t>MOV-679</t>
  </si>
  <si>
    <t>MOV-680</t>
  </si>
  <si>
    <t>MOV-681</t>
  </si>
  <si>
    <t>MOV-682</t>
  </si>
  <si>
    <t>MOV-683</t>
  </si>
  <si>
    <t>MOV-684</t>
  </si>
  <si>
    <t>MOV-685</t>
  </si>
  <si>
    <t>MOV-686</t>
  </si>
  <si>
    <t>MOV-687</t>
  </si>
  <si>
    <t>MOV-688</t>
  </si>
  <si>
    <t>260801-488</t>
  </si>
  <si>
    <t>MOV-689</t>
  </si>
  <si>
    <t>MOV-690</t>
  </si>
  <si>
    <t>MOV-691</t>
  </si>
  <si>
    <t>MOV-692</t>
  </si>
  <si>
    <t xml:space="preserve">Santa graciana </t>
  </si>
  <si>
    <t>MOV-693</t>
  </si>
  <si>
    <t>MOV-694</t>
  </si>
  <si>
    <t>MOV-695</t>
  </si>
  <si>
    <t>MOV-696</t>
  </si>
  <si>
    <t>MOV-697</t>
  </si>
  <si>
    <t>MOV-698</t>
  </si>
  <si>
    <t xml:space="preserve">Sauquat super </t>
  </si>
  <si>
    <t>Dicloruro de paraquat 276 g/l + paraquat 200 g/l SL</t>
  </si>
  <si>
    <t>saudu</t>
  </si>
  <si>
    <t>MOV-699</t>
  </si>
  <si>
    <t>MOV-700</t>
  </si>
  <si>
    <t>MOV-701</t>
  </si>
  <si>
    <t>MOV-702</t>
  </si>
  <si>
    <t>MOV-703</t>
  </si>
  <si>
    <t>MOV-704</t>
  </si>
  <si>
    <t>MOV-705</t>
  </si>
  <si>
    <t>MOV-706</t>
  </si>
  <si>
    <t>MOV-707</t>
  </si>
  <si>
    <t>Perdida</t>
  </si>
  <si>
    <t>MOV-708</t>
  </si>
  <si>
    <t>MOV-709</t>
  </si>
  <si>
    <t>MOV-710</t>
  </si>
  <si>
    <t>MOV-711</t>
  </si>
  <si>
    <t>MOV-712</t>
  </si>
  <si>
    <t>MOV-713</t>
  </si>
  <si>
    <t>MOV-714</t>
  </si>
  <si>
    <t>MOV-715</t>
  </si>
  <si>
    <t>MOV-716</t>
  </si>
  <si>
    <t>MOV-717</t>
  </si>
  <si>
    <t>MOV-718</t>
  </si>
  <si>
    <t xml:space="preserve">Sorgo forrajero </t>
  </si>
  <si>
    <t xml:space="preserve">ADV 2800 (C+BIO) X20KG </t>
  </si>
  <si>
    <t>Sorgo</t>
  </si>
  <si>
    <t>MOV-719</t>
  </si>
  <si>
    <t xml:space="preserve">ADV F2850 FOTO BMR IG CURADO </t>
  </si>
  <si>
    <t>MOV-720</t>
  </si>
  <si>
    <t xml:space="preserve">Semar </t>
  </si>
  <si>
    <t>Imazapir + Imazapic SEMAR WG</t>
  </si>
  <si>
    <t>MOV-721</t>
  </si>
  <si>
    <t>MOV-722</t>
  </si>
  <si>
    <t>MOV-723</t>
  </si>
  <si>
    <t>MOV-724</t>
  </si>
  <si>
    <t>261006-718</t>
  </si>
  <si>
    <t>MOV-725</t>
  </si>
  <si>
    <t>MOV-726</t>
  </si>
  <si>
    <t>MOV-727</t>
  </si>
  <si>
    <t>MOV-728</t>
  </si>
  <si>
    <t>MOV-729</t>
  </si>
  <si>
    <t>MOV-730</t>
  </si>
  <si>
    <t>MOV-731</t>
  </si>
  <si>
    <t>pack</t>
  </si>
  <si>
    <t>MOV-732</t>
  </si>
  <si>
    <t>MOV-733</t>
  </si>
  <si>
    <t>MOV-734</t>
  </si>
  <si>
    <t>261006-719</t>
  </si>
  <si>
    <t>Nicolas Amaro</t>
  </si>
  <si>
    <t>MOV-735</t>
  </si>
  <si>
    <t>Martin Fagundez</t>
  </si>
  <si>
    <t>MOV-736</t>
  </si>
  <si>
    <t>261006-720</t>
  </si>
  <si>
    <t>MOV-737</t>
  </si>
  <si>
    <t>MOV-738</t>
  </si>
  <si>
    <t>MOV-739</t>
  </si>
  <si>
    <t>MOV-740</t>
  </si>
  <si>
    <t>MOV-741</t>
  </si>
  <si>
    <t>Angel Marquez</t>
  </si>
  <si>
    <t>MOV-742</t>
  </si>
  <si>
    <t>MOV-743</t>
  </si>
  <si>
    <t>MOV-744</t>
  </si>
  <si>
    <t>MOV-745</t>
  </si>
  <si>
    <t xml:space="preserve">irvix full </t>
  </si>
  <si>
    <t>Haloxifop-P-metil | 540g/L</t>
  </si>
  <si>
    <t>MOV-746</t>
  </si>
  <si>
    <t>MOV-747</t>
  </si>
  <si>
    <t>260928-698</t>
  </si>
  <si>
    <t>Richard de Agrisat</t>
  </si>
  <si>
    <t>MOV-748</t>
  </si>
  <si>
    <t>MOV-749</t>
  </si>
  <si>
    <t>MOV-750</t>
  </si>
  <si>
    <t>MOV-751</t>
  </si>
  <si>
    <t>MOV-752</t>
  </si>
  <si>
    <t xml:space="preserve">Fabricio Leiva </t>
  </si>
  <si>
    <t>MOV-753</t>
  </si>
  <si>
    <t>MOV-754</t>
  </si>
  <si>
    <t>MOV-755</t>
  </si>
  <si>
    <t>MOV-756</t>
  </si>
  <si>
    <t>anibal</t>
  </si>
  <si>
    <t>MOV-757</t>
  </si>
  <si>
    <t>MOV-758</t>
  </si>
  <si>
    <t>MOV-759</t>
  </si>
  <si>
    <t>MOV-760</t>
  </si>
  <si>
    <t>MOV-761</t>
  </si>
  <si>
    <t>MOV-762</t>
  </si>
  <si>
    <t>Martin fagundez</t>
  </si>
  <si>
    <t>MOV-763</t>
  </si>
  <si>
    <t>valentin tianil</t>
  </si>
  <si>
    <t>MOV-764</t>
  </si>
  <si>
    <t>MOV-765</t>
  </si>
  <si>
    <t>MOV-766</t>
  </si>
  <si>
    <t>MOV-767</t>
  </si>
  <si>
    <t xml:space="preserve">esteban </t>
  </si>
  <si>
    <t>MOV-768</t>
  </si>
  <si>
    <t>MOV-769</t>
  </si>
  <si>
    <t>MOV-770</t>
  </si>
  <si>
    <t>MOV-771</t>
  </si>
  <si>
    <t>MOV-772</t>
  </si>
  <si>
    <t>MOV-773</t>
  </si>
  <si>
    <t>MOV-774</t>
  </si>
  <si>
    <t>MOV-775</t>
  </si>
  <si>
    <t>MOV-776</t>
  </si>
  <si>
    <t>MOV-777</t>
  </si>
  <si>
    <t>MOV-778</t>
  </si>
  <si>
    <t>MOV-779</t>
  </si>
  <si>
    <t>MOV-780</t>
  </si>
  <si>
    <t>MOV-781</t>
  </si>
  <si>
    <t>MOV-782</t>
  </si>
  <si>
    <t>MOV-783</t>
  </si>
  <si>
    <t>MOV-784</t>
  </si>
  <si>
    <t>MOV-785</t>
  </si>
  <si>
    <t>MOV-786</t>
  </si>
  <si>
    <t>MOV-787</t>
  </si>
  <si>
    <t>MOV-788</t>
  </si>
  <si>
    <t>MOV-789</t>
  </si>
  <si>
    <t>MOV-790</t>
  </si>
  <si>
    <t>MOV-791</t>
  </si>
  <si>
    <t>MOV-792</t>
  </si>
  <si>
    <t>MOV-793</t>
  </si>
  <si>
    <t>MOV-794</t>
  </si>
  <si>
    <t>MOV-795</t>
  </si>
  <si>
    <t>MOV-796</t>
  </si>
  <si>
    <t>MOV-797</t>
  </si>
  <si>
    <t>MOV-798</t>
  </si>
  <si>
    <t>MOV-799</t>
  </si>
  <si>
    <t>MOV-800</t>
  </si>
  <si>
    <t>MOV-801</t>
  </si>
  <si>
    <t>MOV-802</t>
  </si>
  <si>
    <t>MOV-803</t>
  </si>
  <si>
    <t>MOV-804</t>
  </si>
  <si>
    <t>MOV-805</t>
  </si>
  <si>
    <t>MOV-806</t>
  </si>
  <si>
    <t>MOV-807</t>
  </si>
  <si>
    <t>MOV-808</t>
  </si>
  <si>
    <t>MOV-809</t>
  </si>
  <si>
    <t>MOV-810</t>
  </si>
  <si>
    <t>MOV-811</t>
  </si>
  <si>
    <t>MOV-812</t>
  </si>
  <si>
    <t>MOV-813</t>
  </si>
  <si>
    <t>MOV-814</t>
  </si>
  <si>
    <t>MOV-815</t>
  </si>
  <si>
    <t>MOV-816</t>
  </si>
  <si>
    <t>MOV-817</t>
  </si>
  <si>
    <t>MOV-818</t>
  </si>
  <si>
    <t>MOV-819</t>
  </si>
  <si>
    <t>MOV-820</t>
  </si>
  <si>
    <t>MOV-821</t>
  </si>
  <si>
    <t>MOV-822</t>
  </si>
  <si>
    <t>MOV-823</t>
  </si>
  <si>
    <t>MOV-824</t>
  </si>
  <si>
    <t>MOV-825</t>
  </si>
  <si>
    <t>MOV-826</t>
  </si>
  <si>
    <t>MOV-827</t>
  </si>
  <si>
    <t>MOV-828</t>
  </si>
  <si>
    <t>MOV-829</t>
  </si>
  <si>
    <t>MOV-830</t>
  </si>
  <si>
    <t>MOV-831</t>
  </si>
  <si>
    <t>MOV-832</t>
  </si>
  <si>
    <t>MOV-833</t>
  </si>
  <si>
    <t>MOV-834</t>
  </si>
  <si>
    <t>MOV-835</t>
  </si>
  <si>
    <t>MOV-836</t>
  </si>
  <si>
    <t>MOV-837</t>
  </si>
  <si>
    <t>MOV-838</t>
  </si>
  <si>
    <t>MOV-839</t>
  </si>
  <si>
    <t>MOV-840</t>
  </si>
  <si>
    <t>MOV-841</t>
  </si>
  <si>
    <t>MOV-842</t>
  </si>
  <si>
    <t>MOV-843</t>
  </si>
  <si>
    <t>MOV-844</t>
  </si>
  <si>
    <t>MOV-845</t>
  </si>
  <si>
    <t>MOV-846</t>
  </si>
  <si>
    <t>MOV-847</t>
  </si>
  <si>
    <t>MOV-848</t>
  </si>
  <si>
    <t>MOV-849</t>
  </si>
  <si>
    <t>MOV-850</t>
  </si>
  <si>
    <t>MOV-851</t>
  </si>
  <si>
    <t>MOV-852</t>
  </si>
  <si>
    <t>MOV-853</t>
  </si>
  <si>
    <t>MOV-854</t>
  </si>
  <si>
    <t>MOV-855</t>
  </si>
  <si>
    <t>MOV-856</t>
  </si>
  <si>
    <t>MOV-857</t>
  </si>
  <si>
    <t>MOV-858</t>
  </si>
  <si>
    <t>MOV-859</t>
  </si>
  <si>
    <t>MOV-860</t>
  </si>
  <si>
    <t>MOV-861</t>
  </si>
  <si>
    <t>MOV-862</t>
  </si>
  <si>
    <t>MOV-863</t>
  </si>
  <si>
    <t>MOV-864</t>
  </si>
  <si>
    <t>MOV-865</t>
  </si>
  <si>
    <t>MOV-866</t>
  </si>
  <si>
    <t>MOV-867</t>
  </si>
  <si>
    <t>MOV-868</t>
  </si>
  <si>
    <t>MOV-869</t>
  </si>
  <si>
    <t>MOV-870</t>
  </si>
  <si>
    <t>MOV-871</t>
  </si>
  <si>
    <t>MOV-872</t>
  </si>
  <si>
    <t>MOV-873</t>
  </si>
  <si>
    <t>MOV-874</t>
  </si>
  <si>
    <t>MOV-875</t>
  </si>
  <si>
    <t>MOV-876</t>
  </si>
  <si>
    <t>MOV-877</t>
  </si>
  <si>
    <t>MOV-878</t>
  </si>
  <si>
    <t>MOV-879</t>
  </si>
  <si>
    <t>MOV-880</t>
  </si>
  <si>
    <t>MOV-881</t>
  </si>
  <si>
    <t>MOV-882</t>
  </si>
  <si>
    <t>MOV-883</t>
  </si>
  <si>
    <t>MOV-884</t>
  </si>
  <si>
    <t>MOV-885</t>
  </si>
  <si>
    <t>MOV-886</t>
  </si>
  <si>
    <t>MOV-887</t>
  </si>
  <si>
    <t>MOV-888</t>
  </si>
  <si>
    <t>MOV-889</t>
  </si>
  <si>
    <t>MOV-890</t>
  </si>
  <si>
    <t>MOV-891</t>
  </si>
  <si>
    <t>MOV-892</t>
  </si>
  <si>
    <t>MOV-893</t>
  </si>
  <si>
    <t>MOV-894</t>
  </si>
  <si>
    <t>MOV-895</t>
  </si>
  <si>
    <t>MOV-896</t>
  </si>
  <si>
    <t>MOV-897</t>
  </si>
  <si>
    <t>MOV-898</t>
  </si>
  <si>
    <t>MOV-899</t>
  </si>
  <si>
    <t>MOV-900</t>
  </si>
  <si>
    <t>MOV-901</t>
  </si>
  <si>
    <t>MOV-902</t>
  </si>
  <si>
    <t>MOV-903</t>
  </si>
  <si>
    <t>MOV-904</t>
  </si>
  <si>
    <t>MOV-905</t>
  </si>
  <si>
    <t>MOV-906</t>
  </si>
  <si>
    <t>MOV-907</t>
  </si>
  <si>
    <t>MOV-908</t>
  </si>
  <si>
    <t>MOV-909</t>
  </si>
  <si>
    <t>MOV-910</t>
  </si>
  <si>
    <t>MOV-911</t>
  </si>
  <si>
    <t>MOV-912</t>
  </si>
  <si>
    <t>MOV-913</t>
  </si>
  <si>
    <t>MOV-914</t>
  </si>
  <si>
    <t>MOV-915</t>
  </si>
  <si>
    <t>MOV-916</t>
  </si>
  <si>
    <t>MOV-917</t>
  </si>
  <si>
    <t>MOV-918</t>
  </si>
  <si>
    <t>MOV-919</t>
  </si>
  <si>
    <t>MOV-920</t>
  </si>
  <si>
    <t>MOV-921</t>
  </si>
  <si>
    <t>MOV-922</t>
  </si>
  <si>
    <t>MOV-923</t>
  </si>
  <si>
    <t>MOV-924</t>
  </si>
  <si>
    <t>MOV-925</t>
  </si>
  <si>
    <t>MOV-926</t>
  </si>
  <si>
    <t>MOV-927</t>
  </si>
  <si>
    <t>MOV-928</t>
  </si>
  <si>
    <t>MOV-929</t>
  </si>
  <si>
    <t>MOV-930</t>
  </si>
  <si>
    <t>MOV-931</t>
  </si>
  <si>
    <t>MOV-932</t>
  </si>
  <si>
    <t>MOV-933</t>
  </si>
  <si>
    <t>MOV-934</t>
  </si>
  <si>
    <t>MOV-935</t>
  </si>
  <si>
    <t>MOV-936</t>
  </si>
  <si>
    <t>MOV-937</t>
  </si>
  <si>
    <t>MOV-938</t>
  </si>
  <si>
    <t>MOV-939</t>
  </si>
  <si>
    <t>MOV-940</t>
  </si>
  <si>
    <t>MOV-941</t>
  </si>
  <si>
    <t>MOV-942</t>
  </si>
  <si>
    <t>MOV-943</t>
  </si>
  <si>
    <t>MOV-944</t>
  </si>
  <si>
    <t>MOV-945</t>
  </si>
  <si>
    <t>MOV-946</t>
  </si>
  <si>
    <t>MOV-947</t>
  </si>
  <si>
    <t>MOV-948</t>
  </si>
  <si>
    <t>MOV-949</t>
  </si>
  <si>
    <t>MOV-950</t>
  </si>
  <si>
    <t>MOV-951</t>
  </si>
  <si>
    <t>MOV-952</t>
  </si>
  <si>
    <t>MOV-953</t>
  </si>
  <si>
    <t>MOV-954</t>
  </si>
  <si>
    <t>MOV-955</t>
  </si>
  <si>
    <t>MOV-956</t>
  </si>
  <si>
    <t>MOV-957</t>
  </si>
  <si>
    <t>MOV-958</t>
  </si>
  <si>
    <t>MOV-959</t>
  </si>
  <si>
    <t>MOV-960</t>
  </si>
  <si>
    <t>MOV-961</t>
  </si>
  <si>
    <t>MOV-962</t>
  </si>
  <si>
    <t>MOV-963</t>
  </si>
  <si>
    <t>MOV-964</t>
  </si>
  <si>
    <t>MOV-965</t>
  </si>
  <si>
    <t>MOV-966</t>
  </si>
  <si>
    <t>MOV-967</t>
  </si>
  <si>
    <t>MOV-968</t>
  </si>
  <si>
    <t>MOV-969</t>
  </si>
  <si>
    <t>MOV-970</t>
  </si>
  <si>
    <t>MOV-971</t>
  </si>
  <si>
    <t>MOV-972</t>
  </si>
  <si>
    <t>MOV-973</t>
  </si>
  <si>
    <t>MOV-974</t>
  </si>
  <si>
    <t>MOV-975</t>
  </si>
  <si>
    <t>MOV-976</t>
  </si>
  <si>
    <t>MOV-977</t>
  </si>
  <si>
    <t>MOV-978</t>
  </si>
  <si>
    <t>MOV-979</t>
  </si>
  <si>
    <t>MOV-980</t>
  </si>
  <si>
    <t>MOV-981</t>
  </si>
  <si>
    <t>MOV-982</t>
  </si>
  <si>
    <t>MOV-983</t>
  </si>
  <si>
    <t>MOV-984</t>
  </si>
  <si>
    <t>MOV-985</t>
  </si>
  <si>
    <t>MOV-986</t>
  </si>
  <si>
    <t>MOV-987</t>
  </si>
  <si>
    <t>MOV-988</t>
  </si>
  <si>
    <t>MOV-989</t>
  </si>
  <si>
    <t>MOV-990</t>
  </si>
  <si>
    <t>MOV-991</t>
  </si>
  <si>
    <t>MOV-992</t>
  </si>
  <si>
    <t>MOV-993</t>
  </si>
  <si>
    <t>MOV-994</t>
  </si>
  <si>
    <t>MOV-995</t>
  </si>
  <si>
    <t>MOV-996</t>
  </si>
  <si>
    <t>MOV-997</t>
  </si>
  <si>
    <t>MOV-998</t>
  </si>
  <si>
    <t>MOV-999</t>
  </si>
  <si>
    <t>MOV-1000</t>
  </si>
  <si>
    <t>MOV-1001</t>
  </si>
  <si>
    <t>MOV-1002</t>
  </si>
  <si>
    <t>MOV-1003</t>
  </si>
  <si>
    <t>MOV-1004</t>
  </si>
  <si>
    <t>MOV-1005</t>
  </si>
  <si>
    <t>MOV-1006</t>
  </si>
  <si>
    <t>MOV-1007</t>
  </si>
  <si>
    <t>MOV-1008</t>
  </si>
  <si>
    <t>MOV-1009</t>
  </si>
  <si>
    <t>MOV-1010</t>
  </si>
  <si>
    <t>MOV-1011</t>
  </si>
  <si>
    <t>MOV-1012</t>
  </si>
  <si>
    <t>MOV-1013</t>
  </si>
  <si>
    <t>MOV-1014</t>
  </si>
  <si>
    <t>MOV-1015</t>
  </si>
  <si>
    <t>MOV-1016</t>
  </si>
  <si>
    <t>MOV-1017</t>
  </si>
  <si>
    <t>MOV-1018</t>
  </si>
  <si>
    <t>MOV-1019</t>
  </si>
  <si>
    <t>MOV-1020</t>
  </si>
  <si>
    <t>MOV-1021</t>
  </si>
  <si>
    <t>MOV-1022</t>
  </si>
  <si>
    <t>MOV-1023</t>
  </si>
  <si>
    <t>MOV-1024</t>
  </si>
  <si>
    <t>MOV-1025</t>
  </si>
  <si>
    <t>MOV-1026</t>
  </si>
  <si>
    <t>MOV-1027</t>
  </si>
  <si>
    <t>MOV-1028</t>
  </si>
  <si>
    <t>MOV-1029</t>
  </si>
  <si>
    <t>MOV-1030</t>
  </si>
  <si>
    <t>MOV-1031</t>
  </si>
  <si>
    <t>MOV-1032</t>
  </si>
  <si>
    <t>MOV-1033</t>
  </si>
  <si>
    <t>MOV-1034</t>
  </si>
  <si>
    <t>MOV-1035</t>
  </si>
  <si>
    <t>MOV-1036</t>
  </si>
  <si>
    <t>MOV-1037</t>
  </si>
  <si>
    <t>MOV-1038</t>
  </si>
  <si>
    <t>MOV-1039</t>
  </si>
  <si>
    <t>MOV-1040</t>
  </si>
  <si>
    <t>MOV-1041</t>
  </si>
  <si>
    <t>MOV-1042</t>
  </si>
  <si>
    <t>MOV-1043</t>
  </si>
  <si>
    <t>MOV-1044</t>
  </si>
  <si>
    <t>MOV-1045</t>
  </si>
  <si>
    <t>MOV-1046</t>
  </si>
  <si>
    <t>MOV-1047</t>
  </si>
  <si>
    <t>MOV-1048</t>
  </si>
  <si>
    <t>MOV-1049</t>
  </si>
  <si>
    <t>MOV-1050</t>
  </si>
  <si>
    <t>MOV-1051</t>
  </si>
  <si>
    <t>MOV-1052</t>
  </si>
  <si>
    <t>MOV-1053</t>
  </si>
  <si>
    <t>MOV-1054</t>
  </si>
  <si>
    <t>MOV-1055</t>
  </si>
  <si>
    <t>MOV-1056</t>
  </si>
  <si>
    <t>MOV-1057</t>
  </si>
  <si>
    <t>MOV-1058</t>
  </si>
  <si>
    <t>MOV-1059</t>
  </si>
  <si>
    <t>MOV-1060</t>
  </si>
  <si>
    <t>MOV-1061</t>
  </si>
  <si>
    <t>MOV-1062</t>
  </si>
  <si>
    <t>MOV-1063</t>
  </si>
  <si>
    <t>MOV-1064</t>
  </si>
  <si>
    <t>MOV-1065</t>
  </si>
  <si>
    <t>MOV-1066</t>
  </si>
  <si>
    <t>MOV-1067</t>
  </si>
  <si>
    <t>MOV-1068</t>
  </si>
  <si>
    <t>MOV-1069</t>
  </si>
  <si>
    <t>MOV-1070</t>
  </si>
  <si>
    <t>MOV-1071</t>
  </si>
  <si>
    <t>MOV-1072</t>
  </si>
  <si>
    <t>MOV-1073</t>
  </si>
  <si>
    <t>MOV-1074</t>
  </si>
  <si>
    <t>MOV-1075</t>
  </si>
  <si>
    <t>MOV-1076</t>
  </si>
  <si>
    <t>MOV-1077</t>
  </si>
  <si>
    <t>MOV-1078</t>
  </si>
  <si>
    <t>MOV-1079</t>
  </si>
  <si>
    <t>MOV-1080</t>
  </si>
  <si>
    <t>MOV-1081</t>
  </si>
  <si>
    <t>MOV-1082</t>
  </si>
  <si>
    <t>MOV-1083</t>
  </si>
  <si>
    <t>MOV-1084</t>
  </si>
  <si>
    <t>MOV-1085</t>
  </si>
  <si>
    <t>MOV-1086</t>
  </si>
  <si>
    <t>MOV-1087</t>
  </si>
  <si>
    <t>MOV-1088</t>
  </si>
  <si>
    <t>MOV-1089</t>
  </si>
  <si>
    <t>MOV-1090</t>
  </si>
  <si>
    <t>MOV-1091</t>
  </si>
  <si>
    <t>MOV-1092</t>
  </si>
  <si>
    <t>MOV-1093</t>
  </si>
  <si>
    <t>MOV-1094</t>
  </si>
  <si>
    <t>MOV-1095</t>
  </si>
  <si>
    <t>MOV-1096</t>
  </si>
  <si>
    <t>MOV-1097</t>
  </si>
  <si>
    <t>MOV-1098</t>
  </si>
  <si>
    <t>MOV-1099</t>
  </si>
  <si>
    <t>MOV-1100</t>
  </si>
  <si>
    <t>MOV-1101</t>
  </si>
  <si>
    <t>MOV-1102</t>
  </si>
  <si>
    <t>MOV-1103</t>
  </si>
  <si>
    <t>MOV-1104</t>
  </si>
  <si>
    <t>MOV-1105</t>
  </si>
  <si>
    <t>MOV-1106</t>
  </si>
  <si>
    <t>MOV-1107</t>
  </si>
  <si>
    <t>MOV-1108</t>
  </si>
  <si>
    <t>MOV-1109</t>
  </si>
  <si>
    <t>MOV-1110</t>
  </si>
  <si>
    <t>MOV-1111</t>
  </si>
  <si>
    <t>MOV-1112</t>
  </si>
  <si>
    <t>MOV-1113</t>
  </si>
  <si>
    <t>MOV-1114</t>
  </si>
  <si>
    <t>MOV-1115</t>
  </si>
  <si>
    <t>MOV-1116</t>
  </si>
  <si>
    <t>MOV-1117</t>
  </si>
  <si>
    <t>MOV-1118</t>
  </si>
  <si>
    <t>MOV-1119</t>
  </si>
  <si>
    <t>MOV-1120</t>
  </si>
  <si>
    <t>MOV-1121</t>
  </si>
  <si>
    <t>MOV-1122</t>
  </si>
  <si>
    <t>MOV-1123</t>
  </si>
  <si>
    <t>MOV-1124</t>
  </si>
  <si>
    <t>MOV-1125</t>
  </si>
  <si>
    <t>MOV-1126</t>
  </si>
  <si>
    <t>MOV-1127</t>
  </si>
  <si>
    <t>MOV-1128</t>
  </si>
  <si>
    <t>MOV-1129</t>
  </si>
  <si>
    <t>MOV-1130</t>
  </si>
  <si>
    <t>MOV-1131</t>
  </si>
  <si>
    <t>MOV-1132</t>
  </si>
  <si>
    <t>MOV-1133</t>
  </si>
  <si>
    <t>MOV-1134</t>
  </si>
  <si>
    <t>MOV-1135</t>
  </si>
  <si>
    <t>MOV-1136</t>
  </si>
  <si>
    <t>MOV-1137</t>
  </si>
  <si>
    <t>MOV-1138</t>
  </si>
  <si>
    <t>MOV-1139</t>
  </si>
  <si>
    <t>MOV-1140</t>
  </si>
  <si>
    <t>MOV-1141</t>
  </si>
  <si>
    <t>MOV-1142</t>
  </si>
  <si>
    <t>MOV-1143</t>
  </si>
  <si>
    <t>MOV-1144</t>
  </si>
  <si>
    <t>MOV-1145</t>
  </si>
  <si>
    <t>MOV-1146</t>
  </si>
  <si>
    <t>MOV-1147</t>
  </si>
  <si>
    <t>MOV-1148</t>
  </si>
  <si>
    <t>MOV-1149</t>
  </si>
  <si>
    <t>MOV-1150</t>
  </si>
  <si>
    <t>MOV-1151</t>
  </si>
  <si>
    <t>MOV-1152</t>
  </si>
  <si>
    <t>MOV-1153</t>
  </si>
  <si>
    <t>MOV-1154</t>
  </si>
  <si>
    <t>MOV-1155</t>
  </si>
  <si>
    <t>MOV-1156</t>
  </si>
  <si>
    <t>MOV-1157</t>
  </si>
  <si>
    <t>MOV-1158</t>
  </si>
  <si>
    <t>MOV-1159</t>
  </si>
  <si>
    <t>MOV-1160</t>
  </si>
  <si>
    <t>MOV-1161</t>
  </si>
  <si>
    <t>MOV-1162</t>
  </si>
  <si>
    <t>MOV-1163</t>
  </si>
  <si>
    <t>MOV-1164</t>
  </si>
  <si>
    <t>MOV-1165</t>
  </si>
  <si>
    <t>MOV-1166</t>
  </si>
  <si>
    <t>MOV-1167</t>
  </si>
  <si>
    <t>MOV-1168</t>
  </si>
  <si>
    <t>MOV-1169</t>
  </si>
  <si>
    <t>MOV-1170</t>
  </si>
  <si>
    <t>MOV-1171</t>
  </si>
  <si>
    <t>MOV-1172</t>
  </si>
  <si>
    <t>MOV-1173</t>
  </si>
  <si>
    <t>MOV-1174</t>
  </si>
  <si>
    <t>MOV-1175</t>
  </si>
  <si>
    <t>MOV-1176</t>
  </si>
  <si>
    <t>MOV-1177</t>
  </si>
  <si>
    <t>MOV-1178</t>
  </si>
  <si>
    <t>MOV-1179</t>
  </si>
  <si>
    <t>MOV-1180</t>
  </si>
  <si>
    <t>MOV-1181</t>
  </si>
  <si>
    <t>MOV-1182</t>
  </si>
  <si>
    <t>MOV-1183</t>
  </si>
  <si>
    <t>MOV-1184</t>
  </si>
  <si>
    <t>MOV-1185</t>
  </si>
  <si>
    <t>MOV-1186</t>
  </si>
  <si>
    <t>MOV-1187</t>
  </si>
  <si>
    <t>MOV-1188</t>
  </si>
  <si>
    <t>MOV-1189</t>
  </si>
  <si>
    <t>MOV-1190</t>
  </si>
  <si>
    <t>MOV-1191</t>
  </si>
  <si>
    <t>MOV-1192</t>
  </si>
  <si>
    <t>MOV-1193</t>
  </si>
  <si>
    <t>MOV-1194</t>
  </si>
  <si>
    <t>MOV-1195</t>
  </si>
  <si>
    <t>MOV-1196</t>
  </si>
  <si>
    <t>MOV-1197</t>
  </si>
  <si>
    <t>MOV-1198</t>
  </si>
  <si>
    <t>MOV-1199</t>
  </si>
  <si>
    <t>MOV-1200</t>
  </si>
  <si>
    <t>MOV-1201</t>
  </si>
  <si>
    <t>MOV-1202</t>
  </si>
  <si>
    <t>MOV-1203</t>
  </si>
  <si>
    <t>MOV-1204</t>
  </si>
  <si>
    <t>MOV-1205</t>
  </si>
  <si>
    <t>MOV-1206</t>
  </si>
  <si>
    <t>MOV-1207</t>
  </si>
  <si>
    <t>MOV-1208</t>
  </si>
  <si>
    <t>MOV-1209</t>
  </si>
  <si>
    <t>MOV-1210</t>
  </si>
  <si>
    <t>MOV-1211</t>
  </si>
  <si>
    <t>MOV-1212</t>
  </si>
  <si>
    <t>MOV-1213</t>
  </si>
  <si>
    <t>MOV-1214</t>
  </si>
  <si>
    <t>MOV-1215</t>
  </si>
  <si>
    <t>MOV-1216</t>
  </si>
  <si>
    <t>MOV-1217</t>
  </si>
  <si>
    <t>MOV-1218</t>
  </si>
  <si>
    <t>MOV-1219</t>
  </si>
  <si>
    <t>MOV-1220</t>
  </si>
  <si>
    <t>MOV-1221</t>
  </si>
  <si>
    <t>MOV-1222</t>
  </si>
  <si>
    <t>MOV-1223</t>
  </si>
  <si>
    <t>MOV-1224</t>
  </si>
  <si>
    <t>MOV-1225</t>
  </si>
  <si>
    <t>MOV-1226</t>
  </si>
  <si>
    <t>MOV-1227</t>
  </si>
  <si>
    <t>MOV-1228</t>
  </si>
  <si>
    <t>MOV-1229</t>
  </si>
  <si>
    <t>MOV-1230</t>
  </si>
  <si>
    <t>MOV-1231</t>
  </si>
  <si>
    <t>MOV-1232</t>
  </si>
  <si>
    <t>MOV-1233</t>
  </si>
  <si>
    <t>MOV-1234</t>
  </si>
  <si>
    <t>MOV-1235</t>
  </si>
  <si>
    <t>MOV-1236</t>
  </si>
  <si>
    <t>MOV-1237</t>
  </si>
  <si>
    <t>MOV-1238</t>
  </si>
  <si>
    <t>MOV-1239</t>
  </si>
  <si>
    <t>MOV-1240</t>
  </si>
  <si>
    <t>MOV-1241</t>
  </si>
  <si>
    <t>MOV-1242</t>
  </si>
  <si>
    <t>MOV-1243</t>
  </si>
  <si>
    <t>MOV-1244</t>
  </si>
  <si>
    <t>MOV-1245</t>
  </si>
  <si>
    <t>MOV-1246</t>
  </si>
  <si>
    <t>MOV-1247</t>
  </si>
  <si>
    <t>MOV-1248</t>
  </si>
  <si>
    <t>MOV-1249</t>
  </si>
  <si>
    <t>MOV-1250</t>
  </si>
  <si>
    <t>MOV-1251</t>
  </si>
  <si>
    <t>MOV-1252</t>
  </si>
  <si>
    <t>MOV-1253</t>
  </si>
  <si>
    <t>MOV-1254</t>
  </si>
  <si>
    <t>MOV-1255</t>
  </si>
  <si>
    <t>MOV-1256</t>
  </si>
  <si>
    <t>MOV-1257</t>
  </si>
  <si>
    <t>MOV-1258</t>
  </si>
  <si>
    <t>MOV-1259</t>
  </si>
  <si>
    <t>MOV-1260</t>
  </si>
  <si>
    <t>MOV-1261</t>
  </si>
  <si>
    <t>MOV-1262</t>
  </si>
  <si>
    <t>MOV-1263</t>
  </si>
  <si>
    <t>MOV-1264</t>
  </si>
  <si>
    <t>MOV-1265</t>
  </si>
  <si>
    <t>MOV-1266</t>
  </si>
  <si>
    <t>MOV-1267</t>
  </si>
  <si>
    <t>MOV-1268</t>
  </si>
  <si>
    <t>MOV-1269</t>
  </si>
  <si>
    <t>MOV-1270</t>
  </si>
  <si>
    <t>MOV-1271</t>
  </si>
  <si>
    <t>MOV-1272</t>
  </si>
  <si>
    <t>MOV-1273</t>
  </si>
  <si>
    <t>MOV-1274</t>
  </si>
  <si>
    <t>MOV-1275</t>
  </si>
  <si>
    <t>MOV-1276</t>
  </si>
  <si>
    <t>MOV-1277</t>
  </si>
  <si>
    <t>MOV-1278</t>
  </si>
  <si>
    <t>MOV-1279</t>
  </si>
  <si>
    <t>MOV-1280</t>
  </si>
  <si>
    <t>MOV-1281</t>
  </si>
  <si>
    <t>MOV-1282</t>
  </si>
  <si>
    <t>MOV-1283</t>
  </si>
  <si>
    <t>MOV-1284</t>
  </si>
  <si>
    <t>MOV-1285</t>
  </si>
  <si>
    <t>MOV-1286</t>
  </si>
  <si>
    <t>MOV-1287</t>
  </si>
  <si>
    <t>MOV-1288</t>
  </si>
  <si>
    <t>MOV-1289</t>
  </si>
  <si>
    <t>MOV-1290</t>
  </si>
  <si>
    <t>MOV-1291</t>
  </si>
  <si>
    <t>MOV-1292</t>
  </si>
  <si>
    <t>MOV-1293</t>
  </si>
  <si>
    <t>MOV-1294</t>
  </si>
  <si>
    <t>MOV-1295</t>
  </si>
  <si>
    <t>MOV-1296</t>
  </si>
  <si>
    <t>MOV-1297</t>
  </si>
  <si>
    <t>MOV-1298</t>
  </si>
  <si>
    <t>MOV-1299</t>
  </si>
  <si>
    <t>MOV-1300</t>
  </si>
  <si>
    <t>MOV-1301</t>
  </si>
  <si>
    <t>MOV-1302</t>
  </si>
  <si>
    <t>MOV-1303</t>
  </si>
  <si>
    <t>MOV-1304</t>
  </si>
  <si>
    <t>MOV-1305</t>
  </si>
  <si>
    <t>MOV-1306</t>
  </si>
  <si>
    <t>MOV-1307</t>
  </si>
  <si>
    <t>MOV-1308</t>
  </si>
  <si>
    <t>MOV-1309</t>
  </si>
  <si>
    <t>MOV-1310</t>
  </si>
  <si>
    <t>MOV-1311</t>
  </si>
  <si>
    <t>MOV-1312</t>
  </si>
  <si>
    <t>MOV-1313</t>
  </si>
  <si>
    <t>MOV-1314</t>
  </si>
  <si>
    <t>MOV-1315</t>
  </si>
  <si>
    <t>MOV-1316</t>
  </si>
  <si>
    <t>MOV-1317</t>
  </si>
  <si>
    <t>MOV-1318</t>
  </si>
  <si>
    <t>MOV-1319</t>
  </si>
  <si>
    <t>MOV-1320</t>
  </si>
  <si>
    <t>MOV-1321</t>
  </si>
  <si>
    <t>MOV-1322</t>
  </si>
  <si>
    <t>MOV-1323</t>
  </si>
  <si>
    <t>MOV-1324</t>
  </si>
  <si>
    <t>MOV-1325</t>
  </si>
  <si>
    <t>MOV-1326</t>
  </si>
  <si>
    <t>MOV-1327</t>
  </si>
  <si>
    <t>MOV-1328</t>
  </si>
  <si>
    <t>MOV-1329</t>
  </si>
  <si>
    <t>MOV-1330</t>
  </si>
  <si>
    <t>MOV-1331</t>
  </si>
  <si>
    <t>MOV-1332</t>
  </si>
  <si>
    <t>MOV-1333</t>
  </si>
  <si>
    <t>MOV-1334</t>
  </si>
  <si>
    <t>MOV-1335</t>
  </si>
  <si>
    <t>MOV-1336</t>
  </si>
  <si>
    <t>MOV-1337</t>
  </si>
  <si>
    <t>MOV-1338</t>
  </si>
  <si>
    <t>MOV-1339</t>
  </si>
  <si>
    <t>MOV-1340</t>
  </si>
  <si>
    <t>MOV-1341</t>
  </si>
  <si>
    <t>MOV-1342</t>
  </si>
  <si>
    <t>MOV-1343</t>
  </si>
  <si>
    <t>MOV-1344</t>
  </si>
  <si>
    <t>MOV-1345</t>
  </si>
  <si>
    <t>MOV-1346</t>
  </si>
  <si>
    <t>MOV-1347</t>
  </si>
  <si>
    <t>MOV-1348</t>
  </si>
  <si>
    <t>MOV-1349</t>
  </si>
  <si>
    <t>MOV-1350</t>
  </si>
  <si>
    <t>MOV-1351</t>
  </si>
  <si>
    <t>MOV-1352</t>
  </si>
  <si>
    <t>MOV-1353</t>
  </si>
  <si>
    <t>MOV-1354</t>
  </si>
  <si>
    <t>MOV-1355</t>
  </si>
  <si>
    <t>MOV-1356</t>
  </si>
  <si>
    <t>MOV-1357</t>
  </si>
  <si>
    <t>MOV-1358</t>
  </si>
  <si>
    <t>MOV-1359</t>
  </si>
  <si>
    <t>MOV-1360</t>
  </si>
  <si>
    <t>MOV-1361</t>
  </si>
  <si>
    <t>MOV-1362</t>
  </si>
  <si>
    <t>MOV-1363</t>
  </si>
  <si>
    <t>MOV-1364</t>
  </si>
  <si>
    <t>MOV-1365</t>
  </si>
  <si>
    <t>MOV-1366</t>
  </si>
  <si>
    <t>MOV-1367</t>
  </si>
  <si>
    <t>MOV-1368</t>
  </si>
  <si>
    <t>MOV-1369</t>
  </si>
  <si>
    <t>MOV-1370</t>
  </si>
  <si>
    <t>MOV-1371</t>
  </si>
  <si>
    <t>MOV-1372</t>
  </si>
  <si>
    <t>MOV-1373</t>
  </si>
  <si>
    <t>MOV-1374</t>
  </si>
  <si>
    <t>MOV-1375</t>
  </si>
  <si>
    <t>MOV-1376</t>
  </si>
  <si>
    <t>MOV-1377</t>
  </si>
  <si>
    <t>MOV-1378</t>
  </si>
  <si>
    <t>MOV-1379</t>
  </si>
  <si>
    <t>MOV-1380</t>
  </si>
  <si>
    <t>MOV-1381</t>
  </si>
  <si>
    <t>MOV-1382</t>
  </si>
  <si>
    <t>MOV-1383</t>
  </si>
  <si>
    <t>MOV-1384</t>
  </si>
  <si>
    <t>MOV-1385</t>
  </si>
  <si>
    <t>MOV-1386</t>
  </si>
  <si>
    <t>MOV-1387</t>
  </si>
  <si>
    <t>MOV-1388</t>
  </si>
  <si>
    <t>MOV-1389</t>
  </si>
  <si>
    <t>MOV-1390</t>
  </si>
  <si>
    <t>MOV-1391</t>
  </si>
  <si>
    <t>MOV-1392</t>
  </si>
  <si>
    <t>MOV-1393</t>
  </si>
  <si>
    <t>MOV-1394</t>
  </si>
  <si>
    <t>MOV-1395</t>
  </si>
  <si>
    <t>MOV-1396</t>
  </si>
  <si>
    <t>MOV-1397</t>
  </si>
  <si>
    <t>MOV-1398</t>
  </si>
  <si>
    <t>MOV-1399</t>
  </si>
  <si>
    <t>MOV-1400</t>
  </si>
  <si>
    <t>MOV-1401</t>
  </si>
  <si>
    <t>MOV-1402</t>
  </si>
  <si>
    <t>MOV-1403</t>
  </si>
  <si>
    <t>MOV-1404</t>
  </si>
  <si>
    <t>MOV-1405</t>
  </si>
  <si>
    <t>MOV-1406</t>
  </si>
  <si>
    <t>MOV-1407</t>
  </si>
  <si>
    <t>MOV-1408</t>
  </si>
  <si>
    <t>MOV-1409</t>
  </si>
  <si>
    <t>MOV-1410</t>
  </si>
  <si>
    <t>MOV-1411</t>
  </si>
  <si>
    <t>MOV-1412</t>
  </si>
  <si>
    <t>MOV-1413</t>
  </si>
  <si>
    <t>MOV-1414</t>
  </si>
  <si>
    <t>MOV-1415</t>
  </si>
  <si>
    <t>MOV-1416</t>
  </si>
  <si>
    <t>MOV-1417</t>
  </si>
  <si>
    <t>MOV-1418</t>
  </si>
  <si>
    <t>MOV-1419</t>
  </si>
  <si>
    <t>MOV-1420</t>
  </si>
  <si>
    <t>MOV-1421</t>
  </si>
  <si>
    <t>MOV-1422</t>
  </si>
  <si>
    <t>MOV-1423</t>
  </si>
  <si>
    <t>MOV-1424</t>
  </si>
  <si>
    <t>MOV-1425</t>
  </si>
  <si>
    <t>MOV-1426</t>
  </si>
  <si>
    <t>MOV-1427</t>
  </si>
  <si>
    <t>MOV-1428</t>
  </si>
  <si>
    <t>MOV-1429</t>
  </si>
  <si>
    <t>MOV-1430</t>
  </si>
  <si>
    <t>MOV-1431</t>
  </si>
  <si>
    <t>MOV-1432</t>
  </si>
  <si>
    <t>MOV-1433</t>
  </si>
  <si>
    <t>MOV-1434</t>
  </si>
  <si>
    <t>MOV-1435</t>
  </si>
  <si>
    <t>MOV-1436</t>
  </si>
  <si>
    <t>MOV-1437</t>
  </si>
  <si>
    <t>MOV-1438</t>
  </si>
  <si>
    <t>MOV-1439</t>
  </si>
  <si>
    <t>MOV-1440</t>
  </si>
  <si>
    <t>MOV-1441</t>
  </si>
  <si>
    <t>MOV-1442</t>
  </si>
  <si>
    <t>MOV-1443</t>
  </si>
  <si>
    <t>MOV-1444</t>
  </si>
  <si>
    <t>MOV-1445</t>
  </si>
  <si>
    <t>MOV-1446</t>
  </si>
  <si>
    <t>MOV-1447</t>
  </si>
  <si>
    <t>MOV-1448</t>
  </si>
  <si>
    <t>MOV-1449</t>
  </si>
  <si>
    <t>MOV-1450</t>
  </si>
  <si>
    <t>MOV-1451</t>
  </si>
  <si>
    <t>MOV-1452</t>
  </si>
  <si>
    <t>MOV-1453</t>
  </si>
  <si>
    <t>MOV-1454</t>
  </si>
  <si>
    <t>MOV-1455</t>
  </si>
  <si>
    <t>MOV-1456</t>
  </si>
  <si>
    <t>MOV-1457</t>
  </si>
  <si>
    <t>MOV-1458</t>
  </si>
  <si>
    <t>MOV-1459</t>
  </si>
  <si>
    <t>MOV-1460</t>
  </si>
  <si>
    <t>MOV-1461</t>
  </si>
  <si>
    <t>MOV-1462</t>
  </si>
  <si>
    <t>MOV-1463</t>
  </si>
  <si>
    <t>MOV-1464</t>
  </si>
  <si>
    <t>MOV-1465</t>
  </si>
  <si>
    <t>MOV-1466</t>
  </si>
  <si>
    <t>MOV-1467</t>
  </si>
  <si>
    <t>MOV-1468</t>
  </si>
  <si>
    <t>MOV-1469</t>
  </si>
  <si>
    <t>MOV-1470</t>
  </si>
  <si>
    <t>MOV-1471</t>
  </si>
  <si>
    <t>MOV-1472</t>
  </si>
  <si>
    <t>MOV-1473</t>
  </si>
  <si>
    <t>MOV-1474</t>
  </si>
  <si>
    <t>MOV-1475</t>
  </si>
  <si>
    <t>MOV-1476</t>
  </si>
  <si>
    <t>MOV-1477</t>
  </si>
  <si>
    <t>MOV-1478</t>
  </si>
  <si>
    <t>MOV-1479</t>
  </si>
  <si>
    <t>MOV-1480</t>
  </si>
  <si>
    <t>MOV-1481</t>
  </si>
  <si>
    <t>MOV-1482</t>
  </si>
  <si>
    <t>MOV-1483</t>
  </si>
  <si>
    <t>MOV-1484</t>
  </si>
  <si>
    <t>MOV-1485</t>
  </si>
  <si>
    <t>MOV-1486</t>
  </si>
  <si>
    <t>MOV-1487</t>
  </si>
  <si>
    <t>MOV-1488</t>
  </si>
  <si>
    <t>MOV-1489</t>
  </si>
  <si>
    <t>MOV-1490</t>
  </si>
  <si>
    <t>MOV-1491</t>
  </si>
  <si>
    <t>MOV-1492</t>
  </si>
  <si>
    <t>MOV-1493</t>
  </si>
  <si>
    <t>MOV-1494</t>
  </si>
  <si>
    <t>MOV-1495</t>
  </si>
  <si>
    <t>MOV-1496</t>
  </si>
  <si>
    <t>MOV-1497</t>
  </si>
  <si>
    <t>MOV-1498</t>
  </si>
  <si>
    <t>MOV-1499</t>
  </si>
  <si>
    <t>MOV-1500</t>
  </si>
  <si>
    <t>MOV-1501</t>
  </si>
  <si>
    <t>MOV-1502</t>
  </si>
  <si>
    <t>MOV-1503</t>
  </si>
  <si>
    <t>MOV-1504</t>
  </si>
  <si>
    <t>MOV-1505</t>
  </si>
  <si>
    <t>MOV-1506</t>
  </si>
  <si>
    <t>MOV-1507</t>
  </si>
  <si>
    <t>MOV-1508</t>
  </si>
  <si>
    <t>MOV-1509</t>
  </si>
  <si>
    <t>MOV-1510</t>
  </si>
  <si>
    <t>MOV-1511</t>
  </si>
  <si>
    <t>MOV-1512</t>
  </si>
  <si>
    <t>MOV-1513</t>
  </si>
  <si>
    <t>MOV-1514</t>
  </si>
  <si>
    <t>MOV-1515</t>
  </si>
  <si>
    <t>MOV-1516</t>
  </si>
  <si>
    <t>MOV-1517</t>
  </si>
  <si>
    <t>MOV-1518</t>
  </si>
  <si>
    <t>MOV-1519</t>
  </si>
  <si>
    <t>MOV-1520</t>
  </si>
  <si>
    <t>MOV-1521</t>
  </si>
  <si>
    <t>MOV-1522</t>
  </si>
  <si>
    <t>MOV-1523</t>
  </si>
  <si>
    <t>MOV-1524</t>
  </si>
  <si>
    <t>MOV-1525</t>
  </si>
  <si>
    <t>MOV-1526</t>
  </si>
  <si>
    <t>MOV-1527</t>
  </si>
  <si>
    <t>MOV-1528</t>
  </si>
  <si>
    <t>MOV-1529</t>
  </si>
  <si>
    <t>MOV-1530</t>
  </si>
  <si>
    <t>MOV-1531</t>
  </si>
  <si>
    <t>MOV-1532</t>
  </si>
  <si>
    <t>MOV-1533</t>
  </si>
  <si>
    <t>MOV-1534</t>
  </si>
  <si>
    <t>MOV-1535</t>
  </si>
  <si>
    <t>MOV-1536</t>
  </si>
  <si>
    <t>MOV-1537</t>
  </si>
  <si>
    <t>MOV-1538</t>
  </si>
  <si>
    <t>MOV-1539</t>
  </si>
  <si>
    <t>MOV-1540</t>
  </si>
  <si>
    <t>MOV-1541</t>
  </si>
  <si>
    <t>MOV-1542</t>
  </si>
  <si>
    <t>MOV-1543</t>
  </si>
  <si>
    <t>MOV-1544</t>
  </si>
  <si>
    <t>MOV-1545</t>
  </si>
  <si>
    <t>MOV-1546</t>
  </si>
  <si>
    <t>MOV-1547</t>
  </si>
  <si>
    <t>MOV-1548</t>
  </si>
  <si>
    <t>MOV-1549</t>
  </si>
  <si>
    <t>MOV-1550</t>
  </si>
  <si>
    <t>MOV-1551</t>
  </si>
  <si>
    <t>MOV-1552</t>
  </si>
  <si>
    <t>MOV-1553</t>
  </si>
  <si>
    <t>MOV-1554</t>
  </si>
  <si>
    <t>MOV-1555</t>
  </si>
  <si>
    <t>MOV-1556</t>
  </si>
  <si>
    <t>MOV-1557</t>
  </si>
  <si>
    <t>MOV-1558</t>
  </si>
  <si>
    <t>MOV-1559</t>
  </si>
  <si>
    <t>MOV-1560</t>
  </si>
  <si>
    <t>MOV-1561</t>
  </si>
  <si>
    <t>MOV-1562</t>
  </si>
  <si>
    <t>MOV-1563</t>
  </si>
  <si>
    <t>MOV-1564</t>
  </si>
  <si>
    <t>MOV-1565</t>
  </si>
  <si>
    <t>MOV-1566</t>
  </si>
  <si>
    <t>MOV-1567</t>
  </si>
  <si>
    <t>MOV-1568</t>
  </si>
  <si>
    <t>MOV-1569</t>
  </si>
  <si>
    <t>MOV-1570</t>
  </si>
  <si>
    <t>MOV-1571</t>
  </si>
  <si>
    <t>MOV-1572</t>
  </si>
  <si>
    <t>MOV-1573</t>
  </si>
  <si>
    <t>MOV-1574</t>
  </si>
  <si>
    <t>MOV-1575</t>
  </si>
  <si>
    <t>MOV-1576</t>
  </si>
  <si>
    <t>MOV-1577</t>
  </si>
  <si>
    <t>MOV-1578</t>
  </si>
  <si>
    <t>MOV-1579</t>
  </si>
  <si>
    <t>MOV-1580</t>
  </si>
  <si>
    <t>MOV-1581</t>
  </si>
  <si>
    <t>MOV-1582</t>
  </si>
  <si>
    <t>MOV-1583</t>
  </si>
  <si>
    <t>MOV-1584</t>
  </si>
  <si>
    <t>MOV-1585</t>
  </si>
  <si>
    <t>MOV-1586</t>
  </si>
  <si>
    <t>MOV-1587</t>
  </si>
  <si>
    <t>MOV-1588</t>
  </si>
  <si>
    <t>MOV-1589</t>
  </si>
  <si>
    <t>MOV-1590</t>
  </si>
  <si>
    <t>MOV-1591</t>
  </si>
  <si>
    <t>MOV-1592</t>
  </si>
  <si>
    <t>MOV-1593</t>
  </si>
  <si>
    <t>MOV-1594</t>
  </si>
  <si>
    <t>MOV-1595</t>
  </si>
  <si>
    <t>MOV-1596</t>
  </si>
  <si>
    <t>MOV-1597</t>
  </si>
  <si>
    <t>MOV-1598</t>
  </si>
  <si>
    <t>MOV-1599</t>
  </si>
  <si>
    <t>MOV-1600</t>
  </si>
  <si>
    <t>MOV-1601</t>
  </si>
  <si>
    <t>MOV-1602</t>
  </si>
  <si>
    <t>MOV-1603</t>
  </si>
  <si>
    <t>MOV-1604</t>
  </si>
  <si>
    <t>MOV-1605</t>
  </si>
  <si>
    <t>MOV-1606</t>
  </si>
  <si>
    <t>MOV-1607</t>
  </si>
  <si>
    <t>MOV-1608</t>
  </si>
  <si>
    <t>MOV-1609</t>
  </si>
  <si>
    <t>MOV-1610</t>
  </si>
  <si>
    <t>MOV-1611</t>
  </si>
  <si>
    <t>MOV-1612</t>
  </si>
  <si>
    <t>MOV-1613</t>
  </si>
  <si>
    <t>MOV-1614</t>
  </si>
  <si>
    <t>MOV-1615</t>
  </si>
  <si>
    <t>MOV-1616</t>
  </si>
  <si>
    <t>MOV-1617</t>
  </si>
  <si>
    <t>MOV-1618</t>
  </si>
  <si>
    <t>MOV-1619</t>
  </si>
  <si>
    <t>MOV-1620</t>
  </si>
  <si>
    <t>MOV-1621</t>
  </si>
  <si>
    <t>MOV-1622</t>
  </si>
  <si>
    <t>MOV-1623</t>
  </si>
  <si>
    <t>MOV-1624</t>
  </si>
  <si>
    <t>MOV-1625</t>
  </si>
  <si>
    <t>MOV-1626</t>
  </si>
  <si>
    <t>MOV-1627</t>
  </si>
  <si>
    <t>MOV-1628</t>
  </si>
  <si>
    <t>MOV-1629</t>
  </si>
  <si>
    <t>MOV-1630</t>
  </si>
  <si>
    <t>MOV-1631</t>
  </si>
  <si>
    <t>MOV-1632</t>
  </si>
  <si>
    <t>MOV-1633</t>
  </si>
  <si>
    <t>MOV-1634</t>
  </si>
  <si>
    <t>MOV-1635</t>
  </si>
  <si>
    <t>MOV-1636</t>
  </si>
  <si>
    <t>MOV-1637</t>
  </si>
  <si>
    <t>MOV-1638</t>
  </si>
  <si>
    <t>MOV-1639</t>
  </si>
  <si>
    <t>MOV-1640</t>
  </si>
  <si>
    <t>MOV-1641</t>
  </si>
  <si>
    <t>MOV-1642</t>
  </si>
  <si>
    <t>MOV-1643</t>
  </si>
  <si>
    <t>MOV-1644</t>
  </si>
  <si>
    <t>MOV-1645</t>
  </si>
  <si>
    <t>MOV-1646</t>
  </si>
  <si>
    <t>MOV-1647</t>
  </si>
  <si>
    <t>MOV-1648</t>
  </si>
  <si>
    <t>MOV-1649</t>
  </si>
  <si>
    <t>MOV-1650</t>
  </si>
  <si>
    <t>MOV-1651</t>
  </si>
  <si>
    <t>MOV-1652</t>
  </si>
  <si>
    <t>MOV-1653</t>
  </si>
  <si>
    <t>MOV-1654</t>
  </si>
  <si>
    <t>MOV-1655</t>
  </si>
  <si>
    <t>MOV-1656</t>
  </si>
  <si>
    <t>MOV-1657</t>
  </si>
  <si>
    <t>MOV-1658</t>
  </si>
  <si>
    <t>MOV-1659</t>
  </si>
  <si>
    <t>MOV-1660</t>
  </si>
  <si>
    <t>MOV-1661</t>
  </si>
  <si>
    <t>MOV-1662</t>
  </si>
  <si>
    <t>MOV-1663</t>
  </si>
  <si>
    <t>MOV-1664</t>
  </si>
  <si>
    <t>MOV-1665</t>
  </si>
  <si>
    <t>MOV-1666</t>
  </si>
  <si>
    <t>MOV-1667</t>
  </si>
  <si>
    <t>MOV-1668</t>
  </si>
  <si>
    <t>MOV-1669</t>
  </si>
  <si>
    <t>MOV-1670</t>
  </si>
  <si>
    <t>MOV-1671</t>
  </si>
  <si>
    <t>MOV-1672</t>
  </si>
  <si>
    <t>MOV-1673</t>
  </si>
  <si>
    <t>MOV-1674</t>
  </si>
  <si>
    <t>MOV-1675</t>
  </si>
  <si>
    <t>MOV-1676</t>
  </si>
  <si>
    <t>MOV-1677</t>
  </si>
  <si>
    <t>MOV-1678</t>
  </si>
  <si>
    <t>MOV-1679</t>
  </si>
  <si>
    <t>MOV-1680</t>
  </si>
  <si>
    <t>MOV-1681</t>
  </si>
  <si>
    <t>MOV-1682</t>
  </si>
  <si>
    <t>MOV-1683</t>
  </si>
  <si>
    <t>MOV-1684</t>
  </si>
  <si>
    <t>MOV-1685</t>
  </si>
  <si>
    <t>MOV-1686</t>
  </si>
  <si>
    <t>MOV-1687</t>
  </si>
  <si>
    <t>MOV-1688</t>
  </si>
  <si>
    <t>MOV-1689</t>
  </si>
  <si>
    <t>MOV-1690</t>
  </si>
  <si>
    <t>MOV-1691</t>
  </si>
  <si>
    <t>MOV-1692</t>
  </si>
  <si>
    <t>MOV-1693</t>
  </si>
  <si>
    <t>MOV-1694</t>
  </si>
  <si>
    <t>MOV-1695</t>
  </si>
  <si>
    <t>MOV-1696</t>
  </si>
  <si>
    <t>MOV-1697</t>
  </si>
  <si>
    <t>MOV-1698</t>
  </si>
  <si>
    <t>MOV-1699</t>
  </si>
  <si>
    <t>MOV-1700</t>
  </si>
  <si>
    <t>MOV-1701</t>
  </si>
  <si>
    <t>MOV-1702</t>
  </si>
  <si>
    <t>MOV-1703</t>
  </si>
  <si>
    <t>MOV-1704</t>
  </si>
  <si>
    <t>MOV-1705</t>
  </si>
  <si>
    <t>MOV-1706</t>
  </si>
  <si>
    <t>MOV-1707</t>
  </si>
  <si>
    <t>MOV-1708</t>
  </si>
  <si>
    <t>MOV-1709</t>
  </si>
  <si>
    <t>MOV-1710</t>
  </si>
  <si>
    <t>MOV-1711</t>
  </si>
  <si>
    <t>MOV-1712</t>
  </si>
  <si>
    <t>MOV-1713</t>
  </si>
  <si>
    <t>MOV-1714</t>
  </si>
  <si>
    <t>MOV-1715</t>
  </si>
  <si>
    <t>MOV-1716</t>
  </si>
  <si>
    <t>MOV-1717</t>
  </si>
  <si>
    <t>MOV-1718</t>
  </si>
  <si>
    <t>MOV-1719</t>
  </si>
  <si>
    <t>MOV-1720</t>
  </si>
  <si>
    <t>MOV-1721</t>
  </si>
  <si>
    <t>MOV-1722</t>
  </si>
  <si>
    <t>MOV-1723</t>
  </si>
  <si>
    <t>MOV-1724</t>
  </si>
  <si>
    <t>MOV-1725</t>
  </si>
  <si>
    <t>MOV-1726</t>
  </si>
  <si>
    <t>MOV-1727</t>
  </si>
  <si>
    <t>MOV-1728</t>
  </si>
  <si>
    <t>MOV-1729</t>
  </si>
  <si>
    <t>MOV-1730</t>
  </si>
  <si>
    <t>MOV-1731</t>
  </si>
  <si>
    <t>MOV-1732</t>
  </si>
  <si>
    <t>MOV-1733</t>
  </si>
  <si>
    <t>MOV-1734</t>
  </si>
  <si>
    <t>MOV-1735</t>
  </si>
  <si>
    <t>MOV-1736</t>
  </si>
  <si>
    <t>MOV-1737</t>
  </si>
  <si>
    <t>MOV-1738</t>
  </si>
  <si>
    <t>MOV-1739</t>
  </si>
  <si>
    <t>MOV-1740</t>
  </si>
  <si>
    <t>MOV-1741</t>
  </si>
  <si>
    <t>MOV-1742</t>
  </si>
  <si>
    <t>MOV-1743</t>
  </si>
  <si>
    <t>MOV-1744</t>
  </si>
  <si>
    <t>MOV-1745</t>
  </si>
  <si>
    <t>MOV-1746</t>
  </si>
  <si>
    <t>MOV-1747</t>
  </si>
  <si>
    <t>MOV-1748</t>
  </si>
  <si>
    <t>MOV-1749</t>
  </si>
  <si>
    <t>MOV-1750</t>
  </si>
  <si>
    <t>MOV-1751</t>
  </si>
  <si>
    <t>MOV-1752</t>
  </si>
  <si>
    <t>MOV-1753</t>
  </si>
  <si>
    <t>MOV-1754</t>
  </si>
  <si>
    <t>MOV-1755</t>
  </si>
  <si>
    <t>MOV-1756</t>
  </si>
  <si>
    <t>MOV-1757</t>
  </si>
  <si>
    <t>MOV-1758</t>
  </si>
  <si>
    <t>MOV-1759</t>
  </si>
  <si>
    <t>MOV-1760</t>
  </si>
  <si>
    <t>MOV-1761</t>
  </si>
  <si>
    <t>MOV-1762</t>
  </si>
  <si>
    <t>MOV-1763</t>
  </si>
  <si>
    <t>MOV-1764</t>
  </si>
  <si>
    <t>MOV-1765</t>
  </si>
  <si>
    <t>MOV-1766</t>
  </si>
  <si>
    <t>MOV-1767</t>
  </si>
  <si>
    <t>MOV-1768</t>
  </si>
  <si>
    <t>MOV-1769</t>
  </si>
  <si>
    <t>MOV-1770</t>
  </si>
  <si>
    <t>MOV-1771</t>
  </si>
  <si>
    <t>MOV-1772</t>
  </si>
  <si>
    <t>MOV-1773</t>
  </si>
  <si>
    <t>MOV-1774</t>
  </si>
  <si>
    <t>MOV-1775</t>
  </si>
  <si>
    <t>MOV-1776</t>
  </si>
  <si>
    <t>MOV-1777</t>
  </si>
  <si>
    <t>MOV-1778</t>
  </si>
  <si>
    <t>MOV-1779</t>
  </si>
  <si>
    <t>MOV-1780</t>
  </si>
  <si>
    <t>MOV-1781</t>
  </si>
  <si>
    <t>MOV-1782</t>
  </si>
  <si>
    <t>MOV-1783</t>
  </si>
  <si>
    <t>MOV-1784</t>
  </si>
  <si>
    <t>MOV-1785</t>
  </si>
  <si>
    <t>MOV-1786</t>
  </si>
  <si>
    <t>MOV-1787</t>
  </si>
  <si>
    <t>MOV-1788</t>
  </si>
  <si>
    <t>MOV-1789</t>
  </si>
  <si>
    <t>MOV-1790</t>
  </si>
  <si>
    <t>MOV-1791</t>
  </si>
  <si>
    <t>MOV-1792</t>
  </si>
  <si>
    <t>MOV-1793</t>
  </si>
  <si>
    <t>MOV-1794</t>
  </si>
  <si>
    <t>MOV-1795</t>
  </si>
  <si>
    <t>MOV-1796</t>
  </si>
  <si>
    <t>MOV-1797</t>
  </si>
  <si>
    <t>MOV-1798</t>
  </si>
  <si>
    <t>MOV-1799</t>
  </si>
  <si>
    <t>MOV-1800</t>
  </si>
  <si>
    <t>MOV-1801</t>
  </si>
  <si>
    <t>MOV-1802</t>
  </si>
  <si>
    <t>MOV-1803</t>
  </si>
  <si>
    <t>MOV-1804</t>
  </si>
  <si>
    <t>MOV-1805</t>
  </si>
  <si>
    <t>MOV-1806</t>
  </si>
  <si>
    <t>MOV-1807</t>
  </si>
  <si>
    <t>MOV-1808</t>
  </si>
  <si>
    <t>MOV-1809</t>
  </si>
  <si>
    <t>MOV-1810</t>
  </si>
  <si>
    <t>MOV-1811</t>
  </si>
  <si>
    <t>MOV-1812</t>
  </si>
  <si>
    <t>MOV-1813</t>
  </si>
  <si>
    <t>MOV-1814</t>
  </si>
  <si>
    <t>MOV-1815</t>
  </si>
  <si>
    <t>MOV-1816</t>
  </si>
  <si>
    <t>MOV-1817</t>
  </si>
  <si>
    <t>MOV-1818</t>
  </si>
  <si>
    <t>MOV-1819</t>
  </si>
  <si>
    <t>MOV-1820</t>
  </si>
  <si>
    <t>MOV-1821</t>
  </si>
  <si>
    <t>MOV-1822</t>
  </si>
  <si>
    <t>MOV-1823</t>
  </si>
  <si>
    <t>MOV-1824</t>
  </si>
  <si>
    <t>MOV-1825</t>
  </si>
  <si>
    <t>MOV-1826</t>
  </si>
  <si>
    <t>MOV-1827</t>
  </si>
  <si>
    <t>MOV-1828</t>
  </si>
  <si>
    <t>MOV-1829</t>
  </si>
  <si>
    <t>MOV-1830</t>
  </si>
  <si>
    <t>MOV-1831</t>
  </si>
  <si>
    <t>MOV-1832</t>
  </si>
  <si>
    <t>MOV-1833</t>
  </si>
  <si>
    <t>MOV-1834</t>
  </si>
  <si>
    <t>MOV-1835</t>
  </si>
  <si>
    <t>MOV-1836</t>
  </si>
  <si>
    <t>MOV-1837</t>
  </si>
  <si>
    <t>MOV-1838</t>
  </si>
  <si>
    <t>MOV-1839</t>
  </si>
  <si>
    <t>MOV-1840</t>
  </si>
  <si>
    <t>MOV-1841</t>
  </si>
  <si>
    <t>MOV-1842</t>
  </si>
  <si>
    <t>MOV-1843</t>
  </si>
  <si>
    <t>MOV-1844</t>
  </si>
  <si>
    <t>MOV-1845</t>
  </si>
  <si>
    <t>MOV-1846</t>
  </si>
  <si>
    <t>MOV-1847</t>
  </si>
  <si>
    <t>MOV-1848</t>
  </si>
  <si>
    <t>MOV-1849</t>
  </si>
  <si>
    <t>MOV-1850</t>
  </si>
  <si>
    <t>MOV-1851</t>
  </si>
  <si>
    <t>MOV-1852</t>
  </si>
  <si>
    <t>MOV-1853</t>
  </si>
  <si>
    <t>MOV-1854</t>
  </si>
  <si>
    <t>MOV-1855</t>
  </si>
  <si>
    <t>MOV-1856</t>
  </si>
  <si>
    <t>MOV-1857</t>
  </si>
  <si>
    <t>MOV-1858</t>
  </si>
  <si>
    <t>MOV-1859</t>
  </si>
  <si>
    <t>MOV-1860</t>
  </si>
  <si>
    <t>MOV-1861</t>
  </si>
  <si>
    <t>MOV-1862</t>
  </si>
  <si>
    <t>MOV-1863</t>
  </si>
  <si>
    <t>MOV-1864</t>
  </si>
  <si>
    <t>MOV-1865</t>
  </si>
  <si>
    <t>MOV-1866</t>
  </si>
  <si>
    <t>MOV-1867</t>
  </si>
  <si>
    <t>MOV-1868</t>
  </si>
  <si>
    <t>MOV-1869</t>
  </si>
  <si>
    <t>MOV-1870</t>
  </si>
  <si>
    <t>MOV-1871</t>
  </si>
  <si>
    <t>MOV-1872</t>
  </si>
  <si>
    <t>MOV-1873</t>
  </si>
  <si>
    <t>MOV-1874</t>
  </si>
  <si>
    <t>MOV-1875</t>
  </si>
  <si>
    <t>MOV-1876</t>
  </si>
  <si>
    <t>MOV-1877</t>
  </si>
  <si>
    <t>MOV-1878</t>
  </si>
  <si>
    <t>MOV-1879</t>
  </si>
  <si>
    <t>MOV-1880</t>
  </si>
  <si>
    <t>MOV-1881</t>
  </si>
  <si>
    <t>MOV-1882</t>
  </si>
  <si>
    <t>MOV-1883</t>
  </si>
  <si>
    <t>MOV-1884</t>
  </si>
  <si>
    <t>MOV-1885</t>
  </si>
  <si>
    <t>MOV-1886</t>
  </si>
  <si>
    <t>MOV-1887</t>
  </si>
  <si>
    <t>MOV-1888</t>
  </si>
  <si>
    <t>MOV-1889</t>
  </si>
  <si>
    <t>MOV-1890</t>
  </si>
  <si>
    <t>MOV-1891</t>
  </si>
  <si>
    <t>MOV-1892</t>
  </si>
  <si>
    <t>MOV-1893</t>
  </si>
  <si>
    <t>MOV-1894</t>
  </si>
  <si>
    <t>MOV-1895</t>
  </si>
  <si>
    <t>MOV-1896</t>
  </si>
  <si>
    <t>MOV-1897</t>
  </si>
  <si>
    <t>MOV-1898</t>
  </si>
  <si>
    <t>MOV-1899</t>
  </si>
  <si>
    <t>MOV-1900</t>
  </si>
  <si>
    <t>MOV-1901</t>
  </si>
  <si>
    <t>MOV-1902</t>
  </si>
  <si>
    <t>MOV-1903</t>
  </si>
  <si>
    <t>MOV-1904</t>
  </si>
  <si>
    <t>MOV-1905</t>
  </si>
  <si>
    <t>MOV-1906</t>
  </si>
  <si>
    <t>MOV-1907</t>
  </si>
  <si>
    <t>MOV-1908</t>
  </si>
  <si>
    <t>MOV-1909</t>
  </si>
  <si>
    <t>MOV-1910</t>
  </si>
  <si>
    <t>MOV-1911</t>
  </si>
  <si>
    <t>MOV-1912</t>
  </si>
  <si>
    <t>MOV-1913</t>
  </si>
  <si>
    <t>MOV-1914</t>
  </si>
  <si>
    <t>MOV-1915</t>
  </si>
  <si>
    <t>MOV-1916</t>
  </si>
  <si>
    <t>MOV-1917</t>
  </si>
  <si>
    <t>MOV-1918</t>
  </si>
  <si>
    <t>MOV-1919</t>
  </si>
  <si>
    <t>MOV-1920</t>
  </si>
  <si>
    <t>MOV-1921</t>
  </si>
  <si>
    <t>MOV-1922</t>
  </si>
  <si>
    <t>MOV-1923</t>
  </si>
  <si>
    <t>MOV-1924</t>
  </si>
  <si>
    <t>MOV-1925</t>
  </si>
  <si>
    <t>MOV-1926</t>
  </si>
  <si>
    <t>MOV-1927</t>
  </si>
  <si>
    <t>MOV-1928</t>
  </si>
  <si>
    <t>MOV-1929</t>
  </si>
  <si>
    <t>MOV-1930</t>
  </si>
  <si>
    <t>MOV-1931</t>
  </si>
  <si>
    <t>MOV-1932</t>
  </si>
  <si>
    <t>MOV-1933</t>
  </si>
  <si>
    <t>MOV-1934</t>
  </si>
  <si>
    <t>MOV-1935</t>
  </si>
  <si>
    <t>MOV-1936</t>
  </si>
  <si>
    <t>MOV-1937</t>
  </si>
  <si>
    <t>MOV-1938</t>
  </si>
  <si>
    <t>MOV-1939</t>
  </si>
  <si>
    <t>MOV-1940</t>
  </si>
  <si>
    <t>MOV-1941</t>
  </si>
  <si>
    <t>MOV-1942</t>
  </si>
  <si>
    <t>MOV-1943</t>
  </si>
  <si>
    <t>MOV-1944</t>
  </si>
  <si>
    <t>MOV-1945</t>
  </si>
  <si>
    <t>MOV-1946</t>
  </si>
  <si>
    <t>MOV-1947</t>
  </si>
  <si>
    <t>MOV-1948</t>
  </si>
  <si>
    <t>MOV-1949</t>
  </si>
  <si>
    <t>MOV-1950</t>
  </si>
  <si>
    <t>MOV-1951</t>
  </si>
  <si>
    <t>MOV-1952</t>
  </si>
  <si>
    <t>MOV-1953</t>
  </si>
  <si>
    <t>MOV-1954</t>
  </si>
  <si>
    <t>MOV-1955</t>
  </si>
  <si>
    <t>MOV-1956</t>
  </si>
  <si>
    <t>MOV-1957</t>
  </si>
  <si>
    <t>MOV-1958</t>
  </si>
  <si>
    <t>MOV-1959</t>
  </si>
  <si>
    <t>MOV-1960</t>
  </si>
  <si>
    <t>MOV-1961</t>
  </si>
  <si>
    <t>MOV-1962</t>
  </si>
  <si>
    <t>MOV-1963</t>
  </si>
  <si>
    <t>MOV-1964</t>
  </si>
  <si>
    <t>MOV-1965</t>
  </si>
  <si>
    <t>MOV-1966</t>
  </si>
  <si>
    <t>MOV-1967</t>
  </si>
  <si>
    <t>MOV-1968</t>
  </si>
  <si>
    <t>MOV-1969</t>
  </si>
  <si>
    <t>MOV-1970</t>
  </si>
  <si>
    <t>MOV-1971</t>
  </si>
  <si>
    <t>MOV-1972</t>
  </si>
  <si>
    <t>MOV-1973</t>
  </si>
  <si>
    <t>MOV-1974</t>
  </si>
  <si>
    <t>MOV-1975</t>
  </si>
  <si>
    <t>MOV-1976</t>
  </si>
  <si>
    <t>MOV-1977</t>
  </si>
  <si>
    <t>MOV-1978</t>
  </si>
  <si>
    <t>MOV-1979</t>
  </si>
  <si>
    <t>MOV-1980</t>
  </si>
  <si>
    <t>MOV-1981</t>
  </si>
  <si>
    <t>MOV-1982</t>
  </si>
  <si>
    <t>MOV-1983</t>
  </si>
  <si>
    <t>MOV-1984</t>
  </si>
  <si>
    <t>MOV-1985</t>
  </si>
  <si>
    <t>MOV-1986</t>
  </si>
  <si>
    <t>MOV-1987</t>
  </si>
  <si>
    <t>MOV-1988</t>
  </si>
  <si>
    <t>MOV-1989</t>
  </si>
  <si>
    <t>MOV-1990</t>
  </si>
  <si>
    <t>MOV-1991</t>
  </si>
  <si>
    <t>MOV-1992</t>
  </si>
  <si>
    <t>MOV-1993</t>
  </si>
  <si>
    <t>MOV-1994</t>
  </si>
  <si>
    <t>MOV-1995</t>
  </si>
  <si>
    <t>MOV-1996</t>
  </si>
  <si>
    <t>MOV-1997</t>
  </si>
  <si>
    <t>MOV-1998</t>
  </si>
  <si>
    <t>MOV-1999</t>
  </si>
  <si>
    <t>MOV-2000</t>
  </si>
  <si>
    <t>Producto</t>
  </si>
  <si>
    <t>Principio
Activo/Variedad</t>
  </si>
  <si>
    <t>Lotes
Activos</t>
  </si>
  <si>
    <t>Stock
Total</t>
  </si>
  <si>
    <t>Venc.
Más Próximo</t>
  </si>
  <si>
    <t>Paraquat</t>
  </si>
  <si>
    <t>Maiz Nk 800 tgcl refugio</t>
  </si>
  <si>
    <t>Sauquat super</t>
  </si>
  <si>
    <t>maiz Nk 825 vip3cl</t>
  </si>
  <si>
    <t>refugio semilla maiz illinois</t>
  </si>
  <si>
    <t>semilla comprada maiz illinois 7.24</t>
  </si>
  <si>
    <t>ID_Lote
(escribir aquí)</t>
  </si>
  <si>
    <t>Principio Activo/Variedad</t>
  </si>
  <si>
    <t>Vencimiento</t>
  </si>
  <si>
    <t>Días a vencimiento</t>
  </si>
  <si>
    <t>Stock
Actual</t>
  </si>
  <si>
    <t>Estado</t>
  </si>
  <si>
    <t>260401-005</t>
  </si>
  <si>
    <t>260423-083</t>
  </si>
  <si>
    <t>260521-206</t>
  </si>
  <si>
    <t>260626-313</t>
  </si>
  <si>
    <t>260831-483</t>
  </si>
  <si>
    <t>LOT-079</t>
  </si>
  <si>
    <t>LOT-080</t>
  </si>
  <si>
    <t>LOT-081</t>
  </si>
  <si>
    <t>LOT-082</t>
  </si>
  <si>
    <t>LOT-083</t>
  </si>
  <si>
    <t>LOT-084</t>
  </si>
  <si>
    <t>LOT-085</t>
  </si>
  <si>
    <t>LOT-086</t>
  </si>
  <si>
    <t>LOT-087</t>
  </si>
  <si>
    <t>LOT-088</t>
  </si>
  <si>
    <t>LOT-089</t>
  </si>
  <si>
    <t>LOT-090</t>
  </si>
  <si>
    <t>LOT-091</t>
  </si>
  <si>
    <t>LOT-092</t>
  </si>
  <si>
    <t>LOT-093</t>
  </si>
  <si>
    <t>LOT-094</t>
  </si>
  <si>
    <t>LOT-095</t>
  </si>
  <si>
    <t>LOT-096</t>
  </si>
  <si>
    <t>LOT-097</t>
  </si>
  <si>
    <t>LOT-098</t>
  </si>
  <si>
    <t>LOT-099</t>
  </si>
  <si>
    <t>LOT-100</t>
  </si>
  <si>
    <t>LOT-101</t>
  </si>
  <si>
    <t>LOT-102</t>
  </si>
  <si>
    <t>LOT-103</t>
  </si>
  <si>
    <t>LOT-104</t>
  </si>
  <si>
    <t>LOT-105</t>
  </si>
  <si>
    <t>LOT-106</t>
  </si>
  <si>
    <t>LOT-107</t>
  </si>
  <si>
    <t>LOT-108</t>
  </si>
  <si>
    <t>LOT-109</t>
  </si>
  <si>
    <t>LOT-110</t>
  </si>
  <si>
    <t>LOT-111</t>
  </si>
  <si>
    <t>LOT-112</t>
  </si>
  <si>
    <t>LOT-113</t>
  </si>
  <si>
    <t>LOT-114</t>
  </si>
  <si>
    <t>LOT-115</t>
  </si>
  <si>
    <t>LOT-116</t>
  </si>
  <si>
    <t>LOT-117</t>
  </si>
  <si>
    <t>LOT-118</t>
  </si>
  <si>
    <t>LOT-119</t>
  </si>
  <si>
    <t>LOT-120</t>
  </si>
  <si>
    <t>LOT-121</t>
  </si>
  <si>
    <t>LOT-122</t>
  </si>
  <si>
    <t>LOT-123</t>
  </si>
  <si>
    <t>LOT-124</t>
  </si>
  <si>
    <t>LOT-125</t>
  </si>
  <si>
    <t>LOT-126</t>
  </si>
  <si>
    <t>LOT-127</t>
  </si>
  <si>
    <t>LOT-128</t>
  </si>
  <si>
    <t>LOT-129</t>
  </si>
  <si>
    <t>LOT-130</t>
  </si>
  <si>
    <t>LOT-131</t>
  </si>
  <si>
    <t>LOT-132</t>
  </si>
  <si>
    <t>LOT-133</t>
  </si>
  <si>
    <t>LOT-134</t>
  </si>
  <si>
    <t>LOT-135</t>
  </si>
  <si>
    <t>LOT-136</t>
  </si>
  <si>
    <t>LOT-137</t>
  </si>
  <si>
    <t>LOT-138</t>
  </si>
  <si>
    <t>LOT-139</t>
  </si>
  <si>
    <t>LOT-140</t>
  </si>
  <si>
    <t>LOT-141</t>
  </si>
  <si>
    <t>LOT-142</t>
  </si>
  <si>
    <t>LOT-143</t>
  </si>
  <si>
    <t>LOT-144</t>
  </si>
  <si>
    <t>LOT-145</t>
  </si>
  <si>
    <t>LOT-146</t>
  </si>
  <si>
    <t>LOT-147</t>
  </si>
  <si>
    <t>LOT-148</t>
  </si>
  <si>
    <t>LOT-149</t>
  </si>
  <si>
    <t>LOT-150</t>
  </si>
  <si>
    <t>LOT-151</t>
  </si>
  <si>
    <t>LOT-152</t>
  </si>
  <si>
    <t>LOT-153</t>
  </si>
  <si>
    <t>LOT-154</t>
  </si>
  <si>
    <t>LOT-155</t>
  </si>
  <si>
    <t>LOT-156</t>
  </si>
  <si>
    <t>LOT-157</t>
  </si>
  <si>
    <t>LOT-158</t>
  </si>
  <si>
    <t>LOT-159</t>
  </si>
  <si>
    <t>LOT-160</t>
  </si>
  <si>
    <t>LOT-161</t>
  </si>
  <si>
    <t>LOT-162</t>
  </si>
  <si>
    <t>LOT-163</t>
  </si>
  <si>
    <t>LOT-164</t>
  </si>
  <si>
    <t>LOT-165</t>
  </si>
  <si>
    <t>LOT-166</t>
  </si>
  <si>
    <t>LOT-167</t>
  </si>
  <si>
    <t>LOT-168</t>
  </si>
  <si>
    <t>LOT-169</t>
  </si>
  <si>
    <t>LOT-170</t>
  </si>
  <si>
    <t>LOT-171</t>
  </si>
  <si>
    <t>LOT-172</t>
  </si>
  <si>
    <t>LOT-173</t>
  </si>
  <si>
    <t>LOT-174</t>
  </si>
  <si>
    <t>LOT-175</t>
  </si>
  <si>
    <t>LOT-176</t>
  </si>
  <si>
    <t>LOT-177</t>
  </si>
  <si>
    <t>LOT-178</t>
  </si>
  <si>
    <t>LOT-179</t>
  </si>
  <si>
    <t>LOT-180</t>
  </si>
  <si>
    <t>LOT-181</t>
  </si>
  <si>
    <t>LOT-182</t>
  </si>
  <si>
    <t>LOT-183</t>
  </si>
  <si>
    <t>LOT-184</t>
  </si>
  <si>
    <t>LOT-185</t>
  </si>
  <si>
    <t>LOT-186</t>
  </si>
  <si>
    <t>LOT-187</t>
  </si>
  <si>
    <t>LOT-188</t>
  </si>
  <si>
    <t>LOT-189</t>
  </si>
  <si>
    <t>LOT-190</t>
  </si>
  <si>
    <t>LOT-191</t>
  </si>
  <si>
    <t>LOT-192</t>
  </si>
  <si>
    <t>LOT-193</t>
  </si>
  <si>
    <t>LOT-194</t>
  </si>
  <si>
    <t>LOT-195</t>
  </si>
  <si>
    <t>LOT-196</t>
  </si>
  <si>
    <t>LOT-197</t>
  </si>
  <si>
    <t>LOT-198</t>
  </si>
  <si>
    <t>LOT-199</t>
  </si>
  <si>
    <t>LOT-200</t>
  </si>
  <si>
    <t>LOT-201</t>
  </si>
  <si>
    <t>LOT-202</t>
  </si>
  <si>
    <t>LOT-203</t>
  </si>
  <si>
    <t>LOT-204</t>
  </si>
  <si>
    <t>LOT-205</t>
  </si>
  <si>
    <t>LOT-206</t>
  </si>
  <si>
    <t>LOT-207</t>
  </si>
  <si>
    <t>LOT-208</t>
  </si>
  <si>
    <t>LOT-209</t>
  </si>
  <si>
    <t>LOT-210</t>
  </si>
  <si>
    <t>LOT-211</t>
  </si>
  <si>
    <t>LOT-212</t>
  </si>
  <si>
    <t>LOT-213</t>
  </si>
  <si>
    <t>LOT-214</t>
  </si>
  <si>
    <t>LOT-215</t>
  </si>
  <si>
    <t>LOT-216</t>
  </si>
  <si>
    <t>LOT-217</t>
  </si>
  <si>
    <t>LOT-218</t>
  </si>
  <si>
    <t>LOT-219</t>
  </si>
  <si>
    <t>LOT-220</t>
  </si>
  <si>
    <t>LOT-221</t>
  </si>
  <si>
    <t>LOT-222</t>
  </si>
  <si>
    <t>LOT-223</t>
  </si>
  <si>
    <t>LOT-224</t>
  </si>
  <si>
    <t>LOT-225</t>
  </si>
  <si>
    <t>LOT-226</t>
  </si>
  <si>
    <t>LOT-227</t>
  </si>
  <si>
    <t>LOT-228</t>
  </si>
  <si>
    <t>LOT-229</t>
  </si>
  <si>
    <t>LOT-230</t>
  </si>
  <si>
    <t>LOT-231</t>
  </si>
  <si>
    <t>LOT-232</t>
  </si>
  <si>
    <t>LOT-233</t>
  </si>
  <si>
    <t>LOT-234</t>
  </si>
  <si>
    <t>LOT-235</t>
  </si>
  <si>
    <t>LOT-236</t>
  </si>
  <si>
    <t>LOT-237</t>
  </si>
  <si>
    <t>LOT-238</t>
  </si>
  <si>
    <t>LOT-239</t>
  </si>
  <si>
    <t>LOT-240</t>
  </si>
  <si>
    <t>LOT-241</t>
  </si>
  <si>
    <t>LOT-242</t>
  </si>
  <si>
    <t>LOT-243</t>
  </si>
  <si>
    <t>LOT-244</t>
  </si>
  <si>
    <t>LOT-245</t>
  </si>
  <si>
    <t>LOT-246</t>
  </si>
  <si>
    <t>LOT-247</t>
  </si>
  <si>
    <t>LOT-248</t>
  </si>
  <si>
    <t>LOT-249</t>
  </si>
  <si>
    <t>LOT-250</t>
  </si>
  <si>
    <t>LOT-251</t>
  </si>
  <si>
    <t>LOT-252</t>
  </si>
  <si>
    <t>LOT-253</t>
  </si>
  <si>
    <t>LOT-254</t>
  </si>
  <si>
    <t>LOT-255</t>
  </si>
  <si>
    <t>LOT-256</t>
  </si>
  <si>
    <t>LOT-257</t>
  </si>
  <si>
    <t>LOT-258</t>
  </si>
  <si>
    <t>LOT-259</t>
  </si>
  <si>
    <t>LOT-260</t>
  </si>
  <si>
    <t>LOT-261</t>
  </si>
  <si>
    <t>LOT-262</t>
  </si>
  <si>
    <t>LOT-263</t>
  </si>
  <si>
    <t>LOT-264</t>
  </si>
  <si>
    <t>LOT-265</t>
  </si>
  <si>
    <t>LOT-266</t>
  </si>
  <si>
    <t>LOT-267</t>
  </si>
  <si>
    <t>LOT-268</t>
  </si>
  <si>
    <t>LOT-269</t>
  </si>
  <si>
    <t>LOT-270</t>
  </si>
  <si>
    <t>LOT-271</t>
  </si>
  <si>
    <t>LOT-272</t>
  </si>
  <si>
    <t>LOT-273</t>
  </si>
  <si>
    <t>LOT-274</t>
  </si>
  <si>
    <t>LOT-275</t>
  </si>
  <si>
    <t>LOT-276</t>
  </si>
  <si>
    <t>LOT-277</t>
  </si>
  <si>
    <t>LOT-278</t>
  </si>
  <si>
    <t>LOT-279</t>
  </si>
  <si>
    <t>LOT-280</t>
  </si>
  <si>
    <t>LOT-281</t>
  </si>
  <si>
    <t>LOT-282</t>
  </si>
  <si>
    <t>LOT-283</t>
  </si>
  <si>
    <t>LOT-284</t>
  </si>
  <si>
    <t>LOT-285</t>
  </si>
  <si>
    <t>LOT-286</t>
  </si>
  <si>
    <t>LOT-287</t>
  </si>
  <si>
    <t>LOT-288</t>
  </si>
  <si>
    <t>LOT-289</t>
  </si>
  <si>
    <t>LOT-290</t>
  </si>
  <si>
    <t>LOT-291</t>
  </si>
  <si>
    <t>LOT-292</t>
  </si>
  <si>
    <t>LOT-293</t>
  </si>
  <si>
    <t>LOT-294</t>
  </si>
  <si>
    <t>LOT-295</t>
  </si>
  <si>
    <t>LOT-296</t>
  </si>
  <si>
    <t>LOT-297</t>
  </si>
  <si>
    <t>LOT-298</t>
  </si>
  <si>
    <t>LOT-299</t>
  </si>
  <si>
    <t>LOT-300</t>
  </si>
  <si>
    <t>LOT-301</t>
  </si>
  <si>
    <t>LOT-302</t>
  </si>
  <si>
    <t>LOT-303</t>
  </si>
  <si>
    <t>LOT-304</t>
  </si>
  <si>
    <t>LOT-305</t>
  </si>
  <si>
    <t>LOT-306</t>
  </si>
  <si>
    <t>LOT-307</t>
  </si>
  <si>
    <t>LOT-308</t>
  </si>
  <si>
    <t>LOT-309</t>
  </si>
  <si>
    <t>LOT-310</t>
  </si>
  <si>
    <t>LOT-311</t>
  </si>
  <si>
    <t>LOT-312</t>
  </si>
  <si>
    <t>LOT-313</t>
  </si>
  <si>
    <t>LOT-314</t>
  </si>
  <si>
    <t>LOT-315</t>
  </si>
  <si>
    <t>LOT-316</t>
  </si>
  <si>
    <t>LOT-317</t>
  </si>
  <si>
    <t>LOT-318</t>
  </si>
  <si>
    <t>LOT-319</t>
  </si>
  <si>
    <t>LOT-320</t>
  </si>
  <si>
    <t>LOT-321</t>
  </si>
  <si>
    <t>LOT-322</t>
  </si>
  <si>
    <t>LOT-323</t>
  </si>
  <si>
    <t>LOT-324</t>
  </si>
  <si>
    <t>LOT-325</t>
  </si>
  <si>
    <t>LOT-326</t>
  </si>
  <si>
    <t>LOT-327</t>
  </si>
  <si>
    <t>LOT-328</t>
  </si>
  <si>
    <t>LOT-329</t>
  </si>
  <si>
    <t>LOT-330</t>
  </si>
  <si>
    <t>LOT-331</t>
  </si>
  <si>
    <t>LOT-332</t>
  </si>
  <si>
    <t>LOT-333</t>
  </si>
  <si>
    <t>LOT-334</t>
  </si>
  <si>
    <t>LOT-335</t>
  </si>
  <si>
    <t>LOT-336</t>
  </si>
  <si>
    <t>LOT-337</t>
  </si>
  <si>
    <t>LOT-338</t>
  </si>
  <si>
    <t>LOT-339</t>
  </si>
  <si>
    <t>LOT-340</t>
  </si>
  <si>
    <t>LOT-341</t>
  </si>
  <si>
    <t>LOT-342</t>
  </si>
  <si>
    <t>LOT-343</t>
  </si>
  <si>
    <t>LOT-344</t>
  </si>
  <si>
    <t>LOT-345</t>
  </si>
  <si>
    <t>LOT-346</t>
  </si>
  <si>
    <t>LOT-347</t>
  </si>
  <si>
    <t>LOT-348</t>
  </si>
  <si>
    <t>LOT-349</t>
  </si>
  <si>
    <t>LOT-350</t>
  </si>
  <si>
    <t>LOT-351</t>
  </si>
  <si>
    <t>LOT-352</t>
  </si>
  <si>
    <t>LOT-353</t>
  </si>
  <si>
    <t>LOT-354</t>
  </si>
  <si>
    <t>LOT-355</t>
  </si>
  <si>
    <t>LOT-356</t>
  </si>
  <si>
    <t>LOT-357</t>
  </si>
  <si>
    <t>LOT-358</t>
  </si>
  <si>
    <t>LOT-359</t>
  </si>
  <si>
    <t>LOT-360</t>
  </si>
  <si>
    <t>LOT-361</t>
  </si>
  <si>
    <t>LOT-362</t>
  </si>
  <si>
    <t>LOT-363</t>
  </si>
  <si>
    <t>LOT-364</t>
  </si>
  <si>
    <t>LOT-365</t>
  </si>
  <si>
    <t>LOT-366</t>
  </si>
  <si>
    <t>LOT-367</t>
  </si>
  <si>
    <t>LOT-368</t>
  </si>
  <si>
    <t>LOT-369</t>
  </si>
  <si>
    <t>LOT-370</t>
  </si>
  <si>
    <t>LOT-371</t>
  </si>
  <si>
    <t>LOT-372</t>
  </si>
  <si>
    <t>LOT-373</t>
  </si>
  <si>
    <t>LOT-374</t>
  </si>
  <si>
    <t>LOT-375</t>
  </si>
  <si>
    <t>LOT-376</t>
  </si>
  <si>
    <t>LOT-377</t>
  </si>
  <si>
    <t>LOT-378</t>
  </si>
  <si>
    <t>LOT-379</t>
  </si>
  <si>
    <t>LOT-380</t>
  </si>
  <si>
    <t>LOT-381</t>
  </si>
  <si>
    <t>LOT-382</t>
  </si>
  <si>
    <t>LOT-383</t>
  </si>
  <si>
    <t>LOT-384</t>
  </si>
  <si>
    <t>LOT-385</t>
  </si>
  <si>
    <t>LOT-386</t>
  </si>
  <si>
    <t>LOT-387</t>
  </si>
  <si>
    <t>LOT-388</t>
  </si>
  <si>
    <t>LOT-389</t>
  </si>
  <si>
    <t>LOT-390</t>
  </si>
  <si>
    <t>LOT-391</t>
  </si>
  <si>
    <t>LOT-392</t>
  </si>
  <si>
    <t>LOT-393</t>
  </si>
  <si>
    <t>LOT-394</t>
  </si>
  <si>
    <t>LOT-395</t>
  </si>
  <si>
    <t>LOT-396</t>
  </si>
  <si>
    <t>LOT-397</t>
  </si>
  <si>
    <t>LOT-398</t>
  </si>
  <si>
    <t>LOT-399</t>
  </si>
  <si>
    <t>LOT-400</t>
  </si>
  <si>
    <t>LOT-401</t>
  </si>
  <si>
    <t>LOT-402</t>
  </si>
  <si>
    <t>LOT-403</t>
  </si>
  <si>
    <t>LOT-404</t>
  </si>
  <si>
    <t>LOT-405</t>
  </si>
  <si>
    <t>LOT-406</t>
  </si>
  <si>
    <t>LOT-407</t>
  </si>
  <si>
    <t>LOT-408</t>
  </si>
  <si>
    <t>LOT-409</t>
  </si>
  <si>
    <t>LOT-410</t>
  </si>
  <si>
    <t>LOT-411</t>
  </si>
  <si>
    <t>LOT-412</t>
  </si>
  <si>
    <t>LOT-413</t>
  </si>
  <si>
    <t>LOT-414</t>
  </si>
  <si>
    <t>LOT-415</t>
  </si>
  <si>
    <t>LOT-416</t>
  </si>
  <si>
    <t>LOT-417</t>
  </si>
  <si>
    <t>LOT-418</t>
  </si>
  <si>
    <t>LOT-419</t>
  </si>
  <si>
    <t>LOT-420</t>
  </si>
  <si>
    <t>LOT-421</t>
  </si>
  <si>
    <t>LOT-422</t>
  </si>
  <si>
    <t>LOT-423</t>
  </si>
  <si>
    <t>LOT-424</t>
  </si>
  <si>
    <t>LOT-425</t>
  </si>
  <si>
    <t>LOT-426</t>
  </si>
  <si>
    <t>LOT-427</t>
  </si>
  <si>
    <t>LOT-428</t>
  </si>
  <si>
    <t>LOT-429</t>
  </si>
  <si>
    <t>LOT-430</t>
  </si>
  <si>
    <t>LOT-431</t>
  </si>
  <si>
    <t>LOT-432</t>
  </si>
  <si>
    <t>LOT-433</t>
  </si>
  <si>
    <t>LOT-434</t>
  </si>
  <si>
    <t>LOT-435</t>
  </si>
  <si>
    <t>LOT-436</t>
  </si>
  <si>
    <t>LOT-437</t>
  </si>
  <si>
    <t>LOT-438</t>
  </si>
  <si>
    <t>LOT-439</t>
  </si>
  <si>
    <t>LOT-440</t>
  </si>
  <si>
    <t>LOT-441</t>
  </si>
  <si>
    <t>LOT-442</t>
  </si>
  <si>
    <t>LOT-443</t>
  </si>
  <si>
    <t>LOT-444</t>
  </si>
  <si>
    <t>LOT-445</t>
  </si>
  <si>
    <t>LOT-446</t>
  </si>
  <si>
    <t>LOT-447</t>
  </si>
  <si>
    <t>LOT-448</t>
  </si>
  <si>
    <t>LOT-449</t>
  </si>
  <si>
    <t>LOT-450</t>
  </si>
  <si>
    <t>LOT-451</t>
  </si>
  <si>
    <t>LOT-452</t>
  </si>
  <si>
    <t>LOT-453</t>
  </si>
  <si>
    <t>LOT-454</t>
  </si>
  <si>
    <t>LOT-455</t>
  </si>
  <si>
    <t>LOT-456</t>
  </si>
  <si>
    <t>LOT-457</t>
  </si>
  <si>
    <t>LOT-458</t>
  </si>
  <si>
    <t>LOT-459</t>
  </si>
  <si>
    <t>LOT-460</t>
  </si>
  <si>
    <t>LOT-461</t>
  </si>
  <si>
    <t>LOT-462</t>
  </si>
  <si>
    <t>LOT-463</t>
  </si>
  <si>
    <t>LOT-464</t>
  </si>
  <si>
    <t>LOT-465</t>
  </si>
  <si>
    <t>LOT-466</t>
  </si>
  <si>
    <t>LOT-467</t>
  </si>
  <si>
    <t>LOT-468</t>
  </si>
  <si>
    <t>LOT-469</t>
  </si>
  <si>
    <t>LOT-470</t>
  </si>
  <si>
    <t>LOT-471</t>
  </si>
  <si>
    <t>LOT-472</t>
  </si>
  <si>
    <t>LOT-473</t>
  </si>
  <si>
    <t>LOT-474</t>
  </si>
  <si>
    <t>LOT-475</t>
  </si>
  <si>
    <t>LOT-476</t>
  </si>
  <si>
    <t>LOT-477</t>
  </si>
  <si>
    <t>LOT-478</t>
  </si>
  <si>
    <t>LOT-479</t>
  </si>
  <si>
    <t>LOT-480</t>
  </si>
  <si>
    <t>LOT-481</t>
  </si>
  <si>
    <t>LOT-482</t>
  </si>
  <si>
    <t>LOT-483</t>
  </si>
  <si>
    <t>LOT-484</t>
  </si>
  <si>
    <t>LOT-485</t>
  </si>
  <si>
    <t>LOT-486</t>
  </si>
  <si>
    <t>LOT-487</t>
  </si>
  <si>
    <t>LOT-488</t>
  </si>
  <si>
    <t>LOT-489</t>
  </si>
  <si>
    <t>LOT-490</t>
  </si>
  <si>
    <t>LOT-491</t>
  </si>
  <si>
    <t>LOT-492</t>
  </si>
  <si>
    <t>LOT-493</t>
  </si>
  <si>
    <t>LOT-494</t>
  </si>
  <si>
    <t>LOT-495</t>
  </si>
  <si>
    <t>LOT-496</t>
  </si>
  <si>
    <t>LOT-497</t>
  </si>
  <si>
    <t>LOT-498</t>
  </si>
  <si>
    <t>LOT-499</t>
  </si>
  <si>
    <t>LOT-500</t>
  </si>
  <si>
    <t>LOT-501</t>
  </si>
  <si>
    <t>LOT-502</t>
  </si>
  <si>
    <t>LOT-503</t>
  </si>
  <si>
    <t>LOT-504</t>
  </si>
  <si>
    <t>LOT-505</t>
  </si>
  <si>
    <t>LOT-506</t>
  </si>
  <si>
    <t>LOT-507</t>
  </si>
  <si>
    <t>LOT-508</t>
  </si>
  <si>
    <t>LOT-509</t>
  </si>
  <si>
    <t>LOT-510</t>
  </si>
  <si>
    <t>LOT-511</t>
  </si>
  <si>
    <t>LOT-512</t>
  </si>
  <si>
    <t>LOT-513</t>
  </si>
  <si>
    <t>LOT-514</t>
  </si>
  <si>
    <t>LOT-515</t>
  </si>
  <si>
    <t>LOT-516</t>
  </si>
  <si>
    <t>LOT-517</t>
  </si>
  <si>
    <t>LOT-518</t>
  </si>
  <si>
    <t>LOT-519</t>
  </si>
  <si>
    <t>LOT-520</t>
  </si>
  <si>
    <t>LOT-521</t>
  </si>
  <si>
    <t>LOT-522</t>
  </si>
  <si>
    <t>LOT-523</t>
  </si>
  <si>
    <t>LOT-524</t>
  </si>
  <si>
    <t>LOT-525</t>
  </si>
  <si>
    <t>LOT-526</t>
  </si>
  <si>
    <t>LOT-527</t>
  </si>
  <si>
    <t>LOT-528</t>
  </si>
  <si>
    <t>LOT-529</t>
  </si>
  <si>
    <t>LOT-530</t>
  </si>
  <si>
    <t>LOT-531</t>
  </si>
  <si>
    <t>LOT-532</t>
  </si>
  <si>
    <t>LOT-533</t>
  </si>
  <si>
    <t>LOT-534</t>
  </si>
  <si>
    <t>LOT-535</t>
  </si>
  <si>
    <t>LOT-536</t>
  </si>
  <si>
    <t>LOT-537</t>
  </si>
  <si>
    <t>LOT-538</t>
  </si>
  <si>
    <t>LOT-539</t>
  </si>
  <si>
    <t>LOT-540</t>
  </si>
  <si>
    <t>LOT-541</t>
  </si>
  <si>
    <t>LOT-542</t>
  </si>
  <si>
    <t>LOT-543</t>
  </si>
  <si>
    <t>LOT-544</t>
  </si>
  <si>
    <t>LOT-545</t>
  </si>
  <si>
    <t>LOT-546</t>
  </si>
  <si>
    <t>LOT-547</t>
  </si>
  <si>
    <t>LOT-548</t>
  </si>
  <si>
    <t>LOT-549</t>
  </si>
  <si>
    <t>LOT-550</t>
  </si>
  <si>
    <t>LOT-551</t>
  </si>
  <si>
    <t>LOT-552</t>
  </si>
  <si>
    <t>LOT-553</t>
  </si>
  <si>
    <t>LOT-554</t>
  </si>
  <si>
    <t>LOT-555</t>
  </si>
  <si>
    <t>LOT-556</t>
  </si>
  <si>
    <t>LOT-557</t>
  </si>
  <si>
    <t>LOT-558</t>
  </si>
  <si>
    <t>LOT-559</t>
  </si>
  <si>
    <t>LOT-560</t>
  </si>
  <si>
    <t>LOT-561</t>
  </si>
  <si>
    <t>LOT-562</t>
  </si>
  <si>
    <t>LOT-563</t>
  </si>
  <si>
    <t>LOT-564</t>
  </si>
  <si>
    <t>LOT-565</t>
  </si>
  <si>
    <t>LOT-566</t>
  </si>
  <si>
    <t>LOT-567</t>
  </si>
  <si>
    <t>LOT-568</t>
  </si>
  <si>
    <t>LOT-569</t>
  </si>
  <si>
    <t>LOT-570</t>
  </si>
  <si>
    <t>LOT-571</t>
  </si>
  <si>
    <t>LOT-572</t>
  </si>
  <si>
    <t>LOT-573</t>
  </si>
  <si>
    <t>LOT-574</t>
  </si>
  <si>
    <t>LOT-575</t>
  </si>
  <si>
    <t>LOT-576</t>
  </si>
  <si>
    <t>LOT-577</t>
  </si>
  <si>
    <t>LOT-578</t>
  </si>
  <si>
    <t>LOT-579</t>
  </si>
  <si>
    <t>LOT-580</t>
  </si>
  <si>
    <t>LOT-581</t>
  </si>
  <si>
    <t>LOT-582</t>
  </si>
  <si>
    <t>LOT-583</t>
  </si>
  <si>
    <t>LOT-584</t>
  </si>
  <si>
    <t>LOT-585</t>
  </si>
  <si>
    <t>LOT-586</t>
  </si>
  <si>
    <t>LOT-587</t>
  </si>
  <si>
    <t>LOT-588</t>
  </si>
  <si>
    <t>LOT-589</t>
  </si>
  <si>
    <t>LOT-590</t>
  </si>
  <si>
    <t>LOT-591</t>
  </si>
  <si>
    <t>LOT-592</t>
  </si>
  <si>
    <t>LOT-593</t>
  </si>
  <si>
    <t>LOT-594</t>
  </si>
  <si>
    <t>LOT-595</t>
  </si>
  <si>
    <t>LOT-596</t>
  </si>
  <si>
    <t>LOT-597</t>
  </si>
  <si>
    <t>LOT-598</t>
  </si>
  <si>
    <t>LOT-599</t>
  </si>
  <si>
    <t>LOT-600</t>
  </si>
  <si>
    <t>LOT-601</t>
  </si>
  <si>
    <t>LOT-602</t>
  </si>
  <si>
    <t>LOT-603</t>
  </si>
  <si>
    <t>LOT-604</t>
  </si>
  <si>
    <t>LOT-605</t>
  </si>
  <si>
    <t>LOT-606</t>
  </si>
  <si>
    <t>LOT-607</t>
  </si>
  <si>
    <t>LOT-608</t>
  </si>
  <si>
    <t>LOT-609</t>
  </si>
  <si>
    <t>LOT-610</t>
  </si>
  <si>
    <t>LOT-611</t>
  </si>
  <si>
    <t>LOT-612</t>
  </si>
  <si>
    <t>LOT-613</t>
  </si>
  <si>
    <t>LOT-614</t>
  </si>
  <si>
    <t>LOT-615</t>
  </si>
  <si>
    <t>LOT-616</t>
  </si>
  <si>
    <t>LOT-617</t>
  </si>
  <si>
    <t>LOT-618</t>
  </si>
  <si>
    <t>LOT-619</t>
  </si>
  <si>
    <t>LOT-620</t>
  </si>
  <si>
    <t>LOT-621</t>
  </si>
  <si>
    <t>LOT-622</t>
  </si>
  <si>
    <t>LOT-623</t>
  </si>
  <si>
    <t>LOT-624</t>
  </si>
  <si>
    <t>LOT-625</t>
  </si>
  <si>
    <t>LOT-626</t>
  </si>
  <si>
    <t>LOT-627</t>
  </si>
  <si>
    <t>LOT-628</t>
  </si>
  <si>
    <t>LOT-629</t>
  </si>
  <si>
    <t>LOT-630</t>
  </si>
  <si>
    <t>LOT-631</t>
  </si>
  <si>
    <t>LOT-632</t>
  </si>
  <si>
    <t>LOT-633</t>
  </si>
  <si>
    <t>LOT-634</t>
  </si>
  <si>
    <t>LOT-635</t>
  </si>
  <si>
    <t>LOT-636</t>
  </si>
  <si>
    <t>LOT-637</t>
  </si>
  <si>
    <t>LOT-638</t>
  </si>
  <si>
    <t>LOT-639</t>
  </si>
  <si>
    <t>LOT-640</t>
  </si>
  <si>
    <t>LOT-641</t>
  </si>
  <si>
    <t>LOT-642</t>
  </si>
  <si>
    <t>LOT-643</t>
  </si>
  <si>
    <t>LOT-644</t>
  </si>
  <si>
    <t>LOT-645</t>
  </si>
  <si>
    <t>LOT-646</t>
  </si>
  <si>
    <t>LOT-647</t>
  </si>
  <si>
    <t>LOT-648</t>
  </si>
  <si>
    <t>LOT-649</t>
  </si>
  <si>
    <t>LOT-650</t>
  </si>
  <si>
    <t>LOT-651</t>
  </si>
  <si>
    <t>LOT-652</t>
  </si>
  <si>
    <t>LOT-653</t>
  </si>
  <si>
    <t>LOT-654</t>
  </si>
  <si>
    <t>LOT-655</t>
  </si>
  <si>
    <t>LOT-656</t>
  </si>
  <si>
    <t>LOT-657</t>
  </si>
  <si>
    <t>LOT-658</t>
  </si>
  <si>
    <t>LOT-659</t>
  </si>
  <si>
    <t>LOT-660</t>
  </si>
  <si>
    <t>LOT-661</t>
  </si>
  <si>
    <t>LOT-662</t>
  </si>
  <si>
    <t>LOT-663</t>
  </si>
  <si>
    <t>LOT-664</t>
  </si>
  <si>
    <t>LOT-665</t>
  </si>
  <si>
    <t>LOT-666</t>
  </si>
  <si>
    <t>LOT-667</t>
  </si>
  <si>
    <t>LOT-668</t>
  </si>
  <si>
    <t>LOT-669</t>
  </si>
  <si>
    <t>LOT-670</t>
  </si>
  <si>
    <t>LOT-671</t>
  </si>
  <si>
    <t>LOT-672</t>
  </si>
  <si>
    <t>LOT-673</t>
  </si>
  <si>
    <t>LOT-674</t>
  </si>
  <si>
    <t>LOT-675</t>
  </si>
  <si>
    <t>LOT-676</t>
  </si>
  <si>
    <t>LOT-677</t>
  </si>
  <si>
    <t>LOT-678</t>
  </si>
  <si>
    <t>LOT-679</t>
  </si>
  <si>
    <t>LOT-680</t>
  </si>
  <si>
    <t>LOT-681</t>
  </si>
  <si>
    <t>LOT-682</t>
  </si>
  <si>
    <t>LOT-683</t>
  </si>
  <si>
    <t>LOT-684</t>
  </si>
  <si>
    <t>LOT-685</t>
  </si>
  <si>
    <t>LOT-686</t>
  </si>
  <si>
    <t>LOT-687</t>
  </si>
  <si>
    <t>LOT-688</t>
  </si>
  <si>
    <t>LOT-689</t>
  </si>
  <si>
    <t>LOT-690</t>
  </si>
  <si>
    <t>LOT-691</t>
  </si>
  <si>
    <t>LOT-692</t>
  </si>
  <si>
    <t>LOT-693</t>
  </si>
  <si>
    <t>LOT-694</t>
  </si>
  <si>
    <t>LOT-695</t>
  </si>
  <si>
    <t>LOT-696</t>
  </si>
  <si>
    <t>LOT-697</t>
  </si>
  <si>
    <t>LOT-698</t>
  </si>
  <si>
    <t>LOT-699</t>
  </si>
  <si>
    <t>LOT-700</t>
  </si>
  <si>
    <t>LOT-701</t>
  </si>
  <si>
    <t>LOT-702</t>
  </si>
  <si>
    <t>LOT-703</t>
  </si>
  <si>
    <t>LOT-704</t>
  </si>
  <si>
    <t>LOT-705</t>
  </si>
  <si>
    <t>LOT-706</t>
  </si>
  <si>
    <t>LOT-707</t>
  </si>
  <si>
    <t>LOT-708</t>
  </si>
  <si>
    <t>LOT-709</t>
  </si>
  <si>
    <t>LOT-710</t>
  </si>
  <si>
    <t>LOT-711</t>
  </si>
  <si>
    <t>LOT-712</t>
  </si>
  <si>
    <t>LOT-713</t>
  </si>
  <si>
    <t>LOT-714</t>
  </si>
  <si>
    <t>LOT-715</t>
  </si>
  <si>
    <t>LOT-716</t>
  </si>
  <si>
    <t>LOT-717</t>
  </si>
  <si>
    <t>LOT-718</t>
  </si>
  <si>
    <t>LOT-719</t>
  </si>
  <si>
    <t>LOT-720</t>
  </si>
  <si>
    <t>LOT-721</t>
  </si>
  <si>
    <t>LOT-722</t>
  </si>
  <si>
    <t>LOT-723</t>
  </si>
  <si>
    <t>LOT-724</t>
  </si>
  <si>
    <t>LOT-725</t>
  </si>
  <si>
    <t>LOT-726</t>
  </si>
  <si>
    <t>LOT-727</t>
  </si>
  <si>
    <t>LOT-728</t>
  </si>
  <si>
    <t>LOT-729</t>
  </si>
  <si>
    <t>LOT-730</t>
  </si>
  <si>
    <t>LOT-731</t>
  </si>
  <si>
    <t>LOT-732</t>
  </si>
  <si>
    <t>LOT-733</t>
  </si>
  <si>
    <t>LOT-734</t>
  </si>
  <si>
    <t>LOT-735</t>
  </si>
  <si>
    <t>LOT-736</t>
  </si>
  <si>
    <t>LOT-737</t>
  </si>
  <si>
    <t>LOT-738</t>
  </si>
  <si>
    <t>LOT-739</t>
  </si>
  <si>
    <t>LOT-740</t>
  </si>
  <si>
    <t>LOT-741</t>
  </si>
  <si>
    <t>LOT-742</t>
  </si>
  <si>
    <t>LOT-743</t>
  </si>
  <si>
    <t>LOT-744</t>
  </si>
  <si>
    <t>LOT-745</t>
  </si>
  <si>
    <t>LOT-746</t>
  </si>
  <si>
    <t>LOT-747</t>
  </si>
  <si>
    <t>LOT-748</t>
  </si>
  <si>
    <t>LOT-749</t>
  </si>
  <si>
    <t>LOT-750</t>
  </si>
  <si>
    <t>LOT-751</t>
  </si>
  <si>
    <t>LOT-752</t>
  </si>
  <si>
    <t>LOT-753</t>
  </si>
  <si>
    <t>LOT-754</t>
  </si>
  <si>
    <t>LOT-755</t>
  </si>
  <si>
    <t>LOT-756</t>
  </si>
  <si>
    <t>LOT-757</t>
  </si>
  <si>
    <t>LOT-758</t>
  </si>
  <si>
    <t>LOT-759</t>
  </si>
  <si>
    <t>LOT-760</t>
  </si>
  <si>
    <t>LOT-761</t>
  </si>
  <si>
    <t>LOT-762</t>
  </si>
  <si>
    <t>LOT-763</t>
  </si>
  <si>
    <t>LOT-764</t>
  </si>
  <si>
    <t>LOT-765</t>
  </si>
  <si>
    <t>LOT-766</t>
  </si>
  <si>
    <t>LOT-767</t>
  </si>
  <si>
    <t>LOT-768</t>
  </si>
  <si>
    <t>LOT-769</t>
  </si>
  <si>
    <t>LOT-770</t>
  </si>
  <si>
    <t>LOT-771</t>
  </si>
  <si>
    <t>LOT-772</t>
  </si>
  <si>
    <t>LOT-773</t>
  </si>
  <si>
    <t>LOT-774</t>
  </si>
  <si>
    <t>LOT-775</t>
  </si>
  <si>
    <t>LOT-776</t>
  </si>
  <si>
    <t>LOT-777</t>
  </si>
  <si>
    <t>LOT-778</t>
  </si>
  <si>
    <t>LOT-779</t>
  </si>
  <si>
    <t>LOT-780</t>
  </si>
  <si>
    <t>LOT-781</t>
  </si>
  <si>
    <t>LOT-782</t>
  </si>
  <si>
    <t>LOT-783</t>
  </si>
  <si>
    <t>LOT-784</t>
  </si>
  <si>
    <t>LOT-785</t>
  </si>
  <si>
    <t>LOT-786</t>
  </si>
  <si>
    <t>LOT-787</t>
  </si>
  <si>
    <t>LOT-788</t>
  </si>
  <si>
    <t>LOT-789</t>
  </si>
  <si>
    <t>LOT-790</t>
  </si>
  <si>
    <t>LOT-791</t>
  </si>
  <si>
    <t>LOT-792</t>
  </si>
  <si>
    <t>LOT-793</t>
  </si>
  <si>
    <t>LOT-794</t>
  </si>
  <si>
    <t>LOT-795</t>
  </si>
  <si>
    <t>LOT-796</t>
  </si>
  <si>
    <t>LOT-797</t>
  </si>
  <si>
    <t>LOT-798</t>
  </si>
  <si>
    <t>LOT-799</t>
  </si>
  <si>
    <t>LOT-800</t>
  </si>
  <si>
    <t>LOT-801</t>
  </si>
  <si>
    <t>LOT-802</t>
  </si>
  <si>
    <t>LOT-803</t>
  </si>
  <si>
    <t>LOT-804</t>
  </si>
  <si>
    <t>LOT-805</t>
  </si>
  <si>
    <t>LOT-806</t>
  </si>
  <si>
    <t>LOT-807</t>
  </si>
  <si>
    <t>LOT-808</t>
  </si>
  <si>
    <t>LOT-809</t>
  </si>
  <si>
    <t>LOT-810</t>
  </si>
  <si>
    <t>LOT-811</t>
  </si>
  <si>
    <t>LOT-812</t>
  </si>
  <si>
    <t>LOT-813</t>
  </si>
  <si>
    <t>LOT-814</t>
  </si>
  <si>
    <t>LOT-815</t>
  </si>
  <si>
    <t>LOT-816</t>
  </si>
  <si>
    <t>LOT-817</t>
  </si>
  <si>
    <t>LOT-818</t>
  </si>
  <si>
    <t>LOT-819</t>
  </si>
  <si>
    <t>LOT-820</t>
  </si>
  <si>
    <t>LOT-821</t>
  </si>
  <si>
    <t>LOT-822</t>
  </si>
  <si>
    <t>LOT-823</t>
  </si>
  <si>
    <t>LOT-824</t>
  </si>
  <si>
    <t>LOT-825</t>
  </si>
  <si>
    <t>LOT-826</t>
  </si>
  <si>
    <t>LOT-827</t>
  </si>
  <si>
    <t>LOT-828</t>
  </si>
  <si>
    <t>LOT-829</t>
  </si>
  <si>
    <t>LOT-830</t>
  </si>
  <si>
    <t>LOT-831</t>
  </si>
  <si>
    <t>LOT-832</t>
  </si>
  <si>
    <t>LOT-833</t>
  </si>
  <si>
    <t>LOT-834</t>
  </si>
  <si>
    <t>LOT-835</t>
  </si>
  <si>
    <t>LOT-836</t>
  </si>
  <si>
    <t>LOT-837</t>
  </si>
  <si>
    <t>LOT-838</t>
  </si>
  <si>
    <t>LOT-839</t>
  </si>
  <si>
    <t>LOT-840</t>
  </si>
  <si>
    <t>LOT-841</t>
  </si>
  <si>
    <t>LOT-842</t>
  </si>
  <si>
    <t>LOT-843</t>
  </si>
  <si>
    <t>LOT-844</t>
  </si>
  <si>
    <t>LOT-845</t>
  </si>
  <si>
    <t>LOT-846</t>
  </si>
  <si>
    <t>LOT-847</t>
  </si>
  <si>
    <t>LOT-848</t>
  </si>
  <si>
    <t>LOT-849</t>
  </si>
  <si>
    <t>LOT-850</t>
  </si>
  <si>
    <t>LOT-851</t>
  </si>
  <si>
    <t>LOT-852</t>
  </si>
  <si>
    <t>LOT-853</t>
  </si>
  <si>
    <t>LOT-854</t>
  </si>
  <si>
    <t>LOT-855</t>
  </si>
  <si>
    <t>LOT-856</t>
  </si>
  <si>
    <t>LOT-857</t>
  </si>
  <si>
    <t>LOT-858</t>
  </si>
  <si>
    <t>LOT-859</t>
  </si>
  <si>
    <t>LOT-860</t>
  </si>
  <si>
    <t>LOT-861</t>
  </si>
  <si>
    <t>LOT-862</t>
  </si>
  <si>
    <t>LOT-863</t>
  </si>
  <si>
    <t>LOT-864</t>
  </si>
  <si>
    <t>LOT-865</t>
  </si>
  <si>
    <t>LOT-866</t>
  </si>
  <si>
    <t>LOT-867</t>
  </si>
  <si>
    <t>LOT-868</t>
  </si>
  <si>
    <t>LOT-869</t>
  </si>
  <si>
    <t>LOT-870</t>
  </si>
  <si>
    <t>LOT-871</t>
  </si>
  <si>
    <t>LOT-872</t>
  </si>
  <si>
    <t>LOT-873</t>
  </si>
  <si>
    <t>LOT-874</t>
  </si>
  <si>
    <t>LOT-875</t>
  </si>
  <si>
    <t>LOT-876</t>
  </si>
  <si>
    <t>LOT-877</t>
  </si>
  <si>
    <t>LOT-878</t>
  </si>
  <si>
    <t>LOT-879</t>
  </si>
  <si>
    <t>LOT-880</t>
  </si>
  <si>
    <t>LOT-881</t>
  </si>
  <si>
    <t>LOT-882</t>
  </si>
  <si>
    <t>LOT-883</t>
  </si>
  <si>
    <t>LOT-884</t>
  </si>
  <si>
    <t>LOT-885</t>
  </si>
  <si>
    <t>LOT-886</t>
  </si>
  <si>
    <t>LOT-887</t>
  </si>
  <si>
    <t>LOT-888</t>
  </si>
  <si>
    <t>LOT-889</t>
  </si>
  <si>
    <t>LOT-890</t>
  </si>
  <si>
    <t>LOT-891</t>
  </si>
  <si>
    <t>LOT-892</t>
  </si>
  <si>
    <t>LOT-893</t>
  </si>
  <si>
    <t>LOT-894</t>
  </si>
  <si>
    <t>LOT-895</t>
  </si>
  <si>
    <t>LOT-896</t>
  </si>
  <si>
    <t>LOT-897</t>
  </si>
  <si>
    <t>LOT-898</t>
  </si>
  <si>
    <t>LOT-899</t>
  </si>
  <si>
    <t>LOT-900</t>
  </si>
  <si>
    <t>LOT-901</t>
  </si>
  <si>
    <t>LOT-902</t>
  </si>
  <si>
    <t>LOT-903</t>
  </si>
  <si>
    <t>LOT-904</t>
  </si>
  <si>
    <t>LOT-905</t>
  </si>
  <si>
    <t>LOT-906</t>
  </si>
  <si>
    <t>LOT-907</t>
  </si>
  <si>
    <t>LOT-908</t>
  </si>
  <si>
    <t>LOT-909</t>
  </si>
  <si>
    <t>LOT-910</t>
  </si>
  <si>
    <t>LOT-911</t>
  </si>
  <si>
    <t>LOT-912</t>
  </si>
  <si>
    <t>LOT-913</t>
  </si>
  <si>
    <t>LOT-914</t>
  </si>
  <si>
    <t>LOT-915</t>
  </si>
  <si>
    <t>LOT-916</t>
  </si>
  <si>
    <t>LOT-917</t>
  </si>
  <si>
    <t>LOT-918</t>
  </si>
  <si>
    <t>LOT-919</t>
  </si>
  <si>
    <t>LOT-920</t>
  </si>
  <si>
    <t>LOT-921</t>
  </si>
  <si>
    <t>LOT-922</t>
  </si>
  <si>
    <t>LOT-923</t>
  </si>
  <si>
    <t>LOT-924</t>
  </si>
  <si>
    <t>LOT-925</t>
  </si>
  <si>
    <t>LOT-926</t>
  </si>
  <si>
    <t>LOT-927</t>
  </si>
  <si>
    <t>LOT-928</t>
  </si>
  <si>
    <t>LOT-929</t>
  </si>
  <si>
    <t>LOT-930</t>
  </si>
  <si>
    <t>LOT-931</t>
  </si>
  <si>
    <t>LOT-932</t>
  </si>
  <si>
    <t>LOT-933</t>
  </si>
  <si>
    <t>LOT-934</t>
  </si>
  <si>
    <t>LOT-935</t>
  </si>
  <si>
    <t>LOT-936</t>
  </si>
  <si>
    <t>LOT-937</t>
  </si>
  <si>
    <t>LOT-938</t>
  </si>
  <si>
    <t>LOT-939</t>
  </si>
  <si>
    <t>LOT-940</t>
  </si>
  <si>
    <t>LOT-941</t>
  </si>
  <si>
    <t>LOT-942</t>
  </si>
  <si>
    <t>LOT-943</t>
  </si>
  <si>
    <t>LOT-944</t>
  </si>
  <si>
    <t>LOT-945</t>
  </si>
  <si>
    <t>LOT-946</t>
  </si>
  <si>
    <t>LOT-947</t>
  </si>
  <si>
    <t>LOT-948</t>
  </si>
  <si>
    <t>LOT-949</t>
  </si>
  <si>
    <t>LOT-950</t>
  </si>
  <si>
    <t>LOT-951</t>
  </si>
  <si>
    <t>LOT-952</t>
  </si>
  <si>
    <t>LOT-953</t>
  </si>
  <si>
    <t>LOT-954</t>
  </si>
  <si>
    <t>LOT-955</t>
  </si>
  <si>
    <t>LOT-956</t>
  </si>
  <si>
    <t>LOT-957</t>
  </si>
  <si>
    <t>LOT-958</t>
  </si>
  <si>
    <t>LOT-959</t>
  </si>
  <si>
    <t>LOT-960</t>
  </si>
  <si>
    <t>LOT-961</t>
  </si>
  <si>
    <t>LOT-962</t>
  </si>
  <si>
    <t>LOT-963</t>
  </si>
  <si>
    <t>LOT-964</t>
  </si>
  <si>
    <t>LOT-965</t>
  </si>
  <si>
    <t>LOT-966</t>
  </si>
  <si>
    <t>LOT-967</t>
  </si>
  <si>
    <t>LOT-968</t>
  </si>
  <si>
    <t>LOT-969</t>
  </si>
  <si>
    <t>LOT-970</t>
  </si>
  <si>
    <t>LOT-971</t>
  </si>
  <si>
    <t>LOT-972</t>
  </si>
  <si>
    <t>LOT-973</t>
  </si>
  <si>
    <t>LOT-974</t>
  </si>
  <si>
    <t>LOT-975</t>
  </si>
  <si>
    <t>LOT-976</t>
  </si>
  <si>
    <t>LOT-977</t>
  </si>
  <si>
    <t>LOT-978</t>
  </si>
  <si>
    <t>LOT-979</t>
  </si>
  <si>
    <t>LOT-980</t>
  </si>
  <si>
    <t>LOT-981</t>
  </si>
  <si>
    <t>LOT-982</t>
  </si>
  <si>
    <t>LOT-983</t>
  </si>
  <si>
    <t>LOT-984</t>
  </si>
  <si>
    <t>LOT-985</t>
  </si>
  <si>
    <t>LOT-986</t>
  </si>
  <si>
    <t>LOT-987</t>
  </si>
  <si>
    <t>LOT-988</t>
  </si>
  <si>
    <t>LOT-989</t>
  </si>
  <si>
    <t>LOT-990</t>
  </si>
  <si>
    <t>LOT-991</t>
  </si>
  <si>
    <t>LOT-992</t>
  </si>
  <si>
    <t>LOT-993</t>
  </si>
  <si>
    <t>LOT-994</t>
  </si>
  <si>
    <t>LOT-995</t>
  </si>
  <si>
    <t>LOT-996</t>
  </si>
  <si>
    <t>LOT-997</t>
  </si>
  <si>
    <t>LOT-998</t>
  </si>
  <si>
    <t>LOT-999</t>
  </si>
  <si>
    <t>LOT-1000</t>
  </si>
  <si>
    <t>Principio Activo/variedad</t>
  </si>
  <si>
    <t>Tipo_Movimiento</t>
  </si>
  <si>
    <t>Destino / Origen</t>
  </si>
  <si>
    <t>Insecticida</t>
  </si>
  <si>
    <t>Lagarticida</t>
  </si>
  <si>
    <t>Secante</t>
  </si>
  <si>
    <t>Triazol</t>
  </si>
  <si>
    <t>g</t>
  </si>
  <si>
    <t>Estrobilurina</t>
  </si>
  <si>
    <t>ml</t>
  </si>
  <si>
    <t>Graminicida</t>
  </si>
  <si>
    <t>Inoculante</t>
  </si>
  <si>
    <t>Bolson</t>
  </si>
  <si>
    <t>Carinata</t>
  </si>
  <si>
    <t>Gentos</t>
  </si>
  <si>
    <t>Agroenfoque</t>
  </si>
  <si>
    <t>Soja</t>
  </si>
  <si>
    <t>Girasol</t>
  </si>
  <si>
    <t xml:space="preserve">tipa </t>
  </si>
  <si>
    <t>aromo</t>
  </si>
  <si>
    <t xml:space="preserve">Semilla comprada trigo tipa </t>
  </si>
  <si>
    <t xml:space="preserve">semilla comprada maiz </t>
  </si>
  <si>
    <t xml:space="preserve">yesca </t>
  </si>
  <si>
    <r>
      <t>Haloxifop-P-metil</t>
    </r>
    <r>
      <rPr>
        <sz val="12"/>
        <color rgb="FF3DAF29"/>
        <rFont val="AvenirLight"/>
        <charset val="1"/>
      </rPr>
      <t xml:space="preserve"> | 540g/L</t>
    </r>
  </si>
  <si>
    <t>INSTRUCTIVO DE USO</t>
  </si>
  <si>
    <t>NOTA v13: Stock_por_Lote y Resumen_Producto muestran valores calculados al momento de generar el archivo. Para actualizar en tiempo real, escribir las fórmulas manualmente según la hoja 'Fórmulas_para_copiar'.</t>
  </si>
  <si>
    <t>MOVIMIENTOS</t>
  </si>
  <si>
    <t>1. Ingreso / Salida</t>
  </si>
  <si>
    <t>Completar una fila por evento. Elegir ENTRADA o SALIDA en col I (Tipo_Mov). La fila cambia de color automáticamente: celeste = entrada, rojo = salida.</t>
  </si>
  <si>
    <t>2. Cantidad</t>
  </si>
  <si>
    <t>Ingresar siempre positivo en col J. La col K (Cantidad Neta) aplica el signo automáticamente según Tipo_Mov. El stock se calcula sobre col K.</t>
  </si>
  <si>
    <t>3. ID_Lote</t>
  </si>
  <si>
    <t>Único por partida. Sugerencia: LOT-NNN. Dos partidas del mismo producto con distinto vencimiento = dos ID_Lote distintos.</t>
  </si>
  <si>
    <t>STOCK_POR_LOTE</t>
  </si>
  <si>
    <t>Autocompletado</t>
  </si>
  <si>
    <t>Escribir el ID_Lote en col A. Las columnas azules (B a H) se completan automáticamente buscando la primera ENTRADA de ese lote en Movimientos. No editar esas celdas.</t>
  </si>
  <si>
    <t>Filas precargas</t>
  </si>
  <si>
    <t>Hay 50 filas vacías con fórmulas listas. Solo escribir el ID_Lote en col A.</t>
  </si>
  <si>
    <t>Alarma amarilla</t>
  </si>
  <si>
    <t>Vence en menos de 6 meses (180 días).</t>
  </si>
  <si>
    <t>Alarma roja</t>
  </si>
  <si>
    <t>Vence en menos de 30 días o sin stock.</t>
  </si>
  <si>
    <t>Rojo oscuro</t>
  </si>
  <si>
    <t>VENCIDO: la fecha de vencimiento ya pasó.</t>
  </si>
  <si>
    <t>LISTAS DESPLEGABLES</t>
  </si>
  <si>
    <t>Cómo agregar opciones</t>
  </si>
  <si>
    <t>Ir a hoja 'Listas' y agregar el valor en la columna correspondiente. El desplegable lo toma automáticamente en todas las pestañas.</t>
  </si>
  <si>
    <t>REGLAS</t>
  </si>
  <si>
    <t>FIFO</t>
  </si>
  <si>
    <t>Consumir siempre el lote con fecha de vencimiento más próxima.</t>
  </si>
  <si>
    <t>No borrar filas</t>
  </si>
  <si>
    <t>Si hay error, registrar fila de ajuste. Nunca eliminar entradas previas.</t>
  </si>
  <si>
    <t>Finnegans</t>
  </si>
  <si>
    <t>Cols P y Q de Movimientos: referencia y fecha del documento en el ERP.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</si>
</sst>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.0;\-#,##0.0;\-"/>
    <numFmt numFmtId="165" formatCode="#,##0.0"/>
  </numFmts>
  <fonts count="11">
    <font>
      <sz val="11"/>
      <color theme="1"/>
      <name val="Calibri"/>
      <family val="2"/>
      <scheme val="minor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9"/>
      <name val="Arial"/>
      <charset val="1"/>
    </font>
    <font>
      <sz val="9"/>
      <color rgb="FF000000"/>
      <name val="Arial"/>
    </font>
    <font>
      <b/>
      <sz val="9"/>
      <color rgb="FF000000"/>
      <name val="Arial"/>
    </font>
    <font>
      <sz val="11"/>
      <color theme="1"/>
      <name val="Calibri"/>
      <family val="2"/>
      <charset val="1"/>
    </font>
    <font>
      <b/>
      <sz val="9"/>
      <color rgb="FF000000"/>
      <name val="Arial"/>
      <charset val="1"/>
    </font>
    <font>
      <sz val="8"/>
      <name val="Calibri"/>
      <family val="2"/>
      <scheme val="minor"/>
    </font>
    <font>
      <sz val="12"/>
      <color rgb="FF3DAF29"/>
      <name val="AvenirLight"/>
      <charset val="1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CCE5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5" fontId="6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7" fillId="0" borderId="4" xfId="0" applyFont="1" applyBorder="1"/>
    <xf numFmtId="0" fontId="6" fillId="5" borderId="2" xfId="0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2" fontId="5" fillId="0" borderId="2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5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0" fillId="0" borderId="2" xfId="0" applyNumberFormat="1" applyBorder="1"/>
    <xf numFmtId="164" fontId="4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0" fillId="0" borderId="2" xfId="0" applyNumberFormat="1" applyBorder="1"/>
    <xf numFmtId="14" fontId="5" fillId="0" borderId="2" xfId="0" applyNumberFormat="1" applyFont="1" applyBorder="1" applyAlignment="1">
      <alignment horizontal="right" vertical="center"/>
    </xf>
    <xf numFmtId="14" fontId="0" fillId="0" borderId="2" xfId="0" applyNumberFormat="1" applyBorder="1" applyAlignment="1">
      <alignment horizontal="right"/>
    </xf>
    <xf numFmtId="0" fontId="5" fillId="0" borderId="2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4" fontId="0" fillId="0" borderId="0" xfId="0" applyNumberFormat="1"/>
    <xf numFmtId="0" fontId="5" fillId="10" borderId="5" xfId="0" applyFont="1" applyFill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1" borderId="0" xfId="0" applyFill="1"/>
    <xf numFmtId="2" fontId="0" fillId="11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3" fillId="12" borderId="2" xfId="0" applyFont="1" applyFill="1" applyBorder="1" applyAlignment="1">
      <alignment horizontal="left" vertical="center"/>
    </xf>
    <xf numFmtId="14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9" borderId="2" xfId="0" applyFont="1" applyFill="1" applyBorder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right" vertical="center"/>
    </xf>
    <xf numFmtId="0" fontId="0" fillId="12" borderId="5" xfId="0" applyFill="1" applyBorder="1"/>
    <xf numFmtId="0" fontId="0" fillId="10" borderId="5" xfId="0" applyFill="1" applyBorder="1"/>
  </cellXfs>
  <cellStyles count="1">
    <cellStyle name="Normal" xfId="0" builtinId="0"/>
  </cellStyles>
  <dxfs count="21"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font>
        <b/>
        <sz val="9"/>
        <color rgb="FFFFFFFF"/>
        <name val="Arial"/>
      </font>
      <fill>
        <patternFill patternType="solid">
          <fgColor rgb="FF7B0000"/>
          <bgColor rgb="FF7B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numFmt numFmtId="0" formatCode="General"/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B3B3"/>
          <bgColor rgb="FFFFB3B3"/>
        </patternFill>
      </fill>
    </dxf>
    <dxf>
      <fill>
        <patternFill patternType="solid">
          <fgColor rgb="FFCCE5FF"/>
          <bgColor rgb="FFCCE5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419160-9C2F-4406-84A3-963E72448A76}" name="TblMovimientos" displayName="TblMovimientos" ref="A1:V11997" totalsRowShown="0">
  <autoFilter ref="A1:V11997" xr:uid="{AB419160-9C2F-4406-84A3-963E72448A76}"/>
  <sortState xmlns:xlrd2="http://schemas.microsoft.com/office/spreadsheetml/2017/richdata2" ref="A2:U11993">
    <sortCondition ref="B2:B11993"/>
  </sortState>
  <tableColumns count="22">
    <tableColumn id="1" xr3:uid="{D6F7A361-7933-4FD5-8F4B-D716DC9446B3}" name="ID_Mov"/>
    <tableColumn id="2" xr3:uid="{E6FC72F8-7448-4ECC-A07C-6C65767A1492}" name="Fecha"/>
    <tableColumn id="3" xr3:uid="{16641237-AB6B-419B-B1AB-E0CB1BC23202}" name="Producto_x000a_"/>
    <tableColumn id="4" xr3:uid="{77BAE6E8-6128-434B-9BD0-46DDD6F79B54}" name="Principio_x000a_Activo/variedad"/>
    <tableColumn id="5" xr3:uid="{563B7DC6-8A13-4EAC-AE30-36226F431F07}" name="Tipo"/>
    <tableColumn id="6" xr3:uid="{78E99915-B11C-486D-A27D-38FD33BB7809}" name="Subtipo"/>
    <tableColumn id="7" xr3:uid="{E7B8F057-9A8E-4C80-89A4-6F32FE219276}" name="Proveedor"/>
    <tableColumn id="8" xr3:uid="{AE3F01B2-ECF5-4529-B353-1DABEE4888F4}" name="ID_Lote"/>
    <tableColumn id="9" xr3:uid="{07D8814A-95C5-40EB-A262-138503873E5E}" name="Tipo_Mov"/>
    <tableColumn id="10" xr3:uid="{BB8D86BA-392E-431E-B492-5D4399A1D3E4}" name="Cantidad_x000a_(siempre +)"/>
    <tableColumn id="11" xr3:uid="{AC2E73B7-2D48-48DC-9657-50ADD954780C}" name="Cantidad_x000a_Neta (auto)"/>
    <tableColumn id="12" xr3:uid="{40125356-D575-4F92-BF8E-A39AF80215FD}" name="Unidad"/>
    <tableColumn id="13" xr3:uid="{A2C5EFC8-1570-426E-9977-0AADA4475DE7}" name="Fecha_x000a_Vencimiento"/>
    <tableColumn id="14" xr3:uid="{9821F939-F19A-4B66-85C7-DF0BE77FE574}" name="Nro_Remito"/>
    <tableColumn id="15" xr3:uid="{44139899-7BCE-40E1-AA81-4DE99414A4DC}" name="Destino /_x000a_Origen"/>
    <tableColumn id="16" xr3:uid="{78C6DB46-DEB0-4A43-ABC9-8EB1B7311BFB}" name="Nro. Int Finnegans"/>
    <tableColumn id="17" xr3:uid="{AFA8158D-BF40-46B7-B5DB-6005BBCE4E79}" name="Fecha Recep/Mov_x000a_Finnegans"/>
    <tableColumn id="18" xr3:uid="{173B02A0-66F9-439C-A8AE-914A95DC1C3E}" name="Columna1"/>
    <tableColumn id="19" xr3:uid="{FAA1E0FD-7AB1-4F19-99EE-64C55C70784B}" name="Columna2"/>
    <tableColumn id="20" xr3:uid="{4C1EE318-2012-4C96-8CCE-9E712CC35689}" name="Lote" dataDxfId="14">
      <calculatedColumnFormula>IF(C2="","",UPPER(LEFT(SUBSTITUTE(C2," ",""),3))&amp;"-"&amp;TEXT(B2,"AAMMDD")&amp;"-1")</calculatedColumnFormula>
    </tableColumn>
    <tableColumn id="21" xr3:uid="{8F548C6F-637B-4FE8-801A-5552B50EE69F}" name="Ubicación"/>
    <tableColumn id="22" xr3:uid="{E5C3F6C0-16BE-4BB5-8B49-6D0BC05A6F72}" name="Retira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V11997"/>
  <sheetViews>
    <sheetView showGridLines="0" tabSelected="1" topLeftCell="F761" workbookViewId="0">
      <selection activeCell="W765" sqref="W765"/>
    </sheetView>
  </sheetViews>
  <sheetFormatPr defaultColWidth="9.140625" defaultRowHeight="15"/>
  <cols>
    <col min="1" max="1" width="11.85546875" customWidth="1"/>
    <col min="2" max="2" width="12" customWidth="1"/>
    <col min="3" max="3" width="31.42578125" customWidth="1"/>
    <col min="4" max="4" width="35.85546875" customWidth="1"/>
    <col min="5" max="5" width="14" customWidth="1"/>
    <col min="6" max="6" width="16" customWidth="1"/>
    <col min="7" max="7" width="18" customWidth="1"/>
    <col min="8" max="8" width="13.7109375" bestFit="1" customWidth="1"/>
    <col min="9" max="9" width="12" customWidth="1"/>
    <col min="10" max="10" width="9.140625" customWidth="1"/>
    <col min="11" max="11" width="13" hidden="1" customWidth="1"/>
    <col min="12" max="12" width="9.140625" customWidth="1"/>
    <col min="13" max="13" width="14" customWidth="1"/>
    <col min="14" max="14" width="13" customWidth="1"/>
    <col min="15" max="15" width="18.140625" customWidth="1"/>
    <col min="16" max="16" width="18" customWidth="1"/>
    <col min="17" max="17" width="18.42578125" customWidth="1"/>
    <col min="18" max="18" width="15.5703125" hidden="1" customWidth="1"/>
    <col min="19" max="19" width="23.28515625" hidden="1" customWidth="1"/>
    <col min="20" max="20" width="13.5703125" hidden="1" customWidth="1"/>
    <col min="21" max="21" width="6.7109375" customWidth="1"/>
    <col min="22" max="22" width="15.7109375" customWidth="1"/>
  </cols>
  <sheetData>
    <row r="1" spans="1:22" ht="27.75" customHeight="1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t="s">
        <v>17</v>
      </c>
      <c r="S1" t="s">
        <v>18</v>
      </c>
      <c r="T1" t="s">
        <v>19</v>
      </c>
      <c r="U1" s="18" t="s">
        <v>20</v>
      </c>
      <c r="V1" s="18" t="s">
        <v>21</v>
      </c>
    </row>
    <row r="2" spans="1:22">
      <c r="A2" s="20" t="s">
        <v>22</v>
      </c>
      <c r="B2" s="21">
        <v>46105</v>
      </c>
      <c r="C2" s="20" t="s">
        <v>23</v>
      </c>
      <c r="D2" s="20" t="s">
        <v>24</v>
      </c>
      <c r="E2" s="20" t="s">
        <v>25</v>
      </c>
      <c r="F2" s="20" t="s">
        <v>26</v>
      </c>
      <c r="G2" s="20" t="s">
        <v>27</v>
      </c>
      <c r="H2" s="20" t="str">
        <f>+T2</f>
        <v>260324-001</v>
      </c>
      <c r="I2" s="20" t="s">
        <v>28</v>
      </c>
      <c r="J2" s="28">
        <v>3400</v>
      </c>
      <c r="K2" s="22">
        <f>IF(I2="","",IF(I2="ENTRADA",ABS(J2),-ABS(J2)))</f>
        <v>3400</v>
      </c>
      <c r="L2" s="20" t="s">
        <v>29</v>
      </c>
      <c r="M2" s="21"/>
      <c r="N2" s="20">
        <v>47144</v>
      </c>
      <c r="O2" s="20"/>
      <c r="P2" s="57">
        <v>14229</v>
      </c>
      <c r="Q2" s="56">
        <v>46106</v>
      </c>
      <c r="R2" s="22" t="str">
        <f>IF(H2="","",H2&amp;I2)</f>
        <v>260324-001ENTRADA</v>
      </c>
      <c r="S2" s="22" t="str">
        <f>IF(C2="","",C2&amp;I2)</f>
        <v>Colza Curry CLENTRADA</v>
      </c>
      <c r="T2" t="str">
        <f>IF(OR(C2="",I2&lt;&gt;"ENTRADA"),"",TEXT(B2,"AAMMDD")&amp;"-"&amp;TEXT(VALUE(SUBSTITUTE(A2,"MOV-","")),"000"))</f>
        <v>260324-001</v>
      </c>
      <c r="U2" t="s">
        <v>30</v>
      </c>
    </row>
    <row r="3" spans="1:22">
      <c r="A3" s="20" t="s">
        <v>31</v>
      </c>
      <c r="B3" s="21">
        <v>46113</v>
      </c>
      <c r="C3" s="20" t="s">
        <v>32</v>
      </c>
      <c r="D3" s="20" t="s">
        <v>33</v>
      </c>
      <c r="E3" s="20" t="s">
        <v>34</v>
      </c>
      <c r="F3" s="20" t="s">
        <v>35</v>
      </c>
      <c r="G3" s="20" t="s">
        <v>36</v>
      </c>
      <c r="H3" s="20" t="str">
        <f>+T3</f>
        <v>260401-002</v>
      </c>
      <c r="I3" s="20" t="s">
        <v>28</v>
      </c>
      <c r="J3" s="28">
        <v>700</v>
      </c>
      <c r="K3" s="22">
        <f>IF(I3="","",IF(I3="ENTRADA",ABS(J3),-ABS(J3)))</f>
        <v>700</v>
      </c>
      <c r="L3" s="20" t="s">
        <v>37</v>
      </c>
      <c r="M3" s="21">
        <v>46710</v>
      </c>
      <c r="N3" s="20">
        <v>12383</v>
      </c>
      <c r="O3" s="20"/>
      <c r="P3" s="57">
        <v>14327</v>
      </c>
      <c r="Q3" s="56">
        <v>46123</v>
      </c>
      <c r="R3" s="22" t="str">
        <f>IF(H3="","",H3&amp;I3)</f>
        <v>260401-002ENTRADA</v>
      </c>
      <c r="S3" s="22" t="str">
        <f>IF(C3="","",C3&amp;I3)</f>
        <v>KorvettoENTRADA</v>
      </c>
      <c r="T3" t="str">
        <f>IF(OR(C3="",I3&lt;&gt;"ENTRADA"),"",TEXT(B3,"AAMMDD")&amp;"-"&amp;TEXT(VALUE(SUBSTITUTE(A3,"MOV-","")),"000"))</f>
        <v>260401-002</v>
      </c>
      <c r="U3" t="s">
        <v>38</v>
      </c>
    </row>
    <row r="4" spans="1:22">
      <c r="A4" s="20" t="s">
        <v>39</v>
      </c>
      <c r="B4" s="21">
        <v>46113</v>
      </c>
      <c r="C4" s="20" t="s">
        <v>40</v>
      </c>
      <c r="D4" s="20" t="s">
        <v>41</v>
      </c>
      <c r="E4" s="20" t="s">
        <v>34</v>
      </c>
      <c r="F4" s="20" t="s">
        <v>35</v>
      </c>
      <c r="G4" s="20" t="s">
        <v>36</v>
      </c>
      <c r="H4" s="20" t="str">
        <f>+T4</f>
        <v>260401-003</v>
      </c>
      <c r="I4" s="20" t="s">
        <v>28</v>
      </c>
      <c r="J4" s="28">
        <v>300</v>
      </c>
      <c r="K4" s="22">
        <f>IF(I4="","",IF(I4="ENTRADA",ABS(J4),-ABS(J4)))</f>
        <v>300</v>
      </c>
      <c r="L4" s="20" t="s">
        <v>37</v>
      </c>
      <c r="M4" s="21">
        <v>46500</v>
      </c>
      <c r="N4" s="20">
        <v>12383</v>
      </c>
      <c r="O4" s="20"/>
      <c r="P4" s="57">
        <v>14327</v>
      </c>
      <c r="Q4" s="56">
        <v>46123</v>
      </c>
      <c r="R4" s="22" t="str">
        <f>IF(H4="","",H4&amp;I4)</f>
        <v>260401-003ENTRADA</v>
      </c>
      <c r="S4" s="22" t="str">
        <f>IF(C4="","",C4&amp;I4)</f>
        <v>LontrelENTRADA</v>
      </c>
      <c r="T4" t="str">
        <f>IF(OR(C4="",I4&lt;&gt;"ENTRADA"),"",TEXT(B4,"AAMMDD")&amp;"-"&amp;TEXT(VALUE(SUBSTITUTE(A4,"MOV-","")),"000"))</f>
        <v>260401-003</v>
      </c>
      <c r="U4" t="s">
        <v>42</v>
      </c>
    </row>
    <row r="5" spans="1:22">
      <c r="A5" s="20" t="s">
        <v>43</v>
      </c>
      <c r="B5" s="21">
        <v>46113</v>
      </c>
      <c r="C5" s="20" t="s">
        <v>44</v>
      </c>
      <c r="D5" s="20" t="s">
        <v>45</v>
      </c>
      <c r="E5" s="20" t="s">
        <v>34</v>
      </c>
      <c r="F5" s="20" t="s">
        <v>46</v>
      </c>
      <c r="G5" s="20" t="s">
        <v>36</v>
      </c>
      <c r="H5" s="20" t="str">
        <f>+T5</f>
        <v>260401-004</v>
      </c>
      <c r="I5" s="20" t="s">
        <v>28</v>
      </c>
      <c r="J5" s="28">
        <v>2700</v>
      </c>
      <c r="K5" s="22">
        <v>2700</v>
      </c>
      <c r="L5" s="20" t="s">
        <v>37</v>
      </c>
      <c r="M5" s="21">
        <v>46528</v>
      </c>
      <c r="N5" s="20">
        <v>12383</v>
      </c>
      <c r="O5" s="20"/>
      <c r="P5" s="57">
        <v>14327</v>
      </c>
      <c r="Q5" s="56">
        <v>46123</v>
      </c>
      <c r="R5" s="22" t="str">
        <f>IF(H5="","",H5&amp;I5)</f>
        <v>260401-004ENTRADA</v>
      </c>
      <c r="S5" s="22" t="str">
        <f>IF(C5="","",C5&amp;I5)</f>
        <v>PresideENTRADA</v>
      </c>
      <c r="T5" t="str">
        <f>IF(OR(C5="",I5&lt;&gt;"ENTRADA"),"",TEXT(B5,"AAMMDD")&amp;"-"&amp;TEXT(VALUE(SUBSTITUTE(A5,"MOV-","")),"000"))</f>
        <v>260401-004</v>
      </c>
      <c r="U5" t="s">
        <v>47</v>
      </c>
    </row>
    <row r="6" spans="1:22">
      <c r="A6" s="20" t="s">
        <v>48</v>
      </c>
      <c r="B6" s="21">
        <v>46113</v>
      </c>
      <c r="C6" s="20" t="s">
        <v>44</v>
      </c>
      <c r="D6" s="20" t="s">
        <v>45</v>
      </c>
      <c r="E6" s="20" t="s">
        <v>34</v>
      </c>
      <c r="F6" s="20" t="s">
        <v>46</v>
      </c>
      <c r="G6" s="20" t="s">
        <v>36</v>
      </c>
      <c r="H6" s="20" t="str">
        <f>+T6</f>
        <v>260401-005</v>
      </c>
      <c r="I6" s="20" t="s">
        <v>28</v>
      </c>
      <c r="J6" s="28">
        <v>100</v>
      </c>
      <c r="K6" s="22">
        <f>IF(I6="","",IF(I6="ENTRADA",ABS(J6),-ABS(J6)))</f>
        <v>100</v>
      </c>
      <c r="L6" s="20" t="s">
        <v>37</v>
      </c>
      <c r="M6" s="21">
        <v>46761</v>
      </c>
      <c r="N6" s="20">
        <v>12383</v>
      </c>
      <c r="O6" s="20"/>
      <c r="P6" s="57">
        <v>14327</v>
      </c>
      <c r="Q6" s="56">
        <v>46123</v>
      </c>
      <c r="R6" s="22" t="str">
        <f>IF(H6="","",H6&amp;I6)</f>
        <v>260401-005ENTRADA</v>
      </c>
      <c r="S6" s="22" t="str">
        <f>IF(C6="","",C6&amp;I6)</f>
        <v>PresideENTRADA</v>
      </c>
      <c r="T6" t="str">
        <f>IF(OR(C6="",I6&lt;&gt;"ENTRADA"),"",TEXT(B6,"AAMMDD")&amp;"-"&amp;TEXT(VALUE(SUBSTITUTE(A6,"MOV-","")),"000"))</f>
        <v>260401-005</v>
      </c>
      <c r="U6" t="s">
        <v>47</v>
      </c>
    </row>
    <row r="7" spans="1:22">
      <c r="A7" s="20" t="s">
        <v>49</v>
      </c>
      <c r="B7" s="21">
        <v>46113</v>
      </c>
      <c r="C7" s="20" t="s">
        <v>50</v>
      </c>
      <c r="D7" s="20" t="s">
        <v>51</v>
      </c>
      <c r="E7" s="20" t="s">
        <v>34</v>
      </c>
      <c r="F7" s="20" t="s">
        <v>35</v>
      </c>
      <c r="G7" s="20" t="s">
        <v>36</v>
      </c>
      <c r="H7" s="20" t="str">
        <f>+T7</f>
        <v>260401-006</v>
      </c>
      <c r="I7" s="20" t="s">
        <v>28</v>
      </c>
      <c r="J7" s="28">
        <v>300</v>
      </c>
      <c r="K7" s="22">
        <f>IF(I7="","",IF(I7="ENTRADA",ABS(J7),-ABS(J7)))</f>
        <v>300</v>
      </c>
      <c r="L7" s="20" t="s">
        <v>37</v>
      </c>
      <c r="M7" s="21">
        <v>46517</v>
      </c>
      <c r="N7" s="20">
        <v>12383</v>
      </c>
      <c r="O7" s="20"/>
      <c r="P7" s="57">
        <v>14327</v>
      </c>
      <c r="Q7" s="56">
        <v>46123</v>
      </c>
      <c r="R7" s="22" t="str">
        <f>IF(H7="","",H7&amp;I7)</f>
        <v>260401-006ENTRADA</v>
      </c>
      <c r="S7" s="22" t="str">
        <f>IF(C7="","",C7&amp;I7)</f>
        <v>Tordon 24KENTRADA</v>
      </c>
      <c r="T7" t="str">
        <f>IF(OR(C7="",I7&lt;&gt;"ENTRADA"),"",TEXT(B7,"AAMMDD")&amp;"-"&amp;TEXT(VALUE(SUBSTITUTE(A7,"MOV-","")),"000"))</f>
        <v>260401-006</v>
      </c>
      <c r="U7" t="s">
        <v>52</v>
      </c>
    </row>
    <row r="8" spans="1:22">
      <c r="A8" s="20" t="s">
        <v>53</v>
      </c>
      <c r="B8" s="21">
        <v>46113</v>
      </c>
      <c r="C8" s="20" t="s">
        <v>54</v>
      </c>
      <c r="D8" s="20" t="s">
        <v>55</v>
      </c>
      <c r="E8" s="20" t="s">
        <v>34</v>
      </c>
      <c r="F8" s="20" t="s">
        <v>35</v>
      </c>
      <c r="G8" s="20" t="s">
        <v>36</v>
      </c>
      <c r="H8" s="20" t="str">
        <f>+T8</f>
        <v>260401-007</v>
      </c>
      <c r="I8" s="20" t="s">
        <v>28</v>
      </c>
      <c r="J8" s="28">
        <v>300</v>
      </c>
      <c r="K8" s="22">
        <f>IF(I8="","",IF(I8="ENTRADA",ABS(J8),-ABS(J8)))</f>
        <v>300</v>
      </c>
      <c r="L8" s="20" t="s">
        <v>56</v>
      </c>
      <c r="M8" s="21">
        <v>46443</v>
      </c>
      <c r="N8" s="20">
        <v>12383</v>
      </c>
      <c r="O8" s="20"/>
      <c r="P8" s="57">
        <v>14327</v>
      </c>
      <c r="Q8" s="56">
        <v>46123</v>
      </c>
      <c r="R8" s="22" t="str">
        <f>IF(H8="","",H8&amp;I8)</f>
        <v>260401-007ENTRADA</v>
      </c>
      <c r="S8" s="22" t="str">
        <f>IF(C8="","",C8&amp;I8)</f>
        <v>TronadorENTRADA</v>
      </c>
      <c r="T8" t="str">
        <f>IF(OR(C8="",I8&lt;&gt;"ENTRADA"),"",TEXT(B8,"AAMMDD")&amp;"-"&amp;TEXT(VALUE(SUBSTITUTE(A8,"MOV-","")),"000"))</f>
        <v>260401-007</v>
      </c>
      <c r="U8" t="s">
        <v>57</v>
      </c>
    </row>
    <row r="9" spans="1:22">
      <c r="A9" s="20" t="s">
        <v>58</v>
      </c>
      <c r="B9" s="21">
        <v>46113</v>
      </c>
      <c r="C9" s="20" t="s">
        <v>59</v>
      </c>
      <c r="D9" s="20" t="s">
        <v>60</v>
      </c>
      <c r="E9" s="20" t="s">
        <v>34</v>
      </c>
      <c r="F9" s="20" t="s">
        <v>35</v>
      </c>
      <c r="G9" s="20" t="s">
        <v>36</v>
      </c>
      <c r="H9" s="20" t="str">
        <f>+T9</f>
        <v>260401-008</v>
      </c>
      <c r="I9" s="20" t="s">
        <v>28</v>
      </c>
      <c r="J9" s="28">
        <v>4800</v>
      </c>
      <c r="K9" s="22">
        <f>IF(I9="","",IF(I9="ENTRADA",ABS(J9),-ABS(J9)))</f>
        <v>4800</v>
      </c>
      <c r="L9" s="20" t="s">
        <v>37</v>
      </c>
      <c r="M9" s="21">
        <v>46737</v>
      </c>
      <c r="N9" s="20">
        <v>12383</v>
      </c>
      <c r="O9" s="20"/>
      <c r="P9" s="57">
        <v>14327</v>
      </c>
      <c r="Q9" s="56">
        <v>46123</v>
      </c>
      <c r="R9" s="22" t="str">
        <f>IF(H9="","",H9&amp;I9)</f>
        <v>260401-008ENTRADA</v>
      </c>
      <c r="S9" s="22" t="str">
        <f>IF(C9="","",C9&amp;I9)</f>
        <v>Venceweed extraENTRADA</v>
      </c>
      <c r="T9" t="str">
        <f>IF(OR(C9="",I9&lt;&gt;"ENTRADA"),"",TEXT(B9,"AAMMDD")&amp;"-"&amp;TEXT(VALUE(SUBSTITUTE(A9,"MOV-","")),"000"))</f>
        <v>260401-008</v>
      </c>
      <c r="U9" t="s">
        <v>61</v>
      </c>
    </row>
    <row r="10" spans="1:22">
      <c r="A10" s="20" t="s">
        <v>62</v>
      </c>
      <c r="B10" s="21">
        <v>46113</v>
      </c>
      <c r="C10" t="s">
        <v>44</v>
      </c>
      <c r="D10" t="s">
        <v>63</v>
      </c>
      <c r="E10" t="s">
        <v>34</v>
      </c>
      <c r="F10" t="s">
        <v>46</v>
      </c>
      <c r="G10" t="s">
        <v>36</v>
      </c>
      <c r="H10" s="20" t="s">
        <v>64</v>
      </c>
      <c r="I10" t="s">
        <v>65</v>
      </c>
      <c r="J10" s="29">
        <v>100</v>
      </c>
      <c r="K10" s="22">
        <f>IF(I10="","",IF(I10="ENTRADA",ABS(J10),-ABS(J10)))</f>
        <v>-100</v>
      </c>
      <c r="L10" t="s">
        <v>37</v>
      </c>
      <c r="M10" s="21"/>
      <c r="N10" s="3">
        <v>59309</v>
      </c>
      <c r="O10" t="s">
        <v>66</v>
      </c>
      <c r="P10" s="58">
        <v>1624</v>
      </c>
      <c r="Q10" s="56">
        <v>46123</v>
      </c>
      <c r="R10" s="22" t="str">
        <f>IF(H10="","",H10&amp;I10)</f>
        <v>260401-004SALIDA</v>
      </c>
      <c r="S10" s="22" t="str">
        <f>IF(C10="","",C10&amp;I10)</f>
        <v>PresideSALIDA</v>
      </c>
      <c r="T10" t="str">
        <f>IF(OR(C10="",I10&lt;&gt;"ENTRADA"),"",TEXT(B10,"AAMMDD")&amp;"-"&amp;TEXT(VALUE(SUBSTITUTE(A10,"MOV-","")),"000"))</f>
        <v/>
      </c>
    </row>
    <row r="11" spans="1:22">
      <c r="A11" s="20" t="s">
        <v>67</v>
      </c>
      <c r="B11" s="21">
        <v>46113</v>
      </c>
      <c r="C11" t="s">
        <v>59</v>
      </c>
      <c r="D11" t="s">
        <v>60</v>
      </c>
      <c r="E11" t="s">
        <v>34</v>
      </c>
      <c r="F11" t="s">
        <v>35</v>
      </c>
      <c r="H11" s="20" t="s">
        <v>68</v>
      </c>
      <c r="I11" t="s">
        <v>65</v>
      </c>
      <c r="J11" s="29">
        <v>360</v>
      </c>
      <c r="K11" s="22">
        <f>IF(I11="","",IF(I11="ENTRADA",ABS(J11),-ABS(J11)))</f>
        <v>-360</v>
      </c>
      <c r="L11" t="s">
        <v>37</v>
      </c>
      <c r="M11" s="21"/>
      <c r="N11" s="3">
        <v>59309</v>
      </c>
      <c r="O11" t="s">
        <v>66</v>
      </c>
      <c r="P11" s="58">
        <v>1624</v>
      </c>
      <c r="Q11" s="56">
        <v>46123</v>
      </c>
      <c r="R11" s="22" t="str">
        <f>IF(H11="","",H11&amp;I11)</f>
        <v>260401-008SALIDA</v>
      </c>
      <c r="S11" s="22" t="str">
        <f>IF(C11="","",C11&amp;I11)</f>
        <v>Venceweed extraSALIDA</v>
      </c>
      <c r="T11" t="str">
        <f>IF(OR(C11="",I11&lt;&gt;"ENTRADA"),"",TEXT(B11,"AAMMDD")&amp;"-"&amp;TEXT(VALUE(SUBSTITUTE(A11,"MOV-","")),"000"))</f>
        <v/>
      </c>
    </row>
    <row r="12" spans="1:22">
      <c r="A12" s="20" t="s">
        <v>69</v>
      </c>
      <c r="B12" s="21">
        <v>46118</v>
      </c>
      <c r="C12" t="s">
        <v>70</v>
      </c>
      <c r="D12" t="s">
        <v>71</v>
      </c>
      <c r="E12" t="s">
        <v>70</v>
      </c>
      <c r="G12" t="s">
        <v>72</v>
      </c>
      <c r="H12" s="20" t="str">
        <f>+T12</f>
        <v>260406-011</v>
      </c>
      <c r="I12" t="s">
        <v>28</v>
      </c>
      <c r="J12" s="29">
        <v>3</v>
      </c>
      <c r="K12" s="22">
        <f>IF(I12="","",IF(I12="ENTRADA",ABS(J12),-ABS(J12)))</f>
        <v>3</v>
      </c>
      <c r="L12" t="s">
        <v>73</v>
      </c>
      <c r="M12" s="21"/>
      <c r="N12" s="3">
        <v>3141</v>
      </c>
      <c r="P12" s="57">
        <v>14311</v>
      </c>
      <c r="Q12" s="56">
        <v>46122</v>
      </c>
      <c r="R12" s="22" t="str">
        <f>IF(H12="","",H12&amp;I12)</f>
        <v>260406-011ENTRADA</v>
      </c>
      <c r="S12" s="22" t="str">
        <f>IF(C12="","",C12&amp;I12)</f>
        <v>SilobolsaENTRADA</v>
      </c>
      <c r="T12" t="str">
        <f>IF(OR(C12="",I12&lt;&gt;"ENTRADA"),"",TEXT(B12,"AAMMDD")&amp;"-"&amp;TEXT(VALUE(SUBSTITUTE(A12,"MOV-","")),"000"))</f>
        <v>260406-011</v>
      </c>
    </row>
    <row r="13" spans="1:22">
      <c r="A13" s="20" t="s">
        <v>74</v>
      </c>
      <c r="B13" s="21">
        <v>46119</v>
      </c>
      <c r="C13" t="s">
        <v>75</v>
      </c>
      <c r="D13" t="s">
        <v>76</v>
      </c>
      <c r="E13" t="s">
        <v>34</v>
      </c>
      <c r="F13" t="s">
        <v>35</v>
      </c>
      <c r="G13" t="s">
        <v>77</v>
      </c>
      <c r="H13" s="20" t="str">
        <f>+T13</f>
        <v>260407-012</v>
      </c>
      <c r="I13" t="s">
        <v>28</v>
      </c>
      <c r="J13" s="29">
        <v>12500</v>
      </c>
      <c r="K13" s="22">
        <f>IF(I13="","",IF(I13="ENTRADA",ABS(J13),-ABS(J13)))</f>
        <v>12500</v>
      </c>
      <c r="L13" t="s">
        <v>37</v>
      </c>
      <c r="M13" s="21">
        <v>46725</v>
      </c>
      <c r="N13" s="3">
        <v>69750</v>
      </c>
      <c r="P13">
        <v>14291</v>
      </c>
      <c r="Q13" s="56">
        <v>46119</v>
      </c>
      <c r="R13" s="22" t="str">
        <f>IF(H13="","",H13&amp;I13)</f>
        <v>260407-012ENTRADA</v>
      </c>
      <c r="S13" s="22" t="str">
        <f>IF(C13="","",C13&amp;I13)</f>
        <v>Dedalo eliteENTRADA</v>
      </c>
      <c r="T13" t="str">
        <f>IF(OR(C13="",I13&lt;&gt;"ENTRADA"),"",TEXT(B13,"AAMMDD")&amp;"-"&amp;TEXT(VALUE(SUBSTITUTE(A13,"MOV-","")),"000"))</f>
        <v>260407-012</v>
      </c>
      <c r="U13" t="s">
        <v>78</v>
      </c>
    </row>
    <row r="14" spans="1:22">
      <c r="A14" s="20" t="s">
        <v>79</v>
      </c>
      <c r="B14" s="21">
        <v>46120</v>
      </c>
      <c r="C14" t="s">
        <v>80</v>
      </c>
      <c r="D14" t="s">
        <v>81</v>
      </c>
      <c r="E14" t="s">
        <v>25</v>
      </c>
      <c r="F14" t="s">
        <v>82</v>
      </c>
      <c r="G14" t="s">
        <v>83</v>
      </c>
      <c r="H14" s="20" t="str">
        <f>+T14</f>
        <v>260408-013</v>
      </c>
      <c r="I14" t="s">
        <v>28</v>
      </c>
      <c r="J14" s="29">
        <v>14000</v>
      </c>
      <c r="K14" s="22">
        <f>IF(I14="","",IF(I14="ENTRADA",ABS(J14),-ABS(J14)))</f>
        <v>14000</v>
      </c>
      <c r="L14" t="s">
        <v>29</v>
      </c>
      <c r="M14" s="21"/>
      <c r="N14" s="3">
        <v>42865</v>
      </c>
      <c r="P14" s="57">
        <v>14310</v>
      </c>
      <c r="Q14" s="56">
        <v>46122</v>
      </c>
      <c r="R14" s="22" t="str">
        <f>IF(H14="","",H14&amp;I14)</f>
        <v>260408-013ENTRADA</v>
      </c>
      <c r="S14" s="22" t="str">
        <f>IF(C14="","",C14&amp;I14)</f>
        <v>Raigrás E284ENTRADA</v>
      </c>
      <c r="T14" t="str">
        <f>IF(OR(C14="",I14&lt;&gt;"ENTRADA"),"",TEXT(B14,"AAMMDD")&amp;"-"&amp;TEXT(VALUE(SUBSTITUTE(A14,"MOV-","")),"000"))</f>
        <v>260408-013</v>
      </c>
      <c r="U14" t="s">
        <v>84</v>
      </c>
    </row>
    <row r="15" spans="1:22">
      <c r="A15" s="20" t="s">
        <v>85</v>
      </c>
      <c r="B15" s="21">
        <v>46120</v>
      </c>
      <c r="C15" t="s">
        <v>86</v>
      </c>
      <c r="D15" t="s">
        <v>87</v>
      </c>
      <c r="E15" t="s">
        <v>34</v>
      </c>
      <c r="F15" t="s">
        <v>35</v>
      </c>
      <c r="G15" t="s">
        <v>36</v>
      </c>
      <c r="H15" s="20" t="str">
        <f>+T15</f>
        <v>260408-014</v>
      </c>
      <c r="I15" t="s">
        <v>28</v>
      </c>
      <c r="J15" s="29">
        <v>1140</v>
      </c>
      <c r="K15" s="22">
        <f>IF(I15="","",IF(I15="ENTRADA",ABS(J15),-ABS(J15)))</f>
        <v>1140</v>
      </c>
      <c r="L15" t="s">
        <v>37</v>
      </c>
      <c r="M15" s="21">
        <v>46509</v>
      </c>
      <c r="N15" s="3">
        <v>12416</v>
      </c>
      <c r="P15" s="57">
        <v>14326</v>
      </c>
      <c r="Q15" s="56">
        <v>46123</v>
      </c>
      <c r="R15" s="22" t="str">
        <f>IF(H15="","",H15&amp;I15)</f>
        <v>260408-014ENTRADA</v>
      </c>
      <c r="S15" s="22" t="str">
        <f>IF(C15="","",C15&amp;I15)</f>
        <v>Starane XtraENTRADA</v>
      </c>
      <c r="T15" t="str">
        <f>IF(OR(C15="",I15&lt;&gt;"ENTRADA"),"",TEXT(B15,"AAMMDD")&amp;"-"&amp;TEXT(VALUE(SUBSTITUTE(A15,"MOV-","")),"000"))</f>
        <v>260408-014</v>
      </c>
      <c r="U15" t="s">
        <v>88</v>
      </c>
    </row>
    <row r="16" spans="1:22">
      <c r="A16" s="20" t="s">
        <v>89</v>
      </c>
      <c r="B16" s="21">
        <v>46120</v>
      </c>
      <c r="C16" t="s">
        <v>90</v>
      </c>
      <c r="D16" t="s">
        <v>91</v>
      </c>
      <c r="E16" t="s">
        <v>34</v>
      </c>
      <c r="F16" t="s">
        <v>35</v>
      </c>
      <c r="G16" t="s">
        <v>36</v>
      </c>
      <c r="H16" s="20" t="str">
        <f>+T16</f>
        <v>260408-015</v>
      </c>
      <c r="I16" t="s">
        <v>28</v>
      </c>
      <c r="J16" s="29">
        <v>500</v>
      </c>
      <c r="K16" s="22">
        <f>IF(I16="","",IF(I16="ENTRADA",ABS(J16),-ABS(J16)))</f>
        <v>500</v>
      </c>
      <c r="L16" t="s">
        <v>37</v>
      </c>
      <c r="M16" s="21">
        <v>46397</v>
      </c>
      <c r="N16" s="3">
        <v>12416</v>
      </c>
      <c r="P16" s="57">
        <v>14326</v>
      </c>
      <c r="Q16" s="56">
        <v>46123</v>
      </c>
      <c r="R16" s="22" t="str">
        <f>IF(H16="","",H16&amp;I16)</f>
        <v>260408-015ENTRADA</v>
      </c>
      <c r="S16" s="22" t="str">
        <f>IF(C16="","",C16&amp;I16)</f>
        <v>PixxaroENTRADA</v>
      </c>
      <c r="T16" t="str">
        <f>IF(OR(C16="",I16&lt;&gt;"ENTRADA"),"",TEXT(B16,"AAMMDD")&amp;"-"&amp;TEXT(VALUE(SUBSTITUTE(A16,"MOV-","")),"000"))</f>
        <v>260408-015</v>
      </c>
      <c r="U16" t="s">
        <v>92</v>
      </c>
    </row>
    <row r="17" spans="1:21">
      <c r="A17" s="20" t="s">
        <v>93</v>
      </c>
      <c r="B17" s="21">
        <v>46120</v>
      </c>
      <c r="C17" t="s">
        <v>75</v>
      </c>
      <c r="D17" t="s">
        <v>76</v>
      </c>
      <c r="E17" t="s">
        <v>34</v>
      </c>
      <c r="F17" t="s">
        <v>35</v>
      </c>
      <c r="G17" t="s">
        <v>77</v>
      </c>
      <c r="H17" s="20" t="s">
        <v>94</v>
      </c>
      <c r="I17" t="s">
        <v>65</v>
      </c>
      <c r="J17" s="29">
        <v>600</v>
      </c>
      <c r="K17" s="22">
        <f>IF(I17="","",IF(I17="ENTRADA",ABS(J17),-ABS(J17)))</f>
        <v>-600</v>
      </c>
      <c r="L17" t="s">
        <v>37</v>
      </c>
      <c r="M17" s="21"/>
      <c r="N17" s="3">
        <v>59310</v>
      </c>
      <c r="O17" t="s">
        <v>95</v>
      </c>
      <c r="P17" s="57">
        <v>1625</v>
      </c>
      <c r="Q17" s="56">
        <v>46123</v>
      </c>
      <c r="R17" s="22" t="str">
        <f>IF(H17="","",H17&amp;I17)</f>
        <v>260407-012SALIDA</v>
      </c>
      <c r="S17" s="22" t="str">
        <f>IF(C17="","",C17&amp;I17)</f>
        <v>Dedalo eliteSALIDA</v>
      </c>
      <c r="T17" t="str">
        <f>IF(OR(C17="",I17&lt;&gt;"ENTRADA"),"",TEXT(B17,"AAMMDD")&amp;"-"&amp;TEXT(VALUE(SUBSTITUTE(A17,"MOV-","")),"000"))</f>
        <v/>
      </c>
    </row>
    <row r="18" spans="1:21">
      <c r="A18" s="20" t="s">
        <v>96</v>
      </c>
      <c r="B18" s="21">
        <v>46120</v>
      </c>
      <c r="C18" t="s">
        <v>54</v>
      </c>
      <c r="D18" t="s">
        <v>55</v>
      </c>
      <c r="E18" t="s">
        <v>34</v>
      </c>
      <c r="F18" t="s">
        <v>35</v>
      </c>
      <c r="H18" s="20" t="s">
        <v>97</v>
      </c>
      <c r="I18" t="s">
        <v>65</v>
      </c>
      <c r="J18" s="29">
        <v>15</v>
      </c>
      <c r="K18" s="22">
        <f>IF(I18="","",IF(I18="ENTRADA",ABS(J18),-ABS(J18)))</f>
        <v>-15</v>
      </c>
      <c r="L18" t="s">
        <v>56</v>
      </c>
      <c r="M18" s="21"/>
      <c r="N18" s="3">
        <v>59310</v>
      </c>
      <c r="O18" t="s">
        <v>95</v>
      </c>
      <c r="P18" s="57">
        <v>1625</v>
      </c>
      <c r="Q18" s="56">
        <v>46123</v>
      </c>
      <c r="R18" s="22" t="str">
        <f>IF(H18="","",H18&amp;I18)</f>
        <v>260401-007SALIDA</v>
      </c>
      <c r="S18" s="22" t="str">
        <f>IF(C18="","",C18&amp;I18)</f>
        <v>TronadorSALIDA</v>
      </c>
      <c r="T18" t="str">
        <f>IF(OR(C18="",I18&lt;&gt;"ENTRADA"),"",TEXT(B18,"AAMMDD")&amp;"-"&amp;TEXT(VALUE(SUBSTITUTE(A18,"MOV-","")),"000"))</f>
        <v/>
      </c>
    </row>
    <row r="19" spans="1:21">
      <c r="A19" s="20" t="s">
        <v>98</v>
      </c>
      <c r="B19" s="21">
        <v>46120</v>
      </c>
      <c r="C19" t="s">
        <v>44</v>
      </c>
      <c r="D19" t="s">
        <v>63</v>
      </c>
      <c r="E19" t="s">
        <v>34</v>
      </c>
      <c r="F19" t="s">
        <v>46</v>
      </c>
      <c r="G19" t="s">
        <v>36</v>
      </c>
      <c r="H19" s="20" t="s">
        <v>64</v>
      </c>
      <c r="I19" t="s">
        <v>65</v>
      </c>
      <c r="J19" s="29">
        <v>560</v>
      </c>
      <c r="K19" s="22">
        <f>IF(I19="","",IF(I19="ENTRADA",ABS(J19),-ABS(J19)))</f>
        <v>-560</v>
      </c>
      <c r="L19" t="s">
        <v>37</v>
      </c>
      <c r="M19" s="21"/>
      <c r="N19" s="3">
        <v>59310</v>
      </c>
      <c r="O19" t="s">
        <v>95</v>
      </c>
      <c r="P19" s="57">
        <v>1625</v>
      </c>
      <c r="Q19" s="56">
        <v>46123</v>
      </c>
      <c r="R19" s="22" t="str">
        <f>IF(H19="","",H19&amp;I19)</f>
        <v>260401-004SALIDA</v>
      </c>
      <c r="S19" s="22" t="str">
        <f>IF(C19="","",C19&amp;I19)</f>
        <v>PresideSALIDA</v>
      </c>
      <c r="T19" t="str">
        <f>IF(OR(C19="",I19&lt;&gt;"ENTRADA"),"",TEXT(B19,"AAMMDD")&amp;"-"&amp;TEXT(VALUE(SUBSTITUTE(A19,"MOV-","")),"000"))</f>
        <v/>
      </c>
    </row>
    <row r="20" spans="1:21">
      <c r="A20" s="20" t="s">
        <v>99</v>
      </c>
      <c r="B20" s="21">
        <v>46120</v>
      </c>
      <c r="C20" t="s">
        <v>86</v>
      </c>
      <c r="D20" t="s">
        <v>87</v>
      </c>
      <c r="E20" t="s">
        <v>34</v>
      </c>
      <c r="F20" t="s">
        <v>35</v>
      </c>
      <c r="G20" t="s">
        <v>36</v>
      </c>
      <c r="H20" s="20" t="s">
        <v>100</v>
      </c>
      <c r="I20" t="s">
        <v>65</v>
      </c>
      <c r="J20" s="29">
        <v>600</v>
      </c>
      <c r="K20" s="22">
        <f>IF(I20="","",IF(I20="ENTRADA",ABS(J20),-ABS(J20)))</f>
        <v>-600</v>
      </c>
      <c r="L20" t="s">
        <v>37</v>
      </c>
      <c r="M20" s="21"/>
      <c r="N20" s="3">
        <v>59310</v>
      </c>
      <c r="O20" t="s">
        <v>95</v>
      </c>
      <c r="P20" s="57">
        <v>1625</v>
      </c>
      <c r="Q20" s="56">
        <v>46123</v>
      </c>
      <c r="R20" s="22" t="str">
        <f>IF(H20="","",H20&amp;I20)</f>
        <v>260408-014SALIDA</v>
      </c>
      <c r="S20" s="22" t="str">
        <f>IF(C20="","",C20&amp;I20)</f>
        <v>Starane XtraSALIDA</v>
      </c>
      <c r="T20" t="str">
        <f>IF(OR(C20="",I20&lt;&gt;"ENTRADA"),"",TEXT(B20,"AAMMDD")&amp;"-"&amp;TEXT(VALUE(SUBSTITUTE(A20,"MOV-","")),"000"))</f>
        <v/>
      </c>
    </row>
    <row r="21" spans="1:21">
      <c r="A21" s="20" t="s">
        <v>101</v>
      </c>
      <c r="B21" s="21">
        <v>46120</v>
      </c>
      <c r="C21" t="s">
        <v>59</v>
      </c>
      <c r="D21" t="s">
        <v>60</v>
      </c>
      <c r="E21" t="s">
        <v>34</v>
      </c>
      <c r="F21" t="s">
        <v>35</v>
      </c>
      <c r="H21" s="20" t="s">
        <v>68</v>
      </c>
      <c r="I21" t="s">
        <v>65</v>
      </c>
      <c r="J21" s="29">
        <v>2100</v>
      </c>
      <c r="K21" s="22">
        <f>IF(I21="","",IF(I21="ENTRADA",ABS(J21),-ABS(J21)))</f>
        <v>-2100</v>
      </c>
      <c r="L21" t="s">
        <v>37</v>
      </c>
      <c r="M21" s="21"/>
      <c r="N21" s="3">
        <v>59310</v>
      </c>
      <c r="O21" t="s">
        <v>95</v>
      </c>
      <c r="P21" s="57">
        <v>1625</v>
      </c>
      <c r="Q21" s="56">
        <v>46123</v>
      </c>
      <c r="R21" s="22" t="str">
        <f>IF(H21="","",H21&amp;I21)</f>
        <v>260401-008SALIDA</v>
      </c>
      <c r="S21" s="22" t="str">
        <f>IF(C21="","",C21&amp;I21)</f>
        <v>Venceweed extraSALIDA</v>
      </c>
      <c r="T21" t="str">
        <f>IF(OR(C21="",I21&lt;&gt;"ENTRADA"),"",TEXT(B21,"AAMMDD")&amp;"-"&amp;TEXT(VALUE(SUBSTITUTE(A21,"MOV-","")),"000"))</f>
        <v/>
      </c>
    </row>
    <row r="22" spans="1:21">
      <c r="A22" s="20" t="s">
        <v>102</v>
      </c>
      <c r="B22" s="21">
        <v>46120</v>
      </c>
      <c r="C22" t="s">
        <v>90</v>
      </c>
      <c r="D22" t="s">
        <v>91</v>
      </c>
      <c r="E22" t="s">
        <v>34</v>
      </c>
      <c r="F22" t="s">
        <v>35</v>
      </c>
      <c r="G22" t="s">
        <v>36</v>
      </c>
      <c r="H22" s="20" t="s">
        <v>103</v>
      </c>
      <c r="I22" t="s">
        <v>65</v>
      </c>
      <c r="J22" s="29">
        <v>300</v>
      </c>
      <c r="K22" s="22">
        <f>IF(I22="","",IF(I22="ENTRADA",ABS(J22),-ABS(J22)))</f>
        <v>-300</v>
      </c>
      <c r="L22" t="s">
        <v>37</v>
      </c>
      <c r="M22" s="21"/>
      <c r="N22" s="3">
        <v>59310</v>
      </c>
      <c r="O22" t="s">
        <v>95</v>
      </c>
      <c r="P22" s="57">
        <v>1625</v>
      </c>
      <c r="Q22" s="56">
        <v>46123</v>
      </c>
      <c r="R22" s="22" t="str">
        <f>IF(H22="","",H22&amp;I22)</f>
        <v>260408-015SALIDA</v>
      </c>
      <c r="S22" s="22" t="str">
        <f>IF(C22="","",C22&amp;I22)</f>
        <v>PixxaroSALIDA</v>
      </c>
      <c r="T22" t="str">
        <f>IF(OR(C22="",I22&lt;&gt;"ENTRADA"),"",TEXT(B22,"AAMMDD")&amp;"-"&amp;TEXT(VALUE(SUBSTITUTE(A22,"MOV-","")),"000"))</f>
        <v/>
      </c>
    </row>
    <row r="23" spans="1:21">
      <c r="A23" s="20" t="s">
        <v>104</v>
      </c>
      <c r="B23" s="21">
        <v>46120</v>
      </c>
      <c r="C23" t="s">
        <v>32</v>
      </c>
      <c r="D23" t="s">
        <v>105</v>
      </c>
      <c r="E23" t="s">
        <v>34</v>
      </c>
      <c r="F23" t="s">
        <v>35</v>
      </c>
      <c r="H23" s="20" t="s">
        <v>106</v>
      </c>
      <c r="I23" t="s">
        <v>65</v>
      </c>
      <c r="J23" s="29">
        <v>200</v>
      </c>
      <c r="K23" s="22">
        <f>IF(I23="","",IF(I23="ENTRADA",ABS(J23),-ABS(J23)))</f>
        <v>-200</v>
      </c>
      <c r="L23" t="s">
        <v>37</v>
      </c>
      <c r="M23" s="21"/>
      <c r="N23" s="3">
        <v>59310</v>
      </c>
      <c r="O23" t="s">
        <v>95</v>
      </c>
      <c r="P23" s="57">
        <v>1625</v>
      </c>
      <c r="Q23" s="56">
        <v>46123</v>
      </c>
      <c r="R23" s="22" t="str">
        <f>IF(H23="","",H23&amp;I23)</f>
        <v>260401-002SALIDA</v>
      </c>
      <c r="S23" s="22" t="str">
        <f>IF(C23="","",C23&amp;I23)</f>
        <v>KorvettoSALIDA</v>
      </c>
      <c r="T23" t="str">
        <f>IF(OR(C23="",I23&lt;&gt;"ENTRADA"),"",TEXT(B23,"AAMMDD")&amp;"-"&amp;TEXT(VALUE(SUBSTITUTE(A23,"MOV-","")),"000"))</f>
        <v/>
      </c>
    </row>
    <row r="24" spans="1:21">
      <c r="A24" s="20" t="s">
        <v>107</v>
      </c>
      <c r="B24" s="21">
        <v>46122</v>
      </c>
      <c r="C24" t="s">
        <v>108</v>
      </c>
      <c r="D24" t="s">
        <v>109</v>
      </c>
      <c r="E24" t="s">
        <v>25</v>
      </c>
      <c r="F24" t="s">
        <v>26</v>
      </c>
      <c r="G24" t="s">
        <v>27</v>
      </c>
      <c r="H24" s="20" t="str">
        <f>+T24</f>
        <v>260410-023</v>
      </c>
      <c r="I24" t="s">
        <v>28</v>
      </c>
      <c r="J24" s="29">
        <v>2860</v>
      </c>
      <c r="K24" s="22">
        <f>IF(I24="","",IF(I24="ENTRADA",ABS(J24),-ABS(J24)))</f>
        <v>2860</v>
      </c>
      <c r="L24" t="s">
        <v>29</v>
      </c>
      <c r="M24" s="21"/>
      <c r="N24" s="3">
        <v>47418</v>
      </c>
      <c r="P24" s="57">
        <v>14331</v>
      </c>
      <c r="Q24" s="56" t="s">
        <v>110</v>
      </c>
      <c r="R24" s="22" t="str">
        <f>IF(H24="","",H24&amp;I24)</f>
        <v>260410-023ENTRADA</v>
      </c>
      <c r="S24" s="22" t="str">
        <f>IF(C24="","",C24&amp;I24)</f>
        <v>Colza Hyola 575 CLENTRADA</v>
      </c>
      <c r="T24" t="str">
        <f>IF(OR(C24="",I24&lt;&gt;"ENTRADA"),"",TEXT(B24,"AAMMDD")&amp;"-"&amp;TEXT(VALUE(SUBSTITUTE(A24,"MOV-","")),"000"))</f>
        <v>260410-023</v>
      </c>
    </row>
    <row r="25" spans="1:21">
      <c r="A25" s="20" t="s">
        <v>111</v>
      </c>
      <c r="B25" s="21">
        <v>46122</v>
      </c>
      <c r="C25" t="s">
        <v>112</v>
      </c>
      <c r="D25" t="s">
        <v>113</v>
      </c>
      <c r="E25" t="s">
        <v>25</v>
      </c>
      <c r="F25" t="s">
        <v>26</v>
      </c>
      <c r="G25" t="s">
        <v>27</v>
      </c>
      <c r="H25" s="20" t="str">
        <f>+T25</f>
        <v>260410-024</v>
      </c>
      <c r="I25" t="s">
        <v>28</v>
      </c>
      <c r="J25" s="29">
        <v>200</v>
      </c>
      <c r="K25" s="22">
        <f>IF(I25="","",IF(I25="ENTRADA",ABS(J25),-ABS(J25)))</f>
        <v>200</v>
      </c>
      <c r="L25" t="s">
        <v>29</v>
      </c>
      <c r="M25" s="21"/>
      <c r="N25" s="3">
        <v>47413</v>
      </c>
      <c r="P25" s="59">
        <v>14330</v>
      </c>
      <c r="Q25" s="56">
        <v>46125</v>
      </c>
      <c r="R25" s="22" t="str">
        <f>IF(H25="","",H25&amp;I25)</f>
        <v>260410-024ENTRADA</v>
      </c>
      <c r="S25" s="22" t="str">
        <f>IF(C25="","",C25&amp;I25)</f>
        <v>Colza Apolo CLENTRADA</v>
      </c>
      <c r="T25" t="str">
        <f>IF(OR(C25="",I25&lt;&gt;"ENTRADA"),"",TEXT(B25,"AAMMDD")&amp;"-"&amp;TEXT(VALUE(SUBSTITUTE(A25,"MOV-","")),"000"))</f>
        <v>260410-024</v>
      </c>
    </row>
    <row r="26" spans="1:21">
      <c r="A26" s="20" t="s">
        <v>114</v>
      </c>
      <c r="B26" s="21">
        <v>46122</v>
      </c>
      <c r="C26" t="s">
        <v>115</v>
      </c>
      <c r="D26" t="s">
        <v>116</v>
      </c>
      <c r="E26" t="s">
        <v>34</v>
      </c>
      <c r="F26" t="s">
        <v>35</v>
      </c>
      <c r="G26" t="s">
        <v>117</v>
      </c>
      <c r="H26" s="20" t="str">
        <f>+T26</f>
        <v>260410-025</v>
      </c>
      <c r="I26" t="s">
        <v>28</v>
      </c>
      <c r="J26" s="29">
        <v>21120</v>
      </c>
      <c r="K26" s="22">
        <f>IF(I26="","",IF(I26="ENTRADA",ABS(J26),-ABS(J26)))</f>
        <v>21120</v>
      </c>
      <c r="L26" t="s">
        <v>37</v>
      </c>
      <c r="M26" s="21">
        <v>46692</v>
      </c>
      <c r="N26" s="3">
        <v>48776</v>
      </c>
      <c r="P26" s="57">
        <v>14328</v>
      </c>
      <c r="Q26" s="56">
        <v>46123</v>
      </c>
      <c r="R26" s="22" t="str">
        <f>IF(H26="","",H26&amp;I26)</f>
        <v>260410-025ENTRADA</v>
      </c>
      <c r="S26" s="22" t="str">
        <f>IF(C26="","",C26&amp;I26)</f>
        <v>AzukaENTRADA</v>
      </c>
      <c r="T26" t="str">
        <f>IF(OR(C26="",I26&lt;&gt;"ENTRADA"),"",TEXT(B26,"AAMMDD")&amp;"-"&amp;TEXT(VALUE(SUBSTITUTE(A26,"MOV-","")),"000"))</f>
        <v>260410-025</v>
      </c>
      <c r="U26" t="s">
        <v>118</v>
      </c>
    </row>
    <row r="27" spans="1:21">
      <c r="A27" s="20" t="s">
        <v>119</v>
      </c>
      <c r="B27" s="21">
        <v>46122</v>
      </c>
      <c r="C27" t="s">
        <v>115</v>
      </c>
      <c r="D27" t="s">
        <v>116</v>
      </c>
      <c r="E27" t="s">
        <v>34</v>
      </c>
      <c r="F27" t="s">
        <v>35</v>
      </c>
      <c r="G27" t="s">
        <v>117</v>
      </c>
      <c r="H27" s="20" t="s">
        <v>120</v>
      </c>
      <c r="I27" t="s">
        <v>28</v>
      </c>
      <c r="J27" s="29">
        <v>2880</v>
      </c>
      <c r="K27" s="22">
        <f>IF(I27="","",IF(I27="ENTRADA",ABS(J27),-ABS(J27)))</f>
        <v>2880</v>
      </c>
      <c r="L27" t="s">
        <v>37</v>
      </c>
      <c r="M27" s="21">
        <v>46692</v>
      </c>
      <c r="N27" s="3">
        <v>48786</v>
      </c>
      <c r="P27" s="57">
        <v>14329</v>
      </c>
      <c r="Q27" s="56">
        <v>46123</v>
      </c>
      <c r="R27" s="22" t="str">
        <f>IF(H27="","",H27&amp;I27)</f>
        <v>260410-025ENTRADA</v>
      </c>
      <c r="S27" s="22" t="str">
        <f>IF(C27="","",C27&amp;I27)</f>
        <v>AzukaENTRADA</v>
      </c>
      <c r="T27" t="str">
        <f>IF(OR(C27="",I27&lt;&gt;"ENTRADA"),"",TEXT(B27,"AAMMDD")&amp;"-"&amp;TEXT(VALUE(SUBSTITUTE(A27,"MOV-","")),"000"))</f>
        <v>260410-026</v>
      </c>
      <c r="U27" t="s">
        <v>118</v>
      </c>
    </row>
    <row r="28" spans="1:21">
      <c r="A28" s="20" t="s">
        <v>121</v>
      </c>
      <c r="B28" s="21">
        <v>46122</v>
      </c>
      <c r="C28" t="s">
        <v>122</v>
      </c>
      <c r="D28" t="s">
        <v>123</v>
      </c>
      <c r="E28" t="s">
        <v>34</v>
      </c>
      <c r="F28" t="s">
        <v>35</v>
      </c>
      <c r="G28" t="s">
        <v>117</v>
      </c>
      <c r="H28" s="20" t="str">
        <f>+T28</f>
        <v>260410-027</v>
      </c>
      <c r="I28" t="s">
        <v>28</v>
      </c>
      <c r="J28" s="29">
        <v>17940</v>
      </c>
      <c r="K28" s="22">
        <f>IF(I28="","",IF(I28="ENTRADA",ABS(J28),-ABS(J28)))</f>
        <v>17940</v>
      </c>
      <c r="L28" t="s">
        <v>37</v>
      </c>
      <c r="M28" s="21">
        <v>46753</v>
      </c>
      <c r="N28" s="3">
        <v>48786</v>
      </c>
      <c r="P28" s="57">
        <v>14329</v>
      </c>
      <c r="Q28" s="56">
        <v>46123</v>
      </c>
      <c r="R28" s="22" t="str">
        <f>IF(H28="","",H28&amp;I28)</f>
        <v>260410-027ENTRADA</v>
      </c>
      <c r="S28" s="22" t="str">
        <f>IF(C28="","",C28&amp;I28)</f>
        <v>PardoENTRADA</v>
      </c>
      <c r="T28" t="str">
        <f>IF(OR(C28="",I28&lt;&gt;"ENTRADA"),"",TEXT(B28,"AAMMDD")&amp;"-"&amp;TEXT(VALUE(SUBSTITUTE(A28,"MOV-","")),"000"))</f>
        <v>260410-027</v>
      </c>
      <c r="U28" t="s">
        <v>124</v>
      </c>
    </row>
    <row r="29" spans="1:21">
      <c r="A29" s="20" t="s">
        <v>125</v>
      </c>
      <c r="B29" s="32">
        <v>46122</v>
      </c>
      <c r="C29" s="34" t="s">
        <v>126</v>
      </c>
      <c r="D29" s="34" t="s">
        <v>127</v>
      </c>
      <c r="E29" s="34" t="s">
        <v>25</v>
      </c>
      <c r="F29" s="34" t="s">
        <v>128</v>
      </c>
      <c r="G29" s="34"/>
      <c r="H29" s="20" t="str">
        <f>+T29</f>
        <v>260410-078</v>
      </c>
      <c r="I29" s="34" t="s">
        <v>28</v>
      </c>
      <c r="J29" s="39">
        <v>30000</v>
      </c>
      <c r="K29" s="22">
        <f>IF(I29="","",IF(I29="ENTRADA",ABS(J29),-ABS(J29)))</f>
        <v>30000</v>
      </c>
      <c r="L29" s="34" t="s">
        <v>29</v>
      </c>
      <c r="M29" s="4"/>
      <c r="N29" s="40">
        <v>59237</v>
      </c>
      <c r="O29" s="34" t="s">
        <v>95</v>
      </c>
      <c r="P29" s="45"/>
      <c r="Q29" s="56"/>
      <c r="R29" s="22" t="str">
        <f>IF(H29="","",H29&amp;I29)</f>
        <v>260410-078ENTRADA</v>
      </c>
      <c r="S29" s="22" t="str">
        <f>IF(C29="","",C29&amp;I29)</f>
        <v>Avena ENTRADA</v>
      </c>
      <c r="T29" t="str">
        <f>IF(OR(C29="",I29&lt;&gt;"ENTRADA"),"",TEXT(B29,"AAMMDD")&amp;"-"&amp;TEXT(VALUE(SUBSTITUTE(A29,"MOV-","")),"000"))</f>
        <v>260410-078</v>
      </c>
    </row>
    <row r="30" spans="1:21">
      <c r="A30" s="20" t="s">
        <v>129</v>
      </c>
      <c r="B30" s="21">
        <v>46126</v>
      </c>
      <c r="C30" t="s">
        <v>130</v>
      </c>
      <c r="D30" s="33" t="s">
        <v>131</v>
      </c>
      <c r="E30" t="s">
        <v>132</v>
      </c>
      <c r="F30" s="33"/>
      <c r="G30" t="s">
        <v>133</v>
      </c>
      <c r="H30" s="20" t="str">
        <f>+T30</f>
        <v>260414-028</v>
      </c>
      <c r="I30" s="33" t="s">
        <v>28</v>
      </c>
      <c r="J30" s="29">
        <v>1000</v>
      </c>
      <c r="K30" s="22">
        <f>IF(I30="","",IF(I30="ENTRADA",ABS(J30),-ABS(J30)))</f>
        <v>1000</v>
      </c>
      <c r="L30" s="33" t="s">
        <v>37</v>
      </c>
      <c r="M30" s="21">
        <v>46661</v>
      </c>
      <c r="N30" s="20">
        <v>390</v>
      </c>
      <c r="O30" s="33"/>
      <c r="P30" s="57">
        <v>14339</v>
      </c>
      <c r="Q30" s="56">
        <v>46127</v>
      </c>
      <c r="R30" s="22" t="str">
        <f>IF(H30="","",H30&amp;I30)</f>
        <v>260414-028ENTRADA</v>
      </c>
      <c r="S30" s="22" t="str">
        <f>IF(C30="","",C30&amp;I30)</f>
        <v>HarrierENTRADA</v>
      </c>
      <c r="T30" t="str">
        <f>IF(OR(C30="",I30&lt;&gt;"ENTRADA"),"",TEXT(B30,"AAMMDD")&amp;"-"&amp;TEXT(VALUE(SUBSTITUTE(A30,"MOV-","")),"000"))</f>
        <v>260414-028</v>
      </c>
      <c r="U30" t="s">
        <v>134</v>
      </c>
    </row>
    <row r="31" spans="1:21">
      <c r="A31" s="20" t="s">
        <v>135</v>
      </c>
      <c r="B31" s="32">
        <v>46126</v>
      </c>
      <c r="C31" t="s">
        <v>130</v>
      </c>
      <c r="D31" s="4" t="s">
        <v>131</v>
      </c>
      <c r="E31" t="s">
        <v>132</v>
      </c>
      <c r="F31" s="4"/>
      <c r="G31" t="s">
        <v>133</v>
      </c>
      <c r="H31" s="20" t="str">
        <f>+T31</f>
        <v>260414-029</v>
      </c>
      <c r="I31" s="4" t="s">
        <v>28</v>
      </c>
      <c r="J31" s="29">
        <v>5000</v>
      </c>
      <c r="K31" s="22">
        <f>IF(I31="","",IF(I31="ENTRADA",ABS(J31),-ABS(J31)))</f>
        <v>5000</v>
      </c>
      <c r="L31" s="4" t="s">
        <v>37</v>
      </c>
      <c r="M31" s="32">
        <v>46813</v>
      </c>
      <c r="N31" s="4">
        <v>390</v>
      </c>
      <c r="O31" s="4"/>
      <c r="P31" s="57">
        <v>14339</v>
      </c>
      <c r="Q31" s="56">
        <v>46127</v>
      </c>
      <c r="R31" s="22" t="str">
        <f>IF(H31="","",H31&amp;I31)</f>
        <v>260414-029ENTRADA</v>
      </c>
      <c r="S31" s="22" t="str">
        <f>IF(C31="","",C31&amp;I31)</f>
        <v>HarrierENTRADA</v>
      </c>
      <c r="T31" t="str">
        <f>IF(OR(C31="",I31&lt;&gt;"ENTRADA"),"",TEXT(B31,"AAMMDD")&amp;"-"&amp;TEXT(VALUE(SUBSTITUTE(A31,"MOV-","")),"000"))</f>
        <v>260414-029</v>
      </c>
      <c r="U31" t="s">
        <v>134</v>
      </c>
    </row>
    <row r="32" spans="1:21">
      <c r="A32" s="20" t="s">
        <v>136</v>
      </c>
      <c r="B32" s="32">
        <v>46126</v>
      </c>
      <c r="C32" t="s">
        <v>137</v>
      </c>
      <c r="D32" s="4" t="s">
        <v>138</v>
      </c>
      <c r="E32" t="s">
        <v>132</v>
      </c>
      <c r="F32" s="4"/>
      <c r="G32" t="s">
        <v>133</v>
      </c>
      <c r="H32" s="20" t="str">
        <f>+T32</f>
        <v>260414-030</v>
      </c>
      <c r="I32" s="4" t="s">
        <v>28</v>
      </c>
      <c r="J32" s="29">
        <v>1200</v>
      </c>
      <c r="K32" s="22">
        <f>IF(I32="","",IF(I32="ENTRADA",ABS(J32),-ABS(J32)))</f>
        <v>1200</v>
      </c>
      <c r="L32" s="4" t="s">
        <v>37</v>
      </c>
      <c r="M32" s="32">
        <v>46661</v>
      </c>
      <c r="N32" s="4">
        <v>390</v>
      </c>
      <c r="O32" s="4"/>
      <c r="P32" s="57">
        <v>14339</v>
      </c>
      <c r="Q32" s="56">
        <v>46127</v>
      </c>
      <c r="R32" s="22" t="str">
        <f>IF(H32="","",H32&amp;I32)</f>
        <v>260414-030ENTRADA</v>
      </c>
      <c r="S32" s="22" t="str">
        <f>IF(C32="","",C32&amp;I32)</f>
        <v>Full controlENTRADA</v>
      </c>
      <c r="T32" t="str">
        <f>IF(OR(C32="",I32&lt;&gt;"ENTRADA"),"",TEXT(B32,"AAMMDD")&amp;"-"&amp;TEXT(VALUE(SUBSTITUTE(A32,"MOV-","")),"000"))</f>
        <v>260414-030</v>
      </c>
      <c r="U32" t="s">
        <v>139</v>
      </c>
    </row>
    <row r="33" spans="1:21">
      <c r="A33" s="20" t="s">
        <v>140</v>
      </c>
      <c r="B33" s="32">
        <v>46126</v>
      </c>
      <c r="C33" t="s">
        <v>141</v>
      </c>
      <c r="D33" s="4" t="s">
        <v>142</v>
      </c>
      <c r="E33" t="s">
        <v>132</v>
      </c>
      <c r="F33" s="4"/>
      <c r="G33" t="s">
        <v>133</v>
      </c>
      <c r="H33" s="20" t="str">
        <f>+T33</f>
        <v>260414-031</v>
      </c>
      <c r="I33" s="4" t="s">
        <v>28</v>
      </c>
      <c r="J33" s="29">
        <v>195</v>
      </c>
      <c r="K33" s="22">
        <f>IF(I33="","",IF(I33="ENTRADA",ABS(J33),-ABS(J33)))</f>
        <v>195</v>
      </c>
      <c r="L33" s="4" t="s">
        <v>37</v>
      </c>
      <c r="M33" s="32">
        <v>46388</v>
      </c>
      <c r="N33" s="4">
        <v>390</v>
      </c>
      <c r="O33" s="4"/>
      <c r="P33" s="57">
        <v>14339</v>
      </c>
      <c r="Q33" s="56">
        <v>46127</v>
      </c>
      <c r="R33" s="22" t="str">
        <f>IF(H33="","",H33&amp;I33)</f>
        <v>260414-031ENTRADA</v>
      </c>
      <c r="S33" s="22" t="str">
        <f>IF(C33="","",C33&amp;I33)</f>
        <v>Maxi DropENTRADA</v>
      </c>
      <c r="T33" t="str">
        <f>IF(OR(C33="",I33&lt;&gt;"ENTRADA"),"",TEXT(B33,"AAMMDD")&amp;"-"&amp;TEXT(VALUE(SUBSTITUTE(A33,"MOV-","")),"000"))</f>
        <v>260414-031</v>
      </c>
      <c r="U33" t="s">
        <v>143</v>
      </c>
    </row>
    <row r="34" spans="1:21">
      <c r="A34" s="20" t="s">
        <v>144</v>
      </c>
      <c r="B34" s="32">
        <v>46126</v>
      </c>
      <c r="C34" s="4" t="s">
        <v>126</v>
      </c>
      <c r="D34" s="4" t="s">
        <v>127</v>
      </c>
      <c r="E34" s="4" t="s">
        <v>25</v>
      </c>
      <c r="F34" s="4" t="s">
        <v>128</v>
      </c>
      <c r="G34" s="4"/>
      <c r="H34" s="20" t="s">
        <v>145</v>
      </c>
      <c r="I34" s="4" t="s">
        <v>28</v>
      </c>
      <c r="J34" s="39">
        <v>30000</v>
      </c>
      <c r="K34" s="22">
        <f>IF(I34="","",IF(I34="ENTRADA",ABS(J34),-ABS(J34)))</f>
        <v>30000</v>
      </c>
      <c r="L34" s="4" t="s">
        <v>29</v>
      </c>
      <c r="M34" s="4"/>
      <c r="N34" s="4">
        <v>59238</v>
      </c>
      <c r="O34" s="4" t="s">
        <v>95</v>
      </c>
      <c r="P34" s="45"/>
      <c r="Q34" s="56"/>
      <c r="R34" s="22" t="str">
        <f>IF(H34="","",H34&amp;I34)</f>
        <v>260410-078ENTRADA</v>
      </c>
      <c r="S34" s="22" t="str">
        <f>IF(C34="","",C34&amp;I34)</f>
        <v>Avena ENTRADA</v>
      </c>
      <c r="T34" t="str">
        <f>IF(OR(C34="",I34&lt;&gt;"ENTRADA"),"",TEXT(B34,"AAMMDD")&amp;"-"&amp;TEXT(VALUE(SUBSTITUTE(A34,"MOV-","")),"000"))</f>
        <v>260414-081</v>
      </c>
    </row>
    <row r="35" spans="1:21">
      <c r="A35" s="20" t="s">
        <v>146</v>
      </c>
      <c r="B35" s="32">
        <v>46127</v>
      </c>
      <c r="C35" s="33" t="s">
        <v>147</v>
      </c>
      <c r="D35" s="4" t="s">
        <v>148</v>
      </c>
      <c r="E35" s="33" t="s">
        <v>34</v>
      </c>
      <c r="F35" s="4" t="s">
        <v>35</v>
      </c>
      <c r="G35" s="33" t="s">
        <v>36</v>
      </c>
      <c r="H35" s="20" t="str">
        <f>+T35</f>
        <v>260415-032</v>
      </c>
      <c r="I35" s="4" t="s">
        <v>28</v>
      </c>
      <c r="J35" s="29">
        <v>2000</v>
      </c>
      <c r="K35" s="22">
        <f>IF(I35="","",IF(I35="ENTRADA",ABS(J35),-ABS(J35)))</f>
        <v>2000</v>
      </c>
      <c r="L35" s="4" t="s">
        <v>37</v>
      </c>
      <c r="M35" s="32">
        <v>46419</v>
      </c>
      <c r="N35" s="4">
        <v>12482</v>
      </c>
      <c r="O35" s="4"/>
      <c r="P35" s="57">
        <v>14340</v>
      </c>
      <c r="Q35" s="56">
        <v>46127</v>
      </c>
      <c r="R35" s="22" t="str">
        <f>IF(H35="","",H35&amp;I35)</f>
        <v>260415-032ENTRADA</v>
      </c>
      <c r="S35" s="22" t="str">
        <f>IF(C35="","",C35&amp;I35)</f>
        <v>AxialENTRADA</v>
      </c>
      <c r="T35" t="str">
        <f>IF(OR(C35="",I35&lt;&gt;"ENTRADA"),"",TEXT(B35,"AAMMDD")&amp;"-"&amp;TEXT(VALUE(SUBSTITUTE(A35,"MOV-","")),"000"))</f>
        <v>260415-032</v>
      </c>
      <c r="U35" t="s">
        <v>149</v>
      </c>
    </row>
    <row r="36" spans="1:21">
      <c r="A36" s="20" t="s">
        <v>150</v>
      </c>
      <c r="B36" s="32">
        <v>46127</v>
      </c>
      <c r="C36" s="4" t="s">
        <v>80</v>
      </c>
      <c r="D36" s="4" t="s">
        <v>81</v>
      </c>
      <c r="E36" s="4" t="s">
        <v>25</v>
      </c>
      <c r="F36" s="4" t="s">
        <v>82</v>
      </c>
      <c r="G36" s="4" t="s">
        <v>83</v>
      </c>
      <c r="H36" s="20" t="s">
        <v>151</v>
      </c>
      <c r="I36" s="4" t="s">
        <v>65</v>
      </c>
      <c r="J36" s="29">
        <v>1250</v>
      </c>
      <c r="K36" s="22">
        <f>IF(I36="","",IF(I36="ENTRADA",ABS(J36),-ABS(J36)))</f>
        <v>-1250</v>
      </c>
      <c r="L36" s="4" t="s">
        <v>29</v>
      </c>
      <c r="M36" s="4"/>
      <c r="N36" s="4">
        <v>59311</v>
      </c>
      <c r="O36" s="4" t="s">
        <v>152</v>
      </c>
      <c r="P36" s="57">
        <v>1628</v>
      </c>
      <c r="Q36" s="56">
        <v>46127</v>
      </c>
      <c r="R36" s="22" t="str">
        <f>IF(H36="","",H36&amp;I36)</f>
        <v>260408-013SALIDA</v>
      </c>
      <c r="S36" s="22" t="str">
        <f>IF(C36="","",C36&amp;I36)</f>
        <v>Raigrás E284SALIDA</v>
      </c>
      <c r="T36" t="str">
        <f>IF(OR(C36="",I36&lt;&gt;"ENTRADA"),"",TEXT(B36,"AAMMDD")&amp;"-"&amp;TEXT(VALUE(SUBSTITUTE(A36,"MOV-","")),"000"))</f>
        <v/>
      </c>
    </row>
    <row r="37" spans="1:21">
      <c r="A37" s="20" t="s">
        <v>153</v>
      </c>
      <c r="B37" s="32">
        <v>46128</v>
      </c>
      <c r="C37" s="4" t="s">
        <v>70</v>
      </c>
      <c r="D37" s="4" t="s">
        <v>71</v>
      </c>
      <c r="E37" s="4" t="s">
        <v>70</v>
      </c>
      <c r="F37" s="4"/>
      <c r="G37" s="4" t="s">
        <v>72</v>
      </c>
      <c r="H37" s="20" t="s">
        <v>154</v>
      </c>
      <c r="I37" s="4" t="s">
        <v>28</v>
      </c>
      <c r="J37" s="29">
        <v>30</v>
      </c>
      <c r="K37" s="22">
        <f>IF(I37="","",IF(I37="ENTRADA",ABS(J37),-ABS(J37)))</f>
        <v>30</v>
      </c>
      <c r="L37" s="4" t="s">
        <v>73</v>
      </c>
      <c r="M37" s="4"/>
      <c r="N37" s="4">
        <v>3160</v>
      </c>
      <c r="O37" s="4"/>
      <c r="P37" s="57">
        <v>14365</v>
      </c>
      <c r="Q37" s="56">
        <v>46137</v>
      </c>
      <c r="R37" s="22" t="str">
        <f>IF(H37="","",H37&amp;I37)</f>
        <v>260406-011ENTRADA</v>
      </c>
      <c r="S37" s="22" t="str">
        <f>IF(C37="","",C37&amp;I37)</f>
        <v>SilobolsaENTRADA</v>
      </c>
      <c r="T37" t="str">
        <f>IF(OR(C37="",I37&lt;&gt;"ENTRADA"),"",TEXT(B37,"AAMMDD")&amp;"-"&amp;TEXT(VALUE(SUBSTITUTE(A37,"MOV-","")),"000"))</f>
        <v>260416-034</v>
      </c>
    </row>
    <row r="38" spans="1:21">
      <c r="A38" s="20" t="s">
        <v>155</v>
      </c>
      <c r="B38" s="32">
        <v>46128</v>
      </c>
      <c r="C38" s="4" t="s">
        <v>156</v>
      </c>
      <c r="D38" s="4" t="s">
        <v>157</v>
      </c>
      <c r="E38" s="4" t="s">
        <v>25</v>
      </c>
      <c r="F38" s="4" t="s">
        <v>26</v>
      </c>
      <c r="G38" s="4" t="s">
        <v>158</v>
      </c>
      <c r="H38" s="20" t="str">
        <f>+T38</f>
        <v>260416-035</v>
      </c>
      <c r="I38" s="4" t="s">
        <v>28</v>
      </c>
      <c r="J38" s="29">
        <v>3200</v>
      </c>
      <c r="K38" s="22">
        <f>IF(I38="","",IF(I38="ENTRADA",ABS(J38),-ABS(J38)))</f>
        <v>3200</v>
      </c>
      <c r="L38" s="4" t="s">
        <v>29</v>
      </c>
      <c r="M38" s="4"/>
      <c r="N38" s="4">
        <v>30271</v>
      </c>
      <c r="O38" s="4"/>
      <c r="P38" s="57">
        <v>14363</v>
      </c>
      <c r="Q38" s="56">
        <v>46137</v>
      </c>
      <c r="R38" s="22" t="str">
        <f>IF(H38="","",H38&amp;I38)</f>
        <v>260416-035ENTRADA</v>
      </c>
      <c r="S38" s="22" t="str">
        <f>IF(C38="","",C38&amp;I38)</f>
        <v>Colza Nuola 300ENTRADA</v>
      </c>
      <c r="T38" t="str">
        <f>IF(OR(C38="",I38&lt;&gt;"ENTRADA"),"",TEXT(B38,"AAMMDD")&amp;"-"&amp;TEXT(VALUE(SUBSTITUTE(A38,"MOV-","")),"000"))</f>
        <v>260416-035</v>
      </c>
    </row>
    <row r="39" spans="1:21">
      <c r="A39" s="20" t="s">
        <v>159</v>
      </c>
      <c r="B39" s="32">
        <v>46128</v>
      </c>
      <c r="C39" s="4" t="s">
        <v>160</v>
      </c>
      <c r="D39" s="4" t="s">
        <v>161</v>
      </c>
      <c r="E39" s="4" t="s">
        <v>25</v>
      </c>
      <c r="F39" s="4" t="s">
        <v>26</v>
      </c>
      <c r="G39" s="4" t="s">
        <v>158</v>
      </c>
      <c r="H39" s="20" t="str">
        <f>+T39</f>
        <v>260416-036</v>
      </c>
      <c r="I39" s="4" t="s">
        <v>28</v>
      </c>
      <c r="J39" s="29">
        <v>1520</v>
      </c>
      <c r="K39" s="22">
        <f>IF(I39="","",IF(I39="ENTRADA",ABS(J39),-ABS(J39)))</f>
        <v>1520</v>
      </c>
      <c r="L39" s="4" t="s">
        <v>29</v>
      </c>
      <c r="M39" s="4"/>
      <c r="N39" s="4">
        <v>30279</v>
      </c>
      <c r="O39" s="4"/>
      <c r="P39" s="57">
        <v>14364</v>
      </c>
      <c r="Q39" s="56">
        <v>46137</v>
      </c>
      <c r="R39" s="22" t="str">
        <f>IF(H39="","",H39&amp;I39)</f>
        <v>260416-036ENTRADA</v>
      </c>
      <c r="S39" s="22" t="str">
        <f>IF(C39="","",C39&amp;I39)</f>
        <v>Colza Ceres IMIENTRADA</v>
      </c>
      <c r="T39" t="str">
        <f>IF(OR(C39="",I39&lt;&gt;"ENTRADA"),"",TEXT(B39,"AAMMDD")&amp;"-"&amp;TEXT(VALUE(SUBSTITUTE(A39,"MOV-","")),"000"))</f>
        <v>260416-036</v>
      </c>
      <c r="U39" t="s">
        <v>162</v>
      </c>
    </row>
    <row r="40" spans="1:21">
      <c r="A40" s="20" t="s">
        <v>163</v>
      </c>
      <c r="B40" s="43">
        <v>46129</v>
      </c>
      <c r="C40" s="4" t="s">
        <v>164</v>
      </c>
      <c r="D40" s="4" t="s">
        <v>164</v>
      </c>
      <c r="E40" s="4" t="s">
        <v>25</v>
      </c>
      <c r="F40" s="4" t="s">
        <v>165</v>
      </c>
      <c r="G40" s="4" t="s">
        <v>166</v>
      </c>
      <c r="H40" s="20" t="str">
        <f>+T40</f>
        <v>260417-037</v>
      </c>
      <c r="I40" s="4" t="s">
        <v>28</v>
      </c>
      <c r="J40" s="29">
        <v>3400</v>
      </c>
      <c r="K40" s="22">
        <f>IF(I40="","",IF(I40="ENTRADA",ABS(J40),-ABS(J40)))</f>
        <v>3400</v>
      </c>
      <c r="L40" s="4" t="s">
        <v>29</v>
      </c>
      <c r="M40" s="4"/>
      <c r="N40" s="4">
        <v>94518</v>
      </c>
      <c r="O40" s="4"/>
      <c r="P40" s="57">
        <v>14410</v>
      </c>
      <c r="Q40" s="56">
        <v>46140</v>
      </c>
      <c r="R40" s="22" t="str">
        <f>IF(H40="","",H40&amp;I40)</f>
        <v>260417-037ENTRADA</v>
      </c>
      <c r="S40" s="22" t="str">
        <f>IF(C40="","",C40&amp;I40)</f>
        <v>Festuca CarapeENTRADA</v>
      </c>
      <c r="T40" t="str">
        <f>IF(OR(C40="",I40&lt;&gt;"ENTRADA"),"",TEXT(B40,"AAMMDD")&amp;"-"&amp;TEXT(VALUE(SUBSTITUTE(A40,"MOV-","")),"000"))</f>
        <v>260417-037</v>
      </c>
    </row>
    <row r="41" spans="1:21">
      <c r="A41" s="20" t="s">
        <v>167</v>
      </c>
      <c r="B41" s="32">
        <v>46129</v>
      </c>
      <c r="C41" s="4" t="s">
        <v>168</v>
      </c>
      <c r="D41" s="4" t="s">
        <v>169</v>
      </c>
      <c r="E41" s="4" t="s">
        <v>25</v>
      </c>
      <c r="F41" s="4" t="s">
        <v>170</v>
      </c>
      <c r="G41" s="4" t="s">
        <v>166</v>
      </c>
      <c r="H41" s="20" t="str">
        <f>+T41</f>
        <v>260417-038</v>
      </c>
      <c r="I41" s="4" t="s">
        <v>28</v>
      </c>
      <c r="J41" s="29">
        <v>375</v>
      </c>
      <c r="K41" s="22">
        <f>IF(I41="","",IF(I41="ENTRADA",ABS(J41),-ABS(J41)))</f>
        <v>375</v>
      </c>
      <c r="L41" s="4" t="s">
        <v>29</v>
      </c>
      <c r="M41" s="4"/>
      <c r="N41" s="4">
        <v>94518</v>
      </c>
      <c r="O41" s="4"/>
      <c r="P41" s="57">
        <v>14410</v>
      </c>
      <c r="Q41" s="56">
        <v>46140</v>
      </c>
      <c r="R41" s="22" t="str">
        <f>IF(H41="","",H41&amp;I41)</f>
        <v>260417-038ENTRADA</v>
      </c>
      <c r="S41" s="22" t="str">
        <f>IF(C41="","",C41&amp;I41)</f>
        <v>Alfalfa VerdorENTRADA</v>
      </c>
      <c r="T41" t="str">
        <f>IF(OR(C41="",I41&lt;&gt;"ENTRADA"),"",TEXT(B41,"AAMMDD")&amp;"-"&amp;TEXT(VALUE(SUBSTITUTE(A41,"MOV-","")),"000"))</f>
        <v>260417-038</v>
      </c>
    </row>
    <row r="42" spans="1:21">
      <c r="A42" s="20" t="s">
        <v>171</v>
      </c>
      <c r="B42" s="32">
        <v>46129</v>
      </c>
      <c r="C42" s="4" t="s">
        <v>172</v>
      </c>
      <c r="D42" s="4" t="s">
        <v>173</v>
      </c>
      <c r="E42" s="4" t="s">
        <v>25</v>
      </c>
      <c r="F42" s="4" t="s">
        <v>174</v>
      </c>
      <c r="G42" s="4" t="s">
        <v>166</v>
      </c>
      <c r="H42" s="20" t="str">
        <f>+T42</f>
        <v>260417-039</v>
      </c>
      <c r="I42" s="4" t="s">
        <v>28</v>
      </c>
      <c r="J42" s="29">
        <v>750</v>
      </c>
      <c r="K42" s="22">
        <f>IF(I42="","",IF(I42="ENTRADA",ABS(J42),-ABS(J42)))</f>
        <v>750</v>
      </c>
      <c r="L42" s="4" t="s">
        <v>29</v>
      </c>
      <c r="M42" s="4"/>
      <c r="N42" s="4">
        <v>94518</v>
      </c>
      <c r="O42" s="4"/>
      <c r="P42" s="57">
        <v>14410</v>
      </c>
      <c r="Q42" s="56">
        <v>46140</v>
      </c>
      <c r="R42" s="22" t="str">
        <f>IF(H42="","",H42&amp;I42)</f>
        <v>260417-039ENTRADA</v>
      </c>
      <c r="S42" s="22" t="str">
        <f>IF(C42="","",C42&amp;I42)</f>
        <v>Achicora Inia NovaENTRADA</v>
      </c>
      <c r="T42" t="str">
        <f>IF(OR(C42="",I42&lt;&gt;"ENTRADA"),"",TEXT(B42,"AAMMDD")&amp;"-"&amp;TEXT(VALUE(SUBSTITUTE(A42,"MOV-","")),"000"))</f>
        <v>260417-039</v>
      </c>
    </row>
    <row r="43" spans="1:21">
      <c r="A43" s="20" t="s">
        <v>175</v>
      </c>
      <c r="B43" s="32">
        <v>46129</v>
      </c>
      <c r="C43" s="4" t="s">
        <v>156</v>
      </c>
      <c r="D43" s="4" t="s">
        <v>157</v>
      </c>
      <c r="E43" s="4" t="s">
        <v>25</v>
      </c>
      <c r="F43" s="4" t="s">
        <v>26</v>
      </c>
      <c r="G43" s="4" t="s">
        <v>176</v>
      </c>
      <c r="H43" s="20" t="str">
        <f>+T43</f>
        <v>260417-040</v>
      </c>
      <c r="I43" s="4" t="s">
        <v>28</v>
      </c>
      <c r="J43" s="29">
        <v>1600</v>
      </c>
      <c r="K43" s="22">
        <f>IF(I43="","",IF(I43="ENTRADA",ABS(J43),-ABS(J43)))</f>
        <v>1600</v>
      </c>
      <c r="L43" s="4" t="s">
        <v>29</v>
      </c>
      <c r="M43" s="4"/>
      <c r="N43" s="4">
        <v>6868</v>
      </c>
      <c r="O43" s="4"/>
      <c r="P43" s="57">
        <v>14482</v>
      </c>
      <c r="Q43" s="56">
        <v>46154</v>
      </c>
      <c r="R43" s="22" t="str">
        <f>IF(H43="","",H43&amp;I43)</f>
        <v>260417-040ENTRADA</v>
      </c>
      <c r="S43" s="22" t="str">
        <f>IF(C43="","",C43&amp;I43)</f>
        <v>Colza Nuola 300ENTRADA</v>
      </c>
      <c r="T43" t="str">
        <f>IF(OR(C43="",I43&lt;&gt;"ENTRADA"),"",TEXT(B43,"AAMMDD")&amp;"-"&amp;TEXT(VALUE(SUBSTITUTE(A43,"MOV-","")),"000"))</f>
        <v>260417-040</v>
      </c>
    </row>
    <row r="44" spans="1:21">
      <c r="A44" s="20" t="s">
        <v>177</v>
      </c>
      <c r="B44" s="43">
        <v>46129</v>
      </c>
      <c r="C44" s="4" t="s">
        <v>178</v>
      </c>
      <c r="D44" s="4" t="s">
        <v>179</v>
      </c>
      <c r="E44" s="4" t="s">
        <v>25</v>
      </c>
      <c r="F44" s="4" t="s">
        <v>165</v>
      </c>
      <c r="G44" s="4" t="s">
        <v>180</v>
      </c>
      <c r="H44" s="20" t="str">
        <f>+T44</f>
        <v>260417-041</v>
      </c>
      <c r="I44" s="4" t="s">
        <v>28</v>
      </c>
      <c r="J44" s="29">
        <v>6800</v>
      </c>
      <c r="K44" s="22">
        <f>IF(I44="","",IF(I44="ENTRADA",ABS(J44),-ABS(J44)))</f>
        <v>6800</v>
      </c>
      <c r="L44" s="4" t="s">
        <v>29</v>
      </c>
      <c r="M44" s="4"/>
      <c r="N44" s="4">
        <v>7485</v>
      </c>
      <c r="O44" s="4"/>
      <c r="P44" s="57">
        <v>14402</v>
      </c>
      <c r="Q44" s="56">
        <v>46139</v>
      </c>
      <c r="R44" s="22" t="str">
        <f>IF(H44="","",H44&amp;I44)</f>
        <v>260417-041ENTRADA</v>
      </c>
      <c r="S44" s="22" t="str">
        <f>IF(C44="","",C44&amp;I44)</f>
        <v>Festuca Sortija C2 ENTRADA</v>
      </c>
      <c r="T44" t="str">
        <f>IF(OR(C44="",I44&lt;&gt;"ENTRADA"),"",TEXT(B44,"AAMMDD")&amp;"-"&amp;TEXT(VALUE(SUBSTITUTE(A44,"MOV-","")),"000"))</f>
        <v>260417-041</v>
      </c>
    </row>
    <row r="45" spans="1:21">
      <c r="A45" s="20" t="s">
        <v>181</v>
      </c>
      <c r="B45" s="32">
        <v>46129</v>
      </c>
      <c r="C45" s="4" t="s">
        <v>182</v>
      </c>
      <c r="D45" s="4" t="s">
        <v>183</v>
      </c>
      <c r="E45" s="4" t="s">
        <v>25</v>
      </c>
      <c r="F45" s="4" t="s">
        <v>184</v>
      </c>
      <c r="G45" s="4" t="s">
        <v>180</v>
      </c>
      <c r="H45" s="20" t="str">
        <f>+T45</f>
        <v>260417-042</v>
      </c>
      <c r="I45" s="4" t="s">
        <v>28</v>
      </c>
      <c r="J45" s="29">
        <v>975</v>
      </c>
      <c r="K45" s="22">
        <f>IF(I45="","",IF(I45="ENTRADA",ABS(J45),-ABS(J45)))</f>
        <v>975</v>
      </c>
      <c r="L45" s="4" t="s">
        <v>29</v>
      </c>
      <c r="M45" s="4"/>
      <c r="N45" s="4">
        <v>7485</v>
      </c>
      <c r="O45" s="4"/>
      <c r="P45" s="57">
        <v>14402</v>
      </c>
      <c r="Q45" s="56">
        <v>46139</v>
      </c>
      <c r="R45" s="22" t="str">
        <f>IF(H45="","",H45&amp;I45)</f>
        <v>260417-042ENTRADA</v>
      </c>
      <c r="S45" s="22" t="str">
        <f>IF(C45="","",C45&amp;I45)</f>
        <v>Dactylis DroverENTRADA</v>
      </c>
      <c r="T45" t="str">
        <f>IF(OR(C45="",I45&lt;&gt;"ENTRADA"),"",TEXT(B45,"AAMMDD")&amp;"-"&amp;TEXT(VALUE(SUBSTITUTE(A45,"MOV-","")),"000"))</f>
        <v>260417-042</v>
      </c>
    </row>
    <row r="46" spans="1:21">
      <c r="A46" s="20" t="s">
        <v>185</v>
      </c>
      <c r="B46" s="32">
        <v>46129</v>
      </c>
      <c r="C46" s="4" t="s">
        <v>186</v>
      </c>
      <c r="D46" s="4" t="s">
        <v>187</v>
      </c>
      <c r="E46" s="4" t="s">
        <v>25</v>
      </c>
      <c r="F46" s="4" t="s">
        <v>188</v>
      </c>
      <c r="G46" s="4" t="s">
        <v>180</v>
      </c>
      <c r="H46" s="20" t="str">
        <f>+T46</f>
        <v>260417-043</v>
      </c>
      <c r="I46" s="4" t="s">
        <v>28</v>
      </c>
      <c r="J46" s="29">
        <v>1375</v>
      </c>
      <c r="K46" s="22">
        <f>IF(I46="","",IF(I46="ENTRADA",ABS(J46),-ABS(J46)))</f>
        <v>1375</v>
      </c>
      <c r="L46" s="4" t="s">
        <v>29</v>
      </c>
      <c r="M46" s="4"/>
      <c r="N46" s="4">
        <v>7485</v>
      </c>
      <c r="O46" s="4"/>
      <c r="P46" s="57">
        <v>14402</v>
      </c>
      <c r="Q46" s="56">
        <v>46139</v>
      </c>
      <c r="R46" s="22" t="str">
        <f>IF(H46="","",H46&amp;I46)</f>
        <v>260417-043ENTRADA</v>
      </c>
      <c r="S46" s="22" t="str">
        <f>IF(C46="","",C46&amp;I46)</f>
        <v>Trebol Blanco E ZapicanENTRADA</v>
      </c>
      <c r="T46" t="str">
        <f>IF(OR(C46="",I46&lt;&gt;"ENTRADA"),"",TEXT(B46,"AAMMDD")&amp;"-"&amp;TEXT(VALUE(SUBSTITUTE(A46,"MOV-","")),"000"))</f>
        <v>260417-043</v>
      </c>
    </row>
    <row r="47" spans="1:21">
      <c r="A47" s="20" t="s">
        <v>189</v>
      </c>
      <c r="B47" s="32">
        <v>46129</v>
      </c>
      <c r="C47" s="4" t="s">
        <v>190</v>
      </c>
      <c r="D47" s="4" t="s">
        <v>191</v>
      </c>
      <c r="E47" s="4" t="s">
        <v>25</v>
      </c>
      <c r="F47" s="4" t="s">
        <v>192</v>
      </c>
      <c r="G47" s="4" t="s">
        <v>180</v>
      </c>
      <c r="H47" s="20" t="str">
        <f>+T47</f>
        <v>260417-044</v>
      </c>
      <c r="I47" s="4" t="s">
        <v>28</v>
      </c>
      <c r="J47" s="28">
        <v>450</v>
      </c>
      <c r="K47" s="22">
        <f>IF(I47="","",IF(I47="ENTRADA",ABS(J47),-ABS(J47)))</f>
        <v>450</v>
      </c>
      <c r="L47" s="4" t="s">
        <v>29</v>
      </c>
      <c r="M47" s="4"/>
      <c r="N47" s="4">
        <v>7485</v>
      </c>
      <c r="O47" s="4"/>
      <c r="P47" s="57">
        <v>14402</v>
      </c>
      <c r="Q47" s="56">
        <v>46139</v>
      </c>
      <c r="R47" s="22" t="str">
        <f>IF(H47="","",H47&amp;I47)</f>
        <v>260417-044ENTRADA</v>
      </c>
      <c r="S47" s="22" t="str">
        <f>IF(C47="","",C47&amp;I47)</f>
        <v>Trebol Rojo E116ENTRADA</v>
      </c>
      <c r="T47" t="str">
        <f>IF(OR(C47="",I47&lt;&gt;"ENTRADA"),"",TEXT(B47,"AAMMDD")&amp;"-"&amp;TEXT(VALUE(SUBSTITUTE(A47,"MOV-","")),"000"))</f>
        <v>260417-044</v>
      </c>
    </row>
    <row r="48" spans="1:21">
      <c r="A48" s="20" t="s">
        <v>193</v>
      </c>
      <c r="B48" s="32">
        <v>46129</v>
      </c>
      <c r="C48" s="4" t="s">
        <v>194</v>
      </c>
      <c r="D48" s="4" t="s">
        <v>194</v>
      </c>
      <c r="E48" s="4" t="s">
        <v>25</v>
      </c>
      <c r="F48" s="4" t="s">
        <v>195</v>
      </c>
      <c r="G48" s="4" t="s">
        <v>180</v>
      </c>
      <c r="H48" s="20" t="str">
        <f>+T48</f>
        <v>260417-045</v>
      </c>
      <c r="I48" s="4" t="s">
        <v>28</v>
      </c>
      <c r="J48" s="28">
        <v>275</v>
      </c>
      <c r="K48" s="22">
        <f>IF(I48="","",IF(I48="ENTRADA",ABS(J48),-ABS(J48)))</f>
        <v>275</v>
      </c>
      <c r="L48" s="4" t="s">
        <v>29</v>
      </c>
      <c r="M48" s="4"/>
      <c r="N48" s="4">
        <v>7485</v>
      </c>
      <c r="O48" s="4"/>
      <c r="P48" s="57">
        <v>14402</v>
      </c>
      <c r="Q48" s="56">
        <v>46139</v>
      </c>
      <c r="R48" s="22" t="str">
        <f>IF(H48="","",H48&amp;I48)</f>
        <v>260417-045ENTRADA</v>
      </c>
      <c r="S48" s="22" t="str">
        <f>IF(C48="","",C48&amp;I48)</f>
        <v>Phalaris Stockman CombENTRADA</v>
      </c>
      <c r="T48" t="str">
        <f>IF(OR(C48="",I48&lt;&gt;"ENTRADA"),"",TEXT(B48,"AAMMDD")&amp;"-"&amp;TEXT(VALUE(SUBSTITUTE(A48,"MOV-","")),"000"))</f>
        <v>260417-045</v>
      </c>
    </row>
    <row r="49" spans="1:20">
      <c r="A49" s="20" t="s">
        <v>196</v>
      </c>
      <c r="B49" s="32">
        <v>46129</v>
      </c>
      <c r="C49" s="4" t="s">
        <v>115</v>
      </c>
      <c r="D49" s="4" t="s">
        <v>116</v>
      </c>
      <c r="E49" s="4" t="s">
        <v>34</v>
      </c>
      <c r="F49" s="4" t="s">
        <v>35</v>
      </c>
      <c r="G49" s="4" t="s">
        <v>117</v>
      </c>
      <c r="H49" s="20" t="s">
        <v>120</v>
      </c>
      <c r="I49" s="4" t="s">
        <v>28</v>
      </c>
      <c r="J49" s="31">
        <v>21120</v>
      </c>
      <c r="K49" s="22">
        <f>IF(I49="","",IF(I49="ENTRADA",ABS(J49),-ABS(J49)))</f>
        <v>21120</v>
      </c>
      <c r="L49" s="4" t="s">
        <v>37</v>
      </c>
      <c r="M49" s="32">
        <v>46692</v>
      </c>
      <c r="N49" s="4">
        <v>48800</v>
      </c>
      <c r="O49" s="4"/>
      <c r="P49" s="45">
        <v>14366</v>
      </c>
      <c r="Q49" s="56">
        <v>46137</v>
      </c>
      <c r="R49" s="22" t="str">
        <f>IF(H49="","",H49&amp;I49)</f>
        <v>260410-025ENTRADA</v>
      </c>
      <c r="S49" s="22" t="str">
        <f>IF(C49="","",C49&amp;I49)</f>
        <v>AzukaENTRADA</v>
      </c>
      <c r="T49" t="str">
        <f>IF(OR(C49="",I49&lt;&gt;"ENTRADA"),"",TEXT(B49,"AAMMDD")&amp;"-"&amp;TEXT(VALUE(SUBSTITUTE(A49,"MOV-","")),"000"))</f>
        <v>260417-070</v>
      </c>
    </row>
    <row r="50" spans="1:20">
      <c r="A50" s="20" t="s">
        <v>197</v>
      </c>
      <c r="B50" s="32">
        <v>46132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20" t="s">
        <v>198</v>
      </c>
      <c r="I50" s="4" t="s">
        <v>65</v>
      </c>
      <c r="J50" s="31">
        <v>1200</v>
      </c>
      <c r="K50" s="22">
        <f>IF(I50="","",IF(I50="ENTRADA",ABS(J50),-ABS(J50)))</f>
        <v>-1200</v>
      </c>
      <c r="L50" s="4" t="s">
        <v>29</v>
      </c>
      <c r="M50" s="4"/>
      <c r="N50" s="4">
        <v>59312</v>
      </c>
      <c r="O50" s="4" t="s">
        <v>152</v>
      </c>
      <c r="P50" s="45">
        <v>1638</v>
      </c>
      <c r="Q50" s="56">
        <v>46133</v>
      </c>
      <c r="R50" s="22" t="str">
        <f>IF(H50="","",H50&amp;I50)</f>
        <v>260324-001SALIDA</v>
      </c>
      <c r="S50" s="22" t="str">
        <f>IF(C50="","",C50&amp;I50)</f>
        <v>Colza Curry CLSALIDA</v>
      </c>
      <c r="T50" t="str">
        <f>IF(OR(C50="",I50&lt;&gt;"ENTRADA"),"",TEXT(B50,"AAMMDD")&amp;"-"&amp;TEXT(VALUE(SUBSTITUTE(A50,"MOV-","")),"000"))</f>
        <v/>
      </c>
    </row>
    <row r="51" spans="1:20">
      <c r="A51" s="20" t="s">
        <v>199</v>
      </c>
      <c r="B51" s="32">
        <v>46132</v>
      </c>
      <c r="C51" s="4" t="s">
        <v>80</v>
      </c>
      <c r="D51" s="4" t="s">
        <v>81</v>
      </c>
      <c r="E51" s="4" t="s">
        <v>25</v>
      </c>
      <c r="F51" s="4" t="s">
        <v>82</v>
      </c>
      <c r="G51" s="4" t="s">
        <v>83</v>
      </c>
      <c r="H51" s="20" t="s">
        <v>151</v>
      </c>
      <c r="I51" s="4" t="s">
        <v>65</v>
      </c>
      <c r="J51" s="31">
        <v>625</v>
      </c>
      <c r="K51" s="22">
        <f>IF(I51="","",IF(I51="ENTRADA",ABS(J51),-ABS(J51)))</f>
        <v>-625</v>
      </c>
      <c r="L51" s="4" t="s">
        <v>29</v>
      </c>
      <c r="M51" s="4"/>
      <c r="N51" s="4">
        <v>59312</v>
      </c>
      <c r="O51" s="4" t="s">
        <v>152</v>
      </c>
      <c r="P51" s="45">
        <v>1638</v>
      </c>
      <c r="Q51" s="56">
        <v>46133</v>
      </c>
      <c r="R51" s="22" t="str">
        <f>IF(H51="","",H51&amp;I51)</f>
        <v>260408-013SALIDA</v>
      </c>
      <c r="S51" s="22" t="str">
        <f>IF(C51="","",C51&amp;I51)</f>
        <v>Raigrás E284SALIDA</v>
      </c>
      <c r="T51" t="str">
        <f>IF(OR(C51="",I51&lt;&gt;"ENTRADA"),"",TEXT(B51,"AAMMDD")&amp;"-"&amp;TEXT(VALUE(SUBSTITUTE(A51,"MOV-","")),"000"))</f>
        <v/>
      </c>
    </row>
    <row r="52" spans="1:20">
      <c r="A52" s="20" t="s">
        <v>200</v>
      </c>
      <c r="B52" s="32">
        <v>46132</v>
      </c>
      <c r="C52" s="4" t="s">
        <v>115</v>
      </c>
      <c r="D52" s="4" t="s">
        <v>116</v>
      </c>
      <c r="E52" s="4" t="s">
        <v>34</v>
      </c>
      <c r="F52" s="4" t="s">
        <v>35</v>
      </c>
      <c r="G52" s="4" t="s">
        <v>117</v>
      </c>
      <c r="H52" s="20" t="s">
        <v>120</v>
      </c>
      <c r="I52" s="4" t="s">
        <v>65</v>
      </c>
      <c r="J52" s="31">
        <v>340</v>
      </c>
      <c r="K52" s="22">
        <f>IF(I52="","",IF(I52="ENTRADA",ABS(J52),-ABS(J52)))</f>
        <v>-340</v>
      </c>
      <c r="L52" s="4" t="s">
        <v>37</v>
      </c>
      <c r="M52" s="4"/>
      <c r="N52" s="4">
        <v>59313</v>
      </c>
      <c r="O52" s="4" t="s">
        <v>201</v>
      </c>
      <c r="P52" s="45">
        <v>1637</v>
      </c>
      <c r="Q52" s="56">
        <v>46133</v>
      </c>
      <c r="R52" s="22" t="str">
        <f>IF(H52="","",H52&amp;I52)</f>
        <v>260410-025SALIDA</v>
      </c>
      <c r="S52" s="22" t="str">
        <f>IF(C52="","",C52&amp;I52)</f>
        <v>AzukaSALIDA</v>
      </c>
      <c r="T52" t="str">
        <f>IF(OR(C52="",I52&lt;&gt;"ENTRADA"),"",TEXT(B52,"AAMMDD")&amp;"-"&amp;TEXT(VALUE(SUBSTITUTE(A52,"MOV-","")),"000"))</f>
        <v/>
      </c>
    </row>
    <row r="53" spans="1:20">
      <c r="A53" s="20" t="s">
        <v>202</v>
      </c>
      <c r="B53" s="32">
        <v>46132</v>
      </c>
      <c r="C53" s="4" t="s">
        <v>122</v>
      </c>
      <c r="D53" s="4" t="s">
        <v>123</v>
      </c>
      <c r="E53" s="4" t="s">
        <v>34</v>
      </c>
      <c r="F53" s="4" t="s">
        <v>35</v>
      </c>
      <c r="G53" s="4" t="s">
        <v>117</v>
      </c>
      <c r="H53" s="20" t="s">
        <v>203</v>
      </c>
      <c r="I53" s="4" t="s">
        <v>65</v>
      </c>
      <c r="J53" s="31">
        <v>100</v>
      </c>
      <c r="K53" s="22">
        <f>IF(I53="","",IF(I53="ENTRADA",ABS(J53),-ABS(J53)))</f>
        <v>-100</v>
      </c>
      <c r="L53" s="4" t="s">
        <v>37</v>
      </c>
      <c r="M53" s="4"/>
      <c r="N53" s="4">
        <v>59313</v>
      </c>
      <c r="O53" s="4" t="s">
        <v>201</v>
      </c>
      <c r="P53" s="45">
        <v>1637</v>
      </c>
      <c r="Q53" s="56">
        <v>46133</v>
      </c>
      <c r="R53" s="22" t="str">
        <f>IF(H53="","",H53&amp;I53)</f>
        <v>260410-027SALIDA</v>
      </c>
      <c r="S53" s="22" t="str">
        <f>IF(C53="","",C53&amp;I53)</f>
        <v>PardoSALIDA</v>
      </c>
      <c r="T53" t="str">
        <f>IF(OR(C53="",I53&lt;&gt;"ENTRADA"),"",TEXT(B53,"AAMMDD")&amp;"-"&amp;TEXT(VALUE(SUBSTITUTE(A53,"MOV-","")),"000"))</f>
        <v/>
      </c>
    </row>
    <row r="54" spans="1:20">
      <c r="A54" s="20" t="s">
        <v>204</v>
      </c>
      <c r="B54" s="32">
        <v>46132</v>
      </c>
      <c r="C54" s="4" t="s">
        <v>86</v>
      </c>
      <c r="D54" s="4" t="s">
        <v>87</v>
      </c>
      <c r="E54" s="4" t="s">
        <v>34</v>
      </c>
      <c r="F54" s="4" t="s">
        <v>35</v>
      </c>
      <c r="G54" s="4" t="s">
        <v>36</v>
      </c>
      <c r="H54" s="20" t="s">
        <v>100</v>
      </c>
      <c r="I54" s="4" t="s">
        <v>65</v>
      </c>
      <c r="J54" s="31">
        <v>40</v>
      </c>
      <c r="K54" s="22">
        <f>IF(I54="","",IF(I54="ENTRADA",ABS(J54),-ABS(J54)))</f>
        <v>-40</v>
      </c>
      <c r="L54" s="4" t="s">
        <v>37</v>
      </c>
      <c r="M54" s="4"/>
      <c r="N54" s="4">
        <v>59313</v>
      </c>
      <c r="O54" s="4" t="s">
        <v>201</v>
      </c>
      <c r="P54" s="45">
        <v>1637</v>
      </c>
      <c r="Q54" s="56">
        <v>46133</v>
      </c>
      <c r="R54" s="22" t="str">
        <f>IF(H54="","",H54&amp;I54)</f>
        <v>260408-014SALIDA</v>
      </c>
      <c r="S54" s="22" t="str">
        <f>IF(C54="","",C54&amp;I54)</f>
        <v>Starane XtraSALIDA</v>
      </c>
      <c r="T54" t="str">
        <f>IF(OR(C54="",I54&lt;&gt;"ENTRADA"),"",TEXT(B54,"AAMMDD")&amp;"-"&amp;TEXT(VALUE(SUBSTITUTE(A54,"MOV-","")),"000"))</f>
        <v/>
      </c>
    </row>
    <row r="55" spans="1:20">
      <c r="A55" s="20" t="s">
        <v>205</v>
      </c>
      <c r="B55" s="32">
        <v>46132</v>
      </c>
      <c r="C55" s="4" t="s">
        <v>70</v>
      </c>
      <c r="D55" s="4" t="s">
        <v>71</v>
      </c>
      <c r="E55" s="4" t="s">
        <v>70</v>
      </c>
      <c r="F55" s="4"/>
      <c r="G55" s="4" t="s">
        <v>72</v>
      </c>
      <c r="H55" s="20" t="s">
        <v>154</v>
      </c>
      <c r="I55" s="4" t="s">
        <v>65</v>
      </c>
      <c r="J55" s="31">
        <v>3</v>
      </c>
      <c r="K55" s="22">
        <f>IF(I55="","",IF(I55="ENTRADA",ABS(J55),-ABS(J55)))</f>
        <v>-3</v>
      </c>
      <c r="L55" s="4" t="s">
        <v>73</v>
      </c>
      <c r="M55" s="4"/>
      <c r="N55" s="4">
        <v>59314</v>
      </c>
      <c r="O55" s="4" t="s">
        <v>66</v>
      </c>
      <c r="P55" s="45">
        <v>1636</v>
      </c>
      <c r="Q55" s="56">
        <v>46133</v>
      </c>
      <c r="R55" s="22" t="str">
        <f>IF(H55="","",H55&amp;I55)</f>
        <v>260406-011SALIDA</v>
      </c>
      <c r="S55" s="22" t="str">
        <f>IF(C55="","",C55&amp;I55)</f>
        <v>SilobolsaSALIDA</v>
      </c>
      <c r="T55" t="str">
        <f>IF(OR(C55="",I55&lt;&gt;"ENTRADA"),"",TEXT(B55,"AAMMDD")&amp;"-"&amp;TEXT(VALUE(SUBSTITUTE(A55,"MOV-","")),"000"))</f>
        <v/>
      </c>
    </row>
    <row r="56" spans="1:20">
      <c r="A56" s="20" t="s">
        <v>206</v>
      </c>
      <c r="B56" s="32">
        <v>46132</v>
      </c>
      <c r="C56" s="4" t="s">
        <v>115</v>
      </c>
      <c r="D56" s="4" t="s">
        <v>116</v>
      </c>
      <c r="E56" s="4" t="s">
        <v>34</v>
      </c>
      <c r="F56" s="4" t="s">
        <v>35</v>
      </c>
      <c r="G56" s="4" t="s">
        <v>117</v>
      </c>
      <c r="H56" s="20" t="s">
        <v>120</v>
      </c>
      <c r="I56" s="4" t="s">
        <v>28</v>
      </c>
      <c r="J56" s="31">
        <v>11520</v>
      </c>
      <c r="K56" s="22">
        <f>IF(I56="","",IF(I56="ENTRADA",ABS(J56),-ABS(J56)))</f>
        <v>11520</v>
      </c>
      <c r="L56" s="4" t="s">
        <v>37</v>
      </c>
      <c r="M56" s="21">
        <v>46692</v>
      </c>
      <c r="N56" s="4">
        <v>48917</v>
      </c>
      <c r="O56" s="4"/>
      <c r="P56" s="45">
        <v>14367</v>
      </c>
      <c r="Q56" s="56">
        <v>46137</v>
      </c>
      <c r="R56" s="22" t="str">
        <f>IF(H56="","",H56&amp;I56)</f>
        <v>260410-025ENTRADA</v>
      </c>
      <c r="S56" s="22" t="str">
        <f>IF(C56="","",C56&amp;I56)</f>
        <v>AzukaENTRADA</v>
      </c>
      <c r="T56" t="str">
        <f>IF(OR(C56="",I56&lt;&gt;"ENTRADA"),"",TEXT(B56,"AAMMDD")&amp;"-"&amp;TEXT(VALUE(SUBSTITUTE(A56,"MOV-","")),"000"))</f>
        <v>260420-052</v>
      </c>
    </row>
    <row r="57" spans="1:20">
      <c r="A57" s="20" t="s">
        <v>207</v>
      </c>
      <c r="B57" s="32">
        <v>46132</v>
      </c>
      <c r="C57" s="4" t="s">
        <v>115</v>
      </c>
      <c r="D57" s="4" t="s">
        <v>116</v>
      </c>
      <c r="E57" s="4" t="s">
        <v>34</v>
      </c>
      <c r="F57" s="4" t="s">
        <v>35</v>
      </c>
      <c r="G57" s="4" t="s">
        <v>117</v>
      </c>
      <c r="H57" s="20" t="s">
        <v>120</v>
      </c>
      <c r="I57" s="4" t="s">
        <v>65</v>
      </c>
      <c r="J57" s="31">
        <v>280</v>
      </c>
      <c r="K57" s="22">
        <f>IF(I57="","",IF(I57="ENTRADA",ABS(J57),-ABS(J57)))</f>
        <v>-280</v>
      </c>
      <c r="L57" s="4" t="s">
        <v>37</v>
      </c>
      <c r="M57" s="4"/>
      <c r="N57" s="4">
        <v>59317</v>
      </c>
      <c r="O57" s="4" t="s">
        <v>201</v>
      </c>
      <c r="P57" s="45">
        <v>1635</v>
      </c>
      <c r="Q57" s="56">
        <v>46133</v>
      </c>
      <c r="R57" s="22" t="str">
        <f>IF(H57="","",H57&amp;I57)</f>
        <v>260410-025SALIDA</v>
      </c>
      <c r="S57" s="22" t="str">
        <f>IF(C57="","",C57&amp;I57)</f>
        <v>AzukaSALIDA</v>
      </c>
      <c r="T57" t="str">
        <f>IF(OR(C57="",I57&lt;&gt;"ENTRADA"),"",TEXT(B57,"AAMMDD")&amp;"-"&amp;TEXT(VALUE(SUBSTITUTE(A57,"MOV-","")),"000"))</f>
        <v/>
      </c>
    </row>
    <row r="58" spans="1:20">
      <c r="A58" s="20" t="s">
        <v>208</v>
      </c>
      <c r="B58" s="32">
        <v>46132</v>
      </c>
      <c r="C58" s="4" t="s">
        <v>130</v>
      </c>
      <c r="D58" s="4" t="s">
        <v>131</v>
      </c>
      <c r="E58" s="4" t="s">
        <v>132</v>
      </c>
      <c r="F58" s="4"/>
      <c r="G58" s="4" t="s">
        <v>133</v>
      </c>
      <c r="H58" s="20" t="s">
        <v>209</v>
      </c>
      <c r="I58" s="4" t="s">
        <v>65</v>
      </c>
      <c r="J58" s="31">
        <v>60</v>
      </c>
      <c r="K58" s="22">
        <f>IF(I58="","",IF(I58="ENTRADA",ABS(J58),-ABS(J58)))</f>
        <v>-60</v>
      </c>
      <c r="L58" s="4" t="s">
        <v>37</v>
      </c>
      <c r="M58" s="4"/>
      <c r="N58" s="4">
        <v>59317</v>
      </c>
      <c r="O58" s="4" t="s">
        <v>201</v>
      </c>
      <c r="P58" s="45">
        <v>1635</v>
      </c>
      <c r="Q58" s="56">
        <v>46133</v>
      </c>
      <c r="R58" s="22" t="str">
        <f>IF(H58="","",H58&amp;I58)</f>
        <v>260414-028SALIDA</v>
      </c>
      <c r="S58" s="22" t="str">
        <f>IF(C58="","",C58&amp;I58)</f>
        <v>HarrierSALIDA</v>
      </c>
      <c r="T58" t="str">
        <f>IF(OR(C58="",I58&lt;&gt;"ENTRADA"),"",TEXT(B58,"AAMMDD")&amp;"-"&amp;TEXT(VALUE(SUBSTITUTE(A58,"MOV-","")),"000"))</f>
        <v/>
      </c>
    </row>
    <row r="59" spans="1:20">
      <c r="A59" s="20" t="s">
        <v>210</v>
      </c>
      <c r="B59" s="32">
        <v>46132</v>
      </c>
      <c r="C59" s="4" t="s">
        <v>137</v>
      </c>
      <c r="D59" s="4" t="s">
        <v>138</v>
      </c>
      <c r="E59" s="4" t="s">
        <v>132</v>
      </c>
      <c r="F59" s="4"/>
      <c r="G59" s="4" t="s">
        <v>133</v>
      </c>
      <c r="H59" s="20" t="s">
        <v>211</v>
      </c>
      <c r="I59" s="4" t="s">
        <v>65</v>
      </c>
      <c r="J59" s="49">
        <v>15</v>
      </c>
      <c r="K59" s="22">
        <f>IF(I59="","",IF(I59="ENTRADA",ABS(J59),-ABS(J59)))</f>
        <v>-15</v>
      </c>
      <c r="L59" s="4" t="s">
        <v>37</v>
      </c>
      <c r="M59" s="4"/>
      <c r="N59" s="4">
        <v>59317</v>
      </c>
      <c r="O59" s="4" t="s">
        <v>201</v>
      </c>
      <c r="P59" s="45">
        <v>1635</v>
      </c>
      <c r="Q59" s="56">
        <v>46133</v>
      </c>
      <c r="R59" s="22" t="str">
        <f>IF(H59="","",H59&amp;I59)</f>
        <v>260414-030SALIDA</v>
      </c>
      <c r="S59" s="22" t="str">
        <f>IF(C59="","",C59&amp;I59)</f>
        <v>Full controlSALIDA</v>
      </c>
      <c r="T59" t="str">
        <f>IF(OR(C59="",I59&lt;&gt;"ENTRADA"),"",TEXT(B59,"AAMMDD")&amp;"-"&amp;TEXT(VALUE(SUBSTITUTE(A59,"MOV-","")),"000"))</f>
        <v/>
      </c>
    </row>
    <row r="60" spans="1:20">
      <c r="A60" s="20" t="s">
        <v>212</v>
      </c>
      <c r="B60" s="32">
        <v>46132</v>
      </c>
      <c r="C60" s="4" t="s">
        <v>23</v>
      </c>
      <c r="D60" s="4" t="s">
        <v>24</v>
      </c>
      <c r="E60" s="4" t="s">
        <v>25</v>
      </c>
      <c r="F60" s="4" t="s">
        <v>26</v>
      </c>
      <c r="G60" s="4" t="s">
        <v>27</v>
      </c>
      <c r="H60" s="20" t="s">
        <v>198</v>
      </c>
      <c r="I60" s="4" t="s">
        <v>65</v>
      </c>
      <c r="J60" s="31">
        <v>1000</v>
      </c>
      <c r="K60" s="22">
        <f>IF(I60="","",IF(I60="ENTRADA",ABS(J60),-ABS(J60)))</f>
        <v>-1000</v>
      </c>
      <c r="L60" s="4" t="s">
        <v>29</v>
      </c>
      <c r="M60" s="4"/>
      <c r="N60" s="4">
        <v>59315</v>
      </c>
      <c r="O60" s="4" t="s">
        <v>213</v>
      </c>
      <c r="P60" s="45">
        <v>1634</v>
      </c>
      <c r="Q60" s="56">
        <v>46133</v>
      </c>
      <c r="R60" s="22" t="str">
        <f>IF(H60="","",H60&amp;I60)</f>
        <v>260324-001SALIDA</v>
      </c>
      <c r="S60" s="22" t="str">
        <f>IF(C60="","",C60&amp;I60)</f>
        <v>Colza Curry CLSALIDA</v>
      </c>
      <c r="T60" t="str">
        <f>IF(OR(C60="",I60&lt;&gt;"ENTRADA"),"",TEXT(B60,"AAMMDD")&amp;"-"&amp;TEXT(VALUE(SUBSTITUTE(A60,"MOV-","")),"000"))</f>
        <v/>
      </c>
    </row>
    <row r="61" spans="1:20">
      <c r="A61" s="20" t="s">
        <v>214</v>
      </c>
      <c r="B61" s="32">
        <v>46132</v>
      </c>
      <c r="C61" s="4" t="s">
        <v>112</v>
      </c>
      <c r="D61" s="4" t="s">
        <v>113</v>
      </c>
      <c r="E61" s="4" t="s">
        <v>25</v>
      </c>
      <c r="F61" s="4" t="s">
        <v>26</v>
      </c>
      <c r="G61" s="4" t="s">
        <v>27</v>
      </c>
      <c r="H61" s="20" t="s">
        <v>215</v>
      </c>
      <c r="I61" s="4" t="s">
        <v>65</v>
      </c>
      <c r="J61" s="31">
        <v>200</v>
      </c>
      <c r="K61" s="22">
        <f>IF(I61="","",IF(I61="ENTRADA",ABS(J61),-ABS(J61)))</f>
        <v>-200</v>
      </c>
      <c r="L61" s="4" t="s">
        <v>29</v>
      </c>
      <c r="M61" s="4"/>
      <c r="N61" s="4">
        <v>59315</v>
      </c>
      <c r="O61" s="4" t="s">
        <v>213</v>
      </c>
      <c r="P61" s="45">
        <v>1634</v>
      </c>
      <c r="Q61" s="56">
        <v>46133</v>
      </c>
      <c r="R61" s="22" t="str">
        <f>IF(H61="","",H61&amp;I61)</f>
        <v>260410-024SALIDA</v>
      </c>
      <c r="S61" s="22" t="str">
        <f>IF(C61="","",C61&amp;I61)</f>
        <v>Colza Apolo CLSALIDA</v>
      </c>
      <c r="T61" t="str">
        <f>IF(OR(C61="",I61&lt;&gt;"ENTRADA"),"",TEXT(B61,"AAMMDD")&amp;"-"&amp;TEXT(VALUE(SUBSTITUTE(A61,"MOV-","")),"000"))</f>
        <v/>
      </c>
    </row>
    <row r="62" spans="1:20">
      <c r="A62" s="20" t="s">
        <v>216</v>
      </c>
      <c r="B62" s="32">
        <v>46133</v>
      </c>
      <c r="C62" s="4" t="s">
        <v>80</v>
      </c>
      <c r="D62" s="4" t="s">
        <v>81</v>
      </c>
      <c r="E62" s="4" t="s">
        <v>25</v>
      </c>
      <c r="F62" s="4" t="s">
        <v>26</v>
      </c>
      <c r="G62" s="4" t="s">
        <v>83</v>
      </c>
      <c r="H62" s="20" t="s">
        <v>151</v>
      </c>
      <c r="I62" s="4" t="s">
        <v>65</v>
      </c>
      <c r="J62" s="31">
        <v>2500</v>
      </c>
      <c r="K62" s="22">
        <f>IF(I62="","",IF(I62="ENTRADA",ABS(J62),-ABS(J62)))</f>
        <v>-2500</v>
      </c>
      <c r="L62" s="4" t="s">
        <v>29</v>
      </c>
      <c r="M62" s="4"/>
      <c r="N62" s="4">
        <v>59318</v>
      </c>
      <c r="O62" s="4" t="s">
        <v>152</v>
      </c>
      <c r="P62" s="45">
        <v>1632</v>
      </c>
      <c r="Q62" s="56">
        <v>46133</v>
      </c>
      <c r="R62" s="22" t="str">
        <f>IF(H62="","",H62&amp;I62)</f>
        <v>260408-013SALIDA</v>
      </c>
      <c r="S62" s="22" t="str">
        <f>IF(C62="","",C62&amp;I62)</f>
        <v>Raigrás E284SALIDA</v>
      </c>
      <c r="T62" t="str">
        <f>IF(OR(C62="",I62&lt;&gt;"ENTRADA"),"",TEXT(B62,"AAMMDD")&amp;"-"&amp;TEXT(VALUE(SUBSTITUTE(A62,"MOV-","")),"000"))</f>
        <v/>
      </c>
    </row>
    <row r="63" spans="1:20">
      <c r="A63" s="20" t="s">
        <v>217</v>
      </c>
      <c r="B63" s="32">
        <v>46133</v>
      </c>
      <c r="C63" s="4" t="s">
        <v>23</v>
      </c>
      <c r="D63" s="4" t="s">
        <v>24</v>
      </c>
      <c r="E63" s="4" t="s">
        <v>25</v>
      </c>
      <c r="F63" s="4" t="s">
        <v>26</v>
      </c>
      <c r="G63" s="4" t="s">
        <v>27</v>
      </c>
      <c r="H63" s="20" t="s">
        <v>198</v>
      </c>
      <c r="I63" s="4" t="s">
        <v>65</v>
      </c>
      <c r="J63" s="31">
        <v>360</v>
      </c>
      <c r="K63" s="22">
        <f>IF(I63="","",IF(I63="ENTRADA",ABS(J63),-ABS(J63)))</f>
        <v>-360</v>
      </c>
      <c r="L63" s="4" t="s">
        <v>29</v>
      </c>
      <c r="M63" s="4"/>
      <c r="N63" s="4">
        <v>59316</v>
      </c>
      <c r="O63" s="4" t="s">
        <v>218</v>
      </c>
      <c r="P63" s="45">
        <v>1633</v>
      </c>
      <c r="Q63" s="56">
        <v>46133</v>
      </c>
      <c r="R63" s="22" t="str">
        <f>IF(H63="","",H63&amp;I63)</f>
        <v>260324-001SALIDA</v>
      </c>
      <c r="S63" s="22" t="str">
        <f>IF(C63="","",C63&amp;I63)</f>
        <v>Colza Curry CLSALIDA</v>
      </c>
      <c r="T63" t="str">
        <f>IF(OR(C63="",I63&lt;&gt;"ENTRADA"),"",TEXT(B63,"AAMMDD")&amp;"-"&amp;TEXT(VALUE(SUBSTITUTE(A63,"MOV-","")),"000"))</f>
        <v/>
      </c>
    </row>
    <row r="64" spans="1:20">
      <c r="A64" s="20" t="s">
        <v>219</v>
      </c>
      <c r="B64" s="32">
        <v>46133</v>
      </c>
      <c r="C64" s="4" t="s">
        <v>115</v>
      </c>
      <c r="D64" s="4" t="s">
        <v>116</v>
      </c>
      <c r="E64" s="4" t="s">
        <v>34</v>
      </c>
      <c r="F64" s="4" t="s">
        <v>35</v>
      </c>
      <c r="G64" s="4" t="s">
        <v>117</v>
      </c>
      <c r="H64" s="20" t="s">
        <v>120</v>
      </c>
      <c r="I64" s="4" t="s">
        <v>65</v>
      </c>
      <c r="J64" s="31">
        <v>2200</v>
      </c>
      <c r="K64" s="22">
        <f>IF(I64="","",IF(I64="ENTRADA",ABS(J64),-ABS(J64)))</f>
        <v>-2200</v>
      </c>
      <c r="L64" s="4" t="s">
        <v>37</v>
      </c>
      <c r="M64" s="4"/>
      <c r="N64" s="4">
        <v>59319</v>
      </c>
      <c r="O64" s="4" t="s">
        <v>152</v>
      </c>
      <c r="P64" s="45">
        <v>1639</v>
      </c>
      <c r="Q64" s="56">
        <v>46133</v>
      </c>
      <c r="R64" s="22" t="str">
        <f>IF(H64="","",H64&amp;I64)</f>
        <v>260410-025SALIDA</v>
      </c>
      <c r="S64" s="22" t="str">
        <f>IF(C64="","",C64&amp;I64)</f>
        <v>AzukaSALIDA</v>
      </c>
      <c r="T64" t="str">
        <f>IF(OR(C64="",I64&lt;&gt;"ENTRADA"),"",TEXT(B64,"AAMMDD")&amp;"-"&amp;TEXT(VALUE(SUBSTITUTE(A64,"MOV-","")),"000"))</f>
        <v/>
      </c>
    </row>
    <row r="65" spans="1:20">
      <c r="A65" s="20" t="s">
        <v>220</v>
      </c>
      <c r="B65" s="32">
        <v>46133</v>
      </c>
      <c r="C65" s="4" t="s">
        <v>130</v>
      </c>
      <c r="D65" s="4" t="s">
        <v>131</v>
      </c>
      <c r="E65" s="4" t="s">
        <v>132</v>
      </c>
      <c r="F65" s="4"/>
      <c r="G65" s="4" t="s">
        <v>133</v>
      </c>
      <c r="H65" s="20" t="s">
        <v>209</v>
      </c>
      <c r="I65" s="4" t="s">
        <v>65</v>
      </c>
      <c r="J65" s="31">
        <v>60</v>
      </c>
      <c r="K65" s="22">
        <f>IF(I65="","",IF(I65="ENTRADA",ABS(J65),-ABS(J65)))</f>
        <v>-60</v>
      </c>
      <c r="L65" s="4" t="s">
        <v>37</v>
      </c>
      <c r="M65" s="4"/>
      <c r="N65" s="4">
        <v>59319</v>
      </c>
      <c r="O65" s="4" t="s">
        <v>152</v>
      </c>
      <c r="P65" s="45">
        <v>1639</v>
      </c>
      <c r="Q65" s="56">
        <v>46133</v>
      </c>
      <c r="R65" s="22" t="str">
        <f>IF(H65="","",H65&amp;I65)</f>
        <v>260414-028SALIDA</v>
      </c>
      <c r="S65" s="22" t="str">
        <f>IF(C65="","",C65&amp;I65)</f>
        <v>HarrierSALIDA</v>
      </c>
      <c r="T65" t="str">
        <f>IF(OR(C65="",I65&lt;&gt;"ENTRADA"),"",TEXT(B65,"AAMMDD")&amp;"-"&amp;TEXT(VALUE(SUBSTITUTE(A65,"MOV-","")),"000"))</f>
        <v/>
      </c>
    </row>
    <row r="66" spans="1:20">
      <c r="A66" s="20" t="s">
        <v>220</v>
      </c>
      <c r="B66" s="32">
        <v>46133</v>
      </c>
      <c r="C66" s="4" t="s">
        <v>130</v>
      </c>
      <c r="D66" s="4" t="s">
        <v>131</v>
      </c>
      <c r="E66" s="4" t="s">
        <v>132</v>
      </c>
      <c r="F66" s="4"/>
      <c r="G66" s="4" t="s">
        <v>133</v>
      </c>
      <c r="H66" s="20" t="s">
        <v>221</v>
      </c>
      <c r="I66" s="4" t="s">
        <v>65</v>
      </c>
      <c r="J66" s="31">
        <v>20</v>
      </c>
      <c r="K66" s="22">
        <f>IF(I66="","",IF(I66="ENTRADA",ABS(J66),-ABS(J66)))</f>
        <v>-20</v>
      </c>
      <c r="L66" s="4" t="s">
        <v>37</v>
      </c>
      <c r="M66" s="4"/>
      <c r="N66" s="4">
        <v>59319</v>
      </c>
      <c r="O66" s="4" t="s">
        <v>152</v>
      </c>
      <c r="P66" s="45">
        <v>1639</v>
      </c>
      <c r="Q66" s="56">
        <v>46133</v>
      </c>
      <c r="R66" s="22"/>
      <c r="S66" s="22"/>
      <c r="T66" t="str">
        <f>IF(C66="","",UPPER(LEFT(SUBSTITUTE(C66," ",""),3))&amp;"-"&amp;TEXT(B66,"AAMMDD")&amp;"-1")</f>
        <v>HAR-260421-1</v>
      </c>
    </row>
    <row r="67" spans="1:20">
      <c r="A67" s="20" t="s">
        <v>222</v>
      </c>
      <c r="B67" s="32">
        <v>46133</v>
      </c>
      <c r="C67" s="4" t="s">
        <v>137</v>
      </c>
      <c r="D67" s="4" t="s">
        <v>138</v>
      </c>
      <c r="E67" s="4" t="s">
        <v>132</v>
      </c>
      <c r="F67" s="4"/>
      <c r="G67" s="4" t="s">
        <v>133</v>
      </c>
      <c r="H67" s="20" t="s">
        <v>211</v>
      </c>
      <c r="I67" s="4" t="s">
        <v>65</v>
      </c>
      <c r="J67" s="49">
        <v>15</v>
      </c>
      <c r="K67" s="22">
        <f>IF(I67="","",IF(I67="ENTRADA",ABS(J67),-ABS(J67)))</f>
        <v>-15</v>
      </c>
      <c r="L67" s="4" t="s">
        <v>37</v>
      </c>
      <c r="M67" s="4"/>
      <c r="N67" s="4">
        <v>59319</v>
      </c>
      <c r="O67" s="4" t="s">
        <v>152</v>
      </c>
      <c r="P67" s="45">
        <v>1639</v>
      </c>
      <c r="Q67" s="56">
        <v>46133</v>
      </c>
      <c r="R67" s="22" t="str">
        <f>IF(H67="","",H67&amp;I67)</f>
        <v>260414-030SALIDA</v>
      </c>
      <c r="S67" s="22" t="str">
        <f>IF(C67="","",C67&amp;I67)</f>
        <v>Full controlSALIDA</v>
      </c>
      <c r="T67" t="str">
        <f>IF(OR(C67="",I67&lt;&gt;"ENTRADA"),"",TEXT(B67,"AAMMDD")&amp;"-"&amp;TEXT(VALUE(SUBSTITUTE(A67,"MOV-","")),"000"))</f>
        <v/>
      </c>
    </row>
    <row r="68" spans="1:20">
      <c r="A68" s="20" t="s">
        <v>223</v>
      </c>
      <c r="B68" s="32">
        <v>46133</v>
      </c>
      <c r="C68" s="4" t="s">
        <v>115</v>
      </c>
      <c r="D68" s="4" t="s">
        <v>116</v>
      </c>
      <c r="E68" s="4" t="s">
        <v>34</v>
      </c>
      <c r="F68" s="4"/>
      <c r="G68" s="4" t="s">
        <v>117</v>
      </c>
      <c r="H68" s="20" t="s">
        <v>120</v>
      </c>
      <c r="I68" s="4" t="s">
        <v>65</v>
      </c>
      <c r="J68" s="31">
        <v>960</v>
      </c>
      <c r="K68" s="22">
        <f>IF(I68="","",IF(I68="ENTRADA",ABS(J68),-ABS(J68)))</f>
        <v>-960</v>
      </c>
      <c r="L68" s="4" t="s">
        <v>37</v>
      </c>
      <c r="M68" s="4"/>
      <c r="N68" s="4">
        <v>59320</v>
      </c>
      <c r="O68" s="4" t="s">
        <v>201</v>
      </c>
      <c r="P68" s="45">
        <v>1640</v>
      </c>
      <c r="Q68" s="56">
        <v>46137</v>
      </c>
      <c r="R68" s="22" t="str">
        <f>IF(H68="","",H68&amp;I68)</f>
        <v>260410-025SALIDA</v>
      </c>
      <c r="S68" s="22" t="str">
        <f>IF(C68="","",C68&amp;I68)</f>
        <v>AzukaSALIDA</v>
      </c>
      <c r="T68" t="str">
        <f>IF(OR(C68="",I68&lt;&gt;"ENTRADA"),"",TEXT(B68,"AAMMDD")&amp;"-"&amp;TEXT(VALUE(SUBSTITUTE(A68,"MOV-","")),"000"))</f>
        <v/>
      </c>
    </row>
    <row r="69" spans="1:20">
      <c r="A69" s="20" t="s">
        <v>224</v>
      </c>
      <c r="B69" s="32">
        <v>46133</v>
      </c>
      <c r="C69" s="4" t="s">
        <v>122</v>
      </c>
      <c r="D69" s="4" t="s">
        <v>123</v>
      </c>
      <c r="E69" s="4" t="s">
        <v>34</v>
      </c>
      <c r="F69" s="4" t="s">
        <v>35</v>
      </c>
      <c r="G69" s="4" t="s">
        <v>117</v>
      </c>
      <c r="H69" s="20" t="s">
        <v>203</v>
      </c>
      <c r="I69" s="4" t="s">
        <v>65</v>
      </c>
      <c r="J69" s="31">
        <v>320</v>
      </c>
      <c r="K69" s="22">
        <f>IF(I69="","",IF(I69="ENTRADA",ABS(J69),-ABS(J69)))</f>
        <v>-320</v>
      </c>
      <c r="L69" s="4" t="s">
        <v>37</v>
      </c>
      <c r="M69" s="4"/>
      <c r="N69" s="4">
        <v>59320</v>
      </c>
      <c r="O69" s="4" t="s">
        <v>201</v>
      </c>
      <c r="P69" s="45">
        <v>1640</v>
      </c>
      <c r="Q69" s="56">
        <v>46137</v>
      </c>
      <c r="R69" s="22" t="str">
        <f>IF(H69="","",H69&amp;I69)</f>
        <v>260410-027SALIDA</v>
      </c>
      <c r="S69" s="22" t="str">
        <f>IF(C69="","",C69&amp;I69)</f>
        <v>PardoSALIDA</v>
      </c>
      <c r="T69" t="str">
        <f>IF(OR(C69="",I69&lt;&gt;"ENTRADA"),"",TEXT(B69,"AAMMDD")&amp;"-"&amp;TEXT(VALUE(SUBSTITUTE(A69,"MOV-","")),"000"))</f>
        <v/>
      </c>
    </row>
    <row r="70" spans="1:20">
      <c r="A70" s="20" t="s">
        <v>225</v>
      </c>
      <c r="B70" s="32">
        <v>46133</v>
      </c>
      <c r="C70" s="4" t="s">
        <v>130</v>
      </c>
      <c r="D70" s="4" t="s">
        <v>131</v>
      </c>
      <c r="E70" s="4" t="s">
        <v>132</v>
      </c>
      <c r="F70" s="4"/>
      <c r="G70" s="4" t="s">
        <v>133</v>
      </c>
      <c r="H70" s="20" t="s">
        <v>221</v>
      </c>
      <c r="I70" s="4" t="s">
        <v>65</v>
      </c>
      <c r="J70" s="31">
        <v>40</v>
      </c>
      <c r="K70" s="22">
        <f>IF(I70="","",IF(I70="ENTRADA",ABS(J70),-ABS(J70)))</f>
        <v>-40</v>
      </c>
      <c r="L70" s="4" t="s">
        <v>37</v>
      </c>
      <c r="M70" s="4"/>
      <c r="N70" s="4">
        <v>59320</v>
      </c>
      <c r="O70" s="4" t="s">
        <v>201</v>
      </c>
      <c r="P70" s="45">
        <v>1640</v>
      </c>
      <c r="Q70" s="56">
        <v>46137</v>
      </c>
      <c r="R70" s="22" t="str">
        <f>IF(H70="","",H70&amp;I70)</f>
        <v>260414-029SALIDA</v>
      </c>
      <c r="S70" s="22" t="str">
        <f>IF(C70="","",C70&amp;I70)</f>
        <v>HarrierSALIDA</v>
      </c>
      <c r="T70" t="str">
        <f>IF(OR(C70="",I70&lt;&gt;"ENTRADA"),"",TEXT(B70,"AAMMDD")&amp;"-"&amp;TEXT(VALUE(SUBSTITUTE(A70,"MOV-","")),"000"))</f>
        <v/>
      </c>
    </row>
    <row r="71" spans="1:20">
      <c r="A71" s="20" t="s">
        <v>226</v>
      </c>
      <c r="B71" s="32">
        <v>46133</v>
      </c>
      <c r="C71" s="4" t="s">
        <v>137</v>
      </c>
      <c r="D71" s="4" t="s">
        <v>138</v>
      </c>
      <c r="E71" s="4" t="s">
        <v>132</v>
      </c>
      <c r="F71" s="4"/>
      <c r="G71" s="4" t="s">
        <v>133</v>
      </c>
      <c r="H71" s="20" t="s">
        <v>211</v>
      </c>
      <c r="I71" s="4" t="s">
        <v>65</v>
      </c>
      <c r="J71" s="49">
        <v>15</v>
      </c>
      <c r="K71" s="22">
        <f>IF(I71="","",IF(I71="ENTRADA",ABS(J71),-ABS(J71)))</f>
        <v>-15</v>
      </c>
      <c r="L71" s="4" t="s">
        <v>37</v>
      </c>
      <c r="M71" s="4"/>
      <c r="N71" s="4">
        <v>59320</v>
      </c>
      <c r="O71" s="4" t="s">
        <v>201</v>
      </c>
      <c r="P71" s="45">
        <v>1640</v>
      </c>
      <c r="Q71" s="56">
        <v>46137</v>
      </c>
      <c r="R71" s="22" t="str">
        <f>IF(H71="","",H71&amp;I71)</f>
        <v>260414-030SALIDA</v>
      </c>
      <c r="S71" s="22" t="str">
        <f>IF(C71="","",C71&amp;I71)</f>
        <v>Full controlSALIDA</v>
      </c>
      <c r="T71" t="str">
        <f>IF(OR(C71="",I71&lt;&gt;"ENTRADA"),"",TEXT(B71,"AAMMDD")&amp;"-"&amp;TEXT(VALUE(SUBSTITUTE(A71,"MOV-","")),"000"))</f>
        <v/>
      </c>
    </row>
    <row r="72" spans="1:20">
      <c r="A72" s="20" t="s">
        <v>227</v>
      </c>
      <c r="B72" s="32">
        <v>46133</v>
      </c>
      <c r="C72" s="4" t="s">
        <v>228</v>
      </c>
      <c r="D72" s="4" t="s">
        <v>229</v>
      </c>
      <c r="E72" s="4" t="s">
        <v>25</v>
      </c>
      <c r="F72" s="4" t="s">
        <v>26</v>
      </c>
      <c r="G72" s="4" t="s">
        <v>27</v>
      </c>
      <c r="H72" s="20" t="str">
        <f>+T72</f>
        <v>260421-067</v>
      </c>
      <c r="I72" s="4" t="s">
        <v>28</v>
      </c>
      <c r="J72" s="31">
        <v>3000</v>
      </c>
      <c r="K72" s="22">
        <f>IF(I72="","",IF(I72="ENTRADA",ABS(J72),-ABS(J72)))</f>
        <v>3000</v>
      </c>
      <c r="L72" s="4" t="s">
        <v>29</v>
      </c>
      <c r="M72" s="4"/>
      <c r="N72" s="4">
        <v>47726</v>
      </c>
      <c r="O72" s="4"/>
      <c r="P72" s="45">
        <v>14381</v>
      </c>
      <c r="Q72" s="56">
        <v>46137</v>
      </c>
      <c r="R72" s="22" t="str">
        <f>IF(H72="","",H72&amp;I72)</f>
        <v>260421-067ENTRADA</v>
      </c>
      <c r="S72" s="22" t="str">
        <f>IF(C72="","",C72&amp;I72)</f>
        <v>Colza continuum ClENTRADA</v>
      </c>
      <c r="T72" t="str">
        <f>IF(OR(C72="",I72&lt;&gt;"ENTRADA"),"",TEXT(B72,"AAMMDD")&amp;"-"&amp;TEXT(VALUE(SUBSTITUTE(A72,"MOV-","")),"000"))</f>
        <v>260421-067</v>
      </c>
    </row>
    <row r="73" spans="1:20">
      <c r="A73" s="20" t="s">
        <v>230</v>
      </c>
      <c r="B73" s="32">
        <v>46133</v>
      </c>
      <c r="C73" s="4" t="s">
        <v>231</v>
      </c>
      <c r="D73" s="4" t="s">
        <v>231</v>
      </c>
      <c r="E73" s="4" t="s">
        <v>25</v>
      </c>
      <c r="F73" s="4" t="s">
        <v>26</v>
      </c>
      <c r="G73" s="4" t="s">
        <v>27</v>
      </c>
      <c r="H73" s="20" t="str">
        <f>+T73</f>
        <v>260421-068</v>
      </c>
      <c r="I73" s="4" t="s">
        <v>28</v>
      </c>
      <c r="J73" s="31">
        <v>3200</v>
      </c>
      <c r="K73" s="22">
        <f>IF(I73="","",IF(I73="ENTRADA",ABS(J73),-ABS(J73)))</f>
        <v>3200</v>
      </c>
      <c r="L73" s="4" t="s">
        <v>29</v>
      </c>
      <c r="M73" s="4"/>
      <c r="N73" s="4">
        <v>47726</v>
      </c>
      <c r="O73" s="4"/>
      <c r="P73" s="45">
        <v>14381</v>
      </c>
      <c r="Q73" s="56">
        <v>46137</v>
      </c>
      <c r="R73" s="22" t="str">
        <f>IF(H73="","",H73&amp;I73)</f>
        <v>260421-068ENTRADA</v>
      </c>
      <c r="S73" s="22" t="str">
        <f>IF(C73="","",C73&amp;I73)</f>
        <v>Colza Hyola Solstice clENTRADA</v>
      </c>
      <c r="T73" t="str">
        <f>IF(OR(C73="",I73&lt;&gt;"ENTRADA"),"",TEXT(B73,"AAMMDD")&amp;"-"&amp;TEXT(VALUE(SUBSTITUTE(A73,"MOV-","")),"000"))</f>
        <v>260421-068</v>
      </c>
    </row>
    <row r="74" spans="1:20">
      <c r="A74" s="20" t="s">
        <v>232</v>
      </c>
      <c r="B74" s="32">
        <v>46134</v>
      </c>
      <c r="C74" s="4" t="s">
        <v>80</v>
      </c>
      <c r="D74" s="4" t="s">
        <v>81</v>
      </c>
      <c r="E74" s="4" t="s">
        <v>25</v>
      </c>
      <c r="F74" s="4" t="s">
        <v>82</v>
      </c>
      <c r="G74" s="4" t="s">
        <v>83</v>
      </c>
      <c r="H74" s="20" t="s">
        <v>151</v>
      </c>
      <c r="I74" s="4" t="s">
        <v>65</v>
      </c>
      <c r="J74" s="31">
        <v>700</v>
      </c>
      <c r="K74" s="22">
        <f>IF(I74="","",IF(I74="ENTRADA",ABS(J74),-ABS(J74)))</f>
        <v>-700</v>
      </c>
      <c r="L74" s="4" t="s">
        <v>29</v>
      </c>
      <c r="M74" s="4"/>
      <c r="N74" s="4">
        <v>59321</v>
      </c>
      <c r="O74" s="4" t="s">
        <v>152</v>
      </c>
      <c r="P74" s="45">
        <v>1641</v>
      </c>
      <c r="Q74" s="56">
        <v>46137</v>
      </c>
      <c r="R74" s="22" t="str">
        <f>IF(H74="","",H74&amp;I74)</f>
        <v>260408-013SALIDA</v>
      </c>
      <c r="S74" s="22" t="str">
        <f>IF(C74="","",C74&amp;I74)</f>
        <v>Raigrás E284SALIDA</v>
      </c>
      <c r="T74" t="str">
        <f>IF(OR(C74="",I74&lt;&gt;"ENTRADA"),"",TEXT(B74,"AAMMDD")&amp;"-"&amp;TEXT(VALUE(SUBSTITUTE(A74,"MOV-","")),"000"))</f>
        <v/>
      </c>
    </row>
    <row r="75" spans="1:20">
      <c r="A75" s="20" t="s">
        <v>233</v>
      </c>
      <c r="B75" s="32">
        <v>46134</v>
      </c>
      <c r="C75" s="4" t="s">
        <v>86</v>
      </c>
      <c r="D75" s="4" t="s">
        <v>87</v>
      </c>
      <c r="E75" s="4" t="s">
        <v>34</v>
      </c>
      <c r="F75" s="4" t="s">
        <v>35</v>
      </c>
      <c r="G75" s="4" t="s">
        <v>36</v>
      </c>
      <c r="H75" s="20" t="s">
        <v>100</v>
      </c>
      <c r="I75" s="4" t="s">
        <v>65</v>
      </c>
      <c r="J75" s="31">
        <v>120</v>
      </c>
      <c r="K75" s="22">
        <f>IF(I75="","",IF(I75="ENTRADA",ABS(J75),-ABS(J75)))</f>
        <v>-120</v>
      </c>
      <c r="L75" s="4" t="s">
        <v>37</v>
      </c>
      <c r="M75" s="4"/>
      <c r="N75" s="4">
        <v>59323</v>
      </c>
      <c r="O75" s="4" t="s">
        <v>201</v>
      </c>
      <c r="P75" s="45">
        <v>1643</v>
      </c>
      <c r="Q75" s="56">
        <v>46137</v>
      </c>
      <c r="R75" s="22" t="str">
        <f>IF(H75="","",H75&amp;I75)</f>
        <v>260408-014SALIDA</v>
      </c>
      <c r="S75" s="22" t="str">
        <f>IF(C75="","",C75&amp;I75)</f>
        <v>Starane XtraSALIDA</v>
      </c>
      <c r="T75" t="str">
        <f>IF(OR(C75="",I75&lt;&gt;"ENTRADA"),"",TEXT(B75,"AAMMDD")&amp;"-"&amp;TEXT(VALUE(SUBSTITUTE(A75,"MOV-","")),"000"))</f>
        <v/>
      </c>
    </row>
    <row r="76" spans="1:20">
      <c r="A76" s="20" t="s">
        <v>234</v>
      </c>
      <c r="B76" s="32">
        <v>46134</v>
      </c>
      <c r="C76" s="4" t="s">
        <v>122</v>
      </c>
      <c r="D76" s="4" t="s">
        <v>123</v>
      </c>
      <c r="E76" s="4" t="s">
        <v>34</v>
      </c>
      <c r="F76" s="4" t="s">
        <v>35</v>
      </c>
      <c r="G76" s="4"/>
      <c r="H76" s="20" t="s">
        <v>203</v>
      </c>
      <c r="I76" s="4" t="s">
        <v>65</v>
      </c>
      <c r="J76" s="31">
        <v>300</v>
      </c>
      <c r="K76" s="22">
        <f>IF(I76="","",IF(I76="ENTRADA",ABS(J76),-ABS(J76)))</f>
        <v>-300</v>
      </c>
      <c r="L76" s="4" t="s">
        <v>37</v>
      </c>
      <c r="M76" s="4"/>
      <c r="N76" s="4">
        <v>59323</v>
      </c>
      <c r="O76" s="4" t="s">
        <v>201</v>
      </c>
      <c r="P76" s="45">
        <v>1643</v>
      </c>
      <c r="Q76" s="56">
        <v>46137</v>
      </c>
      <c r="R76" s="22" t="str">
        <f>IF(H76="","",H76&amp;I76)</f>
        <v>260410-027SALIDA</v>
      </c>
      <c r="S76" s="22" t="str">
        <f>IF(C76="","",C76&amp;I76)</f>
        <v>PardoSALIDA</v>
      </c>
      <c r="T76" t="str">
        <f>IF(OR(C76="",I76&lt;&gt;"ENTRADA"),"",TEXT(B76,"AAMMDD")&amp;"-"&amp;TEXT(VALUE(SUBSTITUTE(A76,"MOV-","")),"000"))</f>
        <v/>
      </c>
    </row>
    <row r="77" spans="1:20">
      <c r="A77" s="20" t="s">
        <v>235</v>
      </c>
      <c r="B77" s="32">
        <v>46134</v>
      </c>
      <c r="C77" s="4" t="s">
        <v>126</v>
      </c>
      <c r="D77" s="4" t="s">
        <v>127</v>
      </c>
      <c r="E77" s="4" t="s">
        <v>25</v>
      </c>
      <c r="F77" s="4" t="s">
        <v>128</v>
      </c>
      <c r="G77" s="4"/>
      <c r="H77" s="20" t="s">
        <v>145</v>
      </c>
      <c r="I77" s="4" t="s">
        <v>65</v>
      </c>
      <c r="J77" s="31">
        <v>24000</v>
      </c>
      <c r="K77" s="22">
        <f>IF(I77="","",IF(I77="ENTRADA",ABS(J77),-ABS(J77)))</f>
        <v>-24000</v>
      </c>
      <c r="L77" s="4" t="s">
        <v>29</v>
      </c>
      <c r="M77" s="4"/>
      <c r="N77" s="4">
        <v>59322</v>
      </c>
      <c r="O77" s="4" t="s">
        <v>152</v>
      </c>
      <c r="P77" s="45">
        <v>1642</v>
      </c>
      <c r="Q77" s="56">
        <v>46137</v>
      </c>
      <c r="R77" s="22" t="str">
        <f>IF(H77="","",H77&amp;I77)</f>
        <v>260410-078SALIDA</v>
      </c>
      <c r="S77" s="22" t="str">
        <f>IF(C77="","",C77&amp;I77)</f>
        <v>Avena SALIDA</v>
      </c>
      <c r="T77" t="str">
        <f>IF(OR(C77="",I77&lt;&gt;"ENTRADA"),"",TEXT(B77,"AAMMDD")&amp;"-"&amp;TEXT(VALUE(SUBSTITUTE(A77,"MOV-","")),"000"))</f>
        <v/>
      </c>
    </row>
    <row r="78" spans="1:20">
      <c r="A78" s="20" t="s">
        <v>236</v>
      </c>
      <c r="B78" s="32">
        <v>46135</v>
      </c>
      <c r="C78" s="4" t="s">
        <v>23</v>
      </c>
      <c r="D78" s="4" t="s">
        <v>24</v>
      </c>
      <c r="E78" s="4" t="s">
        <v>25</v>
      </c>
      <c r="F78" s="4" t="s">
        <v>26</v>
      </c>
      <c r="G78" s="4" t="s">
        <v>27</v>
      </c>
      <c r="H78" s="20" t="s">
        <v>198</v>
      </c>
      <c r="I78" s="4" t="s">
        <v>65</v>
      </c>
      <c r="J78" s="31">
        <v>500</v>
      </c>
      <c r="K78" s="22">
        <f>IF(I78="","",IF(I78="ENTRADA",ABS(J78),-ABS(J78)))</f>
        <v>-500</v>
      </c>
      <c r="L78" s="4" t="s">
        <v>29</v>
      </c>
      <c r="M78" s="4"/>
      <c r="N78" s="4">
        <v>59324</v>
      </c>
      <c r="O78" s="4" t="s">
        <v>237</v>
      </c>
      <c r="P78" s="45">
        <v>1644</v>
      </c>
      <c r="Q78" s="56">
        <v>46137</v>
      </c>
      <c r="R78" s="22" t="str">
        <f>IF(H78="","",H78&amp;I78)</f>
        <v>260324-001SALIDA</v>
      </c>
      <c r="S78" s="22" t="str">
        <f>IF(C78="","",C78&amp;I78)</f>
        <v>Colza Curry CLSALIDA</v>
      </c>
      <c r="T78" t="str">
        <f>IF(OR(C78="",I78&lt;&gt;"ENTRADA"),"",TEXT(B78,"AAMMDD")&amp;"-"&amp;TEXT(VALUE(SUBSTITUTE(A78,"MOV-","")),"000"))</f>
        <v/>
      </c>
    </row>
    <row r="79" spans="1:20">
      <c r="A79" s="20" t="s">
        <v>238</v>
      </c>
      <c r="B79" s="32">
        <v>46135</v>
      </c>
      <c r="C79" s="4" t="s">
        <v>160</v>
      </c>
      <c r="D79" s="4" t="s">
        <v>161</v>
      </c>
      <c r="E79" s="4" t="s">
        <v>25</v>
      </c>
      <c r="F79" s="4" t="s">
        <v>26</v>
      </c>
      <c r="G79" s="4" t="s">
        <v>158</v>
      </c>
      <c r="H79" s="20" t="s">
        <v>239</v>
      </c>
      <c r="I79" s="4" t="s">
        <v>65</v>
      </c>
      <c r="J79" s="31">
        <v>832</v>
      </c>
      <c r="K79" s="22">
        <f>IF(I79="","",IF(I79="ENTRADA",ABS(J79),-ABS(J79)))</f>
        <v>-832</v>
      </c>
      <c r="L79" s="4" t="s">
        <v>29</v>
      </c>
      <c r="M79" s="4"/>
      <c r="N79" s="4">
        <v>59324</v>
      </c>
      <c r="O79" s="4" t="s">
        <v>237</v>
      </c>
      <c r="P79" s="45">
        <v>1644</v>
      </c>
      <c r="Q79" s="56">
        <v>46137</v>
      </c>
      <c r="R79" s="22" t="str">
        <f>IF(H79="","",H79&amp;I79)</f>
        <v>260416-036SALIDA</v>
      </c>
      <c r="S79" s="22" t="str">
        <f>IF(C79="","",C79&amp;I79)</f>
        <v>Colza Ceres IMISALIDA</v>
      </c>
      <c r="T79" t="str">
        <f>IF(OR(C79="",I79&lt;&gt;"ENTRADA"),"",TEXT(B79,"AAMMDD")&amp;"-"&amp;TEXT(VALUE(SUBSTITUTE(A79,"MOV-","")),"000"))</f>
        <v/>
      </c>
    </row>
    <row r="80" spans="1:20">
      <c r="A80" s="20" t="s">
        <v>240</v>
      </c>
      <c r="B80" s="32">
        <v>46135</v>
      </c>
      <c r="C80" s="4" t="s">
        <v>90</v>
      </c>
      <c r="D80" s="4" t="s">
        <v>91</v>
      </c>
      <c r="E80" s="4" t="s">
        <v>34</v>
      </c>
      <c r="F80" s="4" t="s">
        <v>35</v>
      </c>
      <c r="G80" s="4" t="s">
        <v>36</v>
      </c>
      <c r="H80" s="20" t="s">
        <v>103</v>
      </c>
      <c r="I80" s="4" t="s">
        <v>65</v>
      </c>
      <c r="J80" s="31">
        <v>80</v>
      </c>
      <c r="K80" s="22">
        <f>IF(I80="","",IF(I80="ENTRADA",ABS(J80),-ABS(J80)))</f>
        <v>-80</v>
      </c>
      <c r="L80" s="4" t="s">
        <v>37</v>
      </c>
      <c r="M80" s="4"/>
      <c r="N80" s="4">
        <v>59324</v>
      </c>
      <c r="O80" s="4" t="s">
        <v>237</v>
      </c>
      <c r="P80" s="45">
        <v>1644</v>
      </c>
      <c r="Q80" s="56">
        <v>46137</v>
      </c>
      <c r="R80" s="22" t="str">
        <f>IF(H80="","",H80&amp;I80)</f>
        <v>260408-015SALIDA</v>
      </c>
      <c r="S80" s="22" t="str">
        <f>IF(C80="","",C80&amp;I80)</f>
        <v>PixxaroSALIDA</v>
      </c>
      <c r="T80" t="str">
        <f>IF(OR(C80="",I80&lt;&gt;"ENTRADA"),"",TEXT(B80,"AAMMDD")&amp;"-"&amp;TEXT(VALUE(SUBSTITUTE(A80,"MOV-","")),"000"))</f>
        <v/>
      </c>
    </row>
    <row r="81" spans="1:21">
      <c r="A81" s="20" t="s">
        <v>241</v>
      </c>
      <c r="B81" s="32">
        <v>46135</v>
      </c>
      <c r="C81" s="4" t="s">
        <v>86</v>
      </c>
      <c r="D81" s="4" t="s">
        <v>87</v>
      </c>
      <c r="E81" s="4" t="s">
        <v>34</v>
      </c>
      <c r="F81" s="4" t="s">
        <v>35</v>
      </c>
      <c r="G81" s="4" t="s">
        <v>36</v>
      </c>
      <c r="H81" s="20" t="s">
        <v>100</v>
      </c>
      <c r="I81" s="4" t="s">
        <v>65</v>
      </c>
      <c r="J81" s="31">
        <v>50</v>
      </c>
      <c r="K81" s="22">
        <f>IF(I81="","",IF(I81="ENTRADA",ABS(J81),-ABS(J81)))</f>
        <v>-50</v>
      </c>
      <c r="L81" s="4" t="s">
        <v>37</v>
      </c>
      <c r="M81" s="4"/>
      <c r="N81" s="4">
        <v>59324</v>
      </c>
      <c r="O81" s="4" t="s">
        <v>237</v>
      </c>
      <c r="P81" s="45">
        <v>1644</v>
      </c>
      <c r="Q81" s="56">
        <v>46137</v>
      </c>
      <c r="R81" s="22" t="str">
        <f>IF(H81="","",H81&amp;I81)</f>
        <v>260408-014SALIDA</v>
      </c>
      <c r="S81" s="22" t="str">
        <f>IF(C81="","",C81&amp;I81)</f>
        <v>Starane XtraSALIDA</v>
      </c>
      <c r="T81" t="str">
        <f>IF(OR(C81="",I81&lt;&gt;"ENTRADA"),"",TEXT(B81,"AAMMDD")&amp;"-"&amp;TEXT(VALUE(SUBSTITUTE(A81,"MOV-","")),"000"))</f>
        <v/>
      </c>
    </row>
    <row r="82" spans="1:21">
      <c r="A82" s="20" t="s">
        <v>242</v>
      </c>
      <c r="B82" s="32">
        <v>46135</v>
      </c>
      <c r="C82" s="4" t="s">
        <v>59</v>
      </c>
      <c r="D82" s="4" t="s">
        <v>60</v>
      </c>
      <c r="E82" s="4" t="s">
        <v>34</v>
      </c>
      <c r="F82" s="4" t="s">
        <v>35</v>
      </c>
      <c r="G82" s="4"/>
      <c r="H82" s="20" t="s">
        <v>68</v>
      </c>
      <c r="I82" s="4" t="s">
        <v>65</v>
      </c>
      <c r="J82" s="31">
        <v>500</v>
      </c>
      <c r="K82" s="22">
        <f>IF(I82="","",IF(I82="ENTRADA",ABS(J82),-ABS(J82)))</f>
        <v>-500</v>
      </c>
      <c r="L82" s="4" t="s">
        <v>37</v>
      </c>
      <c r="M82" s="4"/>
      <c r="N82" s="4">
        <v>59324</v>
      </c>
      <c r="O82" s="4" t="s">
        <v>237</v>
      </c>
      <c r="P82" s="45">
        <v>1644</v>
      </c>
      <c r="Q82" s="56">
        <v>46137</v>
      </c>
      <c r="R82" s="22" t="str">
        <f>IF(H82="","",H82&amp;I82)</f>
        <v>260401-008SALIDA</v>
      </c>
      <c r="S82" s="22" t="str">
        <f>IF(C82="","",C82&amp;I82)</f>
        <v>Venceweed extraSALIDA</v>
      </c>
      <c r="T82" t="str">
        <f>IF(OR(C82="",I82&lt;&gt;"ENTRADA"),"",TEXT(B82,"AAMMDD")&amp;"-"&amp;TEXT(VALUE(SUBSTITUTE(A82,"MOV-","")),"000"))</f>
        <v/>
      </c>
    </row>
    <row r="83" spans="1:21">
      <c r="A83" s="20" t="s">
        <v>243</v>
      </c>
      <c r="B83" s="32">
        <v>46135</v>
      </c>
      <c r="C83" s="4" t="s">
        <v>70</v>
      </c>
      <c r="D83" s="4" t="s">
        <v>71</v>
      </c>
      <c r="E83" s="4" t="s">
        <v>70</v>
      </c>
      <c r="F83" s="4"/>
      <c r="G83" s="4" t="s">
        <v>72</v>
      </c>
      <c r="H83" s="20" t="s">
        <v>154</v>
      </c>
      <c r="I83" s="4" t="s">
        <v>65</v>
      </c>
      <c r="J83" s="31">
        <v>30</v>
      </c>
      <c r="K83" s="22">
        <f>IF(I83="","",IF(I83="ENTRADA",ABS(J83),-ABS(J83)))</f>
        <v>-30</v>
      </c>
      <c r="L83" s="4" t="s">
        <v>73</v>
      </c>
      <c r="M83" s="4"/>
      <c r="N83" s="4">
        <v>59324</v>
      </c>
      <c r="O83" s="4" t="s">
        <v>237</v>
      </c>
      <c r="P83" s="45">
        <v>1644</v>
      </c>
      <c r="Q83" s="56">
        <v>46137</v>
      </c>
      <c r="R83" s="22" t="str">
        <f>IF(H83="","",H83&amp;I83)</f>
        <v>260406-011SALIDA</v>
      </c>
      <c r="S83" s="22" t="str">
        <f>IF(C83="","",C83&amp;I83)</f>
        <v>SilobolsaSALIDA</v>
      </c>
      <c r="T83" t="str">
        <f>IF(OR(C83="",I83&lt;&gt;"ENTRADA"),"",TEXT(B83,"AAMMDD")&amp;"-"&amp;TEXT(VALUE(SUBSTITUTE(A83,"MOV-","")),"000"))</f>
        <v/>
      </c>
    </row>
    <row r="84" spans="1:21">
      <c r="A84" s="20" t="s">
        <v>244</v>
      </c>
      <c r="B84" s="32">
        <v>46135</v>
      </c>
      <c r="C84" s="4" t="s">
        <v>245</v>
      </c>
      <c r="D84" s="4" t="s">
        <v>246</v>
      </c>
      <c r="E84" s="4" t="s">
        <v>34</v>
      </c>
      <c r="F84" s="4" t="s">
        <v>35</v>
      </c>
      <c r="G84" s="4" t="s">
        <v>27</v>
      </c>
      <c r="H84" s="20" t="str">
        <f>+T84</f>
        <v>260423-080</v>
      </c>
      <c r="I84" s="4" t="s">
        <v>28</v>
      </c>
      <c r="J84" s="31">
        <v>200</v>
      </c>
      <c r="K84" s="22">
        <f>IF(I84="","",IF(I84="ENTRADA",ABS(J84),-ABS(J84)))</f>
        <v>200</v>
      </c>
      <c r="L84" s="4" t="s">
        <v>37</v>
      </c>
      <c r="M84" s="32">
        <v>46174</v>
      </c>
      <c r="N84" s="4">
        <v>130505</v>
      </c>
      <c r="O84" s="4"/>
      <c r="P84" s="45">
        <v>14394</v>
      </c>
      <c r="Q84" s="56">
        <v>46139</v>
      </c>
      <c r="R84" s="22" t="str">
        <f>IF(H84="","",H84&amp;I84)</f>
        <v>260423-080ENTRADA</v>
      </c>
      <c r="S84" s="22" t="str">
        <f>IF(C84="","",C84&amp;I84)</f>
        <v>ArsenalENTRADA</v>
      </c>
      <c r="T84" t="str">
        <f>IF(OR(C84="",I84&lt;&gt;"ENTRADA"),"",TEXT(B84,"AAMMDD")&amp;"-"&amp;TEXT(VALUE(SUBSTITUTE(A84,"MOV-","")),"000"))</f>
        <v>260423-080</v>
      </c>
      <c r="U84" t="s">
        <v>247</v>
      </c>
    </row>
    <row r="85" spans="1:21">
      <c r="A85" s="20" t="s">
        <v>248</v>
      </c>
      <c r="B85" s="32">
        <v>46135</v>
      </c>
      <c r="C85" s="4" t="s">
        <v>249</v>
      </c>
      <c r="D85" s="4" t="s">
        <v>250</v>
      </c>
      <c r="E85" s="4" t="s">
        <v>132</v>
      </c>
      <c r="F85" s="4"/>
      <c r="G85" s="4" t="s">
        <v>27</v>
      </c>
      <c r="H85" s="20" t="str">
        <f>+T85</f>
        <v>260423-083</v>
      </c>
      <c r="I85" s="4" t="s">
        <v>28</v>
      </c>
      <c r="J85" s="31">
        <v>188</v>
      </c>
      <c r="K85" s="22">
        <f>IF(I85="","",IF(I85="ENTRADA",ABS(J85),-ABS(J85)))</f>
        <v>188</v>
      </c>
      <c r="L85" s="4" t="s">
        <v>37</v>
      </c>
      <c r="M85" s="32">
        <v>47574</v>
      </c>
      <c r="N85" s="4">
        <v>130505</v>
      </c>
      <c r="O85" s="4"/>
      <c r="P85" s="45">
        <v>14394</v>
      </c>
      <c r="Q85" s="56">
        <v>46139</v>
      </c>
      <c r="R85" s="22" t="str">
        <f>IF(H85="","",H85&amp;I85)</f>
        <v>260423-083ENTRADA</v>
      </c>
      <c r="S85" s="22" t="str">
        <f>IF(C85="","",C85&amp;I85)</f>
        <v>Dash HCENTRADA</v>
      </c>
      <c r="T85" t="str">
        <f>IF(OR(C85="",I85&lt;&gt;"ENTRADA"),"",TEXT(B85,"AAMMDD")&amp;"-"&amp;TEXT(VALUE(SUBSTITUTE(A85,"MOV-","")),"000"))</f>
        <v>260423-083</v>
      </c>
      <c r="U85" t="s">
        <v>247</v>
      </c>
    </row>
    <row r="86" spans="1:21">
      <c r="A86" s="20" t="s">
        <v>251</v>
      </c>
      <c r="B86" s="32">
        <v>46135</v>
      </c>
      <c r="C86" s="4" t="s">
        <v>115</v>
      </c>
      <c r="D86" s="4" t="s">
        <v>116</v>
      </c>
      <c r="E86" s="4" t="s">
        <v>34</v>
      </c>
      <c r="F86" s="4" t="s">
        <v>35</v>
      </c>
      <c r="G86" s="4" t="s">
        <v>117</v>
      </c>
      <c r="H86" s="20" t="s">
        <v>120</v>
      </c>
      <c r="I86" s="4" t="s">
        <v>28</v>
      </c>
      <c r="J86" s="31">
        <v>19120</v>
      </c>
      <c r="K86" s="22">
        <f>IF(I86="","",IF(I86="ENTRADA",ABS(J86),-ABS(J86)))</f>
        <v>19120</v>
      </c>
      <c r="L86" s="4" t="s">
        <v>37</v>
      </c>
      <c r="M86" s="32">
        <v>46692</v>
      </c>
      <c r="N86" s="4">
        <v>48959</v>
      </c>
      <c r="O86" s="4"/>
      <c r="P86" s="45">
        <v>14391</v>
      </c>
      <c r="Q86" s="56">
        <v>46139</v>
      </c>
      <c r="R86" s="22" t="str">
        <f>IF(H86="","",H86&amp;I86)</f>
        <v>260410-025ENTRADA</v>
      </c>
      <c r="S86" s="22" t="str">
        <f>IF(C86="","",C86&amp;I86)</f>
        <v>AzukaENTRADA</v>
      </c>
      <c r="T86" t="str">
        <f>IF(OR(C86="",I86&lt;&gt;"ENTRADA"),"",TEXT(B86,"AAMMDD")&amp;"-"&amp;TEXT(VALUE(SUBSTITUTE(A86,"MOV-","")),"000"))</f>
        <v>260423-084</v>
      </c>
    </row>
    <row r="87" spans="1:21">
      <c r="A87" s="20" t="s">
        <v>252</v>
      </c>
      <c r="B87" s="32">
        <v>46135</v>
      </c>
      <c r="C87" s="4" t="s">
        <v>126</v>
      </c>
      <c r="D87" s="4" t="s">
        <v>127</v>
      </c>
      <c r="E87" s="4" t="s">
        <v>25</v>
      </c>
      <c r="F87" s="4" t="s">
        <v>128</v>
      </c>
      <c r="G87" s="4"/>
      <c r="H87" s="20" t="s">
        <v>145</v>
      </c>
      <c r="I87" s="4" t="s">
        <v>65</v>
      </c>
      <c r="J87" s="31">
        <v>25600</v>
      </c>
      <c r="K87" s="22">
        <f>IF(I87="","",IF(I87="ENTRADA",ABS(J87),-ABS(J87)))</f>
        <v>-25600</v>
      </c>
      <c r="L87" s="4" t="s">
        <v>29</v>
      </c>
      <c r="M87" s="4"/>
      <c r="N87" s="4">
        <v>59325</v>
      </c>
      <c r="O87" s="4" t="s">
        <v>152</v>
      </c>
      <c r="P87" s="45">
        <v>1645</v>
      </c>
      <c r="Q87" s="56">
        <v>46139</v>
      </c>
      <c r="R87" s="22" t="str">
        <f>IF(H87="","",H87&amp;I87)</f>
        <v>260410-078SALIDA</v>
      </c>
      <c r="S87" s="22" t="str">
        <f>IF(C87="","",C87&amp;I87)</f>
        <v>Avena SALIDA</v>
      </c>
      <c r="T87" t="str">
        <f>IF(OR(C87="",I87&lt;&gt;"ENTRADA"),"",TEXT(B87,"AAMMDD")&amp;"-"&amp;TEXT(VALUE(SUBSTITUTE(A87,"MOV-","")),"000"))</f>
        <v/>
      </c>
    </row>
    <row r="88" spans="1:21">
      <c r="A88" s="20" t="s">
        <v>253</v>
      </c>
      <c r="B88" s="32">
        <v>46136</v>
      </c>
      <c r="C88" s="4" t="s">
        <v>130</v>
      </c>
      <c r="D88" s="4" t="s">
        <v>131</v>
      </c>
      <c r="E88" s="4" t="s">
        <v>132</v>
      </c>
      <c r="F88" s="4"/>
      <c r="G88" s="4" t="s">
        <v>133</v>
      </c>
      <c r="H88" s="20" t="s">
        <v>221</v>
      </c>
      <c r="I88" s="4" t="s">
        <v>65</v>
      </c>
      <c r="J88" s="31">
        <v>120</v>
      </c>
      <c r="K88" s="22">
        <f>IF(I88="","",IF(I88="ENTRADA",ABS(J88),-ABS(J88)))</f>
        <v>-120</v>
      </c>
      <c r="L88" s="4" t="s">
        <v>37</v>
      </c>
      <c r="M88" s="4"/>
      <c r="N88" s="4">
        <v>59326</v>
      </c>
      <c r="O88" s="4" t="s">
        <v>152</v>
      </c>
      <c r="P88" s="45">
        <v>1655</v>
      </c>
      <c r="Q88" s="56">
        <v>46148</v>
      </c>
      <c r="R88" s="22" t="str">
        <f>IF(H88="","",H88&amp;I88)</f>
        <v>260414-029SALIDA</v>
      </c>
      <c r="S88" s="22" t="str">
        <f>IF(C88="","",C88&amp;I88)</f>
        <v>HarrierSALIDA</v>
      </c>
      <c r="T88" t="str">
        <f>IF(OR(C88="",I88&lt;&gt;"ENTRADA"),"",TEXT(B88,"AAMMDD")&amp;"-"&amp;TEXT(VALUE(SUBSTITUTE(A88,"MOV-","")),"000"))</f>
        <v/>
      </c>
    </row>
    <row r="89" spans="1:21">
      <c r="A89" s="20" t="s">
        <v>254</v>
      </c>
      <c r="B89" s="32">
        <v>46136</v>
      </c>
      <c r="C89" s="4" t="s">
        <v>137</v>
      </c>
      <c r="D89" s="4" t="s">
        <v>138</v>
      </c>
      <c r="E89" s="4" t="s">
        <v>132</v>
      </c>
      <c r="F89" s="4"/>
      <c r="G89" s="4" t="s">
        <v>133</v>
      </c>
      <c r="H89" s="20" t="s">
        <v>211</v>
      </c>
      <c r="I89" s="4" t="s">
        <v>65</v>
      </c>
      <c r="J89" s="49">
        <v>15</v>
      </c>
      <c r="K89" s="22">
        <f>IF(I89="","",IF(I89="ENTRADA",ABS(J89),-ABS(J89)))</f>
        <v>-15</v>
      </c>
      <c r="L89" s="4" t="s">
        <v>37</v>
      </c>
      <c r="M89" s="4"/>
      <c r="N89" s="4">
        <v>59326</v>
      </c>
      <c r="O89" s="4" t="s">
        <v>152</v>
      </c>
      <c r="P89" s="45">
        <v>1655</v>
      </c>
      <c r="Q89" s="56"/>
      <c r="R89" s="22" t="str">
        <f>IF(H89="","",H89&amp;I89)</f>
        <v>260414-030SALIDA</v>
      </c>
      <c r="S89" s="22" t="str">
        <f>IF(C89="","",C89&amp;I89)</f>
        <v>Full controlSALIDA</v>
      </c>
      <c r="T89" t="str">
        <f>IF(OR(C89="",I89&lt;&gt;"ENTRADA"),"",TEXT(B89,"AAMMDD")&amp;"-"&amp;TEXT(VALUE(SUBSTITUTE(A89,"MOV-","")),"000"))</f>
        <v/>
      </c>
    </row>
    <row r="90" spans="1:21">
      <c r="A90" s="20" t="s">
        <v>255</v>
      </c>
      <c r="B90" s="32">
        <v>46136</v>
      </c>
      <c r="C90" s="4" t="s">
        <v>256</v>
      </c>
      <c r="D90" s="4" t="s">
        <v>257</v>
      </c>
      <c r="E90" s="4" t="s">
        <v>25</v>
      </c>
      <c r="F90" s="4" t="s">
        <v>258</v>
      </c>
      <c r="G90" s="4" t="s">
        <v>259</v>
      </c>
      <c r="H90" s="20" t="str">
        <f>+T90</f>
        <v>260424-088</v>
      </c>
      <c r="I90" s="4" t="s">
        <v>28</v>
      </c>
      <c r="J90" s="31">
        <v>5200</v>
      </c>
      <c r="K90" s="22">
        <f>IF(I90="","",IF(I90="ENTRADA",ABS(J90),-ABS(J90)))</f>
        <v>5200</v>
      </c>
      <c r="L90" s="4" t="s">
        <v>29</v>
      </c>
      <c r="M90" s="4"/>
      <c r="N90" s="4">
        <v>19967</v>
      </c>
      <c r="O90" s="4"/>
      <c r="P90" s="45">
        <v>14401</v>
      </c>
      <c r="Q90" s="56">
        <v>46139</v>
      </c>
      <c r="R90" s="22" t="str">
        <f>IF(H90="","",H90&amp;I90)</f>
        <v>260424-088ENTRADA</v>
      </c>
      <c r="S90" s="22" t="str">
        <f>IF(C90="","",C90&amp;I90)</f>
        <v>Lotus Nilo htENTRADA</v>
      </c>
      <c r="T90" t="str">
        <f>IF(OR(C90="",I90&lt;&gt;"ENTRADA"),"",TEXT(B90,"AAMMDD")&amp;"-"&amp;TEXT(VALUE(SUBSTITUTE(A90,"MOV-","")),"000"))</f>
        <v>260424-088</v>
      </c>
    </row>
    <row r="91" spans="1:21">
      <c r="A91" s="20" t="s">
        <v>260</v>
      </c>
      <c r="B91" s="32">
        <v>46136</v>
      </c>
      <c r="C91" s="4" t="s">
        <v>261</v>
      </c>
      <c r="D91" s="4" t="s">
        <v>262</v>
      </c>
      <c r="E91" s="4" t="s">
        <v>25</v>
      </c>
      <c r="F91" s="4" t="s">
        <v>184</v>
      </c>
      <c r="G91" s="4" t="s">
        <v>259</v>
      </c>
      <c r="H91" s="20" t="str">
        <f>+T91</f>
        <v>260424-089</v>
      </c>
      <c r="I91" s="4" t="s">
        <v>28</v>
      </c>
      <c r="J91" s="31">
        <v>1200</v>
      </c>
      <c r="K91" s="22">
        <f>IF(I91="","",IF(I91="ENTRADA",ABS(J91),-ABS(J91)))</f>
        <v>1200</v>
      </c>
      <c r="L91" s="4" t="s">
        <v>29</v>
      </c>
      <c r="M91" s="4"/>
      <c r="N91" s="4">
        <v>19967</v>
      </c>
      <c r="O91" s="4"/>
      <c r="P91" s="45">
        <v>14401</v>
      </c>
      <c r="Q91" s="56">
        <v>46139</v>
      </c>
      <c r="R91" s="22" t="str">
        <f>IF(H91="","",H91&amp;I91)</f>
        <v>260424-089ENTRADA</v>
      </c>
      <c r="S91" s="22" t="str">
        <f>IF(C91="","",C91&amp;I91)</f>
        <v>Dactylis inia perseoENTRADA</v>
      </c>
      <c r="T91" t="str">
        <f>IF(OR(C91="",I91&lt;&gt;"ENTRADA"),"",TEXT(B91,"AAMMDD")&amp;"-"&amp;TEXT(VALUE(SUBSTITUTE(A91,"MOV-","")),"000"))</f>
        <v>260424-089</v>
      </c>
    </row>
    <row r="92" spans="1:21">
      <c r="A92" s="20" t="s">
        <v>263</v>
      </c>
      <c r="B92" s="32">
        <v>46136</v>
      </c>
      <c r="C92" s="4" t="s">
        <v>264</v>
      </c>
      <c r="D92" s="4" t="s">
        <v>265</v>
      </c>
      <c r="E92" s="4" t="s">
        <v>25</v>
      </c>
      <c r="F92" s="4" t="s">
        <v>170</v>
      </c>
      <c r="G92" s="4" t="s">
        <v>259</v>
      </c>
      <c r="H92" s="20" t="str">
        <f>+T92</f>
        <v>260424-090</v>
      </c>
      <c r="I92" s="4" t="s">
        <v>28</v>
      </c>
      <c r="J92" s="31">
        <v>375</v>
      </c>
      <c r="K92" s="22">
        <f>IF(I92="","",IF(I92="ENTRADA",ABS(J92),-ABS(J92)))</f>
        <v>375</v>
      </c>
      <c r="L92" s="4" t="s">
        <v>29</v>
      </c>
      <c r="M92" s="4"/>
      <c r="N92" s="4">
        <v>19967</v>
      </c>
      <c r="O92" s="4"/>
      <c r="P92" s="45">
        <v>14401</v>
      </c>
      <c r="Q92" s="56">
        <v>46139</v>
      </c>
      <c r="R92" s="22" t="str">
        <f>IF(H92="","",H92&amp;I92)</f>
        <v>260424-090ENTRADA</v>
      </c>
      <c r="S92" s="22" t="str">
        <f>IF(C92="","",C92&amp;I92)</f>
        <v>Alfalfa Latte 920ENTRADA</v>
      </c>
      <c r="T92" t="str">
        <f>IF(OR(C92="",I92&lt;&gt;"ENTRADA"),"",TEXT(B92,"AAMMDD")&amp;"-"&amp;TEXT(VALUE(SUBSTITUTE(A92,"MOV-","")),"000"))</f>
        <v>260424-090</v>
      </c>
    </row>
    <row r="93" spans="1:21">
      <c r="A93" s="20" t="s">
        <v>266</v>
      </c>
      <c r="B93" s="32">
        <v>46136</v>
      </c>
      <c r="C93" s="4" t="s">
        <v>267</v>
      </c>
      <c r="D93" s="4" t="s">
        <v>267</v>
      </c>
      <c r="E93" s="4" t="s">
        <v>25</v>
      </c>
      <c r="F93" s="4" t="s">
        <v>26</v>
      </c>
      <c r="G93" s="4" t="s">
        <v>36</v>
      </c>
      <c r="H93" s="20" t="str">
        <f>+T93</f>
        <v>260424-091</v>
      </c>
      <c r="I93" s="4" t="s">
        <v>28</v>
      </c>
      <c r="J93" s="31">
        <v>200</v>
      </c>
      <c r="K93" s="22">
        <f>IF(I93="","",IF(I93="ENTRADA",ABS(J93),-ABS(J93)))</f>
        <v>200</v>
      </c>
      <c r="L93" s="4" t="s">
        <v>29</v>
      </c>
      <c r="M93" s="4"/>
      <c r="N93" s="4">
        <v>12590</v>
      </c>
      <c r="O93" s="4"/>
      <c r="P93" s="45">
        <v>14483</v>
      </c>
      <c r="Q93" s="56">
        <v>46154</v>
      </c>
      <c r="R93" s="22" t="str">
        <f>IF(H93="","",H93&amp;I93)</f>
        <v>260424-091ENTRADA</v>
      </c>
      <c r="S93" s="22" t="str">
        <f>IF(C93="","",C93&amp;I93)</f>
        <v>Colza 45y95clENTRADA</v>
      </c>
      <c r="T93" t="str">
        <f>IF(OR(C93="",I93&lt;&gt;"ENTRADA"),"",TEXT(B93,"AAMMDD")&amp;"-"&amp;TEXT(VALUE(SUBSTITUTE(A93,"MOV-","")),"000"))</f>
        <v>260424-091</v>
      </c>
      <c r="U93" t="s">
        <v>268</v>
      </c>
    </row>
    <row r="94" spans="1:21">
      <c r="A94" s="20" t="s">
        <v>269</v>
      </c>
      <c r="B94" s="32">
        <v>46136</v>
      </c>
      <c r="C94" s="4" t="s">
        <v>115</v>
      </c>
      <c r="D94" s="4" t="s">
        <v>116</v>
      </c>
      <c r="E94" s="4" t="s">
        <v>34</v>
      </c>
      <c r="F94" s="4" t="s">
        <v>35</v>
      </c>
      <c r="G94" s="4" t="s">
        <v>117</v>
      </c>
      <c r="H94" s="20" t="s">
        <v>120</v>
      </c>
      <c r="I94" s="4" t="s">
        <v>65</v>
      </c>
      <c r="J94" s="31">
        <v>960</v>
      </c>
      <c r="K94" s="22">
        <f>IF(I94="","",IF(I94="ENTRADA",ABS(J94),-ABS(J94)))</f>
        <v>-960</v>
      </c>
      <c r="L94" s="4" t="s">
        <v>37</v>
      </c>
      <c r="M94" s="4"/>
      <c r="N94" s="4">
        <v>59327</v>
      </c>
      <c r="O94" s="4" t="s">
        <v>201</v>
      </c>
      <c r="P94" s="45">
        <v>1647</v>
      </c>
      <c r="Q94" s="56">
        <v>46139</v>
      </c>
      <c r="R94" s="22" t="str">
        <f>IF(H94="","",H94&amp;I94)</f>
        <v>260410-025SALIDA</v>
      </c>
      <c r="S94" s="22" t="str">
        <f>IF(C94="","",C94&amp;I94)</f>
        <v>AzukaSALIDA</v>
      </c>
      <c r="T94" t="str">
        <f>IF(OR(C94="",I94&lt;&gt;"ENTRADA"),"",TEXT(B94,"AAMMDD")&amp;"-"&amp;TEXT(VALUE(SUBSTITUTE(A94,"MOV-","")),"000"))</f>
        <v/>
      </c>
    </row>
    <row r="95" spans="1:21">
      <c r="A95" s="20" t="s">
        <v>270</v>
      </c>
      <c r="B95" s="32">
        <v>46136</v>
      </c>
      <c r="C95" s="4" t="s">
        <v>122</v>
      </c>
      <c r="D95" s="4" t="s">
        <v>123</v>
      </c>
      <c r="E95" s="4" t="s">
        <v>34</v>
      </c>
      <c r="F95" s="4" t="s">
        <v>35</v>
      </c>
      <c r="G95" s="4" t="s">
        <v>117</v>
      </c>
      <c r="H95" s="20" t="s">
        <v>203</v>
      </c>
      <c r="I95" s="4" t="s">
        <v>65</v>
      </c>
      <c r="J95" s="31">
        <v>300</v>
      </c>
      <c r="K95" s="22">
        <f>IF(I95="","",IF(I95="ENTRADA",ABS(J95),-ABS(J95)))</f>
        <v>-300</v>
      </c>
      <c r="L95" s="4" t="s">
        <v>37</v>
      </c>
      <c r="M95" s="4"/>
      <c r="N95" s="4">
        <v>59327</v>
      </c>
      <c r="O95" s="4" t="s">
        <v>201</v>
      </c>
      <c r="P95" s="45">
        <v>1647</v>
      </c>
      <c r="Q95" s="56">
        <v>46139</v>
      </c>
      <c r="R95" s="22" t="str">
        <f>IF(H95="","",H95&amp;I95)</f>
        <v>260410-027SALIDA</v>
      </c>
      <c r="S95" s="22" t="str">
        <f>IF(C95="","",C95&amp;I95)</f>
        <v>PardoSALIDA</v>
      </c>
      <c r="T95" t="str">
        <f>IF(OR(C95="",I95&lt;&gt;"ENTRADA"),"",TEXT(B95,"AAMMDD")&amp;"-"&amp;TEXT(VALUE(SUBSTITUTE(A95,"MOV-","")),"000"))</f>
        <v/>
      </c>
    </row>
    <row r="96" spans="1:21">
      <c r="A96" s="20" t="s">
        <v>271</v>
      </c>
      <c r="B96" s="32">
        <v>46137</v>
      </c>
      <c r="C96" s="4" t="s">
        <v>126</v>
      </c>
      <c r="D96" s="4" t="s">
        <v>127</v>
      </c>
      <c r="E96" s="4" t="s">
        <v>25</v>
      </c>
      <c r="F96" s="4" t="s">
        <v>128</v>
      </c>
      <c r="G96" s="4"/>
      <c r="H96" s="20" t="s">
        <v>145</v>
      </c>
      <c r="I96" s="4" t="s">
        <v>65</v>
      </c>
      <c r="J96" s="31">
        <v>10400</v>
      </c>
      <c r="K96" s="22">
        <f>IF(I96="","",IF(I96="ENTRADA",ABS(J96),-ABS(J96)))</f>
        <v>-10400</v>
      </c>
      <c r="L96" s="4" t="s">
        <v>29</v>
      </c>
      <c r="M96" s="4"/>
      <c r="N96" s="4">
        <v>59328</v>
      </c>
      <c r="O96" s="4" t="s">
        <v>201</v>
      </c>
      <c r="P96" s="45">
        <v>1646</v>
      </c>
      <c r="Q96" s="56">
        <v>46139</v>
      </c>
      <c r="R96" s="22" t="str">
        <f>IF(H96="","",H96&amp;I96)</f>
        <v>260410-078SALIDA</v>
      </c>
      <c r="S96" s="22" t="str">
        <f>IF(C96="","",C96&amp;I96)</f>
        <v>Avena SALIDA</v>
      </c>
      <c r="T96" t="str">
        <f>IF(OR(C96="",I96&lt;&gt;"ENTRADA"),"",TEXT(B96,"AAMMDD")&amp;"-"&amp;TEXT(VALUE(SUBSTITUTE(A96,"MOV-","")),"000"))</f>
        <v/>
      </c>
    </row>
    <row r="97" spans="1:21">
      <c r="A97" s="20" t="s">
        <v>272</v>
      </c>
      <c r="B97" s="32">
        <v>46139</v>
      </c>
      <c r="C97" s="4" t="s">
        <v>23</v>
      </c>
      <c r="D97" s="4" t="s">
        <v>24</v>
      </c>
      <c r="E97" s="4" t="s">
        <v>25</v>
      </c>
      <c r="F97" s="4" t="s">
        <v>26</v>
      </c>
      <c r="G97" s="4" t="s">
        <v>27</v>
      </c>
      <c r="H97" s="20" t="s">
        <v>198</v>
      </c>
      <c r="I97" s="4" t="s">
        <v>65</v>
      </c>
      <c r="J97" s="31">
        <v>340</v>
      </c>
      <c r="K97" s="22">
        <f>IF(I97="","",IF(I97="ENTRADA",ABS(J97),-ABS(J97)))</f>
        <v>-340</v>
      </c>
      <c r="L97" s="4" t="s">
        <v>29</v>
      </c>
      <c r="M97" s="4"/>
      <c r="N97" s="4">
        <v>59329</v>
      </c>
      <c r="O97" s="4" t="s">
        <v>152</v>
      </c>
      <c r="P97" s="45">
        <v>1648</v>
      </c>
      <c r="Q97" s="56">
        <v>46140</v>
      </c>
      <c r="R97" s="22" t="str">
        <f>IF(H97="","",H97&amp;I97)</f>
        <v>260324-001SALIDA</v>
      </c>
      <c r="S97" s="22" t="str">
        <f>IF(C97="","",C97&amp;I97)</f>
        <v>Colza Curry CLSALIDA</v>
      </c>
      <c r="T97" t="str">
        <f>IF(OR(C97="",I97&lt;&gt;"ENTRADA"),"",TEXT(B97,"AAMMDD")&amp;"-"&amp;TEXT(VALUE(SUBSTITUTE(A97,"MOV-","")),"000"))</f>
        <v/>
      </c>
    </row>
    <row r="98" spans="1:21">
      <c r="A98" s="20" t="s">
        <v>273</v>
      </c>
      <c r="B98" s="32">
        <v>46139</v>
      </c>
      <c r="C98" s="4" t="s">
        <v>115</v>
      </c>
      <c r="D98" s="4" t="s">
        <v>116</v>
      </c>
      <c r="E98" s="4" t="s">
        <v>34</v>
      </c>
      <c r="F98" s="4" t="s">
        <v>35</v>
      </c>
      <c r="G98" s="4" t="s">
        <v>117</v>
      </c>
      <c r="H98" s="20" t="s">
        <v>120</v>
      </c>
      <c r="I98" s="4" t="s">
        <v>65</v>
      </c>
      <c r="J98" s="31">
        <v>400</v>
      </c>
      <c r="K98" s="22">
        <f>IF(I98="","",IF(I98="ENTRADA",ABS(J98),-ABS(J98)))</f>
        <v>-400</v>
      </c>
      <c r="L98" s="4" t="s">
        <v>37</v>
      </c>
      <c r="M98" s="4"/>
      <c r="N98" s="4">
        <v>59330</v>
      </c>
      <c r="O98" s="4" t="s">
        <v>201</v>
      </c>
      <c r="P98" s="45">
        <v>1649</v>
      </c>
      <c r="Q98" s="56">
        <v>46140</v>
      </c>
      <c r="R98" s="22" t="str">
        <f>IF(H98="","",H98&amp;I98)</f>
        <v>260410-025SALIDA</v>
      </c>
      <c r="S98" s="22" t="str">
        <f>IF(C98="","",C98&amp;I98)</f>
        <v>AzukaSALIDA</v>
      </c>
      <c r="T98" t="str">
        <f>IF(OR(C98="",I98&lt;&gt;"ENTRADA"),"",TEXT(B98,"AAMMDD")&amp;"-"&amp;TEXT(VALUE(SUBSTITUTE(A98,"MOV-","")),"000"))</f>
        <v/>
      </c>
    </row>
    <row r="99" spans="1:21">
      <c r="A99" s="20" t="s">
        <v>274</v>
      </c>
      <c r="B99" s="32">
        <v>46139</v>
      </c>
      <c r="C99" s="4" t="s">
        <v>86</v>
      </c>
      <c r="D99" s="4" t="s">
        <v>87</v>
      </c>
      <c r="E99" s="4" t="s">
        <v>34</v>
      </c>
      <c r="F99" s="4" t="s">
        <v>35</v>
      </c>
      <c r="G99" s="4" t="s">
        <v>36</v>
      </c>
      <c r="H99" s="20" t="s">
        <v>100</v>
      </c>
      <c r="I99" s="4" t="s">
        <v>65</v>
      </c>
      <c r="J99" s="31">
        <v>50</v>
      </c>
      <c r="K99" s="22">
        <f>IF(I99="","",IF(I99="ENTRADA",ABS(J99),-ABS(J99)))</f>
        <v>-50</v>
      </c>
      <c r="L99" s="4" t="s">
        <v>37</v>
      </c>
      <c r="M99" s="4"/>
      <c r="N99" s="4">
        <v>59330</v>
      </c>
      <c r="O99" s="4" t="s">
        <v>201</v>
      </c>
      <c r="P99" s="45">
        <v>1649</v>
      </c>
      <c r="Q99" s="56">
        <v>46140</v>
      </c>
      <c r="R99" s="22" t="str">
        <f>IF(H99="","",H99&amp;I99)</f>
        <v>260408-014SALIDA</v>
      </c>
      <c r="S99" s="22" t="str">
        <f>IF(C99="","",C99&amp;I99)</f>
        <v>Starane XtraSALIDA</v>
      </c>
      <c r="T99" t="str">
        <f>IF(OR(C99="",I99&lt;&gt;"ENTRADA"),"",TEXT(B99,"AAMMDD")&amp;"-"&amp;TEXT(VALUE(SUBSTITUTE(A99,"MOV-","")),"000"))</f>
        <v/>
      </c>
    </row>
    <row r="100" spans="1:21">
      <c r="A100" s="20" t="s">
        <v>275</v>
      </c>
      <c r="B100" s="32">
        <v>46139</v>
      </c>
      <c r="C100" s="4" t="s">
        <v>130</v>
      </c>
      <c r="D100" s="4" t="s">
        <v>131</v>
      </c>
      <c r="E100" s="4" t="s">
        <v>132</v>
      </c>
      <c r="F100" s="4"/>
      <c r="G100" s="4" t="s">
        <v>133</v>
      </c>
      <c r="H100" s="20" t="s">
        <v>221</v>
      </c>
      <c r="I100" s="4" t="s">
        <v>65</v>
      </c>
      <c r="J100" s="31">
        <v>20</v>
      </c>
      <c r="K100" s="22">
        <f>IF(I100="","",IF(I100="ENTRADA",ABS(J100),-ABS(J100)))</f>
        <v>-20</v>
      </c>
      <c r="L100" s="4" t="s">
        <v>37</v>
      </c>
      <c r="M100" s="4"/>
      <c r="N100" s="4">
        <v>59330</v>
      </c>
      <c r="O100" s="4" t="s">
        <v>201</v>
      </c>
      <c r="P100" s="45">
        <v>1649</v>
      </c>
      <c r="Q100" s="56">
        <v>46140</v>
      </c>
      <c r="R100" s="22" t="str">
        <f>IF(H100="","",H100&amp;I100)</f>
        <v>260414-029SALIDA</v>
      </c>
      <c r="S100" s="22" t="str">
        <f>IF(C100="","",C100&amp;I100)</f>
        <v>HarrierSALIDA</v>
      </c>
      <c r="T100" t="str">
        <f>IF(OR(C100="",I100&lt;&gt;"ENTRADA"),"",TEXT(B100,"AAMMDD")&amp;"-"&amp;TEXT(VALUE(SUBSTITUTE(A100,"MOV-","")),"000"))</f>
        <v/>
      </c>
    </row>
    <row r="101" spans="1:21">
      <c r="A101" s="20" t="s">
        <v>276</v>
      </c>
      <c r="B101" s="32">
        <v>46139</v>
      </c>
      <c r="C101" s="4" t="s">
        <v>44</v>
      </c>
      <c r="D101" s="4" t="s">
        <v>63</v>
      </c>
      <c r="E101" s="4" t="s">
        <v>34</v>
      </c>
      <c r="F101" s="4" t="s">
        <v>46</v>
      </c>
      <c r="G101" s="4" t="s">
        <v>36</v>
      </c>
      <c r="H101" s="20" t="s">
        <v>64</v>
      </c>
      <c r="I101" s="4" t="s">
        <v>65</v>
      </c>
      <c r="J101" s="31">
        <v>50</v>
      </c>
      <c r="K101" s="22">
        <f>IF(I101="","",IF(I101="ENTRADA",ABS(J101),-ABS(J101)))</f>
        <v>-50</v>
      </c>
      <c r="L101" s="4" t="s">
        <v>37</v>
      </c>
      <c r="M101" s="4"/>
      <c r="N101" s="4">
        <v>59330</v>
      </c>
      <c r="O101" s="4" t="s">
        <v>201</v>
      </c>
      <c r="P101" s="45">
        <v>1649</v>
      </c>
      <c r="Q101" s="56">
        <v>46140</v>
      </c>
      <c r="R101" s="22" t="str">
        <f>IF(H101="","",H101&amp;I101)</f>
        <v>260401-004SALIDA</v>
      </c>
      <c r="S101" s="22" t="str">
        <f>IF(C101="","",C101&amp;I101)</f>
        <v>PresideSALIDA</v>
      </c>
      <c r="T101" t="str">
        <f>IF(OR(C101="",I101&lt;&gt;"ENTRADA"),"",TEXT(B101,"AAMMDD")&amp;"-"&amp;TEXT(VALUE(SUBSTITUTE(A101,"MOV-","")),"000"))</f>
        <v/>
      </c>
    </row>
    <row r="102" spans="1:21">
      <c r="A102" s="20" t="s">
        <v>277</v>
      </c>
      <c r="B102" s="32">
        <v>46141</v>
      </c>
      <c r="C102" s="4" t="s">
        <v>108</v>
      </c>
      <c r="D102" s="4" t="s">
        <v>109</v>
      </c>
      <c r="E102" s="4" t="s">
        <v>25</v>
      </c>
      <c r="F102" s="4" t="s">
        <v>26</v>
      </c>
      <c r="G102" s="4" t="s">
        <v>27</v>
      </c>
      <c r="H102" s="20" t="s">
        <v>278</v>
      </c>
      <c r="I102" s="4" t="s">
        <v>65</v>
      </c>
      <c r="J102" s="31">
        <v>460</v>
      </c>
      <c r="K102" s="22">
        <f>IF(I102="","",IF(I102="ENTRADA",ABS(J102),-ABS(J102)))</f>
        <v>-460</v>
      </c>
      <c r="L102" s="4" t="s">
        <v>29</v>
      </c>
      <c r="M102" s="4"/>
      <c r="N102" s="4">
        <v>59331</v>
      </c>
      <c r="O102" s="4" t="s">
        <v>237</v>
      </c>
      <c r="P102" s="45">
        <v>1651</v>
      </c>
      <c r="Q102" s="56">
        <v>46141</v>
      </c>
      <c r="R102" s="22" t="str">
        <f>IF(H102="","",H102&amp;I102)</f>
        <v>260410-023SALIDA</v>
      </c>
      <c r="S102" s="22" t="str">
        <f>IF(C102="","",C102&amp;I102)</f>
        <v>Colza Hyola 575 CLSALIDA</v>
      </c>
      <c r="T102" t="str">
        <f>IF(OR(C102="",I102&lt;&gt;"ENTRADA"),"",TEXT(B102,"AAMMDD")&amp;"-"&amp;TEXT(VALUE(SUBSTITUTE(A102,"MOV-","")),"000"))</f>
        <v/>
      </c>
    </row>
    <row r="103" spans="1:21">
      <c r="A103" s="20" t="s">
        <v>279</v>
      </c>
      <c r="B103" s="32">
        <v>46141</v>
      </c>
      <c r="C103" s="4" t="s">
        <v>50</v>
      </c>
      <c r="D103" s="4" t="s">
        <v>280</v>
      </c>
      <c r="E103" s="4" t="s">
        <v>34</v>
      </c>
      <c r="F103" s="4" t="s">
        <v>35</v>
      </c>
      <c r="G103" s="4" t="s">
        <v>36</v>
      </c>
      <c r="H103" s="20" t="s">
        <v>281</v>
      </c>
      <c r="I103" s="4" t="s">
        <v>65</v>
      </c>
      <c r="J103" s="31">
        <v>100</v>
      </c>
      <c r="K103" s="22">
        <f>IF(I103="","",IF(I103="ENTRADA",ABS(J103),-ABS(J103)))</f>
        <v>-100</v>
      </c>
      <c r="L103" s="4" t="s">
        <v>37</v>
      </c>
      <c r="M103" s="21">
        <v>46517</v>
      </c>
      <c r="N103" s="4">
        <v>59331</v>
      </c>
      <c r="O103" s="4" t="s">
        <v>237</v>
      </c>
      <c r="P103" s="45">
        <v>1651</v>
      </c>
      <c r="Q103" s="56">
        <v>46141</v>
      </c>
      <c r="R103" s="22" t="str">
        <f>IF(H103="","",H103&amp;I103)</f>
        <v>260401-006SALIDA</v>
      </c>
      <c r="S103" s="22" t="str">
        <f>IF(C103="","",C103&amp;I103)</f>
        <v>Tordon 24KSALIDA</v>
      </c>
      <c r="T103" t="str">
        <f>IF(OR(C103="",I103&lt;&gt;"ENTRADA"),"",TEXT(B103,"AAMMDD")&amp;"-"&amp;TEXT(VALUE(SUBSTITUTE(A103,"MOV-","")),"000"))</f>
        <v/>
      </c>
    </row>
    <row r="104" spans="1:21">
      <c r="A104" s="20" t="s">
        <v>282</v>
      </c>
      <c r="B104" s="32">
        <v>46141</v>
      </c>
      <c r="C104" s="4" t="s">
        <v>283</v>
      </c>
      <c r="D104" s="4" t="s">
        <v>284</v>
      </c>
      <c r="E104" s="4" t="s">
        <v>285</v>
      </c>
      <c r="F104" s="4" t="s">
        <v>286</v>
      </c>
      <c r="G104" s="4" t="s">
        <v>83</v>
      </c>
      <c r="H104" s="20" t="str">
        <f>+T104</f>
        <v>260429-102</v>
      </c>
      <c r="I104" s="4" t="s">
        <v>28</v>
      </c>
      <c r="J104" s="31">
        <v>18500</v>
      </c>
      <c r="K104" s="22">
        <f>IF(I104="","",IF(I104="ENTRADA",ABS(J104),-ABS(J104)))</f>
        <v>18500</v>
      </c>
      <c r="L104" s="4" t="s">
        <v>37</v>
      </c>
      <c r="M104" s="32">
        <v>46634</v>
      </c>
      <c r="N104" s="4">
        <v>23869</v>
      </c>
      <c r="O104" s="4"/>
      <c r="P104" s="45">
        <v>14420</v>
      </c>
      <c r="Q104" s="56">
        <v>46141</v>
      </c>
      <c r="R104" s="22" t="str">
        <f>IF(H104="","",H104&amp;I104)</f>
        <v>260429-102ENTRADA</v>
      </c>
      <c r="S104" s="22" t="str">
        <f>IF(C104="","",C104&amp;I104)</f>
        <v>Hydra HumeENTRADA</v>
      </c>
      <c r="T104" t="str">
        <f>IF(OR(C104="",I104&lt;&gt;"ENTRADA"),"",TEXT(B104,"AAMMDD")&amp;"-"&amp;TEXT(VALUE(SUBSTITUTE(A104,"MOV-","")),"000"))</f>
        <v>260429-102</v>
      </c>
      <c r="U104" t="s">
        <v>84</v>
      </c>
    </row>
    <row r="105" spans="1:21">
      <c r="A105" s="20" t="s">
        <v>287</v>
      </c>
      <c r="B105" s="32">
        <v>46141</v>
      </c>
      <c r="C105" s="4" t="s">
        <v>80</v>
      </c>
      <c r="D105" s="4" t="s">
        <v>81</v>
      </c>
      <c r="E105" s="4" t="s">
        <v>25</v>
      </c>
      <c r="F105" s="4" t="s">
        <v>82</v>
      </c>
      <c r="G105" s="4" t="s">
        <v>83</v>
      </c>
      <c r="H105" s="20" t="s">
        <v>151</v>
      </c>
      <c r="I105" s="4" t="s">
        <v>65</v>
      </c>
      <c r="J105" s="31">
        <v>2500</v>
      </c>
      <c r="K105" s="22">
        <f>IF(I105="","",IF(I105="ENTRADA",ABS(J105),-ABS(J105)))</f>
        <v>-2500</v>
      </c>
      <c r="L105" s="4" t="s">
        <v>29</v>
      </c>
      <c r="M105" s="4"/>
      <c r="N105" s="4">
        <v>59332</v>
      </c>
      <c r="O105" s="4" t="s">
        <v>152</v>
      </c>
      <c r="P105" s="45">
        <v>1652</v>
      </c>
      <c r="Q105" s="56">
        <v>46141</v>
      </c>
      <c r="R105" s="22" t="str">
        <f>IF(H105="","",H105&amp;I105)</f>
        <v>260408-013SALIDA</v>
      </c>
      <c r="S105" s="22" t="str">
        <f>IF(C105="","",C105&amp;I105)</f>
        <v>Raigrás E284SALIDA</v>
      </c>
      <c r="T105" t="str">
        <f>IF(OR(C105="",I105&lt;&gt;"ENTRADA"),"",TEXT(B105,"AAMMDD")&amp;"-"&amp;TEXT(VALUE(SUBSTITUTE(A105,"MOV-","")),"000"))</f>
        <v/>
      </c>
    </row>
    <row r="106" spans="1:21">
      <c r="A106" s="20" t="s">
        <v>288</v>
      </c>
      <c r="B106" s="32">
        <v>46141</v>
      </c>
      <c r="C106" s="4" t="s">
        <v>108</v>
      </c>
      <c r="D106" s="4" t="s">
        <v>109</v>
      </c>
      <c r="E106" s="4" t="s">
        <v>25</v>
      </c>
      <c r="F106" s="4" t="s">
        <v>26</v>
      </c>
      <c r="G106" s="4" t="s">
        <v>27</v>
      </c>
      <c r="H106" s="20" t="s">
        <v>278</v>
      </c>
      <c r="I106" s="4" t="s">
        <v>65</v>
      </c>
      <c r="J106" s="31">
        <v>540</v>
      </c>
      <c r="K106" s="22">
        <f>IF(I106="","",IF(I106="ENTRADA",ABS(J106),-ABS(J106)))</f>
        <v>-540</v>
      </c>
      <c r="L106" s="4" t="s">
        <v>29</v>
      </c>
      <c r="M106" s="4"/>
      <c r="N106" s="4">
        <v>59333</v>
      </c>
      <c r="O106" s="4" t="s">
        <v>152</v>
      </c>
      <c r="P106" s="45">
        <v>1653</v>
      </c>
      <c r="Q106" s="56">
        <v>46141</v>
      </c>
      <c r="R106" s="22" t="str">
        <f>IF(H106="","",H106&amp;I106)</f>
        <v>260410-023SALIDA</v>
      </c>
      <c r="S106" s="22" t="str">
        <f>IF(C106="","",C106&amp;I106)</f>
        <v>Colza Hyola 575 CLSALIDA</v>
      </c>
      <c r="T106" t="str">
        <f>IF(OR(C106="",I106&lt;&gt;"ENTRADA"),"",TEXT(B106,"AAMMDD")&amp;"-"&amp;TEXT(VALUE(SUBSTITUTE(A106,"MOV-","")),"000"))</f>
        <v/>
      </c>
    </row>
    <row r="107" spans="1:21">
      <c r="A107" s="20" t="s">
        <v>289</v>
      </c>
      <c r="B107" s="32">
        <v>46141</v>
      </c>
      <c r="C107" s="4" t="s">
        <v>70</v>
      </c>
      <c r="D107" s="4" t="s">
        <v>71</v>
      </c>
      <c r="E107" s="4" t="s">
        <v>70</v>
      </c>
      <c r="F107" s="4"/>
      <c r="G107" s="4" t="s">
        <v>72</v>
      </c>
      <c r="H107" s="20" t="str">
        <f>+T107</f>
        <v>260429-105</v>
      </c>
      <c r="I107" s="4" t="s">
        <v>28</v>
      </c>
      <c r="J107" s="31">
        <v>10</v>
      </c>
      <c r="K107" s="22">
        <f>IF(I107="","",IF(I107="ENTRADA",ABS(J107),-ABS(J107)))</f>
        <v>10</v>
      </c>
      <c r="L107" s="4" t="s">
        <v>73</v>
      </c>
      <c r="M107" s="4"/>
      <c r="N107" s="4">
        <v>3170</v>
      </c>
      <c r="O107" s="4"/>
      <c r="P107" s="45">
        <v>14421</v>
      </c>
      <c r="Q107" s="56">
        <v>46141</v>
      </c>
      <c r="R107" s="22" t="str">
        <f>IF(H107="","",H107&amp;I107)</f>
        <v>260429-105ENTRADA</v>
      </c>
      <c r="S107" s="22" t="str">
        <f>IF(C107="","",C107&amp;I107)</f>
        <v>SilobolsaENTRADA</v>
      </c>
      <c r="T107" t="str">
        <f>IF(OR(C107="",I107&lt;&gt;"ENTRADA"),"",TEXT(B107,"AAMMDD")&amp;"-"&amp;TEXT(VALUE(SUBSTITUTE(A107,"MOV-","")),"000"))</f>
        <v>260429-105</v>
      </c>
    </row>
    <row r="108" spans="1:21">
      <c r="A108" s="20" t="s">
        <v>290</v>
      </c>
      <c r="B108" s="32">
        <v>46141</v>
      </c>
      <c r="C108" s="4" t="s">
        <v>115</v>
      </c>
      <c r="D108" s="4" t="s">
        <v>116</v>
      </c>
      <c r="E108" s="4" t="s">
        <v>34</v>
      </c>
      <c r="F108" s="4" t="s">
        <v>35</v>
      </c>
      <c r="G108" s="4" t="s">
        <v>117</v>
      </c>
      <c r="H108" s="20" t="s">
        <v>120</v>
      </c>
      <c r="I108" s="4" t="s">
        <v>65</v>
      </c>
      <c r="J108" s="31">
        <v>1500</v>
      </c>
      <c r="K108" s="22">
        <f>IF(I108="","",IF(I108="ENTRADA",ABS(J108),-ABS(J108)))</f>
        <v>-1500</v>
      </c>
      <c r="L108" s="4" t="s">
        <v>37</v>
      </c>
      <c r="M108" s="4"/>
      <c r="N108" s="4">
        <v>59334</v>
      </c>
      <c r="O108" s="4" t="s">
        <v>66</v>
      </c>
      <c r="P108" s="45">
        <v>1654</v>
      </c>
      <c r="Q108" s="56">
        <v>46142</v>
      </c>
      <c r="R108" s="22" t="str">
        <f>IF(H108="","",H108&amp;I108)</f>
        <v>260410-025SALIDA</v>
      </c>
      <c r="S108" s="22" t="str">
        <f>IF(C108="","",C108&amp;I108)</f>
        <v>AzukaSALIDA</v>
      </c>
      <c r="T108" t="str">
        <f>IF(OR(C108="",I108&lt;&gt;"ENTRADA"),"",TEXT(B108,"AAMMDD")&amp;"-"&amp;TEXT(VALUE(SUBSTITUTE(A108,"MOV-","")),"000"))</f>
        <v/>
      </c>
    </row>
    <row r="109" spans="1:21">
      <c r="A109" s="20" t="s">
        <v>291</v>
      </c>
      <c r="B109" s="42">
        <v>46141</v>
      </c>
      <c r="C109" s="33" t="s">
        <v>122</v>
      </c>
      <c r="D109" s="33" t="s">
        <v>123</v>
      </c>
      <c r="E109" s="33" t="s">
        <v>34</v>
      </c>
      <c r="F109" s="33" t="s">
        <v>35</v>
      </c>
      <c r="G109" s="33" t="s">
        <v>117</v>
      </c>
      <c r="H109" s="20" t="s">
        <v>203</v>
      </c>
      <c r="I109" s="33" t="s">
        <v>65</v>
      </c>
      <c r="J109" s="37">
        <v>300</v>
      </c>
      <c r="K109" s="22">
        <f>IF(I109="","",IF(I109="ENTRADA",ABS(J109),-ABS(J109)))</f>
        <v>-300</v>
      </c>
      <c r="L109" s="33" t="s">
        <v>37</v>
      </c>
      <c r="M109" s="33"/>
      <c r="N109" s="33">
        <v>59334</v>
      </c>
      <c r="O109" s="33" t="s">
        <v>66</v>
      </c>
      <c r="P109" s="45">
        <v>1654</v>
      </c>
      <c r="Q109" s="56">
        <v>46142</v>
      </c>
      <c r="R109" s="22" t="str">
        <f>IF(H109="","",H109&amp;I109)</f>
        <v>260410-027SALIDA</v>
      </c>
      <c r="S109" s="22" t="str">
        <f>IF(C109="","",C109&amp;I109)</f>
        <v>PardoSALIDA</v>
      </c>
      <c r="T109" t="str">
        <f>IF(OR(C109="",I109&lt;&gt;"ENTRADA"),"",TEXT(B109,"AAMMDD")&amp;"-"&amp;TEXT(VALUE(SUBSTITUTE(A109,"MOV-","")),"000"))</f>
        <v/>
      </c>
    </row>
    <row r="110" spans="1:21">
      <c r="A110" s="20" t="s">
        <v>292</v>
      </c>
      <c r="B110" s="42">
        <v>46141</v>
      </c>
      <c r="C110" s="33" t="s">
        <v>130</v>
      </c>
      <c r="D110" s="33" t="s">
        <v>131</v>
      </c>
      <c r="E110" s="33" t="s">
        <v>132</v>
      </c>
      <c r="F110" s="33"/>
      <c r="G110" s="33" t="s">
        <v>133</v>
      </c>
      <c r="H110" s="20" t="s">
        <v>221</v>
      </c>
      <c r="I110" s="33" t="s">
        <v>65</v>
      </c>
      <c r="J110" s="37">
        <v>60</v>
      </c>
      <c r="K110" s="22">
        <f>IF(I110="","",IF(I110="ENTRADA",ABS(J110),-ABS(J110)))</f>
        <v>-60</v>
      </c>
      <c r="L110" s="33" t="s">
        <v>37</v>
      </c>
      <c r="M110" s="33"/>
      <c r="N110" s="33">
        <v>59334</v>
      </c>
      <c r="O110" s="33" t="s">
        <v>66</v>
      </c>
      <c r="P110" s="45">
        <v>1654</v>
      </c>
      <c r="Q110" s="56">
        <v>46142</v>
      </c>
      <c r="R110" s="22" t="str">
        <f>IF(H110="","",H110&amp;I110)</f>
        <v>260414-029SALIDA</v>
      </c>
      <c r="S110" s="22" t="str">
        <f>IF(C110="","",C110&amp;I110)</f>
        <v>HarrierSALIDA</v>
      </c>
      <c r="T110" t="str">
        <f>IF(OR(C110="",I110&lt;&gt;"ENTRADA"),"",TEXT(B110,"AAMMDD")&amp;"-"&amp;TEXT(VALUE(SUBSTITUTE(A110,"MOV-","")),"000"))</f>
        <v/>
      </c>
    </row>
    <row r="111" spans="1:21">
      <c r="A111" s="20" t="s">
        <v>293</v>
      </c>
      <c r="B111" s="42">
        <v>46141</v>
      </c>
      <c r="C111" s="33" t="s">
        <v>137</v>
      </c>
      <c r="D111" s="33" t="s">
        <v>138</v>
      </c>
      <c r="E111" s="33" t="s">
        <v>132</v>
      </c>
      <c r="F111" s="33"/>
      <c r="G111" s="33" t="s">
        <v>133</v>
      </c>
      <c r="H111" s="20" t="s">
        <v>211</v>
      </c>
      <c r="I111" s="33" t="s">
        <v>65</v>
      </c>
      <c r="J111" s="50">
        <v>15</v>
      </c>
      <c r="K111" s="22">
        <f>IF(I111="","",IF(I111="ENTRADA",ABS(J111),-ABS(J111)))</f>
        <v>-15</v>
      </c>
      <c r="L111" s="33" t="s">
        <v>37</v>
      </c>
      <c r="M111" s="33"/>
      <c r="N111" s="33">
        <v>59334</v>
      </c>
      <c r="O111" s="33" t="s">
        <v>66</v>
      </c>
      <c r="P111" s="45">
        <v>1654</v>
      </c>
      <c r="Q111" s="56">
        <v>46142</v>
      </c>
      <c r="R111" s="22" t="str">
        <f>IF(H111="","",H111&amp;I111)</f>
        <v>260414-030SALIDA</v>
      </c>
      <c r="S111" s="22" t="str">
        <f>IF(C111="","",C111&amp;I111)</f>
        <v>Full controlSALIDA</v>
      </c>
      <c r="T111" t="str">
        <f>IF(OR(C111="",I111&lt;&gt;"ENTRADA"),"",TEXT(B111,"AAMMDD")&amp;"-"&amp;TEXT(VALUE(SUBSTITUTE(A111,"MOV-","")),"000"))</f>
        <v/>
      </c>
    </row>
    <row r="112" spans="1:21">
      <c r="A112" s="20" t="s">
        <v>294</v>
      </c>
      <c r="B112" s="42">
        <v>46141</v>
      </c>
      <c r="C112" s="33" t="s">
        <v>156</v>
      </c>
      <c r="D112" s="33" t="s">
        <v>157</v>
      </c>
      <c r="E112" s="33" t="s">
        <v>25</v>
      </c>
      <c r="F112" s="33" t="s">
        <v>26</v>
      </c>
      <c r="G112" s="33" t="s">
        <v>158</v>
      </c>
      <c r="H112" s="20" t="s">
        <v>295</v>
      </c>
      <c r="I112" s="33" t="s">
        <v>65</v>
      </c>
      <c r="J112" s="37">
        <v>660</v>
      </c>
      <c r="K112" s="22">
        <f>IF(I112="","",IF(I112="ENTRADA",ABS(J112),-ABS(J112)))</f>
        <v>-660</v>
      </c>
      <c r="L112" s="33" t="s">
        <v>29</v>
      </c>
      <c r="M112" s="33"/>
      <c r="N112" s="33">
        <v>59334</v>
      </c>
      <c r="O112" s="33" t="s">
        <v>66</v>
      </c>
      <c r="P112" s="45">
        <v>1654</v>
      </c>
      <c r="Q112" s="56">
        <v>46142</v>
      </c>
      <c r="R112" s="22" t="str">
        <f>IF(H112="","",H112&amp;I112)</f>
        <v>260416-035SALIDA</v>
      </c>
      <c r="S112" s="22" t="str">
        <f>IF(C112="","",C112&amp;I112)</f>
        <v>Colza Nuola 300SALIDA</v>
      </c>
      <c r="T112" t="str">
        <f>IF(OR(C112="",I112&lt;&gt;"ENTRADA"),"",TEXT(B112,"AAMMDD")&amp;"-"&amp;TEXT(VALUE(SUBSTITUTE(A112,"MOV-","")),"000"))</f>
        <v/>
      </c>
    </row>
    <row r="113" spans="1:20">
      <c r="A113" s="20" t="s">
        <v>296</v>
      </c>
      <c r="B113" s="42">
        <v>46141</v>
      </c>
      <c r="C113" s="33" t="s">
        <v>70</v>
      </c>
      <c r="D113" s="33" t="s">
        <v>71</v>
      </c>
      <c r="E113" s="33" t="s">
        <v>70</v>
      </c>
      <c r="F113" s="33"/>
      <c r="G113" s="33" t="s">
        <v>72</v>
      </c>
      <c r="H113" s="20" t="s">
        <v>297</v>
      </c>
      <c r="I113" s="33" t="s">
        <v>65</v>
      </c>
      <c r="J113" s="37">
        <v>10</v>
      </c>
      <c r="K113" s="22">
        <f>IF(I113="","",IF(I113="ENTRADA",ABS(J113),-ABS(J113)))</f>
        <v>-10</v>
      </c>
      <c r="L113" s="33" t="s">
        <v>73</v>
      </c>
      <c r="M113" s="33"/>
      <c r="N113" s="33">
        <v>59334</v>
      </c>
      <c r="O113" s="33" t="s">
        <v>66</v>
      </c>
      <c r="P113" s="45">
        <v>1654</v>
      </c>
      <c r="Q113" s="56">
        <v>46142</v>
      </c>
      <c r="R113" s="22" t="str">
        <f>IF(H113="","",H113&amp;I113)</f>
        <v>260429-105SALIDA</v>
      </c>
      <c r="S113" s="22" t="str">
        <f>IF(C113="","",C113&amp;I113)</f>
        <v>SilobolsaSALIDA</v>
      </c>
      <c r="T113" t="str">
        <f>IF(OR(C113="",I113&lt;&gt;"ENTRADA"),"",TEXT(B113,"AAMMDD")&amp;"-"&amp;TEXT(VALUE(SUBSTITUTE(A113,"MOV-","")),"000"))</f>
        <v/>
      </c>
    </row>
    <row r="114" spans="1:20">
      <c r="A114" s="20" t="s">
        <v>298</v>
      </c>
      <c r="B114" s="44">
        <v>46141</v>
      </c>
      <c r="C114" s="33" t="s">
        <v>299</v>
      </c>
      <c r="D114" s="33" t="s">
        <v>300</v>
      </c>
      <c r="E114" s="33" t="s">
        <v>25</v>
      </c>
      <c r="F114" s="33" t="s">
        <v>165</v>
      </c>
      <c r="G114" s="33" t="s">
        <v>301</v>
      </c>
      <c r="H114" s="20" t="str">
        <f>+T114</f>
        <v>260429-112</v>
      </c>
      <c r="I114" s="33" t="s">
        <v>28</v>
      </c>
      <c r="J114" s="37">
        <v>2840</v>
      </c>
      <c r="K114" s="22">
        <f>IF(I114="","",IF(I114="ENTRADA",ABS(J114),-ABS(J114)))</f>
        <v>2840</v>
      </c>
      <c r="L114" s="33" t="s">
        <v>29</v>
      </c>
      <c r="M114" s="33"/>
      <c r="N114" s="33" t="s">
        <v>302</v>
      </c>
      <c r="O114" s="33"/>
      <c r="P114" s="33">
        <v>14443</v>
      </c>
      <c r="Q114" s="42">
        <v>46147</v>
      </c>
      <c r="R114" s="22" t="str">
        <f>IF(H114="","",H114&amp;I114)</f>
        <v>260429-112ENTRADA</v>
      </c>
      <c r="S114" s="22" t="str">
        <f>IF(C114="","",C114&amp;I114)</f>
        <v>Festuca elodie curadaENTRADA</v>
      </c>
      <c r="T114" t="str">
        <f>IF(OR(C114="",I114&lt;&gt;"ENTRADA"),"",TEXT(B114,"AAMMDD")&amp;"-"&amp;TEXT(VALUE(SUBSTITUTE(A114,"MOV-","")),"000"))</f>
        <v>260429-112</v>
      </c>
    </row>
    <row r="115" spans="1:20">
      <c r="A115" s="20" t="s">
        <v>303</v>
      </c>
      <c r="B115" s="42">
        <v>46141</v>
      </c>
      <c r="C115" s="33" t="s">
        <v>304</v>
      </c>
      <c r="D115" s="33" t="s">
        <v>305</v>
      </c>
      <c r="E115" s="33" t="s">
        <v>25</v>
      </c>
      <c r="F115" s="33" t="s">
        <v>188</v>
      </c>
      <c r="G115" s="33" t="s">
        <v>301</v>
      </c>
      <c r="H115" s="20" t="str">
        <f>+T115</f>
        <v>260429-113</v>
      </c>
      <c r="I115" s="33" t="s">
        <v>28</v>
      </c>
      <c r="J115" s="37">
        <v>300</v>
      </c>
      <c r="K115" s="22">
        <f>IF(I115="","",IF(I115="ENTRADA",ABS(J115),-ABS(J115)))</f>
        <v>300</v>
      </c>
      <c r="L115" s="33" t="s">
        <v>29</v>
      </c>
      <c r="M115" s="33"/>
      <c r="N115" s="33" t="s">
        <v>302</v>
      </c>
      <c r="O115" s="33"/>
      <c r="P115" s="33">
        <v>14443</v>
      </c>
      <c r="Q115" s="42">
        <v>46147</v>
      </c>
      <c r="R115" s="22" t="str">
        <f>IF(H115="","",H115&amp;I115)</f>
        <v>260429-113ENTRADA</v>
      </c>
      <c r="S115" s="22" t="str">
        <f>IF(C115="","",C115&amp;I115)</f>
        <v>Trebol blanco Zapican inoculado ENTRADA</v>
      </c>
      <c r="T115" t="str">
        <f>IF(OR(C115="",I115&lt;&gt;"ENTRADA"),"",TEXT(B115,"AAMMDD")&amp;"-"&amp;TEXT(VALUE(SUBSTITUTE(A115,"MOV-","")),"000"))</f>
        <v>260429-113</v>
      </c>
    </row>
    <row r="116" spans="1:20">
      <c r="A116" s="20" t="s">
        <v>306</v>
      </c>
      <c r="B116" s="42">
        <v>46142</v>
      </c>
      <c r="C116" s="33" t="s">
        <v>108</v>
      </c>
      <c r="D116" s="33" t="s">
        <v>109</v>
      </c>
      <c r="E116" s="33" t="s">
        <v>25</v>
      </c>
      <c r="F116" s="33" t="s">
        <v>26</v>
      </c>
      <c r="G116" s="33" t="s">
        <v>27</v>
      </c>
      <c r="H116" s="20" t="s">
        <v>278</v>
      </c>
      <c r="I116" s="33" t="s">
        <v>65</v>
      </c>
      <c r="J116" s="37">
        <v>200</v>
      </c>
      <c r="K116" s="22">
        <f>IF(I116="","",IF(I116="ENTRADA",ABS(J116),-ABS(J116)))</f>
        <v>-200</v>
      </c>
      <c r="L116" s="33" t="s">
        <v>29</v>
      </c>
      <c r="M116" s="33"/>
      <c r="N116" s="33">
        <v>59335</v>
      </c>
      <c r="O116" s="33" t="s">
        <v>152</v>
      </c>
      <c r="P116" s="33">
        <v>1656</v>
      </c>
      <c r="Q116" s="42">
        <v>46148</v>
      </c>
      <c r="R116" s="22" t="str">
        <f>IF(H116="","",H116&amp;I116)</f>
        <v>260410-023SALIDA</v>
      </c>
      <c r="S116" s="22" t="str">
        <f>IF(C116="","",C116&amp;I116)</f>
        <v>Colza Hyola 575 CLSALIDA</v>
      </c>
      <c r="T116" t="str">
        <f>IF(OR(C116="",I116&lt;&gt;"ENTRADA"),"",TEXT(B116,"AAMMDD")&amp;"-"&amp;TEXT(VALUE(SUBSTITUTE(A116,"MOV-","")),"000"))</f>
        <v/>
      </c>
    </row>
    <row r="117" spans="1:20">
      <c r="A117" s="20" t="s">
        <v>307</v>
      </c>
      <c r="B117" s="44">
        <v>46146</v>
      </c>
      <c r="C117" s="33" t="s">
        <v>178</v>
      </c>
      <c r="D117" s="33" t="s">
        <v>179</v>
      </c>
      <c r="E117" s="33" t="s">
        <v>25</v>
      </c>
      <c r="F117" s="33" t="s">
        <v>165</v>
      </c>
      <c r="G117" s="33" t="s">
        <v>180</v>
      </c>
      <c r="H117" s="20" t="s">
        <v>308</v>
      </c>
      <c r="I117" s="33" t="s">
        <v>65</v>
      </c>
      <c r="J117" s="37">
        <v>3900</v>
      </c>
      <c r="K117" s="22">
        <f>IF(I117="","",IF(I117="ENTRADA",ABS(J117),-ABS(J117)))</f>
        <v>-3900</v>
      </c>
      <c r="L117" s="33" t="s">
        <v>29</v>
      </c>
      <c r="M117" s="33"/>
      <c r="N117" s="33">
        <v>59336</v>
      </c>
      <c r="O117" s="33" t="s">
        <v>309</v>
      </c>
      <c r="P117" s="33">
        <v>1658</v>
      </c>
      <c r="Q117" s="42">
        <v>46148</v>
      </c>
      <c r="R117" s="22" t="str">
        <f>IF(H117="","",H117&amp;I117)</f>
        <v>260417-041SALIDA</v>
      </c>
      <c r="S117" s="22" t="str">
        <f>IF(C117="","",C117&amp;I117)</f>
        <v>Festuca Sortija C2 SALIDA</v>
      </c>
      <c r="T117" t="str">
        <f>IF(OR(C117="",I117&lt;&gt;"ENTRADA"),"",TEXT(B117,"AAMMDD")&amp;"-"&amp;TEXT(VALUE(SUBSTITUTE(A117,"MOV-","")),"000"))</f>
        <v/>
      </c>
    </row>
    <row r="118" spans="1:20">
      <c r="A118" s="20" t="s">
        <v>310</v>
      </c>
      <c r="B118" s="44">
        <v>46146</v>
      </c>
      <c r="C118" s="33" t="s">
        <v>178</v>
      </c>
      <c r="D118" s="33" t="s">
        <v>179</v>
      </c>
      <c r="E118" s="33" t="s">
        <v>25</v>
      </c>
      <c r="F118" s="33" t="s">
        <v>165</v>
      </c>
      <c r="G118" s="33" t="s">
        <v>180</v>
      </c>
      <c r="H118" s="20" t="s">
        <v>308</v>
      </c>
      <c r="I118" s="33" t="s">
        <v>65</v>
      </c>
      <c r="J118" s="37">
        <v>1800</v>
      </c>
      <c r="K118" s="22">
        <f>IF(I118="","",IF(I118="ENTRADA",ABS(J118),-ABS(J118)))</f>
        <v>-1800</v>
      </c>
      <c r="L118" s="33" t="s">
        <v>29</v>
      </c>
      <c r="M118" s="33"/>
      <c r="N118" s="33">
        <v>59336</v>
      </c>
      <c r="O118" s="33" t="s">
        <v>311</v>
      </c>
      <c r="P118" s="33">
        <v>1659</v>
      </c>
      <c r="Q118" s="42">
        <v>46148</v>
      </c>
      <c r="R118" s="22" t="str">
        <f>IF(H118="","",H118&amp;I118)</f>
        <v>260417-041SALIDA</v>
      </c>
      <c r="S118" s="22" t="str">
        <f>IF(C118="","",C118&amp;I118)</f>
        <v>Festuca Sortija C2 SALIDA</v>
      </c>
      <c r="T118" t="str">
        <f>IF(OR(C118="",I118&lt;&gt;"ENTRADA"),"",TEXT(B118,"AAMMDD")&amp;"-"&amp;TEXT(VALUE(SUBSTITUTE(A118,"MOV-","")),"000"))</f>
        <v/>
      </c>
    </row>
    <row r="119" spans="1:20">
      <c r="A119" s="20" t="s">
        <v>312</v>
      </c>
      <c r="B119" s="42">
        <v>46146</v>
      </c>
      <c r="C119" s="33" t="s">
        <v>256</v>
      </c>
      <c r="D119" s="33" t="s">
        <v>257</v>
      </c>
      <c r="E119" s="33" t="s">
        <v>25</v>
      </c>
      <c r="F119" s="33" t="s">
        <v>258</v>
      </c>
      <c r="G119" s="33" t="s">
        <v>259</v>
      </c>
      <c r="H119" s="20" t="s">
        <v>313</v>
      </c>
      <c r="I119" s="33" t="s">
        <v>65</v>
      </c>
      <c r="J119" s="37">
        <v>3200</v>
      </c>
      <c r="K119" s="22">
        <f>IF(I119="","",IF(I119="ENTRADA",ABS(J119),-ABS(J119)))</f>
        <v>-3200</v>
      </c>
      <c r="L119" s="33" t="s">
        <v>29</v>
      </c>
      <c r="M119" s="33"/>
      <c r="N119" s="33">
        <v>59336</v>
      </c>
      <c r="O119" s="33" t="s">
        <v>309</v>
      </c>
      <c r="P119" s="33">
        <v>1658</v>
      </c>
      <c r="Q119" s="42">
        <v>46148</v>
      </c>
      <c r="R119" s="22" t="str">
        <f>IF(H119="","",H119&amp;I119)</f>
        <v>260424-088SALIDA</v>
      </c>
      <c r="S119" s="22" t="str">
        <f>IF(C119="","",C119&amp;I119)</f>
        <v>Lotus Nilo htSALIDA</v>
      </c>
      <c r="T119" t="str">
        <f>IF(OR(C119="",I119&lt;&gt;"ENTRADA"),"",TEXT(B119,"AAMMDD")&amp;"-"&amp;TEXT(VALUE(SUBSTITUTE(A119,"MOV-","")),"000"))</f>
        <v/>
      </c>
    </row>
    <row r="120" spans="1:20">
      <c r="A120" s="20" t="s">
        <v>314</v>
      </c>
      <c r="B120" s="42">
        <v>46146</v>
      </c>
      <c r="C120" s="33" t="s">
        <v>172</v>
      </c>
      <c r="D120" s="33" t="s">
        <v>173</v>
      </c>
      <c r="E120" s="33" t="s">
        <v>25</v>
      </c>
      <c r="F120" s="33" t="s">
        <v>174</v>
      </c>
      <c r="G120" s="33" t="s">
        <v>166</v>
      </c>
      <c r="H120" s="20" t="s">
        <v>315</v>
      </c>
      <c r="I120" s="33" t="s">
        <v>65</v>
      </c>
      <c r="J120" s="37">
        <v>325</v>
      </c>
      <c r="K120" s="22">
        <f>IF(I120="","",IF(I120="ENTRADA",ABS(J120),-ABS(J120)))</f>
        <v>-325</v>
      </c>
      <c r="L120" s="33" t="s">
        <v>29</v>
      </c>
      <c r="M120" s="33"/>
      <c r="N120" s="33">
        <v>59336</v>
      </c>
      <c r="O120" s="33" t="s">
        <v>309</v>
      </c>
      <c r="P120" s="33">
        <v>1658</v>
      </c>
      <c r="Q120" s="42">
        <v>46148</v>
      </c>
      <c r="R120" s="22" t="str">
        <f>IF(H120="","",H120&amp;I120)</f>
        <v>260417-039SALIDA</v>
      </c>
      <c r="S120" s="22" t="str">
        <f>IF(C120="","",C120&amp;I120)</f>
        <v>Achicora Inia NovaSALIDA</v>
      </c>
      <c r="T120" t="str">
        <f>IF(OR(C120="",I120&lt;&gt;"ENTRADA"),"",TEXT(B120,"AAMMDD")&amp;"-"&amp;TEXT(VALUE(SUBSTITUTE(A120,"MOV-","")),"000"))</f>
        <v/>
      </c>
    </row>
    <row r="121" spans="1:20">
      <c r="A121" s="20" t="s">
        <v>316</v>
      </c>
      <c r="B121" s="44">
        <v>46146</v>
      </c>
      <c r="C121" s="33" t="s">
        <v>164</v>
      </c>
      <c r="D121" s="33" t="s">
        <v>164</v>
      </c>
      <c r="E121" s="33" t="s">
        <v>25</v>
      </c>
      <c r="F121" s="33" t="s">
        <v>165</v>
      </c>
      <c r="G121" s="33" t="s">
        <v>166</v>
      </c>
      <c r="H121" s="20" t="s">
        <v>317</v>
      </c>
      <c r="I121" s="33" t="s">
        <v>65</v>
      </c>
      <c r="J121" s="37">
        <v>3400</v>
      </c>
      <c r="K121" s="22">
        <f>IF(I121="","",IF(I121="ENTRADA",ABS(J121),-ABS(J121)))</f>
        <v>-3400</v>
      </c>
      <c r="L121" s="33" t="s">
        <v>29</v>
      </c>
      <c r="M121" s="33"/>
      <c r="N121" s="33">
        <v>59336</v>
      </c>
      <c r="O121" s="33" t="s">
        <v>311</v>
      </c>
      <c r="P121" s="33">
        <v>1659</v>
      </c>
      <c r="Q121" s="42">
        <v>46148</v>
      </c>
      <c r="R121" s="22" t="str">
        <f>IF(H121="","",H121&amp;I121)</f>
        <v>260417-037SALIDA</v>
      </c>
      <c r="S121" s="22" t="str">
        <f>IF(C121="","",C121&amp;I121)</f>
        <v>Festuca CarapeSALIDA</v>
      </c>
      <c r="T121" t="str">
        <f>IF(OR(C121="",I121&lt;&gt;"ENTRADA"),"",TEXT(B121,"AAMMDD")&amp;"-"&amp;TEXT(VALUE(SUBSTITUTE(A121,"MOV-","")),"000"))</f>
        <v/>
      </c>
    </row>
    <row r="122" spans="1:20">
      <c r="A122" s="20" t="s">
        <v>318</v>
      </c>
      <c r="B122" s="42">
        <v>46146</v>
      </c>
      <c r="C122" s="33" t="s">
        <v>186</v>
      </c>
      <c r="D122" s="33" t="s">
        <v>187</v>
      </c>
      <c r="E122" s="33" t="s">
        <v>25</v>
      </c>
      <c r="F122" s="33" t="s">
        <v>188</v>
      </c>
      <c r="G122" s="33" t="s">
        <v>180</v>
      </c>
      <c r="H122" s="20" t="s">
        <v>319</v>
      </c>
      <c r="I122" s="33" t="s">
        <v>65</v>
      </c>
      <c r="J122" s="37">
        <v>300</v>
      </c>
      <c r="K122" s="22">
        <f>IF(I122="","",IF(I122="ENTRADA",ABS(J122),-ABS(J122)))</f>
        <v>-300</v>
      </c>
      <c r="L122" s="33" t="s">
        <v>29</v>
      </c>
      <c r="M122" s="33"/>
      <c r="N122" s="33">
        <v>59336</v>
      </c>
      <c r="O122" s="33" t="s">
        <v>309</v>
      </c>
      <c r="P122" s="33">
        <v>1658</v>
      </c>
      <c r="Q122" s="42">
        <v>46148</v>
      </c>
      <c r="R122" s="22" t="str">
        <f>IF(H122="","",H122&amp;I122)</f>
        <v>260417-043SALIDA</v>
      </c>
      <c r="S122" s="22" t="str">
        <f>IF(C122="","",C122&amp;I122)</f>
        <v>Trebol Blanco E ZapicanSALIDA</v>
      </c>
      <c r="T122" t="str">
        <f>IF(OR(C122="",I122&lt;&gt;"ENTRADA"),"",TEXT(B122,"AAMMDD")&amp;"-"&amp;TEXT(VALUE(SUBSTITUTE(A122,"MOV-","")),"000"))</f>
        <v/>
      </c>
    </row>
    <row r="123" spans="1:20">
      <c r="A123" s="20" t="s">
        <v>320</v>
      </c>
      <c r="B123" s="42">
        <v>46146</v>
      </c>
      <c r="C123" s="33" t="s">
        <v>190</v>
      </c>
      <c r="D123" s="33" t="s">
        <v>191</v>
      </c>
      <c r="E123" s="33" t="s">
        <v>25</v>
      </c>
      <c r="F123" s="33" t="s">
        <v>192</v>
      </c>
      <c r="G123" s="33" t="s">
        <v>180</v>
      </c>
      <c r="H123" s="20" t="s">
        <v>321</v>
      </c>
      <c r="I123" s="33" t="s">
        <v>65</v>
      </c>
      <c r="J123" s="37">
        <v>450</v>
      </c>
      <c r="K123" s="22">
        <f>IF(I123="","",IF(I123="ENTRADA",ABS(J123),-ABS(J123)))</f>
        <v>-450</v>
      </c>
      <c r="L123" s="33" t="s">
        <v>29</v>
      </c>
      <c r="M123" s="33"/>
      <c r="N123" s="33">
        <v>59337</v>
      </c>
      <c r="O123" s="33" t="s">
        <v>309</v>
      </c>
      <c r="P123" s="33">
        <v>1658</v>
      </c>
      <c r="Q123" s="42">
        <v>46148</v>
      </c>
      <c r="R123" s="22" t="str">
        <f>IF(H123="","",H123&amp;I123)</f>
        <v>260417-044SALIDA</v>
      </c>
      <c r="S123" s="22" t="str">
        <f>IF(C123="","",C123&amp;I123)</f>
        <v>Trebol Rojo E116SALIDA</v>
      </c>
      <c r="T123" t="str">
        <f>IF(OR(C123="",I123&lt;&gt;"ENTRADA"),"",TEXT(B123,"AAMMDD")&amp;"-"&amp;TEXT(VALUE(SUBSTITUTE(A123,"MOV-","")),"000"))</f>
        <v/>
      </c>
    </row>
    <row r="124" spans="1:20">
      <c r="A124" s="20" t="s">
        <v>322</v>
      </c>
      <c r="B124" s="42">
        <v>46146</v>
      </c>
      <c r="C124" s="33" t="s">
        <v>261</v>
      </c>
      <c r="D124" s="33" t="s">
        <v>262</v>
      </c>
      <c r="E124" s="33" t="s">
        <v>25</v>
      </c>
      <c r="F124" s="33" t="s">
        <v>184</v>
      </c>
      <c r="G124" s="33" t="s">
        <v>259</v>
      </c>
      <c r="H124" s="20" t="s">
        <v>323</v>
      </c>
      <c r="I124" s="33" t="s">
        <v>65</v>
      </c>
      <c r="J124" s="37">
        <v>1200</v>
      </c>
      <c r="K124" s="22">
        <f>IF(I124="","",IF(I124="ENTRADA",ABS(J124),-ABS(J124)))</f>
        <v>-1200</v>
      </c>
      <c r="L124" s="33" t="s">
        <v>29</v>
      </c>
      <c r="M124" s="33"/>
      <c r="N124" s="33">
        <v>59337</v>
      </c>
      <c r="O124" s="33" t="s">
        <v>309</v>
      </c>
      <c r="P124" s="33">
        <v>1658</v>
      </c>
      <c r="Q124" s="42">
        <v>46148</v>
      </c>
      <c r="R124" s="22" t="str">
        <f>IF(H124="","",H124&amp;I124)</f>
        <v>260424-089SALIDA</v>
      </c>
      <c r="S124" s="22" t="str">
        <f>IF(C124="","",C124&amp;I124)</f>
        <v>Dactylis inia perseoSALIDA</v>
      </c>
      <c r="T124" t="str">
        <f>IF(OR(C124="",I124&lt;&gt;"ENTRADA"),"",TEXT(B124,"AAMMDD")&amp;"-"&amp;TEXT(VALUE(SUBSTITUTE(A124,"MOV-","")),"000"))</f>
        <v/>
      </c>
    </row>
    <row r="125" spans="1:20">
      <c r="A125" s="20" t="s">
        <v>324</v>
      </c>
      <c r="B125" s="42">
        <v>46146</v>
      </c>
      <c r="C125" s="33" t="s">
        <v>194</v>
      </c>
      <c r="D125" s="33" t="s">
        <v>194</v>
      </c>
      <c r="E125" s="33" t="s">
        <v>25</v>
      </c>
      <c r="F125" s="33" t="s">
        <v>195</v>
      </c>
      <c r="G125" s="33" t="s">
        <v>180</v>
      </c>
      <c r="H125" s="20" t="s">
        <v>325</v>
      </c>
      <c r="I125" s="33" t="s">
        <v>65</v>
      </c>
      <c r="J125" s="37">
        <v>275</v>
      </c>
      <c r="K125" s="22">
        <f>IF(I125="","",IF(I125="ENTRADA",ABS(J125),-ABS(J125)))</f>
        <v>-275</v>
      </c>
      <c r="L125" s="33" t="s">
        <v>29</v>
      </c>
      <c r="M125" s="33"/>
      <c r="N125" s="33">
        <v>59337</v>
      </c>
      <c r="O125" s="33" t="s">
        <v>309</v>
      </c>
      <c r="P125" s="33">
        <v>1658</v>
      </c>
      <c r="Q125" s="42">
        <v>46148</v>
      </c>
      <c r="R125" s="22" t="str">
        <f>IF(H125="","",H125&amp;I125)</f>
        <v>260417-045SALIDA</v>
      </c>
      <c r="S125" s="22" t="str">
        <f>IF(C125="","",C125&amp;I125)</f>
        <v>Phalaris Stockman CombSALIDA</v>
      </c>
      <c r="T125" t="str">
        <f>IF(OR(C125="",I125&lt;&gt;"ENTRADA"),"",TEXT(B125,"AAMMDD")&amp;"-"&amp;TEXT(VALUE(SUBSTITUTE(A125,"MOV-","")),"000"))</f>
        <v/>
      </c>
    </row>
    <row r="126" spans="1:20">
      <c r="A126" s="20" t="s">
        <v>326</v>
      </c>
      <c r="B126" s="42">
        <v>46146</v>
      </c>
      <c r="C126" s="33" t="s">
        <v>228</v>
      </c>
      <c r="D126" s="33" t="s">
        <v>229</v>
      </c>
      <c r="E126" s="33" t="s">
        <v>25</v>
      </c>
      <c r="F126" s="33" t="s">
        <v>26</v>
      </c>
      <c r="G126" s="33" t="s">
        <v>27</v>
      </c>
      <c r="H126" s="20" t="s">
        <v>327</v>
      </c>
      <c r="I126" s="33" t="s">
        <v>65</v>
      </c>
      <c r="J126" s="37">
        <v>1500</v>
      </c>
      <c r="K126" s="22">
        <f>IF(I126="","",IF(I126="ENTRADA",ABS(J126),-ABS(J126)))</f>
        <v>-1500</v>
      </c>
      <c r="L126" s="33" t="s">
        <v>29</v>
      </c>
      <c r="M126" s="33"/>
      <c r="N126" s="33">
        <v>59337</v>
      </c>
      <c r="O126" s="33" t="s">
        <v>309</v>
      </c>
      <c r="P126" s="33">
        <v>1658</v>
      </c>
      <c r="Q126" s="42">
        <v>46148</v>
      </c>
      <c r="R126" s="22" t="str">
        <f>IF(H126="","",H126&amp;I126)</f>
        <v>260421-067SALIDA</v>
      </c>
      <c r="S126" s="22" t="str">
        <f>IF(C126="","",C126&amp;I126)</f>
        <v>Colza continuum ClSALIDA</v>
      </c>
      <c r="T126" t="str">
        <f>IF(OR(C126="",I126&lt;&gt;"ENTRADA"),"",TEXT(B126,"AAMMDD")&amp;"-"&amp;TEXT(VALUE(SUBSTITUTE(A126,"MOV-","")),"000"))</f>
        <v/>
      </c>
    </row>
    <row r="127" spans="1:20">
      <c r="A127" s="20" t="s">
        <v>328</v>
      </c>
      <c r="B127" s="42">
        <v>46146</v>
      </c>
      <c r="C127" s="33" t="s">
        <v>231</v>
      </c>
      <c r="D127" s="33" t="s">
        <v>231</v>
      </c>
      <c r="E127" s="33" t="s">
        <v>25</v>
      </c>
      <c r="F127" s="33" t="s">
        <v>26</v>
      </c>
      <c r="G127" s="33" t="s">
        <v>27</v>
      </c>
      <c r="H127" s="20" t="s">
        <v>329</v>
      </c>
      <c r="I127" s="33" t="s">
        <v>65</v>
      </c>
      <c r="J127" s="37">
        <v>1180</v>
      </c>
      <c r="K127" s="22">
        <f>IF(I127="","",IF(I127="ENTRADA",ABS(J127),-ABS(J127)))</f>
        <v>-1180</v>
      </c>
      <c r="L127" s="33" t="s">
        <v>29</v>
      </c>
      <c r="M127" s="33"/>
      <c r="N127" s="33">
        <v>59337</v>
      </c>
      <c r="O127" s="33" t="s">
        <v>309</v>
      </c>
      <c r="P127" s="33">
        <v>1658</v>
      </c>
      <c r="Q127" s="42">
        <v>46148</v>
      </c>
      <c r="R127" s="22" t="str">
        <f>IF(H127="","",H127&amp;I127)</f>
        <v>260421-068SALIDA</v>
      </c>
      <c r="S127" s="22" t="str">
        <f>IF(C127="","",C127&amp;I127)</f>
        <v>Colza Hyola Solstice clSALIDA</v>
      </c>
      <c r="T127" t="str">
        <f>IF(OR(C127="",I127&lt;&gt;"ENTRADA"),"",TEXT(B127,"AAMMDD")&amp;"-"&amp;TEXT(VALUE(SUBSTITUTE(A127,"MOV-","")),"000"))</f>
        <v/>
      </c>
    </row>
    <row r="128" spans="1:20">
      <c r="A128" s="20" t="s">
        <v>330</v>
      </c>
      <c r="B128" s="42">
        <v>46146</v>
      </c>
      <c r="C128" s="33" t="s">
        <v>108</v>
      </c>
      <c r="D128" s="33" t="s">
        <v>109</v>
      </c>
      <c r="E128" s="33" t="s">
        <v>25</v>
      </c>
      <c r="F128" s="33" t="s">
        <v>26</v>
      </c>
      <c r="G128" s="33" t="s">
        <v>27</v>
      </c>
      <c r="H128" s="20" t="s">
        <v>278</v>
      </c>
      <c r="I128" s="33" t="s">
        <v>65</v>
      </c>
      <c r="J128" s="37">
        <v>1080</v>
      </c>
      <c r="K128" s="22">
        <f>IF(I128="","",IF(I128="ENTRADA",ABS(J128),-ABS(J128)))</f>
        <v>-1080</v>
      </c>
      <c r="L128" s="33" t="s">
        <v>29</v>
      </c>
      <c r="M128" s="33"/>
      <c r="N128" s="33">
        <v>59337</v>
      </c>
      <c r="O128" s="33" t="s">
        <v>331</v>
      </c>
      <c r="P128" s="33">
        <v>1660</v>
      </c>
      <c r="Q128" s="42">
        <v>46148</v>
      </c>
      <c r="R128" s="22" t="str">
        <f>IF(H128="","",H128&amp;I128)</f>
        <v>260410-023SALIDA</v>
      </c>
      <c r="S128" s="22" t="str">
        <f>IF(C128="","",C128&amp;I128)</f>
        <v>Colza Hyola 575 CLSALIDA</v>
      </c>
      <c r="T128" t="str">
        <f>IF(OR(C128="",I128&lt;&gt;"ENTRADA"),"",TEXT(B128,"AAMMDD")&amp;"-"&amp;TEXT(VALUE(SUBSTITUTE(A128,"MOV-","")),"000"))</f>
        <v/>
      </c>
    </row>
    <row r="129" spans="1:20">
      <c r="A129" s="20" t="s">
        <v>332</v>
      </c>
      <c r="B129" s="42">
        <v>46146</v>
      </c>
      <c r="C129" s="33" t="s">
        <v>80</v>
      </c>
      <c r="D129" s="33" t="s">
        <v>81</v>
      </c>
      <c r="E129" s="33" t="s">
        <v>25</v>
      </c>
      <c r="F129" s="33" t="s">
        <v>82</v>
      </c>
      <c r="G129" s="33" t="s">
        <v>83</v>
      </c>
      <c r="H129" s="20" t="s">
        <v>151</v>
      </c>
      <c r="I129" s="33" t="s">
        <v>65</v>
      </c>
      <c r="J129" s="37">
        <v>625</v>
      </c>
      <c r="K129" s="22">
        <f>IF(I129="","",IF(I129="ENTRADA",ABS(J129),-ABS(J129)))</f>
        <v>-625</v>
      </c>
      <c r="L129" s="33" t="s">
        <v>29</v>
      </c>
      <c r="M129" s="33"/>
      <c r="N129" s="33">
        <v>59340</v>
      </c>
      <c r="O129" s="33" t="s">
        <v>152</v>
      </c>
      <c r="P129" s="33">
        <v>1661</v>
      </c>
      <c r="Q129" s="42">
        <v>46148</v>
      </c>
      <c r="R129" s="22" t="str">
        <f>IF(H129="","",H129&amp;I129)</f>
        <v>260408-013SALIDA</v>
      </c>
      <c r="S129" s="22" t="str">
        <f>IF(C129="","",C129&amp;I129)</f>
        <v>Raigrás E284SALIDA</v>
      </c>
      <c r="T129" t="str">
        <f>IF(OR(C129="",I129&lt;&gt;"ENTRADA"),"",TEXT(B129,"AAMMDD")&amp;"-"&amp;TEXT(VALUE(SUBSTITUTE(A129,"MOV-","")),"000"))</f>
        <v/>
      </c>
    </row>
    <row r="130" spans="1:20">
      <c r="A130" s="20" t="s">
        <v>333</v>
      </c>
      <c r="B130" s="42">
        <v>46146</v>
      </c>
      <c r="C130" s="33" t="s">
        <v>115</v>
      </c>
      <c r="D130" s="33" t="s">
        <v>116</v>
      </c>
      <c r="E130" s="33" t="s">
        <v>34</v>
      </c>
      <c r="F130" s="33" t="s">
        <v>35</v>
      </c>
      <c r="G130" s="33" t="s">
        <v>117</v>
      </c>
      <c r="H130" s="20" t="s">
        <v>120</v>
      </c>
      <c r="I130" s="33" t="s">
        <v>65</v>
      </c>
      <c r="J130" s="37">
        <v>2880</v>
      </c>
      <c r="K130" s="22">
        <f>IF(I130="","",IF(I130="ENTRADA",ABS(J130),-ABS(J130)))</f>
        <v>-2880</v>
      </c>
      <c r="L130" s="33" t="s">
        <v>37</v>
      </c>
      <c r="M130" s="33"/>
      <c r="N130" s="33">
        <v>59339</v>
      </c>
      <c r="O130" s="33" t="s">
        <v>213</v>
      </c>
      <c r="P130" s="33">
        <v>1662</v>
      </c>
      <c r="Q130" s="42">
        <v>46148</v>
      </c>
      <c r="R130" s="22" t="str">
        <f>IF(H130="","",H130&amp;I130)</f>
        <v>260410-025SALIDA</v>
      </c>
      <c r="S130" s="22" t="str">
        <f>IF(C130="","",C130&amp;I130)</f>
        <v>AzukaSALIDA</v>
      </c>
      <c r="T130" t="str">
        <f>IF(OR(C130="",I130&lt;&gt;"ENTRADA"),"",TEXT(B130,"AAMMDD")&amp;"-"&amp;TEXT(VALUE(SUBSTITUTE(A130,"MOV-","")),"000"))</f>
        <v/>
      </c>
    </row>
    <row r="131" spans="1:20">
      <c r="A131" s="20" t="s">
        <v>334</v>
      </c>
      <c r="B131" s="42">
        <v>46146</v>
      </c>
      <c r="C131" s="33" t="s">
        <v>122</v>
      </c>
      <c r="D131" s="33" t="s">
        <v>123</v>
      </c>
      <c r="E131" s="33" t="s">
        <v>34</v>
      </c>
      <c r="F131" s="33" t="s">
        <v>35</v>
      </c>
      <c r="G131" s="33" t="s">
        <v>117</v>
      </c>
      <c r="H131" s="20" t="s">
        <v>203</v>
      </c>
      <c r="I131" s="33" t="s">
        <v>65</v>
      </c>
      <c r="J131" s="37">
        <v>1000</v>
      </c>
      <c r="K131" s="22">
        <f>IF(I131="","",IF(I131="ENTRADA",ABS(J131),-ABS(J131)))</f>
        <v>-1000</v>
      </c>
      <c r="L131" s="33" t="s">
        <v>37</v>
      </c>
      <c r="M131" s="33"/>
      <c r="N131" s="33">
        <v>59339</v>
      </c>
      <c r="O131" s="33" t="s">
        <v>213</v>
      </c>
      <c r="P131" s="33">
        <v>1662</v>
      </c>
      <c r="Q131" s="42">
        <v>46148</v>
      </c>
      <c r="R131" s="22" t="str">
        <f>IF(H131="","",H131&amp;I131)</f>
        <v>260410-027SALIDA</v>
      </c>
      <c r="S131" s="22" t="str">
        <f>IF(C131="","",C131&amp;I131)</f>
        <v>PardoSALIDA</v>
      </c>
      <c r="T131" t="str">
        <f>IF(OR(C131="",I131&lt;&gt;"ENTRADA"),"",TEXT(B131,"AAMMDD")&amp;"-"&amp;TEXT(VALUE(SUBSTITUTE(A131,"MOV-","")),"000"))</f>
        <v/>
      </c>
    </row>
    <row r="132" spans="1:20">
      <c r="A132" s="20" t="s">
        <v>335</v>
      </c>
      <c r="B132" s="42">
        <v>46146</v>
      </c>
      <c r="C132" s="33" t="s">
        <v>86</v>
      </c>
      <c r="D132" s="33" t="s">
        <v>87</v>
      </c>
      <c r="E132" s="33" t="s">
        <v>34</v>
      </c>
      <c r="F132" s="33" t="s">
        <v>35</v>
      </c>
      <c r="G132" s="33" t="s">
        <v>36</v>
      </c>
      <c r="H132" s="20" t="s">
        <v>100</v>
      </c>
      <c r="I132" s="33" t="s">
        <v>65</v>
      </c>
      <c r="J132" s="37">
        <v>200</v>
      </c>
      <c r="K132" s="22">
        <f>IF(I132="","",IF(I132="ENTRADA",ABS(J132),-ABS(J132)))</f>
        <v>-200</v>
      </c>
      <c r="L132" s="33" t="s">
        <v>37</v>
      </c>
      <c r="M132" s="33"/>
      <c r="N132" s="33">
        <v>59339</v>
      </c>
      <c r="O132" s="33" t="s">
        <v>213</v>
      </c>
      <c r="P132" s="33">
        <v>1662</v>
      </c>
      <c r="Q132" s="42">
        <v>46148</v>
      </c>
      <c r="R132" s="22" t="str">
        <f>IF(H132="","",H132&amp;I132)</f>
        <v>260408-014SALIDA</v>
      </c>
      <c r="S132" s="22" t="str">
        <f>IF(C132="","",C132&amp;I132)</f>
        <v>Starane XtraSALIDA</v>
      </c>
      <c r="T132" t="str">
        <f>IF(OR(C132="",I132&lt;&gt;"ENTRADA"),"",TEXT(B132,"AAMMDD")&amp;"-"&amp;TEXT(VALUE(SUBSTITUTE(A132,"MOV-","")),"000"))</f>
        <v/>
      </c>
    </row>
    <row r="133" spans="1:20">
      <c r="A133" s="20" t="s">
        <v>336</v>
      </c>
      <c r="B133" s="42">
        <v>46117</v>
      </c>
      <c r="C133" s="33" t="s">
        <v>108</v>
      </c>
      <c r="D133" s="33" t="s">
        <v>109</v>
      </c>
      <c r="E133" s="33" t="s">
        <v>25</v>
      </c>
      <c r="F133" s="33" t="s">
        <v>26</v>
      </c>
      <c r="G133" s="33" t="s">
        <v>27</v>
      </c>
      <c r="H133" s="20" t="s">
        <v>278</v>
      </c>
      <c r="I133" s="33" t="s">
        <v>65</v>
      </c>
      <c r="J133" s="37">
        <v>20</v>
      </c>
      <c r="K133" s="22">
        <f>IF(I133="","",IF(I133="ENTRADA",ABS(J133),-ABS(J133)))</f>
        <v>-20</v>
      </c>
      <c r="L133" s="33" t="s">
        <v>29</v>
      </c>
      <c r="M133" s="33"/>
      <c r="N133" s="33">
        <v>59341</v>
      </c>
      <c r="O133" s="33" t="s">
        <v>152</v>
      </c>
      <c r="P133" s="33">
        <v>1663</v>
      </c>
      <c r="Q133" s="42">
        <v>46148</v>
      </c>
      <c r="R133" s="22" t="str">
        <f>IF(H133="","",H133&amp;I133)</f>
        <v>260410-023SALIDA</v>
      </c>
      <c r="S133" s="22" t="str">
        <f>IF(C133="","",C133&amp;I133)</f>
        <v>Colza Hyola 575 CLSALIDA</v>
      </c>
      <c r="T133" t="str">
        <f>IF(OR(C133="",I133&lt;&gt;"ENTRADA"),"",TEXT(B133,"AAMMDD")&amp;"-"&amp;TEXT(VALUE(SUBSTITUTE(A133,"MOV-","")),"000"))</f>
        <v/>
      </c>
    </row>
    <row r="134" spans="1:20">
      <c r="A134" s="20" t="s">
        <v>337</v>
      </c>
      <c r="B134" s="42">
        <v>46117</v>
      </c>
      <c r="C134" s="33" t="s">
        <v>90</v>
      </c>
      <c r="D134" s="33" t="s">
        <v>91</v>
      </c>
      <c r="E134" s="33" t="s">
        <v>34</v>
      </c>
      <c r="F134" s="33" t="s">
        <v>35</v>
      </c>
      <c r="G134" s="33" t="s">
        <v>36</v>
      </c>
      <c r="H134" s="20" t="str">
        <f>+T134</f>
        <v>260405-132</v>
      </c>
      <c r="I134" s="33" t="s">
        <v>28</v>
      </c>
      <c r="J134" s="37">
        <v>4500</v>
      </c>
      <c r="K134" s="22">
        <f>IF(I134="","",IF(I134="ENTRADA",ABS(J134),-ABS(J134)))</f>
        <v>4500</v>
      </c>
      <c r="L134" s="33" t="s">
        <v>37</v>
      </c>
      <c r="M134" s="42">
        <v>46801</v>
      </c>
      <c r="N134" s="33">
        <v>12707</v>
      </c>
      <c r="O134" s="33"/>
      <c r="P134" s="33">
        <v>14471</v>
      </c>
      <c r="Q134" s="42">
        <v>46148</v>
      </c>
      <c r="R134" s="22" t="str">
        <f>IF(H134="","",H134&amp;I134)</f>
        <v>260405-132ENTRADA</v>
      </c>
      <c r="S134" s="22" t="str">
        <f>IF(C134="","",C134&amp;I134)</f>
        <v>PixxaroENTRADA</v>
      </c>
      <c r="T134" t="str">
        <f>IF(OR(C134="",I134&lt;&gt;"ENTRADA"),"",TEXT(B134,"AAMMDD")&amp;"-"&amp;TEXT(VALUE(SUBSTITUTE(A134,"MOV-","")),"000"))</f>
        <v>260405-132</v>
      </c>
    </row>
    <row r="135" spans="1:20">
      <c r="A135" s="20" t="s">
        <v>338</v>
      </c>
      <c r="B135" s="42">
        <v>46146</v>
      </c>
      <c r="C135" s="33" t="s">
        <v>115</v>
      </c>
      <c r="D135" s="33" t="s">
        <v>116</v>
      </c>
      <c r="E135" s="33" t="s">
        <v>34</v>
      </c>
      <c r="F135" s="33" t="s">
        <v>35</v>
      </c>
      <c r="G135" s="33" t="s">
        <v>117</v>
      </c>
      <c r="H135" s="20" t="s">
        <v>120</v>
      </c>
      <c r="I135" s="33" t="s">
        <v>65</v>
      </c>
      <c r="J135" s="37">
        <v>900</v>
      </c>
      <c r="K135" s="22">
        <f>IF(I135="","",IF(I135="ENTRADA",ABS(J135),-ABS(J135)))</f>
        <v>-900</v>
      </c>
      <c r="L135" s="33" t="s">
        <v>37</v>
      </c>
      <c r="M135" s="33"/>
      <c r="N135" s="33">
        <v>59338</v>
      </c>
      <c r="O135" s="33" t="s">
        <v>218</v>
      </c>
      <c r="P135" s="33">
        <v>1657</v>
      </c>
      <c r="Q135" s="42">
        <v>46148</v>
      </c>
      <c r="R135" s="22" t="str">
        <f>IF(H135="","",H135&amp;I135)</f>
        <v>260410-025SALIDA</v>
      </c>
      <c r="S135" s="22" t="str">
        <f>IF(C135="","",C135&amp;I135)</f>
        <v>AzukaSALIDA</v>
      </c>
      <c r="T135" t="str">
        <f>IF(OR(C135="",I135&lt;&gt;"ENTRADA"),"",TEXT(B135,"AAMMDD")&amp;"-"&amp;TEXT(VALUE(SUBSTITUTE(A135,"MOV-","")),"000"))</f>
        <v/>
      </c>
    </row>
    <row r="136" spans="1:20">
      <c r="A136" s="20" t="s">
        <v>339</v>
      </c>
      <c r="B136" s="42">
        <v>46146</v>
      </c>
      <c r="C136" s="33" t="s">
        <v>122</v>
      </c>
      <c r="D136" s="33" t="s">
        <v>123</v>
      </c>
      <c r="E136" s="33" t="s">
        <v>34</v>
      </c>
      <c r="F136" s="33" t="s">
        <v>35</v>
      </c>
      <c r="G136" s="33" t="s">
        <v>117</v>
      </c>
      <c r="H136" s="20" t="s">
        <v>203</v>
      </c>
      <c r="I136" s="33" t="s">
        <v>65</v>
      </c>
      <c r="J136" s="37">
        <v>300</v>
      </c>
      <c r="K136" s="22">
        <f>IF(I136="","",IF(I136="ENTRADA",ABS(J136),-ABS(J136)))</f>
        <v>-300</v>
      </c>
      <c r="L136" s="33" t="s">
        <v>37</v>
      </c>
      <c r="M136" s="33"/>
      <c r="N136" s="33">
        <v>59338</v>
      </c>
      <c r="O136" s="33" t="s">
        <v>218</v>
      </c>
      <c r="P136" s="33">
        <v>1657</v>
      </c>
      <c r="Q136" s="42">
        <v>46148</v>
      </c>
      <c r="R136" s="22" t="str">
        <f>IF(H136="","",H136&amp;I136)</f>
        <v>260410-027SALIDA</v>
      </c>
      <c r="S136" s="22" t="str">
        <f>IF(C136="","",C136&amp;I136)</f>
        <v>PardoSALIDA</v>
      </c>
      <c r="T136" t="str">
        <f>IF(OR(C136="",I136&lt;&gt;"ENTRADA"),"",TEXT(B136,"AAMMDD")&amp;"-"&amp;TEXT(VALUE(SUBSTITUTE(A136,"MOV-","")),"000"))</f>
        <v/>
      </c>
    </row>
    <row r="137" spans="1:20">
      <c r="A137" s="20" t="s">
        <v>340</v>
      </c>
      <c r="B137" s="42">
        <v>46146</v>
      </c>
      <c r="C137" s="33" t="s">
        <v>90</v>
      </c>
      <c r="D137" s="33" t="s">
        <v>91</v>
      </c>
      <c r="E137" s="33" t="s">
        <v>34</v>
      </c>
      <c r="F137" s="33" t="s">
        <v>35</v>
      </c>
      <c r="G137" s="33" t="s">
        <v>36</v>
      </c>
      <c r="H137" s="20" t="s">
        <v>103</v>
      </c>
      <c r="I137" s="33" t="s">
        <v>65</v>
      </c>
      <c r="J137" s="37">
        <v>120</v>
      </c>
      <c r="K137" s="22">
        <f>IF(I137="","",IF(I137="ENTRADA",ABS(J137),-ABS(J137)))</f>
        <v>-120</v>
      </c>
      <c r="L137" s="33" t="s">
        <v>37</v>
      </c>
      <c r="M137" s="33"/>
      <c r="N137" s="33">
        <v>59338</v>
      </c>
      <c r="O137" s="33" t="s">
        <v>218</v>
      </c>
      <c r="P137" s="33">
        <v>1657</v>
      </c>
      <c r="Q137" s="42">
        <v>46148</v>
      </c>
      <c r="R137" s="22" t="str">
        <f>IF(H137="","",H137&amp;I137)</f>
        <v>260408-015SALIDA</v>
      </c>
      <c r="S137" s="22" t="str">
        <f>IF(C137="","",C137&amp;I137)</f>
        <v>PixxaroSALIDA</v>
      </c>
      <c r="T137" t="str">
        <f>IF(OR(C137="",I137&lt;&gt;"ENTRADA"),"",TEXT(B137,"AAMMDD")&amp;"-"&amp;TEXT(VALUE(SUBSTITUTE(A137,"MOV-","")),"000"))</f>
        <v/>
      </c>
    </row>
    <row r="138" spans="1:20">
      <c r="A138" s="20" t="s">
        <v>341</v>
      </c>
      <c r="B138" s="42">
        <v>46146</v>
      </c>
      <c r="C138" s="33" t="s">
        <v>130</v>
      </c>
      <c r="D138" s="33" t="s">
        <v>131</v>
      </c>
      <c r="E138" s="33" t="s">
        <v>132</v>
      </c>
      <c r="F138" s="33"/>
      <c r="G138" s="33" t="s">
        <v>133</v>
      </c>
      <c r="H138" s="20" t="s">
        <v>221</v>
      </c>
      <c r="I138" s="33" t="s">
        <v>65</v>
      </c>
      <c r="J138" s="37">
        <v>20</v>
      </c>
      <c r="K138" s="22">
        <f>IF(I138="","",IF(I138="ENTRADA",ABS(J138),-ABS(J138)))</f>
        <v>-20</v>
      </c>
      <c r="L138" s="33" t="s">
        <v>37</v>
      </c>
      <c r="M138" s="33"/>
      <c r="N138" s="33">
        <v>59338</v>
      </c>
      <c r="O138" s="33" t="s">
        <v>218</v>
      </c>
      <c r="P138" s="33">
        <v>1657</v>
      </c>
      <c r="Q138" s="42">
        <v>46148</v>
      </c>
      <c r="R138" s="22" t="str">
        <f>IF(H138="","",H138&amp;I138)</f>
        <v>260414-029SALIDA</v>
      </c>
      <c r="S138" s="22" t="str">
        <f>IF(C138="","",C138&amp;I138)</f>
        <v>HarrierSALIDA</v>
      </c>
      <c r="T138" t="str">
        <f>IF(OR(C138="",I138&lt;&gt;"ENTRADA"),"",TEXT(B138,"AAMMDD")&amp;"-"&amp;TEXT(VALUE(SUBSTITUTE(A138,"MOV-","")),"000"))</f>
        <v/>
      </c>
    </row>
    <row r="139" spans="1:20">
      <c r="A139" s="20" t="s">
        <v>342</v>
      </c>
      <c r="B139" s="42">
        <v>46154</v>
      </c>
      <c r="C139" s="33" t="s">
        <v>172</v>
      </c>
      <c r="D139" s="33" t="s">
        <v>173</v>
      </c>
      <c r="E139" s="33" t="s">
        <v>25</v>
      </c>
      <c r="F139" s="33" t="s">
        <v>174</v>
      </c>
      <c r="G139" s="33" t="s">
        <v>166</v>
      </c>
      <c r="H139" s="20" t="s">
        <v>315</v>
      </c>
      <c r="I139" s="33" t="s">
        <v>65</v>
      </c>
      <c r="J139" s="37">
        <v>425</v>
      </c>
      <c r="K139" s="22">
        <f>IF(I139="","",IF(I139="ENTRADA",ABS(J139),-ABS(J139)))</f>
        <v>-425</v>
      </c>
      <c r="L139" s="33" t="s">
        <v>29</v>
      </c>
      <c r="M139" s="33"/>
      <c r="N139" s="33">
        <v>59342</v>
      </c>
      <c r="O139" s="33" t="s">
        <v>311</v>
      </c>
      <c r="P139" s="33">
        <v>1669</v>
      </c>
      <c r="Q139" s="42">
        <v>46160</v>
      </c>
      <c r="R139" s="22" t="str">
        <f>IF(H139="","",H139&amp;I139)</f>
        <v>260417-039SALIDA</v>
      </c>
      <c r="S139" s="22" t="str">
        <f>IF(C139="","",C139&amp;I139)</f>
        <v>Achicora Inia NovaSALIDA</v>
      </c>
      <c r="T139" t="str">
        <f>IF(OR(C139="",I139&lt;&gt;"ENTRADA"),"",TEXT(B139,"AAMMDD")&amp;"-"&amp;TEXT(VALUE(SUBSTITUTE(A139,"MOV-","")),"000"))</f>
        <v/>
      </c>
    </row>
    <row r="140" spans="1:20">
      <c r="A140" s="20" t="s">
        <v>343</v>
      </c>
      <c r="B140" s="42">
        <v>46154</v>
      </c>
      <c r="C140" s="33" t="s">
        <v>186</v>
      </c>
      <c r="D140" s="33" t="s">
        <v>187</v>
      </c>
      <c r="E140" s="33" t="s">
        <v>25</v>
      </c>
      <c r="F140" s="33" t="s">
        <v>188</v>
      </c>
      <c r="G140" s="33" t="s">
        <v>180</v>
      </c>
      <c r="H140" s="20" t="s">
        <v>319</v>
      </c>
      <c r="I140" s="33" t="s">
        <v>65</v>
      </c>
      <c r="J140" s="37">
        <v>575</v>
      </c>
      <c r="K140" s="22">
        <f>IF(I140="","",IF(I140="ENTRADA",ABS(J140),-ABS(J140)))</f>
        <v>-575</v>
      </c>
      <c r="L140" s="33" t="s">
        <v>29</v>
      </c>
      <c r="M140" s="33"/>
      <c r="N140" s="33">
        <v>59342</v>
      </c>
      <c r="O140" s="33" t="s">
        <v>311</v>
      </c>
      <c r="P140" s="33">
        <v>1669</v>
      </c>
      <c r="Q140" s="42">
        <v>46160</v>
      </c>
      <c r="R140" s="22" t="str">
        <f>IF(H140="","",H140&amp;I140)</f>
        <v>260417-043SALIDA</v>
      </c>
      <c r="S140" s="22" t="str">
        <f>IF(C140="","",C140&amp;I140)</f>
        <v>Trebol Blanco E ZapicanSALIDA</v>
      </c>
      <c r="T140" t="str">
        <f>IF(OR(C140="",I140&lt;&gt;"ENTRADA"),"",TEXT(B140,"AAMMDD")&amp;"-"&amp;TEXT(VALUE(SUBSTITUTE(A140,"MOV-","")),"000"))</f>
        <v/>
      </c>
    </row>
    <row r="141" spans="1:20">
      <c r="A141" s="20" t="s">
        <v>344</v>
      </c>
      <c r="B141" s="42">
        <v>46154</v>
      </c>
      <c r="C141" s="33" t="s">
        <v>156</v>
      </c>
      <c r="D141" s="33" t="s">
        <v>157</v>
      </c>
      <c r="E141" s="33" t="s">
        <v>25</v>
      </c>
      <c r="F141" s="33" t="s">
        <v>26</v>
      </c>
      <c r="G141" s="33" t="s">
        <v>158</v>
      </c>
      <c r="H141" s="20" t="s">
        <v>295</v>
      </c>
      <c r="I141" s="33" t="s">
        <v>65</v>
      </c>
      <c r="J141" s="37">
        <v>640</v>
      </c>
      <c r="K141" s="22">
        <f>IF(I141="","",IF(I141="ENTRADA",ABS(J141),-ABS(J141)))</f>
        <v>-640</v>
      </c>
      <c r="L141" s="33" t="s">
        <v>29</v>
      </c>
      <c r="M141" s="33"/>
      <c r="N141" s="33">
        <v>59342</v>
      </c>
      <c r="O141" s="33" t="s">
        <v>331</v>
      </c>
      <c r="P141" s="33">
        <v>1670</v>
      </c>
      <c r="Q141" s="42">
        <v>46160</v>
      </c>
      <c r="R141" s="22" t="str">
        <f>IF(H141="","",H141&amp;I141)</f>
        <v>260416-035SALIDA</v>
      </c>
      <c r="S141" s="22" t="str">
        <f>IF(C141="","",C141&amp;I141)</f>
        <v>Colza Nuola 300SALIDA</v>
      </c>
      <c r="T141" t="str">
        <f>IF(OR(C141="",I141&lt;&gt;"ENTRADA"),"",TEXT(B141,"AAMMDD")&amp;"-"&amp;TEXT(VALUE(SUBSTITUTE(A141,"MOV-","")),"000"))</f>
        <v/>
      </c>
    </row>
    <row r="142" spans="1:20">
      <c r="A142" s="20" t="s">
        <v>345</v>
      </c>
      <c r="B142" s="42">
        <v>46154</v>
      </c>
      <c r="C142" s="33" t="s">
        <v>160</v>
      </c>
      <c r="D142" s="33" t="s">
        <v>161</v>
      </c>
      <c r="E142" s="33" t="s">
        <v>25</v>
      </c>
      <c r="F142" s="33" t="s">
        <v>26</v>
      </c>
      <c r="G142" s="33" t="s">
        <v>158</v>
      </c>
      <c r="H142" s="20" t="s">
        <v>239</v>
      </c>
      <c r="I142" s="33" t="s">
        <v>65</v>
      </c>
      <c r="J142" s="37">
        <v>240</v>
      </c>
      <c r="K142" s="22">
        <f>IF(I142="","",IF(I142="ENTRADA",ABS(J142),-ABS(J142)))</f>
        <v>-240</v>
      </c>
      <c r="L142" s="33" t="s">
        <v>29</v>
      </c>
      <c r="M142" s="33"/>
      <c r="N142" s="33">
        <v>59342</v>
      </c>
      <c r="O142" s="33" t="s">
        <v>331</v>
      </c>
      <c r="P142" s="33">
        <v>1670</v>
      </c>
      <c r="Q142" s="42">
        <v>46160</v>
      </c>
      <c r="R142" s="22" t="str">
        <f>IF(H142="","",H142&amp;I142)</f>
        <v>260416-036SALIDA</v>
      </c>
      <c r="S142" s="22" t="str">
        <f>IF(C142="","",C142&amp;I142)</f>
        <v>Colza Ceres IMISALIDA</v>
      </c>
      <c r="T142" t="str">
        <f>IF(OR(C142="",I142&lt;&gt;"ENTRADA"),"",TEXT(B142,"AAMMDD")&amp;"-"&amp;TEXT(VALUE(SUBSTITUTE(A142,"MOV-","")),"000"))</f>
        <v/>
      </c>
    </row>
    <row r="143" spans="1:20">
      <c r="A143" s="20" t="s">
        <v>346</v>
      </c>
      <c r="B143" s="42">
        <v>46154</v>
      </c>
      <c r="C143" s="33" t="s">
        <v>168</v>
      </c>
      <c r="D143" s="33" t="s">
        <v>169</v>
      </c>
      <c r="E143" s="33" t="s">
        <v>25</v>
      </c>
      <c r="F143" s="33" t="s">
        <v>170</v>
      </c>
      <c r="G143" s="33" t="s">
        <v>166</v>
      </c>
      <c r="H143" s="20" t="s">
        <v>347</v>
      </c>
      <c r="I143" s="33" t="s">
        <v>65</v>
      </c>
      <c r="J143" s="37">
        <v>375</v>
      </c>
      <c r="K143" s="22">
        <f>IF(I143="","",IF(I143="ENTRADA",ABS(J143),-ABS(J143)))</f>
        <v>-375</v>
      </c>
      <c r="L143" s="33" t="s">
        <v>29</v>
      </c>
      <c r="M143" s="33"/>
      <c r="N143" s="33">
        <v>59343</v>
      </c>
      <c r="O143" s="33" t="s">
        <v>213</v>
      </c>
      <c r="P143" s="33">
        <v>1671</v>
      </c>
      <c r="Q143" s="42">
        <v>46160</v>
      </c>
      <c r="R143" s="22" t="str">
        <f>IF(H143="","",H143&amp;I143)</f>
        <v>260417-038SALIDA</v>
      </c>
      <c r="S143" s="22" t="str">
        <f>IF(C143="","",C143&amp;I143)</f>
        <v>Alfalfa VerdorSALIDA</v>
      </c>
      <c r="T143" t="str">
        <f>IF(OR(C143="",I143&lt;&gt;"ENTRADA"),"",TEXT(B143,"AAMMDD")&amp;"-"&amp;TEXT(VALUE(SUBSTITUTE(A143,"MOV-","")),"000"))</f>
        <v/>
      </c>
    </row>
    <row r="144" spans="1:20">
      <c r="A144" s="20" t="s">
        <v>348</v>
      </c>
      <c r="B144" s="42">
        <v>46154</v>
      </c>
      <c r="C144" s="33" t="s">
        <v>264</v>
      </c>
      <c r="D144" s="33" t="s">
        <v>265</v>
      </c>
      <c r="E144" s="33" t="s">
        <v>25</v>
      </c>
      <c r="F144" s="33" t="s">
        <v>170</v>
      </c>
      <c r="G144" s="33" t="s">
        <v>259</v>
      </c>
      <c r="H144" s="20" t="s">
        <v>349</v>
      </c>
      <c r="I144" s="33" t="s">
        <v>65</v>
      </c>
      <c r="J144" s="37">
        <v>375</v>
      </c>
      <c r="K144" s="22">
        <f>IF(I144="","",IF(I144="ENTRADA",ABS(J144),-ABS(J144)))</f>
        <v>-375</v>
      </c>
      <c r="L144" s="33" t="s">
        <v>29</v>
      </c>
      <c r="M144" s="33"/>
      <c r="N144" s="33">
        <v>59343</v>
      </c>
      <c r="O144" s="33" t="s">
        <v>213</v>
      </c>
      <c r="P144" s="33">
        <v>1671</v>
      </c>
      <c r="Q144" s="42">
        <v>46160</v>
      </c>
      <c r="R144" s="22" t="str">
        <f>IF(H144="","",H144&amp;I144)</f>
        <v>260424-090SALIDA</v>
      </c>
      <c r="S144" s="22" t="str">
        <f>IF(C144="","",C144&amp;I144)</f>
        <v>Alfalfa Latte 920SALIDA</v>
      </c>
      <c r="T144" t="str">
        <f>IF(OR(C144="",I144&lt;&gt;"ENTRADA"),"",TEXT(B144,"AAMMDD")&amp;"-"&amp;TEXT(VALUE(SUBSTITUTE(A144,"MOV-","")),"000"))</f>
        <v/>
      </c>
    </row>
    <row r="145" spans="1:20">
      <c r="A145" s="20" t="s">
        <v>350</v>
      </c>
      <c r="B145" s="42">
        <v>46154</v>
      </c>
      <c r="C145" s="33" t="s">
        <v>182</v>
      </c>
      <c r="D145" s="33" t="s">
        <v>183</v>
      </c>
      <c r="E145" s="33" t="s">
        <v>25</v>
      </c>
      <c r="F145" s="33" t="s">
        <v>184</v>
      </c>
      <c r="G145" s="33" t="s">
        <v>180</v>
      </c>
      <c r="H145" s="20" t="s">
        <v>351</v>
      </c>
      <c r="I145" s="33" t="s">
        <v>65</v>
      </c>
      <c r="J145" s="37">
        <v>800</v>
      </c>
      <c r="K145" s="22">
        <f>IF(I145="","",IF(I145="ENTRADA",ABS(J145),-ABS(J145)))</f>
        <v>-800</v>
      </c>
      <c r="L145" s="33" t="s">
        <v>29</v>
      </c>
      <c r="M145" s="33"/>
      <c r="N145" s="33">
        <v>59343</v>
      </c>
      <c r="O145" s="33" t="s">
        <v>213</v>
      </c>
      <c r="P145" s="33">
        <v>1671</v>
      </c>
      <c r="Q145" s="42">
        <v>46160</v>
      </c>
      <c r="R145" s="22" t="str">
        <f>IF(H145="","",H145&amp;I145)</f>
        <v>260417-042SALIDA</v>
      </c>
      <c r="S145" s="22" t="str">
        <f>IF(C145="","",C145&amp;I145)</f>
        <v>Dactylis DroverSALIDA</v>
      </c>
      <c r="T145" t="str">
        <f>IF(OR(C145="",I145&lt;&gt;"ENTRADA"),"",TEXT(B145,"AAMMDD")&amp;"-"&amp;TEXT(VALUE(SUBSTITUTE(A145,"MOV-","")),"000"))</f>
        <v/>
      </c>
    </row>
    <row r="146" spans="1:20">
      <c r="A146" s="20" t="s">
        <v>352</v>
      </c>
      <c r="B146" s="42">
        <v>46154</v>
      </c>
      <c r="C146" s="33" t="s">
        <v>231</v>
      </c>
      <c r="D146" s="33" t="s">
        <v>231</v>
      </c>
      <c r="E146" s="33" t="s">
        <v>25</v>
      </c>
      <c r="F146" s="33" t="s">
        <v>26</v>
      </c>
      <c r="G146" s="33" t="s">
        <v>27</v>
      </c>
      <c r="H146" s="20" t="s">
        <v>329</v>
      </c>
      <c r="I146" s="33" t="s">
        <v>65</v>
      </c>
      <c r="J146" s="37">
        <v>1120</v>
      </c>
      <c r="K146" s="22">
        <f>IF(I146="","",IF(I146="ENTRADA",ABS(J146),-ABS(J146)))</f>
        <v>-1120</v>
      </c>
      <c r="L146" s="33" t="s">
        <v>29</v>
      </c>
      <c r="M146" s="33"/>
      <c r="N146" s="33">
        <v>59343</v>
      </c>
      <c r="O146" s="33" t="s">
        <v>213</v>
      </c>
      <c r="P146" s="33">
        <v>1671</v>
      </c>
      <c r="Q146" s="42">
        <v>46160</v>
      </c>
      <c r="R146" s="22" t="str">
        <f>IF(H146="","",H146&amp;I146)</f>
        <v>260421-068SALIDA</v>
      </c>
      <c r="S146" s="22" t="str">
        <f>IF(C146="","",C146&amp;I146)</f>
        <v>Colza Hyola Solstice clSALIDA</v>
      </c>
      <c r="T146" t="str">
        <f>IF(OR(C146="",I146&lt;&gt;"ENTRADA"),"",TEXT(B146,"AAMMDD")&amp;"-"&amp;TEXT(VALUE(SUBSTITUTE(A146,"MOV-","")),"000"))</f>
        <v/>
      </c>
    </row>
    <row r="147" spans="1:20">
      <c r="A147" s="20" t="s">
        <v>353</v>
      </c>
      <c r="B147" s="42">
        <v>46154</v>
      </c>
      <c r="C147" s="33" t="s">
        <v>80</v>
      </c>
      <c r="D147" s="33" t="s">
        <v>81</v>
      </c>
      <c r="E147" s="33" t="s">
        <v>25</v>
      </c>
      <c r="F147" s="33" t="s">
        <v>82</v>
      </c>
      <c r="G147" s="33" t="s">
        <v>83</v>
      </c>
      <c r="H147" s="20" t="s">
        <v>151</v>
      </c>
      <c r="I147" s="33" t="s">
        <v>65</v>
      </c>
      <c r="J147" s="37">
        <v>2425</v>
      </c>
      <c r="K147" s="22">
        <f>IF(I147="","",IF(I147="ENTRADA",ABS(J147),-ABS(J147)))</f>
        <v>-2425</v>
      </c>
      <c r="L147" s="33" t="s">
        <v>29</v>
      </c>
      <c r="M147" s="33"/>
      <c r="N147" s="33">
        <v>59344</v>
      </c>
      <c r="O147" s="33" t="s">
        <v>152</v>
      </c>
      <c r="P147" s="33">
        <v>1672</v>
      </c>
      <c r="Q147" s="42">
        <v>46160</v>
      </c>
      <c r="R147" s="22" t="str">
        <f>IF(H147="","",H147&amp;I147)</f>
        <v>260408-013SALIDA</v>
      </c>
      <c r="S147" s="22" t="str">
        <f>IF(C147="","",C147&amp;I147)</f>
        <v>Raigrás E284SALIDA</v>
      </c>
      <c r="T147" t="str">
        <f>IF(OR(C147="",I147&lt;&gt;"ENTRADA"),"",TEXT(B147,"AAMMDD")&amp;"-"&amp;TEXT(VALUE(SUBSTITUTE(A147,"MOV-","")),"000"))</f>
        <v/>
      </c>
    </row>
    <row r="148" spans="1:20">
      <c r="A148" s="20" t="s">
        <v>354</v>
      </c>
      <c r="B148" s="42">
        <v>46154</v>
      </c>
      <c r="C148" s="33" t="s">
        <v>156</v>
      </c>
      <c r="D148" s="33" t="s">
        <v>157</v>
      </c>
      <c r="E148" s="33" t="s">
        <v>25</v>
      </c>
      <c r="F148" s="33" t="s">
        <v>26</v>
      </c>
      <c r="G148" s="33" t="s">
        <v>158</v>
      </c>
      <c r="H148" s="20" t="s">
        <v>295</v>
      </c>
      <c r="I148" s="33" t="s">
        <v>65</v>
      </c>
      <c r="J148" s="37">
        <v>720</v>
      </c>
      <c r="K148" s="22">
        <f>IF(I148="","",IF(I148="ENTRADA",ABS(J148),-ABS(J148)))</f>
        <v>-720</v>
      </c>
      <c r="L148" s="33" t="s">
        <v>29</v>
      </c>
      <c r="M148" s="33"/>
      <c r="N148" s="33">
        <v>59345</v>
      </c>
      <c r="O148" s="33" t="s">
        <v>152</v>
      </c>
      <c r="P148" s="33">
        <v>1673</v>
      </c>
      <c r="Q148" s="42">
        <v>46160</v>
      </c>
      <c r="R148" s="22" t="str">
        <f>IF(H148="","",H148&amp;I148)</f>
        <v>260416-035SALIDA</v>
      </c>
      <c r="S148" s="22" t="str">
        <f>IF(C148="","",C148&amp;I148)</f>
        <v>Colza Nuola 300SALIDA</v>
      </c>
      <c r="T148" t="str">
        <f>IF(OR(C148="",I148&lt;&gt;"ENTRADA"),"",TEXT(B148,"AAMMDD")&amp;"-"&amp;TEXT(VALUE(SUBSTITUTE(A148,"MOV-","")),"000"))</f>
        <v/>
      </c>
    </row>
    <row r="149" spans="1:20">
      <c r="A149" s="20" t="s">
        <v>355</v>
      </c>
      <c r="B149" s="42">
        <v>46155</v>
      </c>
      <c r="C149" s="33" t="s">
        <v>115</v>
      </c>
      <c r="D149" s="33" t="s">
        <v>116</v>
      </c>
      <c r="E149" s="33" t="s">
        <v>34</v>
      </c>
      <c r="F149" s="33" t="s">
        <v>35</v>
      </c>
      <c r="G149" s="33" t="s">
        <v>117</v>
      </c>
      <c r="H149" s="20" t="s">
        <v>120</v>
      </c>
      <c r="I149" s="33" t="s">
        <v>65</v>
      </c>
      <c r="J149" s="37">
        <v>960</v>
      </c>
      <c r="K149" s="22">
        <f>IF(I149="","",IF(I149="ENTRADA",ABS(J149),-ABS(J149)))</f>
        <v>-960</v>
      </c>
      <c r="L149" s="33" t="s">
        <v>37</v>
      </c>
      <c r="M149" s="33"/>
      <c r="N149" s="33">
        <v>59346</v>
      </c>
      <c r="O149" s="33" t="s">
        <v>213</v>
      </c>
      <c r="P149" s="33">
        <v>1674</v>
      </c>
      <c r="Q149" s="42">
        <v>46162</v>
      </c>
      <c r="R149" s="22" t="str">
        <f>IF(H149="","",H149&amp;I149)</f>
        <v>260410-025SALIDA</v>
      </c>
      <c r="S149" s="22" t="str">
        <f>IF(C149="","",C149&amp;I149)</f>
        <v>AzukaSALIDA</v>
      </c>
      <c r="T149" t="str">
        <f>IF(OR(C149="",I149&lt;&gt;"ENTRADA"),"",TEXT(B149,"AAMMDD")&amp;"-"&amp;TEXT(VALUE(SUBSTITUTE(A149,"MOV-","")),"000"))</f>
        <v/>
      </c>
    </row>
    <row r="150" spans="1:20">
      <c r="A150" s="20" t="s">
        <v>356</v>
      </c>
      <c r="B150" s="42">
        <v>46155</v>
      </c>
      <c r="C150" s="33" t="s">
        <v>115</v>
      </c>
      <c r="D150" s="33" t="s">
        <v>116</v>
      </c>
      <c r="E150" s="33" t="s">
        <v>34</v>
      </c>
      <c r="F150" s="33" t="s">
        <v>35</v>
      </c>
      <c r="G150" s="33" t="s">
        <v>117</v>
      </c>
      <c r="H150" s="20" t="s">
        <v>120</v>
      </c>
      <c r="I150" s="33" t="s">
        <v>65</v>
      </c>
      <c r="J150" s="37">
        <v>400</v>
      </c>
      <c r="K150" s="22">
        <f>IF(I150="","",IF(I150="ENTRADA",ABS(J150),-ABS(J150)))</f>
        <v>-400</v>
      </c>
      <c r="L150" s="33" t="s">
        <v>37</v>
      </c>
      <c r="M150" s="33"/>
      <c r="N150" s="33">
        <v>59347</v>
      </c>
      <c r="O150" s="33" t="s">
        <v>218</v>
      </c>
      <c r="P150" s="33">
        <v>1675</v>
      </c>
      <c r="Q150" s="42">
        <v>46162</v>
      </c>
      <c r="R150" s="22" t="str">
        <f>IF(H150="","",H150&amp;I150)</f>
        <v>260410-025SALIDA</v>
      </c>
      <c r="S150" s="22" t="str">
        <f>IF(C150="","",C150&amp;I150)</f>
        <v>AzukaSALIDA</v>
      </c>
      <c r="T150" t="str">
        <f>IF(OR(C150="",I150&lt;&gt;"ENTRADA"),"",TEXT(B150,"AAMMDD")&amp;"-"&amp;TEXT(VALUE(SUBSTITUTE(A150,"MOV-","")),"000"))</f>
        <v/>
      </c>
    </row>
    <row r="151" spans="1:20">
      <c r="A151" s="20" t="s">
        <v>357</v>
      </c>
      <c r="B151" s="42">
        <v>46155</v>
      </c>
      <c r="C151" s="33" t="s">
        <v>130</v>
      </c>
      <c r="D151" s="33" t="s">
        <v>131</v>
      </c>
      <c r="E151" s="33" t="s">
        <v>132</v>
      </c>
      <c r="F151" s="33"/>
      <c r="G151" s="33" t="s">
        <v>133</v>
      </c>
      <c r="H151" s="20" t="s">
        <v>221</v>
      </c>
      <c r="I151" s="33" t="s">
        <v>65</v>
      </c>
      <c r="J151" s="37">
        <v>60</v>
      </c>
      <c r="K151" s="22">
        <f>IF(I151="","",IF(I151="ENTRADA",ABS(J151),-ABS(J151)))</f>
        <v>-60</v>
      </c>
      <c r="L151" s="33" t="s">
        <v>37</v>
      </c>
      <c r="M151" s="33"/>
      <c r="N151" s="33">
        <v>59347</v>
      </c>
      <c r="O151" s="33" t="s">
        <v>218</v>
      </c>
      <c r="P151" s="33">
        <v>1675</v>
      </c>
      <c r="Q151" s="42">
        <v>46162</v>
      </c>
      <c r="R151" s="22" t="str">
        <f>IF(H151="","",H151&amp;I151)</f>
        <v>260414-029SALIDA</v>
      </c>
      <c r="S151" s="22" t="str">
        <f>IF(C151="","",C151&amp;I151)</f>
        <v>HarrierSALIDA</v>
      </c>
      <c r="T151" t="str">
        <f>IF(OR(C151="",I151&lt;&gt;"ENTRADA"),"",TEXT(B151,"AAMMDD")&amp;"-"&amp;TEXT(VALUE(SUBSTITUTE(A151,"MOV-","")),"000"))</f>
        <v/>
      </c>
    </row>
    <row r="152" spans="1:20">
      <c r="A152" s="20" t="s">
        <v>358</v>
      </c>
      <c r="B152" s="42">
        <v>46155</v>
      </c>
      <c r="C152" s="33" t="s">
        <v>122</v>
      </c>
      <c r="D152" s="33" t="s">
        <v>123</v>
      </c>
      <c r="E152" s="33" t="s">
        <v>34</v>
      </c>
      <c r="F152" s="33" t="s">
        <v>35</v>
      </c>
      <c r="G152" s="33" t="s">
        <v>117</v>
      </c>
      <c r="H152" s="20" t="s">
        <v>203</v>
      </c>
      <c r="I152" s="33" t="s">
        <v>65</v>
      </c>
      <c r="J152" s="37">
        <v>100</v>
      </c>
      <c r="K152" s="22">
        <f>IF(I152="","",IF(I152="ENTRADA",ABS(J152),-ABS(J152)))</f>
        <v>-100</v>
      </c>
      <c r="L152" s="33" t="s">
        <v>37</v>
      </c>
      <c r="M152" s="33"/>
      <c r="N152" s="33">
        <v>59347</v>
      </c>
      <c r="O152" s="33" t="s">
        <v>218</v>
      </c>
      <c r="P152" s="33">
        <v>1675</v>
      </c>
      <c r="Q152" s="42">
        <v>46162</v>
      </c>
      <c r="R152" s="22" t="str">
        <f>IF(H152="","",H152&amp;I152)</f>
        <v>260410-027SALIDA</v>
      </c>
      <c r="S152" s="22" t="str">
        <f>IF(C152="","",C152&amp;I152)</f>
        <v>PardoSALIDA</v>
      </c>
      <c r="T152" t="str">
        <f>IF(OR(C152="",I152&lt;&gt;"ENTRADA"),"",TEXT(B152,"AAMMDD")&amp;"-"&amp;TEXT(VALUE(SUBSTITUTE(A152,"MOV-","")),"000"))</f>
        <v/>
      </c>
    </row>
    <row r="153" spans="1:20">
      <c r="A153" s="20" t="s">
        <v>359</v>
      </c>
      <c r="B153" s="42">
        <v>46155</v>
      </c>
      <c r="C153" s="33" t="s">
        <v>137</v>
      </c>
      <c r="D153" s="33" t="s">
        <v>138</v>
      </c>
      <c r="E153" s="33" t="s">
        <v>132</v>
      </c>
      <c r="F153" s="33"/>
      <c r="G153" s="33" t="s">
        <v>133</v>
      </c>
      <c r="H153" s="20" t="s">
        <v>211</v>
      </c>
      <c r="I153" s="33" t="s">
        <v>65</v>
      </c>
      <c r="J153" s="50">
        <v>15</v>
      </c>
      <c r="K153" s="22">
        <f>IF(I153="","",IF(I153="ENTRADA",ABS(J153),-ABS(J153)))</f>
        <v>-15</v>
      </c>
      <c r="L153" s="33" t="s">
        <v>37</v>
      </c>
      <c r="M153" s="33"/>
      <c r="N153" s="33">
        <v>59347</v>
      </c>
      <c r="O153" s="33" t="s">
        <v>218</v>
      </c>
      <c r="P153" s="33">
        <v>1675</v>
      </c>
      <c r="Q153" s="42">
        <v>46162</v>
      </c>
      <c r="R153" s="22" t="str">
        <f>IF(H153="","",H153&amp;I153)</f>
        <v>260414-030SALIDA</v>
      </c>
      <c r="S153" s="22" t="str">
        <f>IF(C153="","",C153&amp;I153)</f>
        <v>Full controlSALIDA</v>
      </c>
      <c r="T153" t="str">
        <f>IF(OR(C153="",I153&lt;&gt;"ENTRADA"),"",TEXT(B153,"AAMMDD")&amp;"-"&amp;TEXT(VALUE(SUBSTITUTE(A153,"MOV-","")),"000"))</f>
        <v/>
      </c>
    </row>
    <row r="154" spans="1:20">
      <c r="A154" s="20" t="s">
        <v>360</v>
      </c>
      <c r="B154" s="42">
        <v>46155</v>
      </c>
      <c r="C154" s="33" t="s">
        <v>44</v>
      </c>
      <c r="D154" s="33" t="s">
        <v>63</v>
      </c>
      <c r="E154" s="33" t="s">
        <v>34</v>
      </c>
      <c r="F154" s="33" t="s">
        <v>46</v>
      </c>
      <c r="G154" s="33" t="s">
        <v>36</v>
      </c>
      <c r="H154" s="20" t="s">
        <v>64</v>
      </c>
      <c r="I154" s="33" t="s">
        <v>65</v>
      </c>
      <c r="J154" s="37">
        <v>25</v>
      </c>
      <c r="K154" s="22">
        <f>IF(I154="","",IF(I154="ENTRADA",ABS(J154),-ABS(J154)))</f>
        <v>-25</v>
      </c>
      <c r="L154" s="33" t="s">
        <v>37</v>
      </c>
      <c r="M154" s="33"/>
      <c r="N154" s="33">
        <v>59347</v>
      </c>
      <c r="O154" s="33" t="s">
        <v>218</v>
      </c>
      <c r="P154" s="33">
        <v>1675</v>
      </c>
      <c r="Q154" s="42">
        <v>46162</v>
      </c>
      <c r="R154" s="22" t="str">
        <f>IF(H154="","",H154&amp;I154)</f>
        <v>260401-004SALIDA</v>
      </c>
      <c r="S154" s="22" t="str">
        <f>IF(C154="","",C154&amp;I154)</f>
        <v>PresideSALIDA</v>
      </c>
      <c r="T154" t="str">
        <f>IF(OR(C154="",I154&lt;&gt;"ENTRADA"),"",TEXT(B154,"AAMMDD")&amp;"-"&amp;TEXT(VALUE(SUBSTITUTE(A154,"MOV-","")),"000"))</f>
        <v/>
      </c>
    </row>
    <row r="155" spans="1:20">
      <c r="A155" s="20" t="s">
        <v>361</v>
      </c>
      <c r="B155" s="42">
        <v>46155</v>
      </c>
      <c r="C155" s="33" t="s">
        <v>256</v>
      </c>
      <c r="D155" s="33" t="s">
        <v>257</v>
      </c>
      <c r="E155" s="33" t="s">
        <v>25</v>
      </c>
      <c r="F155" s="33" t="s">
        <v>258</v>
      </c>
      <c r="G155" s="33" t="s">
        <v>259</v>
      </c>
      <c r="H155" s="20" t="s">
        <v>313</v>
      </c>
      <c r="I155" s="33" t="s">
        <v>65</v>
      </c>
      <c r="J155" s="37">
        <v>775</v>
      </c>
      <c r="K155" s="22">
        <f>IF(I155="","",IF(I155="ENTRADA",ABS(J155),-ABS(J155)))</f>
        <v>-775</v>
      </c>
      <c r="L155" s="33" t="s">
        <v>29</v>
      </c>
      <c r="M155" s="33"/>
      <c r="N155" s="33">
        <v>59348</v>
      </c>
      <c r="O155" s="33" t="s">
        <v>218</v>
      </c>
      <c r="P155" s="33">
        <v>1676</v>
      </c>
      <c r="Q155" s="42">
        <v>46162</v>
      </c>
      <c r="R155" s="22" t="str">
        <f>IF(H155="","",H155&amp;I155)</f>
        <v>260424-088SALIDA</v>
      </c>
      <c r="S155" s="22" t="str">
        <f>IF(C155="","",C155&amp;I155)</f>
        <v>Lotus Nilo htSALIDA</v>
      </c>
      <c r="T155" t="str">
        <f>IF(OR(C155="",I155&lt;&gt;"ENTRADA"),"",TEXT(B155,"AAMMDD")&amp;"-"&amp;TEXT(VALUE(SUBSTITUTE(A155,"MOV-","")),"000"))</f>
        <v/>
      </c>
    </row>
    <row r="156" spans="1:20">
      <c r="A156" s="20" t="s">
        <v>362</v>
      </c>
      <c r="B156" s="42">
        <v>46155</v>
      </c>
      <c r="C156" s="33" t="s">
        <v>186</v>
      </c>
      <c r="D156" s="33" t="s">
        <v>187</v>
      </c>
      <c r="E156" s="33" t="s">
        <v>25</v>
      </c>
      <c r="F156" s="33" t="s">
        <v>188</v>
      </c>
      <c r="G156" s="33" t="s">
        <v>180</v>
      </c>
      <c r="H156" s="20" t="s">
        <v>319</v>
      </c>
      <c r="I156" s="33" t="s">
        <v>65</v>
      </c>
      <c r="J156" s="37">
        <v>200</v>
      </c>
      <c r="K156" s="22">
        <f>IF(I156="","",IF(I156="ENTRADA",ABS(J156),-ABS(J156)))</f>
        <v>-200</v>
      </c>
      <c r="L156" s="33" t="s">
        <v>29</v>
      </c>
      <c r="M156" s="33"/>
      <c r="N156" s="33">
        <v>59348</v>
      </c>
      <c r="O156" s="33" t="s">
        <v>218</v>
      </c>
      <c r="P156" s="33">
        <v>1676</v>
      </c>
      <c r="Q156" s="42">
        <v>46162</v>
      </c>
      <c r="R156" s="22" t="str">
        <f>IF(H156="","",H156&amp;I156)</f>
        <v>260417-043SALIDA</v>
      </c>
      <c r="S156" s="22" t="str">
        <f>IF(C156="","",C156&amp;I156)</f>
        <v>Trebol Blanco E ZapicanSALIDA</v>
      </c>
      <c r="T156" t="str">
        <f>IF(OR(C156="",I156&lt;&gt;"ENTRADA"),"",TEXT(B156,"AAMMDD")&amp;"-"&amp;TEXT(VALUE(SUBSTITUTE(A156,"MOV-","")),"000"))</f>
        <v/>
      </c>
    </row>
    <row r="157" spans="1:20">
      <c r="A157" s="20" t="s">
        <v>363</v>
      </c>
      <c r="B157" s="44">
        <v>46155</v>
      </c>
      <c r="C157" s="33" t="s">
        <v>178</v>
      </c>
      <c r="D157" s="33" t="s">
        <v>179</v>
      </c>
      <c r="E157" s="33" t="s">
        <v>25</v>
      </c>
      <c r="F157" s="33" t="s">
        <v>165</v>
      </c>
      <c r="G157" s="33" t="s">
        <v>180</v>
      </c>
      <c r="H157" s="20" t="s">
        <v>308</v>
      </c>
      <c r="I157" s="33" t="s">
        <v>65</v>
      </c>
      <c r="J157" s="37">
        <v>650</v>
      </c>
      <c r="K157" s="22">
        <f>IF(I157="","",IF(I157="ENTRADA",ABS(J157),-ABS(J157)))</f>
        <v>-650</v>
      </c>
      <c r="L157" s="33" t="s">
        <v>29</v>
      </c>
      <c r="M157" s="33"/>
      <c r="N157" s="33">
        <v>59348</v>
      </c>
      <c r="O157" s="33" t="s">
        <v>218</v>
      </c>
      <c r="P157" s="33">
        <v>1676</v>
      </c>
      <c r="Q157" s="42">
        <v>46162</v>
      </c>
      <c r="R157" s="22" t="str">
        <f>IF(H157="","",H157&amp;I157)</f>
        <v>260417-041SALIDA</v>
      </c>
      <c r="S157" s="22" t="str">
        <f>IF(C157="","",C157&amp;I157)</f>
        <v>Festuca Sortija C2 SALIDA</v>
      </c>
      <c r="T157" t="str">
        <f>IF(OR(C157="",I157&lt;&gt;"ENTRADA"),"",TEXT(B157,"AAMMDD")&amp;"-"&amp;TEXT(VALUE(SUBSTITUTE(A157,"MOV-","")),"000"))</f>
        <v/>
      </c>
    </row>
    <row r="158" spans="1:20">
      <c r="A158" s="20" t="s">
        <v>364</v>
      </c>
      <c r="B158" s="44">
        <v>46155</v>
      </c>
      <c r="C158" s="33" t="s">
        <v>299</v>
      </c>
      <c r="D158" s="33" t="s">
        <v>300</v>
      </c>
      <c r="E158" s="33" t="s">
        <v>25</v>
      </c>
      <c r="F158" s="33" t="s">
        <v>165</v>
      </c>
      <c r="G158" s="33" t="s">
        <v>301</v>
      </c>
      <c r="H158" s="20" t="s">
        <v>365</v>
      </c>
      <c r="I158" s="33" t="s">
        <v>65</v>
      </c>
      <c r="J158" s="37">
        <v>1100</v>
      </c>
      <c r="K158" s="22">
        <f>IF(I158="","",IF(I158="ENTRADA",ABS(J158),-ABS(J158)))</f>
        <v>-1100</v>
      </c>
      <c r="L158" s="33" t="s">
        <v>29</v>
      </c>
      <c r="M158" s="33"/>
      <c r="N158" s="33">
        <v>59348</v>
      </c>
      <c r="O158" s="33" t="s">
        <v>218</v>
      </c>
      <c r="P158" s="33">
        <v>1676</v>
      </c>
      <c r="Q158" s="42">
        <v>46162</v>
      </c>
      <c r="R158" s="22" t="str">
        <f>IF(H158="","",H158&amp;I158)</f>
        <v>260429-112SALIDA</v>
      </c>
      <c r="S158" s="22" t="str">
        <f>IF(C158="","",C158&amp;I158)</f>
        <v>Festuca elodie curadaSALIDA</v>
      </c>
      <c r="T158" t="str">
        <f>IF(OR(C158="",I158&lt;&gt;"ENTRADA"),"",TEXT(B158,"AAMMDD")&amp;"-"&amp;TEXT(VALUE(SUBSTITUTE(A158,"MOV-","")),"000"))</f>
        <v/>
      </c>
    </row>
    <row r="159" spans="1:20">
      <c r="A159" s="20" t="s">
        <v>366</v>
      </c>
      <c r="B159" s="42">
        <v>46155</v>
      </c>
      <c r="C159" s="33" t="s">
        <v>156</v>
      </c>
      <c r="D159" s="33" t="s">
        <v>157</v>
      </c>
      <c r="E159" s="33" t="s">
        <v>25</v>
      </c>
      <c r="F159" s="33" t="s">
        <v>26</v>
      </c>
      <c r="G159" s="33" t="s">
        <v>158</v>
      </c>
      <c r="H159" s="20" t="s">
        <v>367</v>
      </c>
      <c r="I159" s="33" t="s">
        <v>65</v>
      </c>
      <c r="J159" s="37">
        <v>540</v>
      </c>
      <c r="K159" s="22">
        <f>IF(I159="","",IF(I159="ENTRADA",ABS(J159),-ABS(J159)))</f>
        <v>-540</v>
      </c>
      <c r="L159" s="33" t="s">
        <v>29</v>
      </c>
      <c r="M159" s="33"/>
      <c r="N159" s="33">
        <v>59349</v>
      </c>
      <c r="O159" s="33" t="s">
        <v>213</v>
      </c>
      <c r="P159" s="33">
        <v>1677</v>
      </c>
      <c r="Q159" s="42">
        <v>46162</v>
      </c>
      <c r="R159" s="22" t="str">
        <f>IF(H159="","",H159&amp;I159)</f>
        <v>260417-040SALIDA</v>
      </c>
      <c r="S159" s="22" t="str">
        <f>IF(C159="","",C159&amp;I159)</f>
        <v>Colza Nuola 300SALIDA</v>
      </c>
      <c r="T159" t="str">
        <f>IF(OR(C159="",I159&lt;&gt;"ENTRADA"),"",TEXT(B159,"AAMMDD")&amp;"-"&amp;TEXT(VALUE(SUBSTITUTE(A159,"MOV-","")),"000"))</f>
        <v/>
      </c>
    </row>
    <row r="160" spans="1:20">
      <c r="A160" s="20" t="s">
        <v>368</v>
      </c>
      <c r="B160" s="42">
        <v>46155</v>
      </c>
      <c r="C160" s="33" t="s">
        <v>156</v>
      </c>
      <c r="D160" s="33" t="s">
        <v>157</v>
      </c>
      <c r="E160" s="33" t="s">
        <v>25</v>
      </c>
      <c r="F160" s="33" t="s">
        <v>26</v>
      </c>
      <c r="G160" s="33" t="s">
        <v>176</v>
      </c>
      <c r="H160" s="20" t="s">
        <v>367</v>
      </c>
      <c r="I160" s="33" t="s">
        <v>65</v>
      </c>
      <c r="J160" s="37">
        <v>540</v>
      </c>
      <c r="K160" s="22">
        <f>IF(I160="","",IF(I160="ENTRADA",ABS(J160),-ABS(J160)))</f>
        <v>-540</v>
      </c>
      <c r="L160" s="33" t="s">
        <v>29</v>
      </c>
      <c r="M160" s="33"/>
      <c r="N160" s="33">
        <v>59350</v>
      </c>
      <c r="O160" s="33" t="s">
        <v>213</v>
      </c>
      <c r="P160" s="33">
        <v>1678</v>
      </c>
      <c r="Q160" s="42">
        <v>46162</v>
      </c>
      <c r="R160" s="22" t="str">
        <f>IF(H160="","",H160&amp;I160)</f>
        <v>260417-040SALIDA</v>
      </c>
      <c r="S160" s="22" t="str">
        <f>IF(C160="","",C160&amp;I160)</f>
        <v>Colza Nuola 300SALIDA</v>
      </c>
      <c r="T160" t="str">
        <f>IF(OR(C160="",I160&lt;&gt;"ENTRADA"),"",TEXT(B160,"AAMMDD")&amp;"-"&amp;TEXT(VALUE(SUBSTITUTE(A160,"MOV-","")),"000"))</f>
        <v/>
      </c>
    </row>
    <row r="161" spans="1:20">
      <c r="A161" s="20" t="s">
        <v>369</v>
      </c>
      <c r="B161" s="42">
        <v>46155</v>
      </c>
      <c r="C161" s="33" t="s">
        <v>228</v>
      </c>
      <c r="D161" s="33" t="s">
        <v>229</v>
      </c>
      <c r="E161" s="33" t="s">
        <v>25</v>
      </c>
      <c r="F161" s="33" t="s">
        <v>26</v>
      </c>
      <c r="G161" s="33" t="s">
        <v>27</v>
      </c>
      <c r="H161" s="20" t="s">
        <v>327</v>
      </c>
      <c r="I161" s="33" t="s">
        <v>65</v>
      </c>
      <c r="J161" s="37">
        <v>1020</v>
      </c>
      <c r="K161" s="22">
        <f>IF(I161="","",IF(I161="ENTRADA",ABS(J161),-ABS(J161)))</f>
        <v>-1020</v>
      </c>
      <c r="L161" s="33" t="s">
        <v>29</v>
      </c>
      <c r="M161" s="33"/>
      <c r="N161" s="33">
        <v>58199</v>
      </c>
      <c r="O161" s="33" t="s">
        <v>213</v>
      </c>
      <c r="P161" s="33">
        <v>1679</v>
      </c>
      <c r="Q161" s="42">
        <v>46162</v>
      </c>
      <c r="R161" s="22" t="str">
        <f>IF(H161="","",H161&amp;I161)</f>
        <v>260421-067SALIDA</v>
      </c>
      <c r="S161" s="22" t="str">
        <f>IF(C161="","",C161&amp;I161)</f>
        <v>Colza continuum ClSALIDA</v>
      </c>
      <c r="T161" t="str">
        <f>IF(OR(C161="",I161&lt;&gt;"ENTRADA"),"",TEXT(B161,"AAMMDD")&amp;"-"&amp;TEXT(VALUE(SUBSTITUTE(A161,"MOV-","")),"000"))</f>
        <v/>
      </c>
    </row>
    <row r="162" spans="1:20">
      <c r="A162" s="20" t="s">
        <v>370</v>
      </c>
      <c r="B162" s="42">
        <v>46155</v>
      </c>
      <c r="C162" s="33" t="s">
        <v>156</v>
      </c>
      <c r="D162" s="33" t="s">
        <v>157</v>
      </c>
      <c r="E162" s="33" t="s">
        <v>25</v>
      </c>
      <c r="F162" s="33" t="s">
        <v>26</v>
      </c>
      <c r="G162" s="33" t="s">
        <v>176</v>
      </c>
      <c r="H162" s="20" t="s">
        <v>367</v>
      </c>
      <c r="I162" s="33" t="s">
        <v>65</v>
      </c>
      <c r="J162" s="37">
        <v>520</v>
      </c>
      <c r="K162" s="22">
        <f>IF(I162="","",IF(I162="ENTRADA",ABS(J162),-ABS(J162)))</f>
        <v>-520</v>
      </c>
      <c r="L162" s="33" t="s">
        <v>29</v>
      </c>
      <c r="M162" s="33"/>
      <c r="N162" s="33">
        <v>58199</v>
      </c>
      <c r="O162" s="33" t="s">
        <v>213</v>
      </c>
      <c r="P162" s="33">
        <v>1679</v>
      </c>
      <c r="Q162" s="42">
        <v>46162</v>
      </c>
      <c r="R162" s="22" t="str">
        <f>IF(H162="","",H162&amp;I162)</f>
        <v>260417-040SALIDA</v>
      </c>
      <c r="S162" s="22" t="str">
        <f>IF(C162="","",C162&amp;I162)</f>
        <v>Colza Nuola 300SALIDA</v>
      </c>
      <c r="T162" t="str">
        <f>IF(OR(C162="",I162&lt;&gt;"ENTRADA"),"",TEXT(B162,"AAMMDD")&amp;"-"&amp;TEXT(VALUE(SUBSTITUTE(A162,"MOV-","")),"000"))</f>
        <v/>
      </c>
    </row>
    <row r="163" spans="1:20">
      <c r="A163" s="20" t="s">
        <v>371</v>
      </c>
      <c r="B163" s="42">
        <v>46155</v>
      </c>
      <c r="C163" s="33" t="s">
        <v>231</v>
      </c>
      <c r="D163" s="33" t="s">
        <v>231</v>
      </c>
      <c r="E163" s="33" t="s">
        <v>25</v>
      </c>
      <c r="F163" s="33" t="s">
        <v>26</v>
      </c>
      <c r="G163" s="33" t="s">
        <v>27</v>
      </c>
      <c r="H163" s="20" t="s">
        <v>329</v>
      </c>
      <c r="I163" s="33" t="s">
        <v>65</v>
      </c>
      <c r="J163" s="37">
        <v>900</v>
      </c>
      <c r="K163" s="22">
        <f>IF(I163="","",IF(I163="ENTRADA",ABS(J163),-ABS(J163)))</f>
        <v>-900</v>
      </c>
      <c r="L163" s="33" t="s">
        <v>29</v>
      </c>
      <c r="M163" s="33"/>
      <c r="N163" s="33">
        <v>58199</v>
      </c>
      <c r="O163" s="33" t="s">
        <v>213</v>
      </c>
      <c r="P163" s="33">
        <v>1679</v>
      </c>
      <c r="Q163" s="42">
        <v>46162</v>
      </c>
      <c r="R163" s="22" t="str">
        <f>IF(H163="","",H163&amp;I163)</f>
        <v>260421-068SALIDA</v>
      </c>
      <c r="S163" s="22" t="str">
        <f>IF(C163="","",C163&amp;I163)</f>
        <v>Colza Hyola Solstice clSALIDA</v>
      </c>
      <c r="T163" t="str">
        <f>IF(OR(C163="",I163&lt;&gt;"ENTRADA"),"",TEXT(B163,"AAMMDD")&amp;"-"&amp;TEXT(VALUE(SUBSTITUTE(A163,"MOV-","")),"000"))</f>
        <v/>
      </c>
    </row>
    <row r="164" spans="1:20">
      <c r="A164" s="20" t="s">
        <v>372</v>
      </c>
      <c r="B164" s="42">
        <v>46155</v>
      </c>
      <c r="C164" s="33" t="s">
        <v>115</v>
      </c>
      <c r="D164" s="33" t="s">
        <v>116</v>
      </c>
      <c r="E164" s="33" t="s">
        <v>34</v>
      </c>
      <c r="F164" s="33" t="s">
        <v>35</v>
      </c>
      <c r="G164" s="33" t="s">
        <v>117</v>
      </c>
      <c r="H164" s="20" t="s">
        <v>120</v>
      </c>
      <c r="I164" s="33" t="s">
        <v>65</v>
      </c>
      <c r="J164" s="37">
        <v>1800</v>
      </c>
      <c r="K164" s="22">
        <f>IF(I164="","",IF(I164="ENTRADA",ABS(J164),-ABS(J164)))</f>
        <v>-1800</v>
      </c>
      <c r="L164" s="33" t="s">
        <v>37</v>
      </c>
      <c r="M164" s="33"/>
      <c r="N164" s="33">
        <v>58200</v>
      </c>
      <c r="O164" s="33" t="s">
        <v>218</v>
      </c>
      <c r="P164" s="33">
        <v>1680</v>
      </c>
      <c r="Q164" s="42">
        <v>46162</v>
      </c>
      <c r="R164" s="22" t="str">
        <f>IF(H164="","",H164&amp;I164)</f>
        <v>260410-025SALIDA</v>
      </c>
      <c r="S164" s="22" t="str">
        <f>IF(C164="","",C164&amp;I164)</f>
        <v>AzukaSALIDA</v>
      </c>
      <c r="T164" t="str">
        <f>IF(OR(C164="",I164&lt;&gt;"ENTRADA"),"",TEXT(B164,"AAMMDD")&amp;"-"&amp;TEXT(VALUE(SUBSTITUTE(A164,"MOV-","")),"000"))</f>
        <v/>
      </c>
    </row>
    <row r="165" spans="1:20">
      <c r="A165" s="20" t="s">
        <v>373</v>
      </c>
      <c r="B165" s="42">
        <v>46155</v>
      </c>
      <c r="C165" s="33" t="s">
        <v>122</v>
      </c>
      <c r="D165" s="33" t="s">
        <v>123</v>
      </c>
      <c r="E165" s="33" t="s">
        <v>34</v>
      </c>
      <c r="F165" s="33" t="s">
        <v>35</v>
      </c>
      <c r="G165" s="33" t="s">
        <v>117</v>
      </c>
      <c r="H165" s="20" t="s">
        <v>203</v>
      </c>
      <c r="I165" s="33" t="s">
        <v>65</v>
      </c>
      <c r="J165" s="37">
        <v>600</v>
      </c>
      <c r="K165" s="22">
        <f>IF(I165="","",IF(I165="ENTRADA",ABS(J165),-ABS(J165)))</f>
        <v>-600</v>
      </c>
      <c r="L165" s="33" t="s">
        <v>37</v>
      </c>
      <c r="M165" s="33"/>
      <c r="N165" s="33">
        <v>58200</v>
      </c>
      <c r="O165" s="33" t="s">
        <v>218</v>
      </c>
      <c r="P165" s="33">
        <v>1680</v>
      </c>
      <c r="Q165" s="42">
        <v>46162</v>
      </c>
      <c r="R165" s="22" t="str">
        <f>IF(H165="","",H165&amp;I165)</f>
        <v>260410-027SALIDA</v>
      </c>
      <c r="S165" s="22" t="str">
        <f>IF(C165="","",C165&amp;I165)</f>
        <v>PardoSALIDA</v>
      </c>
      <c r="T165" t="str">
        <f>IF(OR(C165="",I165&lt;&gt;"ENTRADA"),"",TEXT(B165,"AAMMDD")&amp;"-"&amp;TEXT(VALUE(SUBSTITUTE(A165,"MOV-","")),"000"))</f>
        <v/>
      </c>
    </row>
    <row r="166" spans="1:20">
      <c r="A166" s="20" t="s">
        <v>374</v>
      </c>
      <c r="B166" s="42">
        <v>46155</v>
      </c>
      <c r="C166" s="33" t="s">
        <v>90</v>
      </c>
      <c r="D166" s="33" t="s">
        <v>91</v>
      </c>
      <c r="E166" s="33" t="s">
        <v>34</v>
      </c>
      <c r="F166" s="33" t="s">
        <v>35</v>
      </c>
      <c r="G166" s="33" t="s">
        <v>36</v>
      </c>
      <c r="H166" s="20" t="s">
        <v>375</v>
      </c>
      <c r="I166" s="33" t="s">
        <v>65</v>
      </c>
      <c r="J166" s="37">
        <v>80</v>
      </c>
      <c r="K166" s="22">
        <f>IF(I166="","",IF(I166="ENTRADA",ABS(J166),-ABS(J166)))</f>
        <v>-80</v>
      </c>
      <c r="L166" s="33" t="s">
        <v>37</v>
      </c>
      <c r="M166" s="33"/>
      <c r="N166" s="33">
        <v>58200</v>
      </c>
      <c r="O166" s="33" t="s">
        <v>218</v>
      </c>
      <c r="P166" s="33">
        <v>1680</v>
      </c>
      <c r="Q166" s="42">
        <v>46162</v>
      </c>
      <c r="R166" s="22" t="str">
        <f>IF(H166="","",H166&amp;I166)</f>
        <v>260405-132SALIDA</v>
      </c>
      <c r="S166" s="22" t="str">
        <f>IF(C166="","",C166&amp;I166)</f>
        <v>PixxaroSALIDA</v>
      </c>
      <c r="T166" t="str">
        <f>IF(OR(C166="",I166&lt;&gt;"ENTRADA"),"",TEXT(B166,"AAMMDD")&amp;"-"&amp;TEXT(VALUE(SUBSTITUTE(A166,"MOV-","")),"000"))</f>
        <v/>
      </c>
    </row>
    <row r="167" spans="1:20">
      <c r="A167" s="20" t="s">
        <v>376</v>
      </c>
      <c r="B167" s="42">
        <v>46156</v>
      </c>
      <c r="C167" s="33" t="s">
        <v>115</v>
      </c>
      <c r="D167" s="33" t="s">
        <v>116</v>
      </c>
      <c r="E167" s="33" t="s">
        <v>34</v>
      </c>
      <c r="F167" s="33" t="s">
        <v>35</v>
      </c>
      <c r="G167" s="33" t="s">
        <v>117</v>
      </c>
      <c r="H167" s="20" t="s">
        <v>120</v>
      </c>
      <c r="I167" s="33" t="s">
        <v>65</v>
      </c>
      <c r="J167" s="37">
        <v>800</v>
      </c>
      <c r="K167" s="22">
        <f>IF(I167="","",IF(I167="ENTRADA",ABS(J167),-ABS(J167)))</f>
        <v>-800</v>
      </c>
      <c r="L167" s="33" t="s">
        <v>37</v>
      </c>
      <c r="M167" s="33"/>
      <c r="N167" s="33">
        <v>65051</v>
      </c>
      <c r="O167" s="33" t="s">
        <v>218</v>
      </c>
      <c r="P167" s="33">
        <v>1681</v>
      </c>
      <c r="Q167" s="42">
        <v>46162</v>
      </c>
      <c r="R167" s="22" t="str">
        <f>IF(H167="","",H167&amp;I167)</f>
        <v>260410-025SALIDA</v>
      </c>
      <c r="S167" s="22" t="str">
        <f>IF(C167="","",C167&amp;I167)</f>
        <v>AzukaSALIDA</v>
      </c>
      <c r="T167" t="str">
        <f>IF(OR(C167="",I167&lt;&gt;"ENTRADA"),"",TEXT(B167,"AAMMDD")&amp;"-"&amp;TEXT(VALUE(SUBSTITUTE(A167,"MOV-","")),"000"))</f>
        <v/>
      </c>
    </row>
    <row r="168" spans="1:20">
      <c r="A168" s="20" t="s">
        <v>377</v>
      </c>
      <c r="B168" s="42">
        <v>46156</v>
      </c>
      <c r="C168" s="33" t="s">
        <v>122</v>
      </c>
      <c r="D168" s="33" t="s">
        <v>123</v>
      </c>
      <c r="E168" s="33" t="s">
        <v>34</v>
      </c>
      <c r="F168" s="33" t="s">
        <v>35</v>
      </c>
      <c r="G168" s="33" t="s">
        <v>117</v>
      </c>
      <c r="H168" s="20" t="s">
        <v>203</v>
      </c>
      <c r="I168" s="33" t="s">
        <v>65</v>
      </c>
      <c r="J168" s="37">
        <v>240</v>
      </c>
      <c r="K168" s="22">
        <f>IF(I168="","",IF(I168="ENTRADA",ABS(J168),-ABS(J168)))</f>
        <v>-240</v>
      </c>
      <c r="L168" s="33" t="s">
        <v>37</v>
      </c>
      <c r="M168" s="33"/>
      <c r="N168" s="33">
        <v>65051</v>
      </c>
      <c r="O168" s="33" t="s">
        <v>218</v>
      </c>
      <c r="P168" s="33">
        <v>1681</v>
      </c>
      <c r="Q168" s="42">
        <v>46162</v>
      </c>
      <c r="R168" s="22" t="str">
        <f>IF(H168="","",H168&amp;I168)</f>
        <v>260410-027SALIDA</v>
      </c>
      <c r="S168" s="22" t="str">
        <f>IF(C168="","",C168&amp;I168)</f>
        <v>PardoSALIDA</v>
      </c>
      <c r="T168" t="str">
        <f>IF(OR(C168="",I168&lt;&gt;"ENTRADA"),"",TEXT(B168,"AAMMDD")&amp;"-"&amp;TEXT(VALUE(SUBSTITUTE(A168,"MOV-","")),"000"))</f>
        <v/>
      </c>
    </row>
    <row r="169" spans="1:20">
      <c r="A169" s="20" t="s">
        <v>378</v>
      </c>
      <c r="B169" s="42">
        <v>46156</v>
      </c>
      <c r="C169" s="33" t="s">
        <v>86</v>
      </c>
      <c r="D169" s="33" t="s">
        <v>87</v>
      </c>
      <c r="E169" s="33" t="s">
        <v>34</v>
      </c>
      <c r="F169" s="33" t="s">
        <v>35</v>
      </c>
      <c r="G169" s="33" t="s">
        <v>36</v>
      </c>
      <c r="H169" s="20" t="s">
        <v>100</v>
      </c>
      <c r="I169" s="33" t="s">
        <v>65</v>
      </c>
      <c r="J169" s="37">
        <v>80</v>
      </c>
      <c r="K169" s="22">
        <f>IF(I169="","",IF(I169="ENTRADA",ABS(J169),-ABS(J169)))</f>
        <v>-80</v>
      </c>
      <c r="L169" s="33" t="s">
        <v>37</v>
      </c>
      <c r="M169" s="33"/>
      <c r="N169" s="33">
        <v>65051</v>
      </c>
      <c r="O169" s="33" t="s">
        <v>218</v>
      </c>
      <c r="P169" s="33">
        <v>1681</v>
      </c>
      <c r="Q169" s="42">
        <v>46162</v>
      </c>
      <c r="R169" s="22" t="str">
        <f>IF(H169="","",H169&amp;I169)</f>
        <v>260408-014SALIDA</v>
      </c>
      <c r="S169" s="22" t="str">
        <f>IF(C169="","",C169&amp;I169)</f>
        <v>Starane XtraSALIDA</v>
      </c>
      <c r="T169" t="str">
        <f>IF(OR(C169="",I169&lt;&gt;"ENTRADA"),"",TEXT(B169,"AAMMDD")&amp;"-"&amp;TEXT(VALUE(SUBSTITUTE(A169,"MOV-","")),"000"))</f>
        <v/>
      </c>
    </row>
    <row r="170" spans="1:20">
      <c r="A170" s="20" t="s">
        <v>379</v>
      </c>
      <c r="B170" s="42">
        <v>46156</v>
      </c>
      <c r="C170" s="33" t="s">
        <v>130</v>
      </c>
      <c r="D170" s="33" t="s">
        <v>131</v>
      </c>
      <c r="E170" s="33" t="s">
        <v>132</v>
      </c>
      <c r="F170" s="33"/>
      <c r="G170" s="33" t="s">
        <v>133</v>
      </c>
      <c r="H170" s="20" t="s">
        <v>209</v>
      </c>
      <c r="I170" s="33" t="s">
        <v>65</v>
      </c>
      <c r="J170" s="37">
        <v>40</v>
      </c>
      <c r="K170" s="22">
        <f>IF(I170="","",IF(I170="ENTRADA",ABS(J170),-ABS(J170)))</f>
        <v>-40</v>
      </c>
      <c r="L170" s="33" t="s">
        <v>37</v>
      </c>
      <c r="M170" s="33"/>
      <c r="N170" s="33">
        <v>65051</v>
      </c>
      <c r="O170" s="33" t="s">
        <v>218</v>
      </c>
      <c r="P170" s="33">
        <v>1681</v>
      </c>
      <c r="Q170" s="42">
        <v>46162</v>
      </c>
      <c r="R170" s="22" t="str">
        <f>IF(H170="","",H170&amp;I170)</f>
        <v>260414-028SALIDA</v>
      </c>
      <c r="S170" s="22" t="str">
        <f>IF(C170="","",C170&amp;I170)</f>
        <v>HarrierSALIDA</v>
      </c>
      <c r="T170" t="str">
        <f>IF(OR(C170="",I170&lt;&gt;"ENTRADA"),"",TEXT(B170,"AAMMDD")&amp;"-"&amp;TEXT(VALUE(SUBSTITUTE(A170,"MOV-","")),"000"))</f>
        <v/>
      </c>
    </row>
    <row r="171" spans="1:20">
      <c r="A171" s="20" t="s">
        <v>380</v>
      </c>
      <c r="B171" s="42">
        <v>46156</v>
      </c>
      <c r="C171" s="33" t="s">
        <v>137</v>
      </c>
      <c r="D171" s="33" t="s">
        <v>138</v>
      </c>
      <c r="E171" s="33" t="s">
        <v>132</v>
      </c>
      <c r="F171" s="33"/>
      <c r="G171" s="33" t="s">
        <v>133</v>
      </c>
      <c r="H171" s="20" t="s">
        <v>211</v>
      </c>
      <c r="I171" s="33" t="s">
        <v>65</v>
      </c>
      <c r="J171" s="50">
        <v>15</v>
      </c>
      <c r="K171" s="22">
        <f>IF(I171="","",IF(I171="ENTRADA",ABS(J171),-ABS(J171)))</f>
        <v>-15</v>
      </c>
      <c r="L171" s="33" t="s">
        <v>37</v>
      </c>
      <c r="M171" s="33"/>
      <c r="N171" s="33">
        <v>65051</v>
      </c>
      <c r="O171" s="33" t="s">
        <v>218</v>
      </c>
      <c r="P171" s="33">
        <v>1681</v>
      </c>
      <c r="Q171" s="42">
        <v>46162</v>
      </c>
      <c r="R171" s="22" t="str">
        <f>IF(H171="","",H171&amp;I171)</f>
        <v>260414-030SALIDA</v>
      </c>
      <c r="S171" s="22" t="str">
        <f>IF(C171="","",C171&amp;I171)</f>
        <v>Full controlSALIDA</v>
      </c>
      <c r="T171" t="str">
        <f>IF(OR(C171="",I171&lt;&gt;"ENTRADA"),"",TEXT(B171,"AAMMDD")&amp;"-"&amp;TEXT(VALUE(SUBSTITUTE(A171,"MOV-","")),"000"))</f>
        <v/>
      </c>
    </row>
    <row r="172" spans="1:20">
      <c r="A172" s="20" t="s">
        <v>381</v>
      </c>
      <c r="B172" s="42">
        <v>46156</v>
      </c>
      <c r="C172" s="33" t="s">
        <v>115</v>
      </c>
      <c r="D172" s="33" t="s">
        <v>116</v>
      </c>
      <c r="E172" s="33" t="s">
        <v>34</v>
      </c>
      <c r="F172" s="33" t="s">
        <v>35</v>
      </c>
      <c r="G172" s="33" t="s">
        <v>117</v>
      </c>
      <c r="H172" s="20" t="s">
        <v>120</v>
      </c>
      <c r="I172" s="33" t="s">
        <v>65</v>
      </c>
      <c r="J172" s="37">
        <v>600</v>
      </c>
      <c r="K172" s="22">
        <f>IF(I172="","",IF(I172="ENTRADA",ABS(J172),-ABS(J172)))</f>
        <v>-600</v>
      </c>
      <c r="L172" s="33" t="s">
        <v>37</v>
      </c>
      <c r="M172" s="33"/>
      <c r="N172" s="33">
        <v>65052</v>
      </c>
      <c r="O172" s="33" t="s">
        <v>382</v>
      </c>
      <c r="P172" s="33">
        <v>1682</v>
      </c>
      <c r="Q172" s="42">
        <v>46162</v>
      </c>
      <c r="R172" s="22" t="str">
        <f>IF(H172="","",H172&amp;I172)</f>
        <v>260410-025SALIDA</v>
      </c>
      <c r="S172" s="22" t="str">
        <f>IF(C172="","",C172&amp;I172)</f>
        <v>AzukaSALIDA</v>
      </c>
      <c r="T172" t="str">
        <f>IF(OR(C172="",I172&lt;&gt;"ENTRADA"),"",TEXT(B172,"AAMMDD")&amp;"-"&amp;TEXT(VALUE(SUBSTITUTE(A172,"MOV-","")),"000"))</f>
        <v/>
      </c>
    </row>
    <row r="173" spans="1:20">
      <c r="A173" s="20" t="s">
        <v>383</v>
      </c>
      <c r="B173" s="42">
        <v>46156</v>
      </c>
      <c r="C173" s="33" t="s">
        <v>122</v>
      </c>
      <c r="D173" s="33" t="s">
        <v>123</v>
      </c>
      <c r="E173" s="33" t="s">
        <v>34</v>
      </c>
      <c r="F173" s="33" t="s">
        <v>35</v>
      </c>
      <c r="G173" s="33" t="s">
        <v>117</v>
      </c>
      <c r="H173" s="20" t="s">
        <v>203</v>
      </c>
      <c r="I173" s="33" t="s">
        <v>65</v>
      </c>
      <c r="J173" s="37">
        <v>200</v>
      </c>
      <c r="K173" s="22">
        <f>IF(I173="","",IF(I173="ENTRADA",ABS(J173),-ABS(J173)))</f>
        <v>-200</v>
      </c>
      <c r="L173" s="33" t="s">
        <v>37</v>
      </c>
      <c r="M173" s="33"/>
      <c r="N173" s="33">
        <v>65052</v>
      </c>
      <c r="O173" s="33" t="s">
        <v>382</v>
      </c>
      <c r="P173" s="33">
        <v>1682</v>
      </c>
      <c r="Q173" s="42">
        <v>46162</v>
      </c>
      <c r="R173" s="22" t="str">
        <f>IF(H173="","",H173&amp;I173)</f>
        <v>260410-027SALIDA</v>
      </c>
      <c r="S173" s="22" t="str">
        <f>IF(C173="","",C173&amp;I173)</f>
        <v>PardoSALIDA</v>
      </c>
      <c r="T173" t="str">
        <f>IF(OR(C173="",I173&lt;&gt;"ENTRADA"),"",TEXT(B173,"AAMMDD")&amp;"-"&amp;TEXT(VALUE(SUBSTITUTE(A173,"MOV-","")),"000"))</f>
        <v/>
      </c>
    </row>
    <row r="174" spans="1:20">
      <c r="A174" s="20" t="s">
        <v>384</v>
      </c>
      <c r="B174" s="42">
        <v>46156</v>
      </c>
      <c r="C174" s="33" t="s">
        <v>90</v>
      </c>
      <c r="D174" s="33" t="s">
        <v>91</v>
      </c>
      <c r="E174" s="33" t="s">
        <v>34</v>
      </c>
      <c r="F174" s="33" t="s">
        <v>35</v>
      </c>
      <c r="G174" s="33" t="s">
        <v>36</v>
      </c>
      <c r="H174" s="20" t="s">
        <v>375</v>
      </c>
      <c r="I174" s="33" t="s">
        <v>65</v>
      </c>
      <c r="J174" s="37">
        <v>120</v>
      </c>
      <c r="K174" s="22">
        <f>IF(I174="","",IF(I174="ENTRADA",ABS(J174),-ABS(J174)))</f>
        <v>-120</v>
      </c>
      <c r="L174" s="33" t="s">
        <v>385</v>
      </c>
      <c r="M174" s="33"/>
      <c r="N174" s="33">
        <v>65054</v>
      </c>
      <c r="O174" s="33" t="s">
        <v>237</v>
      </c>
      <c r="P174" s="33">
        <v>1684</v>
      </c>
      <c r="Q174" s="42">
        <v>46162</v>
      </c>
      <c r="R174" s="22" t="str">
        <f>IF(H174="","",H174&amp;I174)</f>
        <v>260405-132SALIDA</v>
      </c>
      <c r="S174" s="22" t="str">
        <f>IF(C174="","",C174&amp;I174)</f>
        <v>PixxaroSALIDA</v>
      </c>
      <c r="T174" t="str">
        <f>IF(OR(C174="",I174&lt;&gt;"ENTRADA"),"",TEXT(B174,"AAMMDD")&amp;"-"&amp;TEXT(VALUE(SUBSTITUTE(A174,"MOV-","")),"000"))</f>
        <v/>
      </c>
    </row>
    <row r="175" spans="1:20">
      <c r="A175" s="20" t="s">
        <v>386</v>
      </c>
      <c r="B175" s="42">
        <v>46157</v>
      </c>
      <c r="C175" s="33" t="s">
        <v>115</v>
      </c>
      <c r="D175" s="33" t="s">
        <v>116</v>
      </c>
      <c r="E175" s="33" t="s">
        <v>34</v>
      </c>
      <c r="F175" s="33" t="s">
        <v>35</v>
      </c>
      <c r="G175" s="33" t="s">
        <v>117</v>
      </c>
      <c r="H175" s="20" t="s">
        <v>120</v>
      </c>
      <c r="I175" s="33" t="s">
        <v>65</v>
      </c>
      <c r="J175" s="37">
        <v>2200</v>
      </c>
      <c r="K175" s="22">
        <f>IF(I175="","",IF(I175="ENTRADA",ABS(J175),-ABS(J175)))</f>
        <v>-2200</v>
      </c>
      <c r="L175" s="33" t="s">
        <v>37</v>
      </c>
      <c r="M175" s="33"/>
      <c r="N175" s="33">
        <v>65055</v>
      </c>
      <c r="O175" s="33" t="s">
        <v>387</v>
      </c>
      <c r="P175" s="33">
        <v>1685</v>
      </c>
      <c r="Q175" s="42">
        <v>46162</v>
      </c>
      <c r="R175" s="22" t="str">
        <f>IF(H175="","",H175&amp;I175)</f>
        <v>260410-025SALIDA</v>
      </c>
      <c r="S175" s="22" t="str">
        <f>IF(C175="","",C175&amp;I175)</f>
        <v>AzukaSALIDA</v>
      </c>
      <c r="T175" t="str">
        <f>IF(OR(C175="",I175&lt;&gt;"ENTRADA"),"",TEXT(B175,"AAMMDD")&amp;"-"&amp;TEXT(VALUE(SUBSTITUTE(A175,"MOV-","")),"000"))</f>
        <v/>
      </c>
    </row>
    <row r="176" spans="1:20">
      <c r="A176" s="20" t="s">
        <v>388</v>
      </c>
      <c r="B176" s="42">
        <v>46157</v>
      </c>
      <c r="C176" s="33" t="s">
        <v>122</v>
      </c>
      <c r="D176" s="33" t="s">
        <v>123</v>
      </c>
      <c r="E176" s="33" t="s">
        <v>34</v>
      </c>
      <c r="F176" s="33" t="s">
        <v>35</v>
      </c>
      <c r="G176" s="33" t="s">
        <v>117</v>
      </c>
      <c r="H176" s="20" t="s">
        <v>203</v>
      </c>
      <c r="I176" s="33" t="s">
        <v>65</v>
      </c>
      <c r="J176" s="37">
        <v>40</v>
      </c>
      <c r="K176" s="22">
        <f>IF(I176="","",IF(I176="ENTRADA",ABS(J176),-ABS(J176)))</f>
        <v>-40</v>
      </c>
      <c r="L176" s="33" t="s">
        <v>37</v>
      </c>
      <c r="M176" s="33"/>
      <c r="N176" s="33">
        <v>65055</v>
      </c>
      <c r="O176" s="33" t="s">
        <v>387</v>
      </c>
      <c r="P176" s="33">
        <v>1685</v>
      </c>
      <c r="Q176" s="42">
        <v>46162</v>
      </c>
      <c r="R176" s="22" t="str">
        <f>IF(H176="","",H176&amp;I176)</f>
        <v>260410-027SALIDA</v>
      </c>
      <c r="S176" s="22" t="str">
        <f>IF(C176="","",C176&amp;I176)</f>
        <v>PardoSALIDA</v>
      </c>
      <c r="T176" t="str">
        <f>IF(OR(C176="",I176&lt;&gt;"ENTRADA"),"",TEXT(B176,"AAMMDD")&amp;"-"&amp;TEXT(VALUE(SUBSTITUTE(A176,"MOV-","")),"000"))</f>
        <v/>
      </c>
    </row>
    <row r="177" spans="1:20">
      <c r="A177" s="20" t="s">
        <v>389</v>
      </c>
      <c r="B177" s="42">
        <v>46157</v>
      </c>
      <c r="C177" s="33" t="s">
        <v>115</v>
      </c>
      <c r="D177" s="33" t="s">
        <v>116</v>
      </c>
      <c r="E177" s="33" t="s">
        <v>34</v>
      </c>
      <c r="F177" s="33" t="s">
        <v>35</v>
      </c>
      <c r="G177" s="33" t="s">
        <v>117</v>
      </c>
      <c r="H177" s="20" t="s">
        <v>120</v>
      </c>
      <c r="I177" s="33" t="s">
        <v>65</v>
      </c>
      <c r="J177" s="37">
        <v>400</v>
      </c>
      <c r="K177" s="22">
        <f>IF(I177="","",IF(I177="ENTRADA",ABS(J177),-ABS(J177)))</f>
        <v>-400</v>
      </c>
      <c r="L177" s="33" t="s">
        <v>37</v>
      </c>
      <c r="M177" s="33"/>
      <c r="N177" s="33">
        <v>65056</v>
      </c>
      <c r="O177" s="33" t="s">
        <v>218</v>
      </c>
      <c r="P177" s="33">
        <v>1686</v>
      </c>
      <c r="Q177" s="42">
        <v>46162</v>
      </c>
      <c r="R177" s="22" t="str">
        <f>IF(H177="","",H177&amp;I177)</f>
        <v>260410-025SALIDA</v>
      </c>
      <c r="S177" s="22" t="str">
        <f>IF(C177="","",C177&amp;I177)</f>
        <v>AzukaSALIDA</v>
      </c>
      <c r="T177" t="str">
        <f>IF(OR(C177="",I177&lt;&gt;"ENTRADA"),"",TEXT(B177,"AAMMDD")&amp;"-"&amp;TEXT(VALUE(SUBSTITUTE(A177,"MOV-","")),"000"))</f>
        <v/>
      </c>
    </row>
    <row r="178" spans="1:20">
      <c r="A178" s="20" t="s">
        <v>390</v>
      </c>
      <c r="B178" s="42">
        <v>46157</v>
      </c>
      <c r="C178" s="33" t="s">
        <v>122</v>
      </c>
      <c r="D178" s="33" t="s">
        <v>123</v>
      </c>
      <c r="E178" s="33" t="s">
        <v>34</v>
      </c>
      <c r="F178" s="33" t="s">
        <v>35</v>
      </c>
      <c r="G178" s="33" t="s">
        <v>117</v>
      </c>
      <c r="H178" s="20" t="s">
        <v>203</v>
      </c>
      <c r="I178" s="33" t="s">
        <v>65</v>
      </c>
      <c r="J178" s="37">
        <v>120</v>
      </c>
      <c r="K178" s="22">
        <f>IF(I178="","",IF(I178="ENTRADA",ABS(J178),-ABS(J178)))</f>
        <v>-120</v>
      </c>
      <c r="L178" s="33" t="s">
        <v>37</v>
      </c>
      <c r="M178" s="33"/>
      <c r="N178" s="33">
        <v>65056</v>
      </c>
      <c r="O178" s="33" t="s">
        <v>218</v>
      </c>
      <c r="P178" s="33">
        <v>1686</v>
      </c>
      <c r="Q178" s="42">
        <v>46162</v>
      </c>
      <c r="R178" s="22" t="str">
        <f>IF(H178="","",H178&amp;I178)</f>
        <v>260410-027SALIDA</v>
      </c>
      <c r="S178" s="22" t="str">
        <f>IF(C178="","",C178&amp;I178)</f>
        <v>PardoSALIDA</v>
      </c>
      <c r="T178" t="str">
        <f>IF(OR(C178="",I178&lt;&gt;"ENTRADA"),"",TEXT(B178,"AAMMDD")&amp;"-"&amp;TEXT(VALUE(SUBSTITUTE(A178,"MOV-","")),"000"))</f>
        <v/>
      </c>
    </row>
    <row r="179" spans="1:20">
      <c r="A179" s="20" t="s">
        <v>391</v>
      </c>
      <c r="B179" s="42">
        <v>46156</v>
      </c>
      <c r="C179" s="4" t="s">
        <v>108</v>
      </c>
      <c r="D179" s="4" t="s">
        <v>109</v>
      </c>
      <c r="E179" s="4" t="s">
        <v>25</v>
      </c>
      <c r="F179" s="4" t="s">
        <v>26</v>
      </c>
      <c r="G179" s="4" t="s">
        <v>27</v>
      </c>
      <c r="H179" s="20" t="s">
        <v>278</v>
      </c>
      <c r="I179" s="4" t="s">
        <v>65</v>
      </c>
      <c r="J179" s="31">
        <v>560</v>
      </c>
      <c r="K179" s="22">
        <f>IF(I179="","",IF(I179="ENTRADA",ABS(J179),-ABS(J179)))</f>
        <v>-560</v>
      </c>
      <c r="L179" s="4" t="s">
        <v>29</v>
      </c>
      <c r="M179" s="4"/>
      <c r="N179" s="4">
        <v>65053</v>
      </c>
      <c r="O179" s="4" t="s">
        <v>387</v>
      </c>
      <c r="P179" s="45">
        <v>1683</v>
      </c>
      <c r="Q179" s="42">
        <v>46162</v>
      </c>
      <c r="R179" s="22" t="str">
        <f>IF(H179="","",H179&amp;I179)</f>
        <v>260410-023SALIDA</v>
      </c>
      <c r="S179" s="22" t="str">
        <f>IF(C179="","",C179&amp;I179)</f>
        <v>Colza Hyola 575 CLSALIDA</v>
      </c>
      <c r="T179" t="str">
        <f>IF(OR(C179="",I179&lt;&gt;"ENTRADA"),"",TEXT(B179,"AAMMDD")&amp;"-"&amp;TEXT(VALUE(SUBSTITUTE(A179,"MOV-","")),"000"))</f>
        <v/>
      </c>
    </row>
    <row r="180" spans="1:20">
      <c r="A180" s="20" t="s">
        <v>392</v>
      </c>
      <c r="B180" s="42">
        <v>46158</v>
      </c>
      <c r="C180" s="33" t="s">
        <v>115</v>
      </c>
      <c r="D180" s="33" t="s">
        <v>116</v>
      </c>
      <c r="E180" s="33" t="s">
        <v>34</v>
      </c>
      <c r="F180" s="33" t="s">
        <v>35</v>
      </c>
      <c r="G180" s="33" t="s">
        <v>117</v>
      </c>
      <c r="H180" s="20" t="s">
        <v>120</v>
      </c>
      <c r="I180" s="33" t="s">
        <v>65</v>
      </c>
      <c r="J180" s="37">
        <v>500</v>
      </c>
      <c r="K180" s="22">
        <f>IF(I180="","",IF(I180="ENTRADA",ABS(J180),-ABS(J180)))</f>
        <v>-500</v>
      </c>
      <c r="L180" s="33" t="s">
        <v>37</v>
      </c>
      <c r="M180" s="33"/>
      <c r="N180" s="33">
        <v>65057</v>
      </c>
      <c r="O180" s="33" t="s">
        <v>213</v>
      </c>
      <c r="P180" s="33">
        <v>1688</v>
      </c>
      <c r="Q180" s="42">
        <v>46163</v>
      </c>
      <c r="R180" s="22" t="str">
        <f>IF(H180="","",H180&amp;I180)</f>
        <v>260410-025SALIDA</v>
      </c>
      <c r="S180" s="22" t="str">
        <f>IF(C180="","",C180&amp;I180)</f>
        <v>AzukaSALIDA</v>
      </c>
      <c r="T180" t="str">
        <f>IF(OR(C180="",I180&lt;&gt;"ENTRADA"),"",TEXT(B180,"AAMMDD")&amp;"-"&amp;TEXT(VALUE(SUBSTITUTE(A180,"MOV-","")),"000"))</f>
        <v/>
      </c>
    </row>
    <row r="181" spans="1:20">
      <c r="A181" s="20" t="s">
        <v>393</v>
      </c>
      <c r="B181" s="42">
        <v>46158</v>
      </c>
      <c r="C181" s="33" t="s">
        <v>130</v>
      </c>
      <c r="D181" s="33" t="s">
        <v>131</v>
      </c>
      <c r="E181" s="33" t="s">
        <v>132</v>
      </c>
      <c r="F181" s="33"/>
      <c r="G181" s="33" t="s">
        <v>133</v>
      </c>
      <c r="H181" s="20" t="s">
        <v>209</v>
      </c>
      <c r="I181" s="33" t="s">
        <v>65</v>
      </c>
      <c r="J181" s="37">
        <v>40</v>
      </c>
      <c r="K181" s="22">
        <f>IF(I181="","",IF(I181="ENTRADA",ABS(J181),-ABS(J181)))</f>
        <v>-40</v>
      </c>
      <c r="L181" s="33" t="s">
        <v>37</v>
      </c>
      <c r="M181" s="33"/>
      <c r="N181" s="33">
        <v>65058</v>
      </c>
      <c r="O181" s="33" t="s">
        <v>218</v>
      </c>
      <c r="P181" s="33">
        <v>1687</v>
      </c>
      <c r="Q181" s="42">
        <v>46162</v>
      </c>
      <c r="R181" s="22" t="str">
        <f>IF(H181="","",H181&amp;I181)</f>
        <v>260414-028SALIDA</v>
      </c>
      <c r="S181" s="22" t="str">
        <f>IF(C181="","",C181&amp;I181)</f>
        <v>HarrierSALIDA</v>
      </c>
      <c r="T181" t="str">
        <f>IF(OR(C181="",I181&lt;&gt;"ENTRADA"),"",TEXT(B181,"AAMMDD")&amp;"-"&amp;TEXT(VALUE(SUBSTITUTE(A181,"MOV-","")),"000"))</f>
        <v/>
      </c>
    </row>
    <row r="182" spans="1:20">
      <c r="A182" s="20" t="s">
        <v>394</v>
      </c>
      <c r="B182" s="42">
        <v>46158</v>
      </c>
      <c r="C182" s="33" t="s">
        <v>44</v>
      </c>
      <c r="D182" s="33" t="s">
        <v>63</v>
      </c>
      <c r="E182" s="33" t="s">
        <v>34</v>
      </c>
      <c r="F182" s="33" t="s">
        <v>46</v>
      </c>
      <c r="G182" s="33" t="s">
        <v>36</v>
      </c>
      <c r="H182" s="20" t="s">
        <v>64</v>
      </c>
      <c r="I182" s="33" t="s">
        <v>65</v>
      </c>
      <c r="J182" s="37">
        <v>80</v>
      </c>
      <c r="K182" s="22">
        <f>IF(I182="","",IF(I182="ENTRADA",ABS(J182),-ABS(J182)))</f>
        <v>-80</v>
      </c>
      <c r="L182" s="33" t="s">
        <v>37</v>
      </c>
      <c r="M182" s="33"/>
      <c r="N182" s="33">
        <v>65058</v>
      </c>
      <c r="O182" s="33" t="s">
        <v>218</v>
      </c>
      <c r="P182" s="33">
        <v>1687</v>
      </c>
      <c r="Q182" s="42">
        <v>46162</v>
      </c>
      <c r="R182" s="22" t="str">
        <f>IF(H182="","",H182&amp;I182)</f>
        <v>260401-004SALIDA</v>
      </c>
      <c r="S182" s="22" t="str">
        <f>IF(C182="","",C182&amp;I182)</f>
        <v>PresideSALIDA</v>
      </c>
      <c r="T182" t="str">
        <f>IF(OR(C182="",I182&lt;&gt;"ENTRADA"),"",TEXT(B182,"AAMMDD")&amp;"-"&amp;TEXT(VALUE(SUBSTITUTE(A182,"MOV-","")),"000"))</f>
        <v/>
      </c>
    </row>
    <row r="183" spans="1:20">
      <c r="A183" s="20" t="s">
        <v>395</v>
      </c>
      <c r="B183" s="42">
        <v>46158</v>
      </c>
      <c r="C183" s="33" t="s">
        <v>115</v>
      </c>
      <c r="D183" s="33" t="s">
        <v>116</v>
      </c>
      <c r="E183" s="33" t="s">
        <v>34</v>
      </c>
      <c r="F183" s="33" t="s">
        <v>35</v>
      </c>
      <c r="G183" s="33" t="s">
        <v>117</v>
      </c>
      <c r="H183" s="20" t="s">
        <v>120</v>
      </c>
      <c r="I183" s="33" t="s">
        <v>65</v>
      </c>
      <c r="J183" s="37">
        <v>560</v>
      </c>
      <c r="K183" s="22">
        <f>IF(I183="","",IF(I183="ENTRADA",ABS(J183),-ABS(J183)))</f>
        <v>-560</v>
      </c>
      <c r="L183" s="33" t="s">
        <v>37</v>
      </c>
      <c r="M183" s="33"/>
      <c r="N183" s="33">
        <v>65058</v>
      </c>
      <c r="O183" s="33" t="s">
        <v>218</v>
      </c>
      <c r="P183" s="33">
        <v>1687</v>
      </c>
      <c r="Q183" s="42">
        <v>46162</v>
      </c>
      <c r="R183" s="22" t="str">
        <f>IF(H183="","",H183&amp;I183)</f>
        <v>260410-025SALIDA</v>
      </c>
      <c r="S183" s="22" t="str">
        <f>IF(C183="","",C183&amp;I183)</f>
        <v>AzukaSALIDA</v>
      </c>
      <c r="T183" t="str">
        <f>IF(OR(C183="",I183&lt;&gt;"ENTRADA"),"",TEXT(B183,"AAMMDD")&amp;"-"&amp;TEXT(VALUE(SUBSTITUTE(A183,"MOV-","")),"000"))</f>
        <v/>
      </c>
    </row>
    <row r="184" spans="1:20">
      <c r="A184" s="20" t="s">
        <v>396</v>
      </c>
      <c r="B184" s="42">
        <v>46158</v>
      </c>
      <c r="C184" s="33" t="s">
        <v>80</v>
      </c>
      <c r="D184" s="33" t="s">
        <v>81</v>
      </c>
      <c r="E184" s="33" t="s">
        <v>25</v>
      </c>
      <c r="F184" s="33" t="s">
        <v>82</v>
      </c>
      <c r="G184" s="33" t="s">
        <v>83</v>
      </c>
      <c r="H184" s="20" t="s">
        <v>151</v>
      </c>
      <c r="I184" s="33" t="s">
        <v>65</v>
      </c>
      <c r="J184" s="37">
        <v>250</v>
      </c>
      <c r="K184" s="22">
        <f>IF(I184="","",IF(I184="ENTRADA",ABS(J184),-ABS(J184)))</f>
        <v>-250</v>
      </c>
      <c r="L184" s="33" t="s">
        <v>29</v>
      </c>
      <c r="M184" s="33"/>
      <c r="N184" s="33">
        <v>65059</v>
      </c>
      <c r="O184" s="33" t="s">
        <v>387</v>
      </c>
      <c r="P184" s="33">
        <v>1689</v>
      </c>
      <c r="Q184" s="42">
        <v>46163</v>
      </c>
      <c r="R184" s="22" t="str">
        <f>IF(H184="","",H184&amp;I184)</f>
        <v>260408-013SALIDA</v>
      </c>
      <c r="S184" s="22" t="str">
        <f>IF(C184="","",C184&amp;I184)</f>
        <v>Raigrás E284SALIDA</v>
      </c>
      <c r="T184" t="str">
        <f>IF(OR(C184="",I184&lt;&gt;"ENTRADA"),"",TEXT(B184,"AAMMDD")&amp;"-"&amp;TEXT(VALUE(SUBSTITUTE(A184,"MOV-","")),"000"))</f>
        <v/>
      </c>
    </row>
    <row r="185" spans="1:20">
      <c r="A185" s="20" t="s">
        <v>397</v>
      </c>
      <c r="B185" s="42">
        <v>46158</v>
      </c>
      <c r="C185" s="33" t="s">
        <v>156</v>
      </c>
      <c r="D185" s="33" t="s">
        <v>157</v>
      </c>
      <c r="E185" s="33" t="s">
        <v>25</v>
      </c>
      <c r="F185" s="33" t="s">
        <v>26</v>
      </c>
      <c r="G185" s="33" t="s">
        <v>158</v>
      </c>
      <c r="H185" s="20" t="s">
        <v>295</v>
      </c>
      <c r="I185" s="33" t="s">
        <v>65</v>
      </c>
      <c r="J185" s="37">
        <v>660</v>
      </c>
      <c r="K185" s="22">
        <f>IF(I185="","",IF(I185="ENTRADA",ABS(J185),-ABS(J185)))</f>
        <v>-660</v>
      </c>
      <c r="L185" s="33" t="s">
        <v>29</v>
      </c>
      <c r="M185" s="33"/>
      <c r="N185" s="33">
        <v>65059</v>
      </c>
      <c r="O185" s="33" t="s">
        <v>387</v>
      </c>
      <c r="P185" s="33">
        <v>1689</v>
      </c>
      <c r="Q185" s="42">
        <v>46163</v>
      </c>
      <c r="R185" s="22" t="str">
        <f>IF(H185="","",H185&amp;I185)</f>
        <v>260416-035SALIDA</v>
      </c>
      <c r="S185" s="22" t="str">
        <f>IF(C185="","",C185&amp;I185)</f>
        <v>Colza Nuola 300SALIDA</v>
      </c>
      <c r="T185" t="str">
        <f>IF(OR(C185="",I185&lt;&gt;"ENTRADA"),"",TEXT(B185,"AAMMDD")&amp;"-"&amp;TEXT(VALUE(SUBSTITUTE(A185,"MOV-","")),"000"))</f>
        <v/>
      </c>
    </row>
    <row r="186" spans="1:20">
      <c r="A186" s="20" t="s">
        <v>398</v>
      </c>
      <c r="B186" s="42">
        <v>46160</v>
      </c>
      <c r="C186" s="33" t="s">
        <v>115</v>
      </c>
      <c r="D186" s="33" t="s">
        <v>116</v>
      </c>
      <c r="E186" s="33" t="s">
        <v>34</v>
      </c>
      <c r="F186" s="33" t="s">
        <v>35</v>
      </c>
      <c r="G186" s="33" t="s">
        <v>117</v>
      </c>
      <c r="H186" s="20" t="s">
        <v>120</v>
      </c>
      <c r="I186" s="33" t="s">
        <v>65</v>
      </c>
      <c r="J186" s="37">
        <v>2000</v>
      </c>
      <c r="K186" s="22">
        <f>IF(I186="","",IF(I186="ENTRADA",ABS(J186),-ABS(J186)))</f>
        <v>-2000</v>
      </c>
      <c r="L186" s="33" t="s">
        <v>37</v>
      </c>
      <c r="M186" s="33"/>
      <c r="N186" s="33">
        <v>65061</v>
      </c>
      <c r="O186" s="33" t="s">
        <v>213</v>
      </c>
      <c r="P186" s="33">
        <v>1690</v>
      </c>
      <c r="Q186" s="42">
        <v>46163</v>
      </c>
      <c r="R186" s="22" t="str">
        <f>IF(H186="","",H186&amp;I186)</f>
        <v>260410-025SALIDA</v>
      </c>
      <c r="S186" s="22" t="str">
        <f>IF(C186="","",C186&amp;I186)</f>
        <v>AzukaSALIDA</v>
      </c>
      <c r="T186" t="str">
        <f>IF(OR(C186="",I186&lt;&gt;"ENTRADA"),"",TEXT(B186,"AAMMDD")&amp;"-"&amp;TEXT(VALUE(SUBSTITUTE(A186,"MOV-","")),"000"))</f>
        <v/>
      </c>
    </row>
    <row r="187" spans="1:20">
      <c r="A187" s="20" t="s">
        <v>399</v>
      </c>
      <c r="B187" s="42">
        <v>46160</v>
      </c>
      <c r="C187" s="33" t="s">
        <v>90</v>
      </c>
      <c r="D187" s="33" t="s">
        <v>91</v>
      </c>
      <c r="E187" s="33" t="s">
        <v>34</v>
      </c>
      <c r="F187" s="33" t="s">
        <v>35</v>
      </c>
      <c r="G187" s="33" t="s">
        <v>36</v>
      </c>
      <c r="H187" s="20" t="s">
        <v>375</v>
      </c>
      <c r="I187" s="33" t="s">
        <v>65</v>
      </c>
      <c r="J187" s="37">
        <v>100</v>
      </c>
      <c r="K187" s="22">
        <f>IF(I187="","",IF(I187="ENTRADA",ABS(J187),-ABS(J187)))</f>
        <v>-100</v>
      </c>
      <c r="L187" s="33" t="s">
        <v>37</v>
      </c>
      <c r="M187" s="33"/>
      <c r="N187" s="33">
        <v>65061</v>
      </c>
      <c r="O187" s="33" t="s">
        <v>213</v>
      </c>
      <c r="P187" s="33">
        <v>1690</v>
      </c>
      <c r="Q187" s="42">
        <v>46163</v>
      </c>
      <c r="R187" s="22" t="str">
        <f>IF(H187="","",H187&amp;I187)</f>
        <v>260405-132SALIDA</v>
      </c>
      <c r="S187" s="22" t="str">
        <f>IF(C187="","",C187&amp;I187)</f>
        <v>PixxaroSALIDA</v>
      </c>
      <c r="T187" t="str">
        <f>IF(OR(C187="",I187&lt;&gt;"ENTRADA"),"",TEXT(B187,"AAMMDD")&amp;"-"&amp;TEXT(VALUE(SUBSTITUTE(A187,"MOV-","")),"000"))</f>
        <v/>
      </c>
    </row>
    <row r="188" spans="1:20">
      <c r="A188" s="20" t="s">
        <v>400</v>
      </c>
      <c r="B188" s="42">
        <v>46160</v>
      </c>
      <c r="C188" s="33" t="s">
        <v>115</v>
      </c>
      <c r="D188" s="33" t="s">
        <v>116</v>
      </c>
      <c r="E188" s="33" t="s">
        <v>34</v>
      </c>
      <c r="F188" s="33" t="s">
        <v>35</v>
      </c>
      <c r="G188" s="33" t="s">
        <v>117</v>
      </c>
      <c r="H188" s="20" t="s">
        <v>120</v>
      </c>
      <c r="I188" s="33" t="s">
        <v>65</v>
      </c>
      <c r="J188" s="37">
        <v>960</v>
      </c>
      <c r="K188" s="22">
        <f>IF(I188="","",IF(I188="ENTRADA",ABS(J188),-ABS(J188)))</f>
        <v>-960</v>
      </c>
      <c r="L188" s="33" t="s">
        <v>37</v>
      </c>
      <c r="M188" s="33"/>
      <c r="N188" s="33">
        <v>65063</v>
      </c>
      <c r="O188" s="33" t="s">
        <v>237</v>
      </c>
      <c r="P188" s="33">
        <v>1691</v>
      </c>
      <c r="Q188" s="42">
        <v>46163</v>
      </c>
      <c r="R188" s="22" t="str">
        <f>IF(H188="","",H188&amp;I188)</f>
        <v>260410-025SALIDA</v>
      </c>
      <c r="S188" s="22" t="str">
        <f>IF(C188="","",C188&amp;I188)</f>
        <v>AzukaSALIDA</v>
      </c>
      <c r="T188" t="str">
        <f>IF(OR(C188="",I188&lt;&gt;"ENTRADA"),"",TEXT(B188,"AAMMDD")&amp;"-"&amp;TEXT(VALUE(SUBSTITUTE(A188,"MOV-","")),"000"))</f>
        <v/>
      </c>
    </row>
    <row r="189" spans="1:20">
      <c r="A189" s="20" t="s">
        <v>401</v>
      </c>
      <c r="B189" s="42">
        <v>46160</v>
      </c>
      <c r="C189" s="33" t="s">
        <v>90</v>
      </c>
      <c r="D189" s="33" t="s">
        <v>91</v>
      </c>
      <c r="E189" s="33" t="s">
        <v>34</v>
      </c>
      <c r="F189" s="33" t="s">
        <v>35</v>
      </c>
      <c r="G189" s="33" t="s">
        <v>36</v>
      </c>
      <c r="H189" s="20" t="s">
        <v>375</v>
      </c>
      <c r="I189" s="33" t="s">
        <v>65</v>
      </c>
      <c r="J189" s="37">
        <v>40</v>
      </c>
      <c r="K189" s="22">
        <f>IF(I189="","",IF(I189="ENTRADA",ABS(J189),-ABS(J189)))</f>
        <v>-40</v>
      </c>
      <c r="L189" s="33" t="s">
        <v>37</v>
      </c>
      <c r="M189" s="33"/>
      <c r="N189" s="33">
        <v>65063</v>
      </c>
      <c r="O189" s="33" t="s">
        <v>237</v>
      </c>
      <c r="P189" s="33">
        <v>1691</v>
      </c>
      <c r="Q189" s="42">
        <v>46163</v>
      </c>
      <c r="R189" s="22" t="str">
        <f>IF(H189="","",H189&amp;I189)</f>
        <v>260405-132SALIDA</v>
      </c>
      <c r="S189" s="22" t="str">
        <f>IF(C189="","",C189&amp;I189)</f>
        <v>PixxaroSALIDA</v>
      </c>
      <c r="T189" t="str">
        <f>IF(OR(C189="",I189&lt;&gt;"ENTRADA"),"",TEXT(B189,"AAMMDD")&amp;"-"&amp;TEXT(VALUE(SUBSTITUTE(A189,"MOV-","")),"000"))</f>
        <v/>
      </c>
    </row>
    <row r="190" spans="1:20">
      <c r="A190" s="20" t="s">
        <v>402</v>
      </c>
      <c r="B190" s="42">
        <v>46160</v>
      </c>
      <c r="C190" s="4" t="s">
        <v>156</v>
      </c>
      <c r="D190" s="4" t="s">
        <v>157</v>
      </c>
      <c r="E190" s="4" t="s">
        <v>25</v>
      </c>
      <c r="F190" s="4" t="s">
        <v>26</v>
      </c>
      <c r="G190" s="4" t="s">
        <v>158</v>
      </c>
      <c r="H190" s="20" t="s">
        <v>295</v>
      </c>
      <c r="I190" s="4" t="s">
        <v>65</v>
      </c>
      <c r="J190" s="31">
        <v>40</v>
      </c>
      <c r="K190" s="22">
        <f>IF(I190="","",IF(I190="ENTRADA",ABS(J190),-ABS(J190)))</f>
        <v>-40</v>
      </c>
      <c r="L190" s="4" t="s">
        <v>29</v>
      </c>
      <c r="M190" s="4"/>
      <c r="N190" s="4">
        <v>65064</v>
      </c>
      <c r="O190" s="4" t="s">
        <v>387</v>
      </c>
      <c r="P190" s="45">
        <v>1692</v>
      </c>
      <c r="Q190" s="42">
        <v>46163</v>
      </c>
      <c r="R190" s="22" t="str">
        <f>IF(H190="","",H190&amp;I190)</f>
        <v>260416-035SALIDA</v>
      </c>
      <c r="S190" s="22" t="str">
        <f>IF(C190="","",C190&amp;I190)</f>
        <v>Colza Nuola 300SALIDA</v>
      </c>
      <c r="T190" t="str">
        <f>IF(OR(C190="",I190&lt;&gt;"ENTRADA"),"",TEXT(B190,"AAMMDD")&amp;"-"&amp;TEXT(VALUE(SUBSTITUTE(A190,"MOV-","")),"000"))</f>
        <v/>
      </c>
    </row>
    <row r="191" spans="1:20">
      <c r="A191" s="20" t="s">
        <v>403</v>
      </c>
      <c r="B191" s="42">
        <v>46160</v>
      </c>
      <c r="C191" s="33" t="s">
        <v>115</v>
      </c>
      <c r="D191" s="33" t="s">
        <v>116</v>
      </c>
      <c r="E191" s="33" t="s">
        <v>34</v>
      </c>
      <c r="F191" s="33" t="s">
        <v>35</v>
      </c>
      <c r="G191" s="33" t="s">
        <v>117</v>
      </c>
      <c r="H191" s="20" t="s">
        <v>120</v>
      </c>
      <c r="I191" s="33" t="s">
        <v>65</v>
      </c>
      <c r="J191" s="37">
        <v>3340</v>
      </c>
      <c r="K191" s="22">
        <f>IF(I191="","",IF(I191="ENTRADA",ABS(J191),-ABS(J191)))</f>
        <v>-3340</v>
      </c>
      <c r="L191" s="33" t="s">
        <v>37</v>
      </c>
      <c r="M191" s="33"/>
      <c r="N191" s="33">
        <v>65065</v>
      </c>
      <c r="O191" s="33" t="s">
        <v>382</v>
      </c>
      <c r="P191" s="33">
        <v>1693</v>
      </c>
      <c r="Q191" s="42">
        <v>46163</v>
      </c>
      <c r="R191" s="22" t="str">
        <f>IF(H191="","",H191&amp;I191)</f>
        <v>260410-025SALIDA</v>
      </c>
      <c r="S191" s="22" t="str">
        <f>IF(C191="","",C191&amp;I191)</f>
        <v>AzukaSALIDA</v>
      </c>
      <c r="T191" t="str">
        <f>IF(OR(C191="",I191&lt;&gt;"ENTRADA"),"",TEXT(B191,"AAMMDD")&amp;"-"&amp;TEXT(VALUE(SUBSTITUTE(A191,"MOV-","")),"000"))</f>
        <v/>
      </c>
    </row>
    <row r="192" spans="1:20">
      <c r="A192" s="20" t="s">
        <v>404</v>
      </c>
      <c r="B192" s="42">
        <v>46160</v>
      </c>
      <c r="C192" s="33" t="s">
        <v>90</v>
      </c>
      <c r="D192" s="33" t="s">
        <v>91</v>
      </c>
      <c r="E192" s="33" t="s">
        <v>34</v>
      </c>
      <c r="F192" s="33" t="s">
        <v>35</v>
      </c>
      <c r="G192" s="33" t="s">
        <v>36</v>
      </c>
      <c r="H192" s="20" t="s">
        <v>375</v>
      </c>
      <c r="I192" s="33" t="s">
        <v>65</v>
      </c>
      <c r="J192" s="37">
        <v>380</v>
      </c>
      <c r="K192" s="22">
        <f>IF(I192="","",IF(I192="ENTRADA",ABS(J192),-ABS(J192)))</f>
        <v>-380</v>
      </c>
      <c r="L192" s="33" t="s">
        <v>37</v>
      </c>
      <c r="M192" s="33"/>
      <c r="N192" s="33">
        <v>65065</v>
      </c>
      <c r="O192" s="33" t="s">
        <v>382</v>
      </c>
      <c r="P192" s="33">
        <v>1693</v>
      </c>
      <c r="Q192" s="42">
        <v>46163</v>
      </c>
      <c r="R192" s="22" t="str">
        <f>IF(H192="","",H192&amp;I192)</f>
        <v>260405-132SALIDA</v>
      </c>
      <c r="S192" s="22" t="str">
        <f>IF(C192="","",C192&amp;I192)</f>
        <v>PixxaroSALIDA</v>
      </c>
      <c r="T192" t="str">
        <f>IF(OR(C192="",I192&lt;&gt;"ENTRADA"),"",TEXT(B192,"AAMMDD")&amp;"-"&amp;TEXT(VALUE(SUBSTITUTE(A192,"MOV-","")),"000"))</f>
        <v/>
      </c>
    </row>
    <row r="193" spans="1:20">
      <c r="A193" s="20" t="s">
        <v>405</v>
      </c>
      <c r="B193" s="42">
        <v>46160</v>
      </c>
      <c r="C193" s="33" t="s">
        <v>130</v>
      </c>
      <c r="D193" s="33" t="s">
        <v>131</v>
      </c>
      <c r="E193" s="33" t="s">
        <v>132</v>
      </c>
      <c r="F193" s="33"/>
      <c r="G193" s="33" t="s">
        <v>133</v>
      </c>
      <c r="H193" s="20" t="s">
        <v>209</v>
      </c>
      <c r="I193" s="33" t="s">
        <v>65</v>
      </c>
      <c r="J193" s="37">
        <v>120</v>
      </c>
      <c r="K193" s="22">
        <f>IF(I193="","",IF(I193="ENTRADA",ABS(J193),-ABS(J193)))</f>
        <v>-120</v>
      </c>
      <c r="L193" s="33" t="s">
        <v>37</v>
      </c>
      <c r="M193" s="33"/>
      <c r="N193" s="33">
        <v>65065</v>
      </c>
      <c r="O193" s="33" t="s">
        <v>382</v>
      </c>
      <c r="P193" s="33">
        <v>1693</v>
      </c>
      <c r="Q193" s="42">
        <v>46163</v>
      </c>
      <c r="R193" s="22" t="str">
        <f>IF(H193="","",H193&amp;I193)</f>
        <v>260414-028SALIDA</v>
      </c>
      <c r="S193" s="22" t="str">
        <f>IF(C193="","",C193&amp;I193)</f>
        <v>HarrierSALIDA</v>
      </c>
      <c r="T193" t="str">
        <f>IF(OR(C193="",I193&lt;&gt;"ENTRADA"),"",TEXT(B193,"AAMMDD")&amp;"-"&amp;TEXT(VALUE(SUBSTITUTE(A193,"MOV-","")),"000"))</f>
        <v/>
      </c>
    </row>
    <row r="194" spans="1:20">
      <c r="A194" s="20" t="s">
        <v>406</v>
      </c>
      <c r="B194" s="42">
        <v>46160</v>
      </c>
      <c r="C194" s="33" t="s">
        <v>137</v>
      </c>
      <c r="D194" s="33" t="s">
        <v>138</v>
      </c>
      <c r="E194" s="33" t="s">
        <v>132</v>
      </c>
      <c r="F194" s="33"/>
      <c r="G194" s="33" t="s">
        <v>133</v>
      </c>
      <c r="H194" s="20" t="s">
        <v>211</v>
      </c>
      <c r="I194" s="33" t="s">
        <v>65</v>
      </c>
      <c r="J194" s="50">
        <v>15</v>
      </c>
      <c r="K194" s="22">
        <f>IF(I194="","",IF(I194="ENTRADA",ABS(J194),-ABS(J194)))</f>
        <v>-15</v>
      </c>
      <c r="L194" s="33" t="s">
        <v>37</v>
      </c>
      <c r="M194" s="33"/>
      <c r="N194" s="33">
        <v>65065</v>
      </c>
      <c r="O194" s="33" t="s">
        <v>382</v>
      </c>
      <c r="P194" s="33">
        <v>1693</v>
      </c>
      <c r="Q194" s="42">
        <v>46163</v>
      </c>
      <c r="R194" s="22" t="str">
        <f>IF(H194="","",H194&amp;I194)</f>
        <v>260414-030SALIDA</v>
      </c>
      <c r="S194" s="22" t="str">
        <f>IF(C194="","",C194&amp;I194)</f>
        <v>Full controlSALIDA</v>
      </c>
      <c r="T194" t="str">
        <f>IF(OR(C194="",I194&lt;&gt;"ENTRADA"),"",TEXT(B194,"AAMMDD")&amp;"-"&amp;TEXT(VALUE(SUBSTITUTE(A194,"MOV-","")),"000"))</f>
        <v/>
      </c>
    </row>
    <row r="195" spans="1:20">
      <c r="A195" s="20" t="s">
        <v>407</v>
      </c>
      <c r="B195" s="42">
        <v>46160</v>
      </c>
      <c r="C195" s="33" t="s">
        <v>186</v>
      </c>
      <c r="D195" s="33" t="s">
        <v>187</v>
      </c>
      <c r="E195" s="33" t="s">
        <v>25</v>
      </c>
      <c r="F195" s="33" t="s">
        <v>188</v>
      </c>
      <c r="G195" s="33" t="s">
        <v>180</v>
      </c>
      <c r="H195" s="20" t="s">
        <v>319</v>
      </c>
      <c r="I195" s="33" t="s">
        <v>65</v>
      </c>
      <c r="J195" s="37">
        <v>300</v>
      </c>
      <c r="K195" s="22">
        <f>IF(I195="","",IF(I195="ENTRADA",ABS(J195),-ABS(J195)))</f>
        <v>-300</v>
      </c>
      <c r="L195" s="33" t="s">
        <v>29</v>
      </c>
      <c r="M195" s="33"/>
      <c r="N195" s="33">
        <v>65066</v>
      </c>
      <c r="O195" s="33" t="s">
        <v>218</v>
      </c>
      <c r="P195" s="33">
        <v>1694</v>
      </c>
      <c r="Q195" s="42">
        <v>46163</v>
      </c>
      <c r="R195" s="22" t="str">
        <f>IF(H195="","",H195&amp;I195)</f>
        <v>260417-043SALIDA</v>
      </c>
      <c r="S195" s="22" t="str">
        <f>IF(C195="","",C195&amp;I195)</f>
        <v>Trebol Blanco E ZapicanSALIDA</v>
      </c>
      <c r="T195" t="str">
        <f>IF(OR(C195="",I195&lt;&gt;"ENTRADA"),"",TEXT(B195,"AAMMDD")&amp;"-"&amp;TEXT(VALUE(SUBSTITUTE(A195,"MOV-","")),"000"))</f>
        <v/>
      </c>
    </row>
    <row r="196" spans="1:20">
      <c r="A196" s="20" t="s">
        <v>408</v>
      </c>
      <c r="B196" s="42">
        <v>46160</v>
      </c>
      <c r="C196" s="33" t="s">
        <v>304</v>
      </c>
      <c r="D196" s="33" t="s">
        <v>305</v>
      </c>
      <c r="E196" s="33" t="s">
        <v>25</v>
      </c>
      <c r="F196" s="33" t="s">
        <v>188</v>
      </c>
      <c r="G196" s="33" t="s">
        <v>301</v>
      </c>
      <c r="H196" s="20" t="s">
        <v>409</v>
      </c>
      <c r="I196" s="33" t="s">
        <v>65</v>
      </c>
      <c r="J196" s="37">
        <v>25</v>
      </c>
      <c r="K196" s="22">
        <f>IF(I196="","",IF(I196="ENTRADA",ABS(J196),-ABS(J196)))</f>
        <v>-25</v>
      </c>
      <c r="L196" s="33" t="s">
        <v>29</v>
      </c>
      <c r="M196" s="33"/>
      <c r="N196" s="33">
        <v>65066</v>
      </c>
      <c r="O196" s="33" t="s">
        <v>218</v>
      </c>
      <c r="P196" s="33">
        <v>1694</v>
      </c>
      <c r="Q196" s="42">
        <v>46163</v>
      </c>
      <c r="R196" s="22" t="str">
        <f>IF(H196="","",H196&amp;I196)</f>
        <v>260429-113SALIDA</v>
      </c>
      <c r="S196" s="22" t="str">
        <f>IF(C196="","",C196&amp;I196)</f>
        <v>Trebol blanco Zapican inoculado SALIDA</v>
      </c>
      <c r="T196" t="str">
        <f>IF(OR(C196="",I196&lt;&gt;"ENTRADA"),"",TEXT(B196,"AAMMDD")&amp;"-"&amp;TEXT(VALUE(SUBSTITUTE(A196,"MOV-","")),"000"))</f>
        <v/>
      </c>
    </row>
    <row r="197" spans="1:20">
      <c r="A197" s="20" t="s">
        <v>410</v>
      </c>
      <c r="B197" s="42">
        <v>46160</v>
      </c>
      <c r="C197" s="33" t="s">
        <v>160</v>
      </c>
      <c r="D197" s="33" t="s">
        <v>161</v>
      </c>
      <c r="E197" s="33" t="s">
        <v>25</v>
      </c>
      <c r="F197" s="33" t="s">
        <v>26</v>
      </c>
      <c r="G197" s="33" t="s">
        <v>158</v>
      </c>
      <c r="H197" s="20" t="s">
        <v>239</v>
      </c>
      <c r="I197" s="33" t="s">
        <v>65</v>
      </c>
      <c r="J197" s="37">
        <v>448</v>
      </c>
      <c r="K197" s="22">
        <f>IF(I197="","",IF(I197="ENTRADA",ABS(J197),-ABS(J197)))</f>
        <v>-448</v>
      </c>
      <c r="L197" s="33" t="s">
        <v>29</v>
      </c>
      <c r="M197" s="33"/>
      <c r="N197" s="33">
        <v>65068</v>
      </c>
      <c r="O197" s="33" t="s">
        <v>213</v>
      </c>
      <c r="P197" s="33">
        <v>1695</v>
      </c>
      <c r="Q197" s="42">
        <v>46163</v>
      </c>
      <c r="R197" s="22" t="str">
        <f>IF(H197="","",H197&amp;I197)</f>
        <v>260416-036SALIDA</v>
      </c>
      <c r="S197" s="22" t="str">
        <f>IF(C197="","",C197&amp;I197)</f>
        <v>Colza Ceres IMISALIDA</v>
      </c>
      <c r="T197" t="str">
        <f>IF(OR(C197="",I197&lt;&gt;"ENTRADA"),"",TEXT(B197,"AAMMDD")&amp;"-"&amp;TEXT(VALUE(SUBSTITUTE(A197,"MOV-","")),"000"))</f>
        <v/>
      </c>
    </row>
    <row r="198" spans="1:20">
      <c r="A198" s="20" t="s">
        <v>411</v>
      </c>
      <c r="B198" s="42">
        <v>46160</v>
      </c>
      <c r="C198" s="33" t="s">
        <v>156</v>
      </c>
      <c r="D198" s="33" t="s">
        <v>157</v>
      </c>
      <c r="E198" s="33" t="s">
        <v>25</v>
      </c>
      <c r="F198" s="33" t="s">
        <v>26</v>
      </c>
      <c r="G198" s="33" t="s">
        <v>158</v>
      </c>
      <c r="H198" s="20" t="s">
        <v>295</v>
      </c>
      <c r="I198" s="33" t="s">
        <v>65</v>
      </c>
      <c r="J198" s="37">
        <v>200</v>
      </c>
      <c r="K198" s="22">
        <f>IF(I198="","",IF(I198="ENTRADA",ABS(J198),-ABS(J198)))</f>
        <v>-200</v>
      </c>
      <c r="L198" s="33" t="s">
        <v>29</v>
      </c>
      <c r="M198" s="33"/>
      <c r="N198" s="33">
        <v>65068</v>
      </c>
      <c r="O198" s="33" t="s">
        <v>213</v>
      </c>
      <c r="P198" s="33">
        <v>1695</v>
      </c>
      <c r="Q198" s="42">
        <v>46163</v>
      </c>
      <c r="R198" s="22" t="str">
        <f>IF(H198="","",H198&amp;I198)</f>
        <v>260416-035SALIDA</v>
      </c>
      <c r="S198" s="22" t="str">
        <f>IF(C198="","",C198&amp;I198)</f>
        <v>Colza Nuola 300SALIDA</v>
      </c>
      <c r="T198" t="str">
        <f>IF(OR(C198="",I198&lt;&gt;"ENTRADA"),"",TEXT(B198,"AAMMDD")&amp;"-"&amp;TEXT(VALUE(SUBSTITUTE(A198,"MOV-","")),"000"))</f>
        <v/>
      </c>
    </row>
    <row r="199" spans="1:20">
      <c r="A199" s="20" t="s">
        <v>412</v>
      </c>
      <c r="B199" s="42">
        <v>46160</v>
      </c>
      <c r="C199" s="33" t="s">
        <v>137</v>
      </c>
      <c r="D199" s="33" t="s">
        <v>138</v>
      </c>
      <c r="E199" s="33" t="s">
        <v>132</v>
      </c>
      <c r="F199" s="33"/>
      <c r="G199" s="33" t="s">
        <v>133</v>
      </c>
      <c r="H199" s="20" t="s">
        <v>211</v>
      </c>
      <c r="I199" s="33" t="s">
        <v>65</v>
      </c>
      <c r="J199" s="50">
        <v>15</v>
      </c>
      <c r="K199" s="22">
        <f>IF(I199="","",IF(I199="ENTRADA",ABS(J199),-ABS(J199)))</f>
        <v>-15</v>
      </c>
      <c r="L199" s="33" t="s">
        <v>37</v>
      </c>
      <c r="M199" s="33"/>
      <c r="N199" s="33">
        <v>65067</v>
      </c>
      <c r="O199" s="33" t="s">
        <v>382</v>
      </c>
      <c r="P199" s="33">
        <v>1696</v>
      </c>
      <c r="Q199" s="42">
        <v>46163</v>
      </c>
      <c r="R199" s="22" t="str">
        <f>IF(H199="","",H199&amp;I199)</f>
        <v>260414-030SALIDA</v>
      </c>
      <c r="S199" s="22" t="str">
        <f>IF(C199="","",C199&amp;I199)</f>
        <v>Full controlSALIDA</v>
      </c>
      <c r="T199" t="str">
        <f>IF(OR(C199="",I199&lt;&gt;"ENTRADA"),"",TEXT(B199,"AAMMDD")&amp;"-"&amp;TEXT(VALUE(SUBSTITUTE(A199,"MOV-","")),"000"))</f>
        <v/>
      </c>
    </row>
    <row r="200" spans="1:20">
      <c r="A200" s="20" t="s">
        <v>413</v>
      </c>
      <c r="B200" s="42">
        <v>46160</v>
      </c>
      <c r="C200" s="33" t="s">
        <v>115</v>
      </c>
      <c r="D200" s="33" t="s">
        <v>116</v>
      </c>
      <c r="E200" s="33" t="s">
        <v>34</v>
      </c>
      <c r="F200" s="33" t="s">
        <v>35</v>
      </c>
      <c r="G200" s="33" t="s">
        <v>117</v>
      </c>
      <c r="H200" s="20" t="s">
        <v>120</v>
      </c>
      <c r="I200" s="33" t="s">
        <v>65</v>
      </c>
      <c r="J200" s="37">
        <v>600</v>
      </c>
      <c r="K200" s="22">
        <f>IF(I200="","",IF(I200="ENTRADA",ABS(J200),-ABS(J200)))</f>
        <v>-600</v>
      </c>
      <c r="L200" s="33" t="s">
        <v>37</v>
      </c>
      <c r="M200" s="33"/>
      <c r="N200" s="33">
        <v>65067</v>
      </c>
      <c r="O200" s="33" t="s">
        <v>382</v>
      </c>
      <c r="P200" s="33">
        <v>1696</v>
      </c>
      <c r="Q200" s="42">
        <v>46163</v>
      </c>
      <c r="R200" s="22" t="str">
        <f>IF(H200="","",H200&amp;I200)</f>
        <v>260410-025SALIDA</v>
      </c>
      <c r="S200" s="22" t="str">
        <f>IF(C200="","",C200&amp;I200)</f>
        <v>AzukaSALIDA</v>
      </c>
      <c r="T200" t="str">
        <f>IF(OR(C200="",I200&lt;&gt;"ENTRADA"),"",TEXT(B200,"AAMMDD")&amp;"-"&amp;TEXT(VALUE(SUBSTITUTE(A200,"MOV-","")),"000"))</f>
        <v/>
      </c>
    </row>
    <row r="201" spans="1:20">
      <c r="A201" s="20" t="s">
        <v>414</v>
      </c>
      <c r="B201" s="42">
        <v>46160</v>
      </c>
      <c r="C201" s="34" t="s">
        <v>90</v>
      </c>
      <c r="D201" s="34" t="s">
        <v>91</v>
      </c>
      <c r="E201" s="34" t="s">
        <v>34</v>
      </c>
      <c r="F201" s="34" t="s">
        <v>35</v>
      </c>
      <c r="G201" s="34" t="s">
        <v>36</v>
      </c>
      <c r="H201" s="20" t="s">
        <v>375</v>
      </c>
      <c r="I201" s="34" t="s">
        <v>65</v>
      </c>
      <c r="J201" s="36">
        <v>80</v>
      </c>
      <c r="K201" s="22">
        <f>IF(I201="","",IF(I201="ENTRADA",ABS(J201),-ABS(J201)))</f>
        <v>-80</v>
      </c>
      <c r="L201" s="34" t="s">
        <v>37</v>
      </c>
      <c r="M201" s="34"/>
      <c r="N201" s="34">
        <v>65067</v>
      </c>
      <c r="O201" s="34" t="s">
        <v>382</v>
      </c>
      <c r="P201" s="46">
        <v>1696</v>
      </c>
      <c r="Q201" s="42">
        <v>46163</v>
      </c>
      <c r="R201" s="22" t="str">
        <f>IF(H201="","",H201&amp;I201)</f>
        <v>260405-132SALIDA</v>
      </c>
      <c r="S201" s="22" t="str">
        <f>IF(C201="","",C201&amp;I201)</f>
        <v>PixxaroSALIDA</v>
      </c>
      <c r="T201" t="str">
        <f>IF(OR(C201="",I201&lt;&gt;"ENTRADA"),"",TEXT(B201,"AAMMDD")&amp;"-"&amp;TEXT(VALUE(SUBSTITUTE(A201,"MOV-","")),"000"))</f>
        <v/>
      </c>
    </row>
    <row r="202" spans="1:20">
      <c r="A202" s="20" t="s">
        <v>415</v>
      </c>
      <c r="B202" s="42">
        <v>46160</v>
      </c>
      <c r="C202" t="s">
        <v>130</v>
      </c>
      <c r="D202" t="s">
        <v>131</v>
      </c>
      <c r="E202" t="s">
        <v>132</v>
      </c>
      <c r="G202" t="s">
        <v>133</v>
      </c>
      <c r="H202" s="20" t="s">
        <v>221</v>
      </c>
      <c r="I202" t="s">
        <v>65</v>
      </c>
      <c r="J202" s="30">
        <v>40</v>
      </c>
      <c r="K202" s="22">
        <f>IF(I202="","",IF(I202="ENTRADA",ABS(J202),-ABS(J202)))</f>
        <v>-40</v>
      </c>
      <c r="L202" t="s">
        <v>37</v>
      </c>
      <c r="N202">
        <v>65067</v>
      </c>
      <c r="O202" t="s">
        <v>382</v>
      </c>
      <c r="P202">
        <v>1696</v>
      </c>
      <c r="Q202" s="42">
        <v>46163</v>
      </c>
      <c r="R202" s="22" t="str">
        <f>IF(H202="","",H202&amp;I202)</f>
        <v>260414-029SALIDA</v>
      </c>
      <c r="S202" s="22" t="str">
        <f>IF(C202="","",C202&amp;I202)</f>
        <v>HarrierSALIDA</v>
      </c>
      <c r="T202" t="str">
        <f>IF(OR(C202="",I202&lt;&gt;"ENTRADA"),"",TEXT(B202,"AAMMDD")&amp;"-"&amp;TEXT(VALUE(SUBSTITUTE(A202,"MOV-","")),"000"))</f>
        <v/>
      </c>
    </row>
    <row r="203" spans="1:20">
      <c r="A203" s="20" t="s">
        <v>416</v>
      </c>
      <c r="B203" s="42">
        <v>46160</v>
      </c>
      <c r="C203" t="s">
        <v>299</v>
      </c>
      <c r="D203" t="s">
        <v>300</v>
      </c>
      <c r="E203" t="s">
        <v>25</v>
      </c>
      <c r="F203" t="s">
        <v>165</v>
      </c>
      <c r="G203" t="s">
        <v>301</v>
      </c>
      <c r="H203" s="20" t="s">
        <v>365</v>
      </c>
      <c r="I203" t="s">
        <v>65</v>
      </c>
      <c r="J203" s="30">
        <v>1740</v>
      </c>
      <c r="K203" s="22">
        <f>IF(I203="","",IF(I203="ENTRADA",ABS(J203),-ABS(J203)))</f>
        <v>-1740</v>
      </c>
      <c r="L203" t="s">
        <v>29</v>
      </c>
      <c r="N203">
        <v>65062</v>
      </c>
      <c r="O203" t="s">
        <v>218</v>
      </c>
      <c r="P203">
        <v>1697</v>
      </c>
      <c r="Q203" s="42">
        <v>46163</v>
      </c>
      <c r="R203" s="22" t="str">
        <f>IF(H203="","",H203&amp;I203)</f>
        <v>260429-112SALIDA</v>
      </c>
      <c r="S203" s="22" t="str">
        <f>IF(C203="","",C203&amp;I203)</f>
        <v>Festuca elodie curadaSALIDA</v>
      </c>
      <c r="T203" t="str">
        <f>IF(OR(C203="",I203&lt;&gt;"ENTRADA"),"",TEXT(B203,"AAMMDD")&amp;"-"&amp;TEXT(VALUE(SUBSTITUTE(A203,"MOV-","")),"000"))</f>
        <v/>
      </c>
    </row>
    <row r="204" spans="1:20">
      <c r="A204" s="20" t="s">
        <v>417</v>
      </c>
      <c r="B204" s="42">
        <v>46160</v>
      </c>
      <c r="C204" t="s">
        <v>256</v>
      </c>
      <c r="D204" t="s">
        <v>257</v>
      </c>
      <c r="E204" t="s">
        <v>25</v>
      </c>
      <c r="F204" t="s">
        <v>258</v>
      </c>
      <c r="G204" t="s">
        <v>259</v>
      </c>
      <c r="H204" s="20" t="s">
        <v>313</v>
      </c>
      <c r="I204" t="s">
        <v>65</v>
      </c>
      <c r="J204" s="30">
        <v>1225</v>
      </c>
      <c r="K204" s="22">
        <f>IF(I204="","",IF(I204="ENTRADA",ABS(J204),-ABS(J204)))</f>
        <v>-1225</v>
      </c>
      <c r="L204" t="s">
        <v>29</v>
      </c>
      <c r="N204">
        <v>65062</v>
      </c>
      <c r="O204" t="s">
        <v>218</v>
      </c>
      <c r="P204">
        <v>1697</v>
      </c>
      <c r="Q204" s="42">
        <v>46163</v>
      </c>
      <c r="R204" s="22" t="str">
        <f>IF(H204="","",H204&amp;I204)</f>
        <v>260424-088SALIDA</v>
      </c>
      <c r="S204" s="22" t="str">
        <f>IF(C204="","",C204&amp;I204)</f>
        <v>Lotus Nilo htSALIDA</v>
      </c>
      <c r="T204" t="str">
        <f>IF(OR(C204="",I204&lt;&gt;"ENTRADA"),"",TEXT(B204,"AAMMDD")&amp;"-"&amp;TEXT(VALUE(SUBSTITUTE(A204,"MOV-","")),"000"))</f>
        <v/>
      </c>
    </row>
    <row r="205" spans="1:20">
      <c r="A205" s="20" t="s">
        <v>418</v>
      </c>
      <c r="B205" s="42">
        <v>46160</v>
      </c>
      <c r="C205" t="s">
        <v>228</v>
      </c>
      <c r="D205" t="s">
        <v>229</v>
      </c>
      <c r="E205" t="s">
        <v>25</v>
      </c>
      <c r="F205" t="s">
        <v>26</v>
      </c>
      <c r="G205" t="s">
        <v>27</v>
      </c>
      <c r="H205" s="20" t="s">
        <v>327</v>
      </c>
      <c r="I205" t="s">
        <v>65</v>
      </c>
      <c r="J205" s="30">
        <v>480</v>
      </c>
      <c r="K205" s="22">
        <f>IF(I205="","",IF(I205="ENTRADA",ABS(J205),-ABS(J205)))</f>
        <v>-480</v>
      </c>
      <c r="L205" t="s">
        <v>29</v>
      </c>
      <c r="N205">
        <v>65069</v>
      </c>
      <c r="O205" t="s">
        <v>218</v>
      </c>
      <c r="P205">
        <v>1698</v>
      </c>
      <c r="Q205" s="42">
        <v>46163</v>
      </c>
      <c r="R205" s="22" t="str">
        <f>IF(H205="","",H205&amp;I205)</f>
        <v>260421-067SALIDA</v>
      </c>
      <c r="S205" s="22" t="str">
        <f>IF(C205="","",C205&amp;I205)</f>
        <v>Colza continuum ClSALIDA</v>
      </c>
      <c r="T205" t="str">
        <f>IF(OR(C205="",I205&lt;&gt;"ENTRADA"),"",TEXT(B205,"AAMMDD")&amp;"-"&amp;TEXT(VALUE(SUBSTITUTE(A205,"MOV-","")),"000"))</f>
        <v/>
      </c>
    </row>
    <row r="206" spans="1:20">
      <c r="A206" s="20" t="s">
        <v>419</v>
      </c>
      <c r="B206" s="42">
        <v>46160</v>
      </c>
      <c r="C206" t="s">
        <v>156</v>
      </c>
      <c r="D206" t="s">
        <v>157</v>
      </c>
      <c r="E206" t="s">
        <v>25</v>
      </c>
      <c r="F206" t="s">
        <v>26</v>
      </c>
      <c r="G206" t="s">
        <v>158</v>
      </c>
      <c r="H206" s="20" t="s">
        <v>295</v>
      </c>
      <c r="I206" t="s">
        <v>65</v>
      </c>
      <c r="J206" s="30">
        <v>180</v>
      </c>
      <c r="K206" s="22">
        <f>IF(I206="","",IF(I206="ENTRADA",ABS(J206),-ABS(J206)))</f>
        <v>-180</v>
      </c>
      <c r="L206" t="s">
        <v>29</v>
      </c>
      <c r="N206">
        <v>65069</v>
      </c>
      <c r="O206" t="s">
        <v>218</v>
      </c>
      <c r="P206">
        <v>1698</v>
      </c>
      <c r="Q206" s="42">
        <v>46163</v>
      </c>
      <c r="R206" s="22" t="str">
        <f>IF(H206="","",H206&amp;I206)</f>
        <v>260416-035SALIDA</v>
      </c>
      <c r="S206" s="22" t="str">
        <f>IF(C206="","",C206&amp;I206)</f>
        <v>Colza Nuola 300SALIDA</v>
      </c>
      <c r="T206" t="str">
        <f>IF(OR(C206="",I206&lt;&gt;"ENTRADA"),"",TEXT(B206,"AAMMDD")&amp;"-"&amp;TEXT(VALUE(SUBSTITUTE(A206,"MOV-","")),"000"))</f>
        <v/>
      </c>
    </row>
    <row r="207" spans="1:20">
      <c r="A207" s="20" t="s">
        <v>420</v>
      </c>
      <c r="B207" s="42">
        <v>46160</v>
      </c>
      <c r="C207" t="s">
        <v>156</v>
      </c>
      <c r="D207" t="s">
        <v>157</v>
      </c>
      <c r="E207" t="s">
        <v>25</v>
      </c>
      <c r="F207" t="s">
        <v>26</v>
      </c>
      <c r="G207" t="s">
        <v>158</v>
      </c>
      <c r="H207" s="20" t="s">
        <v>295</v>
      </c>
      <c r="I207" t="s">
        <v>65</v>
      </c>
      <c r="J207" s="30">
        <v>100</v>
      </c>
      <c r="K207" s="22">
        <f>IF(I207="","",IF(I207="ENTRADA",ABS(J207),-ABS(J207)))</f>
        <v>-100</v>
      </c>
      <c r="L207" t="s">
        <v>29</v>
      </c>
      <c r="N207">
        <v>65070</v>
      </c>
      <c r="O207" t="s">
        <v>66</v>
      </c>
      <c r="P207">
        <v>1699</v>
      </c>
      <c r="Q207" s="42">
        <v>46163</v>
      </c>
      <c r="R207" s="22" t="str">
        <f>IF(H207="","",H207&amp;I207)</f>
        <v>260416-035SALIDA</v>
      </c>
      <c r="S207" s="22" t="str">
        <f>IF(C207="","",C207&amp;I207)</f>
        <v>Colza Nuola 300SALIDA</v>
      </c>
      <c r="T207" t="str">
        <f>IF(OR(C207="",I207&lt;&gt;"ENTRADA"),"",TEXT(B207,"AAMMDD")&amp;"-"&amp;TEXT(VALUE(SUBSTITUTE(A207,"MOV-","")),"000"))</f>
        <v/>
      </c>
    </row>
    <row r="208" spans="1:20">
      <c r="A208" s="20" t="s">
        <v>421</v>
      </c>
      <c r="B208" s="47">
        <v>46164</v>
      </c>
      <c r="C208" t="s">
        <v>115</v>
      </c>
      <c r="D208" t="s">
        <v>116</v>
      </c>
      <c r="E208" t="s">
        <v>34</v>
      </c>
      <c r="F208" t="s">
        <v>35</v>
      </c>
      <c r="G208" t="s">
        <v>117</v>
      </c>
      <c r="H208" s="20" t="s">
        <v>120</v>
      </c>
      <c r="I208" t="s">
        <v>65</v>
      </c>
      <c r="J208" s="30">
        <v>500</v>
      </c>
      <c r="K208" s="22">
        <f>IF(I208="","",IF(I208="ENTRADA",ABS(J208),-ABS(J208)))</f>
        <v>-500</v>
      </c>
      <c r="L208" t="s">
        <v>37</v>
      </c>
      <c r="N208">
        <v>65071</v>
      </c>
      <c r="O208" t="s">
        <v>382</v>
      </c>
      <c r="P208">
        <v>1701</v>
      </c>
      <c r="Q208" s="42">
        <v>46167</v>
      </c>
      <c r="R208" s="22" t="str">
        <f>IF(H208="","",H208&amp;I208)</f>
        <v>260410-025SALIDA</v>
      </c>
      <c r="S208" s="22" t="str">
        <f>IF(C208="","",C208&amp;I208)</f>
        <v>AzukaSALIDA</v>
      </c>
      <c r="T208" t="str">
        <f>IF(OR(C208="",I208&lt;&gt;"ENTRADA"),"",TEXT(B208,"AAMMDD")&amp;"-"&amp;TEXT(VALUE(SUBSTITUTE(A208,"MOV-","")),"000"))</f>
        <v/>
      </c>
    </row>
    <row r="209" spans="1:20">
      <c r="A209" s="20" t="s">
        <v>422</v>
      </c>
      <c r="B209" s="47">
        <v>46164</v>
      </c>
      <c r="C209" t="s">
        <v>137</v>
      </c>
      <c r="D209" t="s">
        <v>138</v>
      </c>
      <c r="E209" t="s">
        <v>132</v>
      </c>
      <c r="G209" t="s">
        <v>133</v>
      </c>
      <c r="H209" s="20" t="s">
        <v>211</v>
      </c>
      <c r="I209" t="s">
        <v>65</v>
      </c>
      <c r="J209" s="51">
        <v>15</v>
      </c>
      <c r="K209" s="22">
        <f>IF(I209="","",IF(I209="ENTRADA",ABS(J209),-ABS(J209)))</f>
        <v>-15</v>
      </c>
      <c r="L209" t="s">
        <v>37</v>
      </c>
      <c r="N209">
        <v>65071</v>
      </c>
      <c r="O209" t="s">
        <v>382</v>
      </c>
      <c r="P209">
        <v>1701</v>
      </c>
      <c r="Q209" s="42">
        <v>46167</v>
      </c>
      <c r="R209" s="22" t="str">
        <f>IF(H209="","",H209&amp;I209)</f>
        <v>260414-030SALIDA</v>
      </c>
      <c r="S209" s="22" t="str">
        <f>IF(C209="","",C209&amp;I209)</f>
        <v>Full controlSALIDA</v>
      </c>
      <c r="T209" t="str">
        <f>IF(OR(C209="",I209&lt;&gt;"ENTRADA"),"",TEXT(B209,"AAMMDD")&amp;"-"&amp;TEXT(VALUE(SUBSTITUTE(A209,"MOV-","")),"000"))</f>
        <v/>
      </c>
    </row>
    <row r="210" spans="1:20">
      <c r="A210" s="20" t="s">
        <v>423</v>
      </c>
      <c r="B210" s="47">
        <v>46164</v>
      </c>
      <c r="C210" t="s">
        <v>130</v>
      </c>
      <c r="D210" t="s">
        <v>131</v>
      </c>
      <c r="E210" t="s">
        <v>132</v>
      </c>
      <c r="G210" t="s">
        <v>133</v>
      </c>
      <c r="H210" s="20" t="s">
        <v>221</v>
      </c>
      <c r="I210" t="s">
        <v>65</v>
      </c>
      <c r="J210" s="30">
        <v>20</v>
      </c>
      <c r="K210" s="22">
        <f>IF(I210="","",IF(I210="ENTRADA",ABS(J210),-ABS(J210)))</f>
        <v>-20</v>
      </c>
      <c r="L210" t="s">
        <v>37</v>
      </c>
      <c r="N210">
        <v>65071</v>
      </c>
      <c r="O210" t="s">
        <v>382</v>
      </c>
      <c r="P210">
        <v>1701</v>
      </c>
      <c r="Q210" s="42">
        <v>46167</v>
      </c>
      <c r="R210" s="22" t="str">
        <f>IF(H210="","",H210&amp;I210)</f>
        <v>260414-029SALIDA</v>
      </c>
      <c r="S210" s="22" t="str">
        <f>IF(C210="","",C210&amp;I210)</f>
        <v>HarrierSALIDA</v>
      </c>
      <c r="T210" t="str">
        <f>IF(OR(C210="",I210&lt;&gt;"ENTRADA"),"",TEXT(B210,"AAMMDD")&amp;"-"&amp;TEXT(VALUE(SUBSTITUTE(A210,"MOV-","")),"000"))</f>
        <v/>
      </c>
    </row>
    <row r="211" spans="1:20">
      <c r="A211" s="20" t="s">
        <v>424</v>
      </c>
      <c r="B211" s="47">
        <v>46164</v>
      </c>
      <c r="C211" s="34" t="s">
        <v>425</v>
      </c>
      <c r="D211" s="34" t="s">
        <v>426</v>
      </c>
      <c r="E211" s="34" t="s">
        <v>25</v>
      </c>
      <c r="F211" s="34" t="s">
        <v>427</v>
      </c>
      <c r="G211" s="34" t="s">
        <v>27</v>
      </c>
      <c r="H211" s="20" t="str">
        <f>+T211</f>
        <v>260522-210</v>
      </c>
      <c r="I211" s="34" t="s">
        <v>28</v>
      </c>
      <c r="J211" s="36">
        <v>12000</v>
      </c>
      <c r="K211" s="22">
        <f>IF(I211="","",IF(I211="ENTRADA",ABS(J211),-ABS(J211)))</f>
        <v>12000</v>
      </c>
      <c r="L211" s="34" t="s">
        <v>29</v>
      </c>
      <c r="M211" s="34"/>
      <c r="N211" s="34">
        <v>48489</v>
      </c>
      <c r="O211" s="34"/>
      <c r="P211">
        <v>14559</v>
      </c>
      <c r="Q211" s="42">
        <v>46170</v>
      </c>
      <c r="R211" s="22" t="str">
        <f>IF(H211="","",H211&amp;I211)</f>
        <v>260522-210ENTRADA</v>
      </c>
      <c r="S211" s="22" t="str">
        <f>IF(C211="","",C211&amp;I211)</f>
        <v>Semilla trigo tipa ENTRADA</v>
      </c>
      <c r="T211" t="str">
        <f>IF(OR(C211="",I211&lt;&gt;"ENTRADA"),"",TEXT(B211,"AAMMDD")&amp;"-"&amp;TEXT(VALUE(SUBSTITUTE(A211,"MOV-","")),"000"))</f>
        <v>260522-210</v>
      </c>
    </row>
    <row r="212" spans="1:20">
      <c r="A212" s="20" t="s">
        <v>428</v>
      </c>
      <c r="B212" s="47">
        <v>46164</v>
      </c>
      <c r="C212" t="s">
        <v>429</v>
      </c>
      <c r="D212" t="s">
        <v>430</v>
      </c>
      <c r="E212" t="s">
        <v>25</v>
      </c>
      <c r="F212" t="s">
        <v>427</v>
      </c>
      <c r="G212" t="s">
        <v>27</v>
      </c>
      <c r="H212" s="20" t="str">
        <f>+T212</f>
        <v>260522-211</v>
      </c>
      <c r="I212" t="s">
        <v>28</v>
      </c>
      <c r="J212" s="30">
        <v>600</v>
      </c>
      <c r="K212" s="22">
        <f>IF(I212="","",IF(I212="ENTRADA",ABS(J212),-ABS(J212)))</f>
        <v>600</v>
      </c>
      <c r="L212" t="s">
        <v>29</v>
      </c>
      <c r="N212" s="34">
        <v>48489</v>
      </c>
      <c r="P212">
        <v>14559</v>
      </c>
      <c r="Q212" s="42">
        <v>46170</v>
      </c>
      <c r="R212" s="22" t="str">
        <f>IF(H212="","",H212&amp;I212)</f>
        <v>260522-211ENTRADA</v>
      </c>
      <c r="S212" s="22" t="str">
        <f>IF(C212="","",C212&amp;I212)</f>
        <v>Semilla trigo aromoENTRADA</v>
      </c>
      <c r="T212" t="str">
        <f>IF(OR(C212="",I212&lt;&gt;"ENTRADA"),"",TEXT(B212,"AAMMDD")&amp;"-"&amp;TEXT(VALUE(SUBSTITUTE(A212,"MOV-","")),"000"))</f>
        <v>260522-211</v>
      </c>
    </row>
    <row r="213" spans="1:20">
      <c r="A213" s="20" t="s">
        <v>431</v>
      </c>
      <c r="B213" s="47">
        <v>46164</v>
      </c>
      <c r="C213" t="s">
        <v>122</v>
      </c>
      <c r="D213" t="s">
        <v>123</v>
      </c>
      <c r="E213" t="s">
        <v>34</v>
      </c>
      <c r="F213" t="s">
        <v>35</v>
      </c>
      <c r="G213" t="s">
        <v>117</v>
      </c>
      <c r="H213" s="20" t="s">
        <v>203</v>
      </c>
      <c r="I213" t="s">
        <v>65</v>
      </c>
      <c r="J213" s="30">
        <v>110</v>
      </c>
      <c r="K213" s="22">
        <f>IF(I213="","",IF(I213="ENTRADA",ABS(J213),-ABS(J213)))</f>
        <v>-110</v>
      </c>
      <c r="L213" t="s">
        <v>37</v>
      </c>
      <c r="N213">
        <v>65073</v>
      </c>
      <c r="O213" t="s">
        <v>218</v>
      </c>
      <c r="P213">
        <v>1702</v>
      </c>
      <c r="Q213" s="42">
        <v>46167</v>
      </c>
      <c r="R213" s="22" t="str">
        <f>IF(H213="","",H213&amp;I213)</f>
        <v>260410-027SALIDA</v>
      </c>
      <c r="S213" s="22" t="str">
        <f>IF(C213="","",C213&amp;I213)</f>
        <v>PardoSALIDA</v>
      </c>
      <c r="T213" t="str">
        <f>IF(OR(C213="",I213&lt;&gt;"ENTRADA"),"",TEXT(B213,"AAMMDD")&amp;"-"&amp;TEXT(VALUE(SUBSTITUTE(A213,"MOV-","")),"000"))</f>
        <v/>
      </c>
    </row>
    <row r="214" spans="1:20">
      <c r="A214" s="20" t="s">
        <v>432</v>
      </c>
      <c r="B214" s="47">
        <v>46164</v>
      </c>
      <c r="C214" t="s">
        <v>115</v>
      </c>
      <c r="D214" t="s">
        <v>116</v>
      </c>
      <c r="E214" t="s">
        <v>34</v>
      </c>
      <c r="F214" t="s">
        <v>35</v>
      </c>
      <c r="G214" t="s">
        <v>117</v>
      </c>
      <c r="H214" s="20" t="s">
        <v>120</v>
      </c>
      <c r="I214" t="s">
        <v>65</v>
      </c>
      <c r="J214" s="30">
        <v>500</v>
      </c>
      <c r="K214" s="22">
        <f>IF(I214="","",IF(I214="ENTRADA",ABS(J214),-ABS(J214)))</f>
        <v>-500</v>
      </c>
      <c r="L214" t="s">
        <v>37</v>
      </c>
      <c r="N214">
        <v>65073</v>
      </c>
      <c r="O214" t="s">
        <v>218</v>
      </c>
      <c r="P214">
        <v>1702</v>
      </c>
      <c r="Q214" s="42">
        <v>46167</v>
      </c>
      <c r="R214" s="22" t="str">
        <f>IF(H214="","",H214&amp;I214)</f>
        <v>260410-025SALIDA</v>
      </c>
      <c r="S214" s="22" t="str">
        <f>IF(C214="","",C214&amp;I214)</f>
        <v>AzukaSALIDA</v>
      </c>
      <c r="T214" t="str">
        <f>IF(OR(C214="",I214&lt;&gt;"ENTRADA"),"",TEXT(B214,"AAMMDD")&amp;"-"&amp;TEXT(VALUE(SUBSTITUTE(A214,"MOV-","")),"000"))</f>
        <v/>
      </c>
    </row>
    <row r="215" spans="1:20">
      <c r="A215" s="20" t="s">
        <v>433</v>
      </c>
      <c r="B215" s="47">
        <v>46164</v>
      </c>
      <c r="C215" t="s">
        <v>137</v>
      </c>
      <c r="D215" t="s">
        <v>138</v>
      </c>
      <c r="E215" t="s">
        <v>132</v>
      </c>
      <c r="G215" t="s">
        <v>133</v>
      </c>
      <c r="H215" s="20" t="s">
        <v>211</v>
      </c>
      <c r="I215" t="s">
        <v>65</v>
      </c>
      <c r="J215" s="51">
        <v>15</v>
      </c>
      <c r="K215" s="22">
        <f>IF(I215="","",IF(I215="ENTRADA",ABS(J215),-ABS(J215)))</f>
        <v>-15</v>
      </c>
      <c r="L215" t="s">
        <v>37</v>
      </c>
      <c r="N215">
        <v>65073</v>
      </c>
      <c r="O215" t="s">
        <v>218</v>
      </c>
      <c r="P215">
        <v>1702</v>
      </c>
      <c r="Q215" s="42">
        <v>46167</v>
      </c>
      <c r="R215" s="22" t="str">
        <f>IF(H215="","",H215&amp;I215)</f>
        <v>260414-030SALIDA</v>
      </c>
      <c r="S215" s="22" t="str">
        <f>IF(C215="","",C215&amp;I215)</f>
        <v>Full controlSALIDA</v>
      </c>
      <c r="T215" t="str">
        <f>IF(OR(C215="",I215&lt;&gt;"ENTRADA"),"",TEXT(B215,"AAMMDD")&amp;"-"&amp;TEXT(VALUE(SUBSTITUTE(A215,"MOV-","")),"000"))</f>
        <v/>
      </c>
    </row>
    <row r="216" spans="1:20">
      <c r="A216" s="20" t="s">
        <v>434</v>
      </c>
      <c r="B216" s="47">
        <v>46164</v>
      </c>
      <c r="C216" t="s">
        <v>130</v>
      </c>
      <c r="D216" t="s">
        <v>131</v>
      </c>
      <c r="E216" t="s">
        <v>132</v>
      </c>
      <c r="G216" t="s">
        <v>133</v>
      </c>
      <c r="H216" s="20" t="s">
        <v>221</v>
      </c>
      <c r="I216" t="s">
        <v>65</v>
      </c>
      <c r="J216" s="30">
        <v>60</v>
      </c>
      <c r="K216" s="22">
        <f>IF(I216="","",IF(I216="ENTRADA",ABS(J216),-ABS(J216)))</f>
        <v>-60</v>
      </c>
      <c r="L216" t="s">
        <v>37</v>
      </c>
      <c r="N216">
        <v>65073</v>
      </c>
      <c r="O216" t="s">
        <v>218</v>
      </c>
      <c r="P216">
        <v>1702</v>
      </c>
      <c r="Q216" s="42">
        <v>46167</v>
      </c>
      <c r="R216" s="22" t="str">
        <f>IF(H216="","",H216&amp;I216)</f>
        <v>260414-029SALIDA</v>
      </c>
      <c r="S216" s="22" t="str">
        <f>IF(C216="","",C216&amp;I216)</f>
        <v>HarrierSALIDA</v>
      </c>
      <c r="T216" t="str">
        <f>IF(OR(C216="",I216&lt;&gt;"ENTRADA"),"",TEXT(B216,"AAMMDD")&amp;"-"&amp;TEXT(VALUE(SUBSTITUTE(A216,"MOV-","")),"000"))</f>
        <v/>
      </c>
    </row>
    <row r="217" spans="1:20">
      <c r="A217" s="20" t="s">
        <v>435</v>
      </c>
      <c r="B217" s="47">
        <v>46165</v>
      </c>
      <c r="C217" t="s">
        <v>90</v>
      </c>
      <c r="D217" t="s">
        <v>91</v>
      </c>
      <c r="E217" t="s">
        <v>34</v>
      </c>
      <c r="F217" t="s">
        <v>35</v>
      </c>
      <c r="G217" t="s">
        <v>36</v>
      </c>
      <c r="H217" s="20" t="s">
        <v>375</v>
      </c>
      <c r="I217" t="s">
        <v>65</v>
      </c>
      <c r="J217" s="30">
        <v>300</v>
      </c>
      <c r="K217" s="22">
        <f>IF(I217="","",IF(I217="ENTRADA",ABS(J217),-ABS(J217)))</f>
        <v>-300</v>
      </c>
      <c r="L217" t="s">
        <v>37</v>
      </c>
      <c r="N217">
        <v>65076</v>
      </c>
      <c r="O217" t="s">
        <v>331</v>
      </c>
      <c r="P217">
        <v>1704</v>
      </c>
      <c r="Q217" s="42">
        <v>46167</v>
      </c>
      <c r="R217" s="22" t="str">
        <f>IF(H217="","",H217&amp;I217)</f>
        <v>260405-132SALIDA</v>
      </c>
      <c r="S217" s="22" t="str">
        <f>IF(C217="","",C217&amp;I217)</f>
        <v>PixxaroSALIDA</v>
      </c>
      <c r="T217" t="str">
        <f>IF(OR(C217="",I217&lt;&gt;"ENTRADA"),"",TEXT(B217,"AAMMDD")&amp;"-"&amp;TEXT(VALUE(SUBSTITUTE(A217,"MOV-","")),"000"))</f>
        <v/>
      </c>
    </row>
    <row r="218" spans="1:20">
      <c r="A218" s="20" t="s">
        <v>436</v>
      </c>
      <c r="B218" s="47">
        <v>46103</v>
      </c>
      <c r="C218" t="s">
        <v>80</v>
      </c>
      <c r="D218" t="s">
        <v>81</v>
      </c>
      <c r="E218" t="s">
        <v>25</v>
      </c>
      <c r="F218" t="s">
        <v>82</v>
      </c>
      <c r="G218" t="s">
        <v>83</v>
      </c>
      <c r="H218" s="20" t="s">
        <v>151</v>
      </c>
      <c r="I218" t="s">
        <v>65</v>
      </c>
      <c r="J218" s="30">
        <v>2500</v>
      </c>
      <c r="K218" s="22">
        <f>IF(I218="","",IF(I218="ENTRADA",ABS(J218),-ABS(J218)))</f>
        <v>-2500</v>
      </c>
      <c r="L218" t="s">
        <v>29</v>
      </c>
      <c r="N218">
        <v>65075</v>
      </c>
      <c r="O218" t="s">
        <v>387</v>
      </c>
      <c r="P218">
        <v>1703</v>
      </c>
      <c r="Q218" s="42">
        <v>46167</v>
      </c>
      <c r="R218" s="22" t="str">
        <f>IF(H218="","",H218&amp;I218)</f>
        <v>260408-013SALIDA</v>
      </c>
      <c r="S218" s="22" t="str">
        <f>IF(C218="","",C218&amp;I218)</f>
        <v>Raigrás E284SALIDA</v>
      </c>
      <c r="T218" t="str">
        <f>IF(OR(C218="",I218&lt;&gt;"ENTRADA"),"",TEXT(B218,"AAMMDD")&amp;"-"&amp;TEXT(VALUE(SUBSTITUTE(A218,"MOV-","")),"000"))</f>
        <v/>
      </c>
    </row>
    <row r="219" spans="1:20">
      <c r="A219" s="20" t="s">
        <v>437</v>
      </c>
      <c r="B219" s="47">
        <v>46167</v>
      </c>
      <c r="C219" t="s">
        <v>90</v>
      </c>
      <c r="D219" t="s">
        <v>91</v>
      </c>
      <c r="E219" t="s">
        <v>34</v>
      </c>
      <c r="F219" t="s">
        <v>35</v>
      </c>
      <c r="G219" t="s">
        <v>36</v>
      </c>
      <c r="H219" s="20" t="s">
        <v>375</v>
      </c>
      <c r="I219" t="s">
        <v>65</v>
      </c>
      <c r="J219" s="30">
        <v>10</v>
      </c>
      <c r="K219" s="22">
        <f>IF(I219="","",IF(I219="ENTRADA",ABS(J219),-ABS(J219)))</f>
        <v>-10</v>
      </c>
      <c r="L219" t="s">
        <v>37</v>
      </c>
      <c r="N219">
        <v>65077</v>
      </c>
      <c r="O219" t="s">
        <v>382</v>
      </c>
      <c r="P219">
        <v>1708</v>
      </c>
      <c r="Q219" s="42">
        <v>46170</v>
      </c>
      <c r="R219" s="22" t="str">
        <f>IF(H219="","",H219&amp;I219)</f>
        <v>260405-132SALIDA</v>
      </c>
      <c r="S219" s="22" t="str">
        <f>IF(C219="","",C219&amp;I219)</f>
        <v>PixxaroSALIDA</v>
      </c>
      <c r="T219" t="str">
        <f>IF(OR(C219="",I219&lt;&gt;"ENTRADA"),"",TEXT(B219,"AAMMDD")&amp;"-"&amp;TEXT(VALUE(SUBSTITUTE(A219,"MOV-","")),"000"))</f>
        <v/>
      </c>
    </row>
    <row r="220" spans="1:20">
      <c r="A220" s="20" t="s">
        <v>438</v>
      </c>
      <c r="B220" s="47">
        <v>46167</v>
      </c>
      <c r="C220" t="s">
        <v>90</v>
      </c>
      <c r="D220" t="s">
        <v>91</v>
      </c>
      <c r="E220" t="s">
        <v>34</v>
      </c>
      <c r="F220" t="s">
        <v>35</v>
      </c>
      <c r="G220" t="s">
        <v>36</v>
      </c>
      <c r="H220" s="20" t="s">
        <v>375</v>
      </c>
      <c r="I220" t="s">
        <v>65</v>
      </c>
      <c r="J220" s="30">
        <v>50</v>
      </c>
      <c r="K220" s="22">
        <f>IF(I220="","",IF(I220="ENTRADA",ABS(J220),-ABS(J220)))</f>
        <v>-50</v>
      </c>
      <c r="L220" t="s">
        <v>37</v>
      </c>
      <c r="N220">
        <v>65078</v>
      </c>
      <c r="O220" t="s">
        <v>237</v>
      </c>
      <c r="P220">
        <v>1709</v>
      </c>
      <c r="Q220" s="42">
        <v>46170</v>
      </c>
      <c r="R220" s="22" t="str">
        <f>IF(H220="","",H220&amp;I220)</f>
        <v>260405-132SALIDA</v>
      </c>
      <c r="S220" s="22" t="str">
        <f>IF(C220="","",C220&amp;I220)</f>
        <v>PixxaroSALIDA</v>
      </c>
      <c r="T220" t="str">
        <f>IF(OR(C220="",I220&lt;&gt;"ENTRADA"),"",TEXT(B220,"AAMMDD")&amp;"-"&amp;TEXT(VALUE(SUBSTITUTE(A220,"MOV-","")),"000"))</f>
        <v/>
      </c>
    </row>
    <row r="221" spans="1:20">
      <c r="A221" s="20" t="s">
        <v>439</v>
      </c>
      <c r="B221" s="47">
        <v>46167</v>
      </c>
      <c r="C221" s="34" t="s">
        <v>90</v>
      </c>
      <c r="D221" s="34" t="s">
        <v>91</v>
      </c>
      <c r="E221" s="34" t="s">
        <v>34</v>
      </c>
      <c r="F221" s="34" t="s">
        <v>35</v>
      </c>
      <c r="G221" s="34" t="s">
        <v>36</v>
      </c>
      <c r="H221" s="20" t="s">
        <v>375</v>
      </c>
      <c r="I221" s="34" t="s">
        <v>65</v>
      </c>
      <c r="J221" s="36">
        <v>80</v>
      </c>
      <c r="K221" s="22">
        <f>IF(I221="","",IF(I221="ENTRADA",ABS(J221),-ABS(J221)))</f>
        <v>-80</v>
      </c>
      <c r="L221" s="34" t="s">
        <v>37</v>
      </c>
      <c r="M221" s="34"/>
      <c r="N221" s="34">
        <v>65079</v>
      </c>
      <c r="O221" s="34" t="s">
        <v>218</v>
      </c>
      <c r="P221">
        <v>1711</v>
      </c>
      <c r="Q221" s="42">
        <v>46170</v>
      </c>
      <c r="R221" s="22" t="str">
        <f>IF(H221="","",H221&amp;I221)</f>
        <v>260405-132SALIDA</v>
      </c>
      <c r="S221" s="22" t="str">
        <f>IF(C221="","",C221&amp;I221)</f>
        <v>PixxaroSALIDA</v>
      </c>
      <c r="T221" t="str">
        <f>IF(OR(C221="",I221&lt;&gt;"ENTRADA"),"",TEXT(B221,"AAMMDD")&amp;"-"&amp;TEXT(VALUE(SUBSTITUTE(A221,"MOV-","")),"000"))</f>
        <v/>
      </c>
    </row>
    <row r="222" spans="1:20">
      <c r="A222" s="20" t="s">
        <v>440</v>
      </c>
      <c r="B222" s="47">
        <v>46167</v>
      </c>
      <c r="C222" t="s">
        <v>115</v>
      </c>
      <c r="D222" t="s">
        <v>116</v>
      </c>
      <c r="E222" t="s">
        <v>34</v>
      </c>
      <c r="F222" t="s">
        <v>35</v>
      </c>
      <c r="G222" t="s">
        <v>117</v>
      </c>
      <c r="H222" s="20" t="s">
        <v>120</v>
      </c>
      <c r="I222" t="s">
        <v>65</v>
      </c>
      <c r="J222" s="30">
        <v>500</v>
      </c>
      <c r="K222" s="22">
        <f>IF(I222="","",IF(I222="ENTRADA",ABS(J222),-ABS(J222)))</f>
        <v>-500</v>
      </c>
      <c r="L222" t="s">
        <v>37</v>
      </c>
      <c r="N222">
        <v>65079</v>
      </c>
      <c r="O222" t="s">
        <v>218</v>
      </c>
      <c r="P222">
        <v>1711</v>
      </c>
      <c r="Q222" s="42">
        <v>46170</v>
      </c>
      <c r="R222" s="22" t="str">
        <f>IF(H222="","",H222&amp;I222)</f>
        <v>260410-025SALIDA</v>
      </c>
      <c r="S222" s="22" t="str">
        <f>IF(C222="","",C222&amp;I222)</f>
        <v>AzukaSALIDA</v>
      </c>
      <c r="T222" t="str">
        <f>IF(OR(C222="",I222&lt;&gt;"ENTRADA"),"",TEXT(B222,"AAMMDD")&amp;"-"&amp;TEXT(VALUE(SUBSTITUTE(A222,"MOV-","")),"000"))</f>
        <v/>
      </c>
    </row>
    <row r="223" spans="1:20">
      <c r="A223" s="20" t="s">
        <v>441</v>
      </c>
      <c r="B223" s="47">
        <v>46167</v>
      </c>
      <c r="C223" t="s">
        <v>137</v>
      </c>
      <c r="D223" t="s">
        <v>138</v>
      </c>
      <c r="E223" t="s">
        <v>132</v>
      </c>
      <c r="G223" t="s">
        <v>133</v>
      </c>
      <c r="H223" s="20" t="s">
        <v>211</v>
      </c>
      <c r="I223" t="s">
        <v>65</v>
      </c>
      <c r="J223" s="51">
        <v>15</v>
      </c>
      <c r="K223" s="22">
        <f>IF(I223="","",IF(I223="ENTRADA",ABS(J223),-ABS(J223)))</f>
        <v>-15</v>
      </c>
      <c r="L223" t="s">
        <v>37</v>
      </c>
      <c r="N223">
        <v>65079</v>
      </c>
      <c r="O223" t="s">
        <v>218</v>
      </c>
      <c r="P223">
        <v>1711</v>
      </c>
      <c r="Q223" s="42">
        <v>46170</v>
      </c>
      <c r="R223" s="22" t="str">
        <f>IF(H223="","",H223&amp;I223)</f>
        <v>260414-030SALIDA</v>
      </c>
      <c r="S223" s="22" t="str">
        <f>IF(C223="","",C223&amp;I223)</f>
        <v>Full controlSALIDA</v>
      </c>
      <c r="T223" t="str">
        <f>IF(OR(C223="",I223&lt;&gt;"ENTRADA"),"",TEXT(B223,"AAMMDD")&amp;"-"&amp;TEXT(VALUE(SUBSTITUTE(A223,"MOV-","")),"000"))</f>
        <v/>
      </c>
    </row>
    <row r="224" spans="1:20">
      <c r="A224" s="20" t="s">
        <v>442</v>
      </c>
      <c r="B224" s="47">
        <v>46167</v>
      </c>
      <c r="C224" t="s">
        <v>130</v>
      </c>
      <c r="D224" t="s">
        <v>131</v>
      </c>
      <c r="E224" t="s">
        <v>132</v>
      </c>
      <c r="G224" t="s">
        <v>133</v>
      </c>
      <c r="H224" s="20" t="s">
        <v>221</v>
      </c>
      <c r="I224" t="s">
        <v>65</v>
      </c>
      <c r="J224" s="30">
        <v>60</v>
      </c>
      <c r="K224" s="22">
        <f>IF(I224="","",IF(I224="ENTRADA",ABS(J224),-ABS(J224)))</f>
        <v>-60</v>
      </c>
      <c r="L224" t="s">
        <v>37</v>
      </c>
      <c r="N224">
        <v>65079</v>
      </c>
      <c r="O224" t="s">
        <v>218</v>
      </c>
      <c r="P224">
        <v>1711</v>
      </c>
      <c r="Q224" s="42">
        <v>46170</v>
      </c>
      <c r="R224" s="22" t="str">
        <f>IF(H224="","",H224&amp;I224)</f>
        <v>260414-029SALIDA</v>
      </c>
      <c r="S224" s="22" t="str">
        <f>IF(C224="","",C224&amp;I224)</f>
        <v>HarrierSALIDA</v>
      </c>
      <c r="T224" t="str">
        <f>IF(OR(C224="",I224&lt;&gt;"ENTRADA"),"",TEXT(B224,"AAMMDD")&amp;"-"&amp;TEXT(VALUE(SUBSTITUTE(A224,"MOV-","")),"000"))</f>
        <v/>
      </c>
    </row>
    <row r="225" spans="1:20">
      <c r="A225" s="20" t="s">
        <v>443</v>
      </c>
      <c r="B225" s="47">
        <v>46167</v>
      </c>
      <c r="C225" t="s">
        <v>115</v>
      </c>
      <c r="D225" t="s">
        <v>116</v>
      </c>
      <c r="E225" t="s">
        <v>34</v>
      </c>
      <c r="F225" t="s">
        <v>35</v>
      </c>
      <c r="G225" t="s">
        <v>117</v>
      </c>
      <c r="H225" s="20" t="s">
        <v>120</v>
      </c>
      <c r="I225" t="s">
        <v>65</v>
      </c>
      <c r="J225" s="30">
        <v>2880</v>
      </c>
      <c r="K225" s="22">
        <f>IF(I225="","",IF(I225="ENTRADA",ABS(J225),-ABS(J225)))</f>
        <v>-2880</v>
      </c>
      <c r="L225" t="s">
        <v>37</v>
      </c>
      <c r="N225">
        <v>65080</v>
      </c>
      <c r="O225" t="s">
        <v>213</v>
      </c>
      <c r="P225">
        <v>1712</v>
      </c>
      <c r="Q225" s="42">
        <v>46170</v>
      </c>
      <c r="R225" s="22" t="str">
        <f>IF(H225="","",H225&amp;I225)</f>
        <v>260410-025SALIDA</v>
      </c>
      <c r="S225" s="22" t="str">
        <f>IF(C225="","",C225&amp;I225)</f>
        <v>AzukaSALIDA</v>
      </c>
      <c r="T225" t="str">
        <f>IF(OR(C225="",I225&lt;&gt;"ENTRADA"),"",TEXT(B225,"AAMMDD")&amp;"-"&amp;TEXT(VALUE(SUBSTITUTE(A225,"MOV-","")),"000"))</f>
        <v/>
      </c>
    </row>
    <row r="226" spans="1:20">
      <c r="A226" s="20" t="s">
        <v>444</v>
      </c>
      <c r="B226" s="47">
        <v>46168</v>
      </c>
      <c r="C226" t="s">
        <v>156</v>
      </c>
      <c r="D226" t="s">
        <v>157</v>
      </c>
      <c r="E226" t="s">
        <v>25</v>
      </c>
      <c r="F226" t="s">
        <v>26</v>
      </c>
      <c r="G226" t="s">
        <v>301</v>
      </c>
      <c r="H226" s="20" t="str">
        <f>+T226</f>
        <v>260526-226</v>
      </c>
      <c r="I226" t="s">
        <v>28</v>
      </c>
      <c r="J226" s="30">
        <v>1000</v>
      </c>
      <c r="K226" s="22">
        <f>IF(I226="","",IF(I226="ENTRADA",ABS(J226),-ABS(J226)))</f>
        <v>1000</v>
      </c>
      <c r="L226" t="s">
        <v>29</v>
      </c>
      <c r="N226">
        <v>21574</v>
      </c>
      <c r="P226">
        <v>14546</v>
      </c>
      <c r="Q226" s="42">
        <v>46170</v>
      </c>
      <c r="R226" s="22" t="str">
        <f>IF(H226="","",H226&amp;I226)</f>
        <v>260526-226ENTRADA</v>
      </c>
      <c r="S226" s="22" t="str">
        <f>IF(C226="","",C226&amp;I226)</f>
        <v>Colza Nuola 300ENTRADA</v>
      </c>
      <c r="T226" t="str">
        <f>IF(OR(C226="",I226&lt;&gt;"ENTRADA"),"",TEXT(B226,"AAMMDD")&amp;"-"&amp;TEXT(VALUE(SUBSTITUTE(A226,"MOV-","")),"000"))</f>
        <v>260526-226</v>
      </c>
    </row>
    <row r="227" spans="1:20">
      <c r="A227" s="20" t="s">
        <v>445</v>
      </c>
      <c r="B227" s="47">
        <v>46170</v>
      </c>
      <c r="C227" t="s">
        <v>156</v>
      </c>
      <c r="D227" t="s">
        <v>157</v>
      </c>
      <c r="E227" t="s">
        <v>25</v>
      </c>
      <c r="F227" t="s">
        <v>26</v>
      </c>
      <c r="G227" t="s">
        <v>301</v>
      </c>
      <c r="H227" s="20" t="s">
        <v>446</v>
      </c>
      <c r="I227" t="s">
        <v>65</v>
      </c>
      <c r="J227" s="30">
        <v>180</v>
      </c>
      <c r="K227" s="22">
        <f>IF(I227="","",IF(I227="ENTRADA",ABS(J227),-ABS(J227)))</f>
        <v>-180</v>
      </c>
      <c r="L227" t="s">
        <v>29</v>
      </c>
      <c r="N227">
        <v>65081</v>
      </c>
      <c r="O227" t="s">
        <v>309</v>
      </c>
      <c r="P227">
        <v>1707</v>
      </c>
      <c r="Q227" s="42">
        <v>46170</v>
      </c>
      <c r="R227" s="22" t="str">
        <f>IF(H227="","",H227&amp;I227)</f>
        <v>260526-226SALIDA</v>
      </c>
      <c r="S227" s="22" t="str">
        <f>IF(C227="","",C227&amp;I227)</f>
        <v>Colza Nuola 300SALIDA</v>
      </c>
      <c r="T227" t="str">
        <f>IF(OR(C227="",I227&lt;&gt;"ENTRADA"),"",TEXT(B227,"AAMMDD")&amp;"-"&amp;TEXT(VALUE(SUBSTITUTE(A227,"MOV-","")),"000"))</f>
        <v/>
      </c>
    </row>
    <row r="228" spans="1:20">
      <c r="A228" s="20" t="s">
        <v>447</v>
      </c>
      <c r="B228" s="47">
        <v>46171</v>
      </c>
      <c r="C228" t="s">
        <v>267</v>
      </c>
      <c r="D228" t="s">
        <v>267</v>
      </c>
      <c r="E228" t="s">
        <v>25</v>
      </c>
      <c r="F228" t="s">
        <v>26</v>
      </c>
      <c r="G228" t="s">
        <v>36</v>
      </c>
      <c r="H228" s="20" t="s">
        <v>448</v>
      </c>
      <c r="I228" t="s">
        <v>65</v>
      </c>
      <c r="J228" s="30">
        <v>200</v>
      </c>
      <c r="K228" s="22">
        <f>IF(I228="","",IF(I228="ENTRADA",ABS(J228),-ABS(J228)))</f>
        <v>-200</v>
      </c>
      <c r="L228" t="s">
        <v>29</v>
      </c>
      <c r="N228">
        <v>65083</v>
      </c>
      <c r="O228" t="s">
        <v>387</v>
      </c>
      <c r="P228">
        <v>1716</v>
      </c>
      <c r="Q228" s="42">
        <v>46174</v>
      </c>
      <c r="R228" s="22" t="str">
        <f>IF(H228="","",H228&amp;I228)</f>
        <v>260424-091SALIDA</v>
      </c>
      <c r="S228" s="22" t="str">
        <f>IF(C228="","",C228&amp;I228)</f>
        <v>Colza 45y95clSALIDA</v>
      </c>
      <c r="T228" t="str">
        <f>IF(OR(C228="",I228&lt;&gt;"ENTRADA"),"",TEXT(B228,"AAMMDD")&amp;"-"&amp;TEXT(VALUE(SUBSTITUTE(A228,"MOV-","")),"000"))</f>
        <v/>
      </c>
    </row>
    <row r="229" spans="1:20">
      <c r="A229" s="20" t="s">
        <v>449</v>
      </c>
      <c r="B229" s="47">
        <v>46171</v>
      </c>
      <c r="C229" t="s">
        <v>156</v>
      </c>
      <c r="D229" t="s">
        <v>157</v>
      </c>
      <c r="E229" t="s">
        <v>25</v>
      </c>
      <c r="F229" t="s">
        <v>26</v>
      </c>
      <c r="G229" t="s">
        <v>301</v>
      </c>
      <c r="H229" s="20" t="s">
        <v>446</v>
      </c>
      <c r="I229" t="s">
        <v>65</v>
      </c>
      <c r="J229" s="30">
        <v>200</v>
      </c>
      <c r="K229" s="22">
        <f>IF(I229="","",IF(I229="ENTRADA",ABS(J229),-ABS(J229)))</f>
        <v>-200</v>
      </c>
      <c r="L229" t="s">
        <v>29</v>
      </c>
      <c r="N229">
        <v>65083</v>
      </c>
      <c r="O229" t="s">
        <v>387</v>
      </c>
      <c r="P229">
        <v>1716</v>
      </c>
      <c r="Q229" s="42">
        <v>46174</v>
      </c>
      <c r="R229" s="22" t="str">
        <f>IF(H229="","",H229&amp;I229)</f>
        <v>260526-226SALIDA</v>
      </c>
      <c r="S229" s="22" t="str">
        <f>IF(C229="","",C229&amp;I229)</f>
        <v>Colza Nuola 300SALIDA</v>
      </c>
      <c r="T229" t="str">
        <f>IF(OR(C229="",I229&lt;&gt;"ENTRADA"),"",TEXT(B229,"AAMMDD")&amp;"-"&amp;TEXT(VALUE(SUBSTITUTE(A229,"MOV-","")),"000"))</f>
        <v/>
      </c>
    </row>
    <row r="230" spans="1:20">
      <c r="A230" s="20" t="s">
        <v>450</v>
      </c>
      <c r="B230" s="47">
        <v>46171</v>
      </c>
      <c r="C230" t="s">
        <v>115</v>
      </c>
      <c r="D230" t="s">
        <v>116</v>
      </c>
      <c r="E230" t="s">
        <v>34</v>
      </c>
      <c r="F230" t="s">
        <v>35</v>
      </c>
      <c r="G230" t="s">
        <v>117</v>
      </c>
      <c r="H230" s="20" t="s">
        <v>120</v>
      </c>
      <c r="I230" t="s">
        <v>65</v>
      </c>
      <c r="J230" s="30">
        <v>1500</v>
      </c>
      <c r="K230" s="22">
        <f>IF(I230="","",IF(I230="ENTRADA",ABS(J230),-ABS(J230)))</f>
        <v>-1500</v>
      </c>
      <c r="L230" t="s">
        <v>37</v>
      </c>
      <c r="N230">
        <v>65084</v>
      </c>
      <c r="O230" t="s">
        <v>382</v>
      </c>
      <c r="P230">
        <v>1717</v>
      </c>
      <c r="Q230" s="42">
        <v>46174</v>
      </c>
      <c r="R230" s="22" t="str">
        <f>IF(H230="","",H230&amp;I230)</f>
        <v>260410-025SALIDA</v>
      </c>
      <c r="S230" s="22" t="str">
        <f>IF(C230="","",C230&amp;I230)</f>
        <v>AzukaSALIDA</v>
      </c>
      <c r="T230" t="str">
        <f>IF(OR(C230="",I230&lt;&gt;"ENTRADA"),"",TEXT(B230,"AAMMDD")&amp;"-"&amp;TEXT(VALUE(SUBSTITUTE(A230,"MOV-","")),"000"))</f>
        <v/>
      </c>
    </row>
    <row r="231" spans="1:20">
      <c r="A231" s="20" t="s">
        <v>451</v>
      </c>
      <c r="B231" s="47">
        <v>46171</v>
      </c>
      <c r="C231" t="s">
        <v>137</v>
      </c>
      <c r="D231" t="s">
        <v>138</v>
      </c>
      <c r="E231" t="s">
        <v>132</v>
      </c>
      <c r="G231" t="s">
        <v>133</v>
      </c>
      <c r="H231" s="20" t="s">
        <v>211</v>
      </c>
      <c r="I231" t="s">
        <v>65</v>
      </c>
      <c r="J231" s="51">
        <v>15</v>
      </c>
      <c r="K231" s="22">
        <f>IF(I231="","",IF(I231="ENTRADA",ABS(J231),-ABS(J231)))</f>
        <v>-15</v>
      </c>
      <c r="L231" t="s">
        <v>37</v>
      </c>
      <c r="N231">
        <v>65084</v>
      </c>
      <c r="O231" t="s">
        <v>382</v>
      </c>
      <c r="P231">
        <v>1717</v>
      </c>
      <c r="Q231" s="42">
        <v>46174</v>
      </c>
      <c r="R231" s="22" t="str">
        <f>IF(H231="","",H231&amp;I231)</f>
        <v>260414-030SALIDA</v>
      </c>
      <c r="S231" s="22" t="str">
        <f>IF(C231="","",C231&amp;I231)</f>
        <v>Full controlSALIDA</v>
      </c>
      <c r="T231" t="str">
        <f>IF(OR(C231="",I231&lt;&gt;"ENTRADA"),"",TEXT(B231,"AAMMDD")&amp;"-"&amp;TEXT(VALUE(SUBSTITUTE(A231,"MOV-","")),"000"))</f>
        <v/>
      </c>
    </row>
    <row r="232" spans="1:20">
      <c r="A232" s="20" t="s">
        <v>452</v>
      </c>
      <c r="B232" s="47">
        <v>46171</v>
      </c>
      <c r="C232" s="34" t="s">
        <v>130</v>
      </c>
      <c r="D232" s="34" t="s">
        <v>131</v>
      </c>
      <c r="E232" s="34" t="s">
        <v>132</v>
      </c>
      <c r="F232" s="34"/>
      <c r="G232" s="34" t="s">
        <v>133</v>
      </c>
      <c r="H232" s="20" t="s">
        <v>221</v>
      </c>
      <c r="I232" s="34" t="s">
        <v>65</v>
      </c>
      <c r="J232" s="36">
        <v>60</v>
      </c>
      <c r="K232" s="22">
        <f>IF(I232="","",IF(I232="ENTRADA",ABS(J232),-ABS(J232)))</f>
        <v>-60</v>
      </c>
      <c r="L232" s="34" t="s">
        <v>37</v>
      </c>
      <c r="M232" s="34"/>
      <c r="N232" s="34">
        <v>65084</v>
      </c>
      <c r="O232" s="34" t="s">
        <v>382</v>
      </c>
      <c r="P232">
        <v>1717</v>
      </c>
      <c r="Q232" s="42">
        <v>46174</v>
      </c>
      <c r="R232" s="22" t="str">
        <f>IF(H232="","",H232&amp;I232)</f>
        <v>260414-029SALIDA</v>
      </c>
      <c r="S232" s="22" t="str">
        <f>IF(C232="","",C232&amp;I232)</f>
        <v>HarrierSALIDA</v>
      </c>
      <c r="T232" t="str">
        <f>IF(OR(C232="",I232&lt;&gt;"ENTRADA"),"",TEXT(B232,"AAMMDD")&amp;"-"&amp;TEXT(VALUE(SUBSTITUTE(A232,"MOV-","")),"000"))</f>
        <v/>
      </c>
    </row>
    <row r="233" spans="1:20">
      <c r="A233" s="20" t="s">
        <v>453</v>
      </c>
      <c r="B233" s="47">
        <v>46171</v>
      </c>
      <c r="C233" t="s">
        <v>156</v>
      </c>
      <c r="D233" t="s">
        <v>157</v>
      </c>
      <c r="E233" t="s">
        <v>25</v>
      </c>
      <c r="F233" t="s">
        <v>26</v>
      </c>
      <c r="G233" t="s">
        <v>301</v>
      </c>
      <c r="H233" s="20" t="s">
        <v>446</v>
      </c>
      <c r="I233" t="s">
        <v>65</v>
      </c>
      <c r="J233" s="30">
        <v>400</v>
      </c>
      <c r="K233" s="22">
        <f>IF(I233="","",IF(I233="ENTRADA",ABS(J233),-ABS(J233)))</f>
        <v>-400</v>
      </c>
      <c r="L233" t="s">
        <v>29</v>
      </c>
      <c r="N233">
        <v>65085</v>
      </c>
      <c r="O233" t="s">
        <v>382</v>
      </c>
      <c r="P233">
        <v>1718</v>
      </c>
      <c r="Q233" s="42">
        <v>46174</v>
      </c>
      <c r="R233" s="22" t="str">
        <f>IF(H233="","",H233&amp;I233)</f>
        <v>260526-226SALIDA</v>
      </c>
      <c r="S233" s="22" t="str">
        <f>IF(C233="","",C233&amp;I233)</f>
        <v>Colza Nuola 300SALIDA</v>
      </c>
      <c r="T233" t="str">
        <f>IF(OR(C233="",I233&lt;&gt;"ENTRADA"),"",TEXT(B233,"AAMMDD")&amp;"-"&amp;TEXT(VALUE(SUBSTITUTE(A233,"MOV-","")),"000"))</f>
        <v/>
      </c>
    </row>
    <row r="234" spans="1:20">
      <c r="A234" s="20" t="s">
        <v>454</v>
      </c>
      <c r="B234" s="47">
        <v>46171</v>
      </c>
      <c r="C234" t="s">
        <v>115</v>
      </c>
      <c r="D234" t="s">
        <v>116</v>
      </c>
      <c r="E234" t="s">
        <v>34</v>
      </c>
      <c r="F234" t="s">
        <v>35</v>
      </c>
      <c r="G234" t="s">
        <v>117</v>
      </c>
      <c r="H234" s="20" t="s">
        <v>120</v>
      </c>
      <c r="I234" t="s">
        <v>65</v>
      </c>
      <c r="J234" s="30">
        <v>600</v>
      </c>
      <c r="K234" s="22">
        <f>IF(I234="","",IF(I234="ENTRADA",ABS(J234),-ABS(J234)))</f>
        <v>-600</v>
      </c>
      <c r="L234" t="s">
        <v>37</v>
      </c>
      <c r="N234">
        <v>65086</v>
      </c>
      <c r="O234" t="s">
        <v>387</v>
      </c>
      <c r="P234">
        <v>1719</v>
      </c>
      <c r="Q234" s="42">
        <v>46174</v>
      </c>
      <c r="R234" s="22" t="str">
        <f>IF(H234="","",H234&amp;I234)</f>
        <v>260410-025SALIDA</v>
      </c>
      <c r="S234" s="22" t="str">
        <f>IF(C234="","",C234&amp;I234)</f>
        <v>AzukaSALIDA</v>
      </c>
      <c r="T234" t="str">
        <f>IF(OR(C234="",I234&lt;&gt;"ENTRADA"),"",TEXT(B234,"AAMMDD")&amp;"-"&amp;TEXT(VALUE(SUBSTITUTE(A234,"MOV-","")),"000"))</f>
        <v/>
      </c>
    </row>
    <row r="235" spans="1:20">
      <c r="A235" s="20" t="s">
        <v>455</v>
      </c>
      <c r="B235" s="47">
        <v>46171</v>
      </c>
      <c r="C235" t="s">
        <v>90</v>
      </c>
      <c r="D235" t="s">
        <v>91</v>
      </c>
      <c r="E235" t="s">
        <v>34</v>
      </c>
      <c r="F235" t="s">
        <v>35</v>
      </c>
      <c r="G235" t="s">
        <v>36</v>
      </c>
      <c r="H235" s="20" t="s">
        <v>375</v>
      </c>
      <c r="I235" t="s">
        <v>65</v>
      </c>
      <c r="J235" s="30">
        <v>135</v>
      </c>
      <c r="K235" s="22">
        <f>IF(I235="","",IF(I235="ENTRADA",ABS(J235),-ABS(J235)))</f>
        <v>-135</v>
      </c>
      <c r="L235" t="s">
        <v>37</v>
      </c>
      <c r="N235">
        <v>65086</v>
      </c>
      <c r="O235" t="s">
        <v>387</v>
      </c>
      <c r="P235">
        <v>1719</v>
      </c>
      <c r="Q235" s="42">
        <v>46174</v>
      </c>
      <c r="R235" s="22" t="str">
        <f>IF(H235="","",H235&amp;I235)</f>
        <v>260405-132SALIDA</v>
      </c>
      <c r="S235" s="22" t="str">
        <f>IF(C235="","",C235&amp;I235)</f>
        <v>PixxaroSALIDA</v>
      </c>
      <c r="T235" t="str">
        <f>IF(OR(C235="",I235&lt;&gt;"ENTRADA"),"",TEXT(B235,"AAMMDD")&amp;"-"&amp;TEXT(VALUE(SUBSTITUTE(A235,"MOV-","")),"000"))</f>
        <v/>
      </c>
    </row>
    <row r="236" spans="1:20">
      <c r="A236" s="20" t="s">
        <v>456</v>
      </c>
      <c r="B236" s="47">
        <v>46171</v>
      </c>
      <c r="C236" t="s">
        <v>156</v>
      </c>
      <c r="D236" t="s">
        <v>157</v>
      </c>
      <c r="E236" t="s">
        <v>25</v>
      </c>
      <c r="F236" t="s">
        <v>26</v>
      </c>
      <c r="G236" t="s">
        <v>301</v>
      </c>
      <c r="H236" s="20" t="s">
        <v>446</v>
      </c>
      <c r="I236" t="s">
        <v>65</v>
      </c>
      <c r="J236" s="30">
        <v>220</v>
      </c>
      <c r="K236" s="22">
        <f>IF(I236="","",IF(I236="ENTRADA",ABS(J236),-ABS(J236)))</f>
        <v>-220</v>
      </c>
      <c r="L236" t="s">
        <v>29</v>
      </c>
      <c r="N236">
        <v>65086</v>
      </c>
      <c r="O236" t="s">
        <v>387</v>
      </c>
      <c r="P236">
        <v>1719</v>
      </c>
      <c r="Q236" s="42">
        <v>46174</v>
      </c>
      <c r="R236" s="22" t="str">
        <f>IF(H236="","",H236&amp;I236)</f>
        <v>260526-226SALIDA</v>
      </c>
      <c r="S236" s="22" t="str">
        <f>IF(C236="","",C236&amp;I236)</f>
        <v>Colza Nuola 300SALIDA</v>
      </c>
      <c r="T236" t="str">
        <f>IF(OR(C236="",I236&lt;&gt;"ENTRADA"),"",TEXT(B236,"AAMMDD")&amp;"-"&amp;TEXT(VALUE(SUBSTITUTE(A236,"MOV-","")),"000"))</f>
        <v/>
      </c>
    </row>
    <row r="237" spans="1:20">
      <c r="A237" s="20" t="s">
        <v>457</v>
      </c>
      <c r="B237" s="47">
        <v>46174</v>
      </c>
      <c r="C237" t="s">
        <v>115</v>
      </c>
      <c r="D237" t="s">
        <v>116</v>
      </c>
      <c r="E237" t="s">
        <v>34</v>
      </c>
      <c r="F237" t="s">
        <v>35</v>
      </c>
      <c r="G237" t="s">
        <v>117</v>
      </c>
      <c r="H237" s="20" t="s">
        <v>120</v>
      </c>
      <c r="I237" t="s">
        <v>65</v>
      </c>
      <c r="J237" s="30">
        <v>1060</v>
      </c>
      <c r="K237" s="22">
        <f>IF(I237="","",IF(I237="ENTRADA",ABS(J237),-ABS(J237)))</f>
        <v>-1060</v>
      </c>
      <c r="L237" t="s">
        <v>37</v>
      </c>
      <c r="N237">
        <v>65087</v>
      </c>
      <c r="O237" t="s">
        <v>218</v>
      </c>
      <c r="P237">
        <v>1720</v>
      </c>
      <c r="Q237" s="42">
        <v>46174</v>
      </c>
      <c r="R237" s="22" t="str">
        <f>IF(H237="","",H237&amp;I237)</f>
        <v>260410-025SALIDA</v>
      </c>
      <c r="S237" s="22" t="str">
        <f>IF(C237="","",C237&amp;I237)</f>
        <v>AzukaSALIDA</v>
      </c>
      <c r="T237" t="str">
        <f>IF(OR(C237="",I237&lt;&gt;"ENTRADA"),"",TEXT(B237,"AAMMDD")&amp;"-"&amp;TEXT(VALUE(SUBSTITUTE(A237,"MOV-","")),"000"))</f>
        <v/>
      </c>
    </row>
    <row r="238" spans="1:20">
      <c r="A238" s="20" t="s">
        <v>458</v>
      </c>
      <c r="B238" s="47">
        <v>46174</v>
      </c>
      <c r="C238" t="s">
        <v>90</v>
      </c>
      <c r="D238" t="s">
        <v>91</v>
      </c>
      <c r="E238" t="s">
        <v>34</v>
      </c>
      <c r="F238" t="s">
        <v>35</v>
      </c>
      <c r="G238" t="s">
        <v>36</v>
      </c>
      <c r="H238" s="20" t="s">
        <v>375</v>
      </c>
      <c r="I238" t="s">
        <v>65</v>
      </c>
      <c r="J238" s="30">
        <v>120</v>
      </c>
      <c r="K238" s="22">
        <f>IF(I238="","",IF(I238="ENTRADA",ABS(J238),-ABS(J238)))</f>
        <v>-120</v>
      </c>
      <c r="L238" t="s">
        <v>37</v>
      </c>
      <c r="N238">
        <v>65087</v>
      </c>
      <c r="O238" t="s">
        <v>218</v>
      </c>
      <c r="P238">
        <v>1720</v>
      </c>
      <c r="Q238" s="42">
        <v>46174</v>
      </c>
      <c r="R238" s="22" t="str">
        <f>IF(H238="","",H238&amp;I238)</f>
        <v>260405-132SALIDA</v>
      </c>
      <c r="S238" s="22" t="str">
        <f>IF(C238="","",C238&amp;I238)</f>
        <v>PixxaroSALIDA</v>
      </c>
      <c r="T238" t="str">
        <f>IF(OR(C238="",I238&lt;&gt;"ENTRADA"),"",TEXT(B238,"AAMMDD")&amp;"-"&amp;TEXT(VALUE(SUBSTITUTE(A238,"MOV-","")),"000"))</f>
        <v/>
      </c>
    </row>
    <row r="239" spans="1:20">
      <c r="A239" s="20" t="s">
        <v>459</v>
      </c>
      <c r="B239" s="47">
        <v>46174</v>
      </c>
      <c r="C239" t="s">
        <v>80</v>
      </c>
      <c r="D239" t="s">
        <v>81</v>
      </c>
      <c r="E239" t="s">
        <v>25</v>
      </c>
      <c r="F239" t="s">
        <v>82</v>
      </c>
      <c r="G239" t="s">
        <v>83</v>
      </c>
      <c r="H239" s="20" t="s">
        <v>151</v>
      </c>
      <c r="I239" t="s">
        <v>65</v>
      </c>
      <c r="J239" s="30">
        <v>625</v>
      </c>
      <c r="K239" s="22">
        <f>IF(I239="","",IF(I239="ENTRADA",ABS(J239),-ABS(J239)))</f>
        <v>-625</v>
      </c>
      <c r="L239" t="s">
        <v>29</v>
      </c>
      <c r="N239">
        <v>65088</v>
      </c>
      <c r="O239" t="s">
        <v>387</v>
      </c>
      <c r="P239">
        <v>1721</v>
      </c>
      <c r="Q239" s="42">
        <v>46174</v>
      </c>
      <c r="R239" s="22" t="str">
        <f>IF(H239="","",H239&amp;I239)</f>
        <v>260408-013SALIDA</v>
      </c>
      <c r="S239" s="22" t="str">
        <f>IF(C239="","",C239&amp;I239)</f>
        <v>Raigrás E284SALIDA</v>
      </c>
      <c r="T239" t="str">
        <f>IF(OR(C239="",I239&lt;&gt;"ENTRADA"),"",TEXT(B239,"AAMMDD")&amp;"-"&amp;TEXT(VALUE(SUBSTITUTE(A239,"MOV-","")),"000"))</f>
        <v/>
      </c>
    </row>
    <row r="240" spans="1:20">
      <c r="A240" s="20" t="s">
        <v>460</v>
      </c>
      <c r="B240" s="47">
        <v>46174</v>
      </c>
      <c r="C240" t="s">
        <v>122</v>
      </c>
      <c r="D240" t="s">
        <v>123</v>
      </c>
      <c r="E240" t="s">
        <v>34</v>
      </c>
      <c r="F240" t="s">
        <v>35</v>
      </c>
      <c r="G240" t="s">
        <v>117</v>
      </c>
      <c r="H240" s="20" t="s">
        <v>203</v>
      </c>
      <c r="I240" t="s">
        <v>65</v>
      </c>
      <c r="J240" s="30">
        <v>200</v>
      </c>
      <c r="K240" s="22">
        <f>IF(I240="","",IF(I240="ENTRADA",ABS(J240),-ABS(J240)))</f>
        <v>-200</v>
      </c>
      <c r="L240" t="s">
        <v>37</v>
      </c>
      <c r="N240">
        <v>65089</v>
      </c>
      <c r="O240" t="s">
        <v>213</v>
      </c>
      <c r="P240">
        <v>1722</v>
      </c>
      <c r="Q240" s="42">
        <v>46174</v>
      </c>
      <c r="R240" s="22" t="str">
        <f>IF(H240="","",H240&amp;I240)</f>
        <v>260410-027SALIDA</v>
      </c>
      <c r="S240" s="22" t="str">
        <f>IF(C240="","",C240&amp;I240)</f>
        <v>PardoSALIDA</v>
      </c>
      <c r="T240" t="str">
        <f>IF(OR(C240="",I240&lt;&gt;"ENTRADA"),"",TEXT(B240,"AAMMDD")&amp;"-"&amp;TEXT(VALUE(SUBSTITUTE(A240,"MOV-","")),"000"))</f>
        <v/>
      </c>
    </row>
    <row r="241" spans="1:20">
      <c r="A241" s="20" t="s">
        <v>461</v>
      </c>
      <c r="B241" s="47">
        <v>46174</v>
      </c>
      <c r="C241" t="s">
        <v>130</v>
      </c>
      <c r="D241" t="s">
        <v>131</v>
      </c>
      <c r="E241" t="s">
        <v>132</v>
      </c>
      <c r="G241" t="s">
        <v>133</v>
      </c>
      <c r="H241" s="20" t="s">
        <v>221</v>
      </c>
      <c r="I241" t="s">
        <v>65</v>
      </c>
      <c r="J241" s="30">
        <v>200</v>
      </c>
      <c r="K241" s="22">
        <f>IF(I241="","",IF(I241="ENTRADA",ABS(J241),-ABS(J241)))</f>
        <v>-200</v>
      </c>
      <c r="L241" t="s">
        <v>37</v>
      </c>
      <c r="N241">
        <v>65089</v>
      </c>
      <c r="O241" t="s">
        <v>213</v>
      </c>
      <c r="P241">
        <v>1722</v>
      </c>
      <c r="Q241" s="42">
        <v>46174</v>
      </c>
      <c r="R241" s="22" t="str">
        <f>IF(H241="","",H241&amp;I241)</f>
        <v>260414-029SALIDA</v>
      </c>
      <c r="S241" s="22" t="str">
        <f>IF(C241="","",C241&amp;I241)</f>
        <v>HarrierSALIDA</v>
      </c>
      <c r="T241" t="str">
        <f>IF(OR(C241="",I241&lt;&gt;"ENTRADA"),"",TEXT(B241,"AAMMDD")&amp;"-"&amp;TEXT(VALUE(SUBSTITUTE(A241,"MOV-","")),"000"))</f>
        <v/>
      </c>
    </row>
    <row r="242" spans="1:20">
      <c r="A242" s="20" t="s">
        <v>462</v>
      </c>
      <c r="B242" s="47">
        <v>46174</v>
      </c>
      <c r="C242" t="s">
        <v>245</v>
      </c>
      <c r="D242" t="s">
        <v>246</v>
      </c>
      <c r="E242" t="s">
        <v>34</v>
      </c>
      <c r="F242" t="s">
        <v>35</v>
      </c>
      <c r="G242" t="s">
        <v>27</v>
      </c>
      <c r="H242" s="20" t="s">
        <v>463</v>
      </c>
      <c r="I242" t="s">
        <v>65</v>
      </c>
      <c r="J242" s="30">
        <v>60</v>
      </c>
      <c r="K242" s="22">
        <f>IF(I242="","",IF(I242="ENTRADA",ABS(J242),-ABS(J242)))</f>
        <v>-60</v>
      </c>
      <c r="L242" t="s">
        <v>37</v>
      </c>
      <c r="N242">
        <v>65089</v>
      </c>
      <c r="O242" t="s">
        <v>213</v>
      </c>
      <c r="P242">
        <v>1722</v>
      </c>
      <c r="Q242" s="42">
        <v>46174</v>
      </c>
      <c r="R242" s="22" t="str">
        <f>IF(H242="","",H242&amp;I242)</f>
        <v>260423-080SALIDA</v>
      </c>
      <c r="S242" s="22" t="str">
        <f>IF(C242="","",C242&amp;I242)</f>
        <v>ArsenalSALIDA</v>
      </c>
      <c r="T242" t="str">
        <f>IF(OR(C242="",I242&lt;&gt;"ENTRADA"),"",TEXT(B242,"AAMMDD")&amp;"-"&amp;TEXT(VALUE(SUBSTITUTE(A242,"MOV-","")),"000"))</f>
        <v/>
      </c>
    </row>
    <row r="243" spans="1:20">
      <c r="A243" s="20" t="s">
        <v>464</v>
      </c>
      <c r="B243" s="47">
        <v>46174</v>
      </c>
      <c r="C243" s="34" t="s">
        <v>122</v>
      </c>
      <c r="D243" s="34" t="s">
        <v>123</v>
      </c>
      <c r="E243" s="34" t="s">
        <v>34</v>
      </c>
      <c r="F243" s="34" t="s">
        <v>35</v>
      </c>
      <c r="G243" s="34" t="s">
        <v>117</v>
      </c>
      <c r="H243" s="20" t="s">
        <v>203</v>
      </c>
      <c r="I243" s="34" t="s">
        <v>65</v>
      </c>
      <c r="J243" s="36">
        <v>20</v>
      </c>
      <c r="K243" s="22">
        <f>IF(I243="","",IF(I243="ENTRADA",ABS(J243),-ABS(J243)))</f>
        <v>-20</v>
      </c>
      <c r="L243" s="34" t="s">
        <v>37</v>
      </c>
      <c r="M243" s="34"/>
      <c r="N243" s="34">
        <v>65093</v>
      </c>
      <c r="O243" s="34" t="s">
        <v>382</v>
      </c>
      <c r="P243">
        <v>1723</v>
      </c>
      <c r="Q243" s="42">
        <v>46175</v>
      </c>
      <c r="R243" s="22" t="str">
        <f>IF(H243="","",H243&amp;I243)</f>
        <v>260410-027SALIDA</v>
      </c>
      <c r="S243" s="22" t="str">
        <f>IF(C243="","",C243&amp;I243)</f>
        <v>PardoSALIDA</v>
      </c>
      <c r="T243" t="str">
        <f>IF(OR(C243="",I243&lt;&gt;"ENTRADA"),"",TEXT(B243,"AAMMDD")&amp;"-"&amp;TEXT(VALUE(SUBSTITUTE(A243,"MOV-","")),"000"))</f>
        <v/>
      </c>
    </row>
    <row r="244" spans="1:20">
      <c r="A244" s="20" t="s">
        <v>465</v>
      </c>
      <c r="B244" s="47">
        <v>46175</v>
      </c>
      <c r="C244" t="s">
        <v>115</v>
      </c>
      <c r="D244" t="s">
        <v>116</v>
      </c>
      <c r="E244" t="s">
        <v>34</v>
      </c>
      <c r="F244" t="s">
        <v>35</v>
      </c>
      <c r="G244" t="s">
        <v>117</v>
      </c>
      <c r="H244" s="20" t="s">
        <v>120</v>
      </c>
      <c r="I244" t="s">
        <v>65</v>
      </c>
      <c r="J244" s="30">
        <v>600</v>
      </c>
      <c r="K244" s="22">
        <f>IF(I244="","",IF(I244="ENTRADA",ABS(J244),-ABS(J244)))</f>
        <v>-600</v>
      </c>
      <c r="L244" t="s">
        <v>37</v>
      </c>
      <c r="N244">
        <v>65094</v>
      </c>
      <c r="O244" t="s">
        <v>218</v>
      </c>
      <c r="P244">
        <v>1724</v>
      </c>
      <c r="Q244" s="42">
        <v>46175</v>
      </c>
      <c r="R244" s="22" t="str">
        <f>IF(H244="","",H244&amp;I244)</f>
        <v>260410-025SALIDA</v>
      </c>
      <c r="S244" s="22" t="str">
        <f>IF(C244="","",C244&amp;I244)</f>
        <v>AzukaSALIDA</v>
      </c>
      <c r="T244" t="str">
        <f>IF(OR(C244="",I244&lt;&gt;"ENTRADA"),"",TEXT(B244,"AAMMDD")&amp;"-"&amp;TEXT(VALUE(SUBSTITUTE(A244,"MOV-","")),"000"))</f>
        <v/>
      </c>
    </row>
    <row r="245" spans="1:20">
      <c r="A245" s="20" t="s">
        <v>466</v>
      </c>
      <c r="B245" s="47">
        <v>46176</v>
      </c>
      <c r="C245" t="s">
        <v>90</v>
      </c>
      <c r="D245" t="s">
        <v>91</v>
      </c>
      <c r="E245" t="s">
        <v>34</v>
      </c>
      <c r="F245" t="s">
        <v>35</v>
      </c>
      <c r="G245" t="s">
        <v>36</v>
      </c>
      <c r="H245" s="20" t="s">
        <v>375</v>
      </c>
      <c r="I245" t="s">
        <v>65</v>
      </c>
      <c r="J245" s="30">
        <v>80</v>
      </c>
      <c r="K245" s="22">
        <f>IF(I245="","",IF(I245="ENTRADA",ABS(J245),-ABS(J245)))</f>
        <v>-80</v>
      </c>
      <c r="L245" t="s">
        <v>37</v>
      </c>
      <c r="N245">
        <v>65095</v>
      </c>
      <c r="O245" t="s">
        <v>218</v>
      </c>
      <c r="P245">
        <v>1729</v>
      </c>
      <c r="Q245" s="42">
        <v>46181</v>
      </c>
      <c r="R245" s="22" t="str">
        <f>IF(H245="","",H245&amp;I245)</f>
        <v>260405-132SALIDA</v>
      </c>
      <c r="S245" s="22" t="str">
        <f>IF(C245="","",C245&amp;I245)</f>
        <v>PixxaroSALIDA</v>
      </c>
      <c r="T245" t="str">
        <f>IF(OR(C245="",I245&lt;&gt;"ENTRADA"),"",TEXT(B245,"AAMMDD")&amp;"-"&amp;TEXT(VALUE(SUBSTITUTE(A245,"MOV-","")),"000"))</f>
        <v/>
      </c>
    </row>
    <row r="246" spans="1:20">
      <c r="A246" s="20" t="s">
        <v>467</v>
      </c>
      <c r="B246" s="47">
        <v>46176</v>
      </c>
      <c r="C246" t="s">
        <v>115</v>
      </c>
      <c r="D246" t="s">
        <v>116</v>
      </c>
      <c r="E246" t="s">
        <v>34</v>
      </c>
      <c r="F246" t="s">
        <v>35</v>
      </c>
      <c r="G246" t="s">
        <v>117</v>
      </c>
      <c r="H246" s="20" t="s">
        <v>120</v>
      </c>
      <c r="I246" t="s">
        <v>65</v>
      </c>
      <c r="J246" s="30">
        <v>1600</v>
      </c>
      <c r="K246" s="22">
        <f>IF(I246="","",IF(I246="ENTRADA",ABS(J246),-ABS(J246)))</f>
        <v>-1600</v>
      </c>
      <c r="L246" t="s">
        <v>37</v>
      </c>
      <c r="N246">
        <v>65095</v>
      </c>
      <c r="O246" t="s">
        <v>218</v>
      </c>
      <c r="P246">
        <v>1729</v>
      </c>
      <c r="Q246" s="42">
        <v>46181</v>
      </c>
      <c r="R246" s="22" t="str">
        <f>IF(H246="","",H246&amp;I246)</f>
        <v>260410-025SALIDA</v>
      </c>
      <c r="S246" s="22" t="str">
        <f>IF(C246="","",C246&amp;I246)</f>
        <v>AzukaSALIDA</v>
      </c>
      <c r="T246" t="str">
        <f>IF(OR(C246="",I246&lt;&gt;"ENTRADA"),"",TEXT(B246,"AAMMDD")&amp;"-"&amp;TEXT(VALUE(SUBSTITUTE(A246,"MOV-","")),"000"))</f>
        <v/>
      </c>
    </row>
    <row r="247" spans="1:20">
      <c r="A247" s="20" t="s">
        <v>468</v>
      </c>
      <c r="B247" s="47">
        <v>46176</v>
      </c>
      <c r="C247" t="s">
        <v>141</v>
      </c>
      <c r="D247" t="s">
        <v>142</v>
      </c>
      <c r="E247" t="s">
        <v>132</v>
      </c>
      <c r="G247" t="s">
        <v>133</v>
      </c>
      <c r="H247" s="20" t="s">
        <v>469</v>
      </c>
      <c r="I247" t="s">
        <v>65</v>
      </c>
      <c r="J247" s="30">
        <v>15</v>
      </c>
      <c r="K247" s="22">
        <f>IF(I247="","",IF(I247="ENTRADA",ABS(J247),-ABS(J247)))</f>
        <v>-15</v>
      </c>
      <c r="L247" t="s">
        <v>37</v>
      </c>
      <c r="N247">
        <v>65095</v>
      </c>
      <c r="O247" t="s">
        <v>218</v>
      </c>
      <c r="P247">
        <v>1729</v>
      </c>
      <c r="Q247" s="42">
        <v>46181</v>
      </c>
      <c r="R247" s="22" t="str">
        <f>IF(H247="","",H247&amp;I247)</f>
        <v>260414-031SALIDA</v>
      </c>
      <c r="S247" s="22" t="str">
        <f>IF(C247="","",C247&amp;I247)</f>
        <v>Maxi DropSALIDA</v>
      </c>
      <c r="T247" t="str">
        <f>IF(OR(C247="",I247&lt;&gt;"ENTRADA"),"",TEXT(B247,"AAMMDD")&amp;"-"&amp;TEXT(VALUE(SUBSTITUTE(A247,"MOV-","")),"000"))</f>
        <v/>
      </c>
    </row>
    <row r="248" spans="1:20">
      <c r="A248" s="20" t="s">
        <v>470</v>
      </c>
      <c r="B248" s="47">
        <v>46176</v>
      </c>
      <c r="C248" t="s">
        <v>40</v>
      </c>
      <c r="D248" t="s">
        <v>41</v>
      </c>
      <c r="E248" t="s">
        <v>34</v>
      </c>
      <c r="F248" t="s">
        <v>35</v>
      </c>
      <c r="G248" t="s">
        <v>36</v>
      </c>
      <c r="H248" s="20" t="s">
        <v>471</v>
      </c>
      <c r="I248" t="s">
        <v>65</v>
      </c>
      <c r="J248" s="30">
        <v>10</v>
      </c>
      <c r="K248" s="22">
        <f>IF(I248="","",IF(I248="ENTRADA",ABS(J248),-ABS(J248)))</f>
        <v>-10</v>
      </c>
      <c r="L248" t="s">
        <v>37</v>
      </c>
      <c r="N248">
        <v>65095</v>
      </c>
      <c r="O248" t="s">
        <v>218</v>
      </c>
      <c r="P248">
        <v>1729</v>
      </c>
      <c r="Q248" s="42">
        <v>46181</v>
      </c>
      <c r="R248" s="22" t="str">
        <f>IF(H248="","",H248&amp;I248)</f>
        <v>260401-003SALIDA</v>
      </c>
      <c r="S248" s="22" t="str">
        <f>IF(C248="","",C248&amp;I248)</f>
        <v>LontrelSALIDA</v>
      </c>
      <c r="T248" t="str">
        <f>IF(OR(C248="",I248&lt;&gt;"ENTRADA"),"",TEXT(B248,"AAMMDD")&amp;"-"&amp;TEXT(VALUE(SUBSTITUTE(A248,"MOV-","")),"000"))</f>
        <v/>
      </c>
    </row>
    <row r="249" spans="1:20">
      <c r="A249" s="20" t="s">
        <v>472</v>
      </c>
      <c r="B249" s="47">
        <v>46176</v>
      </c>
      <c r="C249" t="s">
        <v>50</v>
      </c>
      <c r="D249" t="s">
        <v>280</v>
      </c>
      <c r="E249" t="s">
        <v>34</v>
      </c>
      <c r="F249" t="s">
        <v>35</v>
      </c>
      <c r="G249" t="s">
        <v>36</v>
      </c>
      <c r="H249" s="20" t="s">
        <v>281</v>
      </c>
      <c r="I249" t="s">
        <v>65</v>
      </c>
      <c r="J249" s="30">
        <v>10</v>
      </c>
      <c r="K249" s="22">
        <f>IF(I249="","",IF(I249="ENTRADA",ABS(J249),-ABS(J249)))</f>
        <v>-10</v>
      </c>
      <c r="L249" t="s">
        <v>37</v>
      </c>
      <c r="N249">
        <v>65095</v>
      </c>
      <c r="O249" t="s">
        <v>218</v>
      </c>
      <c r="P249">
        <v>1729</v>
      </c>
      <c r="Q249" s="42">
        <v>46181</v>
      </c>
      <c r="R249" s="22" t="str">
        <f>IF(H249="","",H249&amp;I249)</f>
        <v>260401-006SALIDA</v>
      </c>
      <c r="S249" s="22" t="str">
        <f>IF(C249="","",C249&amp;I249)</f>
        <v>Tordon 24KSALIDA</v>
      </c>
      <c r="T249" t="str">
        <f>IF(OR(C249="",I249&lt;&gt;"ENTRADA"),"",TEXT(B249,"AAMMDD")&amp;"-"&amp;TEXT(VALUE(SUBSTITUTE(A249,"MOV-","")),"000"))</f>
        <v/>
      </c>
    </row>
    <row r="250" spans="1:20">
      <c r="A250" s="20" t="s">
        <v>473</v>
      </c>
      <c r="B250" s="47">
        <v>46176</v>
      </c>
      <c r="C250" t="s">
        <v>130</v>
      </c>
      <c r="D250" t="s">
        <v>131</v>
      </c>
      <c r="E250" t="s">
        <v>132</v>
      </c>
      <c r="G250" t="s">
        <v>133</v>
      </c>
      <c r="H250" s="20" t="s">
        <v>221</v>
      </c>
      <c r="I250" t="s">
        <v>65</v>
      </c>
      <c r="J250" s="30">
        <v>40</v>
      </c>
      <c r="K250" s="22">
        <f>IF(I250="","",IF(I250="ENTRADA",ABS(J250),-ABS(J250)))</f>
        <v>-40</v>
      </c>
      <c r="L250" t="s">
        <v>37</v>
      </c>
      <c r="N250">
        <v>65095</v>
      </c>
      <c r="O250" t="s">
        <v>218</v>
      </c>
      <c r="P250">
        <v>1729</v>
      </c>
      <c r="Q250" s="42">
        <v>46181</v>
      </c>
      <c r="R250" s="22" t="str">
        <f>IF(H250="","",H250&amp;I250)</f>
        <v>260414-029SALIDA</v>
      </c>
      <c r="S250" s="22" t="str">
        <f>IF(C250="","",C250&amp;I250)</f>
        <v>HarrierSALIDA</v>
      </c>
      <c r="T250" t="str">
        <f>IF(OR(C250="",I250&lt;&gt;"ENTRADA"),"",TEXT(B250,"AAMMDD")&amp;"-"&amp;TEXT(VALUE(SUBSTITUTE(A250,"MOV-","")),"000"))</f>
        <v/>
      </c>
    </row>
    <row r="251" spans="1:20">
      <c r="A251" s="20" t="s">
        <v>474</v>
      </c>
      <c r="B251" s="47">
        <v>46176</v>
      </c>
      <c r="C251" t="s">
        <v>304</v>
      </c>
      <c r="D251" t="s">
        <v>305</v>
      </c>
      <c r="E251" t="s">
        <v>25</v>
      </c>
      <c r="F251" t="s">
        <v>188</v>
      </c>
      <c r="G251" t="s">
        <v>301</v>
      </c>
      <c r="H251" s="20" t="s">
        <v>409</v>
      </c>
      <c r="I251" t="s">
        <v>65</v>
      </c>
      <c r="J251" s="30">
        <v>125</v>
      </c>
      <c r="K251" s="22">
        <f>IF(I251="","",IF(I251="ENTRADA",ABS(J251),-ABS(J251)))</f>
        <v>-125</v>
      </c>
      <c r="L251" t="s">
        <v>29</v>
      </c>
      <c r="N251">
        <v>65097</v>
      </c>
      <c r="O251" t="s">
        <v>309</v>
      </c>
      <c r="P251">
        <v>1730</v>
      </c>
      <c r="Q251" s="42">
        <v>46181</v>
      </c>
      <c r="R251" s="22" t="str">
        <f>IF(H251="","",H251&amp;I251)</f>
        <v>260429-113SALIDA</v>
      </c>
      <c r="S251" s="22" t="str">
        <f>IF(C251="","",C251&amp;I251)</f>
        <v>Trebol blanco Zapican inoculado SALIDA</v>
      </c>
      <c r="T251" t="str">
        <f>IF(OR(C251="",I251&lt;&gt;"ENTRADA"),"",TEXT(B251,"AAMMDD")&amp;"-"&amp;TEXT(VALUE(SUBSTITUTE(A251,"MOV-","")),"000"))</f>
        <v/>
      </c>
    </row>
    <row r="252" spans="1:20">
      <c r="A252" s="20" t="s">
        <v>475</v>
      </c>
      <c r="B252" s="47">
        <v>46176</v>
      </c>
      <c r="C252" t="s">
        <v>137</v>
      </c>
      <c r="D252" t="s">
        <v>138</v>
      </c>
      <c r="E252" t="s">
        <v>132</v>
      </c>
      <c r="G252" t="s">
        <v>133</v>
      </c>
      <c r="H252" s="20" t="s">
        <v>211</v>
      </c>
      <c r="I252" s="52" t="s">
        <v>65</v>
      </c>
      <c r="J252" s="53">
        <v>30</v>
      </c>
      <c r="K252" s="22">
        <f>IF(I252="","",IF(I252="ENTRADA",ABS(J252),-ABS(J252)))</f>
        <v>-30</v>
      </c>
      <c r="L252" t="s">
        <v>37</v>
      </c>
      <c r="N252">
        <v>65097</v>
      </c>
      <c r="O252" t="s">
        <v>309</v>
      </c>
      <c r="P252">
        <v>1730</v>
      </c>
      <c r="Q252" s="42">
        <v>46181</v>
      </c>
      <c r="R252" s="22" t="str">
        <f>IF(H252="","",H252&amp;I252)</f>
        <v>260414-030SALIDA</v>
      </c>
      <c r="S252" s="22" t="str">
        <f>IF(C252="","",C252&amp;I252)</f>
        <v>Full controlSALIDA</v>
      </c>
      <c r="T252" t="str">
        <f>IF(OR(C252="",I252&lt;&gt;"ENTRADA"),"",TEXT(B252,"AAMMDD")&amp;"-"&amp;TEXT(VALUE(SUBSTITUTE(A252,"MOV-","")),"000"))</f>
        <v/>
      </c>
    </row>
    <row r="253" spans="1:20">
      <c r="A253" s="20" t="s">
        <v>476</v>
      </c>
      <c r="B253" s="47">
        <v>46176</v>
      </c>
      <c r="C253" t="s">
        <v>54</v>
      </c>
      <c r="D253" t="s">
        <v>55</v>
      </c>
      <c r="E253" t="s">
        <v>34</v>
      </c>
      <c r="F253" t="s">
        <v>35</v>
      </c>
      <c r="G253" t="s">
        <v>36</v>
      </c>
      <c r="H253" s="20" t="s">
        <v>97</v>
      </c>
      <c r="I253" t="s">
        <v>65</v>
      </c>
      <c r="J253" s="30">
        <v>96</v>
      </c>
      <c r="K253" s="22">
        <f>IF(I253="","",IF(I253="ENTRADA",ABS(J253),-ABS(J253)))</f>
        <v>-96</v>
      </c>
      <c r="L253" t="s">
        <v>56</v>
      </c>
      <c r="N253">
        <v>65098</v>
      </c>
      <c r="O253" t="s">
        <v>237</v>
      </c>
      <c r="P253">
        <v>1738</v>
      </c>
      <c r="Q253" s="42">
        <v>46182</v>
      </c>
      <c r="R253" s="22" t="str">
        <f>IF(H253="","",H253&amp;I253)</f>
        <v>260401-007SALIDA</v>
      </c>
      <c r="S253" s="22" t="str">
        <f>IF(C253="","",C253&amp;I253)</f>
        <v>TronadorSALIDA</v>
      </c>
      <c r="T253" t="str">
        <f>IF(OR(C253="",I253&lt;&gt;"ENTRADA"),"",TEXT(B253,"AAMMDD")&amp;"-"&amp;TEXT(VALUE(SUBSTITUTE(A253,"MOV-","")),"000"))</f>
        <v/>
      </c>
    </row>
    <row r="254" spans="1:20">
      <c r="A254" s="20" t="s">
        <v>477</v>
      </c>
      <c r="B254" s="47">
        <v>46177</v>
      </c>
      <c r="C254" s="34" t="s">
        <v>115</v>
      </c>
      <c r="D254" s="34" t="s">
        <v>116</v>
      </c>
      <c r="E254" s="34" t="s">
        <v>34</v>
      </c>
      <c r="F254" s="34" t="s">
        <v>35</v>
      </c>
      <c r="G254" s="34" t="s">
        <v>117</v>
      </c>
      <c r="H254" s="20" t="s">
        <v>120</v>
      </c>
      <c r="I254" s="34" t="s">
        <v>65</v>
      </c>
      <c r="J254" s="36">
        <v>520</v>
      </c>
      <c r="K254" s="22">
        <f>IF(I254="","",IF(I254="ENTRADA",ABS(J254),-ABS(J254)))</f>
        <v>-520</v>
      </c>
      <c r="L254" s="34" t="s">
        <v>37</v>
      </c>
      <c r="M254" s="34"/>
      <c r="N254" s="34">
        <v>65099</v>
      </c>
      <c r="O254" s="34" t="s">
        <v>218</v>
      </c>
      <c r="P254">
        <v>1732</v>
      </c>
      <c r="Q254" s="42">
        <v>46181</v>
      </c>
      <c r="R254" s="22" t="str">
        <f>IF(H254="","",H254&amp;I254)</f>
        <v>260410-025SALIDA</v>
      </c>
      <c r="S254" s="22" t="str">
        <f>IF(C254="","",C254&amp;I254)</f>
        <v>AzukaSALIDA</v>
      </c>
      <c r="T254" t="str">
        <f>IF(OR(C254="",I254&lt;&gt;"ENTRADA"),"",TEXT(B254,"AAMMDD")&amp;"-"&amp;TEXT(VALUE(SUBSTITUTE(A254,"MOV-","")),"000"))</f>
        <v/>
      </c>
    </row>
    <row r="255" spans="1:20">
      <c r="A255" s="20" t="s">
        <v>478</v>
      </c>
      <c r="B255" s="47">
        <v>46177</v>
      </c>
      <c r="C255" t="s">
        <v>137</v>
      </c>
      <c r="D255" t="s">
        <v>138</v>
      </c>
      <c r="E255" t="s">
        <v>132</v>
      </c>
      <c r="G255" t="s">
        <v>133</v>
      </c>
      <c r="H255" s="20" t="s">
        <v>211</v>
      </c>
      <c r="I255" t="s">
        <v>65</v>
      </c>
      <c r="J255" s="51">
        <v>4</v>
      </c>
      <c r="K255" s="22">
        <f>IF(I255="","",IF(I255="ENTRADA",ABS(J255),-ABS(J255)))</f>
        <v>-4</v>
      </c>
      <c r="L255" t="s">
        <v>37</v>
      </c>
      <c r="N255">
        <v>65099</v>
      </c>
      <c r="O255" t="s">
        <v>218</v>
      </c>
      <c r="P255">
        <v>1732</v>
      </c>
      <c r="Q255" s="42">
        <v>46181</v>
      </c>
      <c r="R255" s="22" t="str">
        <f>IF(H255="","",H255&amp;I255)</f>
        <v>260414-030SALIDA</v>
      </c>
      <c r="S255" s="22" t="str">
        <f>IF(C255="","",C255&amp;I255)</f>
        <v>Full controlSALIDA</v>
      </c>
      <c r="T255" t="str">
        <f>IF(OR(C255="",I255&lt;&gt;"ENTRADA"),"",TEXT(B255,"AAMMDD")&amp;"-"&amp;TEXT(VALUE(SUBSTITUTE(A255,"MOV-","")),"000"))</f>
        <v/>
      </c>
    </row>
    <row r="256" spans="1:20">
      <c r="A256" s="20" t="s">
        <v>479</v>
      </c>
      <c r="B256" s="47">
        <v>46177</v>
      </c>
      <c r="C256" t="s">
        <v>130</v>
      </c>
      <c r="D256" t="s">
        <v>131</v>
      </c>
      <c r="E256" t="s">
        <v>132</v>
      </c>
      <c r="G256" t="s">
        <v>133</v>
      </c>
      <c r="H256" s="20" t="s">
        <v>221</v>
      </c>
      <c r="I256" t="s">
        <v>65</v>
      </c>
      <c r="J256" s="30">
        <v>20</v>
      </c>
      <c r="K256" s="22">
        <f>IF(I256="","",IF(I256="ENTRADA",ABS(J256),-ABS(J256)))</f>
        <v>-20</v>
      </c>
      <c r="L256" t="s">
        <v>37</v>
      </c>
      <c r="N256">
        <v>65099</v>
      </c>
      <c r="O256" t="s">
        <v>218</v>
      </c>
      <c r="P256">
        <v>1732</v>
      </c>
      <c r="Q256" s="42">
        <v>46181</v>
      </c>
      <c r="R256" s="22" t="str">
        <f>IF(H256="","",H256&amp;I256)</f>
        <v>260414-029SALIDA</v>
      </c>
      <c r="S256" s="22" t="str">
        <f>IF(C256="","",C256&amp;I256)</f>
        <v>HarrierSALIDA</v>
      </c>
      <c r="T256" t="str">
        <f>IF(OR(C256="",I256&lt;&gt;"ENTRADA"),"",TEXT(B256,"AAMMDD")&amp;"-"&amp;TEXT(VALUE(SUBSTITUTE(A256,"MOV-","")),"000"))</f>
        <v/>
      </c>
    </row>
    <row r="257" spans="1:20">
      <c r="A257" s="20" t="s">
        <v>480</v>
      </c>
      <c r="B257" s="47">
        <v>46178</v>
      </c>
      <c r="C257" t="s">
        <v>425</v>
      </c>
      <c r="D257" t="s">
        <v>426</v>
      </c>
      <c r="E257" t="s">
        <v>25</v>
      </c>
      <c r="F257" t="s">
        <v>427</v>
      </c>
      <c r="G257" t="s">
        <v>27</v>
      </c>
      <c r="H257" s="20" t="s">
        <v>481</v>
      </c>
      <c r="I257" t="s">
        <v>65</v>
      </c>
      <c r="J257" s="30">
        <v>2400</v>
      </c>
      <c r="K257" s="22">
        <f>IF(I257="","",IF(I257="ENTRADA",ABS(J257),-ABS(J257)))</f>
        <v>-2400</v>
      </c>
      <c r="L257" t="s">
        <v>29</v>
      </c>
      <c r="N257">
        <v>65100</v>
      </c>
      <c r="O257" t="s">
        <v>218</v>
      </c>
      <c r="P257">
        <v>1733</v>
      </c>
      <c r="Q257" s="42">
        <v>46181</v>
      </c>
      <c r="R257" s="22" t="str">
        <f>IF(H257="","",H257&amp;I257)</f>
        <v>260522-210SALIDA</v>
      </c>
      <c r="S257" s="22" t="str">
        <f>IF(C257="","",C257&amp;I257)</f>
        <v>Semilla trigo tipa SALIDA</v>
      </c>
      <c r="T257" t="str">
        <f>IF(OR(C257="",I257&lt;&gt;"ENTRADA"),"",TEXT(B257,"AAMMDD")&amp;"-"&amp;TEXT(VALUE(SUBSTITUTE(A257,"MOV-","")),"000"))</f>
        <v/>
      </c>
    </row>
    <row r="258" spans="1:20">
      <c r="A258" s="20" t="s">
        <v>482</v>
      </c>
      <c r="B258" s="47">
        <v>46178</v>
      </c>
      <c r="C258" t="s">
        <v>425</v>
      </c>
      <c r="D258" t="s">
        <v>426</v>
      </c>
      <c r="E258" t="s">
        <v>25</v>
      </c>
      <c r="F258" t="s">
        <v>427</v>
      </c>
      <c r="G258" t="s">
        <v>27</v>
      </c>
      <c r="H258" s="20" t="s">
        <v>481</v>
      </c>
      <c r="I258" t="s">
        <v>65</v>
      </c>
      <c r="J258" s="30">
        <v>6000</v>
      </c>
      <c r="K258" s="22">
        <f>IF(I258="","",IF(I258="ENTRADA",ABS(J258),-ABS(J258)))</f>
        <v>-6000</v>
      </c>
      <c r="L258" t="s">
        <v>29</v>
      </c>
      <c r="N258">
        <v>65101</v>
      </c>
      <c r="O258" t="s">
        <v>218</v>
      </c>
      <c r="P258">
        <v>1734</v>
      </c>
      <c r="Q258" s="42">
        <v>46181</v>
      </c>
      <c r="R258" s="22" t="str">
        <f>IF(H258="","",H258&amp;I258)</f>
        <v>260522-210SALIDA</v>
      </c>
      <c r="S258" s="22" t="str">
        <f>IF(C258="","",C258&amp;I258)</f>
        <v>Semilla trigo tipa SALIDA</v>
      </c>
      <c r="T258" t="str">
        <f>IF(OR(C258="",I258&lt;&gt;"ENTRADA"),"",TEXT(B258,"AAMMDD")&amp;"-"&amp;TEXT(VALUE(SUBSTITUTE(A258,"MOV-","")),"000"))</f>
        <v/>
      </c>
    </row>
    <row r="259" spans="1:20">
      <c r="A259" s="20" t="s">
        <v>483</v>
      </c>
      <c r="B259" s="47">
        <v>46178</v>
      </c>
      <c r="C259" t="s">
        <v>115</v>
      </c>
      <c r="D259" t="s">
        <v>116</v>
      </c>
      <c r="E259" t="s">
        <v>34</v>
      </c>
      <c r="F259" t="s">
        <v>35</v>
      </c>
      <c r="G259" t="s">
        <v>117</v>
      </c>
      <c r="H259" s="20" t="s">
        <v>120</v>
      </c>
      <c r="I259" t="s">
        <v>65</v>
      </c>
      <c r="J259" s="30">
        <v>720</v>
      </c>
      <c r="K259" s="22">
        <f>IF(I259="","",IF(I259="ENTRADA",ABS(J259),-ABS(J259)))</f>
        <v>-720</v>
      </c>
      <c r="L259" t="s">
        <v>37</v>
      </c>
      <c r="N259">
        <v>65102</v>
      </c>
      <c r="O259" t="s">
        <v>218</v>
      </c>
      <c r="P259">
        <v>1735</v>
      </c>
      <c r="Q259" s="42">
        <v>46181</v>
      </c>
      <c r="R259" s="22" t="str">
        <f>IF(H259="","",H259&amp;I259)</f>
        <v>260410-025SALIDA</v>
      </c>
      <c r="S259" s="22" t="str">
        <f>IF(C259="","",C259&amp;I259)</f>
        <v>AzukaSALIDA</v>
      </c>
      <c r="T259" t="str">
        <f>IF(OR(C259="",I259&lt;&gt;"ENTRADA"),"",TEXT(B259,"AAMMDD")&amp;"-"&amp;TEXT(VALUE(SUBSTITUTE(A259,"MOV-","")),"000"))</f>
        <v/>
      </c>
    </row>
    <row r="260" spans="1:20">
      <c r="A260" s="20" t="s">
        <v>484</v>
      </c>
      <c r="B260" s="47">
        <v>46178</v>
      </c>
      <c r="C260" t="s">
        <v>130</v>
      </c>
      <c r="D260" t="s">
        <v>131</v>
      </c>
      <c r="E260" t="s">
        <v>132</v>
      </c>
      <c r="G260" t="s">
        <v>133</v>
      </c>
      <c r="H260" s="20" t="s">
        <v>221</v>
      </c>
      <c r="I260" t="s">
        <v>65</v>
      </c>
      <c r="J260" s="30">
        <v>20</v>
      </c>
      <c r="K260" s="22">
        <f>IF(I260="","",IF(I260="ENTRADA",ABS(J260),-ABS(J260)))</f>
        <v>-20</v>
      </c>
      <c r="L260" t="s">
        <v>37</v>
      </c>
      <c r="N260">
        <v>65102</v>
      </c>
      <c r="O260" t="s">
        <v>218</v>
      </c>
      <c r="P260">
        <v>1735</v>
      </c>
      <c r="Q260" s="42">
        <v>46181</v>
      </c>
      <c r="R260" s="22" t="str">
        <f>IF(H260="","",H260&amp;I260)</f>
        <v>260414-029SALIDA</v>
      </c>
      <c r="S260" s="22" t="str">
        <f>IF(C260="","",C260&amp;I260)</f>
        <v>HarrierSALIDA</v>
      </c>
      <c r="T260" t="str">
        <f>IF(OR(C260="",I260&lt;&gt;"ENTRADA"),"",TEXT(B260,"AAMMDD")&amp;"-"&amp;TEXT(VALUE(SUBSTITUTE(A260,"MOV-","")),"000"))</f>
        <v/>
      </c>
    </row>
    <row r="261" spans="1:20">
      <c r="A261" s="20" t="s">
        <v>485</v>
      </c>
      <c r="B261" s="47">
        <v>46178</v>
      </c>
      <c r="C261" t="s">
        <v>137</v>
      </c>
      <c r="D261" t="s">
        <v>138</v>
      </c>
      <c r="E261" t="s">
        <v>132</v>
      </c>
      <c r="G261" t="s">
        <v>133</v>
      </c>
      <c r="H261" s="20" t="s">
        <v>211</v>
      </c>
      <c r="I261" t="s">
        <v>65</v>
      </c>
      <c r="J261" s="51">
        <v>3</v>
      </c>
      <c r="K261" s="22">
        <f>IF(I261="","",IF(I261="ENTRADA",ABS(J261),-ABS(J261)))</f>
        <v>-3</v>
      </c>
      <c r="L261" t="s">
        <v>37</v>
      </c>
      <c r="N261">
        <v>65102</v>
      </c>
      <c r="O261" t="s">
        <v>218</v>
      </c>
      <c r="P261">
        <v>1735</v>
      </c>
      <c r="Q261" s="42">
        <v>46181</v>
      </c>
      <c r="R261" s="22" t="str">
        <f>IF(H261="","",H261&amp;I261)</f>
        <v>260414-030SALIDA</v>
      </c>
      <c r="S261" s="22" t="str">
        <f>IF(C261="","",C261&amp;I261)</f>
        <v>Full controlSALIDA</v>
      </c>
      <c r="T261" t="str">
        <f>IF(OR(C261="",I261&lt;&gt;"ENTRADA"),"",TEXT(B261,"AAMMDD")&amp;"-"&amp;TEXT(VALUE(SUBSTITUTE(A261,"MOV-","")),"000"))</f>
        <v/>
      </c>
    </row>
    <row r="262" spans="1:20">
      <c r="A262" s="20" t="s">
        <v>486</v>
      </c>
      <c r="B262" s="47">
        <v>46178</v>
      </c>
      <c r="C262" t="s">
        <v>90</v>
      </c>
      <c r="D262" t="s">
        <v>91</v>
      </c>
      <c r="E262" t="s">
        <v>34</v>
      </c>
      <c r="F262" t="s">
        <v>35</v>
      </c>
      <c r="G262" t="s">
        <v>36</v>
      </c>
      <c r="H262" s="20" t="s">
        <v>375</v>
      </c>
      <c r="I262" t="s">
        <v>65</v>
      </c>
      <c r="J262" s="30">
        <v>80</v>
      </c>
      <c r="K262" s="22">
        <f>IF(I262="","",IF(I262="ENTRADA",ABS(J262),-ABS(J262)))</f>
        <v>-80</v>
      </c>
      <c r="L262" t="s">
        <v>37</v>
      </c>
      <c r="N262">
        <v>65102</v>
      </c>
      <c r="O262" t="s">
        <v>218</v>
      </c>
      <c r="P262">
        <v>1735</v>
      </c>
      <c r="Q262" s="42">
        <v>46181</v>
      </c>
      <c r="R262" s="22" t="str">
        <f>IF(H262="","",H262&amp;I262)</f>
        <v>260405-132SALIDA</v>
      </c>
      <c r="S262" s="22" t="str">
        <f>IF(C262="","",C262&amp;I262)</f>
        <v>PixxaroSALIDA</v>
      </c>
      <c r="T262" t="str">
        <f>IF(OR(C262="",I262&lt;&gt;"ENTRADA"),"",TEXT(B262,"AAMMDD")&amp;"-"&amp;TEXT(VALUE(SUBSTITUTE(A262,"MOV-","")),"000"))</f>
        <v/>
      </c>
    </row>
    <row r="263" spans="1:20">
      <c r="A263" s="20" t="s">
        <v>487</v>
      </c>
      <c r="B263" s="47">
        <v>46178</v>
      </c>
      <c r="C263" t="s">
        <v>425</v>
      </c>
      <c r="D263" t="s">
        <v>426</v>
      </c>
      <c r="E263" t="s">
        <v>25</v>
      </c>
      <c r="F263" t="s">
        <v>427</v>
      </c>
      <c r="G263" t="s">
        <v>27</v>
      </c>
      <c r="H263" s="20" t="s">
        <v>481</v>
      </c>
      <c r="I263" t="s">
        <v>65</v>
      </c>
      <c r="J263" s="30">
        <v>3600</v>
      </c>
      <c r="K263" s="22">
        <f>IF(I263="","",IF(I263="ENTRADA",ABS(J263),-ABS(J263)))</f>
        <v>-3600</v>
      </c>
      <c r="L263" t="s">
        <v>29</v>
      </c>
      <c r="N263">
        <v>65103</v>
      </c>
      <c r="O263" t="s">
        <v>218</v>
      </c>
      <c r="P263">
        <v>1736</v>
      </c>
      <c r="Q263" s="42">
        <v>46181</v>
      </c>
      <c r="R263" s="22" t="str">
        <f>IF(H263="","",H263&amp;I263)</f>
        <v>260522-210SALIDA</v>
      </c>
      <c r="S263" s="22" t="str">
        <f>IF(C263="","",C263&amp;I263)</f>
        <v>Semilla trigo tipa SALIDA</v>
      </c>
      <c r="T263" t="str">
        <f>IF(OR(C263="",I263&lt;&gt;"ENTRADA"),"",TEXT(B263,"AAMMDD")&amp;"-"&amp;TEXT(VALUE(SUBSTITUTE(A263,"MOV-","")),"000"))</f>
        <v/>
      </c>
    </row>
    <row r="264" spans="1:20">
      <c r="A264" s="20" t="s">
        <v>488</v>
      </c>
      <c r="B264" s="47">
        <v>46178</v>
      </c>
      <c r="C264" t="s">
        <v>429</v>
      </c>
      <c r="D264" t="s">
        <v>430</v>
      </c>
      <c r="E264" t="s">
        <v>25</v>
      </c>
      <c r="F264" t="s">
        <v>427</v>
      </c>
      <c r="G264" t="s">
        <v>27</v>
      </c>
      <c r="H264" s="20" t="s">
        <v>489</v>
      </c>
      <c r="I264" t="s">
        <v>65</v>
      </c>
      <c r="J264" s="30">
        <v>600</v>
      </c>
      <c r="K264" s="22">
        <f>IF(I264="","",IF(I264="ENTRADA",ABS(J264),-ABS(J264)))</f>
        <v>-600</v>
      </c>
      <c r="L264" t="s">
        <v>29</v>
      </c>
      <c r="N264">
        <v>65103</v>
      </c>
      <c r="O264" t="s">
        <v>218</v>
      </c>
      <c r="P264">
        <v>1736</v>
      </c>
      <c r="Q264" s="42">
        <v>46181</v>
      </c>
      <c r="R264" s="22" t="str">
        <f>IF(H264="","",H264&amp;I264)</f>
        <v>260522-211SALIDA</v>
      </c>
      <c r="S264" s="22" t="str">
        <f>IF(C264="","",C264&amp;I264)</f>
        <v>Semilla trigo aromoSALIDA</v>
      </c>
      <c r="T264" t="str">
        <f>IF(OR(C264="",I264&lt;&gt;"ENTRADA"),"",TEXT(B264,"AAMMDD")&amp;"-"&amp;TEXT(VALUE(SUBSTITUTE(A264,"MOV-","")),"000"))</f>
        <v/>
      </c>
    </row>
    <row r="265" spans="1:20">
      <c r="A265" s="20" t="s">
        <v>490</v>
      </c>
      <c r="B265" s="47">
        <v>46183</v>
      </c>
      <c r="C265" s="34" t="s">
        <v>491</v>
      </c>
      <c r="D265" s="34" t="s">
        <v>492</v>
      </c>
      <c r="E265" s="34" t="s">
        <v>493</v>
      </c>
      <c r="F265" s="34"/>
      <c r="G265" s="34" t="s">
        <v>36</v>
      </c>
      <c r="H265" s="20" t="str">
        <f>+T265</f>
        <v>260610-265</v>
      </c>
      <c r="I265" s="34" t="s">
        <v>28</v>
      </c>
      <c r="J265" s="36">
        <v>21120</v>
      </c>
      <c r="K265" s="22">
        <f>IF(I265="","",IF(I265="ENTRADA",ABS(J265),-ABS(J265)))</f>
        <v>21120</v>
      </c>
      <c r="L265" s="34" t="s">
        <v>37</v>
      </c>
      <c r="M265" s="34"/>
      <c r="N265" s="34">
        <v>13080</v>
      </c>
      <c r="O265" s="34"/>
      <c r="P265">
        <v>14750</v>
      </c>
      <c r="Q265" s="42">
        <v>46191</v>
      </c>
      <c r="R265" s="22" t="str">
        <f>IF(H265="","",H265&amp;I265)</f>
        <v>260610-265ENTRADA</v>
      </c>
      <c r="S265" s="22" t="str">
        <f>IF(C265="","",C265&amp;I265)</f>
        <v>Zinc Plus ENTRADA</v>
      </c>
      <c r="T265" t="str">
        <f>IF(OR(C265="",I265&lt;&gt;"ENTRADA"),"",TEXT(B265,"AAMMDD")&amp;"-"&amp;TEXT(VALUE(SUBSTITUTE(A265,"MOV-","")),"000"))</f>
        <v>260610-265</v>
      </c>
    </row>
    <row r="266" spans="1:20">
      <c r="A266" s="20" t="s">
        <v>494</v>
      </c>
      <c r="B266" s="47">
        <v>46183</v>
      </c>
      <c r="C266" t="s">
        <v>491</v>
      </c>
      <c r="D266" t="s">
        <v>492</v>
      </c>
      <c r="E266" t="s">
        <v>493</v>
      </c>
      <c r="G266" t="s">
        <v>36</v>
      </c>
      <c r="H266" s="20" t="s">
        <v>495</v>
      </c>
      <c r="I266" t="s">
        <v>65</v>
      </c>
      <c r="J266" s="30">
        <v>3840</v>
      </c>
      <c r="K266" s="22">
        <f>IF(I266="","",IF(I266="ENTRADA",ABS(J266),-ABS(J266)))</f>
        <v>-3840</v>
      </c>
      <c r="L266" t="s">
        <v>37</v>
      </c>
      <c r="N266">
        <v>65105</v>
      </c>
      <c r="O266" t="s">
        <v>309</v>
      </c>
      <c r="P266">
        <v>1783</v>
      </c>
      <c r="Q266" s="42">
        <v>46191</v>
      </c>
      <c r="R266" s="22" t="str">
        <f>IF(H266="","",H266&amp;I266)</f>
        <v>260610-265SALIDA</v>
      </c>
      <c r="S266" s="22" t="str">
        <f>IF(C266="","",C266&amp;I266)</f>
        <v>Zinc Plus SALIDA</v>
      </c>
      <c r="T266" t="str">
        <f>IF(OR(C266="",I266&lt;&gt;"ENTRADA"),"",TEXT(B266,"AAMMDD")&amp;"-"&amp;TEXT(VALUE(SUBSTITUTE(A266,"MOV-","")),"000"))</f>
        <v/>
      </c>
    </row>
    <row r="267" spans="1:20">
      <c r="A267" s="20" t="s">
        <v>496</v>
      </c>
      <c r="B267" s="47">
        <v>46183</v>
      </c>
      <c r="C267" t="s">
        <v>283</v>
      </c>
      <c r="D267" t="s">
        <v>284</v>
      </c>
      <c r="E267" t="s">
        <v>285</v>
      </c>
      <c r="F267" t="s">
        <v>286</v>
      </c>
      <c r="G267" t="s">
        <v>83</v>
      </c>
      <c r="H267" s="20" t="s">
        <v>497</v>
      </c>
      <c r="I267" t="s">
        <v>65</v>
      </c>
      <c r="J267" s="30">
        <v>7300</v>
      </c>
      <c r="K267" s="22">
        <f>IF(I267="","",IF(I267="ENTRADA",ABS(J267),-ABS(J267)))</f>
        <v>-7300</v>
      </c>
      <c r="L267" t="s">
        <v>37</v>
      </c>
      <c r="N267">
        <v>65105</v>
      </c>
      <c r="O267" t="s">
        <v>309</v>
      </c>
      <c r="P267">
        <v>1783</v>
      </c>
      <c r="Q267" s="42">
        <v>46191</v>
      </c>
      <c r="R267" s="22" t="str">
        <f>IF(H267="","",H267&amp;I267)</f>
        <v>260429-102SALIDA</v>
      </c>
      <c r="S267" s="22" t="str">
        <f>IF(C267="","",C267&amp;I267)</f>
        <v>Hydra HumeSALIDA</v>
      </c>
      <c r="T267" t="str">
        <f>IF(OR(C267="",I267&lt;&gt;"ENTRADA"),"",TEXT(B267,"AAMMDD")&amp;"-"&amp;TEXT(VALUE(SUBSTITUTE(A267,"MOV-","")),"000"))</f>
        <v/>
      </c>
    </row>
    <row r="268" spans="1:20">
      <c r="A268" s="20" t="s">
        <v>498</v>
      </c>
      <c r="B268" s="47">
        <v>46184</v>
      </c>
      <c r="C268" t="s">
        <v>283</v>
      </c>
      <c r="D268" t="s">
        <v>284</v>
      </c>
      <c r="E268" t="s">
        <v>285</v>
      </c>
      <c r="F268" t="s">
        <v>286</v>
      </c>
      <c r="G268" t="s">
        <v>83</v>
      </c>
      <c r="H268" s="20" t="s">
        <v>497</v>
      </c>
      <c r="I268" t="s">
        <v>65</v>
      </c>
      <c r="J268" s="30">
        <v>1220</v>
      </c>
      <c r="K268" s="22">
        <f>IF(I268="","",IF(I268="ENTRADA",ABS(J268),-ABS(J268)))</f>
        <v>-1220</v>
      </c>
      <c r="L268" t="s">
        <v>37</v>
      </c>
      <c r="N268">
        <v>65106</v>
      </c>
      <c r="O268" t="s">
        <v>66</v>
      </c>
      <c r="P268">
        <v>1784</v>
      </c>
      <c r="Q268" s="42">
        <v>46191</v>
      </c>
      <c r="R268" s="22" t="str">
        <f>IF(H268="","",H268&amp;I268)</f>
        <v>260429-102SALIDA</v>
      </c>
      <c r="S268" s="22" t="str">
        <f>IF(C268="","",C268&amp;I268)</f>
        <v>Hydra HumeSALIDA</v>
      </c>
      <c r="T268" t="str">
        <f>IF(OR(C268="",I268&lt;&gt;"ENTRADA"),"",TEXT(B268,"AAMMDD")&amp;"-"&amp;TEXT(VALUE(SUBSTITUTE(A268,"MOV-","")),"000"))</f>
        <v/>
      </c>
    </row>
    <row r="269" spans="1:20">
      <c r="A269" s="20" t="s">
        <v>499</v>
      </c>
      <c r="B269" s="47">
        <v>46184</v>
      </c>
      <c r="C269" t="s">
        <v>491</v>
      </c>
      <c r="D269" t="s">
        <v>492</v>
      </c>
      <c r="E269" t="s">
        <v>493</v>
      </c>
      <c r="G269" t="s">
        <v>36</v>
      </c>
      <c r="H269" s="20" t="s">
        <v>495</v>
      </c>
      <c r="I269" t="s">
        <v>65</v>
      </c>
      <c r="J269" s="30">
        <v>1080</v>
      </c>
      <c r="K269" s="22">
        <f>IF(I269="","",IF(I269="ENTRADA",ABS(J269),-ABS(J269)))</f>
        <v>-1080</v>
      </c>
      <c r="L269" t="s">
        <v>37</v>
      </c>
      <c r="N269">
        <v>65106</v>
      </c>
      <c r="O269" t="s">
        <v>66</v>
      </c>
      <c r="P269">
        <v>1784</v>
      </c>
      <c r="Q269" s="42">
        <v>46191</v>
      </c>
      <c r="R269" s="22" t="str">
        <f>IF(H269="","",H269&amp;I269)</f>
        <v>260610-265SALIDA</v>
      </c>
      <c r="S269" s="22" t="str">
        <f>IF(C269="","",C269&amp;I269)</f>
        <v>Zinc Plus SALIDA</v>
      </c>
      <c r="T269" t="str">
        <f>IF(OR(C269="",I269&lt;&gt;"ENTRADA"),"",TEXT(B269,"AAMMDD")&amp;"-"&amp;TEXT(VALUE(SUBSTITUTE(A269,"MOV-","")),"000"))</f>
        <v/>
      </c>
    </row>
    <row r="270" spans="1:20">
      <c r="A270" s="20" t="s">
        <v>500</v>
      </c>
      <c r="B270" s="47">
        <v>46184</v>
      </c>
      <c r="C270" t="s">
        <v>50</v>
      </c>
      <c r="D270" t="s">
        <v>280</v>
      </c>
      <c r="E270" t="s">
        <v>34</v>
      </c>
      <c r="F270" t="s">
        <v>35</v>
      </c>
      <c r="G270" t="s">
        <v>36</v>
      </c>
      <c r="H270" s="20" t="s">
        <v>281</v>
      </c>
      <c r="I270" t="s">
        <v>65</v>
      </c>
      <c r="J270" s="30">
        <v>20</v>
      </c>
      <c r="K270" s="22">
        <f>IF(I270="","",IF(I270="ENTRADA",ABS(J270),-ABS(J270)))</f>
        <v>-20</v>
      </c>
      <c r="L270" t="s">
        <v>37</v>
      </c>
      <c r="N270">
        <v>65106</v>
      </c>
      <c r="O270" t="s">
        <v>66</v>
      </c>
      <c r="P270">
        <v>1784</v>
      </c>
      <c r="Q270" s="42">
        <v>46191</v>
      </c>
      <c r="R270" s="22" t="str">
        <f>IF(H270="","",H270&amp;I270)</f>
        <v>260401-006SALIDA</v>
      </c>
      <c r="S270" s="22" t="str">
        <f>IF(C270="","",C270&amp;I270)</f>
        <v>Tordon 24KSALIDA</v>
      </c>
      <c r="T270" t="str">
        <f>IF(OR(C270="",I270&lt;&gt;"ENTRADA"),"",TEXT(B270,"AAMMDD")&amp;"-"&amp;TEXT(VALUE(SUBSTITUTE(A270,"MOV-","")),"000"))</f>
        <v/>
      </c>
    </row>
    <row r="271" spans="1:20">
      <c r="A271" s="20" t="s">
        <v>501</v>
      </c>
      <c r="B271" s="47">
        <v>46185</v>
      </c>
      <c r="C271" t="s">
        <v>90</v>
      </c>
      <c r="D271" t="s">
        <v>91</v>
      </c>
      <c r="E271" t="s">
        <v>34</v>
      </c>
      <c r="F271" t="s">
        <v>35</v>
      </c>
      <c r="G271" t="s">
        <v>36</v>
      </c>
      <c r="H271" s="20" t="s">
        <v>375</v>
      </c>
      <c r="I271" t="s">
        <v>65</v>
      </c>
      <c r="J271" s="30">
        <v>60</v>
      </c>
      <c r="K271" s="22">
        <f>IF(I271="","",IF(I271="ENTRADA",ABS(J271),-ABS(J271)))</f>
        <v>-60</v>
      </c>
      <c r="L271" t="s">
        <v>37</v>
      </c>
      <c r="N271">
        <v>65107</v>
      </c>
      <c r="O271" t="s">
        <v>237</v>
      </c>
      <c r="P271">
        <v>1785</v>
      </c>
      <c r="Q271" s="42">
        <v>46191</v>
      </c>
      <c r="R271" s="22" t="str">
        <f>IF(H271="","",H271&amp;I271)</f>
        <v>260405-132SALIDA</v>
      </c>
      <c r="S271" s="22" t="str">
        <f>IF(C271="","",C271&amp;I271)</f>
        <v>PixxaroSALIDA</v>
      </c>
      <c r="T271" t="str">
        <f>IF(OR(C271="",I271&lt;&gt;"ENTRADA"),"",TEXT(B271,"AAMMDD")&amp;"-"&amp;TEXT(VALUE(SUBSTITUTE(A271,"MOV-","")),"000"))</f>
        <v/>
      </c>
    </row>
    <row r="272" spans="1:20">
      <c r="A272" s="20" t="s">
        <v>502</v>
      </c>
      <c r="B272" s="47">
        <v>46185</v>
      </c>
      <c r="C272" t="s">
        <v>115</v>
      </c>
      <c r="D272" t="s">
        <v>116</v>
      </c>
      <c r="E272" t="s">
        <v>34</v>
      </c>
      <c r="F272" t="s">
        <v>35</v>
      </c>
      <c r="G272" t="s">
        <v>117</v>
      </c>
      <c r="H272" s="20" t="s">
        <v>120</v>
      </c>
      <c r="I272" t="s">
        <v>65</v>
      </c>
      <c r="J272" s="30">
        <v>200</v>
      </c>
      <c r="K272" s="22">
        <f>IF(I272="","",IF(I272="ENTRADA",ABS(J272),-ABS(J272)))</f>
        <v>-200</v>
      </c>
      <c r="L272" t="s">
        <v>37</v>
      </c>
      <c r="N272">
        <v>65107</v>
      </c>
      <c r="O272" t="s">
        <v>237</v>
      </c>
      <c r="P272">
        <v>1785</v>
      </c>
      <c r="Q272" s="42">
        <v>46191</v>
      </c>
      <c r="R272" s="22" t="str">
        <f>IF(H272="","",H272&amp;I272)</f>
        <v>260410-025SALIDA</v>
      </c>
      <c r="S272" s="22" t="str">
        <f>IF(C272="","",C272&amp;I272)</f>
        <v>AzukaSALIDA</v>
      </c>
      <c r="T272" t="str">
        <f>IF(OR(C272="",I272&lt;&gt;"ENTRADA"),"",TEXT(B272,"AAMMDD")&amp;"-"&amp;TEXT(VALUE(SUBSTITUTE(A272,"MOV-","")),"000"))</f>
        <v/>
      </c>
    </row>
    <row r="273" spans="1:20">
      <c r="A273" s="20" t="s">
        <v>503</v>
      </c>
      <c r="B273" s="47">
        <v>46185</v>
      </c>
      <c r="C273" t="s">
        <v>130</v>
      </c>
      <c r="D273" t="s">
        <v>131</v>
      </c>
      <c r="E273" t="s">
        <v>132</v>
      </c>
      <c r="G273" t="s">
        <v>133</v>
      </c>
      <c r="H273" s="20" t="s">
        <v>221</v>
      </c>
      <c r="I273" t="s">
        <v>65</v>
      </c>
      <c r="J273" s="30">
        <v>180</v>
      </c>
      <c r="K273" s="22">
        <f>IF(I273="","",IF(I273="ENTRADA",ABS(J273),-ABS(J273)))</f>
        <v>-180</v>
      </c>
      <c r="L273" t="s">
        <v>37</v>
      </c>
      <c r="N273">
        <v>65107</v>
      </c>
      <c r="O273" t="s">
        <v>237</v>
      </c>
      <c r="P273">
        <v>1785</v>
      </c>
      <c r="Q273" s="42">
        <v>46191</v>
      </c>
      <c r="R273" s="22" t="str">
        <f>IF(H273="","",H273&amp;I273)</f>
        <v>260414-029SALIDA</v>
      </c>
      <c r="S273" s="22" t="str">
        <f>IF(C273="","",C273&amp;I273)</f>
        <v>HarrierSALIDA</v>
      </c>
      <c r="T273" t="str">
        <f>IF(OR(C273="",I273&lt;&gt;"ENTRADA"),"",TEXT(B273,"AAMMDD")&amp;"-"&amp;TEXT(VALUE(SUBSTITUTE(A273,"MOV-","")),"000"))</f>
        <v/>
      </c>
    </row>
    <row r="274" spans="1:20">
      <c r="A274" s="20" t="s">
        <v>504</v>
      </c>
      <c r="B274" s="47">
        <v>46188</v>
      </c>
      <c r="C274" t="s">
        <v>491</v>
      </c>
      <c r="D274" t="s">
        <v>492</v>
      </c>
      <c r="E274" t="s">
        <v>493</v>
      </c>
      <c r="G274" t="s">
        <v>36</v>
      </c>
      <c r="H274" s="20" t="s">
        <v>495</v>
      </c>
      <c r="I274" t="s">
        <v>28</v>
      </c>
      <c r="J274" s="30">
        <v>10560</v>
      </c>
      <c r="K274" s="22">
        <f>IF(I274="","",IF(I274="ENTRADA",ABS(J274),-ABS(J274)))</f>
        <v>10560</v>
      </c>
      <c r="L274" t="s">
        <v>37</v>
      </c>
      <c r="N274">
        <v>13100</v>
      </c>
      <c r="P274">
        <v>14751</v>
      </c>
      <c r="Q274" s="42">
        <v>46191</v>
      </c>
      <c r="R274" s="22" t="str">
        <f>IF(H274="","",H274&amp;I274)</f>
        <v>260610-265ENTRADA</v>
      </c>
      <c r="S274" s="22" t="str">
        <f>IF(C274="","",C274&amp;I274)</f>
        <v>Zinc Plus ENTRADA</v>
      </c>
      <c r="T274" t="str">
        <f>IF(OR(C274="",I274&lt;&gt;"ENTRADA"),"",TEXT(B274,"AAMMDD")&amp;"-"&amp;TEXT(VALUE(SUBSTITUTE(A274,"MOV-","")),"000"))</f>
        <v>260615-274</v>
      </c>
    </row>
    <row r="275" spans="1:20">
      <c r="A275" s="20" t="s">
        <v>505</v>
      </c>
      <c r="B275" s="47">
        <v>46189</v>
      </c>
      <c r="C275" t="s">
        <v>283</v>
      </c>
      <c r="D275" t="s">
        <v>284</v>
      </c>
      <c r="E275" t="s">
        <v>285</v>
      </c>
      <c r="F275" t="s">
        <v>286</v>
      </c>
      <c r="G275" t="s">
        <v>83</v>
      </c>
      <c r="H275" s="20" t="s">
        <v>497</v>
      </c>
      <c r="I275" t="s">
        <v>65</v>
      </c>
      <c r="J275" s="30">
        <v>1000</v>
      </c>
      <c r="K275" s="22">
        <f>IF(I275="","",IF(I275="ENTRADA",ABS(J275),-ABS(J275)))</f>
        <v>-1000</v>
      </c>
      <c r="L275" t="s">
        <v>37</v>
      </c>
      <c r="N275">
        <v>65108</v>
      </c>
      <c r="O275" t="s">
        <v>382</v>
      </c>
      <c r="P275">
        <v>1786</v>
      </c>
      <c r="Q275" s="42">
        <v>46191</v>
      </c>
      <c r="R275" s="22" t="str">
        <f>IF(H275="","",H275&amp;I275)</f>
        <v>260429-102SALIDA</v>
      </c>
      <c r="S275" s="22" t="str">
        <f>IF(C275="","",C275&amp;I275)</f>
        <v>Hydra HumeSALIDA</v>
      </c>
      <c r="T275" t="str">
        <f>IF(OR(C275="",I275&lt;&gt;"ENTRADA"),"",TEXT(B275,"AAMMDD")&amp;"-"&amp;TEXT(VALUE(SUBSTITUTE(A275,"MOV-","")),"000"))</f>
        <v/>
      </c>
    </row>
    <row r="276" spans="1:20">
      <c r="A276" s="20" t="s">
        <v>506</v>
      </c>
      <c r="B276" s="47">
        <v>46189</v>
      </c>
      <c r="C276" s="34" t="s">
        <v>130</v>
      </c>
      <c r="D276" s="34" t="s">
        <v>131</v>
      </c>
      <c r="E276" s="34" t="s">
        <v>132</v>
      </c>
      <c r="F276" s="34"/>
      <c r="G276" s="34" t="s">
        <v>133</v>
      </c>
      <c r="H276" s="20" t="s">
        <v>221</v>
      </c>
      <c r="I276" s="34" t="s">
        <v>65</v>
      </c>
      <c r="J276" s="36">
        <v>40</v>
      </c>
      <c r="K276" s="22">
        <f>IF(I276="","",IF(I276="ENTRADA",ABS(J276),-ABS(J276)))</f>
        <v>-40</v>
      </c>
      <c r="L276" s="34" t="s">
        <v>37</v>
      </c>
      <c r="M276" s="34"/>
      <c r="N276" s="34">
        <v>65108</v>
      </c>
      <c r="O276" s="34" t="s">
        <v>382</v>
      </c>
      <c r="P276">
        <v>1786</v>
      </c>
      <c r="Q276" s="42">
        <v>46191</v>
      </c>
      <c r="R276" s="22" t="str">
        <f>IF(H276="","",H276&amp;I276)</f>
        <v>260414-029SALIDA</v>
      </c>
      <c r="S276" s="22" t="str">
        <f>IF(C276="","",C276&amp;I276)</f>
        <v>HarrierSALIDA</v>
      </c>
      <c r="T276" t="str">
        <f>IF(OR(C276="",I276&lt;&gt;"ENTRADA"),"",TEXT(B276,"AAMMDD")&amp;"-"&amp;TEXT(VALUE(SUBSTITUTE(A276,"MOV-","")),"000"))</f>
        <v/>
      </c>
    </row>
    <row r="277" spans="1:20">
      <c r="A277" s="20" t="s">
        <v>507</v>
      </c>
      <c r="B277" s="47">
        <v>46189</v>
      </c>
      <c r="C277" t="s">
        <v>122</v>
      </c>
      <c r="D277" t="s">
        <v>123</v>
      </c>
      <c r="E277" t="s">
        <v>34</v>
      </c>
      <c r="F277" t="s">
        <v>35</v>
      </c>
      <c r="G277" t="s">
        <v>117</v>
      </c>
      <c r="H277" s="20" t="s">
        <v>203</v>
      </c>
      <c r="I277" t="s">
        <v>65</v>
      </c>
      <c r="J277" s="30">
        <v>100</v>
      </c>
      <c r="K277" s="22">
        <f>IF(I277="","",IF(I277="ENTRADA",ABS(J277),-ABS(J277)))</f>
        <v>-100</v>
      </c>
      <c r="L277" t="s">
        <v>37</v>
      </c>
      <c r="N277">
        <v>65108</v>
      </c>
      <c r="O277" t="s">
        <v>382</v>
      </c>
      <c r="P277">
        <v>1786</v>
      </c>
      <c r="Q277" s="42">
        <v>46191</v>
      </c>
      <c r="R277" s="22" t="str">
        <f>IF(H277="","",H277&amp;I277)</f>
        <v>260410-027SALIDA</v>
      </c>
      <c r="S277" s="22" t="str">
        <f>IF(C277="","",C277&amp;I277)</f>
        <v>PardoSALIDA</v>
      </c>
      <c r="T277" t="str">
        <f>IF(OR(C277="",I277&lt;&gt;"ENTRADA"),"",TEXT(B277,"AAMMDD")&amp;"-"&amp;TEXT(VALUE(SUBSTITUTE(A277,"MOV-","")),"000"))</f>
        <v/>
      </c>
    </row>
    <row r="278" spans="1:20">
      <c r="A278" s="20" t="s">
        <v>508</v>
      </c>
      <c r="B278" s="47">
        <v>46189</v>
      </c>
      <c r="C278" t="s">
        <v>283</v>
      </c>
      <c r="D278" t="s">
        <v>284</v>
      </c>
      <c r="E278" t="s">
        <v>285</v>
      </c>
      <c r="F278" t="s">
        <v>286</v>
      </c>
      <c r="G278" t="s">
        <v>83</v>
      </c>
      <c r="H278" s="20" t="s">
        <v>497</v>
      </c>
      <c r="I278" t="s">
        <v>65</v>
      </c>
      <c r="J278" s="30">
        <v>3500</v>
      </c>
      <c r="K278" s="22">
        <f>IF(I278="","",IF(I278="ENTRADA",ABS(J278),-ABS(J278)))</f>
        <v>-3500</v>
      </c>
      <c r="L278" t="s">
        <v>37</v>
      </c>
      <c r="N278">
        <v>65109</v>
      </c>
      <c r="O278" t="s">
        <v>382</v>
      </c>
      <c r="P278">
        <v>1782</v>
      </c>
      <c r="Q278" s="42">
        <v>46191</v>
      </c>
      <c r="R278" s="22" t="str">
        <f>IF(H278="","",H278&amp;I278)</f>
        <v>260429-102SALIDA</v>
      </c>
      <c r="S278" s="22" t="str">
        <f>IF(C278="","",C278&amp;I278)</f>
        <v>Hydra HumeSALIDA</v>
      </c>
      <c r="T278" t="str">
        <f>IF(OR(C278="",I278&lt;&gt;"ENTRADA"),"",TEXT(B278,"AAMMDD")&amp;"-"&amp;TEXT(VALUE(SUBSTITUTE(A278,"MOV-","")),"000"))</f>
        <v/>
      </c>
    </row>
    <row r="279" spans="1:20">
      <c r="A279" s="20" t="s">
        <v>509</v>
      </c>
      <c r="B279" s="47">
        <v>46189</v>
      </c>
      <c r="C279" t="s">
        <v>130</v>
      </c>
      <c r="D279" t="s">
        <v>131</v>
      </c>
      <c r="E279" t="s">
        <v>132</v>
      </c>
      <c r="G279" t="s">
        <v>133</v>
      </c>
      <c r="H279" s="20" t="s">
        <v>221</v>
      </c>
      <c r="I279" t="s">
        <v>65</v>
      </c>
      <c r="J279" s="30">
        <v>60</v>
      </c>
      <c r="K279" s="22">
        <f>IF(I279="","",IF(I279="ENTRADA",ABS(J279),-ABS(J279)))</f>
        <v>-60</v>
      </c>
      <c r="L279" t="s">
        <v>37</v>
      </c>
      <c r="N279">
        <v>65109</v>
      </c>
      <c r="O279" t="s">
        <v>382</v>
      </c>
      <c r="P279">
        <v>1782</v>
      </c>
      <c r="Q279" s="42">
        <v>46191</v>
      </c>
      <c r="R279" s="22" t="str">
        <f>IF(H279="","",H279&amp;I279)</f>
        <v>260414-029SALIDA</v>
      </c>
      <c r="S279" s="22" t="str">
        <f>IF(C279="","",C279&amp;I279)</f>
        <v>HarrierSALIDA</v>
      </c>
      <c r="T279" t="str">
        <f>IF(OR(C279="",I279&lt;&gt;"ENTRADA"),"",TEXT(B279,"AAMMDD")&amp;"-"&amp;TEXT(VALUE(SUBSTITUTE(A279,"MOV-","")),"000"))</f>
        <v/>
      </c>
    </row>
    <row r="280" spans="1:20">
      <c r="A280" s="20" t="s">
        <v>510</v>
      </c>
      <c r="B280" s="47">
        <v>46189</v>
      </c>
      <c r="C280" t="s">
        <v>122</v>
      </c>
      <c r="D280" t="s">
        <v>123</v>
      </c>
      <c r="E280" t="s">
        <v>34</v>
      </c>
      <c r="F280" t="s">
        <v>35</v>
      </c>
      <c r="G280" t="s">
        <v>117</v>
      </c>
      <c r="H280" s="20" t="s">
        <v>203</v>
      </c>
      <c r="I280" t="s">
        <v>65</v>
      </c>
      <c r="J280" s="30">
        <v>100</v>
      </c>
      <c r="K280" s="22">
        <f>IF(I280="","",IF(I280="ENTRADA",ABS(J280),-ABS(J280)))</f>
        <v>-100</v>
      </c>
      <c r="L280" t="s">
        <v>37</v>
      </c>
      <c r="N280">
        <v>65109</v>
      </c>
      <c r="O280" t="s">
        <v>382</v>
      </c>
      <c r="P280">
        <v>1782</v>
      </c>
      <c r="Q280" s="42">
        <v>46191</v>
      </c>
      <c r="R280" s="22" t="str">
        <f>IF(H280="","",H280&amp;I280)</f>
        <v>260410-027SALIDA</v>
      </c>
      <c r="S280" s="22" t="str">
        <f>IF(C280="","",C280&amp;I280)</f>
        <v>PardoSALIDA</v>
      </c>
      <c r="T280" t="str">
        <f>IF(OR(C280="",I280&lt;&gt;"ENTRADA"),"",TEXT(B280,"AAMMDD")&amp;"-"&amp;TEXT(VALUE(SUBSTITUTE(A280,"MOV-","")),"000"))</f>
        <v/>
      </c>
    </row>
    <row r="281" spans="1:20">
      <c r="A281" s="20" t="s">
        <v>511</v>
      </c>
      <c r="B281" s="47">
        <v>46189</v>
      </c>
      <c r="C281" t="s">
        <v>283</v>
      </c>
      <c r="D281" t="s">
        <v>284</v>
      </c>
      <c r="E281" t="s">
        <v>285</v>
      </c>
      <c r="F281" t="s">
        <v>286</v>
      </c>
      <c r="G281" t="s">
        <v>83</v>
      </c>
      <c r="H281" s="20" t="s">
        <v>497</v>
      </c>
      <c r="I281" t="s">
        <v>65</v>
      </c>
      <c r="J281" s="30">
        <v>2260</v>
      </c>
      <c r="K281" s="22">
        <f>IF(I281="","",IF(I281="ENTRADA",ABS(J281),-ABS(J281)))</f>
        <v>-2260</v>
      </c>
      <c r="L281" t="s">
        <v>37</v>
      </c>
      <c r="N281">
        <v>65110</v>
      </c>
      <c r="O281" t="s">
        <v>218</v>
      </c>
      <c r="P281">
        <v>1780</v>
      </c>
      <c r="Q281" s="42">
        <v>46191</v>
      </c>
      <c r="R281" s="22" t="str">
        <f>IF(H281="","",H281&amp;I281)</f>
        <v>260429-102SALIDA</v>
      </c>
      <c r="S281" s="22" t="str">
        <f>IF(C281="","",C281&amp;I281)</f>
        <v>Hydra HumeSALIDA</v>
      </c>
      <c r="T281" t="str">
        <f>IF(OR(C281="",I281&lt;&gt;"ENTRADA"),"",TEXT(B281,"AAMMDD")&amp;"-"&amp;TEXT(VALUE(SUBSTITUTE(A281,"MOV-","")),"000"))</f>
        <v/>
      </c>
    </row>
    <row r="282" spans="1:20">
      <c r="A282" s="20" t="s">
        <v>512</v>
      </c>
      <c r="B282" s="47">
        <v>46190</v>
      </c>
      <c r="C282" t="s">
        <v>54</v>
      </c>
      <c r="D282" t="s">
        <v>55</v>
      </c>
      <c r="E282" t="s">
        <v>34</v>
      </c>
      <c r="F282" t="s">
        <v>35</v>
      </c>
      <c r="G282" t="s">
        <v>36</v>
      </c>
      <c r="H282" s="20" t="s">
        <v>97</v>
      </c>
      <c r="I282" t="s">
        <v>65</v>
      </c>
      <c r="J282" s="30">
        <v>11</v>
      </c>
      <c r="K282" s="22">
        <f>IF(I282="","",IF(I282="ENTRADA",ABS(J282),-ABS(J282)))</f>
        <v>-11</v>
      </c>
      <c r="L282" t="s">
        <v>56</v>
      </c>
      <c r="N282">
        <v>65111</v>
      </c>
      <c r="O282" t="s">
        <v>66</v>
      </c>
      <c r="P282">
        <v>1781</v>
      </c>
      <c r="Q282" s="42">
        <v>46191</v>
      </c>
      <c r="R282" s="22" t="str">
        <f>IF(H282="","",H282&amp;I282)</f>
        <v>260401-007SALIDA</v>
      </c>
      <c r="S282" s="22" t="str">
        <f>IF(C282="","",C282&amp;I282)</f>
        <v>TronadorSALIDA</v>
      </c>
      <c r="T282" t="str">
        <f>IF(OR(C282="",I282&lt;&gt;"ENTRADA"),"",TEXT(B282,"AAMMDD")&amp;"-"&amp;TEXT(VALUE(SUBSTITUTE(A282,"MOV-","")),"000"))</f>
        <v/>
      </c>
    </row>
    <row r="283" spans="1:20">
      <c r="A283" s="20" t="s">
        <v>513</v>
      </c>
      <c r="B283" s="47">
        <v>46191</v>
      </c>
      <c r="C283" t="s">
        <v>514</v>
      </c>
      <c r="D283" t="s">
        <v>515</v>
      </c>
      <c r="E283" t="s">
        <v>516</v>
      </c>
      <c r="G283" t="s">
        <v>117</v>
      </c>
      <c r="H283" s="20" t="str">
        <f>+T283</f>
        <v>260618-283</v>
      </c>
      <c r="I283" t="s">
        <v>28</v>
      </c>
      <c r="J283" s="30">
        <v>3000</v>
      </c>
      <c r="K283" s="22">
        <f>IF(I283="","",IF(I283="ENTRADA",ABS(J283),-ABS(J283)))</f>
        <v>3000</v>
      </c>
      <c r="L283" t="s">
        <v>37</v>
      </c>
      <c r="M283" s="47">
        <v>46569</v>
      </c>
      <c r="P283">
        <v>14809</v>
      </c>
      <c r="Q283" s="42">
        <v>46199</v>
      </c>
      <c r="R283" s="22" t="str">
        <f>IF(H283="","",H283&amp;I283)</f>
        <v>260618-283ENTRADA</v>
      </c>
      <c r="S283" s="22" t="str">
        <f>IF(C283="","",C283&amp;I283)</f>
        <v>Unico MaxENTRADA</v>
      </c>
      <c r="T283" t="str">
        <f>IF(OR(C283="",I283&lt;&gt;"ENTRADA"),"",TEXT(B283,"AAMMDD")&amp;"-"&amp;TEXT(VALUE(SUBSTITUTE(A283,"MOV-","")),"000"))</f>
        <v>260618-283</v>
      </c>
    </row>
    <row r="284" spans="1:20">
      <c r="A284" s="20" t="s">
        <v>517</v>
      </c>
      <c r="B284" s="47">
        <v>46189</v>
      </c>
      <c r="C284" t="s">
        <v>182</v>
      </c>
      <c r="D284" t="s">
        <v>183</v>
      </c>
      <c r="E284" t="s">
        <v>25</v>
      </c>
      <c r="F284" t="s">
        <v>184</v>
      </c>
      <c r="G284" t="s">
        <v>180</v>
      </c>
      <c r="H284" s="20" t="s">
        <v>351</v>
      </c>
      <c r="I284" t="s">
        <v>65</v>
      </c>
      <c r="J284" s="30">
        <v>125</v>
      </c>
      <c r="K284" s="22">
        <f>IF(I284="","",IF(I284="ENTRADA",ABS(J284),-ABS(J284)))</f>
        <v>-125</v>
      </c>
      <c r="L284" t="s">
        <v>29</v>
      </c>
      <c r="N284">
        <v>65113</v>
      </c>
      <c r="O284" t="s">
        <v>382</v>
      </c>
      <c r="P284">
        <v>1791</v>
      </c>
      <c r="Q284" s="42">
        <v>46196</v>
      </c>
      <c r="R284" s="22" t="str">
        <f>IF(H284="","",H284&amp;I284)</f>
        <v>260417-042SALIDA</v>
      </c>
      <c r="S284" s="22" t="str">
        <f>IF(C284="","",C284&amp;I284)</f>
        <v>Dactylis DroverSALIDA</v>
      </c>
      <c r="T284" t="str">
        <f>IF(OR(C284="",I284&lt;&gt;"ENTRADA"),"",TEXT(B284,"AAMMDD")&amp;"-"&amp;TEXT(VALUE(SUBSTITUTE(A284,"MOV-","")),"000"))</f>
        <v/>
      </c>
    </row>
    <row r="285" spans="1:20">
      <c r="A285" s="20" t="s">
        <v>518</v>
      </c>
      <c r="B285" s="47">
        <v>46189</v>
      </c>
      <c r="C285" t="s">
        <v>304</v>
      </c>
      <c r="D285" t="s">
        <v>305</v>
      </c>
      <c r="E285" t="s">
        <v>25</v>
      </c>
      <c r="F285" t="s">
        <v>188</v>
      </c>
      <c r="G285" t="s">
        <v>301</v>
      </c>
      <c r="H285" s="20" t="s">
        <v>409</v>
      </c>
      <c r="I285" t="s">
        <v>65</v>
      </c>
      <c r="J285" s="30">
        <v>50</v>
      </c>
      <c r="K285" s="22">
        <f>IF(I285="","",IF(I285="ENTRADA",ABS(J285),-ABS(J285)))</f>
        <v>-50</v>
      </c>
      <c r="L285" t="s">
        <v>519</v>
      </c>
      <c r="N285">
        <v>65113</v>
      </c>
      <c r="O285" t="s">
        <v>382</v>
      </c>
      <c r="P285">
        <v>1791</v>
      </c>
      <c r="Q285" s="42">
        <v>46196</v>
      </c>
      <c r="R285" s="22" t="str">
        <f>IF(H285="","",H285&amp;I285)</f>
        <v>260429-113SALIDA</v>
      </c>
      <c r="S285" s="22" t="str">
        <f>IF(C285="","",C285&amp;I285)</f>
        <v>Trebol blanco Zapican inoculado SALIDA</v>
      </c>
      <c r="T285" t="str">
        <f>IF(OR(C285="",I285&lt;&gt;"ENTRADA"),"",TEXT(B285,"AAMMDD")&amp;"-"&amp;TEXT(VALUE(SUBSTITUTE(A285,"MOV-","")),"000"))</f>
        <v/>
      </c>
    </row>
    <row r="286" spans="1:20">
      <c r="A286" s="20" t="s">
        <v>520</v>
      </c>
      <c r="B286" s="47">
        <v>46195</v>
      </c>
      <c r="C286" t="s">
        <v>178</v>
      </c>
      <c r="D286" t="s">
        <v>179</v>
      </c>
      <c r="E286" t="s">
        <v>25</v>
      </c>
      <c r="F286" t="s">
        <v>165</v>
      </c>
      <c r="G286" t="s">
        <v>180</v>
      </c>
      <c r="H286" s="20" t="s">
        <v>308</v>
      </c>
      <c r="I286" t="s">
        <v>65</v>
      </c>
      <c r="J286" s="30">
        <v>450</v>
      </c>
      <c r="K286" s="22">
        <f>IF(I286="","",IF(I286="ENTRADA",ABS(J286),-ABS(J286)))</f>
        <v>-450</v>
      </c>
      <c r="L286" t="s">
        <v>29</v>
      </c>
      <c r="O286" t="s">
        <v>309</v>
      </c>
      <c r="P286">
        <v>1789</v>
      </c>
      <c r="Q286" s="42">
        <v>46195</v>
      </c>
      <c r="R286" s="22" t="str">
        <f>IF(H286="","",H286&amp;I286)</f>
        <v>260417-041SALIDA</v>
      </c>
      <c r="S286" s="22" t="str">
        <f>IF(C286="","",C286&amp;I286)</f>
        <v>Festuca Sortija C2 SALIDA</v>
      </c>
      <c r="T286" t="str">
        <f>IF(OR(C286="",I286&lt;&gt;"ENTRADA"),"",TEXT(B286,"AAMMDD")&amp;"-"&amp;TEXT(VALUE(SUBSTITUTE(A286,"MOV-","")),"000"))</f>
        <v/>
      </c>
    </row>
    <row r="287" spans="1:20">
      <c r="A287" s="20" t="s">
        <v>521</v>
      </c>
      <c r="B287" s="47">
        <v>46195</v>
      </c>
      <c r="C287" s="34" t="s">
        <v>54</v>
      </c>
      <c r="D287" s="34" t="s">
        <v>55</v>
      </c>
      <c r="E287" s="34" t="s">
        <v>34</v>
      </c>
      <c r="F287" s="34" t="s">
        <v>35</v>
      </c>
      <c r="G287" s="34" t="s">
        <v>36</v>
      </c>
      <c r="H287" s="20" t="s">
        <v>97</v>
      </c>
      <c r="I287" s="34" t="s">
        <v>65</v>
      </c>
      <c r="J287" s="36">
        <v>4</v>
      </c>
      <c r="K287" s="22">
        <f>IF(I287="","",IF(I287="ENTRADA",ABS(J287),-ABS(J287)))</f>
        <v>-4</v>
      </c>
      <c r="L287" s="34" t="s">
        <v>56</v>
      </c>
      <c r="M287" s="34"/>
      <c r="N287" s="34">
        <v>65114</v>
      </c>
      <c r="O287" s="34" t="s">
        <v>66</v>
      </c>
      <c r="P287">
        <v>1792</v>
      </c>
      <c r="Q287" s="42">
        <v>46196</v>
      </c>
      <c r="R287" s="22" t="str">
        <f>IF(H287="","",H287&amp;I287)</f>
        <v>260401-007SALIDA</v>
      </c>
      <c r="S287" s="22" t="str">
        <f>IF(C287="","",C287&amp;I287)</f>
        <v>TronadorSALIDA</v>
      </c>
      <c r="T287" t="str">
        <f>IF(OR(C287="",I287&lt;&gt;"ENTRADA"),"",TEXT(B287,"AAMMDD")&amp;"-"&amp;TEXT(VALUE(SUBSTITUTE(A287,"MOV-","")),"000"))</f>
        <v/>
      </c>
    </row>
    <row r="288" spans="1:20">
      <c r="A288" s="20" t="s">
        <v>522</v>
      </c>
      <c r="B288" s="47">
        <v>46195</v>
      </c>
      <c r="C288" t="s">
        <v>54</v>
      </c>
      <c r="D288" t="s">
        <v>55</v>
      </c>
      <c r="E288" t="s">
        <v>34</v>
      </c>
      <c r="F288" t="s">
        <v>35</v>
      </c>
      <c r="G288" t="s">
        <v>36</v>
      </c>
      <c r="H288" s="20" t="s">
        <v>97</v>
      </c>
      <c r="I288" t="s">
        <v>65</v>
      </c>
      <c r="J288" s="30">
        <v>8</v>
      </c>
      <c r="K288" s="22">
        <f>IF(I288="","",IF(I288="ENTRADA",ABS(J288),-ABS(J288)))</f>
        <v>-8</v>
      </c>
      <c r="L288" t="s">
        <v>56</v>
      </c>
      <c r="N288">
        <v>65115</v>
      </c>
      <c r="O288" t="s">
        <v>66</v>
      </c>
      <c r="P288">
        <v>1793</v>
      </c>
      <c r="Q288" s="42">
        <v>46196</v>
      </c>
      <c r="R288" s="22" t="str">
        <f>IF(H288="","",H288&amp;I288)</f>
        <v>260401-007SALIDA</v>
      </c>
      <c r="S288" s="22" t="str">
        <f>IF(C288="","",C288&amp;I288)</f>
        <v>TronadorSALIDA</v>
      </c>
      <c r="T288" t="str">
        <f>IF(OR(C288="",I288&lt;&gt;"ENTRADA"),"",TEXT(B288,"AAMMDD")&amp;"-"&amp;TEXT(VALUE(SUBSTITUTE(A288,"MOV-","")),"000"))</f>
        <v/>
      </c>
    </row>
    <row r="289" spans="1:20">
      <c r="A289" s="20" t="s">
        <v>523</v>
      </c>
      <c r="B289" s="47">
        <v>46196</v>
      </c>
      <c r="C289" t="s">
        <v>524</v>
      </c>
      <c r="D289" t="s">
        <v>525</v>
      </c>
      <c r="E289" t="s">
        <v>516</v>
      </c>
      <c r="G289" t="s">
        <v>77</v>
      </c>
      <c r="H289" s="20" t="str">
        <f>+T289</f>
        <v>260623-289</v>
      </c>
      <c r="I289" t="s">
        <v>28</v>
      </c>
      <c r="J289" s="30">
        <v>1500</v>
      </c>
      <c r="K289" s="22">
        <f>IF(I289="","",IF(I289="ENTRADA",ABS(J289),-ABS(J289)))</f>
        <v>1500</v>
      </c>
      <c r="L289" t="s">
        <v>37</v>
      </c>
      <c r="M289" s="47">
        <v>46476</v>
      </c>
      <c r="N289">
        <v>69990</v>
      </c>
      <c r="P289">
        <v>14808</v>
      </c>
      <c r="Q289" s="42">
        <v>46199</v>
      </c>
      <c r="R289" s="22" t="str">
        <f>IF(H289="","",H289&amp;I289)</f>
        <v>260623-289ENTRADA</v>
      </c>
      <c r="S289" s="22" t="str">
        <f>IF(C289="","",C289&amp;I289)</f>
        <v>cripton xpro ENTRADA</v>
      </c>
      <c r="T289" t="str">
        <f>IF(OR(C289="",I289&lt;&gt;"ENTRADA"),"",TEXT(B289,"AAMMDD")&amp;"-"&amp;TEXT(VALUE(SUBSTITUTE(A289,"MOV-","")),"000"))</f>
        <v>260623-289</v>
      </c>
    </row>
    <row r="290" spans="1:20">
      <c r="A290" s="20" t="s">
        <v>526</v>
      </c>
      <c r="B290" s="47">
        <v>46196</v>
      </c>
      <c r="C290" t="s">
        <v>527</v>
      </c>
      <c r="D290" t="s">
        <v>528</v>
      </c>
      <c r="E290" t="s">
        <v>493</v>
      </c>
      <c r="G290" t="s">
        <v>77</v>
      </c>
      <c r="H290" s="20" t="str">
        <f>+T290</f>
        <v>260623-290</v>
      </c>
      <c r="I290" t="s">
        <v>28</v>
      </c>
      <c r="J290" s="30">
        <v>150</v>
      </c>
      <c r="K290" s="22">
        <f>IF(I290="","",IF(I290="ENTRADA",ABS(J290),-ABS(J290)))</f>
        <v>150</v>
      </c>
      <c r="L290" t="s">
        <v>29</v>
      </c>
      <c r="M290" s="47">
        <v>47098</v>
      </c>
      <c r="N290">
        <v>69990</v>
      </c>
      <c r="P290">
        <v>14808</v>
      </c>
      <c r="Q290" s="42">
        <v>46199</v>
      </c>
      <c r="R290" s="22" t="str">
        <f>IF(H290="","",H290&amp;I290)</f>
        <v>260623-290ENTRADA</v>
      </c>
      <c r="S290" s="22" t="str">
        <f>IF(C290="","",C290&amp;I290)</f>
        <v>vitagrowENTRADA</v>
      </c>
      <c r="T290" t="str">
        <f>IF(OR(C290="",I290&lt;&gt;"ENTRADA"),"",TEXT(B290,"AAMMDD")&amp;"-"&amp;TEXT(VALUE(SUBSTITUTE(A290,"MOV-","")),"000"))</f>
        <v>260623-290</v>
      </c>
    </row>
    <row r="291" spans="1:20">
      <c r="A291" s="20" t="s">
        <v>529</v>
      </c>
      <c r="B291" s="47">
        <v>46196</v>
      </c>
      <c r="C291" t="s">
        <v>491</v>
      </c>
      <c r="D291" t="s">
        <v>492</v>
      </c>
      <c r="E291" t="s">
        <v>493</v>
      </c>
      <c r="G291" t="s">
        <v>36</v>
      </c>
      <c r="H291" s="20" t="s">
        <v>495</v>
      </c>
      <c r="I291" t="s">
        <v>65</v>
      </c>
      <c r="J291" s="30">
        <v>2100</v>
      </c>
      <c r="K291" s="22">
        <f>IF(I291="","",IF(I291="ENTRADA",ABS(J291),-ABS(J291)))</f>
        <v>-2100</v>
      </c>
      <c r="L291" t="s">
        <v>37</v>
      </c>
      <c r="N291">
        <v>65116</v>
      </c>
      <c r="O291" t="s">
        <v>237</v>
      </c>
      <c r="P291">
        <v>1794</v>
      </c>
      <c r="Q291" s="42">
        <v>46196</v>
      </c>
      <c r="R291" s="22" t="str">
        <f>IF(H291="","",H291&amp;I291)</f>
        <v>260610-265SALIDA</v>
      </c>
      <c r="S291" s="22" t="str">
        <f>IF(C291="","",C291&amp;I291)</f>
        <v>Zinc Plus SALIDA</v>
      </c>
      <c r="T291" t="str">
        <f>IF(OR(C291="",I291&lt;&gt;"ENTRADA"),"",TEXT(B291,"AAMMDD")&amp;"-"&amp;TEXT(VALUE(SUBSTITUTE(A291,"MOV-","")),"000"))</f>
        <v/>
      </c>
    </row>
    <row r="292" spans="1:20">
      <c r="A292" s="20" t="s">
        <v>530</v>
      </c>
      <c r="B292" s="47">
        <v>46196</v>
      </c>
      <c r="C292" t="s">
        <v>283</v>
      </c>
      <c r="D292" t="s">
        <v>284</v>
      </c>
      <c r="E292" t="s">
        <v>285</v>
      </c>
      <c r="F292" t="s">
        <v>286</v>
      </c>
      <c r="G292" t="s">
        <v>83</v>
      </c>
      <c r="H292" s="20" t="s">
        <v>497</v>
      </c>
      <c r="I292" t="s">
        <v>65</v>
      </c>
      <c r="J292" s="30">
        <v>1100</v>
      </c>
      <c r="K292" s="22">
        <f>IF(I292="","",IF(I292="ENTRADA",ABS(J292),-ABS(J292)))</f>
        <v>-1100</v>
      </c>
      <c r="L292" t="s">
        <v>37</v>
      </c>
      <c r="N292">
        <v>65116</v>
      </c>
      <c r="O292" t="s">
        <v>237</v>
      </c>
      <c r="P292">
        <v>1794</v>
      </c>
      <c r="Q292" s="42">
        <v>46196</v>
      </c>
      <c r="R292" s="22" t="str">
        <f>IF(H292="","",H292&amp;I292)</f>
        <v>260429-102SALIDA</v>
      </c>
      <c r="S292" s="22" t="str">
        <f>IF(C292="","",C292&amp;I292)</f>
        <v>Hydra HumeSALIDA</v>
      </c>
      <c r="T292" t="str">
        <f>IF(OR(C292="",I292&lt;&gt;"ENTRADA"),"",TEXT(B292,"AAMMDD")&amp;"-"&amp;TEXT(VALUE(SUBSTITUTE(A292,"MOV-","")),"000"))</f>
        <v/>
      </c>
    </row>
    <row r="293" spans="1:20">
      <c r="A293" s="20" t="s">
        <v>531</v>
      </c>
      <c r="B293" s="47">
        <v>46196</v>
      </c>
      <c r="C293" t="s">
        <v>245</v>
      </c>
      <c r="D293" t="s">
        <v>246</v>
      </c>
      <c r="E293" t="s">
        <v>34</v>
      </c>
      <c r="F293" t="s">
        <v>35</v>
      </c>
      <c r="G293" t="s">
        <v>27</v>
      </c>
      <c r="H293" s="20" t="s">
        <v>463</v>
      </c>
      <c r="I293" t="s">
        <v>65</v>
      </c>
      <c r="J293" s="30">
        <v>140</v>
      </c>
      <c r="K293" s="22">
        <f>IF(I293="","",IF(I293="ENTRADA",ABS(J293),-ABS(J293)))</f>
        <v>-140</v>
      </c>
      <c r="L293" t="s">
        <v>37</v>
      </c>
      <c r="N293">
        <v>65116</v>
      </c>
      <c r="O293" t="s">
        <v>237</v>
      </c>
      <c r="P293">
        <v>1794</v>
      </c>
      <c r="Q293" s="42">
        <v>46196</v>
      </c>
      <c r="R293" s="22" t="str">
        <f>IF(H293="","",H293&amp;I293)</f>
        <v>260423-080SALIDA</v>
      </c>
      <c r="S293" s="22" t="str">
        <f>IF(C293="","",C293&amp;I293)</f>
        <v>ArsenalSALIDA</v>
      </c>
      <c r="T293" t="str">
        <f>IF(OR(C293="",I293&lt;&gt;"ENTRADA"),"",TEXT(B293,"AAMMDD")&amp;"-"&amp;TEXT(VALUE(SUBSTITUTE(A293,"MOV-","")),"000"))</f>
        <v/>
      </c>
    </row>
    <row r="294" spans="1:20">
      <c r="A294" s="20" t="s">
        <v>532</v>
      </c>
      <c r="B294" s="47">
        <v>46196</v>
      </c>
      <c r="C294" t="s">
        <v>40</v>
      </c>
      <c r="D294" t="s">
        <v>41</v>
      </c>
      <c r="E294" t="s">
        <v>34</v>
      </c>
      <c r="F294" t="s">
        <v>35</v>
      </c>
      <c r="G294" t="s">
        <v>36</v>
      </c>
      <c r="H294" s="20" t="s">
        <v>471</v>
      </c>
      <c r="I294" t="s">
        <v>65</v>
      </c>
      <c r="J294" s="30">
        <v>80</v>
      </c>
      <c r="K294" s="22">
        <f>IF(I294="","",IF(I294="ENTRADA",ABS(J294),-ABS(J294)))</f>
        <v>-80</v>
      </c>
      <c r="L294" t="s">
        <v>37</v>
      </c>
      <c r="N294">
        <v>65116</v>
      </c>
      <c r="O294" t="s">
        <v>237</v>
      </c>
      <c r="P294">
        <v>1794</v>
      </c>
      <c r="Q294" s="42">
        <v>46196</v>
      </c>
      <c r="R294" s="22" t="str">
        <f>IF(H294="","",H294&amp;I294)</f>
        <v>260401-003SALIDA</v>
      </c>
      <c r="S294" s="22" t="str">
        <f>IF(C294="","",C294&amp;I294)</f>
        <v>LontrelSALIDA</v>
      </c>
      <c r="T294" t="str">
        <f>IF(OR(C294="",I294&lt;&gt;"ENTRADA"),"",TEXT(B294,"AAMMDD")&amp;"-"&amp;TEXT(VALUE(SUBSTITUTE(A294,"MOV-","")),"000"))</f>
        <v/>
      </c>
    </row>
    <row r="295" spans="1:20">
      <c r="A295" s="20" t="s">
        <v>533</v>
      </c>
      <c r="B295" s="47">
        <v>46196</v>
      </c>
      <c r="C295" t="s">
        <v>534</v>
      </c>
      <c r="D295" t="s">
        <v>535</v>
      </c>
      <c r="E295" t="s">
        <v>34</v>
      </c>
      <c r="F295" t="s">
        <v>35</v>
      </c>
      <c r="G295" t="s">
        <v>36</v>
      </c>
      <c r="H295" s="20" t="str">
        <f>+T295</f>
        <v>260623-295</v>
      </c>
      <c r="I295" t="s">
        <v>28</v>
      </c>
      <c r="J295" s="30">
        <v>11</v>
      </c>
      <c r="K295" s="22">
        <f>IF(I295="","",IF(I295="ENTRADA",ABS(J295),-ABS(J295)))</f>
        <v>11</v>
      </c>
      <c r="L295" t="s">
        <v>29</v>
      </c>
      <c r="N295">
        <v>13154</v>
      </c>
      <c r="P295">
        <v>14871</v>
      </c>
      <c r="Q295" s="42">
        <v>46202</v>
      </c>
      <c r="R295" s="22" t="str">
        <f>IF(H295="","",H295&amp;I295)</f>
        <v>260623-295ENTRADA</v>
      </c>
      <c r="S295" s="22" t="str">
        <f>IF(C295="","",C295&amp;I295)</f>
        <v>ParadigmENTRADA</v>
      </c>
      <c r="T295" t="str">
        <f>IF(OR(C295="",I295&lt;&gt;"ENTRADA"),"",TEXT(B295,"AAMMDD")&amp;"-"&amp;TEXT(VALUE(SUBSTITUTE(A295,"MOV-","")),"000"))</f>
        <v>260623-295</v>
      </c>
    </row>
    <row r="296" spans="1:20">
      <c r="A296" s="20" t="s">
        <v>536</v>
      </c>
      <c r="B296" s="47">
        <v>46197</v>
      </c>
      <c r="C296" s="47" t="s">
        <v>283</v>
      </c>
      <c r="D296" t="s">
        <v>284</v>
      </c>
      <c r="E296" t="s">
        <v>285</v>
      </c>
      <c r="F296" t="s">
        <v>286</v>
      </c>
      <c r="G296" t="s">
        <v>83</v>
      </c>
      <c r="H296" s="20" t="s">
        <v>497</v>
      </c>
      <c r="I296" t="s">
        <v>65</v>
      </c>
      <c r="J296" s="30">
        <v>260</v>
      </c>
      <c r="K296" s="22">
        <f>IF(I296="","",IF(I296="ENTRADA",ABS(J296),-ABS(J296)))</f>
        <v>-260</v>
      </c>
      <c r="L296" t="s">
        <v>37</v>
      </c>
      <c r="N296">
        <v>65117</v>
      </c>
      <c r="O296" t="s">
        <v>382</v>
      </c>
      <c r="P296">
        <v>1796</v>
      </c>
      <c r="Q296" s="42">
        <v>46198</v>
      </c>
      <c r="R296" s="22" t="str">
        <f>IF(H296="","",H296&amp;I296)</f>
        <v>260429-102SALIDA</v>
      </c>
      <c r="S296" s="22" t="str">
        <f>IF(C296="","",C296&amp;I296)</f>
        <v>Hydra HumeSALIDA</v>
      </c>
      <c r="T296" t="str">
        <f>IF(OR(C296="",I296&lt;&gt;"ENTRADA"),"",TEXT(B296,"AAMMDD")&amp;"-"&amp;TEXT(VALUE(SUBSTITUTE(A296,"MOV-","")),"000"))</f>
        <v/>
      </c>
    </row>
    <row r="297" spans="1:20">
      <c r="A297" s="20" t="s">
        <v>537</v>
      </c>
      <c r="B297" s="47">
        <v>46197</v>
      </c>
      <c r="C297" t="s">
        <v>75</v>
      </c>
      <c r="D297" t="s">
        <v>76</v>
      </c>
      <c r="E297" t="s">
        <v>34</v>
      </c>
      <c r="F297" t="s">
        <v>35</v>
      </c>
      <c r="G297" t="s">
        <v>77</v>
      </c>
      <c r="H297" s="20" t="s">
        <v>94</v>
      </c>
      <c r="I297" t="s">
        <v>65</v>
      </c>
      <c r="J297" s="30">
        <v>580</v>
      </c>
      <c r="K297" s="22">
        <f>IF(I297="","",IF(I297="ENTRADA",ABS(J297),-ABS(J297)))</f>
        <v>-580</v>
      </c>
      <c r="L297" t="s">
        <v>37</v>
      </c>
      <c r="N297">
        <v>65117</v>
      </c>
      <c r="O297" t="s">
        <v>382</v>
      </c>
      <c r="P297">
        <v>1796</v>
      </c>
      <c r="Q297" s="42">
        <v>46198</v>
      </c>
      <c r="R297" s="22" t="str">
        <f>IF(H297="","",H297&amp;I297)</f>
        <v>260407-012SALIDA</v>
      </c>
      <c r="S297" s="22" t="str">
        <f>IF(C297="","",C297&amp;I297)</f>
        <v>Dedalo eliteSALIDA</v>
      </c>
      <c r="T297" t="str">
        <f>IF(OR(C297="",I297&lt;&gt;"ENTRADA"),"",TEXT(B297,"AAMMDD")&amp;"-"&amp;TEXT(VALUE(SUBSTITUTE(A297,"MOV-","")),"000"))</f>
        <v/>
      </c>
    </row>
    <row r="298" spans="1:20">
      <c r="A298" s="20" t="s">
        <v>538</v>
      </c>
      <c r="B298" s="47">
        <v>46197</v>
      </c>
      <c r="C298" s="34" t="s">
        <v>50</v>
      </c>
      <c r="D298" s="34" t="s">
        <v>280</v>
      </c>
      <c r="E298" s="34" t="s">
        <v>34</v>
      </c>
      <c r="F298" s="34" t="s">
        <v>35</v>
      </c>
      <c r="G298" s="34" t="s">
        <v>36</v>
      </c>
      <c r="H298" s="20" t="s">
        <v>281</v>
      </c>
      <c r="I298" s="34" t="s">
        <v>65</v>
      </c>
      <c r="J298" s="36">
        <v>80</v>
      </c>
      <c r="K298" s="22">
        <f>IF(I298="","",IF(I298="ENTRADA",ABS(J298),-ABS(J298)))</f>
        <v>-80</v>
      </c>
      <c r="L298" s="34" t="s">
        <v>37</v>
      </c>
      <c r="M298" s="34"/>
      <c r="N298">
        <v>65117</v>
      </c>
      <c r="O298" t="s">
        <v>382</v>
      </c>
      <c r="P298">
        <v>1796</v>
      </c>
      <c r="Q298" s="42">
        <v>46198</v>
      </c>
      <c r="R298" s="22" t="str">
        <f>IF(H298="","",H298&amp;I298)</f>
        <v>260401-006SALIDA</v>
      </c>
      <c r="S298" s="22" t="str">
        <f>IF(C298="","",C298&amp;I298)</f>
        <v>Tordon 24KSALIDA</v>
      </c>
      <c r="T298" t="str">
        <f>IF(OR(C298="",I298&lt;&gt;"ENTRADA"),"",TEXT(B298,"AAMMDD")&amp;"-"&amp;TEXT(VALUE(SUBSTITUTE(A298,"MOV-","")),"000"))</f>
        <v/>
      </c>
    </row>
    <row r="299" spans="1:20">
      <c r="A299" s="20" t="s">
        <v>539</v>
      </c>
      <c r="B299" s="47">
        <v>46197</v>
      </c>
      <c r="C299" t="s">
        <v>130</v>
      </c>
      <c r="D299" t="s">
        <v>131</v>
      </c>
      <c r="E299" t="s">
        <v>132</v>
      </c>
      <c r="G299" t="s">
        <v>133</v>
      </c>
      <c r="H299" s="20" t="s">
        <v>221</v>
      </c>
      <c r="I299" t="s">
        <v>65</v>
      </c>
      <c r="J299" s="30">
        <v>120</v>
      </c>
      <c r="K299" s="22">
        <f>IF(I299="","",IF(I299="ENTRADA",ABS(J299),-ABS(J299)))</f>
        <v>-120</v>
      </c>
      <c r="L299" t="s">
        <v>37</v>
      </c>
      <c r="N299">
        <v>65117</v>
      </c>
      <c r="O299" t="s">
        <v>382</v>
      </c>
      <c r="P299">
        <v>1796</v>
      </c>
      <c r="Q299" s="42">
        <v>46198</v>
      </c>
      <c r="R299" s="22" t="str">
        <f>IF(H299="","",H299&amp;I299)</f>
        <v>260414-029SALIDA</v>
      </c>
      <c r="S299" s="22" t="str">
        <f>IF(C299="","",C299&amp;I299)</f>
        <v>HarrierSALIDA</v>
      </c>
      <c r="T299" t="str">
        <f>IF(OR(C299="",I299&lt;&gt;"ENTRADA"),"",TEXT(B299,"AAMMDD")&amp;"-"&amp;TEXT(VALUE(SUBSTITUTE(A299,"MOV-","")),"000"))</f>
        <v/>
      </c>
    </row>
    <row r="300" spans="1:20">
      <c r="A300" s="20" t="s">
        <v>540</v>
      </c>
      <c r="B300" s="47">
        <v>46197</v>
      </c>
      <c r="C300" t="s">
        <v>137</v>
      </c>
      <c r="D300" t="s">
        <v>138</v>
      </c>
      <c r="E300" t="s">
        <v>132</v>
      </c>
      <c r="G300" t="s">
        <v>133</v>
      </c>
      <c r="H300" s="20" t="s">
        <v>211</v>
      </c>
      <c r="I300" t="s">
        <v>65</v>
      </c>
      <c r="J300" s="51">
        <v>15</v>
      </c>
      <c r="K300" s="22">
        <f>IF(I300="","",IF(I300="ENTRADA",ABS(J300),-ABS(J300)))</f>
        <v>-15</v>
      </c>
      <c r="L300" t="s">
        <v>37</v>
      </c>
      <c r="N300">
        <v>65117</v>
      </c>
      <c r="O300" t="s">
        <v>382</v>
      </c>
      <c r="P300">
        <v>1796</v>
      </c>
      <c r="Q300" s="42">
        <v>46198</v>
      </c>
      <c r="R300" s="22" t="str">
        <f>IF(H300="","",H300&amp;I300)</f>
        <v>260414-030SALIDA</v>
      </c>
      <c r="S300" s="22" t="str">
        <f>IF(C300="","",C300&amp;I300)</f>
        <v>Full controlSALIDA</v>
      </c>
      <c r="T300" t="str">
        <f>IF(OR(C300="",I300&lt;&gt;"ENTRADA"),"",TEXT(B300,"AAMMDD")&amp;"-"&amp;TEXT(VALUE(SUBSTITUTE(A300,"MOV-","")),"000"))</f>
        <v/>
      </c>
    </row>
    <row r="301" spans="1:20">
      <c r="A301" s="20" t="s">
        <v>541</v>
      </c>
      <c r="B301" s="47">
        <v>46197</v>
      </c>
      <c r="C301" t="s">
        <v>54</v>
      </c>
      <c r="D301" t="s">
        <v>55</v>
      </c>
      <c r="E301" t="s">
        <v>34</v>
      </c>
      <c r="F301" t="s">
        <v>35</v>
      </c>
      <c r="G301" t="s">
        <v>36</v>
      </c>
      <c r="H301" s="20" t="s">
        <v>97</v>
      </c>
      <c r="I301" t="s">
        <v>65</v>
      </c>
      <c r="J301" s="30">
        <v>12</v>
      </c>
      <c r="K301" s="22">
        <f>IF(I301="","",IF(I301="ENTRADA",ABS(J301),-ABS(J301)))</f>
        <v>-12</v>
      </c>
      <c r="L301" t="s">
        <v>56</v>
      </c>
      <c r="N301">
        <v>65117</v>
      </c>
      <c r="O301" t="s">
        <v>382</v>
      </c>
      <c r="P301">
        <v>1796</v>
      </c>
      <c r="Q301" s="42">
        <v>46198</v>
      </c>
      <c r="R301" s="22" t="str">
        <f>IF(H301="","",H301&amp;I301)</f>
        <v>260401-007SALIDA</v>
      </c>
      <c r="S301" s="22" t="str">
        <f>IF(C301="","",C301&amp;I301)</f>
        <v>TronadorSALIDA</v>
      </c>
      <c r="T301" t="str">
        <f>IF(OR(C301="",I301&lt;&gt;"ENTRADA"),"",TEXT(B301,"AAMMDD")&amp;"-"&amp;TEXT(VALUE(SUBSTITUTE(A301,"MOV-","")),"000"))</f>
        <v/>
      </c>
    </row>
    <row r="302" spans="1:20">
      <c r="A302" s="20" t="s">
        <v>542</v>
      </c>
      <c r="B302" s="47">
        <v>46197</v>
      </c>
      <c r="C302" t="s">
        <v>491</v>
      </c>
      <c r="D302" t="s">
        <v>492</v>
      </c>
      <c r="E302" t="s">
        <v>493</v>
      </c>
      <c r="G302" t="s">
        <v>36</v>
      </c>
      <c r="H302" s="20" t="s">
        <v>495</v>
      </c>
      <c r="I302" t="s">
        <v>65</v>
      </c>
      <c r="J302" s="30">
        <v>460</v>
      </c>
      <c r="K302" s="22">
        <f>IF(I302="","",IF(I302="ENTRADA",ABS(J302),-ABS(J302)))</f>
        <v>-460</v>
      </c>
      <c r="L302" t="s">
        <v>37</v>
      </c>
      <c r="N302">
        <v>65118</v>
      </c>
      <c r="O302" t="s">
        <v>213</v>
      </c>
      <c r="P302">
        <v>1797</v>
      </c>
      <c r="Q302" s="42">
        <v>46198</v>
      </c>
      <c r="R302" s="22" t="str">
        <f>IF(H302="","",H302&amp;I302)</f>
        <v>260610-265SALIDA</v>
      </c>
      <c r="S302" s="22" t="str">
        <f>IF(C302="","",C302&amp;I302)</f>
        <v>Zinc Plus SALIDA</v>
      </c>
      <c r="T302" t="str">
        <f>IF(OR(C302="",I302&lt;&gt;"ENTRADA"),"",TEXT(B302,"AAMMDD")&amp;"-"&amp;TEXT(VALUE(SUBSTITUTE(A302,"MOV-","")),"000"))</f>
        <v/>
      </c>
    </row>
    <row r="303" spans="1:20">
      <c r="A303" s="20" t="s">
        <v>543</v>
      </c>
      <c r="B303" s="47">
        <v>46198</v>
      </c>
      <c r="C303" t="s">
        <v>283</v>
      </c>
      <c r="D303" t="s">
        <v>284</v>
      </c>
      <c r="E303" t="s">
        <v>285</v>
      </c>
      <c r="F303" t="s">
        <v>286</v>
      </c>
      <c r="G303" t="s">
        <v>83</v>
      </c>
      <c r="H303" s="20" t="s">
        <v>497</v>
      </c>
      <c r="I303" t="s">
        <v>65</v>
      </c>
      <c r="J303" s="30">
        <v>540</v>
      </c>
      <c r="K303" s="22">
        <f>IF(I303="","",IF(I303="ENTRADA",ABS(J303),-ABS(J303)))</f>
        <v>-540</v>
      </c>
      <c r="L303" t="s">
        <v>37</v>
      </c>
      <c r="N303">
        <v>65119</v>
      </c>
      <c r="O303" t="s">
        <v>382</v>
      </c>
      <c r="P303">
        <v>1798</v>
      </c>
      <c r="Q303" s="42">
        <v>46198</v>
      </c>
      <c r="R303" s="22" t="str">
        <f>IF(H303="","",H303&amp;I303)</f>
        <v>260429-102SALIDA</v>
      </c>
      <c r="S303" s="22" t="str">
        <f>IF(C303="","",C303&amp;I303)</f>
        <v>Hydra HumeSALIDA</v>
      </c>
      <c r="T303" t="str">
        <f>IF(OR(C303="",I303&lt;&gt;"ENTRADA"),"",TEXT(B303,"AAMMDD")&amp;"-"&amp;TEXT(VALUE(SUBSTITUTE(A303,"MOV-","")),"000"))</f>
        <v/>
      </c>
    </row>
    <row r="304" spans="1:20">
      <c r="A304" s="20" t="s">
        <v>544</v>
      </c>
      <c r="B304" s="47">
        <v>46198</v>
      </c>
      <c r="C304" t="s">
        <v>54</v>
      </c>
      <c r="D304" t="s">
        <v>55</v>
      </c>
      <c r="E304" t="s">
        <v>34</v>
      </c>
      <c r="F304" t="s">
        <v>35</v>
      </c>
      <c r="G304" t="s">
        <v>36</v>
      </c>
      <c r="H304" s="20" t="s">
        <v>97</v>
      </c>
      <c r="I304" t="s">
        <v>65</v>
      </c>
      <c r="J304" s="30">
        <v>7</v>
      </c>
      <c r="K304" s="22">
        <f>IF(I304="","",IF(I304="ENTRADA",ABS(J304),-ABS(J304)))</f>
        <v>-7</v>
      </c>
      <c r="L304" t="s">
        <v>56</v>
      </c>
      <c r="N304">
        <v>65119</v>
      </c>
      <c r="O304" t="s">
        <v>382</v>
      </c>
      <c r="P304">
        <v>1798</v>
      </c>
      <c r="Q304" s="42">
        <v>46198</v>
      </c>
      <c r="R304" s="22" t="str">
        <f>IF(H304="","",H304&amp;I304)</f>
        <v>260401-007SALIDA</v>
      </c>
      <c r="S304" s="22" t="str">
        <f>IF(C304="","",C304&amp;I304)</f>
        <v>TronadorSALIDA</v>
      </c>
      <c r="T304" t="str">
        <f>IF(OR(C304="",I304&lt;&gt;"ENTRADA"),"",TEXT(B304,"AAMMDD")&amp;"-"&amp;TEXT(VALUE(SUBSTITUTE(A304,"MOV-","")),"000"))</f>
        <v/>
      </c>
    </row>
    <row r="305" spans="1:20">
      <c r="A305" s="20" t="s">
        <v>545</v>
      </c>
      <c r="B305" s="47">
        <v>46198</v>
      </c>
      <c r="C305" t="s">
        <v>32</v>
      </c>
      <c r="D305" t="s">
        <v>105</v>
      </c>
      <c r="E305" t="s">
        <v>34</v>
      </c>
      <c r="F305" t="s">
        <v>35</v>
      </c>
      <c r="H305" s="20" t="s">
        <v>106</v>
      </c>
      <c r="I305" t="s">
        <v>65</v>
      </c>
      <c r="J305" s="30">
        <v>25</v>
      </c>
      <c r="K305" s="22">
        <f>IF(I305="","",IF(I305="ENTRADA",ABS(J305),-ABS(J305)))</f>
        <v>-25</v>
      </c>
      <c r="L305" t="s">
        <v>37</v>
      </c>
      <c r="N305">
        <v>65119</v>
      </c>
      <c r="O305" t="s">
        <v>382</v>
      </c>
      <c r="P305">
        <v>1798</v>
      </c>
      <c r="Q305" s="42">
        <v>46198</v>
      </c>
      <c r="R305" s="22" t="str">
        <f>IF(H305="","",H305&amp;I305)</f>
        <v>260401-002SALIDA</v>
      </c>
      <c r="S305" s="22" t="str">
        <f>IF(C305="","",C305&amp;I305)</f>
        <v>KorvettoSALIDA</v>
      </c>
      <c r="T305" t="str">
        <f>IF(OR(C305="",I305&lt;&gt;"ENTRADA"),"",TEXT(B305,"AAMMDD")&amp;"-"&amp;TEXT(VALUE(SUBSTITUTE(A305,"MOV-","")),"000"))</f>
        <v/>
      </c>
    </row>
    <row r="306" spans="1:20">
      <c r="A306" s="20" t="s">
        <v>546</v>
      </c>
      <c r="B306" s="47">
        <v>46198</v>
      </c>
      <c r="C306" t="s">
        <v>130</v>
      </c>
      <c r="D306" t="s">
        <v>131</v>
      </c>
      <c r="E306" t="s">
        <v>132</v>
      </c>
      <c r="G306" t="s">
        <v>133</v>
      </c>
      <c r="H306" s="20" t="s">
        <v>221</v>
      </c>
      <c r="I306" t="s">
        <v>65</v>
      </c>
      <c r="J306" s="30">
        <v>40</v>
      </c>
      <c r="K306" s="22">
        <f>IF(I306="","",IF(I306="ENTRADA",ABS(J306),-ABS(J306)))</f>
        <v>-40</v>
      </c>
      <c r="L306" t="s">
        <v>37</v>
      </c>
      <c r="N306">
        <v>65119</v>
      </c>
      <c r="O306" t="s">
        <v>382</v>
      </c>
      <c r="P306">
        <v>1798</v>
      </c>
      <c r="Q306" s="42">
        <v>46198</v>
      </c>
      <c r="R306" s="22" t="str">
        <f>IF(H306="","",H306&amp;I306)</f>
        <v>260414-029SALIDA</v>
      </c>
      <c r="S306" s="22" t="str">
        <f>IF(C306="","",C306&amp;I306)</f>
        <v>HarrierSALIDA</v>
      </c>
      <c r="T306" t="str">
        <f>IF(OR(C306="",I306&lt;&gt;"ENTRADA"),"",TEXT(B306,"AAMMDD")&amp;"-"&amp;TEXT(VALUE(SUBSTITUTE(A306,"MOV-","")),"000"))</f>
        <v/>
      </c>
    </row>
    <row r="307" spans="1:20">
      <c r="A307" s="20" t="s">
        <v>547</v>
      </c>
      <c r="B307" s="47">
        <v>46198</v>
      </c>
      <c r="C307" t="s">
        <v>54</v>
      </c>
      <c r="D307" t="s">
        <v>55</v>
      </c>
      <c r="E307" t="s">
        <v>34</v>
      </c>
      <c r="F307" t="s">
        <v>35</v>
      </c>
      <c r="G307" t="s">
        <v>36</v>
      </c>
      <c r="H307" s="20" t="s">
        <v>97</v>
      </c>
      <c r="I307" t="s">
        <v>65</v>
      </c>
      <c r="J307" s="30">
        <v>31</v>
      </c>
      <c r="K307" s="22">
        <f>IF(I307="","",IF(I307="ENTRADA",ABS(J307),-ABS(J307)))</f>
        <v>-31</v>
      </c>
      <c r="L307" t="s">
        <v>56</v>
      </c>
      <c r="N307">
        <v>65122</v>
      </c>
      <c r="O307" t="s">
        <v>387</v>
      </c>
      <c r="P307">
        <v>1799</v>
      </c>
      <c r="Q307" s="42">
        <v>46199</v>
      </c>
      <c r="R307" s="22" t="str">
        <f>IF(H307="","",H307&amp;I307)</f>
        <v>260401-007SALIDA</v>
      </c>
      <c r="S307" s="22" t="str">
        <f>IF(C307="","",C307&amp;I307)</f>
        <v>TronadorSALIDA</v>
      </c>
      <c r="T307" t="str">
        <f>IF(OR(C307="",I307&lt;&gt;"ENTRADA"),"",TEXT(B307,"AAMMDD")&amp;"-"&amp;TEXT(VALUE(SUBSTITUTE(A307,"MOV-","")),"000"))</f>
        <v/>
      </c>
    </row>
    <row r="308" spans="1:20">
      <c r="A308" s="20" t="s">
        <v>548</v>
      </c>
      <c r="B308" s="47">
        <v>46198</v>
      </c>
      <c r="C308" t="s">
        <v>122</v>
      </c>
      <c r="D308" t="s">
        <v>123</v>
      </c>
      <c r="E308" t="s">
        <v>34</v>
      </c>
      <c r="F308" t="s">
        <v>35</v>
      </c>
      <c r="G308" t="s">
        <v>117</v>
      </c>
      <c r="H308" s="20" t="s">
        <v>203</v>
      </c>
      <c r="I308" t="s">
        <v>65</v>
      </c>
      <c r="J308" s="30">
        <v>160</v>
      </c>
      <c r="K308" s="22">
        <f>IF(I308="","",IF(I308="ENTRADA",ABS(J308),-ABS(J308)))</f>
        <v>-160</v>
      </c>
      <c r="L308" t="s">
        <v>37</v>
      </c>
      <c r="N308">
        <v>65122</v>
      </c>
      <c r="O308" t="s">
        <v>387</v>
      </c>
      <c r="P308">
        <v>1799</v>
      </c>
      <c r="Q308" s="42">
        <v>46199</v>
      </c>
      <c r="R308" s="22" t="str">
        <f>IF(H308="","",H308&amp;I308)</f>
        <v>260410-027SALIDA</v>
      </c>
      <c r="S308" s="22" t="str">
        <f>IF(C308="","",C308&amp;I308)</f>
        <v>PardoSALIDA</v>
      </c>
      <c r="T308" t="str">
        <f>IF(OR(C308="",I308&lt;&gt;"ENTRADA"),"",TEXT(B308,"AAMMDD")&amp;"-"&amp;TEXT(VALUE(SUBSTITUTE(A308,"MOV-","")),"000"))</f>
        <v/>
      </c>
    </row>
    <row r="309" spans="1:20">
      <c r="A309" s="20" t="s">
        <v>549</v>
      </c>
      <c r="B309" s="47">
        <v>46198</v>
      </c>
      <c r="C309" s="34" t="s">
        <v>283</v>
      </c>
      <c r="D309" s="34" t="s">
        <v>284</v>
      </c>
      <c r="E309" s="34" t="s">
        <v>285</v>
      </c>
      <c r="F309" s="34" t="s">
        <v>286</v>
      </c>
      <c r="G309" s="34" t="s">
        <v>83</v>
      </c>
      <c r="H309" s="20" t="s">
        <v>497</v>
      </c>
      <c r="I309" s="34" t="s">
        <v>65</v>
      </c>
      <c r="J309" s="36">
        <v>160</v>
      </c>
      <c r="K309" s="22">
        <f>IF(I309="","",IF(I309="ENTRADA",ABS(J309),-ABS(J309)))</f>
        <v>-160</v>
      </c>
      <c r="L309" s="34" t="s">
        <v>37</v>
      </c>
      <c r="M309" s="34"/>
      <c r="N309">
        <v>65122</v>
      </c>
      <c r="O309" t="s">
        <v>387</v>
      </c>
      <c r="P309">
        <v>1799</v>
      </c>
      <c r="Q309" s="42">
        <v>46199</v>
      </c>
      <c r="R309" s="22" t="str">
        <f>IF(H309="","",H309&amp;I309)</f>
        <v>260429-102SALIDA</v>
      </c>
      <c r="S309" s="22" t="str">
        <f>IF(C309="","",C309&amp;I309)</f>
        <v>Hydra HumeSALIDA</v>
      </c>
      <c r="T309" t="str">
        <f>IF(OR(C309="",I309&lt;&gt;"ENTRADA"),"",TEXT(B309,"AAMMDD")&amp;"-"&amp;TEXT(VALUE(SUBSTITUTE(A309,"MOV-","")),"000"))</f>
        <v/>
      </c>
    </row>
    <row r="310" spans="1:20">
      <c r="A310" s="20" t="s">
        <v>550</v>
      </c>
      <c r="B310" s="47">
        <v>46198</v>
      </c>
      <c r="C310" t="s">
        <v>527</v>
      </c>
      <c r="D310" t="s">
        <v>528</v>
      </c>
      <c r="E310" t="s">
        <v>493</v>
      </c>
      <c r="G310" t="s">
        <v>77</v>
      </c>
      <c r="H310" s="20" t="s">
        <v>551</v>
      </c>
      <c r="I310" t="s">
        <v>65</v>
      </c>
      <c r="J310" s="30">
        <v>30</v>
      </c>
      <c r="K310" s="22">
        <f>IF(I310="","",IF(I310="ENTRADA",ABS(J310),-ABS(J310)))</f>
        <v>-30</v>
      </c>
      <c r="L310" t="s">
        <v>29</v>
      </c>
      <c r="N310">
        <v>65122</v>
      </c>
      <c r="O310" t="s">
        <v>387</v>
      </c>
      <c r="P310">
        <v>1799</v>
      </c>
      <c r="Q310" s="42">
        <v>46199</v>
      </c>
      <c r="R310" s="22" t="str">
        <f>IF(H310="","",H310&amp;I310)</f>
        <v>260623-290SALIDA</v>
      </c>
      <c r="S310" s="22" t="str">
        <f>IF(C310="","",C310&amp;I310)</f>
        <v>vitagrowSALIDA</v>
      </c>
      <c r="T310" t="str">
        <f>IF(OR(C310="",I310&lt;&gt;"ENTRADA"),"",TEXT(B310,"AAMMDD")&amp;"-"&amp;TEXT(VALUE(SUBSTITUTE(A310,"MOV-","")),"000"))</f>
        <v/>
      </c>
    </row>
    <row r="311" spans="1:20">
      <c r="A311" s="20" t="s">
        <v>552</v>
      </c>
      <c r="B311" s="47">
        <v>46199</v>
      </c>
      <c r="C311" t="s">
        <v>524</v>
      </c>
      <c r="D311" t="s">
        <v>525</v>
      </c>
      <c r="E311" t="s">
        <v>516</v>
      </c>
      <c r="G311" t="s">
        <v>77</v>
      </c>
      <c r="H311" s="20" t="s">
        <v>553</v>
      </c>
      <c r="I311" t="s">
        <v>65</v>
      </c>
      <c r="J311" s="30">
        <v>70</v>
      </c>
      <c r="K311" s="22">
        <f>IF(I311="","",IF(I311="ENTRADA",ABS(J311),-ABS(J311)))</f>
        <v>-70</v>
      </c>
      <c r="L311" t="s">
        <v>37</v>
      </c>
      <c r="N311">
        <v>65123</v>
      </c>
      <c r="O311" t="s">
        <v>218</v>
      </c>
      <c r="P311">
        <v>1800</v>
      </c>
      <c r="Q311" s="42">
        <v>46199</v>
      </c>
      <c r="R311" s="22" t="str">
        <f>IF(H311="","",H311&amp;I311)</f>
        <v>260623-289SALIDA</v>
      </c>
      <c r="S311" s="22" t="str">
        <f>IF(C311="","",C311&amp;I311)</f>
        <v>cripton xpro SALIDA</v>
      </c>
      <c r="T311" t="str">
        <f>IF(OR(C311="",I311&lt;&gt;"ENTRADA"),"",TEXT(B311,"AAMMDD")&amp;"-"&amp;TEXT(VALUE(SUBSTITUTE(A311,"MOV-","")),"000"))</f>
        <v/>
      </c>
    </row>
    <row r="312" spans="1:20">
      <c r="A312" s="20" t="s">
        <v>554</v>
      </c>
      <c r="B312" s="47">
        <v>46199</v>
      </c>
      <c r="C312" t="s">
        <v>137</v>
      </c>
      <c r="D312" t="s">
        <v>138</v>
      </c>
      <c r="E312" t="s">
        <v>132</v>
      </c>
      <c r="G312" t="s">
        <v>133</v>
      </c>
      <c r="H312" s="20" t="s">
        <v>211</v>
      </c>
      <c r="I312" t="s">
        <v>65</v>
      </c>
      <c r="J312" s="51">
        <v>1</v>
      </c>
      <c r="K312" s="22">
        <f>IF(I312="","",IF(I312="ENTRADA",ABS(J312),-ABS(J312)))</f>
        <v>-1</v>
      </c>
      <c r="L312" t="s">
        <v>37</v>
      </c>
      <c r="N312">
        <v>65123</v>
      </c>
      <c r="O312" t="s">
        <v>218</v>
      </c>
      <c r="P312">
        <v>1800</v>
      </c>
      <c r="Q312" s="42">
        <v>46199</v>
      </c>
      <c r="R312" s="22" t="str">
        <f>IF(H312="","",H312&amp;I312)</f>
        <v>260414-030SALIDA</v>
      </c>
      <c r="S312" s="22" t="str">
        <f>IF(C312="","",C312&amp;I312)</f>
        <v>Full controlSALIDA</v>
      </c>
      <c r="T312" t="str">
        <f>IF(OR(C312="",I312&lt;&gt;"ENTRADA"),"",TEXT(B312,"AAMMDD")&amp;"-"&amp;TEXT(VALUE(SUBSTITUTE(A312,"MOV-","")),"000"))</f>
        <v/>
      </c>
    </row>
    <row r="313" spans="1:20">
      <c r="A313" s="20" t="s">
        <v>555</v>
      </c>
      <c r="B313" s="47">
        <v>46199</v>
      </c>
      <c r="C313" t="s">
        <v>556</v>
      </c>
      <c r="D313" t="s">
        <v>557</v>
      </c>
      <c r="E313" t="s">
        <v>25</v>
      </c>
      <c r="F313" t="s">
        <v>558</v>
      </c>
      <c r="H313" s="20" t="str">
        <f>+T313</f>
        <v>260626-313</v>
      </c>
      <c r="I313" t="s">
        <v>28</v>
      </c>
      <c r="J313" s="30">
        <v>1700</v>
      </c>
      <c r="K313" s="22">
        <f>IF(I313="","",IF(I313="ENTRADA",ABS(J313),-ABS(J313)))</f>
        <v>1700</v>
      </c>
      <c r="L313" t="s">
        <v>29</v>
      </c>
      <c r="N313">
        <v>65125</v>
      </c>
      <c r="Q313" s="33"/>
      <c r="R313" s="22" t="str">
        <f>IF(H313="","",H313&amp;I313)</f>
        <v>260626-313ENTRADA</v>
      </c>
      <c r="S313" s="22" t="str">
        <f>IF(C313="","",C313&amp;I313)</f>
        <v>semilla comprada cebada ENTRADA</v>
      </c>
      <c r="T313" t="str">
        <f>IF(OR(C313="",I313&lt;&gt;"ENTRADA"),"",TEXT(B313,"AAMMDD")&amp;"-"&amp;TEXT(VALUE(SUBSTITUTE(A313,"MOV-","")),"000"))</f>
        <v>260626-313</v>
      </c>
    </row>
    <row r="314" spans="1:20">
      <c r="A314" s="20" t="s">
        <v>559</v>
      </c>
      <c r="B314" s="47">
        <v>46198</v>
      </c>
      <c r="C314" t="s">
        <v>534</v>
      </c>
      <c r="D314" t="s">
        <v>535</v>
      </c>
      <c r="E314" t="s">
        <v>34</v>
      </c>
      <c r="F314" t="s">
        <v>35</v>
      </c>
      <c r="G314" t="s">
        <v>36</v>
      </c>
      <c r="H314" s="20" t="s">
        <v>560</v>
      </c>
      <c r="I314" t="s">
        <v>65</v>
      </c>
      <c r="J314" s="30">
        <v>8</v>
      </c>
      <c r="K314" s="22">
        <f>IF(I314="","",IF(I314="ENTRADA",ABS(J314),-ABS(J314)))</f>
        <v>-8</v>
      </c>
      <c r="L314" t="s">
        <v>29</v>
      </c>
      <c r="N314">
        <v>65124</v>
      </c>
      <c r="O314" t="s">
        <v>309</v>
      </c>
      <c r="P314">
        <v>1806</v>
      </c>
      <c r="Q314" s="42">
        <v>46202</v>
      </c>
      <c r="R314" s="22" t="str">
        <f>IF(H314="","",H314&amp;I314)</f>
        <v>260623-295SALIDA</v>
      </c>
      <c r="S314" s="22" t="str">
        <f>IF(C314="","",C314&amp;I314)</f>
        <v>ParadigmSALIDA</v>
      </c>
      <c r="T314" t="str">
        <f>IF(OR(C314="",I314&lt;&gt;"ENTRADA"),"",TEXT(B314,"AAMMDD")&amp;"-"&amp;TEXT(VALUE(SUBSTITUTE(A314,"MOV-","")),"000"))</f>
        <v/>
      </c>
    </row>
    <row r="315" spans="1:20">
      <c r="A315" s="20" t="s">
        <v>561</v>
      </c>
      <c r="B315" s="47">
        <v>46204</v>
      </c>
      <c r="C315" t="s">
        <v>54</v>
      </c>
      <c r="D315" t="s">
        <v>55</v>
      </c>
      <c r="E315" t="s">
        <v>34</v>
      </c>
      <c r="F315" t="s">
        <v>35</v>
      </c>
      <c r="G315" t="s">
        <v>36</v>
      </c>
      <c r="H315" s="20" t="s">
        <v>97</v>
      </c>
      <c r="I315" t="s">
        <v>65</v>
      </c>
      <c r="J315" s="30">
        <v>50</v>
      </c>
      <c r="K315" s="22">
        <f>IF(I315="","",IF(I315="ENTRADA",ABS(J315),-ABS(J315)))</f>
        <v>-50</v>
      </c>
      <c r="L315" t="s">
        <v>56</v>
      </c>
      <c r="N315">
        <v>65127</v>
      </c>
      <c r="O315" t="s">
        <v>382</v>
      </c>
      <c r="P315">
        <v>1814</v>
      </c>
      <c r="Q315" s="42">
        <v>46204</v>
      </c>
      <c r="R315" s="22" t="str">
        <f>IF(H315="","",H315&amp;I315)</f>
        <v>260401-007SALIDA</v>
      </c>
      <c r="S315" s="22" t="str">
        <f>IF(C315="","",C315&amp;I315)</f>
        <v>TronadorSALIDA</v>
      </c>
      <c r="T315" t="str">
        <f>IF(OR(C315="",I315&lt;&gt;"ENTRADA"),"",TEXT(B315,"AAMMDD")&amp;"-"&amp;TEXT(VALUE(SUBSTITUTE(A315,"MOV-","")),"000"))</f>
        <v/>
      </c>
    </row>
    <row r="316" spans="1:20">
      <c r="A316" s="20" t="s">
        <v>562</v>
      </c>
      <c r="B316" s="47">
        <v>46204</v>
      </c>
      <c r="C316" t="s">
        <v>147</v>
      </c>
      <c r="D316" t="s">
        <v>148</v>
      </c>
      <c r="E316" t="s">
        <v>34</v>
      </c>
      <c r="F316" t="s">
        <v>35</v>
      </c>
      <c r="G316" t="s">
        <v>36</v>
      </c>
      <c r="H316" s="20" t="s">
        <v>563</v>
      </c>
      <c r="I316" t="s">
        <v>65</v>
      </c>
      <c r="J316" s="30">
        <v>810</v>
      </c>
      <c r="K316" s="22">
        <f>IF(I316="","",IF(I316="ENTRADA",ABS(J316),-ABS(J316)))</f>
        <v>-810</v>
      </c>
      <c r="L316" t="s">
        <v>37</v>
      </c>
      <c r="N316">
        <v>65127</v>
      </c>
      <c r="O316" t="s">
        <v>382</v>
      </c>
      <c r="P316">
        <v>1814</v>
      </c>
      <c r="Q316" s="42">
        <v>46204</v>
      </c>
      <c r="R316" s="22" t="str">
        <f>IF(H316="","",H316&amp;I316)</f>
        <v>260415-032SALIDA</v>
      </c>
      <c r="S316" s="22" t="str">
        <f>IF(C316="","",C316&amp;I316)</f>
        <v>AxialSALIDA</v>
      </c>
      <c r="T316" t="str">
        <f>IF(OR(C316="",I316&lt;&gt;"ENTRADA"),"",TEXT(B316,"AAMMDD")&amp;"-"&amp;TEXT(VALUE(SUBSTITUTE(A316,"MOV-","")),"000"))</f>
        <v/>
      </c>
    </row>
    <row r="317" spans="1:20">
      <c r="A317" s="20" t="s">
        <v>564</v>
      </c>
      <c r="B317" s="47">
        <v>46204</v>
      </c>
      <c r="C317" t="s">
        <v>130</v>
      </c>
      <c r="D317" t="s">
        <v>131</v>
      </c>
      <c r="E317" t="s">
        <v>132</v>
      </c>
      <c r="G317" t="s">
        <v>133</v>
      </c>
      <c r="H317" s="20" t="s">
        <v>221</v>
      </c>
      <c r="I317" t="s">
        <v>65</v>
      </c>
      <c r="J317" s="30">
        <v>110</v>
      </c>
      <c r="K317" s="22">
        <f>IF(I317="","",IF(I317="ENTRADA",ABS(J317),-ABS(J317)))</f>
        <v>-110</v>
      </c>
      <c r="L317" t="s">
        <v>37</v>
      </c>
      <c r="N317">
        <v>65127</v>
      </c>
      <c r="O317" t="s">
        <v>382</v>
      </c>
      <c r="P317">
        <v>1814</v>
      </c>
      <c r="Q317" s="42">
        <v>46204</v>
      </c>
      <c r="R317" s="22" t="str">
        <f>IF(H317="","",H317&amp;I317)</f>
        <v>260414-029SALIDA</v>
      </c>
      <c r="S317" s="22" t="str">
        <f>IF(C317="","",C317&amp;I317)</f>
        <v>HarrierSALIDA</v>
      </c>
      <c r="T317" t="str">
        <f>IF(OR(C317="",I317&lt;&gt;"ENTRADA"),"",TEXT(B317,"AAMMDD")&amp;"-"&amp;TEXT(VALUE(SUBSTITUTE(A317,"MOV-","")),"000"))</f>
        <v/>
      </c>
    </row>
    <row r="318" spans="1:20">
      <c r="A318" s="20" t="s">
        <v>565</v>
      </c>
      <c r="B318" s="47">
        <v>46204</v>
      </c>
      <c r="C318" t="s">
        <v>137</v>
      </c>
      <c r="D318" t="s">
        <v>138</v>
      </c>
      <c r="E318" t="s">
        <v>132</v>
      </c>
      <c r="G318" t="s">
        <v>133</v>
      </c>
      <c r="H318" s="20" t="s">
        <v>211</v>
      </c>
      <c r="I318" t="s">
        <v>65</v>
      </c>
      <c r="J318" s="30">
        <v>15</v>
      </c>
      <c r="K318" s="22">
        <f>IF(I318="","",IF(I318="ENTRADA",ABS(J318),-ABS(J318)))</f>
        <v>-15</v>
      </c>
      <c r="L318" t="s">
        <v>37</v>
      </c>
      <c r="N318">
        <v>65127</v>
      </c>
      <c r="O318" t="s">
        <v>382</v>
      </c>
      <c r="P318">
        <v>1814</v>
      </c>
      <c r="Q318" s="42">
        <v>46204</v>
      </c>
      <c r="R318" s="22" t="str">
        <f>IF(H318="","",H318&amp;I318)</f>
        <v>260414-030SALIDA</v>
      </c>
      <c r="S318" s="22" t="str">
        <f>IF(C318="","",C318&amp;I318)</f>
        <v>Full controlSALIDA</v>
      </c>
      <c r="T318" t="str">
        <f>IF(OR(C318="",I318&lt;&gt;"ENTRADA"),"",TEXT(B318,"AAMMDD")&amp;"-"&amp;TEXT(VALUE(SUBSTITUTE(A318,"MOV-","")),"000"))</f>
        <v/>
      </c>
    </row>
    <row r="319" spans="1:20">
      <c r="A319" s="20" t="s">
        <v>566</v>
      </c>
      <c r="B319" s="47">
        <v>46204</v>
      </c>
      <c r="C319" t="s">
        <v>32</v>
      </c>
      <c r="D319" t="s">
        <v>105</v>
      </c>
      <c r="E319" t="s">
        <v>34</v>
      </c>
      <c r="F319" t="s">
        <v>35</v>
      </c>
      <c r="H319" s="20" t="s">
        <v>106</v>
      </c>
      <c r="I319" t="s">
        <v>65</v>
      </c>
      <c r="J319" s="30">
        <v>150</v>
      </c>
      <c r="K319" s="22">
        <f>IF(I319="","",IF(I319="ENTRADA",ABS(J319),-ABS(J319)))</f>
        <v>-150</v>
      </c>
      <c r="L319" t="s">
        <v>37</v>
      </c>
      <c r="N319">
        <v>65128</v>
      </c>
      <c r="O319" t="s">
        <v>213</v>
      </c>
      <c r="P319">
        <v>1815</v>
      </c>
      <c r="Q319" s="42">
        <v>46204</v>
      </c>
      <c r="R319" s="22" t="str">
        <f>IF(H319="","",H319&amp;I319)</f>
        <v>260401-002SALIDA</v>
      </c>
      <c r="S319" s="22" t="str">
        <f>IF(C319="","",C319&amp;I319)</f>
        <v>KorvettoSALIDA</v>
      </c>
      <c r="T319" t="str">
        <f>IF(OR(C319="",I319&lt;&gt;"ENTRADA"),"",TEXT(B319,"AAMMDD")&amp;"-"&amp;TEXT(VALUE(SUBSTITUTE(A319,"MOV-","")),"000"))</f>
        <v/>
      </c>
    </row>
    <row r="320" spans="1:20">
      <c r="A320" s="20" t="s">
        <v>567</v>
      </c>
      <c r="B320" s="47">
        <v>46204</v>
      </c>
      <c r="C320" s="34" t="s">
        <v>130</v>
      </c>
      <c r="D320" s="34" t="s">
        <v>131</v>
      </c>
      <c r="E320" s="34" t="s">
        <v>132</v>
      </c>
      <c r="F320" s="34"/>
      <c r="G320" s="34" t="s">
        <v>133</v>
      </c>
      <c r="H320" s="20" t="s">
        <v>221</v>
      </c>
      <c r="I320" s="34" t="s">
        <v>65</v>
      </c>
      <c r="J320" s="36">
        <v>400</v>
      </c>
      <c r="K320" s="22">
        <f>IF(I320="","",IF(I320="ENTRADA",ABS(J320),-ABS(J320)))</f>
        <v>-400</v>
      </c>
      <c r="L320" s="34" t="s">
        <v>37</v>
      </c>
      <c r="M320" s="34"/>
      <c r="N320">
        <v>65128</v>
      </c>
      <c r="O320" s="34" t="s">
        <v>213</v>
      </c>
      <c r="P320">
        <v>1815</v>
      </c>
      <c r="Q320" s="42">
        <v>46204</v>
      </c>
      <c r="R320" s="22" t="str">
        <f>IF(H320="","",H320&amp;I320)</f>
        <v>260414-029SALIDA</v>
      </c>
      <c r="S320" s="22" t="str">
        <f>IF(C320="","",C320&amp;I320)</f>
        <v>HarrierSALIDA</v>
      </c>
      <c r="T320" t="str">
        <f>IF(OR(C320="",I320&lt;&gt;"ENTRADA"),"",TEXT(B320,"AAMMDD")&amp;"-"&amp;TEXT(VALUE(SUBSTITUTE(A320,"MOV-","")),"000"))</f>
        <v/>
      </c>
    </row>
    <row r="321" spans="1:20">
      <c r="A321" s="20" t="s">
        <v>568</v>
      </c>
      <c r="B321" s="47">
        <v>46204</v>
      </c>
      <c r="C321" t="s">
        <v>90</v>
      </c>
      <c r="D321" t="s">
        <v>91</v>
      </c>
      <c r="E321" t="s">
        <v>34</v>
      </c>
      <c r="F321" t="s">
        <v>35</v>
      </c>
      <c r="G321" t="s">
        <v>36</v>
      </c>
      <c r="H321" s="20" t="s">
        <v>375</v>
      </c>
      <c r="I321" t="s">
        <v>65</v>
      </c>
      <c r="J321" s="30">
        <v>300</v>
      </c>
      <c r="K321" s="22">
        <f>IF(I321="","",IF(I321="ENTRADA",ABS(J321),-ABS(J321)))</f>
        <v>-300</v>
      </c>
      <c r="L321" t="s">
        <v>37</v>
      </c>
      <c r="N321">
        <v>65128</v>
      </c>
      <c r="O321" t="s">
        <v>213</v>
      </c>
      <c r="P321">
        <v>1815</v>
      </c>
      <c r="Q321" s="42">
        <v>46204</v>
      </c>
      <c r="R321" s="22" t="str">
        <f>IF(H321="","",H321&amp;I321)</f>
        <v>260405-132SALIDA</v>
      </c>
      <c r="S321" s="22" t="str">
        <f>IF(C321="","",C321&amp;I321)</f>
        <v>PixxaroSALIDA</v>
      </c>
      <c r="T321" t="str">
        <f>IF(OR(C321="",I321&lt;&gt;"ENTRADA"),"",TEXT(B321,"AAMMDD")&amp;"-"&amp;TEXT(VALUE(SUBSTITUTE(A321,"MOV-","")),"000"))</f>
        <v/>
      </c>
    </row>
    <row r="322" spans="1:20">
      <c r="A322" s="20" t="s">
        <v>569</v>
      </c>
      <c r="B322" s="47">
        <v>46204</v>
      </c>
      <c r="C322" t="s">
        <v>147</v>
      </c>
      <c r="D322" t="s">
        <v>148</v>
      </c>
      <c r="E322" t="s">
        <v>34</v>
      </c>
      <c r="F322" t="s">
        <v>35</v>
      </c>
      <c r="G322" t="s">
        <v>36</v>
      </c>
      <c r="H322" s="20" t="s">
        <v>563</v>
      </c>
      <c r="I322" t="s">
        <v>65</v>
      </c>
      <c r="J322" s="30">
        <v>500</v>
      </c>
      <c r="K322" s="22">
        <f>IF(I322="","",IF(I322="ENTRADA",ABS(J322),-ABS(J322)))</f>
        <v>-500</v>
      </c>
      <c r="L322" t="s">
        <v>37</v>
      </c>
      <c r="N322">
        <v>65128</v>
      </c>
      <c r="O322" t="s">
        <v>213</v>
      </c>
      <c r="P322">
        <v>1815</v>
      </c>
      <c r="Q322" s="42">
        <v>46204</v>
      </c>
      <c r="R322" s="22" t="str">
        <f>IF(H322="","",H322&amp;I322)</f>
        <v>260415-032SALIDA</v>
      </c>
      <c r="S322" s="22" t="str">
        <f>IF(C322="","",C322&amp;I322)</f>
        <v>AxialSALIDA</v>
      </c>
      <c r="T322" t="str">
        <f>IF(OR(C322="",I322&lt;&gt;"ENTRADA"),"",TEXT(B322,"AAMMDD")&amp;"-"&amp;TEXT(VALUE(SUBSTITUTE(A322,"MOV-","")),"000"))</f>
        <v/>
      </c>
    </row>
    <row r="323" spans="1:20">
      <c r="A323" s="20" t="s">
        <v>570</v>
      </c>
      <c r="B323" s="47">
        <v>46204</v>
      </c>
      <c r="C323" t="s">
        <v>54</v>
      </c>
      <c r="D323" t="s">
        <v>55</v>
      </c>
      <c r="E323" t="s">
        <v>34</v>
      </c>
      <c r="F323" t="s">
        <v>35</v>
      </c>
      <c r="G323" t="s">
        <v>36</v>
      </c>
      <c r="H323" s="20" t="s">
        <v>97</v>
      </c>
      <c r="I323" t="s">
        <v>65</v>
      </c>
      <c r="J323" s="30">
        <v>30</v>
      </c>
      <c r="K323" s="22">
        <f>IF(I323="","",IF(I323="ENTRADA",ABS(J323),-ABS(J323)))</f>
        <v>-30</v>
      </c>
      <c r="L323" t="s">
        <v>56</v>
      </c>
      <c r="N323">
        <v>65128</v>
      </c>
      <c r="O323" t="s">
        <v>213</v>
      </c>
      <c r="P323">
        <v>1815</v>
      </c>
      <c r="Q323" s="42">
        <v>46204</v>
      </c>
      <c r="R323" s="22" t="str">
        <f>IF(H323="","",H323&amp;I323)</f>
        <v>260401-007SALIDA</v>
      </c>
      <c r="S323" s="22" t="str">
        <f>IF(C323="","",C323&amp;I323)</f>
        <v>TronadorSALIDA</v>
      </c>
      <c r="T323" t="str">
        <f>IF(OR(C323="",I323&lt;&gt;"ENTRADA"),"",TEXT(B323,"AAMMDD")&amp;"-"&amp;TEXT(VALUE(SUBSTITUTE(A323,"MOV-","")),"000"))</f>
        <v/>
      </c>
    </row>
    <row r="324" spans="1:20">
      <c r="A324" s="20" t="s">
        <v>571</v>
      </c>
      <c r="B324" s="47">
        <v>46204</v>
      </c>
      <c r="C324" t="s">
        <v>527</v>
      </c>
      <c r="D324" t="s">
        <v>528</v>
      </c>
      <c r="E324" t="s">
        <v>493</v>
      </c>
      <c r="G324" t="s">
        <v>77</v>
      </c>
      <c r="H324" s="20" t="s">
        <v>551</v>
      </c>
      <c r="I324" t="s">
        <v>65</v>
      </c>
      <c r="J324" s="30">
        <v>60</v>
      </c>
      <c r="K324" s="22">
        <f>IF(I324="","",IF(I324="ENTRADA",ABS(J324),-ABS(J324)))</f>
        <v>-60</v>
      </c>
      <c r="L324" t="s">
        <v>29</v>
      </c>
      <c r="N324">
        <v>65128</v>
      </c>
      <c r="O324" t="s">
        <v>213</v>
      </c>
      <c r="P324">
        <v>1815</v>
      </c>
      <c r="Q324" s="42">
        <v>46204</v>
      </c>
      <c r="R324" s="22" t="str">
        <f>IF(H324="","",H324&amp;I324)</f>
        <v>260623-290SALIDA</v>
      </c>
      <c r="S324" s="22" t="str">
        <f>IF(C324="","",C324&amp;I324)</f>
        <v>vitagrowSALIDA</v>
      </c>
      <c r="T324" t="str">
        <f>IF(OR(C324="",I324&lt;&gt;"ENTRADA"),"",TEXT(B324,"AAMMDD")&amp;"-"&amp;TEXT(VALUE(SUBSTITUTE(A324,"MOV-","")),"000"))</f>
        <v/>
      </c>
    </row>
    <row r="325" spans="1:20">
      <c r="A325" s="20" t="s">
        <v>572</v>
      </c>
      <c r="B325" s="47">
        <v>46204</v>
      </c>
      <c r="C325" t="s">
        <v>283</v>
      </c>
      <c r="D325" t="s">
        <v>284</v>
      </c>
      <c r="E325" t="s">
        <v>285</v>
      </c>
      <c r="F325" t="s">
        <v>286</v>
      </c>
      <c r="G325" t="s">
        <v>83</v>
      </c>
      <c r="H325" s="20" t="s">
        <v>497</v>
      </c>
      <c r="I325" t="s">
        <v>65</v>
      </c>
      <c r="J325" s="30">
        <v>660</v>
      </c>
      <c r="K325" s="22">
        <f>IF(I325="","",IF(I325="ENTRADA",ABS(J325),-ABS(J325)))</f>
        <v>-660</v>
      </c>
      <c r="L325" t="s">
        <v>37</v>
      </c>
      <c r="N325">
        <v>65129</v>
      </c>
      <c r="O325" t="s">
        <v>387</v>
      </c>
      <c r="P325">
        <v>1816</v>
      </c>
      <c r="Q325" s="42">
        <v>46204</v>
      </c>
      <c r="R325" s="22" t="str">
        <f>IF(H325="","",H325&amp;I325)</f>
        <v>260429-102SALIDA</v>
      </c>
      <c r="S325" s="22" t="str">
        <f>IF(C325="","",C325&amp;I325)</f>
        <v>Hydra HumeSALIDA</v>
      </c>
      <c r="T325" t="str">
        <f>IF(OR(C325="",I325&lt;&gt;"ENTRADA"),"",TEXT(B325,"AAMMDD")&amp;"-"&amp;TEXT(VALUE(SUBSTITUTE(A325,"MOV-","")),"000"))</f>
        <v/>
      </c>
    </row>
    <row r="326" spans="1:20">
      <c r="A326" s="20" t="s">
        <v>573</v>
      </c>
      <c r="B326" s="47">
        <v>46205</v>
      </c>
      <c r="C326" t="s">
        <v>491</v>
      </c>
      <c r="D326" t="s">
        <v>492</v>
      </c>
      <c r="E326" t="s">
        <v>493</v>
      </c>
      <c r="G326" t="s">
        <v>36</v>
      </c>
      <c r="H326" s="20" t="s">
        <v>495</v>
      </c>
      <c r="I326" t="s">
        <v>65</v>
      </c>
      <c r="J326" s="30">
        <v>2620</v>
      </c>
      <c r="K326" s="22">
        <f>IF(I326="","",IF(I326="ENTRADA",ABS(J326),-ABS(J326)))</f>
        <v>-2620</v>
      </c>
      <c r="L326" t="s">
        <v>37</v>
      </c>
      <c r="N326">
        <v>65130</v>
      </c>
      <c r="O326" t="s">
        <v>213</v>
      </c>
      <c r="P326">
        <v>1817</v>
      </c>
      <c r="Q326" s="42">
        <v>46205</v>
      </c>
      <c r="R326" s="22" t="str">
        <f>IF(H326="","",H326&amp;I326)</f>
        <v>260610-265SALIDA</v>
      </c>
      <c r="S326" s="22" t="str">
        <f>IF(C326="","",C326&amp;I326)</f>
        <v>Zinc Plus SALIDA</v>
      </c>
      <c r="T326" t="str">
        <f>IF(OR(C326="",I326&lt;&gt;"ENTRADA"),"",TEXT(B326,"AAMMDD")&amp;"-"&amp;TEXT(VALUE(SUBSTITUTE(A326,"MOV-","")),"000"))</f>
        <v/>
      </c>
    </row>
    <row r="327" spans="1:20">
      <c r="A327" s="20" t="s">
        <v>574</v>
      </c>
      <c r="B327" s="47">
        <v>46205</v>
      </c>
      <c r="C327" t="s">
        <v>524</v>
      </c>
      <c r="D327" t="s">
        <v>525</v>
      </c>
      <c r="E327" t="s">
        <v>516</v>
      </c>
      <c r="G327" t="s">
        <v>158</v>
      </c>
      <c r="H327" s="20" t="s">
        <v>553</v>
      </c>
      <c r="I327" t="s">
        <v>28</v>
      </c>
      <c r="J327" s="30">
        <v>500</v>
      </c>
      <c r="K327" s="22">
        <f>IF(I327="","",IF(I327="ENTRADA",ABS(J327),-ABS(J327)))</f>
        <v>500</v>
      </c>
      <c r="L327" t="s">
        <v>37</v>
      </c>
      <c r="M327" s="47">
        <v>46476</v>
      </c>
      <c r="N327">
        <v>33080</v>
      </c>
      <c r="P327">
        <v>14891</v>
      </c>
      <c r="Q327" s="42">
        <v>46209</v>
      </c>
      <c r="R327" s="22" t="str">
        <f>IF(H327="","",H327&amp;I327)</f>
        <v>260623-289ENTRADA</v>
      </c>
      <c r="S327" s="22" t="str">
        <f>IF(C327="","",C327&amp;I327)</f>
        <v>cripton xpro ENTRADA</v>
      </c>
      <c r="T327" t="str">
        <f>IF(OR(C327="",I327&lt;&gt;"ENTRADA"),"",TEXT(B327,"AAMMDD")&amp;"-"&amp;TEXT(VALUE(SUBSTITUTE(A327,"MOV-","")),"000"))</f>
        <v>260702-327</v>
      </c>
    </row>
    <row r="328" spans="1:20">
      <c r="A328" s="20" t="s">
        <v>575</v>
      </c>
      <c r="B328" s="47">
        <v>46205</v>
      </c>
      <c r="C328" t="s">
        <v>576</v>
      </c>
      <c r="D328" t="s">
        <v>577</v>
      </c>
      <c r="E328" t="s">
        <v>578</v>
      </c>
      <c r="G328" t="s">
        <v>158</v>
      </c>
      <c r="H328" s="20" t="str">
        <f>+T328</f>
        <v>260702-328</v>
      </c>
      <c r="I328" t="s">
        <v>28</v>
      </c>
      <c r="J328" s="30">
        <v>500</v>
      </c>
      <c r="K328" s="22">
        <f>IF(I328="","",IF(I328="ENTRADA",ABS(J328),-ABS(J328)))</f>
        <v>500</v>
      </c>
      <c r="L328" t="s">
        <v>37</v>
      </c>
      <c r="M328" s="47">
        <v>47119</v>
      </c>
      <c r="N328">
        <v>33080</v>
      </c>
      <c r="P328">
        <v>14891</v>
      </c>
      <c r="Q328" s="42">
        <v>46209</v>
      </c>
      <c r="R328" s="22" t="str">
        <f>IF(H328="","",H328&amp;I328)</f>
        <v>260702-328ENTRADA</v>
      </c>
      <c r="S328" s="22" t="str">
        <f>IF(C328="","",C328&amp;I328)</f>
        <v>AcrecioENTRADA</v>
      </c>
      <c r="T328" t="str">
        <f>IF(OR(C328="",I328&lt;&gt;"ENTRADA"),"",TEXT(B328,"AAMMDD")&amp;"-"&amp;TEXT(VALUE(SUBSTITUTE(A328,"MOV-","")),"000"))</f>
        <v>260702-328</v>
      </c>
    </row>
    <row r="329" spans="1:20">
      <c r="A329" s="20" t="s">
        <v>579</v>
      </c>
      <c r="B329" s="47">
        <v>46205</v>
      </c>
      <c r="C329" t="s">
        <v>580</v>
      </c>
      <c r="G329" t="s">
        <v>158</v>
      </c>
      <c r="H329" s="20" t="str">
        <f>+T329</f>
        <v>260702-329</v>
      </c>
      <c r="I329" t="s">
        <v>28</v>
      </c>
      <c r="J329" s="30">
        <v>12</v>
      </c>
      <c r="K329" s="22">
        <f>IF(I329="","",IF(I329="ENTRADA",ABS(J329),-ABS(J329)))</f>
        <v>12</v>
      </c>
      <c r="L329" t="s">
        <v>37</v>
      </c>
      <c r="M329" s="47">
        <v>47146</v>
      </c>
      <c r="N329">
        <v>33080</v>
      </c>
      <c r="P329">
        <v>14891</v>
      </c>
      <c r="Q329" s="42">
        <v>46209</v>
      </c>
      <c r="R329" s="22" t="str">
        <f>IF(H329="","",H329&amp;I329)</f>
        <v>260702-329ENTRADA</v>
      </c>
      <c r="S329" s="22" t="str">
        <f>IF(C329="","",C329&amp;I329)</f>
        <v>Bioavanza plus ENTRADA</v>
      </c>
      <c r="T329" t="str">
        <f>IF(OR(C329="",I329&lt;&gt;"ENTRADA"),"",TEXT(B329,"AAMMDD")&amp;"-"&amp;TEXT(VALUE(SUBSTITUTE(A329,"MOV-","")),"000"))</f>
        <v>260702-329</v>
      </c>
    </row>
    <row r="330" spans="1:20">
      <c r="A330" s="20" t="s">
        <v>581</v>
      </c>
      <c r="B330" s="47">
        <v>46206</v>
      </c>
      <c r="C330" t="s">
        <v>527</v>
      </c>
      <c r="D330" t="s">
        <v>528</v>
      </c>
      <c r="E330" t="s">
        <v>493</v>
      </c>
      <c r="G330" t="s">
        <v>77</v>
      </c>
      <c r="H330" s="20" t="s">
        <v>551</v>
      </c>
      <c r="I330" t="s">
        <v>65</v>
      </c>
      <c r="J330" s="30">
        <v>60</v>
      </c>
      <c r="K330" s="22">
        <f>IF(I330="","",IF(I330="ENTRADA",ABS(J330),-ABS(J330)))</f>
        <v>-60</v>
      </c>
      <c r="L330" t="s">
        <v>29</v>
      </c>
      <c r="N330">
        <v>65131</v>
      </c>
      <c r="O330" t="s">
        <v>218</v>
      </c>
      <c r="P330">
        <v>1822</v>
      </c>
      <c r="Q330" s="42">
        <v>46209</v>
      </c>
      <c r="R330" s="22" t="str">
        <f>IF(H330="","",H330&amp;I330)</f>
        <v>260623-290SALIDA</v>
      </c>
      <c r="S330" s="22" t="str">
        <f>IF(C330="","",C330&amp;I330)</f>
        <v>vitagrowSALIDA</v>
      </c>
      <c r="T330" t="str">
        <f>IF(OR(C330="",I330&lt;&gt;"ENTRADA"),"",TEXT(B330,"AAMMDD")&amp;"-"&amp;TEXT(VALUE(SUBSTITUTE(A330,"MOV-","")),"000"))</f>
        <v/>
      </c>
    </row>
    <row r="331" spans="1:20">
      <c r="A331" s="20" t="s">
        <v>582</v>
      </c>
      <c r="B331" s="47">
        <v>46206</v>
      </c>
      <c r="C331" s="34" t="s">
        <v>130</v>
      </c>
      <c r="D331" s="34" t="s">
        <v>131</v>
      </c>
      <c r="E331" s="34" t="s">
        <v>132</v>
      </c>
      <c r="F331" s="34"/>
      <c r="G331" s="34" t="s">
        <v>133</v>
      </c>
      <c r="H331" s="20" t="s">
        <v>221</v>
      </c>
      <c r="I331" s="34" t="s">
        <v>65</v>
      </c>
      <c r="J331" s="36">
        <v>50</v>
      </c>
      <c r="K331" s="22">
        <f>IF(I331="","",IF(I331="ENTRADA",ABS(J331),-ABS(J331)))</f>
        <v>-50</v>
      </c>
      <c r="L331" s="34" t="s">
        <v>37</v>
      </c>
      <c r="M331" s="34"/>
      <c r="N331" s="34">
        <v>65131</v>
      </c>
      <c r="O331" s="34" t="s">
        <v>218</v>
      </c>
      <c r="P331">
        <v>1822</v>
      </c>
      <c r="Q331" s="42">
        <v>46209</v>
      </c>
      <c r="R331" s="22" t="str">
        <f>IF(H331="","",H331&amp;I331)</f>
        <v>260414-029SALIDA</v>
      </c>
      <c r="S331" s="22" t="str">
        <f>IF(C331="","",C331&amp;I331)</f>
        <v>HarrierSALIDA</v>
      </c>
      <c r="T331" t="str">
        <f>IF(OR(C331="",I331&lt;&gt;"ENTRADA"),"",TEXT(B331,"AAMMDD")&amp;"-"&amp;TEXT(VALUE(SUBSTITUTE(A331,"MOV-","")),"000"))</f>
        <v/>
      </c>
    </row>
    <row r="332" spans="1:20">
      <c r="A332" s="20" t="s">
        <v>583</v>
      </c>
      <c r="B332" s="47">
        <v>46206</v>
      </c>
      <c r="C332" t="s">
        <v>54</v>
      </c>
      <c r="D332" t="s">
        <v>55</v>
      </c>
      <c r="E332" t="s">
        <v>34</v>
      </c>
      <c r="F332" t="s">
        <v>35</v>
      </c>
      <c r="G332" t="s">
        <v>36</v>
      </c>
      <c r="H332" s="20" t="s">
        <v>97</v>
      </c>
      <c r="I332" t="s">
        <v>65</v>
      </c>
      <c r="J332" s="30">
        <v>15</v>
      </c>
      <c r="K332" s="22">
        <f>IF(I332="","",IF(I332="ENTRADA",ABS(J332),-ABS(J332)))</f>
        <v>-15</v>
      </c>
      <c r="L332" t="s">
        <v>56</v>
      </c>
      <c r="N332">
        <v>65131</v>
      </c>
      <c r="O332" t="s">
        <v>218</v>
      </c>
      <c r="P332">
        <v>1822</v>
      </c>
      <c r="Q332" s="42">
        <v>46209</v>
      </c>
      <c r="R332" s="22" t="str">
        <f>IF(H332="","",H332&amp;I332)</f>
        <v>260401-007SALIDA</v>
      </c>
      <c r="S332" s="22" t="str">
        <f>IF(C332="","",C332&amp;I332)</f>
        <v>TronadorSALIDA</v>
      </c>
      <c r="T332" t="str">
        <f>IF(OR(C332="",I332&lt;&gt;"ENTRADA"),"",TEXT(B332,"AAMMDD")&amp;"-"&amp;TEXT(VALUE(SUBSTITUTE(A332,"MOV-","")),"000"))</f>
        <v/>
      </c>
    </row>
    <row r="333" spans="1:20">
      <c r="A333" s="20" t="s">
        <v>584</v>
      </c>
      <c r="B333" s="47">
        <v>46206</v>
      </c>
      <c r="C333" t="s">
        <v>137</v>
      </c>
      <c r="D333" t="s">
        <v>138</v>
      </c>
      <c r="E333" t="s">
        <v>132</v>
      </c>
      <c r="G333" t="s">
        <v>133</v>
      </c>
      <c r="H333" s="20" t="s">
        <v>211</v>
      </c>
      <c r="I333" t="s">
        <v>65</v>
      </c>
      <c r="J333" s="30">
        <v>10</v>
      </c>
      <c r="K333" s="22">
        <f>IF(I333="","",IF(I333="ENTRADA",ABS(J333),-ABS(J333)))</f>
        <v>-10</v>
      </c>
      <c r="L333" t="s">
        <v>37</v>
      </c>
      <c r="N333">
        <v>65131</v>
      </c>
      <c r="O333" t="s">
        <v>218</v>
      </c>
      <c r="P333">
        <v>1822</v>
      </c>
      <c r="Q333" s="42">
        <v>46209</v>
      </c>
      <c r="R333" s="22" t="str">
        <f>IF(H333="","",H333&amp;I333)</f>
        <v>260414-030SALIDA</v>
      </c>
      <c r="S333" s="22" t="str">
        <f>IF(C333="","",C333&amp;I333)</f>
        <v>Full controlSALIDA</v>
      </c>
      <c r="T333" t="str">
        <f>IF(OR(C333="",I333&lt;&gt;"ENTRADA"),"",TEXT(B333,"AAMMDD")&amp;"-"&amp;TEXT(VALUE(SUBSTITUTE(A333,"MOV-","")),"000"))</f>
        <v/>
      </c>
    </row>
    <row r="334" spans="1:20">
      <c r="A334" s="20" t="s">
        <v>585</v>
      </c>
      <c r="B334" s="47">
        <v>46206</v>
      </c>
      <c r="C334" t="s">
        <v>147</v>
      </c>
      <c r="D334" t="s">
        <v>148</v>
      </c>
      <c r="E334" t="s">
        <v>34</v>
      </c>
      <c r="F334" t="s">
        <v>35</v>
      </c>
      <c r="G334" t="s">
        <v>36</v>
      </c>
      <c r="H334" s="20" t="s">
        <v>563</v>
      </c>
      <c r="I334" t="s">
        <v>65</v>
      </c>
      <c r="J334" s="30">
        <v>450</v>
      </c>
      <c r="K334" s="22">
        <f>IF(I334="","",IF(I334="ENTRADA",ABS(J334),-ABS(J334)))</f>
        <v>-450</v>
      </c>
      <c r="L334" t="s">
        <v>37</v>
      </c>
      <c r="N334">
        <v>65131</v>
      </c>
      <c r="O334" t="s">
        <v>218</v>
      </c>
      <c r="P334">
        <v>1822</v>
      </c>
      <c r="Q334" s="42">
        <v>46209</v>
      </c>
      <c r="R334" s="22" t="str">
        <f>IF(H334="","",H334&amp;I334)</f>
        <v>260415-032SALIDA</v>
      </c>
      <c r="S334" s="22" t="str">
        <f>IF(C334="","",C334&amp;I334)</f>
        <v>AxialSALIDA</v>
      </c>
      <c r="T334" t="str">
        <f>IF(OR(C334="",I334&lt;&gt;"ENTRADA"),"",TEXT(B334,"AAMMDD")&amp;"-"&amp;TEXT(VALUE(SUBSTITUTE(A334,"MOV-","")),"000"))</f>
        <v/>
      </c>
    </row>
    <row r="335" spans="1:20">
      <c r="A335" s="20" t="s">
        <v>586</v>
      </c>
      <c r="B335" s="47">
        <v>46206</v>
      </c>
      <c r="C335" t="s">
        <v>514</v>
      </c>
      <c r="D335" t="s">
        <v>525</v>
      </c>
      <c r="E335" t="s">
        <v>516</v>
      </c>
      <c r="G335" t="s">
        <v>117</v>
      </c>
      <c r="H335" s="20" t="s">
        <v>587</v>
      </c>
      <c r="I335" t="s">
        <v>65</v>
      </c>
      <c r="J335" s="30">
        <v>95</v>
      </c>
      <c r="K335" s="22">
        <f>IF(I335="","",IF(I335="ENTRADA",ABS(J335),-ABS(J335)))</f>
        <v>-95</v>
      </c>
      <c r="L335" t="s">
        <v>37</v>
      </c>
      <c r="N335">
        <v>65131</v>
      </c>
      <c r="O335" t="s">
        <v>218</v>
      </c>
      <c r="P335">
        <v>1822</v>
      </c>
      <c r="Q335" s="42">
        <v>46209</v>
      </c>
      <c r="R335" s="22" t="str">
        <f>IF(H335="","",H335&amp;I335)</f>
        <v>260618-283SALIDA</v>
      </c>
      <c r="S335" s="22" t="str">
        <f>IF(C335="","",C335&amp;I335)</f>
        <v>Unico MaxSALIDA</v>
      </c>
      <c r="T335" t="str">
        <f>IF(OR(C335="",I335&lt;&gt;"ENTRADA"),"",TEXT(B335,"AAMMDD")&amp;"-"&amp;TEXT(VALUE(SUBSTITUTE(A335,"MOV-","")),"000"))</f>
        <v/>
      </c>
    </row>
    <row r="336" spans="1:20">
      <c r="A336" s="20" t="s">
        <v>588</v>
      </c>
      <c r="B336" s="47">
        <v>46209</v>
      </c>
      <c r="C336" t="s">
        <v>576</v>
      </c>
      <c r="D336" t="s">
        <v>577</v>
      </c>
      <c r="E336" t="s">
        <v>578</v>
      </c>
      <c r="G336" t="s">
        <v>158</v>
      </c>
      <c r="H336" s="20" t="s">
        <v>589</v>
      </c>
      <c r="I336" t="s">
        <v>65</v>
      </c>
      <c r="J336" s="30">
        <v>160</v>
      </c>
      <c r="K336" s="22">
        <f>IF(I336="","",IF(I336="ENTRADA",ABS(J336),-ABS(J336)))</f>
        <v>-160</v>
      </c>
      <c r="L336" t="s">
        <v>37</v>
      </c>
      <c r="N336">
        <v>65132</v>
      </c>
      <c r="O336" t="s">
        <v>590</v>
      </c>
      <c r="P336">
        <v>1823</v>
      </c>
      <c r="Q336" s="42">
        <v>46209</v>
      </c>
      <c r="R336" s="22" t="str">
        <f>IF(H336="","",H336&amp;I336)</f>
        <v>260702-328SALIDA</v>
      </c>
      <c r="S336" s="22" t="str">
        <f>IF(C336="","",C336&amp;I336)</f>
        <v>AcrecioSALIDA</v>
      </c>
      <c r="T336" t="str">
        <f>IF(OR(C336="",I336&lt;&gt;"ENTRADA"),"",TEXT(B336,"AAMMDD")&amp;"-"&amp;TEXT(VALUE(SUBSTITUTE(A336,"MOV-","")),"000"))</f>
        <v/>
      </c>
    </row>
    <row r="337" spans="1:20">
      <c r="A337" s="20" t="s">
        <v>591</v>
      </c>
      <c r="B337" s="47">
        <v>46209</v>
      </c>
      <c r="C337" t="s">
        <v>122</v>
      </c>
      <c r="D337" t="s">
        <v>123</v>
      </c>
      <c r="E337" t="s">
        <v>34</v>
      </c>
      <c r="F337" t="s">
        <v>35</v>
      </c>
      <c r="G337" t="s">
        <v>117</v>
      </c>
      <c r="H337" s="20" t="s">
        <v>203</v>
      </c>
      <c r="I337" t="s">
        <v>65</v>
      </c>
      <c r="J337" s="30">
        <v>160</v>
      </c>
      <c r="K337" s="22">
        <f>IF(I337="","",IF(I337="ENTRADA",ABS(J337),-ABS(J337)))</f>
        <v>-160</v>
      </c>
      <c r="L337" t="s">
        <v>37</v>
      </c>
      <c r="N337">
        <v>65132</v>
      </c>
      <c r="O337" t="s">
        <v>590</v>
      </c>
      <c r="P337">
        <v>1823</v>
      </c>
      <c r="Q337" s="42">
        <v>46209</v>
      </c>
      <c r="R337" s="22" t="str">
        <f>IF(H337="","",H337&amp;I337)</f>
        <v>260410-027SALIDA</v>
      </c>
      <c r="S337" s="22" t="str">
        <f>IF(C337="","",C337&amp;I337)</f>
        <v>PardoSALIDA</v>
      </c>
      <c r="T337" t="str">
        <f>IF(OR(C337="",I337&lt;&gt;"ENTRADA"),"",TEXT(B337,"AAMMDD")&amp;"-"&amp;TEXT(VALUE(SUBSTITUTE(A337,"MOV-","")),"000"))</f>
        <v/>
      </c>
    </row>
    <row r="338" spans="1:20">
      <c r="A338" s="20" t="s">
        <v>592</v>
      </c>
      <c r="B338" s="47">
        <v>46209</v>
      </c>
      <c r="C338" t="s">
        <v>32</v>
      </c>
      <c r="D338" t="s">
        <v>105</v>
      </c>
      <c r="E338" t="s">
        <v>34</v>
      </c>
      <c r="F338" t="s">
        <v>35</v>
      </c>
      <c r="H338" s="20" t="s">
        <v>106</v>
      </c>
      <c r="I338" t="s">
        <v>65</v>
      </c>
      <c r="J338" s="30">
        <v>80</v>
      </c>
      <c r="K338" s="22">
        <f>IF(I338="","",IF(I338="ENTRADA",ABS(J338),-ABS(J338)))</f>
        <v>-80</v>
      </c>
      <c r="L338" t="s">
        <v>37</v>
      </c>
      <c r="N338">
        <v>65132</v>
      </c>
      <c r="O338" t="s">
        <v>590</v>
      </c>
      <c r="P338">
        <v>1823</v>
      </c>
      <c r="Q338" s="42">
        <v>46209</v>
      </c>
      <c r="R338" s="22" t="str">
        <f>IF(H338="","",H338&amp;I338)</f>
        <v>260401-002SALIDA</v>
      </c>
      <c r="S338" s="22" t="str">
        <f>IF(C338="","",C338&amp;I338)</f>
        <v>KorvettoSALIDA</v>
      </c>
      <c r="T338" t="str">
        <f>IF(OR(C338="",I338&lt;&gt;"ENTRADA"),"",TEXT(B338,"AAMMDD")&amp;"-"&amp;TEXT(VALUE(SUBSTITUTE(A338,"MOV-","")),"000"))</f>
        <v/>
      </c>
    </row>
    <row r="339" spans="1:20">
      <c r="A339" s="20" t="s">
        <v>593</v>
      </c>
      <c r="B339" s="47">
        <v>46209</v>
      </c>
      <c r="C339" t="s">
        <v>130</v>
      </c>
      <c r="D339" t="s">
        <v>131</v>
      </c>
      <c r="E339" t="s">
        <v>132</v>
      </c>
      <c r="G339" t="s">
        <v>133</v>
      </c>
      <c r="H339" s="20" t="s">
        <v>221</v>
      </c>
      <c r="I339" t="s">
        <v>65</v>
      </c>
      <c r="J339" s="30">
        <v>40</v>
      </c>
      <c r="K339" s="22">
        <f>IF(I339="","",IF(I339="ENTRADA",ABS(J339),-ABS(J339)))</f>
        <v>-40</v>
      </c>
      <c r="L339" t="s">
        <v>37</v>
      </c>
      <c r="N339">
        <v>65132</v>
      </c>
      <c r="O339" t="s">
        <v>590</v>
      </c>
      <c r="P339">
        <v>1823</v>
      </c>
      <c r="Q339" s="42">
        <v>46209</v>
      </c>
      <c r="R339" s="22" t="str">
        <f>IF(H339="","",H339&amp;I339)</f>
        <v>260414-029SALIDA</v>
      </c>
      <c r="S339" s="22" t="str">
        <f>IF(C339="","",C339&amp;I339)</f>
        <v>HarrierSALIDA</v>
      </c>
      <c r="T339" t="str">
        <f>IF(OR(C339="",I339&lt;&gt;"ENTRADA"),"",TEXT(B339,"AAMMDD")&amp;"-"&amp;TEXT(VALUE(SUBSTITUTE(A339,"MOV-","")),"000"))</f>
        <v/>
      </c>
    </row>
    <row r="340" spans="1:20">
      <c r="A340" s="20" t="s">
        <v>594</v>
      </c>
      <c r="B340" s="47">
        <v>46209</v>
      </c>
      <c r="C340" t="s">
        <v>137</v>
      </c>
      <c r="D340" t="s">
        <v>138</v>
      </c>
      <c r="E340" t="s">
        <v>132</v>
      </c>
      <c r="G340" t="s">
        <v>133</v>
      </c>
      <c r="H340" s="20" t="s">
        <v>211</v>
      </c>
      <c r="I340" t="s">
        <v>65</v>
      </c>
      <c r="J340" s="30">
        <v>8</v>
      </c>
      <c r="K340" s="22">
        <f>IF(I340="","",IF(I340="ENTRADA",ABS(J340),-ABS(J340)))</f>
        <v>-8</v>
      </c>
      <c r="L340" t="s">
        <v>37</v>
      </c>
      <c r="N340">
        <v>65132</v>
      </c>
      <c r="O340" t="s">
        <v>590</v>
      </c>
      <c r="P340">
        <v>1823</v>
      </c>
      <c r="Q340" s="42">
        <v>46209</v>
      </c>
      <c r="R340" s="22" t="str">
        <f>IF(H340="","",H340&amp;I340)</f>
        <v>260414-030SALIDA</v>
      </c>
      <c r="S340" s="22" t="str">
        <f>IF(C340="","",C340&amp;I340)</f>
        <v>Full controlSALIDA</v>
      </c>
      <c r="T340" t="str">
        <f>IF(OR(C340="",I340&lt;&gt;"ENTRADA"),"",TEXT(B340,"AAMMDD")&amp;"-"&amp;TEXT(VALUE(SUBSTITUTE(A340,"MOV-","")),"000"))</f>
        <v/>
      </c>
    </row>
    <row r="341" spans="1:20">
      <c r="A341" s="20" t="s">
        <v>595</v>
      </c>
      <c r="B341" s="47">
        <v>46209</v>
      </c>
      <c r="C341" t="s">
        <v>50</v>
      </c>
      <c r="D341" t="s">
        <v>280</v>
      </c>
      <c r="E341" t="s">
        <v>34</v>
      </c>
      <c r="F341" t="s">
        <v>35</v>
      </c>
      <c r="G341" t="s">
        <v>36</v>
      </c>
      <c r="H341" s="20" t="s">
        <v>281</v>
      </c>
      <c r="I341" t="s">
        <v>65</v>
      </c>
      <c r="J341" s="30">
        <v>20</v>
      </c>
      <c r="K341" s="22">
        <f>IF(I341="","",IF(I341="ENTRADA",ABS(J341),-ABS(J341)))</f>
        <v>-20</v>
      </c>
      <c r="L341" t="s">
        <v>37</v>
      </c>
      <c r="N341">
        <v>65132</v>
      </c>
      <c r="O341" t="s">
        <v>590</v>
      </c>
      <c r="P341">
        <v>1823</v>
      </c>
      <c r="Q341" s="42">
        <v>46209</v>
      </c>
      <c r="R341" s="22" t="str">
        <f>IF(H341="","",H341&amp;I341)</f>
        <v>260401-006SALIDA</v>
      </c>
      <c r="S341" s="22" t="str">
        <f>IF(C341="","",C341&amp;I341)</f>
        <v>Tordon 24KSALIDA</v>
      </c>
      <c r="T341" t="str">
        <f>IF(OR(C341="",I341&lt;&gt;"ENTRADA"),"",TEXT(B341,"AAMMDD")&amp;"-"&amp;TEXT(VALUE(SUBSTITUTE(A341,"MOV-","")),"000"))</f>
        <v/>
      </c>
    </row>
    <row r="342" spans="1:20">
      <c r="A342" s="20" t="s">
        <v>596</v>
      </c>
      <c r="B342" s="47">
        <v>46209</v>
      </c>
      <c r="C342" s="34" t="s">
        <v>75</v>
      </c>
      <c r="D342" s="34" t="s">
        <v>76</v>
      </c>
      <c r="E342" s="34" t="s">
        <v>34</v>
      </c>
      <c r="F342" s="34" t="s">
        <v>35</v>
      </c>
      <c r="G342" t="s">
        <v>77</v>
      </c>
      <c r="H342" s="20" t="s">
        <v>94</v>
      </c>
      <c r="I342" s="34" t="s">
        <v>65</v>
      </c>
      <c r="J342" s="36">
        <v>140</v>
      </c>
      <c r="K342" s="22">
        <f>IF(I342="","",IF(I342="ENTRADA",ABS(J342),-ABS(J342)))</f>
        <v>-140</v>
      </c>
      <c r="L342" s="34" t="s">
        <v>37</v>
      </c>
      <c r="M342" s="34"/>
      <c r="N342">
        <v>65132</v>
      </c>
      <c r="O342" t="s">
        <v>590</v>
      </c>
      <c r="P342">
        <v>1823</v>
      </c>
      <c r="Q342" s="42">
        <v>46209</v>
      </c>
      <c r="R342" s="22" t="str">
        <f>IF(H342="","",H342&amp;I342)</f>
        <v>260407-012SALIDA</v>
      </c>
      <c r="S342" s="22" t="str">
        <f>IF(C342="","",C342&amp;I342)</f>
        <v>Dedalo eliteSALIDA</v>
      </c>
      <c r="T342" t="str">
        <f>IF(OR(C342="",I342&lt;&gt;"ENTRADA"),"",TEXT(B342,"AAMMDD")&amp;"-"&amp;TEXT(VALUE(SUBSTITUTE(A342,"MOV-","")),"000"))</f>
        <v/>
      </c>
    </row>
    <row r="343" spans="1:20">
      <c r="A343" s="20" t="s">
        <v>597</v>
      </c>
      <c r="B343" s="47">
        <v>46209</v>
      </c>
      <c r="C343" t="s">
        <v>524</v>
      </c>
      <c r="D343" t="s">
        <v>525</v>
      </c>
      <c r="E343" t="s">
        <v>516</v>
      </c>
      <c r="G343" t="s">
        <v>158</v>
      </c>
      <c r="H343" s="20" t="str">
        <f>+T343</f>
        <v>260706-343</v>
      </c>
      <c r="I343" t="s">
        <v>28</v>
      </c>
      <c r="J343" s="30">
        <v>1000</v>
      </c>
      <c r="K343" s="22">
        <f>IF(I343="","",IF(I343="ENTRADA",ABS(J343),-ABS(J343)))</f>
        <v>1000</v>
      </c>
      <c r="L343" t="s">
        <v>37</v>
      </c>
      <c r="M343" s="47">
        <v>46584</v>
      </c>
      <c r="N343">
        <v>33146</v>
      </c>
      <c r="P343">
        <v>14892</v>
      </c>
      <c r="Q343" s="42">
        <v>46209</v>
      </c>
      <c r="R343" s="22" t="str">
        <f>IF(H343="","",H343&amp;I343)</f>
        <v>260706-343ENTRADA</v>
      </c>
      <c r="S343" s="22" t="str">
        <f>IF(C343="","",C343&amp;I343)</f>
        <v>cripton xpro ENTRADA</v>
      </c>
      <c r="T343" t="str">
        <f>IF(OR(C343="",I343&lt;&gt;"ENTRADA"),"",TEXT(B343,"AAMMDD")&amp;"-"&amp;TEXT(VALUE(SUBSTITUTE(A343,"MOV-","")),"000"))</f>
        <v>260706-343</v>
      </c>
    </row>
    <row r="344" spans="1:20">
      <c r="A344" s="20" t="s">
        <v>598</v>
      </c>
      <c r="B344" s="47">
        <v>46209</v>
      </c>
      <c r="C344" t="s">
        <v>283</v>
      </c>
      <c r="D344" t="s">
        <v>284</v>
      </c>
      <c r="E344" t="s">
        <v>285</v>
      </c>
      <c r="F344" t="s">
        <v>286</v>
      </c>
      <c r="G344" t="s">
        <v>83</v>
      </c>
      <c r="H344" s="20" t="s">
        <v>497</v>
      </c>
      <c r="I344" t="s">
        <v>65</v>
      </c>
      <c r="J344" s="30">
        <v>500</v>
      </c>
      <c r="K344" s="22">
        <f>IF(I344="","",IF(I344="ENTRADA",ABS(J344),-ABS(J344)))</f>
        <v>-500</v>
      </c>
      <c r="L344" t="s">
        <v>37</v>
      </c>
      <c r="N344">
        <v>65133</v>
      </c>
      <c r="O344" t="s">
        <v>387</v>
      </c>
      <c r="P344">
        <v>1824</v>
      </c>
      <c r="Q344" s="42">
        <v>45480</v>
      </c>
      <c r="R344" s="22" t="str">
        <f>IF(H344="","",H344&amp;I344)</f>
        <v>260429-102SALIDA</v>
      </c>
      <c r="S344" s="22" t="str">
        <f>IF(C344="","",C344&amp;I344)</f>
        <v>Hydra HumeSALIDA</v>
      </c>
      <c r="T344" t="str">
        <f>IF(OR(C344="",I344&lt;&gt;"ENTRADA"),"",TEXT(B344,"AAMMDD")&amp;"-"&amp;TEXT(VALUE(SUBSTITUTE(A344,"MOV-","")),"000"))</f>
        <v/>
      </c>
    </row>
    <row r="345" spans="1:20">
      <c r="A345" s="20" t="s">
        <v>599</v>
      </c>
      <c r="B345" s="47">
        <v>46209</v>
      </c>
      <c r="C345" t="s">
        <v>54</v>
      </c>
      <c r="D345" t="s">
        <v>55</v>
      </c>
      <c r="E345" t="s">
        <v>34</v>
      </c>
      <c r="F345" t="s">
        <v>35</v>
      </c>
      <c r="G345" t="s">
        <v>36</v>
      </c>
      <c r="H345" s="20" t="s">
        <v>97</v>
      </c>
      <c r="I345" t="s">
        <v>65</v>
      </c>
      <c r="J345" s="30">
        <v>13</v>
      </c>
      <c r="K345" s="22">
        <f>IF(I345="","",IF(I345="ENTRADA",ABS(J345),-ABS(J345)))</f>
        <v>-13</v>
      </c>
      <c r="L345" t="s">
        <v>56</v>
      </c>
      <c r="N345">
        <v>65133</v>
      </c>
      <c r="O345" t="s">
        <v>387</v>
      </c>
      <c r="P345">
        <v>1824</v>
      </c>
      <c r="Q345" s="42">
        <v>46210</v>
      </c>
      <c r="R345" s="22" t="str">
        <f>IF(H345="","",H345&amp;I345)</f>
        <v>260401-007SALIDA</v>
      </c>
      <c r="S345" s="22" t="str">
        <f>IF(C345="","",C345&amp;I345)</f>
        <v>TronadorSALIDA</v>
      </c>
      <c r="T345" t="str">
        <f>IF(OR(C345="",I345&lt;&gt;"ENTRADA"),"",TEXT(B345,"AAMMDD")&amp;"-"&amp;TEXT(VALUE(SUBSTITUTE(A345,"MOV-","")),"000"))</f>
        <v/>
      </c>
    </row>
    <row r="346" spans="1:20">
      <c r="A346" s="20" t="s">
        <v>600</v>
      </c>
      <c r="B346" s="47">
        <v>46210</v>
      </c>
      <c r="C346" t="s">
        <v>115</v>
      </c>
      <c r="D346" t="s">
        <v>116</v>
      </c>
      <c r="E346" t="s">
        <v>34</v>
      </c>
      <c r="F346" t="s">
        <v>35</v>
      </c>
      <c r="G346" t="s">
        <v>117</v>
      </c>
      <c r="H346" s="20" t="s">
        <v>120</v>
      </c>
      <c r="I346" t="s">
        <v>65</v>
      </c>
      <c r="J346" s="30">
        <v>260</v>
      </c>
      <c r="K346" s="22">
        <f>IF(I346="","",IF(I346="ENTRADA",ABS(J346),-ABS(J346)))</f>
        <v>-260</v>
      </c>
      <c r="L346" t="s">
        <v>37</v>
      </c>
      <c r="N346">
        <v>65135</v>
      </c>
      <c r="O346" t="s">
        <v>218</v>
      </c>
      <c r="P346">
        <v>1832</v>
      </c>
      <c r="Q346" s="42">
        <v>46218</v>
      </c>
      <c r="R346" s="22" t="str">
        <f>IF(H346="","",H346&amp;I346)</f>
        <v>260410-025SALIDA</v>
      </c>
      <c r="S346" s="22" t="str">
        <f>IF(C346="","",C346&amp;I346)</f>
        <v>AzukaSALIDA</v>
      </c>
      <c r="T346" t="str">
        <f>IF(OR(C346="",I346&lt;&gt;"ENTRADA"),"",TEXT(B346,"AAMMDD")&amp;"-"&amp;TEXT(VALUE(SUBSTITUTE(A346,"MOV-","")),"000"))</f>
        <v/>
      </c>
    </row>
    <row r="347" spans="1:20">
      <c r="A347" s="20" t="s">
        <v>601</v>
      </c>
      <c r="B347" s="47">
        <v>46210</v>
      </c>
      <c r="C347" t="s">
        <v>137</v>
      </c>
      <c r="D347" t="s">
        <v>138</v>
      </c>
      <c r="E347" t="s">
        <v>132</v>
      </c>
      <c r="G347" t="s">
        <v>133</v>
      </c>
      <c r="H347" s="20" t="s">
        <v>211</v>
      </c>
      <c r="I347" t="s">
        <v>65</v>
      </c>
      <c r="J347" s="30">
        <v>2</v>
      </c>
      <c r="K347" s="22">
        <f>IF(I347="","",IF(I347="ENTRADA",ABS(J347),-ABS(J347)))</f>
        <v>-2</v>
      </c>
      <c r="L347" t="s">
        <v>37</v>
      </c>
      <c r="N347">
        <v>65135</v>
      </c>
      <c r="O347" t="s">
        <v>218</v>
      </c>
      <c r="P347">
        <v>1832</v>
      </c>
      <c r="Q347" s="42">
        <v>46218</v>
      </c>
      <c r="R347" s="22" t="str">
        <f>IF(H347="","",H347&amp;I347)</f>
        <v>260414-030SALIDA</v>
      </c>
      <c r="S347" s="22" t="str">
        <f>IF(C347="","",C347&amp;I347)</f>
        <v>Full controlSALIDA</v>
      </c>
      <c r="T347" t="str">
        <f>IF(OR(C347="",I347&lt;&gt;"ENTRADA"),"",TEXT(B347,"AAMMDD")&amp;"-"&amp;TEXT(VALUE(SUBSTITUTE(A347,"MOV-","")),"000"))</f>
        <v/>
      </c>
    </row>
    <row r="348" spans="1:20">
      <c r="A348" s="20" t="s">
        <v>602</v>
      </c>
      <c r="B348" s="47">
        <v>46210</v>
      </c>
      <c r="C348" t="s">
        <v>130</v>
      </c>
      <c r="D348" t="s">
        <v>131</v>
      </c>
      <c r="E348" t="s">
        <v>132</v>
      </c>
      <c r="G348" t="s">
        <v>133</v>
      </c>
      <c r="H348" s="20" t="s">
        <v>221</v>
      </c>
      <c r="I348" t="s">
        <v>65</v>
      </c>
      <c r="J348" s="30">
        <v>10</v>
      </c>
      <c r="K348" s="22">
        <f>IF(I348="","",IF(I348="ENTRADA",ABS(J348),-ABS(J348)))</f>
        <v>-10</v>
      </c>
      <c r="L348" t="s">
        <v>37</v>
      </c>
      <c r="N348">
        <v>65135</v>
      </c>
      <c r="O348" t="s">
        <v>218</v>
      </c>
      <c r="P348">
        <v>1832</v>
      </c>
      <c r="Q348" s="42">
        <v>46218</v>
      </c>
      <c r="R348" s="22" t="str">
        <f>IF(H348="","",H348&amp;I348)</f>
        <v>260414-029SALIDA</v>
      </c>
      <c r="S348" s="22" t="str">
        <f>IF(C348="","",C348&amp;I348)</f>
        <v>HarrierSALIDA</v>
      </c>
      <c r="T348" t="str">
        <f>IF(OR(C348="",I348&lt;&gt;"ENTRADA"),"",TEXT(B348,"AAMMDD")&amp;"-"&amp;TEXT(VALUE(SUBSTITUTE(A348,"MOV-","")),"000"))</f>
        <v/>
      </c>
    </row>
    <row r="349" spans="1:20">
      <c r="A349" s="20" t="s">
        <v>603</v>
      </c>
      <c r="B349" s="47">
        <v>46210</v>
      </c>
      <c r="C349" t="s">
        <v>130</v>
      </c>
      <c r="D349" t="s">
        <v>131</v>
      </c>
      <c r="E349" t="s">
        <v>132</v>
      </c>
      <c r="G349" t="s">
        <v>133</v>
      </c>
      <c r="H349" s="20" t="s">
        <v>221</v>
      </c>
      <c r="I349" t="s">
        <v>65</v>
      </c>
      <c r="J349" s="30">
        <v>35</v>
      </c>
      <c r="K349" s="22">
        <f>IF(I349="","",IF(I349="ENTRADA",ABS(J349),-ABS(J349)))</f>
        <v>-35</v>
      </c>
      <c r="L349" t="s">
        <v>37</v>
      </c>
      <c r="N349">
        <v>65136</v>
      </c>
      <c r="O349" t="s">
        <v>213</v>
      </c>
      <c r="P349">
        <v>1833</v>
      </c>
      <c r="Q349" s="42">
        <v>46218</v>
      </c>
      <c r="R349" s="22" t="str">
        <f>IF(H349="","",H349&amp;I349)</f>
        <v>260414-029SALIDA</v>
      </c>
      <c r="S349" s="22" t="str">
        <f>IF(C349="","",C349&amp;I349)</f>
        <v>HarrierSALIDA</v>
      </c>
      <c r="T349" t="str">
        <f>IF(OR(C349="",I349&lt;&gt;"ENTRADA"),"",TEXT(B349,"AAMMDD")&amp;"-"&amp;TEXT(VALUE(SUBSTITUTE(A349,"MOV-","")),"000"))</f>
        <v/>
      </c>
    </row>
    <row r="350" spans="1:20">
      <c r="A350" s="20" t="s">
        <v>604</v>
      </c>
      <c r="B350" s="47">
        <v>46210</v>
      </c>
      <c r="C350" t="s">
        <v>137</v>
      </c>
      <c r="D350" t="s">
        <v>138</v>
      </c>
      <c r="E350" t="s">
        <v>132</v>
      </c>
      <c r="G350" t="s">
        <v>133</v>
      </c>
      <c r="H350" s="20" t="s">
        <v>211</v>
      </c>
      <c r="I350" t="s">
        <v>65</v>
      </c>
      <c r="J350" s="30">
        <v>7</v>
      </c>
      <c r="K350" s="22">
        <f>IF(I350="","",IF(I350="ENTRADA",ABS(J350),-ABS(J350)))</f>
        <v>-7</v>
      </c>
      <c r="L350" t="s">
        <v>37</v>
      </c>
      <c r="N350">
        <v>65136</v>
      </c>
      <c r="O350" t="s">
        <v>213</v>
      </c>
      <c r="P350">
        <v>1833</v>
      </c>
      <c r="Q350" s="42">
        <v>46218</v>
      </c>
      <c r="R350" s="22" t="str">
        <f>IF(H350="","",H350&amp;I350)</f>
        <v>260414-030SALIDA</v>
      </c>
      <c r="S350" s="22" t="str">
        <f>IF(C350="","",C350&amp;I350)</f>
        <v>Full controlSALIDA</v>
      </c>
      <c r="T350" t="str">
        <f>IF(OR(C350="",I350&lt;&gt;"ENTRADA"),"",TEXT(B350,"AAMMDD")&amp;"-"&amp;TEXT(VALUE(SUBSTITUTE(A350,"MOV-","")),"000"))</f>
        <v/>
      </c>
    </row>
    <row r="351" spans="1:20">
      <c r="A351" s="20" t="s">
        <v>605</v>
      </c>
      <c r="B351" s="47">
        <v>46210</v>
      </c>
      <c r="C351" t="s">
        <v>90</v>
      </c>
      <c r="D351" t="s">
        <v>91</v>
      </c>
      <c r="E351" t="s">
        <v>34</v>
      </c>
      <c r="F351" t="s">
        <v>35</v>
      </c>
      <c r="G351" t="s">
        <v>36</v>
      </c>
      <c r="H351" s="20" t="s">
        <v>375</v>
      </c>
      <c r="I351" t="s">
        <v>65</v>
      </c>
      <c r="J351" s="30">
        <v>135</v>
      </c>
      <c r="K351" s="22">
        <f>IF(I351="","",IF(I351="ENTRADA",ABS(J351),-ABS(J351)))</f>
        <v>-135</v>
      </c>
      <c r="L351" t="s">
        <v>37</v>
      </c>
      <c r="N351">
        <v>65136</v>
      </c>
      <c r="O351" t="s">
        <v>213</v>
      </c>
      <c r="P351">
        <v>1833</v>
      </c>
      <c r="Q351" s="42">
        <v>46218</v>
      </c>
      <c r="R351" s="22" t="str">
        <f>IF(H351="","",H351&amp;I351)</f>
        <v>260405-132SALIDA</v>
      </c>
      <c r="S351" s="22" t="str">
        <f>IF(C351="","",C351&amp;I351)</f>
        <v>PixxaroSALIDA</v>
      </c>
      <c r="T351" t="str">
        <f>IF(OR(C351="",I351&lt;&gt;"ENTRADA"),"",TEXT(B351,"AAMMDD")&amp;"-"&amp;TEXT(VALUE(SUBSTITUTE(A351,"MOV-","")),"000"))</f>
        <v/>
      </c>
    </row>
    <row r="352" spans="1:20">
      <c r="A352" s="20" t="s">
        <v>606</v>
      </c>
      <c r="B352" s="47">
        <v>46211</v>
      </c>
      <c r="C352" t="s">
        <v>90</v>
      </c>
      <c r="D352" t="s">
        <v>91</v>
      </c>
      <c r="E352" t="s">
        <v>34</v>
      </c>
      <c r="F352" t="s">
        <v>35</v>
      </c>
      <c r="G352" t="s">
        <v>36</v>
      </c>
      <c r="H352" s="20" t="s">
        <v>375</v>
      </c>
      <c r="I352" t="s">
        <v>65</v>
      </c>
      <c r="J352" s="30">
        <v>100</v>
      </c>
      <c r="K352" s="22">
        <f>IF(I352="","",IF(I352="ENTRADA",ABS(J352),-ABS(J352)))</f>
        <v>-100</v>
      </c>
      <c r="L352" t="s">
        <v>37</v>
      </c>
      <c r="N352">
        <v>65137</v>
      </c>
      <c r="O352" t="s">
        <v>213</v>
      </c>
      <c r="P352">
        <v>1834</v>
      </c>
      <c r="Q352" s="42">
        <v>46218</v>
      </c>
      <c r="R352" s="22" t="str">
        <f>IF(H352="","",H352&amp;I352)</f>
        <v>260405-132SALIDA</v>
      </c>
      <c r="S352" s="22" t="str">
        <f>IF(C352="","",C352&amp;I352)</f>
        <v>PixxaroSALIDA</v>
      </c>
      <c r="T352" t="str">
        <f>IF(OR(C352="",I352&lt;&gt;"ENTRADA"),"",TEXT(B352,"AAMMDD")&amp;"-"&amp;TEXT(VALUE(SUBSTITUTE(A352,"MOV-","")),"000"))</f>
        <v/>
      </c>
    </row>
    <row r="353" spans="1:20">
      <c r="A353" s="20" t="s">
        <v>607</v>
      </c>
      <c r="B353" s="47">
        <v>46211</v>
      </c>
      <c r="C353" s="34" t="s">
        <v>130</v>
      </c>
      <c r="D353" s="34" t="s">
        <v>131</v>
      </c>
      <c r="E353" s="34" t="s">
        <v>132</v>
      </c>
      <c r="F353" s="34"/>
      <c r="G353" s="34" t="s">
        <v>133</v>
      </c>
      <c r="H353" s="20" t="s">
        <v>221</v>
      </c>
      <c r="I353" s="34" t="s">
        <v>65</v>
      </c>
      <c r="J353" s="36">
        <v>30</v>
      </c>
      <c r="K353" s="22">
        <f>IF(I353="","",IF(I353="ENTRADA",ABS(J353),-ABS(J353)))</f>
        <v>-30</v>
      </c>
      <c r="L353" s="34" t="s">
        <v>37</v>
      </c>
      <c r="M353" s="34"/>
      <c r="N353">
        <v>65137</v>
      </c>
      <c r="O353" t="s">
        <v>213</v>
      </c>
      <c r="P353">
        <v>1834</v>
      </c>
      <c r="Q353" s="42">
        <v>46218</v>
      </c>
      <c r="R353" s="22" t="str">
        <f>IF(H353="","",H353&amp;I353)</f>
        <v>260414-029SALIDA</v>
      </c>
      <c r="S353" s="22" t="str">
        <f>IF(C353="","",C353&amp;I353)</f>
        <v>HarrierSALIDA</v>
      </c>
      <c r="T353" t="str">
        <f>IF(OR(C353="",I353&lt;&gt;"ENTRADA"),"",TEXT(B353,"AAMMDD")&amp;"-"&amp;TEXT(VALUE(SUBSTITUTE(A353,"MOV-","")),"000"))</f>
        <v/>
      </c>
    </row>
    <row r="354" spans="1:20">
      <c r="A354" s="20" t="s">
        <v>608</v>
      </c>
      <c r="B354" s="47">
        <v>46211</v>
      </c>
      <c r="C354" t="s">
        <v>137</v>
      </c>
      <c r="D354" t="s">
        <v>138</v>
      </c>
      <c r="E354" t="s">
        <v>132</v>
      </c>
      <c r="G354" t="s">
        <v>133</v>
      </c>
      <c r="H354" s="20" t="s">
        <v>211</v>
      </c>
      <c r="I354" t="s">
        <v>65</v>
      </c>
      <c r="J354" s="30">
        <v>5</v>
      </c>
      <c r="K354" s="22">
        <f>IF(I354="","",IF(I354="ENTRADA",ABS(J354),-ABS(J354)))</f>
        <v>-5</v>
      </c>
      <c r="L354" t="s">
        <v>37</v>
      </c>
      <c r="N354">
        <v>65137</v>
      </c>
      <c r="O354" t="s">
        <v>213</v>
      </c>
      <c r="P354">
        <v>1834</v>
      </c>
      <c r="Q354" s="42">
        <v>46218</v>
      </c>
      <c r="R354" s="22" t="str">
        <f>IF(H354="","",H354&amp;I354)</f>
        <v>260414-030SALIDA</v>
      </c>
      <c r="S354" s="22" t="str">
        <f>IF(C354="","",C354&amp;I354)</f>
        <v>Full controlSALIDA</v>
      </c>
      <c r="T354" t="str">
        <f>IF(OR(C354="",I354&lt;&gt;"ENTRADA"),"",TEXT(B354,"AAMMDD")&amp;"-"&amp;TEXT(VALUE(SUBSTITUTE(A354,"MOV-","")),"000"))</f>
        <v/>
      </c>
    </row>
    <row r="355" spans="1:20">
      <c r="A355" s="20" t="s">
        <v>609</v>
      </c>
      <c r="B355" s="47">
        <v>46217</v>
      </c>
      <c r="C355" t="s">
        <v>75</v>
      </c>
      <c r="D355" t="s">
        <v>76</v>
      </c>
      <c r="E355" t="s">
        <v>34</v>
      </c>
      <c r="F355" t="s">
        <v>35</v>
      </c>
      <c r="G355" t="s">
        <v>77</v>
      </c>
      <c r="H355" s="20" t="s">
        <v>94</v>
      </c>
      <c r="I355" t="s">
        <v>65</v>
      </c>
      <c r="J355" s="30">
        <v>140</v>
      </c>
      <c r="K355" s="22">
        <f>IF(I355="","",IF(I355="ENTRADA",ABS(J355),-ABS(J355)))</f>
        <v>-140</v>
      </c>
      <c r="L355" t="s">
        <v>37</v>
      </c>
      <c r="N355">
        <v>65138</v>
      </c>
      <c r="O355" t="s">
        <v>218</v>
      </c>
      <c r="P355">
        <v>1835</v>
      </c>
      <c r="Q355" s="42">
        <v>46218</v>
      </c>
      <c r="R355" s="22" t="str">
        <f>IF(H355="","",H355&amp;I355)</f>
        <v>260407-012SALIDA</v>
      </c>
      <c r="S355" s="22" t="str">
        <f>IF(C355="","",C355&amp;I355)</f>
        <v>Dedalo eliteSALIDA</v>
      </c>
      <c r="T355" t="str">
        <f>IF(OR(C355="",I355&lt;&gt;"ENTRADA"),"",TEXT(B355,"AAMMDD")&amp;"-"&amp;TEXT(VALUE(SUBSTITUTE(A355,"MOV-","")),"000"))</f>
        <v/>
      </c>
    </row>
    <row r="356" spans="1:20">
      <c r="A356" s="20" t="s">
        <v>610</v>
      </c>
      <c r="B356" s="47">
        <v>46217</v>
      </c>
      <c r="C356" t="s">
        <v>130</v>
      </c>
      <c r="D356" t="s">
        <v>131</v>
      </c>
      <c r="E356" t="s">
        <v>132</v>
      </c>
      <c r="G356" t="s">
        <v>133</v>
      </c>
      <c r="H356" s="20" t="s">
        <v>221</v>
      </c>
      <c r="I356" t="s">
        <v>65</v>
      </c>
      <c r="J356" s="30">
        <v>25</v>
      </c>
      <c r="K356" s="22">
        <f>IF(I356="","",IF(I356="ENTRADA",ABS(J356),-ABS(J356)))</f>
        <v>-25</v>
      </c>
      <c r="L356" t="s">
        <v>37</v>
      </c>
      <c r="N356">
        <v>65138</v>
      </c>
      <c r="O356" t="s">
        <v>218</v>
      </c>
      <c r="P356">
        <v>1835</v>
      </c>
      <c r="Q356" s="42">
        <v>46218</v>
      </c>
      <c r="R356" s="22" t="str">
        <f>IF(H356="","",H356&amp;I356)</f>
        <v>260414-029SALIDA</v>
      </c>
      <c r="S356" s="22" t="str">
        <f>IF(C356="","",C356&amp;I356)</f>
        <v>HarrierSALIDA</v>
      </c>
      <c r="T356" t="str">
        <f>IF(OR(C356="",I356&lt;&gt;"ENTRADA"),"",TEXT(B356,"AAMMDD")&amp;"-"&amp;TEXT(VALUE(SUBSTITUTE(A356,"MOV-","")),"000"))</f>
        <v/>
      </c>
    </row>
    <row r="357" spans="1:20">
      <c r="A357" s="20" t="s">
        <v>611</v>
      </c>
      <c r="B357" s="47">
        <v>46217</v>
      </c>
      <c r="C357" t="s">
        <v>137</v>
      </c>
      <c r="D357" t="s">
        <v>138</v>
      </c>
      <c r="E357" t="s">
        <v>132</v>
      </c>
      <c r="G357" t="s">
        <v>133</v>
      </c>
      <c r="H357" s="20" t="s">
        <v>211</v>
      </c>
      <c r="I357" t="s">
        <v>65</v>
      </c>
      <c r="J357" s="30">
        <v>5</v>
      </c>
      <c r="K357" s="22">
        <f>IF(I357="","",IF(I357="ENTRADA",ABS(J357),-ABS(J357)))</f>
        <v>-5</v>
      </c>
      <c r="L357" t="s">
        <v>37</v>
      </c>
      <c r="N357">
        <v>65138</v>
      </c>
      <c r="O357" t="s">
        <v>218</v>
      </c>
      <c r="P357">
        <v>1835</v>
      </c>
      <c r="Q357" s="42">
        <v>46218</v>
      </c>
      <c r="R357" s="22" t="str">
        <f>IF(H357="","",H357&amp;I357)</f>
        <v>260414-030SALIDA</v>
      </c>
      <c r="S357" s="22" t="str">
        <f>IF(C357="","",C357&amp;I357)</f>
        <v>Full controlSALIDA</v>
      </c>
      <c r="T357" t="str">
        <f>IF(OR(C357="",I357&lt;&gt;"ENTRADA"),"",TEXT(B357,"AAMMDD")&amp;"-"&amp;TEXT(VALUE(SUBSTITUTE(A357,"MOV-","")),"000"))</f>
        <v/>
      </c>
    </row>
    <row r="358" spans="1:20">
      <c r="A358" s="20" t="s">
        <v>612</v>
      </c>
      <c r="B358" s="47">
        <v>46217</v>
      </c>
      <c r="C358" t="s">
        <v>491</v>
      </c>
      <c r="D358" t="s">
        <v>492</v>
      </c>
      <c r="E358" t="s">
        <v>493</v>
      </c>
      <c r="G358" t="s">
        <v>36</v>
      </c>
      <c r="H358" s="20" t="s">
        <v>495</v>
      </c>
      <c r="I358" t="s">
        <v>65</v>
      </c>
      <c r="J358" s="30">
        <v>240</v>
      </c>
      <c r="K358" s="22">
        <f>IF(I358="","",IF(I358="ENTRADA",ABS(J358),-ABS(J358)))</f>
        <v>-240</v>
      </c>
      <c r="L358" t="s">
        <v>37</v>
      </c>
      <c r="N358">
        <v>65138</v>
      </c>
      <c r="O358" t="s">
        <v>218</v>
      </c>
      <c r="P358">
        <v>1835</v>
      </c>
      <c r="Q358" s="42">
        <v>46218</v>
      </c>
      <c r="R358" s="22" t="str">
        <f>IF(H358="","",H358&amp;I358)</f>
        <v>260610-265SALIDA</v>
      </c>
      <c r="S358" s="22" t="str">
        <f>IF(C358="","",C358&amp;I358)</f>
        <v>Zinc Plus SALIDA</v>
      </c>
      <c r="T358" t="str">
        <f>IF(OR(C358="",I358&lt;&gt;"ENTRADA"),"",TEXT(B358,"AAMMDD")&amp;"-"&amp;TEXT(VALUE(SUBSTITUTE(A358,"MOV-","")),"000"))</f>
        <v/>
      </c>
    </row>
    <row r="359" spans="1:20">
      <c r="A359" s="20" t="s">
        <v>613</v>
      </c>
      <c r="B359" s="47">
        <v>46209</v>
      </c>
      <c r="C359" t="s">
        <v>122</v>
      </c>
      <c r="D359" t="s">
        <v>123</v>
      </c>
      <c r="E359" t="s">
        <v>34</v>
      </c>
      <c r="F359" t="s">
        <v>35</v>
      </c>
      <c r="G359" t="s">
        <v>117</v>
      </c>
      <c r="H359" s="20" t="s">
        <v>203</v>
      </c>
      <c r="I359" t="s">
        <v>65</v>
      </c>
      <c r="J359" s="30">
        <v>560</v>
      </c>
      <c r="K359" s="22">
        <f>IF(I359="","",IF(I359="ENTRADA",ABS(J359),-ABS(J359)))</f>
        <v>-560</v>
      </c>
      <c r="L359" t="s">
        <v>37</v>
      </c>
      <c r="N359">
        <v>65134</v>
      </c>
      <c r="O359" t="s">
        <v>382</v>
      </c>
      <c r="P359">
        <v>1836</v>
      </c>
      <c r="Q359" s="42">
        <v>46218</v>
      </c>
      <c r="R359" s="22" t="str">
        <f>IF(H359="","",H359&amp;I359)</f>
        <v>260410-027SALIDA</v>
      </c>
      <c r="S359" s="22" t="str">
        <f>IF(C359="","",C359&amp;I359)</f>
        <v>PardoSALIDA</v>
      </c>
      <c r="T359" t="str">
        <f>IF(OR(C359="",I359&lt;&gt;"ENTRADA"),"",TEXT(B359,"AAMMDD")&amp;"-"&amp;TEXT(VALUE(SUBSTITUTE(A359,"MOV-","")),"000"))</f>
        <v/>
      </c>
    </row>
    <row r="360" spans="1:20">
      <c r="A360" s="20" t="s">
        <v>614</v>
      </c>
      <c r="B360" s="47">
        <v>46209</v>
      </c>
      <c r="C360" t="s">
        <v>576</v>
      </c>
      <c r="D360" t="s">
        <v>577</v>
      </c>
      <c r="E360" t="s">
        <v>578</v>
      </c>
      <c r="G360" t="s">
        <v>158</v>
      </c>
      <c r="H360" s="20" t="s">
        <v>589</v>
      </c>
      <c r="I360" t="s">
        <v>65</v>
      </c>
      <c r="J360" s="30">
        <v>340</v>
      </c>
      <c r="K360" s="22">
        <f>IF(I360="","",IF(I360="ENTRADA",ABS(J360),-ABS(J360)))</f>
        <v>-340</v>
      </c>
      <c r="L360" t="s">
        <v>37</v>
      </c>
      <c r="N360">
        <v>65134</v>
      </c>
      <c r="O360" t="s">
        <v>382</v>
      </c>
      <c r="P360">
        <v>1836</v>
      </c>
      <c r="Q360" s="42">
        <v>46218</v>
      </c>
      <c r="R360" s="22" t="str">
        <f>IF(H360="","",H360&amp;I360)</f>
        <v>260702-328SALIDA</v>
      </c>
      <c r="S360" s="22" t="str">
        <f>IF(C360="","",C360&amp;I360)</f>
        <v>AcrecioSALIDA</v>
      </c>
      <c r="T360" t="str">
        <f>IF(OR(C360="",I360&lt;&gt;"ENTRADA"),"",TEXT(B360,"AAMMDD")&amp;"-"&amp;TEXT(VALUE(SUBSTITUTE(A360,"MOV-","")),"000"))</f>
        <v/>
      </c>
    </row>
    <row r="361" spans="1:20">
      <c r="A361" s="20" t="s">
        <v>615</v>
      </c>
      <c r="B361" s="47">
        <v>46209</v>
      </c>
      <c r="C361" t="s">
        <v>130</v>
      </c>
      <c r="D361" t="s">
        <v>131</v>
      </c>
      <c r="E361" t="s">
        <v>132</v>
      </c>
      <c r="G361" t="s">
        <v>133</v>
      </c>
      <c r="H361" s="20" t="s">
        <v>221</v>
      </c>
      <c r="I361" t="s">
        <v>65</v>
      </c>
      <c r="J361" s="30">
        <v>90</v>
      </c>
      <c r="K361" s="22">
        <f>IF(I361="","",IF(I361="ENTRADA",ABS(J361),-ABS(J361)))</f>
        <v>-90</v>
      </c>
      <c r="L361" t="s">
        <v>37</v>
      </c>
      <c r="N361">
        <v>65134</v>
      </c>
      <c r="O361" t="s">
        <v>382</v>
      </c>
      <c r="P361">
        <v>1836</v>
      </c>
      <c r="Q361" s="42">
        <v>46218</v>
      </c>
      <c r="R361" s="22" t="str">
        <f>IF(H361="","",H361&amp;I361)</f>
        <v>260414-029SALIDA</v>
      </c>
      <c r="S361" s="22" t="str">
        <f>IF(C361="","",C361&amp;I361)</f>
        <v>HarrierSALIDA</v>
      </c>
      <c r="T361" t="str">
        <f>IF(OR(C361="",I361&lt;&gt;"ENTRADA"),"",TEXT(B361,"AAMMDD")&amp;"-"&amp;TEXT(VALUE(SUBSTITUTE(A361,"MOV-","")),"000"))</f>
        <v/>
      </c>
    </row>
    <row r="362" spans="1:20">
      <c r="A362" s="20" t="s">
        <v>616</v>
      </c>
      <c r="B362" s="47">
        <v>46209</v>
      </c>
      <c r="C362" t="s">
        <v>137</v>
      </c>
      <c r="D362" t="s">
        <v>138</v>
      </c>
      <c r="E362" t="s">
        <v>132</v>
      </c>
      <c r="G362" t="s">
        <v>133</v>
      </c>
      <c r="H362" s="20" t="s">
        <v>211</v>
      </c>
      <c r="I362" t="s">
        <v>65</v>
      </c>
      <c r="J362" s="30">
        <v>15</v>
      </c>
      <c r="K362" s="22">
        <f>IF(I362="","",IF(I362="ENTRADA",ABS(J362),-ABS(J362)))</f>
        <v>-15</v>
      </c>
      <c r="L362" t="s">
        <v>37</v>
      </c>
      <c r="N362">
        <v>65134</v>
      </c>
      <c r="O362" t="s">
        <v>382</v>
      </c>
      <c r="P362">
        <v>1836</v>
      </c>
      <c r="Q362" s="42">
        <v>46218</v>
      </c>
      <c r="R362" s="22" t="str">
        <f>IF(H362="","",H362&amp;I362)</f>
        <v>260414-030SALIDA</v>
      </c>
      <c r="S362" s="22" t="str">
        <f>IF(C362="","",C362&amp;I362)</f>
        <v>Full controlSALIDA</v>
      </c>
      <c r="T362" t="str">
        <f>IF(OR(C362="",I362&lt;&gt;"ENTRADA"),"",TEXT(B362,"AAMMDD")&amp;"-"&amp;TEXT(VALUE(SUBSTITUTE(A362,"MOV-","")),"000"))</f>
        <v/>
      </c>
    </row>
    <row r="363" spans="1:20">
      <c r="A363" s="20" t="s">
        <v>617</v>
      </c>
      <c r="B363" s="47">
        <v>46209</v>
      </c>
      <c r="C363" t="s">
        <v>580</v>
      </c>
      <c r="G363" t="s">
        <v>158</v>
      </c>
      <c r="H363" s="20" t="s">
        <v>618</v>
      </c>
      <c r="I363" t="s">
        <v>65</v>
      </c>
      <c r="J363" s="30">
        <v>10</v>
      </c>
      <c r="K363" s="22">
        <f>IF(I363="","",IF(I363="ENTRADA",ABS(J363),-ABS(J363)))</f>
        <v>-10</v>
      </c>
      <c r="L363" t="s">
        <v>37</v>
      </c>
      <c r="M363" s="47">
        <v>47146</v>
      </c>
      <c r="N363">
        <v>65134</v>
      </c>
      <c r="O363" t="s">
        <v>382</v>
      </c>
      <c r="P363">
        <v>1836</v>
      </c>
      <c r="Q363" s="42">
        <v>46218</v>
      </c>
      <c r="R363" s="22" t="str">
        <f>IF(H363="","",H363&amp;I363)</f>
        <v>260702-329SALIDA</v>
      </c>
      <c r="S363" s="22" t="str">
        <f>IF(C363="","",C363&amp;I363)</f>
        <v>Bioavanza plus SALIDA</v>
      </c>
      <c r="T363" t="str">
        <f>IF(OR(C363="",I363&lt;&gt;"ENTRADA"),"",TEXT(B363,"AAMMDD")&amp;"-"&amp;TEXT(VALUE(SUBSTITUTE(A363,"MOV-","")),"000"))</f>
        <v/>
      </c>
    </row>
    <row r="364" spans="1:20">
      <c r="A364" s="20" t="s">
        <v>619</v>
      </c>
      <c r="B364" s="47">
        <v>46209</v>
      </c>
      <c r="C364" s="34" t="s">
        <v>32</v>
      </c>
      <c r="D364" s="34" t="s">
        <v>105</v>
      </c>
      <c r="E364" s="34" t="s">
        <v>34</v>
      </c>
      <c r="F364" s="34" t="s">
        <v>35</v>
      </c>
      <c r="G364" s="34"/>
      <c r="H364" s="20" t="s">
        <v>106</v>
      </c>
      <c r="I364" s="34" t="s">
        <v>65</v>
      </c>
      <c r="J364" s="36">
        <v>235</v>
      </c>
      <c r="K364" s="22">
        <f>IF(I364="","",IF(I364="ENTRADA",ABS(J364),-ABS(J364)))</f>
        <v>-235</v>
      </c>
      <c r="L364" s="34" t="s">
        <v>37</v>
      </c>
      <c r="M364" s="34"/>
      <c r="N364">
        <v>65134</v>
      </c>
      <c r="O364" t="s">
        <v>382</v>
      </c>
      <c r="P364">
        <v>1836</v>
      </c>
      <c r="Q364" s="42">
        <v>46218</v>
      </c>
      <c r="R364" s="22" t="str">
        <f>IF(H364="","",H364&amp;I364)</f>
        <v>260401-002SALIDA</v>
      </c>
      <c r="S364" s="22" t="str">
        <f>IF(C364="","",C364&amp;I364)</f>
        <v>KorvettoSALIDA</v>
      </c>
      <c r="T364" t="str">
        <f>IF(OR(C364="",I364&lt;&gt;"ENTRADA"),"",TEXT(B364,"AAMMDD")&amp;"-"&amp;TEXT(VALUE(SUBSTITUTE(A364,"MOV-","")),"000"))</f>
        <v/>
      </c>
    </row>
    <row r="365" spans="1:20">
      <c r="A365" s="20" t="s">
        <v>620</v>
      </c>
      <c r="B365" s="47">
        <v>46209</v>
      </c>
      <c r="C365" t="s">
        <v>580</v>
      </c>
      <c r="G365" t="s">
        <v>158</v>
      </c>
      <c r="H365" s="20" t="s">
        <v>618</v>
      </c>
      <c r="I365" t="s">
        <v>65</v>
      </c>
      <c r="J365" s="30">
        <v>2</v>
      </c>
      <c r="K365" s="22">
        <f>IF(I365="","",IF(I365="ENTRADA",ABS(J365),-ABS(J365)))</f>
        <v>-2</v>
      </c>
      <c r="L365" t="s">
        <v>37</v>
      </c>
      <c r="N365">
        <v>65132</v>
      </c>
      <c r="O365" t="s">
        <v>590</v>
      </c>
      <c r="P365">
        <v>1823</v>
      </c>
      <c r="Q365" s="42">
        <v>46209</v>
      </c>
      <c r="R365" s="22" t="str">
        <f>IF(H365="","",H365&amp;I365)</f>
        <v>260702-329SALIDA</v>
      </c>
      <c r="S365" s="22" t="str">
        <f>IF(C365="","",C365&amp;I365)</f>
        <v>Bioavanza plus SALIDA</v>
      </c>
      <c r="T365" t="str">
        <f>IF(OR(C365="",I365&lt;&gt;"ENTRADA"),"",TEXT(B365,"AAMMDD")&amp;"-"&amp;TEXT(VALUE(SUBSTITUTE(A365,"MOV-","")),"000"))</f>
        <v/>
      </c>
    </row>
    <row r="366" spans="1:20">
      <c r="A366" s="20" t="s">
        <v>621</v>
      </c>
      <c r="B366" s="47">
        <v>46218</v>
      </c>
      <c r="C366" t="s">
        <v>147</v>
      </c>
      <c r="D366" t="s">
        <v>148</v>
      </c>
      <c r="E366" t="s">
        <v>34</v>
      </c>
      <c r="F366" t="s">
        <v>35</v>
      </c>
      <c r="G366" t="s">
        <v>36</v>
      </c>
      <c r="H366" s="20" t="s">
        <v>563</v>
      </c>
      <c r="I366" t="s">
        <v>65</v>
      </c>
      <c r="J366" s="30">
        <v>60</v>
      </c>
      <c r="K366" s="22">
        <f>IF(I366="","",IF(I366="ENTRADA",ABS(J366),-ABS(J366)))</f>
        <v>-60</v>
      </c>
      <c r="L366" t="s">
        <v>37</v>
      </c>
      <c r="N366">
        <v>65139</v>
      </c>
      <c r="O366" t="s">
        <v>218</v>
      </c>
      <c r="P366">
        <v>1837</v>
      </c>
      <c r="Q366" s="42">
        <v>46219</v>
      </c>
      <c r="R366" s="22" t="str">
        <f>IF(H366="","",H366&amp;I366)</f>
        <v>260415-032SALIDA</v>
      </c>
      <c r="S366" s="22" t="str">
        <f>IF(C366="","",C366&amp;I366)</f>
        <v>AxialSALIDA</v>
      </c>
      <c r="T366" t="str">
        <f>IF(OR(C366="",I366&lt;&gt;"ENTRADA"),"",TEXT(B366,"AAMMDD")&amp;"-"&amp;TEXT(VALUE(SUBSTITUTE(A366,"MOV-","")),"000"))</f>
        <v/>
      </c>
    </row>
    <row r="367" spans="1:20">
      <c r="A367" s="20" t="s">
        <v>622</v>
      </c>
      <c r="B367" s="47">
        <v>46218</v>
      </c>
      <c r="C367" t="s">
        <v>75</v>
      </c>
      <c r="D367" t="s">
        <v>76</v>
      </c>
      <c r="E367" t="s">
        <v>34</v>
      </c>
      <c r="F367" t="s">
        <v>35</v>
      </c>
      <c r="G367" t="s">
        <v>77</v>
      </c>
      <c r="H367" s="20" t="s">
        <v>94</v>
      </c>
      <c r="I367" t="s">
        <v>65</v>
      </c>
      <c r="J367" s="30">
        <v>120</v>
      </c>
      <c r="K367" s="22">
        <f>IF(I367="","",IF(I367="ENTRADA",ABS(J367),-ABS(J367)))</f>
        <v>-120</v>
      </c>
      <c r="L367" t="s">
        <v>37</v>
      </c>
      <c r="N367">
        <v>65139</v>
      </c>
      <c r="O367" t="s">
        <v>218</v>
      </c>
      <c r="P367">
        <v>1837</v>
      </c>
      <c r="Q367" s="42">
        <v>46219</v>
      </c>
      <c r="R367" s="22" t="str">
        <f>IF(H367="","",H367&amp;I367)</f>
        <v>260407-012SALIDA</v>
      </c>
      <c r="S367" s="22" t="str">
        <f>IF(C367="","",C367&amp;I367)</f>
        <v>Dedalo eliteSALIDA</v>
      </c>
      <c r="T367" t="str">
        <f>IF(OR(C367="",I367&lt;&gt;"ENTRADA"),"",TEXT(B367,"AAMMDD")&amp;"-"&amp;TEXT(VALUE(SUBSTITUTE(A367,"MOV-","")),"000"))</f>
        <v/>
      </c>
    </row>
    <row r="368" spans="1:20">
      <c r="A368" s="20" t="s">
        <v>623</v>
      </c>
      <c r="B368" s="47">
        <v>46218</v>
      </c>
      <c r="C368" t="s">
        <v>130</v>
      </c>
      <c r="D368" t="s">
        <v>131</v>
      </c>
      <c r="E368" t="s">
        <v>132</v>
      </c>
      <c r="G368" t="s">
        <v>133</v>
      </c>
      <c r="H368" s="20" t="s">
        <v>221</v>
      </c>
      <c r="I368" t="s">
        <v>65</v>
      </c>
      <c r="J368" s="30">
        <v>60</v>
      </c>
      <c r="K368" s="22">
        <f>IF(I368="","",IF(I368="ENTRADA",ABS(J368),-ABS(J368)))</f>
        <v>-60</v>
      </c>
      <c r="L368" t="s">
        <v>37</v>
      </c>
      <c r="N368">
        <v>65139</v>
      </c>
      <c r="O368" t="s">
        <v>218</v>
      </c>
      <c r="P368">
        <v>1837</v>
      </c>
      <c r="Q368" s="42">
        <v>46219</v>
      </c>
      <c r="R368" s="22" t="str">
        <f>IF(H368="","",H368&amp;I368)</f>
        <v>260414-029SALIDA</v>
      </c>
      <c r="S368" s="22" t="str">
        <f>IF(C368="","",C368&amp;I368)</f>
        <v>HarrierSALIDA</v>
      </c>
      <c r="T368" t="str">
        <f>IF(OR(C368="",I368&lt;&gt;"ENTRADA"),"",TEXT(B368,"AAMMDD")&amp;"-"&amp;TEXT(VALUE(SUBSTITUTE(A368,"MOV-","")),"000"))</f>
        <v/>
      </c>
    </row>
    <row r="369" spans="1:20">
      <c r="A369" s="20" t="s">
        <v>624</v>
      </c>
      <c r="B369" s="47">
        <v>46218</v>
      </c>
      <c r="C369" t="s">
        <v>137</v>
      </c>
      <c r="D369" t="s">
        <v>138</v>
      </c>
      <c r="E369" t="s">
        <v>132</v>
      </c>
      <c r="G369" t="s">
        <v>133</v>
      </c>
      <c r="H369" s="20" t="s">
        <v>211</v>
      </c>
      <c r="I369" t="s">
        <v>65</v>
      </c>
      <c r="J369" s="30">
        <v>12</v>
      </c>
      <c r="K369" s="22">
        <f>IF(I369="","",IF(I369="ENTRADA",ABS(J369),-ABS(J369)))</f>
        <v>-12</v>
      </c>
      <c r="L369" t="s">
        <v>37</v>
      </c>
      <c r="N369">
        <v>65139</v>
      </c>
      <c r="O369" t="s">
        <v>218</v>
      </c>
      <c r="P369">
        <v>1837</v>
      </c>
      <c r="Q369" s="42">
        <v>46219</v>
      </c>
      <c r="R369" s="22" t="str">
        <f>IF(H369="","",H369&amp;I369)</f>
        <v>260414-030SALIDA</v>
      </c>
      <c r="S369" s="22" t="str">
        <f>IF(C369="","",C369&amp;I369)</f>
        <v>Full controlSALIDA</v>
      </c>
      <c r="T369" t="str">
        <f>IF(OR(C369="",I369&lt;&gt;"ENTRADA"),"",TEXT(B369,"AAMMDD")&amp;"-"&amp;TEXT(VALUE(SUBSTITUTE(A369,"MOV-","")),"000"))</f>
        <v/>
      </c>
    </row>
    <row r="370" spans="1:20">
      <c r="A370" s="20" t="s">
        <v>625</v>
      </c>
      <c r="B370" s="47">
        <v>46218</v>
      </c>
      <c r="C370" t="s">
        <v>54</v>
      </c>
      <c r="D370" t="s">
        <v>55</v>
      </c>
      <c r="E370" t="s">
        <v>34</v>
      </c>
      <c r="F370" t="s">
        <v>35</v>
      </c>
      <c r="G370" t="s">
        <v>36</v>
      </c>
      <c r="H370" s="20" t="s">
        <v>97</v>
      </c>
      <c r="I370" t="s">
        <v>65</v>
      </c>
      <c r="J370" s="30">
        <v>8</v>
      </c>
      <c r="K370" s="22">
        <f>IF(I370="","",IF(I370="ENTRADA",ABS(J370),-ABS(J370)))</f>
        <v>-8</v>
      </c>
      <c r="L370" t="s">
        <v>56</v>
      </c>
      <c r="N370">
        <v>65139</v>
      </c>
      <c r="O370" t="s">
        <v>218</v>
      </c>
      <c r="P370">
        <v>1837</v>
      </c>
      <c r="Q370" s="42">
        <v>46219</v>
      </c>
      <c r="R370" s="22" t="str">
        <f>IF(H370="","",H370&amp;I370)</f>
        <v>260401-007SALIDA</v>
      </c>
      <c r="S370" s="22" t="str">
        <f>IF(C370="","",C370&amp;I370)</f>
        <v>TronadorSALIDA</v>
      </c>
      <c r="T370" t="str">
        <f>IF(OR(C370="",I370&lt;&gt;"ENTRADA"),"",TEXT(B370,"AAMMDD")&amp;"-"&amp;TEXT(VALUE(SUBSTITUTE(A370,"MOV-","")),"000"))</f>
        <v/>
      </c>
    </row>
    <row r="371" spans="1:20">
      <c r="A371" s="20" t="s">
        <v>626</v>
      </c>
      <c r="B371" s="47">
        <v>46219</v>
      </c>
      <c r="C371" t="s">
        <v>491</v>
      </c>
      <c r="D371" t="s">
        <v>492</v>
      </c>
      <c r="E371" t="s">
        <v>493</v>
      </c>
      <c r="G371" t="s">
        <v>36</v>
      </c>
      <c r="H371" s="20" t="s">
        <v>495</v>
      </c>
      <c r="I371" t="s">
        <v>65</v>
      </c>
      <c r="J371" s="30">
        <v>100</v>
      </c>
      <c r="K371" s="22">
        <f>IF(I371="","",IF(I371="ENTRADA",ABS(J371),-ABS(J371)))</f>
        <v>-100</v>
      </c>
      <c r="L371" t="s">
        <v>37</v>
      </c>
      <c r="N371">
        <v>65141</v>
      </c>
      <c r="O371" t="s">
        <v>237</v>
      </c>
      <c r="P371">
        <v>1839</v>
      </c>
      <c r="Q371" s="42">
        <v>46219</v>
      </c>
      <c r="R371" s="22" t="str">
        <f>IF(H371="","",H371&amp;I371)</f>
        <v>260610-265SALIDA</v>
      </c>
      <c r="S371" s="22" t="str">
        <f>IF(C371="","",C371&amp;I371)</f>
        <v>Zinc Plus SALIDA</v>
      </c>
      <c r="T371" t="str">
        <f>IF(OR(C371="",I371&lt;&gt;"ENTRADA"),"",TEXT(B371,"AAMMDD")&amp;"-"&amp;TEXT(VALUE(SUBSTITUTE(A371,"MOV-","")),"000"))</f>
        <v/>
      </c>
    </row>
    <row r="372" spans="1:20">
      <c r="A372" s="20" t="s">
        <v>627</v>
      </c>
      <c r="B372" s="47">
        <v>46219</v>
      </c>
      <c r="C372" t="s">
        <v>534</v>
      </c>
      <c r="D372" t="s">
        <v>535</v>
      </c>
      <c r="E372" t="s">
        <v>34</v>
      </c>
      <c r="F372" t="s">
        <v>35</v>
      </c>
      <c r="G372" t="s">
        <v>36</v>
      </c>
      <c r="H372" s="20" t="s">
        <v>560</v>
      </c>
      <c r="I372" t="s">
        <v>65</v>
      </c>
      <c r="J372" s="30">
        <v>3</v>
      </c>
      <c r="K372" s="22">
        <f>IF(I372="","",IF(I372="ENTRADA",ABS(J372),-ABS(J372)))</f>
        <v>-3</v>
      </c>
      <c r="L372" t="s">
        <v>29</v>
      </c>
      <c r="N372">
        <v>65141</v>
      </c>
      <c r="O372" t="s">
        <v>237</v>
      </c>
      <c r="P372">
        <v>1839</v>
      </c>
      <c r="Q372" s="42">
        <v>46219</v>
      </c>
      <c r="R372" s="22" t="str">
        <f>IF(H372="","",H372&amp;I372)</f>
        <v>260623-295SALIDA</v>
      </c>
      <c r="S372" s="22" t="str">
        <f>IF(C372="","",C372&amp;I372)</f>
        <v>ParadigmSALIDA</v>
      </c>
      <c r="T372" t="str">
        <f>IF(OR(C372="",I372&lt;&gt;"ENTRADA"),"",TEXT(B372,"AAMMDD")&amp;"-"&amp;TEXT(VALUE(SUBSTITUTE(A372,"MOV-","")),"000"))</f>
        <v/>
      </c>
    </row>
    <row r="373" spans="1:20">
      <c r="A373" s="20" t="s">
        <v>628</v>
      </c>
      <c r="B373" s="47">
        <v>46190</v>
      </c>
      <c r="C373" t="s">
        <v>629</v>
      </c>
      <c r="D373" t="s">
        <v>630</v>
      </c>
      <c r="E373" t="s">
        <v>25</v>
      </c>
      <c r="F373" t="s">
        <v>631</v>
      </c>
      <c r="G373" t="s">
        <v>158</v>
      </c>
      <c r="H373" s="20" t="str">
        <f>+T373</f>
        <v>260617-373</v>
      </c>
      <c r="I373" t="s">
        <v>28</v>
      </c>
      <c r="J373" s="30">
        <v>438</v>
      </c>
      <c r="K373" s="22">
        <f>IF(I373="","",IF(I373="ENTRADA",ABS(J373),-ABS(J373)))</f>
        <v>438</v>
      </c>
      <c r="L373" t="s">
        <v>632</v>
      </c>
      <c r="N373">
        <v>133477</v>
      </c>
      <c r="P373">
        <v>14957</v>
      </c>
      <c r="Q373" s="42">
        <v>46240</v>
      </c>
      <c r="R373" s="22" t="str">
        <f>IF(H373="","",H373&amp;I373)</f>
        <v>260617-373ENTRADA</v>
      </c>
      <c r="S373" s="22" t="str">
        <f>IF(C373="","",C373&amp;I373)</f>
        <v>semilla maiz DK 69-62 TREENTRADA</v>
      </c>
      <c r="T373" t="str">
        <f>IF(OR(C373="",I373&lt;&gt;"ENTRADA"),"",TEXT(B373,"AAMMDD")&amp;"-"&amp;TEXT(VALUE(SUBSTITUTE(A373,"MOV-","")),"000"))</f>
        <v>260617-373</v>
      </c>
    </row>
    <row r="374" spans="1:20">
      <c r="A374" s="20" t="s">
        <v>633</v>
      </c>
      <c r="B374" s="47">
        <v>46190</v>
      </c>
      <c r="C374" t="s">
        <v>634</v>
      </c>
      <c r="D374" t="s">
        <v>630</v>
      </c>
      <c r="E374" t="s">
        <v>25</v>
      </c>
      <c r="F374" t="s">
        <v>631</v>
      </c>
      <c r="G374" t="s">
        <v>158</v>
      </c>
      <c r="H374" s="20" t="str">
        <f>+T374</f>
        <v>260617-374</v>
      </c>
      <c r="I374" t="s">
        <v>28</v>
      </c>
      <c r="J374" s="30">
        <v>66</v>
      </c>
      <c r="K374" s="22">
        <f>IF(I374="","",IF(I374="ENTRADA",ABS(J374),-ABS(J374)))</f>
        <v>66</v>
      </c>
      <c r="L374" t="s">
        <v>632</v>
      </c>
      <c r="N374">
        <v>133477</v>
      </c>
      <c r="P374">
        <v>14957</v>
      </c>
      <c r="Q374" s="42">
        <v>46240</v>
      </c>
      <c r="R374" s="22" t="str">
        <f>IF(H374="","",H374&amp;I374)</f>
        <v>260617-374ENTRADA</v>
      </c>
      <c r="S374" s="22" t="str">
        <f>IF(C374="","",C374&amp;I374)</f>
        <v>semilla maiz DK 72-10 RR2C5 refugioENTRADA</v>
      </c>
      <c r="T374" t="str">
        <f>IF(OR(C374="",I374&lt;&gt;"ENTRADA"),"",TEXT(B374,"AAMMDD")&amp;"-"&amp;TEXT(VALUE(SUBSTITUTE(A374,"MOV-","")),"000"))</f>
        <v>260617-374</v>
      </c>
    </row>
    <row r="375" spans="1:20">
      <c r="A375" s="20" t="s">
        <v>635</v>
      </c>
      <c r="B375" s="47">
        <v>46190</v>
      </c>
      <c r="C375" s="34" t="s">
        <v>636</v>
      </c>
      <c r="D375" s="34" t="s">
        <v>630</v>
      </c>
      <c r="E375" s="34" t="s">
        <v>25</v>
      </c>
      <c r="F375" s="34" t="s">
        <v>631</v>
      </c>
      <c r="G375" s="34" t="s">
        <v>158</v>
      </c>
      <c r="H375" s="20" t="str">
        <f>+T375</f>
        <v>260617-375</v>
      </c>
      <c r="I375" s="34" t="s">
        <v>28</v>
      </c>
      <c r="J375" s="36">
        <v>196</v>
      </c>
      <c r="K375" s="22">
        <f>IF(I375="","",IF(I375="ENTRADA",ABS(J375),-ABS(J375)))</f>
        <v>196</v>
      </c>
      <c r="L375" s="34" t="s">
        <v>632</v>
      </c>
      <c r="M375" s="34"/>
      <c r="N375">
        <v>133477</v>
      </c>
      <c r="O375" s="34"/>
      <c r="P375">
        <v>14957</v>
      </c>
      <c r="Q375" s="42">
        <v>46240</v>
      </c>
      <c r="R375" s="22" t="str">
        <f>IF(H375="","",H375&amp;I375)</f>
        <v>260617-375ENTRADA</v>
      </c>
      <c r="S375" s="22" t="str">
        <f>IF(C375="","",C375&amp;I375)</f>
        <v>semilla maiz DK 73-03 TREENTRADA</v>
      </c>
      <c r="T375" t="str">
        <f>IF(OR(C375="",I375&lt;&gt;"ENTRADA"),"",TEXT(B375,"AAMMDD")&amp;"-"&amp;TEXT(VALUE(SUBSTITUTE(A375,"MOV-","")),"000"))</f>
        <v>260617-375</v>
      </c>
    </row>
    <row r="376" spans="1:20">
      <c r="A376" s="20" t="s">
        <v>637</v>
      </c>
      <c r="B376" s="47">
        <v>46224</v>
      </c>
      <c r="C376" t="s">
        <v>130</v>
      </c>
      <c r="D376" t="s">
        <v>131</v>
      </c>
      <c r="E376" t="s">
        <v>132</v>
      </c>
      <c r="G376" t="s">
        <v>133</v>
      </c>
      <c r="H376" s="20" t="s">
        <v>221</v>
      </c>
      <c r="I376" t="s">
        <v>65</v>
      </c>
      <c r="J376" s="30">
        <v>80</v>
      </c>
      <c r="K376" s="22">
        <f>IF(I376="","",IF(I376="ENTRADA",ABS(J376),-ABS(J376)))</f>
        <v>-80</v>
      </c>
      <c r="L376" t="s">
        <v>37</v>
      </c>
      <c r="N376">
        <v>65142</v>
      </c>
      <c r="O376" t="s">
        <v>237</v>
      </c>
      <c r="P376">
        <v>1843</v>
      </c>
      <c r="Q376" s="42">
        <v>46224</v>
      </c>
      <c r="R376" s="22" t="str">
        <f>IF(H376="","",H376&amp;I376)</f>
        <v>260414-029SALIDA</v>
      </c>
      <c r="S376" s="22" t="str">
        <f>IF(C376="","",C376&amp;I376)</f>
        <v>HarrierSALIDA</v>
      </c>
      <c r="T376" t="str">
        <f>IF(OR(C376="",I376&lt;&gt;"ENTRADA"),"",TEXT(B376,"AAMMDD")&amp;"-"&amp;TEXT(VALUE(SUBSTITUTE(A376,"MOV-","")),"000"))</f>
        <v/>
      </c>
    </row>
    <row r="377" spans="1:20">
      <c r="A377" s="20" t="s">
        <v>638</v>
      </c>
      <c r="B377" s="47">
        <v>46224</v>
      </c>
      <c r="C377" t="s">
        <v>137</v>
      </c>
      <c r="D377" t="s">
        <v>138</v>
      </c>
      <c r="E377" t="s">
        <v>132</v>
      </c>
      <c r="G377" t="s">
        <v>133</v>
      </c>
      <c r="H377" s="20" t="s">
        <v>211</v>
      </c>
      <c r="I377" t="s">
        <v>65</v>
      </c>
      <c r="J377" s="30">
        <v>15</v>
      </c>
      <c r="K377" s="22">
        <f>IF(I377="","",IF(I377="ENTRADA",ABS(J377),-ABS(J377)))</f>
        <v>-15</v>
      </c>
      <c r="L377" t="s">
        <v>37</v>
      </c>
      <c r="N377">
        <v>65142</v>
      </c>
      <c r="O377" t="s">
        <v>237</v>
      </c>
      <c r="P377">
        <v>1843</v>
      </c>
      <c r="Q377" s="42">
        <v>46224</v>
      </c>
      <c r="R377" s="22" t="str">
        <f>IF(H377="","",H377&amp;I377)</f>
        <v>260414-030SALIDA</v>
      </c>
      <c r="S377" s="22" t="str">
        <f>IF(C377="","",C377&amp;I377)</f>
        <v>Full controlSALIDA</v>
      </c>
      <c r="T377" t="str">
        <f>IF(OR(C377="",I377&lt;&gt;"ENTRADA"),"",TEXT(B377,"AAMMDD")&amp;"-"&amp;TEXT(VALUE(SUBSTITUTE(A377,"MOV-","")),"000"))</f>
        <v/>
      </c>
    </row>
    <row r="378" spans="1:20">
      <c r="A378" s="20" t="s">
        <v>639</v>
      </c>
      <c r="B378" s="47">
        <v>46227</v>
      </c>
      <c r="C378" t="s">
        <v>514</v>
      </c>
      <c r="D378" t="s">
        <v>515</v>
      </c>
      <c r="E378" t="s">
        <v>516</v>
      </c>
      <c r="G378" t="s">
        <v>117</v>
      </c>
      <c r="H378" s="20" t="s">
        <v>587</v>
      </c>
      <c r="I378" t="s">
        <v>65</v>
      </c>
      <c r="J378" s="30">
        <v>1500</v>
      </c>
      <c r="K378" s="22">
        <f>IF(I378="","",IF(I378="ENTRADA",ABS(J378),-ABS(J378)))</f>
        <v>-1500</v>
      </c>
      <c r="L378" t="s">
        <v>37</v>
      </c>
      <c r="N378">
        <v>65144</v>
      </c>
      <c r="O378" t="s">
        <v>213</v>
      </c>
      <c r="P378">
        <v>1855</v>
      </c>
      <c r="Q378" s="42">
        <v>46200</v>
      </c>
      <c r="R378" s="22" t="str">
        <f>IF(H378="","",H378&amp;I378)</f>
        <v>260618-283SALIDA</v>
      </c>
      <c r="S378" s="22" t="str">
        <f>IF(C378="","",C378&amp;I378)</f>
        <v>Unico MaxSALIDA</v>
      </c>
      <c r="T378" t="str">
        <f>IF(OR(C378="",I378&lt;&gt;"ENTRADA"),"",TEXT(B378,"AAMMDD")&amp;"-"&amp;TEXT(VALUE(SUBSTITUTE(A378,"MOV-","")),"000"))</f>
        <v/>
      </c>
    </row>
    <row r="379" spans="1:20">
      <c r="A379" s="20" t="s">
        <v>640</v>
      </c>
      <c r="B379" s="47">
        <v>46227</v>
      </c>
      <c r="C379" t="s">
        <v>491</v>
      </c>
      <c r="D379" t="s">
        <v>492</v>
      </c>
      <c r="E379" t="s">
        <v>493</v>
      </c>
      <c r="G379" t="s">
        <v>36</v>
      </c>
      <c r="H379" s="20" t="s">
        <v>495</v>
      </c>
      <c r="I379" t="s">
        <v>65</v>
      </c>
      <c r="J379" s="30">
        <v>1000</v>
      </c>
      <c r="K379" s="22">
        <f>IF(I379="","",IF(I379="ENTRADA",ABS(J379),-ABS(J379)))</f>
        <v>-1000</v>
      </c>
      <c r="L379" t="s">
        <v>37</v>
      </c>
      <c r="N379">
        <v>65144</v>
      </c>
      <c r="O379" t="s">
        <v>213</v>
      </c>
      <c r="P379">
        <v>1855</v>
      </c>
      <c r="Q379" s="42">
        <v>46200</v>
      </c>
      <c r="R379" s="22" t="str">
        <f>IF(H379="","",H379&amp;I379)</f>
        <v>260610-265SALIDA</v>
      </c>
      <c r="S379" s="22" t="str">
        <f>IF(C379="","",C379&amp;I379)</f>
        <v>Zinc Plus SALIDA</v>
      </c>
      <c r="T379" t="str">
        <f>IF(OR(C379="",I379&lt;&gt;"ENTRADA"),"",TEXT(B379,"AAMMDD")&amp;"-"&amp;TEXT(VALUE(SUBSTITUTE(A379,"MOV-","")),"000"))</f>
        <v/>
      </c>
    </row>
    <row r="380" spans="1:20">
      <c r="A380" s="20" t="s">
        <v>641</v>
      </c>
      <c r="B380" s="47">
        <v>46230</v>
      </c>
      <c r="C380" t="s">
        <v>122</v>
      </c>
      <c r="D380" t="s">
        <v>123</v>
      </c>
      <c r="E380" t="s">
        <v>34</v>
      </c>
      <c r="F380" t="s">
        <v>35</v>
      </c>
      <c r="G380" t="s">
        <v>117</v>
      </c>
      <c r="H380" s="20" t="str">
        <f>+T380</f>
        <v>260727-380</v>
      </c>
      <c r="I380" t="s">
        <v>28</v>
      </c>
      <c r="J380" s="30">
        <v>1280</v>
      </c>
      <c r="K380" s="22">
        <f>IF(I380="","",IF(I380="ENTRADA",ABS(J380),-ABS(J380)))</f>
        <v>1280</v>
      </c>
      <c r="L380" t="s">
        <v>37</v>
      </c>
      <c r="M380" s="47">
        <v>46813</v>
      </c>
      <c r="N380">
        <v>50210</v>
      </c>
      <c r="P380">
        <v>14931</v>
      </c>
      <c r="Q380" s="42">
        <v>46232</v>
      </c>
      <c r="R380" s="22" t="str">
        <f>IF(H380="","",H380&amp;I380)</f>
        <v>260727-380ENTRADA</v>
      </c>
      <c r="S380" s="22" t="str">
        <f>IF(C380="","",C380&amp;I380)</f>
        <v>PardoENTRADA</v>
      </c>
      <c r="T380" t="str">
        <f>IF(OR(C380="",I380&lt;&gt;"ENTRADA"),"",TEXT(B380,"AAMMDD")&amp;"-"&amp;TEXT(VALUE(SUBSTITUTE(A380,"MOV-","")),"000"))</f>
        <v>260727-380</v>
      </c>
    </row>
    <row r="381" spans="1:20">
      <c r="A381" s="20" t="s">
        <v>642</v>
      </c>
      <c r="B381" s="47">
        <v>46230</v>
      </c>
      <c r="C381" t="s">
        <v>115</v>
      </c>
      <c r="D381" t="s">
        <v>116</v>
      </c>
      <c r="E381" t="s">
        <v>34</v>
      </c>
      <c r="F381" t="s">
        <v>35</v>
      </c>
      <c r="G381" t="s">
        <v>117</v>
      </c>
      <c r="H381" s="20" t="str">
        <f>+T381</f>
        <v>260727-381</v>
      </c>
      <c r="I381" t="s">
        <v>28</v>
      </c>
      <c r="J381" s="30">
        <v>20400</v>
      </c>
      <c r="K381" s="22">
        <f>IF(I381="","",IF(I381="ENTRADA",ABS(J381),-ABS(J381)))</f>
        <v>20400</v>
      </c>
      <c r="L381" t="s">
        <v>37</v>
      </c>
      <c r="M381" s="47">
        <v>46863</v>
      </c>
      <c r="N381">
        <v>50209</v>
      </c>
      <c r="P381">
        <v>14932</v>
      </c>
      <c r="Q381" s="42">
        <v>46232</v>
      </c>
      <c r="R381" s="22" t="str">
        <f>IF(H381="","",H381&amp;I381)</f>
        <v>260727-381ENTRADA</v>
      </c>
      <c r="S381" s="22" t="str">
        <f>IF(C381="","",C381&amp;I381)</f>
        <v>AzukaENTRADA</v>
      </c>
      <c r="T381" t="str">
        <f>IF(OR(C381="",I381&lt;&gt;"ENTRADA"),"",TEXT(B381,"AAMMDD")&amp;"-"&amp;TEXT(VALUE(SUBSTITUTE(A381,"MOV-","")),"000"))</f>
        <v>260727-381</v>
      </c>
    </row>
    <row r="382" spans="1:20">
      <c r="A382" s="20" t="s">
        <v>643</v>
      </c>
      <c r="B382" s="47">
        <v>46230</v>
      </c>
      <c r="C382" t="s">
        <v>491</v>
      </c>
      <c r="D382" t="s">
        <v>492</v>
      </c>
      <c r="E382" t="s">
        <v>493</v>
      </c>
      <c r="G382" t="s">
        <v>36</v>
      </c>
      <c r="H382" s="20" t="s">
        <v>495</v>
      </c>
      <c r="I382" t="s">
        <v>65</v>
      </c>
      <c r="J382" s="30">
        <v>800</v>
      </c>
      <c r="K382" s="22">
        <f>IF(I382="","",IF(I382="ENTRADA",ABS(J382),-ABS(J382)))</f>
        <v>-800</v>
      </c>
      <c r="L382" t="s">
        <v>37</v>
      </c>
      <c r="N382">
        <v>65145</v>
      </c>
      <c r="O382" t="s">
        <v>387</v>
      </c>
      <c r="P382">
        <v>1861</v>
      </c>
      <c r="Q382" s="42">
        <v>46232</v>
      </c>
      <c r="R382" s="22" t="str">
        <f>IF(H382="","",H382&amp;I382)</f>
        <v>260610-265SALIDA</v>
      </c>
      <c r="S382" s="22" t="str">
        <f>IF(C382="","",C382&amp;I382)</f>
        <v>Zinc Plus SALIDA</v>
      </c>
      <c r="T382" t="str">
        <f>IF(OR(C382="",I382&lt;&gt;"ENTRADA"),"",TEXT(B382,"AAMMDD")&amp;"-"&amp;TEXT(VALUE(SUBSTITUTE(A382,"MOV-","")),"000"))</f>
        <v/>
      </c>
    </row>
    <row r="383" spans="1:20">
      <c r="A383" s="20" t="s">
        <v>644</v>
      </c>
      <c r="B383" s="47">
        <v>46227</v>
      </c>
      <c r="C383" t="s">
        <v>514</v>
      </c>
      <c r="D383" t="s">
        <v>515</v>
      </c>
      <c r="E383" t="s">
        <v>516</v>
      </c>
      <c r="G383" t="s">
        <v>117</v>
      </c>
      <c r="H383" s="20" t="s">
        <v>587</v>
      </c>
      <c r="I383" t="s">
        <v>65</v>
      </c>
      <c r="J383" s="30">
        <v>340</v>
      </c>
      <c r="K383" s="22">
        <f>IF(I383="","",IF(I383="ENTRADA",ABS(J383),-ABS(J383)))</f>
        <v>-340</v>
      </c>
      <c r="L383" t="s">
        <v>37</v>
      </c>
      <c r="N383">
        <v>65143</v>
      </c>
      <c r="O383" t="s">
        <v>218</v>
      </c>
      <c r="P383">
        <v>1862</v>
      </c>
      <c r="Q383" s="42">
        <v>46232</v>
      </c>
      <c r="R383" s="22" t="str">
        <f>IF(H383="","",H383&amp;I383)</f>
        <v>260618-283SALIDA</v>
      </c>
      <c r="S383" s="22" t="str">
        <f>IF(C383="","",C383&amp;I383)</f>
        <v>Unico MaxSALIDA</v>
      </c>
      <c r="T383" t="str">
        <f>IF(OR(C383="",I383&lt;&gt;"ENTRADA"),"",TEXT(B383,"AAMMDD")&amp;"-"&amp;TEXT(VALUE(SUBSTITUTE(A383,"MOV-","")),"000"))</f>
        <v/>
      </c>
    </row>
    <row r="384" spans="1:20">
      <c r="A384" s="20" t="s">
        <v>645</v>
      </c>
      <c r="B384" s="47">
        <v>46227</v>
      </c>
      <c r="C384" t="s">
        <v>491</v>
      </c>
      <c r="D384" t="s">
        <v>492</v>
      </c>
      <c r="E384" t="s">
        <v>493</v>
      </c>
      <c r="G384" t="s">
        <v>36</v>
      </c>
      <c r="H384" s="20" t="s">
        <v>495</v>
      </c>
      <c r="I384" t="s">
        <v>65</v>
      </c>
      <c r="J384" s="30">
        <v>1100</v>
      </c>
      <c r="K384" s="22">
        <f>IF(I384="","",IF(I384="ENTRADA",ABS(J384),-ABS(J384)))</f>
        <v>-1100</v>
      </c>
      <c r="L384" t="s">
        <v>37</v>
      </c>
      <c r="N384">
        <v>65143</v>
      </c>
      <c r="O384" t="s">
        <v>218</v>
      </c>
      <c r="P384">
        <v>1862</v>
      </c>
      <c r="Q384" s="42">
        <v>46232</v>
      </c>
      <c r="R384" s="22" t="str">
        <f>IF(H384="","",H384&amp;I384)</f>
        <v>260610-265SALIDA</v>
      </c>
      <c r="S384" s="22" t="str">
        <f>IF(C384="","",C384&amp;I384)</f>
        <v>Zinc Plus SALIDA</v>
      </c>
      <c r="T384" t="str">
        <f>IF(OR(C384="",I384&lt;&gt;"ENTRADA"),"",TEXT(B384,"AAMMDD")&amp;"-"&amp;TEXT(VALUE(SUBSTITUTE(A384,"MOV-","")),"000"))</f>
        <v/>
      </c>
    </row>
    <row r="385" spans="1:20">
      <c r="A385" s="20" t="s">
        <v>646</v>
      </c>
      <c r="B385" s="47">
        <v>46232</v>
      </c>
      <c r="C385" t="s">
        <v>514</v>
      </c>
      <c r="D385" t="s">
        <v>515</v>
      </c>
      <c r="E385" t="s">
        <v>516</v>
      </c>
      <c r="G385" t="s">
        <v>117</v>
      </c>
      <c r="H385" s="20" t="s">
        <v>587</v>
      </c>
      <c r="I385" t="s">
        <v>65</v>
      </c>
      <c r="J385" s="30">
        <v>1000</v>
      </c>
      <c r="K385" s="22">
        <f>IF(I385="","",IF(I385="ENTRADA",ABS(J385),-ABS(J385)))</f>
        <v>-1000</v>
      </c>
      <c r="L385" t="s">
        <v>37</v>
      </c>
      <c r="N385">
        <v>65146</v>
      </c>
      <c r="O385" t="s">
        <v>309</v>
      </c>
      <c r="P385">
        <v>1868</v>
      </c>
      <c r="Q385" s="42">
        <v>46239</v>
      </c>
      <c r="R385" s="22" t="str">
        <f>IF(H385="","",H385&amp;I385)</f>
        <v>260618-283SALIDA</v>
      </c>
      <c r="S385" s="22" t="str">
        <f>IF(C385="","",C385&amp;I385)</f>
        <v>Unico MaxSALIDA</v>
      </c>
      <c r="T385" t="str">
        <f>IF(OR(C385="",I385&lt;&gt;"ENTRADA"),"",TEXT(B385,"AAMMDD")&amp;"-"&amp;TEXT(VALUE(SUBSTITUTE(A385,"MOV-","")),"000"))</f>
        <v/>
      </c>
    </row>
    <row r="386" spans="1:20">
      <c r="A386" s="20" t="s">
        <v>647</v>
      </c>
      <c r="B386" s="47">
        <v>46232</v>
      </c>
      <c r="C386" s="34" t="s">
        <v>524</v>
      </c>
      <c r="D386" t="s">
        <v>525</v>
      </c>
      <c r="E386" s="34" t="s">
        <v>516</v>
      </c>
      <c r="F386" s="34"/>
      <c r="G386" s="34" t="s">
        <v>158</v>
      </c>
      <c r="H386" s="20" t="s">
        <v>553</v>
      </c>
      <c r="I386" s="34" t="s">
        <v>65</v>
      </c>
      <c r="J386" s="36">
        <v>360</v>
      </c>
      <c r="K386" s="22">
        <f>IF(I386="","",IF(I386="ENTRADA",ABS(J386),-ABS(J386)))</f>
        <v>-360</v>
      </c>
      <c r="L386" s="34" t="s">
        <v>37</v>
      </c>
      <c r="M386" s="34"/>
      <c r="N386">
        <v>65146</v>
      </c>
      <c r="O386" t="s">
        <v>309</v>
      </c>
      <c r="P386">
        <v>1868</v>
      </c>
      <c r="Q386" s="42">
        <v>46239</v>
      </c>
      <c r="R386" s="22" t="str">
        <f>IF(H386="","",H386&amp;I386)</f>
        <v>260623-289SALIDA</v>
      </c>
      <c r="S386" s="22" t="str">
        <f>IF(C386="","",C386&amp;I386)</f>
        <v>cripton xpro SALIDA</v>
      </c>
      <c r="T386" t="str">
        <f>IF(OR(C386="",I386&lt;&gt;"ENTRADA"),"",TEXT(B386,"AAMMDD")&amp;"-"&amp;TEXT(VALUE(SUBSTITUTE(A386,"MOV-","")),"000"))</f>
        <v/>
      </c>
    </row>
    <row r="387" spans="1:20">
      <c r="A387" s="20" t="s">
        <v>648</v>
      </c>
      <c r="B387" s="47">
        <v>46232</v>
      </c>
      <c r="C387" t="s">
        <v>130</v>
      </c>
      <c r="D387" t="s">
        <v>131</v>
      </c>
      <c r="E387" t="s">
        <v>132</v>
      </c>
      <c r="G387" t="s">
        <v>133</v>
      </c>
      <c r="H387" s="20" t="s">
        <v>221</v>
      </c>
      <c r="I387" t="s">
        <v>65</v>
      </c>
      <c r="J387" s="30">
        <v>300</v>
      </c>
      <c r="K387" s="22">
        <f>IF(I387="","",IF(I387="ENTRADA",ABS(J387),-ABS(J387)))</f>
        <v>-300</v>
      </c>
      <c r="L387" t="s">
        <v>37</v>
      </c>
      <c r="N387">
        <v>65146</v>
      </c>
      <c r="O387" t="s">
        <v>309</v>
      </c>
      <c r="P387">
        <v>1868</v>
      </c>
      <c r="Q387" s="42">
        <v>46239</v>
      </c>
      <c r="R387" s="22" t="str">
        <f>IF(H387="","",H387&amp;I387)</f>
        <v>260414-029SALIDA</v>
      </c>
      <c r="S387" s="22" t="str">
        <f>IF(C387="","",C387&amp;I387)</f>
        <v>HarrierSALIDA</v>
      </c>
      <c r="T387" t="str">
        <f>IF(OR(C387="",I387&lt;&gt;"ENTRADA"),"",TEXT(B387,"AAMMDD")&amp;"-"&amp;TEXT(VALUE(SUBSTITUTE(A387,"MOV-","")),"000"))</f>
        <v/>
      </c>
    </row>
    <row r="388" spans="1:20">
      <c r="A388" s="20" t="s">
        <v>649</v>
      </c>
      <c r="B388" s="47">
        <v>46232</v>
      </c>
      <c r="C388" t="s">
        <v>137</v>
      </c>
      <c r="D388" t="s">
        <v>138</v>
      </c>
      <c r="E388" t="s">
        <v>132</v>
      </c>
      <c r="G388" t="s">
        <v>133</v>
      </c>
      <c r="H388" s="20" t="s">
        <v>211</v>
      </c>
      <c r="I388" t="s">
        <v>65</v>
      </c>
      <c r="J388" s="30">
        <v>30</v>
      </c>
      <c r="K388" s="22">
        <f>IF(I388="","",IF(I388="ENTRADA",ABS(J388),-ABS(J388)))</f>
        <v>-30</v>
      </c>
      <c r="L388" t="s">
        <v>37</v>
      </c>
      <c r="N388">
        <v>65146</v>
      </c>
      <c r="O388" t="s">
        <v>309</v>
      </c>
      <c r="P388">
        <v>1868</v>
      </c>
      <c r="Q388" s="42">
        <v>46239</v>
      </c>
      <c r="R388" s="22" t="str">
        <f>IF(H388="","",H388&amp;I388)</f>
        <v>260414-030SALIDA</v>
      </c>
      <c r="S388" s="22" t="str">
        <f>IF(C388="","",C388&amp;I388)</f>
        <v>Full controlSALIDA</v>
      </c>
      <c r="T388" t="str">
        <f>IF(OR(C388="",I388&lt;&gt;"ENTRADA"),"",TEXT(B388,"AAMMDD")&amp;"-"&amp;TEXT(VALUE(SUBSTITUTE(A388,"MOV-","")),"000"))</f>
        <v/>
      </c>
    </row>
    <row r="389" spans="1:20">
      <c r="A389" s="20" t="s">
        <v>650</v>
      </c>
      <c r="B389" s="47">
        <v>46232</v>
      </c>
      <c r="C389" t="s">
        <v>54</v>
      </c>
      <c r="D389" t="s">
        <v>55</v>
      </c>
      <c r="E389" t="s">
        <v>34</v>
      </c>
      <c r="F389" t="s">
        <v>35</v>
      </c>
      <c r="G389" t="s">
        <v>36</v>
      </c>
      <c r="H389" s="20" t="str">
        <f>+T389</f>
        <v>260729-389</v>
      </c>
      <c r="I389" t="s">
        <v>28</v>
      </c>
      <c r="J389" s="30">
        <v>10</v>
      </c>
      <c r="K389" s="22">
        <f>IF(I389="","",IF(I389="ENTRADA",ABS(J389),-ABS(J389)))</f>
        <v>10</v>
      </c>
      <c r="L389" t="s">
        <v>651</v>
      </c>
      <c r="N389">
        <v>13327</v>
      </c>
      <c r="P389">
        <v>14955</v>
      </c>
      <c r="Q389" s="42">
        <v>46240</v>
      </c>
      <c r="R389" s="22" t="str">
        <f>IF(H389="","",H389&amp;I389)</f>
        <v>260729-389ENTRADA</v>
      </c>
      <c r="S389" s="22" t="str">
        <f>IF(C389="","",C389&amp;I389)</f>
        <v>TronadorENTRADA</v>
      </c>
      <c r="T389" t="str">
        <f>IF(OR(C389="",I389&lt;&gt;"ENTRADA"),"",TEXT(B389,"AAMMDD")&amp;"-"&amp;TEXT(VALUE(SUBSTITUTE(A389,"MOV-","")),"000"))</f>
        <v>260729-389</v>
      </c>
    </row>
    <row r="390" spans="1:20">
      <c r="A390" s="20" t="s">
        <v>652</v>
      </c>
      <c r="B390" s="47">
        <v>46232</v>
      </c>
      <c r="C390" t="s">
        <v>491</v>
      </c>
      <c r="D390" t="s">
        <v>492</v>
      </c>
      <c r="E390" t="s">
        <v>493</v>
      </c>
      <c r="G390" t="s">
        <v>36</v>
      </c>
      <c r="H390" s="20" t="s">
        <v>495</v>
      </c>
      <c r="I390" t="s">
        <v>65</v>
      </c>
      <c r="J390" s="30">
        <v>1920</v>
      </c>
      <c r="K390" s="22">
        <f>IF(I390="","",IF(I390="ENTRADA",ABS(J390),-ABS(J390)))</f>
        <v>-1920</v>
      </c>
      <c r="L390" t="s">
        <v>37</v>
      </c>
      <c r="N390">
        <v>65147</v>
      </c>
      <c r="O390" t="s">
        <v>213</v>
      </c>
      <c r="P390">
        <v>1869</v>
      </c>
      <c r="Q390" s="42">
        <v>46239</v>
      </c>
      <c r="R390" s="22" t="str">
        <f>IF(H390="","",H390&amp;I390)</f>
        <v>260610-265SALIDA</v>
      </c>
      <c r="S390" s="22" t="str">
        <f>IF(C390="","",C390&amp;I390)</f>
        <v>Zinc Plus SALIDA</v>
      </c>
      <c r="T390" t="str">
        <f>IF(OR(C390="",I390&lt;&gt;"ENTRADA"),"",TEXT(B390,"AAMMDD")&amp;"-"&amp;TEXT(VALUE(SUBSTITUTE(A390,"MOV-","")),"000"))</f>
        <v/>
      </c>
    </row>
    <row r="391" spans="1:20">
      <c r="A391" s="20" t="s">
        <v>653</v>
      </c>
      <c r="B391" s="47">
        <v>46232</v>
      </c>
      <c r="C391" t="s">
        <v>130</v>
      </c>
      <c r="D391" t="s">
        <v>131</v>
      </c>
      <c r="E391" t="s">
        <v>132</v>
      </c>
      <c r="G391" t="s">
        <v>133</v>
      </c>
      <c r="H391" s="20" t="s">
        <v>221</v>
      </c>
      <c r="I391" t="s">
        <v>65</v>
      </c>
      <c r="J391" s="30">
        <v>150</v>
      </c>
      <c r="K391" s="22">
        <f>IF(I391="","",IF(I391="ENTRADA",ABS(J391),-ABS(J391)))</f>
        <v>-150</v>
      </c>
      <c r="L391" t="s">
        <v>37</v>
      </c>
      <c r="N391">
        <v>65148</v>
      </c>
      <c r="O391" t="s">
        <v>213</v>
      </c>
      <c r="P391">
        <v>1869</v>
      </c>
      <c r="Q391" s="42">
        <v>46239</v>
      </c>
      <c r="R391" s="22" t="str">
        <f>IF(H391="","",H391&amp;I391)</f>
        <v>260414-029SALIDA</v>
      </c>
      <c r="S391" s="22" t="str">
        <f>IF(C391="","",C391&amp;I391)</f>
        <v>HarrierSALIDA</v>
      </c>
      <c r="T391" t="str">
        <f>IF(OR(C391="",I391&lt;&gt;"ENTRADA"),"",TEXT(B391,"AAMMDD")&amp;"-"&amp;TEXT(VALUE(SUBSTITUTE(A391,"MOV-","")),"000"))</f>
        <v/>
      </c>
    </row>
    <row r="392" spans="1:20">
      <c r="A392" s="20" t="s">
        <v>654</v>
      </c>
      <c r="B392" s="47">
        <v>46232</v>
      </c>
      <c r="C392" t="s">
        <v>524</v>
      </c>
      <c r="D392" t="s">
        <v>525</v>
      </c>
      <c r="E392" t="s">
        <v>516</v>
      </c>
      <c r="G392" t="s">
        <v>77</v>
      </c>
      <c r="H392" s="20" t="s">
        <v>553</v>
      </c>
      <c r="I392" t="s">
        <v>65</v>
      </c>
      <c r="J392" s="30">
        <v>400</v>
      </c>
      <c r="K392" s="22">
        <f>IF(I392="","",IF(I392="ENTRADA",ABS(J392),-ABS(J392)))</f>
        <v>-400</v>
      </c>
      <c r="L392" t="s">
        <v>37</v>
      </c>
      <c r="N392">
        <v>65148</v>
      </c>
      <c r="O392" t="s">
        <v>213</v>
      </c>
      <c r="P392">
        <v>1869</v>
      </c>
      <c r="Q392" s="42">
        <v>46239</v>
      </c>
      <c r="R392" s="22" t="str">
        <f>IF(H392="","",H392&amp;I392)</f>
        <v>260623-289SALIDA</v>
      </c>
      <c r="S392" s="22" t="str">
        <f>IF(C392="","",C392&amp;I392)</f>
        <v>cripton xpro SALIDA</v>
      </c>
      <c r="T392" t="str">
        <f>IF(OR(C392="",I392&lt;&gt;"ENTRADA"),"",TEXT(B392,"AAMMDD")&amp;"-"&amp;TEXT(VALUE(SUBSTITUTE(A392,"MOV-","")),"000"))</f>
        <v/>
      </c>
    </row>
    <row r="393" spans="1:20">
      <c r="A393" s="20" t="s">
        <v>655</v>
      </c>
      <c r="B393" s="47">
        <v>46232</v>
      </c>
      <c r="C393" t="s">
        <v>656</v>
      </c>
      <c r="D393" t="s">
        <v>657</v>
      </c>
      <c r="E393" t="s">
        <v>132</v>
      </c>
      <c r="G393" t="s">
        <v>133</v>
      </c>
      <c r="H393" s="20" t="str">
        <f>+T393</f>
        <v>260729-393</v>
      </c>
      <c r="I393" t="s">
        <v>28</v>
      </c>
      <c r="J393" s="30">
        <v>500</v>
      </c>
      <c r="K393" s="22">
        <f>IF(I393="","",IF(I393="ENTRADA",ABS(J393),-ABS(J393)))</f>
        <v>500</v>
      </c>
      <c r="L393" t="s">
        <v>37</v>
      </c>
      <c r="N393">
        <v>411</v>
      </c>
      <c r="P393">
        <v>14956</v>
      </c>
      <c r="Q393" s="42">
        <v>46240</v>
      </c>
      <c r="R393" s="22" t="str">
        <f>IF(H393="","",H393&amp;I393)</f>
        <v>260729-393ENTRADA</v>
      </c>
      <c r="S393" s="22" t="str">
        <f>IF(C393="","",C393&amp;I393)</f>
        <v>Harrier Drone ENTRADA</v>
      </c>
      <c r="T393" t="str">
        <f>IF(OR(C393="",I393&lt;&gt;"ENTRADA"),"",TEXT(B393,"AAMMDD")&amp;"-"&amp;TEXT(VALUE(SUBSTITUTE(A393,"MOV-","")),"000"))</f>
        <v>260729-393</v>
      </c>
    </row>
    <row r="394" spans="1:20">
      <c r="A394" s="20" t="s">
        <v>658</v>
      </c>
      <c r="B394" s="47">
        <v>46232</v>
      </c>
      <c r="C394" t="s">
        <v>656</v>
      </c>
      <c r="D394" t="s">
        <v>657</v>
      </c>
      <c r="E394" t="s">
        <v>132</v>
      </c>
      <c r="G394" t="s">
        <v>133</v>
      </c>
      <c r="H394" s="20" t="s">
        <v>659</v>
      </c>
      <c r="I394" t="s">
        <v>65</v>
      </c>
      <c r="J394" s="30">
        <v>20</v>
      </c>
      <c r="K394" s="22">
        <f>IF(I394="","",IF(I394="ENTRADA",ABS(J394),-ABS(J394)))</f>
        <v>-20</v>
      </c>
      <c r="L394" t="s">
        <v>37</v>
      </c>
      <c r="N394">
        <v>65150</v>
      </c>
      <c r="O394" t="s">
        <v>66</v>
      </c>
      <c r="P394">
        <v>1871</v>
      </c>
      <c r="Q394" s="42">
        <v>46241</v>
      </c>
      <c r="R394" s="22" t="str">
        <f>IF(H394="","",H394&amp;I394)</f>
        <v>260729-393SALIDA</v>
      </c>
      <c r="S394" s="22" t="str">
        <f>IF(C394="","",C394&amp;I394)</f>
        <v>Harrier Drone SALIDA</v>
      </c>
      <c r="T394" t="str">
        <f>IF(OR(C394="",I394&lt;&gt;"ENTRADA"),"",TEXT(B394,"AAMMDD")&amp;"-"&amp;TEXT(VALUE(SUBSTITUTE(A394,"MOV-","")),"000"))</f>
        <v/>
      </c>
    </row>
    <row r="395" spans="1:20">
      <c r="A395" s="20" t="s">
        <v>660</v>
      </c>
      <c r="B395" s="47">
        <v>46232</v>
      </c>
      <c r="C395" t="s">
        <v>54</v>
      </c>
      <c r="D395" t="s">
        <v>55</v>
      </c>
      <c r="E395" t="s">
        <v>34</v>
      </c>
      <c r="F395" t="s">
        <v>35</v>
      </c>
      <c r="G395" t="s">
        <v>36</v>
      </c>
      <c r="H395" s="20" t="s">
        <v>661</v>
      </c>
      <c r="I395" t="s">
        <v>65</v>
      </c>
      <c r="J395" s="30">
        <v>10</v>
      </c>
      <c r="K395" s="22">
        <f>IF(I395="","",IF(I395="ENTRADA",ABS(J395),-ABS(J395)))</f>
        <v>-10</v>
      </c>
      <c r="L395" t="s">
        <v>37</v>
      </c>
      <c r="N395">
        <v>65150</v>
      </c>
      <c r="O395" t="s">
        <v>66</v>
      </c>
      <c r="P395">
        <v>1871</v>
      </c>
      <c r="Q395" s="42">
        <v>46241</v>
      </c>
      <c r="R395" s="22" t="str">
        <f>IF(H395="","",H395&amp;I395)</f>
        <v>260729-389SALIDA</v>
      </c>
      <c r="S395" s="22" t="str">
        <f>IF(C395="","",C395&amp;I395)</f>
        <v>TronadorSALIDA</v>
      </c>
      <c r="T395" t="str">
        <f>IF(OR(C395="",I395&lt;&gt;"ENTRADA"),"",TEXT(B395,"AAMMDD")&amp;"-"&amp;TEXT(VALUE(SUBSTITUTE(A395,"MOV-","")),"000"))</f>
        <v/>
      </c>
    </row>
    <row r="396" spans="1:20">
      <c r="A396" s="20" t="s">
        <v>662</v>
      </c>
      <c r="B396" s="47">
        <v>46233</v>
      </c>
      <c r="C396" t="s">
        <v>514</v>
      </c>
      <c r="D396" t="s">
        <v>515</v>
      </c>
      <c r="E396" t="s">
        <v>516</v>
      </c>
      <c r="G396" t="s">
        <v>117</v>
      </c>
      <c r="H396" s="20" t="str">
        <f>+T396</f>
        <v>260730-396</v>
      </c>
      <c r="I396" t="s">
        <v>28</v>
      </c>
      <c r="J396" s="30">
        <v>2000</v>
      </c>
      <c r="K396" s="22">
        <f>IF(I396="","",IF(I396="ENTRADA",ABS(J396),-ABS(J396)))</f>
        <v>2000</v>
      </c>
      <c r="L396" t="s">
        <v>37</v>
      </c>
      <c r="N396">
        <v>50309</v>
      </c>
      <c r="P396">
        <v>19954</v>
      </c>
      <c r="Q396" s="42">
        <v>46240</v>
      </c>
      <c r="R396" s="22" t="str">
        <f>IF(H396="","",H396&amp;I396)</f>
        <v>260730-396ENTRADA</v>
      </c>
      <c r="S396" s="22" t="str">
        <f>IF(C396="","",C396&amp;I396)</f>
        <v>Unico MaxENTRADA</v>
      </c>
      <c r="T396" t="str">
        <f>IF(OR(C396="",I396&lt;&gt;"ENTRADA"),"",TEXT(B396,"AAMMDD")&amp;"-"&amp;TEXT(VALUE(SUBSTITUTE(A396,"MOV-","")),"000"))</f>
        <v>260730-396</v>
      </c>
    </row>
    <row r="397" spans="1:20">
      <c r="A397" s="20" t="s">
        <v>663</v>
      </c>
      <c r="B397" s="47">
        <v>46233</v>
      </c>
      <c r="C397" s="34" t="s">
        <v>514</v>
      </c>
      <c r="D397" s="34" t="s">
        <v>515</v>
      </c>
      <c r="E397" s="34" t="s">
        <v>516</v>
      </c>
      <c r="F397" s="34"/>
      <c r="G397" s="34" t="s">
        <v>117</v>
      </c>
      <c r="H397" s="20" t="s">
        <v>664</v>
      </c>
      <c r="I397" s="34" t="s">
        <v>65</v>
      </c>
      <c r="J397" s="36">
        <v>150</v>
      </c>
      <c r="K397" s="22">
        <f>IF(I397="","",IF(I397="ENTRADA",ABS(J397),-ABS(J397)))</f>
        <v>-150</v>
      </c>
      <c r="L397" s="34" t="s">
        <v>37</v>
      </c>
      <c r="M397" s="34"/>
      <c r="N397">
        <v>65149</v>
      </c>
      <c r="O397" s="34" t="s">
        <v>387</v>
      </c>
      <c r="P397" s="34">
        <v>1872</v>
      </c>
      <c r="Q397" s="42">
        <v>46241</v>
      </c>
      <c r="R397" s="22" t="str">
        <f>IF(H397="","",H397&amp;I397)</f>
        <v>260730-396SALIDA</v>
      </c>
      <c r="S397" s="22" t="str">
        <f>IF(C397="","",C397&amp;I397)</f>
        <v>Unico MaxSALIDA</v>
      </c>
      <c r="T397" t="str">
        <f>IF(OR(C397="",I397&lt;&gt;"ENTRADA"),"",TEXT(B397,"AAMMDD")&amp;"-"&amp;TEXT(VALUE(SUBSTITUTE(A397,"MOV-","")),"000"))</f>
        <v/>
      </c>
    </row>
    <row r="398" spans="1:20">
      <c r="A398" s="20" t="s">
        <v>665</v>
      </c>
      <c r="B398" s="47">
        <v>46233</v>
      </c>
      <c r="C398" t="s">
        <v>491</v>
      </c>
      <c r="D398" t="s">
        <v>492</v>
      </c>
      <c r="E398" t="s">
        <v>493</v>
      </c>
      <c r="G398" t="s">
        <v>36</v>
      </c>
      <c r="H398" s="20" t="s">
        <v>495</v>
      </c>
      <c r="I398" t="s">
        <v>65</v>
      </c>
      <c r="J398" s="30">
        <v>480</v>
      </c>
      <c r="K398" s="22">
        <f>IF(I398="","",IF(I398="ENTRADA",ABS(J398),-ABS(J398)))</f>
        <v>-480</v>
      </c>
      <c r="L398" t="s">
        <v>37</v>
      </c>
      <c r="N398">
        <v>65149</v>
      </c>
      <c r="O398" t="s">
        <v>387</v>
      </c>
      <c r="P398">
        <v>1872</v>
      </c>
      <c r="Q398" s="42">
        <v>46241</v>
      </c>
      <c r="R398" s="22" t="str">
        <f>IF(H398="","",H398&amp;I398)</f>
        <v>260610-265SALIDA</v>
      </c>
      <c r="S398" s="22" t="str">
        <f>IF(C398="","",C398&amp;I398)</f>
        <v>Zinc Plus SALIDA</v>
      </c>
      <c r="T398" t="str">
        <f>IF(OR(C398="",I398&lt;&gt;"ENTRADA"),"",TEXT(B398,"AAMMDD")&amp;"-"&amp;TEXT(VALUE(SUBSTITUTE(A398,"MOV-","")),"000"))</f>
        <v/>
      </c>
    </row>
    <row r="399" spans="1:20">
      <c r="A399" s="20" t="s">
        <v>666</v>
      </c>
      <c r="B399" s="47">
        <v>46233</v>
      </c>
      <c r="C399" t="s">
        <v>283</v>
      </c>
      <c r="D399" t="s">
        <v>284</v>
      </c>
      <c r="E399" t="s">
        <v>285</v>
      </c>
      <c r="F399" t="s">
        <v>286</v>
      </c>
      <c r="G399" t="s">
        <v>83</v>
      </c>
      <c r="H399" s="20" t="str">
        <f>+T399</f>
        <v>260730-399</v>
      </c>
      <c r="I399" t="s">
        <v>28</v>
      </c>
      <c r="J399" s="30">
        <v>24480</v>
      </c>
      <c r="K399" s="22">
        <f>IF(I399="","",IF(I399="ENTRADA",ABS(J399),-ABS(J399)))</f>
        <v>24480</v>
      </c>
      <c r="L399" t="s">
        <v>37</v>
      </c>
      <c r="N399">
        <v>57128</v>
      </c>
      <c r="P399">
        <v>14936</v>
      </c>
      <c r="Q399" s="42">
        <v>46237</v>
      </c>
      <c r="R399" s="22" t="str">
        <f>IF(H399="","",H399&amp;I399)</f>
        <v>260730-399ENTRADA</v>
      </c>
      <c r="S399" s="22" t="str">
        <f>IF(C399="","",C399&amp;I399)</f>
        <v>Hydra HumeENTRADA</v>
      </c>
      <c r="T399" t="str">
        <f>IF(OR(C399="",I399&lt;&gt;"ENTRADA"),"",TEXT(B399,"AAMMDD")&amp;"-"&amp;TEXT(VALUE(SUBSTITUTE(A399,"MOV-","")),"000"))</f>
        <v>260730-399</v>
      </c>
    </row>
    <row r="400" spans="1:20">
      <c r="A400" s="20" t="s">
        <v>667</v>
      </c>
      <c r="B400" s="47">
        <v>46238</v>
      </c>
      <c r="C400" t="s">
        <v>115</v>
      </c>
      <c r="D400" t="s">
        <v>116</v>
      </c>
      <c r="E400" t="s">
        <v>34</v>
      </c>
      <c r="F400" t="s">
        <v>35</v>
      </c>
      <c r="G400" t="s">
        <v>117</v>
      </c>
      <c r="H400" s="20" t="s">
        <v>668</v>
      </c>
      <c r="I400" t="s">
        <v>65</v>
      </c>
      <c r="J400" s="30">
        <v>600</v>
      </c>
      <c r="K400" s="22">
        <f>IF(I400="","",IF(I400="ENTRADA",ABS(J400),-ABS(J400)))</f>
        <v>-600</v>
      </c>
      <c r="L400" t="s">
        <v>37</v>
      </c>
      <c r="N400">
        <v>65151</v>
      </c>
      <c r="O400" t="s">
        <v>218</v>
      </c>
      <c r="P400">
        <v>1873</v>
      </c>
      <c r="Q400" s="42">
        <v>46241</v>
      </c>
      <c r="R400" s="22" t="str">
        <f>IF(H400="","",H400&amp;I400)</f>
        <v>260727-381SALIDA</v>
      </c>
      <c r="S400" s="22" t="str">
        <f>IF(C400="","",C400&amp;I400)</f>
        <v>AzukaSALIDA</v>
      </c>
      <c r="T400" t="str">
        <f>IF(OR(C400="",I400&lt;&gt;"ENTRADA"),"",TEXT(B400,"AAMMDD")&amp;"-"&amp;TEXT(VALUE(SUBSTITUTE(A400,"MOV-","")),"000"))</f>
        <v/>
      </c>
    </row>
    <row r="401" spans="1:20">
      <c r="A401" s="20" t="s">
        <v>669</v>
      </c>
      <c r="B401" s="47">
        <v>46238</v>
      </c>
      <c r="C401" t="s">
        <v>122</v>
      </c>
      <c r="D401" t="s">
        <v>123</v>
      </c>
      <c r="E401" t="s">
        <v>34</v>
      </c>
      <c r="F401" t="s">
        <v>35</v>
      </c>
      <c r="G401" t="s">
        <v>117</v>
      </c>
      <c r="H401" s="20" t="s">
        <v>203</v>
      </c>
      <c r="I401" t="s">
        <v>65</v>
      </c>
      <c r="J401" s="30">
        <v>160</v>
      </c>
      <c r="K401" s="22">
        <f>IF(I401="","",IF(I401="ENTRADA",ABS(J401),-ABS(J401)))</f>
        <v>-160</v>
      </c>
      <c r="L401" t="s">
        <v>37</v>
      </c>
      <c r="N401">
        <v>65151</v>
      </c>
      <c r="O401" t="s">
        <v>218</v>
      </c>
      <c r="P401">
        <v>1873</v>
      </c>
      <c r="Q401" s="42">
        <v>46241</v>
      </c>
      <c r="R401" s="22" t="str">
        <f>IF(H401="","",H401&amp;I401)</f>
        <v>260410-027SALIDA</v>
      </c>
      <c r="S401" s="22" t="str">
        <f>IF(C401="","",C401&amp;I401)</f>
        <v>PardoSALIDA</v>
      </c>
      <c r="T401" t="str">
        <f>IF(OR(C401="",I401&lt;&gt;"ENTRADA"),"",TEXT(B401,"AAMMDD")&amp;"-"&amp;TEXT(VALUE(SUBSTITUTE(A401,"MOV-","")),"000"))</f>
        <v/>
      </c>
    </row>
    <row r="402" spans="1:20">
      <c r="A402" s="20" t="s">
        <v>670</v>
      </c>
      <c r="B402" s="47">
        <v>46238</v>
      </c>
      <c r="C402" t="s">
        <v>137</v>
      </c>
      <c r="D402" t="s">
        <v>138</v>
      </c>
      <c r="E402" t="s">
        <v>132</v>
      </c>
      <c r="G402" t="s">
        <v>133</v>
      </c>
      <c r="H402" s="20" t="s">
        <v>211</v>
      </c>
      <c r="I402" t="s">
        <v>65</v>
      </c>
      <c r="J402" s="30">
        <v>3</v>
      </c>
      <c r="K402" s="22">
        <f>IF(I402="","",IF(I402="ENTRADA",ABS(J402),-ABS(J402)))</f>
        <v>-3</v>
      </c>
      <c r="L402" t="s">
        <v>37</v>
      </c>
      <c r="N402">
        <v>65151</v>
      </c>
      <c r="O402" t="s">
        <v>218</v>
      </c>
      <c r="P402">
        <v>1873</v>
      </c>
      <c r="Q402" s="42">
        <v>46241</v>
      </c>
      <c r="R402" s="22" t="str">
        <f>IF(H402="","",H402&amp;I402)</f>
        <v>260414-030SALIDA</v>
      </c>
      <c r="S402" s="22" t="str">
        <f>IF(C402="","",C402&amp;I402)</f>
        <v>Full controlSALIDA</v>
      </c>
      <c r="T402" t="str">
        <f>IF(OR(C402="",I402&lt;&gt;"ENTRADA"),"",TEXT(B402,"AAMMDD")&amp;"-"&amp;TEXT(VALUE(SUBSTITUTE(A402,"MOV-","")),"000"))</f>
        <v/>
      </c>
    </row>
    <row r="403" spans="1:20">
      <c r="A403" s="20" t="s">
        <v>671</v>
      </c>
      <c r="B403" s="47">
        <v>46238</v>
      </c>
      <c r="C403" t="s">
        <v>656</v>
      </c>
      <c r="D403" t="s">
        <v>657</v>
      </c>
      <c r="E403" t="s">
        <v>132</v>
      </c>
      <c r="G403" t="s">
        <v>133</v>
      </c>
      <c r="H403" s="20" t="s">
        <v>659</v>
      </c>
      <c r="I403" t="s">
        <v>65</v>
      </c>
      <c r="J403" s="30">
        <v>15</v>
      </c>
      <c r="K403" s="22">
        <f>IF(I403="","",IF(I403="ENTRADA",ABS(J403),-ABS(J403)))</f>
        <v>-15</v>
      </c>
      <c r="L403" t="s">
        <v>37</v>
      </c>
      <c r="N403">
        <v>65151</v>
      </c>
      <c r="O403" t="s">
        <v>218</v>
      </c>
      <c r="P403">
        <v>1873</v>
      </c>
      <c r="Q403" s="42">
        <v>46241</v>
      </c>
      <c r="R403" s="22" t="str">
        <f>IF(H403="","",H403&amp;I403)</f>
        <v>260729-393SALIDA</v>
      </c>
      <c r="S403" s="22" t="str">
        <f>IF(C403="","",C403&amp;I403)</f>
        <v>Harrier Drone SALIDA</v>
      </c>
      <c r="T403" t="str">
        <f>IF(OR(C403="",I403&lt;&gt;"ENTRADA"),"",TEXT(B403,"AAMMDD")&amp;"-"&amp;TEXT(VALUE(SUBSTITUTE(A403,"MOV-","")),"000"))</f>
        <v/>
      </c>
    </row>
    <row r="404" spans="1:20">
      <c r="A404" s="20" t="s">
        <v>672</v>
      </c>
      <c r="B404" s="47">
        <v>46238</v>
      </c>
      <c r="C404" t="s">
        <v>75</v>
      </c>
      <c r="D404" t="s">
        <v>76</v>
      </c>
      <c r="E404" t="s">
        <v>34</v>
      </c>
      <c r="F404" t="s">
        <v>35</v>
      </c>
      <c r="G404" t="s">
        <v>77</v>
      </c>
      <c r="H404" s="20" t="s">
        <v>94</v>
      </c>
      <c r="I404" t="s">
        <v>65</v>
      </c>
      <c r="J404" s="30">
        <v>240</v>
      </c>
      <c r="K404" s="22">
        <f>IF(I404="","",IF(I404="ENTRADA",ABS(J404),-ABS(J404)))</f>
        <v>-240</v>
      </c>
      <c r="L404" t="s">
        <v>37</v>
      </c>
      <c r="N404">
        <v>65151</v>
      </c>
      <c r="O404" t="s">
        <v>218</v>
      </c>
      <c r="P404">
        <v>1873</v>
      </c>
      <c r="Q404" s="42">
        <v>46241</v>
      </c>
      <c r="R404" s="22" t="str">
        <f>IF(H404="","",H404&amp;I404)</f>
        <v>260407-012SALIDA</v>
      </c>
      <c r="S404" s="22" t="str">
        <f>IF(C404="","",C404&amp;I404)</f>
        <v>Dedalo eliteSALIDA</v>
      </c>
      <c r="T404" t="str">
        <f>IF(OR(C404="",I404&lt;&gt;"ENTRADA"),"",TEXT(B404,"AAMMDD")&amp;"-"&amp;TEXT(VALUE(SUBSTITUTE(A404,"MOV-","")),"000"))</f>
        <v/>
      </c>
    </row>
    <row r="405" spans="1:20">
      <c r="A405" s="20" t="s">
        <v>673</v>
      </c>
      <c r="B405" s="47">
        <v>46240</v>
      </c>
      <c r="C405" t="s">
        <v>524</v>
      </c>
      <c r="D405" t="s">
        <v>525</v>
      </c>
      <c r="E405" t="s">
        <v>516</v>
      </c>
      <c r="G405" t="s">
        <v>158</v>
      </c>
      <c r="H405" s="20" t="s">
        <v>553</v>
      </c>
      <c r="I405" t="s">
        <v>65</v>
      </c>
      <c r="J405" s="30">
        <v>480</v>
      </c>
      <c r="K405" s="22">
        <f>IF(I405="","",IF(I405="ENTRADA",ABS(J405),-ABS(J405)))</f>
        <v>-480</v>
      </c>
      <c r="L405" t="s">
        <v>37</v>
      </c>
      <c r="N405">
        <v>65152</v>
      </c>
      <c r="O405" t="s">
        <v>382</v>
      </c>
      <c r="P405">
        <v>1874</v>
      </c>
      <c r="Q405" s="42">
        <v>46241</v>
      </c>
      <c r="R405" s="22" t="str">
        <f>IF(H405="","",H405&amp;I405)</f>
        <v>260623-289SALIDA</v>
      </c>
      <c r="S405" s="22" t="str">
        <f>IF(C405="","",C405&amp;I405)</f>
        <v>cripton xpro SALIDA</v>
      </c>
      <c r="T405" t="str">
        <f>IF(OR(C405="",I405&lt;&gt;"ENTRADA"),"",TEXT(B405,"AAMMDD")&amp;"-"&amp;TEXT(VALUE(SUBSTITUTE(A405,"MOV-","")),"000"))</f>
        <v/>
      </c>
    </row>
    <row r="406" spans="1:20">
      <c r="A406" s="20" t="s">
        <v>674</v>
      </c>
      <c r="B406" s="47">
        <v>46240</v>
      </c>
      <c r="C406" t="s">
        <v>491</v>
      </c>
      <c r="D406" t="s">
        <v>492</v>
      </c>
      <c r="E406" t="s">
        <v>493</v>
      </c>
      <c r="G406" t="s">
        <v>36</v>
      </c>
      <c r="H406" s="20" t="s">
        <v>495</v>
      </c>
      <c r="I406" t="s">
        <v>65</v>
      </c>
      <c r="J406" s="30">
        <v>2000</v>
      </c>
      <c r="K406" s="22">
        <f>IF(I406="","",IF(I406="ENTRADA",ABS(J406),-ABS(J406)))</f>
        <v>-2000</v>
      </c>
      <c r="L406" t="s">
        <v>37</v>
      </c>
      <c r="N406">
        <v>65152</v>
      </c>
      <c r="O406" t="s">
        <v>382</v>
      </c>
      <c r="P406">
        <v>1874</v>
      </c>
      <c r="Q406" s="42">
        <v>46241</v>
      </c>
      <c r="R406" s="22" t="str">
        <f>IF(H406="","",H406&amp;I406)</f>
        <v>260610-265SALIDA</v>
      </c>
      <c r="S406" s="22" t="str">
        <f>IF(C406="","",C406&amp;I406)</f>
        <v>Zinc Plus SALIDA</v>
      </c>
      <c r="T406" t="str">
        <f>IF(OR(C406="",I406&lt;&gt;"ENTRADA"),"",TEXT(B406,"AAMMDD")&amp;"-"&amp;TEXT(VALUE(SUBSTITUTE(A406,"MOV-","")),"000"))</f>
        <v/>
      </c>
    </row>
    <row r="407" spans="1:20">
      <c r="A407" s="20" t="s">
        <v>675</v>
      </c>
      <c r="B407" s="47">
        <v>46240</v>
      </c>
      <c r="C407" t="s">
        <v>656</v>
      </c>
      <c r="D407" t="s">
        <v>657</v>
      </c>
      <c r="E407" t="s">
        <v>132</v>
      </c>
      <c r="G407" t="s">
        <v>133</v>
      </c>
      <c r="H407" s="20" t="s">
        <v>659</v>
      </c>
      <c r="I407" t="s">
        <v>65</v>
      </c>
      <c r="J407" s="30">
        <v>120</v>
      </c>
      <c r="K407" s="22">
        <f>IF(I407="","",IF(I407="ENTRADA",ABS(J407),-ABS(J407)))</f>
        <v>-120</v>
      </c>
      <c r="L407" t="s">
        <v>37</v>
      </c>
      <c r="N407">
        <v>65152</v>
      </c>
      <c r="O407" t="s">
        <v>382</v>
      </c>
      <c r="P407">
        <v>1874</v>
      </c>
      <c r="Q407" s="42">
        <v>46241</v>
      </c>
      <c r="R407" s="22" t="str">
        <f>IF(H407="","",H407&amp;I407)</f>
        <v>260729-393SALIDA</v>
      </c>
      <c r="S407" s="22" t="str">
        <f>IF(C407="","",C407&amp;I407)</f>
        <v>Harrier Drone SALIDA</v>
      </c>
      <c r="T407" t="str">
        <f>IF(OR(C407="",I407&lt;&gt;"ENTRADA"),"",TEXT(B407,"AAMMDD")&amp;"-"&amp;TEXT(VALUE(SUBSTITUTE(A407,"MOV-","")),"000"))</f>
        <v/>
      </c>
    </row>
    <row r="408" spans="1:20">
      <c r="A408" s="20" t="s">
        <v>676</v>
      </c>
      <c r="B408" s="47">
        <v>46242</v>
      </c>
      <c r="C408" s="34" t="s">
        <v>115</v>
      </c>
      <c r="D408" s="34" t="s">
        <v>116</v>
      </c>
      <c r="E408" s="34" t="s">
        <v>34</v>
      </c>
      <c r="F408" s="34" t="s">
        <v>35</v>
      </c>
      <c r="G408" s="34" t="s">
        <v>117</v>
      </c>
      <c r="H408" s="20" t="s">
        <v>668</v>
      </c>
      <c r="I408" s="34" t="s">
        <v>65</v>
      </c>
      <c r="J408" s="36">
        <v>960</v>
      </c>
      <c r="K408" s="22">
        <f>IF(I408="","",IF(I408="ENTRADA",ABS(J408),-ABS(J408)))</f>
        <v>-960</v>
      </c>
      <c r="L408" s="34" t="s">
        <v>37</v>
      </c>
      <c r="M408" s="34"/>
      <c r="N408">
        <v>65153</v>
      </c>
      <c r="O408" s="34" t="s">
        <v>213</v>
      </c>
      <c r="P408">
        <v>1875</v>
      </c>
      <c r="Q408" s="42">
        <v>46244</v>
      </c>
      <c r="R408" s="22" t="str">
        <f>IF(H408="","",H408&amp;I408)</f>
        <v>260727-381SALIDA</v>
      </c>
      <c r="S408" s="22" t="str">
        <f>IF(C408="","",C408&amp;I408)</f>
        <v>AzukaSALIDA</v>
      </c>
      <c r="T408" t="str">
        <f>IF(OR(C408="",I408&lt;&gt;"ENTRADA"),"",TEXT(B408,"AAMMDD")&amp;"-"&amp;TEXT(VALUE(SUBSTITUTE(A408,"MOV-","")),"000"))</f>
        <v/>
      </c>
    </row>
    <row r="409" spans="1:20">
      <c r="A409" s="20" t="s">
        <v>677</v>
      </c>
      <c r="B409" s="47">
        <v>46242</v>
      </c>
      <c r="C409" t="s">
        <v>90</v>
      </c>
      <c r="D409" t="s">
        <v>91</v>
      </c>
      <c r="E409" t="s">
        <v>34</v>
      </c>
      <c r="F409" t="s">
        <v>35</v>
      </c>
      <c r="G409" t="s">
        <v>36</v>
      </c>
      <c r="H409" s="20" t="s">
        <v>375</v>
      </c>
      <c r="I409" t="s">
        <v>65</v>
      </c>
      <c r="J409" s="30">
        <v>200</v>
      </c>
      <c r="K409" s="22">
        <f>IF(I409="","",IF(I409="ENTRADA",ABS(J409),-ABS(J409)))</f>
        <v>-200</v>
      </c>
      <c r="L409" t="s">
        <v>37</v>
      </c>
      <c r="N409">
        <v>65153</v>
      </c>
      <c r="O409" t="s">
        <v>213</v>
      </c>
      <c r="P409">
        <v>1875</v>
      </c>
      <c r="Q409" s="42">
        <v>46244</v>
      </c>
      <c r="R409" s="22" t="str">
        <f>IF(H409="","",H409&amp;I409)</f>
        <v>260405-132SALIDA</v>
      </c>
      <c r="S409" s="22" t="str">
        <f>IF(C409="","",C409&amp;I409)</f>
        <v>PixxaroSALIDA</v>
      </c>
      <c r="T409" t="str">
        <f>IF(OR(C409="",I409&lt;&gt;"ENTRADA"),"",TEXT(B409,"AAMMDD")&amp;"-"&amp;TEXT(VALUE(SUBSTITUTE(A409,"MOV-","")),"000"))</f>
        <v/>
      </c>
    </row>
    <row r="410" spans="1:20">
      <c r="A410" s="20" t="s">
        <v>678</v>
      </c>
      <c r="B410" s="47">
        <v>46242</v>
      </c>
      <c r="C410" t="s">
        <v>122</v>
      </c>
      <c r="D410" t="s">
        <v>123</v>
      </c>
      <c r="E410" t="s">
        <v>34</v>
      </c>
      <c r="F410" t="s">
        <v>35</v>
      </c>
      <c r="G410" t="s">
        <v>117</v>
      </c>
      <c r="H410" s="20" t="s">
        <v>203</v>
      </c>
      <c r="I410" t="s">
        <v>65</v>
      </c>
      <c r="J410" s="30">
        <v>920</v>
      </c>
      <c r="K410" s="22">
        <f>IF(I410="","",IF(I410="ENTRADA",ABS(J410),-ABS(J410)))</f>
        <v>-920</v>
      </c>
      <c r="L410" t="s">
        <v>37</v>
      </c>
      <c r="N410">
        <v>65153</v>
      </c>
      <c r="O410" t="s">
        <v>213</v>
      </c>
      <c r="P410">
        <v>1875</v>
      </c>
      <c r="Q410" s="42">
        <v>46244</v>
      </c>
      <c r="R410" s="22" t="str">
        <f>IF(H410="","",H410&amp;I410)</f>
        <v>260410-027SALIDA</v>
      </c>
      <c r="S410" s="22" t="str">
        <f>IF(C410="","",C410&amp;I410)</f>
        <v>PardoSALIDA</v>
      </c>
      <c r="T410" t="str">
        <f>IF(OR(C410="",I410&lt;&gt;"ENTRADA"),"",TEXT(B410,"AAMMDD")&amp;"-"&amp;TEXT(VALUE(SUBSTITUTE(A410,"MOV-","")),"000"))</f>
        <v/>
      </c>
    </row>
    <row r="411" spans="1:20">
      <c r="A411" s="20" t="s">
        <v>679</v>
      </c>
      <c r="B411" s="47">
        <v>46242</v>
      </c>
      <c r="C411" t="s">
        <v>491</v>
      </c>
      <c r="D411" t="s">
        <v>492</v>
      </c>
      <c r="E411" t="s">
        <v>493</v>
      </c>
      <c r="G411" t="s">
        <v>36</v>
      </c>
      <c r="H411" s="20" t="s">
        <v>495</v>
      </c>
      <c r="I411" t="s">
        <v>65</v>
      </c>
      <c r="J411" s="30">
        <v>1260</v>
      </c>
      <c r="K411" s="22">
        <f>IF(I411="","",IF(I411="ENTRADA",ABS(J411),-ABS(J411)))</f>
        <v>-1260</v>
      </c>
      <c r="L411" t="s">
        <v>37</v>
      </c>
      <c r="N411">
        <v>65154</v>
      </c>
      <c r="O411" t="s">
        <v>382</v>
      </c>
      <c r="P411">
        <v>1876</v>
      </c>
      <c r="Q411" s="42">
        <v>46244</v>
      </c>
      <c r="R411" s="22" t="str">
        <f>IF(H411="","",H411&amp;I411)</f>
        <v>260610-265SALIDA</v>
      </c>
      <c r="S411" s="22" t="str">
        <f>IF(C411="","",C411&amp;I411)</f>
        <v>Zinc Plus SALIDA</v>
      </c>
      <c r="T411" t="str">
        <f>IF(OR(C411="",I411&lt;&gt;"ENTRADA"),"",TEXT(B411,"AAMMDD")&amp;"-"&amp;TEXT(VALUE(SUBSTITUTE(A411,"MOV-","")),"000"))</f>
        <v/>
      </c>
    </row>
    <row r="412" spans="1:20">
      <c r="A412" s="20" t="s">
        <v>680</v>
      </c>
      <c r="B412" s="47">
        <v>46242</v>
      </c>
      <c r="C412" t="s">
        <v>524</v>
      </c>
      <c r="D412" t="s">
        <v>525</v>
      </c>
      <c r="E412" t="s">
        <v>516</v>
      </c>
      <c r="G412" t="s">
        <v>158</v>
      </c>
      <c r="H412" s="20" t="s">
        <v>553</v>
      </c>
      <c r="I412" t="s">
        <v>65</v>
      </c>
      <c r="J412" s="30">
        <v>300</v>
      </c>
      <c r="K412" s="22">
        <f>IF(I412="","",IF(I412="ENTRADA",ABS(J412),-ABS(J412)))</f>
        <v>-300</v>
      </c>
      <c r="L412" t="s">
        <v>37</v>
      </c>
      <c r="N412">
        <v>65154</v>
      </c>
      <c r="O412" t="s">
        <v>382</v>
      </c>
      <c r="P412">
        <v>1876</v>
      </c>
      <c r="Q412" s="42">
        <v>46244</v>
      </c>
      <c r="R412" s="22" t="str">
        <f>IF(H412="","",H412&amp;I412)</f>
        <v>260623-289SALIDA</v>
      </c>
      <c r="S412" s="22" t="str">
        <f>IF(C412="","",C412&amp;I412)</f>
        <v>cripton xpro SALIDA</v>
      </c>
      <c r="T412" t="str">
        <f>IF(OR(C412="",I412&lt;&gt;"ENTRADA"),"",TEXT(B412,"AAMMDD")&amp;"-"&amp;TEXT(VALUE(SUBSTITUTE(A412,"MOV-","")),"000"))</f>
        <v/>
      </c>
    </row>
    <row r="413" spans="1:20">
      <c r="A413" s="20" t="s">
        <v>681</v>
      </c>
      <c r="B413" s="47">
        <v>46242</v>
      </c>
      <c r="C413" t="s">
        <v>656</v>
      </c>
      <c r="D413" t="s">
        <v>657</v>
      </c>
      <c r="E413" t="s">
        <v>132</v>
      </c>
      <c r="G413" t="s">
        <v>133</v>
      </c>
      <c r="H413" s="20" t="s">
        <v>659</v>
      </c>
      <c r="I413" t="s">
        <v>65</v>
      </c>
      <c r="J413" s="30">
        <v>60</v>
      </c>
      <c r="K413" s="22">
        <f>IF(I413="","",IF(I413="ENTRADA",ABS(J413),-ABS(J413)))</f>
        <v>-60</v>
      </c>
      <c r="L413" t="s">
        <v>37</v>
      </c>
      <c r="N413">
        <v>65154</v>
      </c>
      <c r="O413" t="s">
        <v>382</v>
      </c>
      <c r="P413">
        <v>1876</v>
      </c>
      <c r="Q413" s="42">
        <v>46244</v>
      </c>
      <c r="R413" s="22" t="str">
        <f>IF(H413="","",H413&amp;I413)</f>
        <v>260729-393SALIDA</v>
      </c>
      <c r="S413" s="22" t="str">
        <f>IF(C413="","",C413&amp;I413)</f>
        <v>Harrier Drone SALIDA</v>
      </c>
      <c r="T413" t="str">
        <f>IF(OR(C413="",I413&lt;&gt;"ENTRADA"),"",TEXT(B413,"AAMMDD")&amp;"-"&amp;TEXT(VALUE(SUBSTITUTE(A413,"MOV-","")),"000"))</f>
        <v/>
      </c>
    </row>
    <row r="414" spans="1:20">
      <c r="A414" s="20" t="s">
        <v>682</v>
      </c>
      <c r="B414" s="47">
        <v>46242</v>
      </c>
      <c r="C414" t="s">
        <v>147</v>
      </c>
      <c r="D414" t="s">
        <v>148</v>
      </c>
      <c r="E414" t="s">
        <v>34</v>
      </c>
      <c r="F414" t="s">
        <v>35</v>
      </c>
      <c r="G414" t="s">
        <v>36</v>
      </c>
      <c r="H414" s="20" t="s">
        <v>563</v>
      </c>
      <c r="I414" t="s">
        <v>65</v>
      </c>
      <c r="J414" s="30">
        <v>160</v>
      </c>
      <c r="K414" s="22">
        <f>IF(I414="","",IF(I414="ENTRADA",ABS(J414),-ABS(J414)))</f>
        <v>-160</v>
      </c>
      <c r="L414" t="s">
        <v>37</v>
      </c>
      <c r="N414">
        <v>65155</v>
      </c>
      <c r="O414" t="s">
        <v>218</v>
      </c>
      <c r="P414">
        <v>1877</v>
      </c>
      <c r="Q414" s="42">
        <v>46244</v>
      </c>
      <c r="R414" s="22" t="str">
        <f>IF(H414="","",H414&amp;I414)</f>
        <v>260415-032SALIDA</v>
      </c>
      <c r="S414" s="22" t="str">
        <f>IF(C414="","",C414&amp;I414)</f>
        <v>AxialSALIDA</v>
      </c>
      <c r="T414" t="str">
        <f>IF(OR(C414="",I414&lt;&gt;"ENTRADA"),"",TEXT(B414,"AAMMDD")&amp;"-"&amp;TEXT(VALUE(SUBSTITUTE(A414,"MOV-","")),"000"))</f>
        <v/>
      </c>
    </row>
    <row r="415" spans="1:20">
      <c r="A415" s="20" t="s">
        <v>683</v>
      </c>
      <c r="B415" s="47">
        <v>46242</v>
      </c>
      <c r="C415" t="s">
        <v>656</v>
      </c>
      <c r="D415" t="s">
        <v>657</v>
      </c>
      <c r="E415" t="s">
        <v>132</v>
      </c>
      <c r="G415" t="s">
        <v>133</v>
      </c>
      <c r="H415" s="20" t="s">
        <v>659</v>
      </c>
      <c r="I415" t="s">
        <v>65</v>
      </c>
      <c r="J415" s="30">
        <v>15</v>
      </c>
      <c r="K415" s="22">
        <f>IF(I415="","",IF(I415="ENTRADA",ABS(J415),-ABS(J415)))</f>
        <v>-15</v>
      </c>
      <c r="L415" t="s">
        <v>37</v>
      </c>
      <c r="N415">
        <v>65155</v>
      </c>
      <c r="O415" t="s">
        <v>218</v>
      </c>
      <c r="P415">
        <v>1877</v>
      </c>
      <c r="Q415" s="42">
        <v>46244</v>
      </c>
      <c r="R415" s="22" t="str">
        <f>IF(H415="","",H415&amp;I415)</f>
        <v>260729-393SALIDA</v>
      </c>
      <c r="S415" s="22" t="str">
        <f>IF(C415="","",C415&amp;I415)</f>
        <v>Harrier Drone SALIDA</v>
      </c>
      <c r="T415" t="str">
        <f>IF(OR(C415="",I415&lt;&gt;"ENTRADA"),"",TEXT(B415,"AAMMDD")&amp;"-"&amp;TEXT(VALUE(SUBSTITUTE(A415,"MOV-","")),"000"))</f>
        <v/>
      </c>
    </row>
    <row r="416" spans="1:20">
      <c r="A416" s="20" t="s">
        <v>684</v>
      </c>
      <c r="B416" s="47">
        <v>46242</v>
      </c>
      <c r="C416" t="s">
        <v>491</v>
      </c>
      <c r="D416" t="s">
        <v>492</v>
      </c>
      <c r="E416" t="s">
        <v>493</v>
      </c>
      <c r="G416" t="s">
        <v>36</v>
      </c>
      <c r="H416" s="20" t="s">
        <v>495</v>
      </c>
      <c r="I416" t="s">
        <v>65</v>
      </c>
      <c r="J416" s="30">
        <v>140</v>
      </c>
      <c r="K416" s="22">
        <f>IF(I416="","",IF(I416="ENTRADA",ABS(J416),-ABS(J416)))</f>
        <v>-140</v>
      </c>
      <c r="L416" t="s">
        <v>37</v>
      </c>
      <c r="N416">
        <v>65155</v>
      </c>
      <c r="O416" t="s">
        <v>218</v>
      </c>
      <c r="P416">
        <v>1877</v>
      </c>
      <c r="Q416" s="42">
        <v>46244</v>
      </c>
      <c r="R416" s="22" t="str">
        <f>IF(H416="","",H416&amp;I416)</f>
        <v>260610-265SALIDA</v>
      </c>
      <c r="S416" s="22" t="str">
        <f>IF(C416="","",C416&amp;I416)</f>
        <v>Zinc Plus SALIDA</v>
      </c>
      <c r="T416" t="str">
        <f>IF(OR(C416="",I416&lt;&gt;"ENTRADA"),"",TEXT(B416,"AAMMDD")&amp;"-"&amp;TEXT(VALUE(SUBSTITUTE(A416,"MOV-","")),"000"))</f>
        <v/>
      </c>
    </row>
    <row r="417" spans="1:20">
      <c r="A417" s="20" t="s">
        <v>685</v>
      </c>
      <c r="B417" s="47">
        <v>46242</v>
      </c>
      <c r="C417" t="s">
        <v>137</v>
      </c>
      <c r="D417" t="s">
        <v>138</v>
      </c>
      <c r="E417" t="s">
        <v>132</v>
      </c>
      <c r="G417" t="s">
        <v>133</v>
      </c>
      <c r="H417" s="20" t="s">
        <v>211</v>
      </c>
      <c r="I417" t="s">
        <v>65</v>
      </c>
      <c r="J417" s="30">
        <v>2</v>
      </c>
      <c r="K417" s="22">
        <f>IF(I417="","",IF(I417="ENTRADA",ABS(J417),-ABS(J417)))</f>
        <v>-2</v>
      </c>
      <c r="L417" t="s">
        <v>37</v>
      </c>
      <c r="N417">
        <v>65155</v>
      </c>
      <c r="O417" t="s">
        <v>218</v>
      </c>
      <c r="P417">
        <v>1877</v>
      </c>
      <c r="Q417" s="42">
        <v>46244</v>
      </c>
      <c r="R417" s="22" t="str">
        <f>IF(H417="","",H417&amp;I417)</f>
        <v>260414-030SALIDA</v>
      </c>
      <c r="S417" s="22" t="str">
        <f>IF(C417="","",C417&amp;I417)</f>
        <v>Full controlSALIDA</v>
      </c>
      <c r="T417" t="str">
        <f>IF(OR(C417="",I417&lt;&gt;"ENTRADA"),"",TEXT(B417,"AAMMDD")&amp;"-"&amp;TEXT(VALUE(SUBSTITUTE(A417,"MOV-","")),"000"))</f>
        <v/>
      </c>
    </row>
    <row r="418" spans="1:20">
      <c r="A418" s="20" t="s">
        <v>686</v>
      </c>
      <c r="B418" s="47">
        <v>46202</v>
      </c>
      <c r="C418" t="s">
        <v>137</v>
      </c>
      <c r="D418" t="s">
        <v>138</v>
      </c>
      <c r="E418" t="s">
        <v>132</v>
      </c>
      <c r="G418" t="s">
        <v>133</v>
      </c>
      <c r="H418" s="20" t="s">
        <v>211</v>
      </c>
      <c r="I418" t="s">
        <v>65</v>
      </c>
      <c r="J418" s="30">
        <v>15</v>
      </c>
      <c r="K418" s="22">
        <f>IF(I418="","",IF(I418="ENTRADA",ABS(J418),-ABS(J418)))</f>
        <v>-15</v>
      </c>
      <c r="L418" t="s">
        <v>37</v>
      </c>
      <c r="N418" t="s">
        <v>687</v>
      </c>
      <c r="O418" t="s">
        <v>382</v>
      </c>
      <c r="P418">
        <v>1818</v>
      </c>
      <c r="Q418" s="42">
        <v>46202</v>
      </c>
      <c r="R418" s="22" t="str">
        <f>IF(H418="","",H418&amp;I418)</f>
        <v>260414-030SALIDA</v>
      </c>
      <c r="S418" s="22" t="str">
        <f>IF(C418="","",C418&amp;I418)</f>
        <v>Full controlSALIDA</v>
      </c>
      <c r="T418" t="str">
        <f>IF(OR(C418="",I418&lt;&gt;"ENTRADA"),"",TEXT(B418,"AAMMDD")&amp;"-"&amp;TEXT(VALUE(SUBSTITUTE(A418,"MOV-","")),"000"))</f>
        <v/>
      </c>
    </row>
    <row r="419" spans="1:20">
      <c r="A419" s="20" t="s">
        <v>688</v>
      </c>
      <c r="B419" s="47">
        <v>46245</v>
      </c>
      <c r="C419" s="34" t="s">
        <v>115</v>
      </c>
      <c r="D419" s="34" t="s">
        <v>116</v>
      </c>
      <c r="E419" s="34" t="s">
        <v>34</v>
      </c>
      <c r="F419" s="34" t="s">
        <v>35</v>
      </c>
      <c r="G419" s="34" t="s">
        <v>117</v>
      </c>
      <c r="H419" s="20" t="s">
        <v>120</v>
      </c>
      <c r="I419" s="34" t="s">
        <v>65</v>
      </c>
      <c r="J419" s="36">
        <v>1000</v>
      </c>
      <c r="K419" s="22">
        <f>IF(I419="","",IF(I419="ENTRADA",ABS(J419),-ABS(J419)))</f>
        <v>-1000</v>
      </c>
      <c r="L419" s="34" t="s">
        <v>37</v>
      </c>
      <c r="M419" s="34"/>
      <c r="N419">
        <v>65157</v>
      </c>
      <c r="O419" s="34" t="s">
        <v>218</v>
      </c>
      <c r="P419" s="46">
        <v>1878</v>
      </c>
      <c r="Q419" s="42">
        <v>46245</v>
      </c>
      <c r="R419" s="22" t="str">
        <f>IF(H419="","",H419&amp;I419)</f>
        <v>260410-025SALIDA</v>
      </c>
      <c r="S419" s="22" t="str">
        <f>IF(C419="","",C419&amp;I419)</f>
        <v>AzukaSALIDA</v>
      </c>
      <c r="T419" t="str">
        <f>IF(OR(C419="",I419&lt;&gt;"ENTRADA"),"",TEXT(B419,"AAMMDD")&amp;"-"&amp;TEXT(VALUE(SUBSTITUTE(A419,"MOV-","")),"000"))</f>
        <v/>
      </c>
    </row>
    <row r="420" spans="1:20">
      <c r="A420" s="20" t="s">
        <v>689</v>
      </c>
      <c r="B420" s="47">
        <v>46245</v>
      </c>
      <c r="C420" t="s">
        <v>122</v>
      </c>
      <c r="D420" t="s">
        <v>123</v>
      </c>
      <c r="E420" t="s">
        <v>34</v>
      </c>
      <c r="F420" t="s">
        <v>35</v>
      </c>
      <c r="G420" t="s">
        <v>117</v>
      </c>
      <c r="H420" s="20" t="s">
        <v>203</v>
      </c>
      <c r="I420" t="s">
        <v>65</v>
      </c>
      <c r="J420" s="30">
        <v>320</v>
      </c>
      <c r="K420" s="22">
        <f>IF(I420="","",IF(I420="ENTRADA",ABS(J420),-ABS(J420)))</f>
        <v>-320</v>
      </c>
      <c r="L420" t="s">
        <v>37</v>
      </c>
      <c r="N420">
        <v>65157</v>
      </c>
      <c r="O420" t="s">
        <v>218</v>
      </c>
      <c r="P420" s="46">
        <v>1878</v>
      </c>
      <c r="Q420" s="42">
        <v>46245</v>
      </c>
      <c r="R420" s="22" t="str">
        <f>IF(H420="","",H420&amp;I420)</f>
        <v>260410-027SALIDA</v>
      </c>
      <c r="S420" s="22" t="str">
        <f>IF(C420="","",C420&amp;I420)</f>
        <v>PardoSALIDA</v>
      </c>
      <c r="T420" t="str">
        <f>IF(OR(C420="",I420&lt;&gt;"ENTRADA"),"",TEXT(B420,"AAMMDD")&amp;"-"&amp;TEXT(VALUE(SUBSTITUTE(A420,"MOV-","")),"000"))</f>
        <v/>
      </c>
    </row>
    <row r="421" spans="1:20">
      <c r="A421" s="20" t="s">
        <v>690</v>
      </c>
      <c r="B421" s="47">
        <v>46245</v>
      </c>
      <c r="C421" t="s">
        <v>90</v>
      </c>
      <c r="D421" t="s">
        <v>91</v>
      </c>
      <c r="E421" t="s">
        <v>34</v>
      </c>
      <c r="F421" t="s">
        <v>35</v>
      </c>
      <c r="G421" t="s">
        <v>36</v>
      </c>
      <c r="H421" s="20" t="s">
        <v>375</v>
      </c>
      <c r="I421" t="s">
        <v>65</v>
      </c>
      <c r="J421" s="30">
        <v>100</v>
      </c>
      <c r="K421" s="22">
        <f>IF(I421="","",IF(I421="ENTRADA",ABS(J421),-ABS(J421)))</f>
        <v>-100</v>
      </c>
      <c r="L421" t="s">
        <v>37</v>
      </c>
      <c r="N421">
        <v>65157</v>
      </c>
      <c r="O421" t="s">
        <v>218</v>
      </c>
      <c r="P421" s="46">
        <v>1878</v>
      </c>
      <c r="Q421" s="42">
        <v>46245</v>
      </c>
      <c r="R421" s="22" t="str">
        <f>IF(H421="","",H421&amp;I421)</f>
        <v>260405-132SALIDA</v>
      </c>
      <c r="S421" s="22" t="str">
        <f>IF(C421="","",C421&amp;I421)</f>
        <v>PixxaroSALIDA</v>
      </c>
      <c r="T421" t="str">
        <f>IF(OR(C421="",I421&lt;&gt;"ENTRADA"),"",TEXT(B421,"AAMMDD")&amp;"-"&amp;TEXT(VALUE(SUBSTITUTE(A421,"MOV-","")),"000"))</f>
        <v/>
      </c>
    </row>
    <row r="422" spans="1:20">
      <c r="A422" s="20" t="s">
        <v>691</v>
      </c>
      <c r="B422" s="47">
        <v>46245</v>
      </c>
      <c r="C422" t="s">
        <v>130</v>
      </c>
      <c r="D422" t="s">
        <v>131</v>
      </c>
      <c r="E422" t="s">
        <v>132</v>
      </c>
      <c r="G422" t="s">
        <v>133</v>
      </c>
      <c r="H422" s="20" t="s">
        <v>221</v>
      </c>
      <c r="I422" t="s">
        <v>65</v>
      </c>
      <c r="J422" s="30">
        <v>40</v>
      </c>
      <c r="K422" s="22">
        <f>IF(I422="","",IF(I422="ENTRADA",ABS(J422),-ABS(J422)))</f>
        <v>-40</v>
      </c>
      <c r="L422" t="s">
        <v>37</v>
      </c>
      <c r="N422">
        <v>65157</v>
      </c>
      <c r="O422" t="s">
        <v>218</v>
      </c>
      <c r="P422" s="46">
        <v>1878</v>
      </c>
      <c r="Q422" s="42">
        <v>46245</v>
      </c>
      <c r="R422" s="22" t="str">
        <f>IF(H422="","",H422&amp;I422)</f>
        <v>260414-029SALIDA</v>
      </c>
      <c r="S422" s="22" t="str">
        <f>IF(C422="","",C422&amp;I422)</f>
        <v>HarrierSALIDA</v>
      </c>
      <c r="T422" t="str">
        <f>IF(OR(C422="",I422&lt;&gt;"ENTRADA"),"",TEXT(B422,"AAMMDD")&amp;"-"&amp;TEXT(VALUE(SUBSTITUTE(A422,"MOV-","")),"000"))</f>
        <v/>
      </c>
    </row>
    <row r="423" spans="1:20">
      <c r="A423" s="20" t="s">
        <v>692</v>
      </c>
      <c r="B423" s="47">
        <v>46245</v>
      </c>
      <c r="C423" t="s">
        <v>137</v>
      </c>
      <c r="D423" t="s">
        <v>138</v>
      </c>
      <c r="E423" t="s">
        <v>132</v>
      </c>
      <c r="G423" t="s">
        <v>133</v>
      </c>
      <c r="H423" s="20" t="s">
        <v>211</v>
      </c>
      <c r="I423" t="s">
        <v>65</v>
      </c>
      <c r="J423" s="30">
        <v>6</v>
      </c>
      <c r="K423" s="22">
        <f>IF(I423="","",IF(I423="ENTRADA",ABS(J423),-ABS(J423)))</f>
        <v>-6</v>
      </c>
      <c r="L423" t="s">
        <v>37</v>
      </c>
      <c r="N423">
        <v>65157</v>
      </c>
      <c r="O423" t="s">
        <v>218</v>
      </c>
      <c r="P423" s="46">
        <v>1878</v>
      </c>
      <c r="Q423" s="42">
        <v>46245</v>
      </c>
      <c r="R423" s="22" t="str">
        <f>IF(H423="","",H423&amp;I423)</f>
        <v>260414-030SALIDA</v>
      </c>
      <c r="S423" s="22" t="str">
        <f>IF(C423="","",C423&amp;I423)</f>
        <v>Full controlSALIDA</v>
      </c>
      <c r="T423" t="str">
        <f>IF(OR(C423="",I423&lt;&gt;"ENTRADA"),"",TEXT(B423,"AAMMDD")&amp;"-"&amp;TEXT(VALUE(SUBSTITUTE(A423,"MOV-","")),"000"))</f>
        <v/>
      </c>
    </row>
    <row r="424" spans="1:20">
      <c r="A424" s="20" t="s">
        <v>693</v>
      </c>
      <c r="B424" s="47">
        <v>46245</v>
      </c>
      <c r="C424" t="s">
        <v>115</v>
      </c>
      <c r="D424" t="s">
        <v>116</v>
      </c>
      <c r="E424" t="s">
        <v>34</v>
      </c>
      <c r="F424" t="s">
        <v>35</v>
      </c>
      <c r="G424" t="s">
        <v>117</v>
      </c>
      <c r="H424" s="20" t="s">
        <v>120</v>
      </c>
      <c r="I424" t="s">
        <v>65</v>
      </c>
      <c r="J424" s="30">
        <v>700</v>
      </c>
      <c r="K424" s="22">
        <f>IF(I424="","",IF(I424="ENTRADA",ABS(J424),-ABS(J424)))</f>
        <v>-700</v>
      </c>
      <c r="L424" t="s">
        <v>37</v>
      </c>
      <c r="N424">
        <v>65158</v>
      </c>
      <c r="O424" t="s">
        <v>382</v>
      </c>
      <c r="P424">
        <v>1879</v>
      </c>
      <c r="Q424" s="42">
        <v>46247</v>
      </c>
      <c r="R424" s="22" t="str">
        <f>IF(H424="","",H424&amp;I424)</f>
        <v>260410-025SALIDA</v>
      </c>
      <c r="S424" s="22" t="str">
        <f>IF(C424="","",C424&amp;I424)</f>
        <v>AzukaSALIDA</v>
      </c>
      <c r="T424" t="str">
        <f>IF(OR(C424="",I424&lt;&gt;"ENTRADA"),"",TEXT(B424,"AAMMDD")&amp;"-"&amp;TEXT(VALUE(SUBSTITUTE(A424,"MOV-","")),"000"))</f>
        <v/>
      </c>
    </row>
    <row r="425" spans="1:20">
      <c r="A425" s="20" t="s">
        <v>694</v>
      </c>
      <c r="B425" s="47">
        <v>46245</v>
      </c>
      <c r="C425" t="s">
        <v>122</v>
      </c>
      <c r="D425" t="s">
        <v>123</v>
      </c>
      <c r="E425" t="s">
        <v>34</v>
      </c>
      <c r="F425" t="s">
        <v>35</v>
      </c>
      <c r="G425" t="s">
        <v>117</v>
      </c>
      <c r="H425" s="20" t="s">
        <v>203</v>
      </c>
      <c r="I425" t="s">
        <v>65</v>
      </c>
      <c r="J425" s="30">
        <v>250</v>
      </c>
      <c r="K425" s="22">
        <f>IF(I425="","",IF(I425="ENTRADA",ABS(J425),-ABS(J425)))</f>
        <v>-250</v>
      </c>
      <c r="L425" t="s">
        <v>37</v>
      </c>
      <c r="N425">
        <v>65158</v>
      </c>
      <c r="O425" t="s">
        <v>382</v>
      </c>
      <c r="P425">
        <v>1879</v>
      </c>
      <c r="Q425" s="42">
        <v>46247</v>
      </c>
      <c r="R425" s="22" t="str">
        <f>IF(H425="","",H425&amp;I425)</f>
        <v>260410-027SALIDA</v>
      </c>
      <c r="S425" s="22" t="str">
        <f>IF(C425="","",C425&amp;I425)</f>
        <v>PardoSALIDA</v>
      </c>
      <c r="T425" t="str">
        <f>IF(OR(C425="",I425&lt;&gt;"ENTRADA"),"",TEXT(B425,"AAMMDD")&amp;"-"&amp;TEXT(VALUE(SUBSTITUTE(A425,"MOV-","")),"000"))</f>
        <v/>
      </c>
    </row>
    <row r="426" spans="1:20">
      <c r="A426" s="20" t="s">
        <v>695</v>
      </c>
      <c r="B426" s="47">
        <v>46245</v>
      </c>
      <c r="C426" t="s">
        <v>130</v>
      </c>
      <c r="D426" t="s">
        <v>131</v>
      </c>
      <c r="E426" t="s">
        <v>132</v>
      </c>
      <c r="G426" t="s">
        <v>133</v>
      </c>
      <c r="H426" s="20" t="s">
        <v>221</v>
      </c>
      <c r="I426" t="s">
        <v>65</v>
      </c>
      <c r="J426" s="30">
        <v>20</v>
      </c>
      <c r="K426" s="22">
        <f>IF(I426="","",IF(I426="ENTRADA",ABS(J426),-ABS(J426)))</f>
        <v>-20</v>
      </c>
      <c r="L426" t="s">
        <v>37</v>
      </c>
      <c r="N426">
        <v>65158</v>
      </c>
      <c r="O426" t="s">
        <v>382</v>
      </c>
      <c r="P426">
        <v>1879</v>
      </c>
      <c r="Q426" s="42">
        <v>46247</v>
      </c>
      <c r="R426" s="22" t="str">
        <f>IF(H426="","",H426&amp;I426)</f>
        <v>260414-029SALIDA</v>
      </c>
      <c r="S426" s="22" t="str">
        <f>IF(C426="","",C426&amp;I426)</f>
        <v>HarrierSALIDA</v>
      </c>
      <c r="T426" t="str">
        <f>IF(OR(C426="",I426&lt;&gt;"ENTRADA"),"",TEXT(B426,"AAMMDD")&amp;"-"&amp;TEXT(VALUE(SUBSTITUTE(A426,"MOV-","")),"000"))</f>
        <v/>
      </c>
    </row>
    <row r="427" spans="1:20">
      <c r="A427" s="20" t="s">
        <v>696</v>
      </c>
      <c r="B427" s="47">
        <v>46244</v>
      </c>
      <c r="C427" t="s">
        <v>115</v>
      </c>
      <c r="D427" t="s">
        <v>116</v>
      </c>
      <c r="E427" t="s">
        <v>34</v>
      </c>
      <c r="F427" t="s">
        <v>35</v>
      </c>
      <c r="G427" t="s">
        <v>117</v>
      </c>
      <c r="H427" s="20" t="s">
        <v>120</v>
      </c>
      <c r="I427" t="s">
        <v>65</v>
      </c>
      <c r="J427" s="30">
        <v>1200</v>
      </c>
      <c r="K427" s="22">
        <f>IF(I427="","",IF(I427="ENTRADA",ABS(J427),-ABS(J427)))</f>
        <v>-1200</v>
      </c>
      <c r="L427" t="s">
        <v>37</v>
      </c>
      <c r="N427">
        <v>65156</v>
      </c>
      <c r="O427" t="s">
        <v>382</v>
      </c>
      <c r="P427">
        <v>1880</v>
      </c>
      <c r="Q427" s="42">
        <v>46247</v>
      </c>
      <c r="R427" s="22" t="str">
        <f>IF(H427="","",H427&amp;I427)</f>
        <v>260410-025SALIDA</v>
      </c>
      <c r="S427" s="22" t="str">
        <f>IF(C427="","",C427&amp;I427)</f>
        <v>AzukaSALIDA</v>
      </c>
      <c r="T427" t="str">
        <f>IF(OR(C427="",I427&lt;&gt;"ENTRADA"),"",TEXT(B427,"AAMMDD")&amp;"-"&amp;TEXT(VALUE(SUBSTITUTE(A427,"MOV-","")),"000"))</f>
        <v/>
      </c>
    </row>
    <row r="428" spans="1:20">
      <c r="A428" s="20" t="s">
        <v>697</v>
      </c>
      <c r="B428" s="47">
        <v>46244</v>
      </c>
      <c r="C428" t="s">
        <v>122</v>
      </c>
      <c r="D428" t="s">
        <v>123</v>
      </c>
      <c r="E428" t="s">
        <v>34</v>
      </c>
      <c r="F428" t="s">
        <v>35</v>
      </c>
      <c r="G428" t="s">
        <v>117</v>
      </c>
      <c r="H428" s="20" t="s">
        <v>203</v>
      </c>
      <c r="I428" t="s">
        <v>65</v>
      </c>
      <c r="J428" s="30">
        <v>320</v>
      </c>
      <c r="K428" s="22">
        <f>IF(I428="","",IF(I428="ENTRADA",ABS(J428),-ABS(J428)))</f>
        <v>-320</v>
      </c>
      <c r="L428" t="s">
        <v>37</v>
      </c>
      <c r="N428">
        <v>65156</v>
      </c>
      <c r="O428" t="s">
        <v>382</v>
      </c>
      <c r="P428">
        <v>1880</v>
      </c>
      <c r="Q428" s="42">
        <v>46247</v>
      </c>
      <c r="R428" s="22" t="str">
        <f>IF(H428="","",H428&amp;I428)</f>
        <v>260410-027SALIDA</v>
      </c>
      <c r="S428" s="22" t="str">
        <f>IF(C428="","",C428&amp;I428)</f>
        <v>PardoSALIDA</v>
      </c>
      <c r="T428" t="str">
        <f>IF(OR(C428="",I428&lt;&gt;"ENTRADA"),"",TEXT(B428,"AAMMDD")&amp;"-"&amp;TEXT(VALUE(SUBSTITUTE(A428,"MOV-","")),"000"))</f>
        <v/>
      </c>
    </row>
    <row r="429" spans="1:20">
      <c r="A429" s="20" t="s">
        <v>698</v>
      </c>
      <c r="B429" s="47">
        <v>46244</v>
      </c>
      <c r="C429" t="s">
        <v>130</v>
      </c>
      <c r="D429" t="s">
        <v>131</v>
      </c>
      <c r="E429" t="s">
        <v>132</v>
      </c>
      <c r="G429" t="s">
        <v>133</v>
      </c>
      <c r="H429" s="20" t="s">
        <v>221</v>
      </c>
      <c r="I429" t="s">
        <v>65</v>
      </c>
      <c r="J429" s="30">
        <v>60</v>
      </c>
      <c r="K429" s="22">
        <f>IF(I429="","",IF(I429="ENTRADA",ABS(J429),-ABS(J429)))</f>
        <v>-60</v>
      </c>
      <c r="N429">
        <v>65156</v>
      </c>
      <c r="O429" t="s">
        <v>382</v>
      </c>
      <c r="P429">
        <v>1880</v>
      </c>
      <c r="Q429" s="42">
        <v>46247</v>
      </c>
      <c r="R429" s="22" t="str">
        <f>IF(H429="","",H429&amp;I429)</f>
        <v>260414-029SALIDA</v>
      </c>
      <c r="S429" s="22" t="str">
        <f>IF(C429="","",C429&amp;I429)</f>
        <v>HarrierSALIDA</v>
      </c>
      <c r="T429" t="str">
        <f>IF(OR(C429="",I429&lt;&gt;"ENTRADA"),"",TEXT(B429,"AAMMDD")&amp;"-"&amp;TEXT(VALUE(SUBSTITUTE(A429,"MOV-","")),"000"))</f>
        <v/>
      </c>
    </row>
    <row r="430" spans="1:20">
      <c r="A430" s="20" t="s">
        <v>699</v>
      </c>
      <c r="B430" s="47">
        <v>46244</v>
      </c>
      <c r="C430" s="34" t="s">
        <v>137</v>
      </c>
      <c r="D430" s="34" t="s">
        <v>138</v>
      </c>
      <c r="E430" s="34" t="s">
        <v>132</v>
      </c>
      <c r="F430" s="34"/>
      <c r="G430" s="34" t="s">
        <v>133</v>
      </c>
      <c r="H430" s="20" t="s">
        <v>211</v>
      </c>
      <c r="I430" s="34" t="s">
        <v>65</v>
      </c>
      <c r="J430" s="36">
        <v>15</v>
      </c>
      <c r="K430" s="22">
        <f>IF(I430="","",IF(I430="ENTRADA",ABS(J430),-ABS(J430)))</f>
        <v>-15</v>
      </c>
      <c r="L430" s="34"/>
      <c r="M430" s="34"/>
      <c r="N430">
        <v>65156</v>
      </c>
      <c r="O430" t="s">
        <v>382</v>
      </c>
      <c r="P430">
        <v>1880</v>
      </c>
      <c r="Q430" s="42">
        <v>46247</v>
      </c>
      <c r="R430" s="22" t="str">
        <f>IF(H430="","",H430&amp;I430)</f>
        <v>260414-030SALIDA</v>
      </c>
      <c r="S430" s="22" t="str">
        <f>IF(C430="","",C430&amp;I430)</f>
        <v>Full controlSALIDA</v>
      </c>
      <c r="T430" t="str">
        <f>IF(OR(C430="",I430&lt;&gt;"ENTRADA"),"",TEXT(B430,"AAMMDD")&amp;"-"&amp;TEXT(VALUE(SUBSTITUTE(A430,"MOV-","")),"000"))</f>
        <v/>
      </c>
    </row>
    <row r="431" spans="1:20">
      <c r="A431" s="20" t="s">
        <v>700</v>
      </c>
      <c r="B431" s="47">
        <v>46245</v>
      </c>
      <c r="C431" t="s">
        <v>115</v>
      </c>
      <c r="D431" t="s">
        <v>116</v>
      </c>
      <c r="E431" t="s">
        <v>34</v>
      </c>
      <c r="F431" t="s">
        <v>35</v>
      </c>
      <c r="G431" t="s">
        <v>117</v>
      </c>
      <c r="H431" s="20" t="s">
        <v>120</v>
      </c>
      <c r="I431" t="s">
        <v>65</v>
      </c>
      <c r="J431" s="30">
        <v>3000</v>
      </c>
      <c r="K431" s="22">
        <f>IF(I431="","",IF(I431="ENTRADA",ABS(J431),-ABS(J431)))</f>
        <v>-3000</v>
      </c>
      <c r="L431" t="s">
        <v>37</v>
      </c>
      <c r="N431">
        <v>65159</v>
      </c>
      <c r="O431" t="s">
        <v>213</v>
      </c>
      <c r="P431">
        <v>1881</v>
      </c>
      <c r="Q431" s="42">
        <v>46247</v>
      </c>
      <c r="R431" s="22" t="str">
        <f>IF(H431="","",H431&amp;I431)</f>
        <v>260410-025SALIDA</v>
      </c>
      <c r="S431" s="22" t="str">
        <f>IF(C431="","",C431&amp;I431)</f>
        <v>AzukaSALIDA</v>
      </c>
      <c r="T431" t="str">
        <f>IF(OR(C431="",I431&lt;&gt;"ENTRADA"),"",TEXT(B431,"AAMMDD")&amp;"-"&amp;TEXT(VALUE(SUBSTITUTE(A431,"MOV-","")),"000"))</f>
        <v/>
      </c>
    </row>
    <row r="432" spans="1:20">
      <c r="A432" s="20" t="s">
        <v>701</v>
      </c>
      <c r="B432" s="47">
        <v>46248</v>
      </c>
      <c r="C432" t="s">
        <v>115</v>
      </c>
      <c r="D432" t="s">
        <v>116</v>
      </c>
      <c r="E432" t="s">
        <v>34</v>
      </c>
      <c r="F432" t="s">
        <v>35</v>
      </c>
      <c r="G432" t="s">
        <v>117</v>
      </c>
      <c r="H432" s="20" t="s">
        <v>668</v>
      </c>
      <c r="I432" t="s">
        <v>65</v>
      </c>
      <c r="J432" s="30">
        <v>1020</v>
      </c>
      <c r="K432" s="22">
        <f>IF(I432="","",IF(I432="ENTRADA",ABS(J432),-ABS(J432)))</f>
        <v>-1020</v>
      </c>
      <c r="L432" t="s">
        <v>37</v>
      </c>
      <c r="N432">
        <v>65160</v>
      </c>
      <c r="O432" t="s">
        <v>382</v>
      </c>
      <c r="P432">
        <v>1882</v>
      </c>
      <c r="Q432" s="42">
        <v>46251</v>
      </c>
      <c r="R432" s="22" t="str">
        <f>IF(H432="","",H432&amp;I432)</f>
        <v>260727-381SALIDA</v>
      </c>
      <c r="S432" s="22" t="str">
        <f>IF(C432="","",C432&amp;I432)</f>
        <v>AzukaSALIDA</v>
      </c>
      <c r="T432" t="str">
        <f>IF(OR(C432="",I432&lt;&gt;"ENTRADA"),"",TEXT(B432,"AAMMDD")&amp;"-"&amp;TEXT(VALUE(SUBSTITUTE(A432,"MOV-","")),"000"))</f>
        <v/>
      </c>
    </row>
    <row r="433" spans="1:20">
      <c r="A433" s="20" t="s">
        <v>702</v>
      </c>
      <c r="B433" s="47">
        <v>46248</v>
      </c>
      <c r="C433" t="s">
        <v>115</v>
      </c>
      <c r="D433" t="s">
        <v>116</v>
      </c>
      <c r="E433" t="s">
        <v>34</v>
      </c>
      <c r="F433" t="s">
        <v>35</v>
      </c>
      <c r="G433" t="s">
        <v>117</v>
      </c>
      <c r="H433" s="20" t="s">
        <v>120</v>
      </c>
      <c r="I433" t="s">
        <v>65</v>
      </c>
      <c r="J433" s="30">
        <v>240</v>
      </c>
      <c r="K433" s="22">
        <f>IF(I433="","",IF(I433="ENTRADA",ABS(J433),-ABS(J433)))</f>
        <v>-240</v>
      </c>
      <c r="L433" t="s">
        <v>37</v>
      </c>
      <c r="N433">
        <v>65160</v>
      </c>
      <c r="O433" t="s">
        <v>382</v>
      </c>
      <c r="P433">
        <v>1882</v>
      </c>
      <c r="Q433" s="42">
        <v>46251</v>
      </c>
      <c r="R433" s="22" t="str">
        <f>IF(H433="","",H433&amp;I433)</f>
        <v>260410-025SALIDA</v>
      </c>
      <c r="S433" s="22" t="str">
        <f>IF(C433="","",C433&amp;I433)</f>
        <v>AzukaSALIDA</v>
      </c>
      <c r="T433" t="str">
        <f>IF(OR(C433="",I433&lt;&gt;"ENTRADA"),"",TEXT(B433,"AAMMDD")&amp;"-"&amp;TEXT(VALUE(SUBSTITUTE(A433,"MOV-","")),"000"))</f>
        <v/>
      </c>
    </row>
    <row r="434" spans="1:20">
      <c r="A434" s="20" t="s">
        <v>703</v>
      </c>
      <c r="B434" s="47">
        <v>46248</v>
      </c>
      <c r="C434" t="s">
        <v>122</v>
      </c>
      <c r="D434" t="s">
        <v>123</v>
      </c>
      <c r="E434" t="s">
        <v>34</v>
      </c>
      <c r="F434" t="s">
        <v>35</v>
      </c>
      <c r="G434" t="s">
        <v>117</v>
      </c>
      <c r="H434" s="20" t="s">
        <v>203</v>
      </c>
      <c r="I434" t="s">
        <v>65</v>
      </c>
      <c r="J434" s="30">
        <v>360</v>
      </c>
      <c r="K434" s="22">
        <f>IF(I434="","",IF(I434="ENTRADA",ABS(J434),-ABS(J434)))</f>
        <v>-360</v>
      </c>
      <c r="L434" t="s">
        <v>37</v>
      </c>
      <c r="N434">
        <v>65160</v>
      </c>
      <c r="O434" t="s">
        <v>382</v>
      </c>
      <c r="P434">
        <v>1882</v>
      </c>
      <c r="Q434" s="42">
        <v>46251</v>
      </c>
      <c r="R434" s="22" t="str">
        <f>IF(H434="","",H434&amp;I434)</f>
        <v>260410-027SALIDA</v>
      </c>
      <c r="S434" s="22" t="str">
        <f>IF(C434="","",C434&amp;I434)</f>
        <v>PardoSALIDA</v>
      </c>
      <c r="T434" t="str">
        <f>IF(OR(C434="",I434&lt;&gt;"ENTRADA"),"",TEXT(B434,"AAMMDD")&amp;"-"&amp;TEXT(VALUE(SUBSTITUTE(A434,"MOV-","")),"000"))</f>
        <v/>
      </c>
    </row>
    <row r="435" spans="1:20">
      <c r="A435" s="20" t="s">
        <v>704</v>
      </c>
      <c r="B435" s="47">
        <v>46248</v>
      </c>
      <c r="C435" t="s">
        <v>130</v>
      </c>
      <c r="D435" t="s">
        <v>131</v>
      </c>
      <c r="E435" t="s">
        <v>132</v>
      </c>
      <c r="G435" t="s">
        <v>133</v>
      </c>
      <c r="H435" s="20" t="s">
        <v>221</v>
      </c>
      <c r="I435" t="s">
        <v>65</v>
      </c>
      <c r="J435" s="30">
        <v>60</v>
      </c>
      <c r="K435" s="22">
        <f>IF(I435="","",IF(I435="ENTRADA",ABS(J435),-ABS(J435)))</f>
        <v>-60</v>
      </c>
      <c r="L435" t="s">
        <v>37</v>
      </c>
      <c r="N435">
        <v>65160</v>
      </c>
      <c r="O435" t="s">
        <v>382</v>
      </c>
      <c r="P435">
        <v>1882</v>
      </c>
      <c r="Q435" s="42">
        <v>46251</v>
      </c>
      <c r="R435" s="22" t="str">
        <f>IF(H435="","",H435&amp;I435)</f>
        <v>260414-029SALIDA</v>
      </c>
      <c r="S435" s="22" t="str">
        <f>IF(C435="","",C435&amp;I435)</f>
        <v>HarrierSALIDA</v>
      </c>
      <c r="T435" t="str">
        <f>IF(OR(C435="",I435&lt;&gt;"ENTRADA"),"",TEXT(B435,"AAMMDD")&amp;"-"&amp;TEXT(VALUE(SUBSTITUTE(A435,"MOV-","")),"000"))</f>
        <v/>
      </c>
    </row>
    <row r="436" spans="1:20">
      <c r="A436" s="20" t="s">
        <v>705</v>
      </c>
      <c r="B436" s="47">
        <v>46248</v>
      </c>
      <c r="C436" t="s">
        <v>137</v>
      </c>
      <c r="D436" t="s">
        <v>138</v>
      </c>
      <c r="E436" t="s">
        <v>132</v>
      </c>
      <c r="G436" t="s">
        <v>133</v>
      </c>
      <c r="H436" s="20" t="s">
        <v>211</v>
      </c>
      <c r="I436" t="s">
        <v>65</v>
      </c>
      <c r="J436" s="30">
        <v>5</v>
      </c>
      <c r="K436" s="22">
        <f>IF(I436="","",IF(I436="ENTRADA",ABS(J436),-ABS(J436)))</f>
        <v>-5</v>
      </c>
      <c r="L436" t="s">
        <v>385</v>
      </c>
      <c r="N436">
        <v>65160</v>
      </c>
      <c r="O436" t="s">
        <v>382</v>
      </c>
      <c r="P436">
        <v>1882</v>
      </c>
      <c r="Q436" s="42">
        <v>46251</v>
      </c>
      <c r="R436" s="22" t="str">
        <f>IF(H436="","",H436&amp;I436)</f>
        <v>260414-030SALIDA</v>
      </c>
      <c r="S436" s="22" t="str">
        <f>IF(C436="","",C436&amp;I436)</f>
        <v>Full controlSALIDA</v>
      </c>
      <c r="T436" t="str">
        <f>IF(OR(C436="",I436&lt;&gt;"ENTRADA"),"",TEXT(B436,"AAMMDD")&amp;"-"&amp;TEXT(VALUE(SUBSTITUTE(A436,"MOV-","")),"000"))</f>
        <v/>
      </c>
    </row>
    <row r="437" spans="1:20">
      <c r="A437" s="20" t="s">
        <v>706</v>
      </c>
      <c r="B437" s="47">
        <v>46248</v>
      </c>
      <c r="C437" t="s">
        <v>115</v>
      </c>
      <c r="D437" t="s">
        <v>116</v>
      </c>
      <c r="E437" t="s">
        <v>34</v>
      </c>
      <c r="F437" t="s">
        <v>35</v>
      </c>
      <c r="G437" t="s">
        <v>117</v>
      </c>
      <c r="H437" s="20" t="s">
        <v>120</v>
      </c>
      <c r="I437" t="s">
        <v>65</v>
      </c>
      <c r="J437" s="30">
        <v>240</v>
      </c>
      <c r="K437" s="22">
        <f>IF(I437="","",IF(I437="ENTRADA",ABS(J437),-ABS(J437)))</f>
        <v>-240</v>
      </c>
      <c r="L437" t="s">
        <v>37</v>
      </c>
      <c r="N437">
        <v>65161</v>
      </c>
      <c r="O437" t="s">
        <v>590</v>
      </c>
      <c r="P437">
        <v>1883</v>
      </c>
      <c r="Q437" s="42">
        <v>46251</v>
      </c>
      <c r="R437" s="22" t="str">
        <f>IF(H437="","",H437&amp;I437)</f>
        <v>260410-025SALIDA</v>
      </c>
      <c r="S437" s="22" t="str">
        <f>IF(C437="","",C437&amp;I437)</f>
        <v>AzukaSALIDA</v>
      </c>
      <c r="T437" t="str">
        <f>IF(OR(C437="",I437&lt;&gt;"ENTRADA"),"",TEXT(B437,"AAMMDD")&amp;"-"&amp;TEXT(VALUE(SUBSTITUTE(A437,"MOV-","")),"000"))</f>
        <v/>
      </c>
    </row>
    <row r="438" spans="1:20">
      <c r="A438" s="20" t="s">
        <v>707</v>
      </c>
      <c r="B438" s="47">
        <v>46248</v>
      </c>
      <c r="C438" t="s">
        <v>130</v>
      </c>
      <c r="D438" t="s">
        <v>131</v>
      </c>
      <c r="E438" t="s">
        <v>132</v>
      </c>
      <c r="G438" t="s">
        <v>133</v>
      </c>
      <c r="H438" s="20" t="s">
        <v>221</v>
      </c>
      <c r="I438" t="s">
        <v>65</v>
      </c>
      <c r="J438" s="30">
        <v>20</v>
      </c>
      <c r="K438" s="22">
        <f>IF(I438="","",IF(I438="ENTRADA",ABS(J438),-ABS(J438)))</f>
        <v>-20</v>
      </c>
      <c r="L438" t="s">
        <v>37</v>
      </c>
      <c r="N438">
        <v>65161</v>
      </c>
      <c r="O438" t="s">
        <v>590</v>
      </c>
      <c r="P438">
        <v>1883</v>
      </c>
      <c r="Q438" s="42">
        <v>46251</v>
      </c>
      <c r="R438" s="22" t="str">
        <f>IF(H438="","",H438&amp;I438)</f>
        <v>260414-029SALIDA</v>
      </c>
      <c r="S438" s="22" t="str">
        <f>IF(C438="","",C438&amp;I438)</f>
        <v>HarrierSALIDA</v>
      </c>
      <c r="T438" t="str">
        <f>IF(OR(C438="",I438&lt;&gt;"ENTRADA"),"",TEXT(B438,"AAMMDD")&amp;"-"&amp;TEXT(VALUE(SUBSTITUTE(A438,"MOV-","")),"000"))</f>
        <v/>
      </c>
    </row>
    <row r="439" spans="1:20">
      <c r="A439" s="20" t="s">
        <v>708</v>
      </c>
      <c r="B439" s="47">
        <v>46248</v>
      </c>
      <c r="C439" t="s">
        <v>491</v>
      </c>
      <c r="D439" t="s">
        <v>492</v>
      </c>
      <c r="E439" t="s">
        <v>493</v>
      </c>
      <c r="G439" t="s">
        <v>36</v>
      </c>
      <c r="H439" s="20" t="s">
        <v>495</v>
      </c>
      <c r="I439" t="s">
        <v>65</v>
      </c>
      <c r="J439" s="30">
        <v>440</v>
      </c>
      <c r="K439" s="22">
        <f>IF(I439="","",IF(I439="ENTRADA",ABS(J439),-ABS(J439)))</f>
        <v>-440</v>
      </c>
      <c r="L439" t="s">
        <v>37</v>
      </c>
      <c r="N439">
        <v>65162</v>
      </c>
      <c r="O439" t="s">
        <v>218</v>
      </c>
      <c r="P439">
        <v>1884</v>
      </c>
      <c r="Q439" s="42">
        <v>46251</v>
      </c>
      <c r="R439" s="22" t="str">
        <f>IF(H439="","",H439&amp;I439)</f>
        <v>260610-265SALIDA</v>
      </c>
      <c r="S439" s="22" t="str">
        <f>IF(C439="","",C439&amp;I439)</f>
        <v>Zinc Plus SALIDA</v>
      </c>
      <c r="T439" t="str">
        <f>IF(OR(C439="",I439&lt;&gt;"ENTRADA"),"",TEXT(B439,"AAMMDD")&amp;"-"&amp;TEXT(VALUE(SUBSTITUTE(A439,"MOV-","")),"000"))</f>
        <v/>
      </c>
    </row>
    <row r="440" spans="1:20">
      <c r="A440" s="20" t="s">
        <v>709</v>
      </c>
      <c r="B440" s="47">
        <v>46248</v>
      </c>
      <c r="C440" t="s">
        <v>130</v>
      </c>
      <c r="D440" t="s">
        <v>131</v>
      </c>
      <c r="E440" t="s">
        <v>132</v>
      </c>
      <c r="G440" t="s">
        <v>133</v>
      </c>
      <c r="H440" s="20" t="s">
        <v>221</v>
      </c>
      <c r="I440" t="s">
        <v>65</v>
      </c>
      <c r="J440" s="30">
        <v>25</v>
      </c>
      <c r="K440" s="22">
        <f>IF(I440="","",IF(I440="ENTRADA",ABS(J440),-ABS(J440)))</f>
        <v>-25</v>
      </c>
      <c r="L440" t="s">
        <v>37</v>
      </c>
      <c r="N440">
        <v>65162</v>
      </c>
      <c r="O440" t="s">
        <v>218</v>
      </c>
      <c r="P440">
        <v>1884</v>
      </c>
      <c r="Q440" s="42">
        <v>46251</v>
      </c>
      <c r="R440" s="22" t="str">
        <f>IF(H440="","",H440&amp;I440)</f>
        <v>260414-029SALIDA</v>
      </c>
      <c r="S440" s="22" t="str">
        <f>IF(C440="","",C440&amp;I440)</f>
        <v>HarrierSALIDA</v>
      </c>
      <c r="T440" t="str">
        <f>IF(OR(C440="",I440&lt;&gt;"ENTRADA"),"",TEXT(B440,"AAMMDD")&amp;"-"&amp;TEXT(VALUE(SUBSTITUTE(A440,"MOV-","")),"000"))</f>
        <v/>
      </c>
    </row>
    <row r="441" spans="1:20">
      <c r="A441" s="20" t="s">
        <v>710</v>
      </c>
      <c r="B441" s="47">
        <v>46248</v>
      </c>
      <c r="C441" s="34" t="s">
        <v>137</v>
      </c>
      <c r="D441" s="34" t="s">
        <v>138</v>
      </c>
      <c r="E441" s="34" t="s">
        <v>132</v>
      </c>
      <c r="F441" s="34"/>
      <c r="G441" s="34" t="s">
        <v>133</v>
      </c>
      <c r="H441" s="20" t="s">
        <v>211</v>
      </c>
      <c r="I441" s="34" t="s">
        <v>65</v>
      </c>
      <c r="J441" s="36">
        <v>4</v>
      </c>
      <c r="K441" s="22">
        <f>IF(I441="","",IF(I441="ENTRADA",ABS(J441),-ABS(J441)))</f>
        <v>-4</v>
      </c>
      <c r="L441" s="34" t="s">
        <v>37</v>
      </c>
      <c r="M441" s="34"/>
      <c r="N441">
        <v>65162</v>
      </c>
      <c r="O441" s="34" t="s">
        <v>218</v>
      </c>
      <c r="P441">
        <v>1884</v>
      </c>
      <c r="Q441" s="42">
        <v>46251</v>
      </c>
      <c r="R441" s="22" t="str">
        <f>IF(H441="","",H441&amp;I441)</f>
        <v>260414-030SALIDA</v>
      </c>
      <c r="S441" s="22" t="str">
        <f>IF(C441="","",C441&amp;I441)</f>
        <v>Full controlSALIDA</v>
      </c>
      <c r="T441" t="str">
        <f>IF(OR(C441="",I441&lt;&gt;"ENTRADA"),"",TEXT(B441,"AAMMDD")&amp;"-"&amp;TEXT(VALUE(SUBSTITUTE(A441,"MOV-","")),"000"))</f>
        <v/>
      </c>
    </row>
    <row r="442" spans="1:20">
      <c r="A442" s="20" t="s">
        <v>711</v>
      </c>
      <c r="B442" s="47">
        <v>46248</v>
      </c>
      <c r="C442" t="s">
        <v>514</v>
      </c>
      <c r="D442" t="s">
        <v>515</v>
      </c>
      <c r="E442" t="s">
        <v>516</v>
      </c>
      <c r="G442" t="s">
        <v>117</v>
      </c>
      <c r="H442" s="20" t="s">
        <v>664</v>
      </c>
      <c r="I442" t="s">
        <v>65</v>
      </c>
      <c r="J442" s="30">
        <v>130</v>
      </c>
      <c r="K442" s="22">
        <f>IF(I442="","",IF(I442="ENTRADA",ABS(J442),-ABS(J442)))</f>
        <v>-130</v>
      </c>
      <c r="L442" t="s">
        <v>37</v>
      </c>
      <c r="N442">
        <v>65162</v>
      </c>
      <c r="O442" t="s">
        <v>218</v>
      </c>
      <c r="P442">
        <v>1884</v>
      </c>
      <c r="Q442" s="42">
        <v>46251</v>
      </c>
      <c r="R442" s="22" t="str">
        <f>IF(H442="","",H442&amp;I442)</f>
        <v>260730-396SALIDA</v>
      </c>
      <c r="S442" s="22" t="str">
        <f>IF(C442="","",C442&amp;I442)</f>
        <v>Unico MaxSALIDA</v>
      </c>
      <c r="T442" t="str">
        <f>IF(OR(C442="",I442&lt;&gt;"ENTRADA"),"",TEXT(B442,"AAMMDD")&amp;"-"&amp;TEXT(VALUE(SUBSTITUTE(A442,"MOV-","")),"000"))</f>
        <v/>
      </c>
    </row>
    <row r="443" spans="1:20">
      <c r="A443" s="20" t="s">
        <v>712</v>
      </c>
      <c r="B443" s="47">
        <v>46253</v>
      </c>
      <c r="C443" t="s">
        <v>115</v>
      </c>
      <c r="D443" t="s">
        <v>116</v>
      </c>
      <c r="E443" t="s">
        <v>34</v>
      </c>
      <c r="F443" t="s">
        <v>35</v>
      </c>
      <c r="G443" t="s">
        <v>117</v>
      </c>
      <c r="H443" s="20" t="s">
        <v>668</v>
      </c>
      <c r="I443" t="s">
        <v>28</v>
      </c>
      <c r="J443" s="30">
        <v>10840</v>
      </c>
      <c r="K443" s="22">
        <f>IF(I443="","",IF(I443="ENTRADA",ABS(J443),-ABS(J443)))</f>
        <v>10840</v>
      </c>
      <c r="L443" t="s">
        <v>37</v>
      </c>
      <c r="N443">
        <v>50657</v>
      </c>
      <c r="P443">
        <v>14969</v>
      </c>
      <c r="Q443" s="42">
        <v>46254</v>
      </c>
      <c r="R443" s="22" t="str">
        <f>IF(H443="","",H443&amp;I443)</f>
        <v>260727-381ENTRADA</v>
      </c>
      <c r="S443" s="22" t="str">
        <f>IF(C443="","",C443&amp;I443)</f>
        <v>AzukaENTRADA</v>
      </c>
      <c r="T443" t="str">
        <f>IF(OR(C443="",I443&lt;&gt;"ENTRADA"),"",TEXT(B443,"AAMMDD")&amp;"-"&amp;TEXT(VALUE(SUBSTITUTE(A443,"MOV-","")),"000"))</f>
        <v>260819-443</v>
      </c>
    </row>
    <row r="444" spans="1:20">
      <c r="A444" s="20" t="s">
        <v>713</v>
      </c>
      <c r="B444" s="47">
        <v>46258</v>
      </c>
      <c r="C444" t="s">
        <v>115</v>
      </c>
      <c r="D444" t="s">
        <v>116</v>
      </c>
      <c r="E444" t="s">
        <v>34</v>
      </c>
      <c r="F444" t="s">
        <v>35</v>
      </c>
      <c r="G444" t="s">
        <v>117</v>
      </c>
      <c r="H444" s="20" t="s">
        <v>120</v>
      </c>
      <c r="I444" t="s">
        <v>65</v>
      </c>
      <c r="J444" s="30">
        <v>4200</v>
      </c>
      <c r="K444" s="22">
        <f>IF(I444="","",IF(I444="ENTRADA",ABS(J444),-ABS(J444)))</f>
        <v>-4200</v>
      </c>
      <c r="L444" t="s">
        <v>385</v>
      </c>
      <c r="N444">
        <v>65165</v>
      </c>
      <c r="O444" t="s">
        <v>237</v>
      </c>
      <c r="P444">
        <v>1886</v>
      </c>
      <c r="Q444" s="42">
        <v>46261</v>
      </c>
      <c r="R444" s="22" t="str">
        <f>IF(H444="","",H444&amp;I444)</f>
        <v>260410-025SALIDA</v>
      </c>
      <c r="S444" s="22" t="str">
        <f>IF(C444="","",C444&amp;I444)</f>
        <v>AzukaSALIDA</v>
      </c>
      <c r="T444" t="str">
        <f>IF(OR(C444="",I444&lt;&gt;"ENTRADA"),"",TEXT(B444,"AAMMDD")&amp;"-"&amp;TEXT(VALUE(SUBSTITUTE(A444,"MOV-","")),"000"))</f>
        <v/>
      </c>
    </row>
    <row r="445" spans="1:20">
      <c r="A445" s="20" t="s">
        <v>714</v>
      </c>
      <c r="B445" s="47">
        <v>46258</v>
      </c>
      <c r="C445" t="s">
        <v>122</v>
      </c>
      <c r="D445" t="s">
        <v>123</v>
      </c>
      <c r="E445" t="s">
        <v>34</v>
      </c>
      <c r="F445" t="s">
        <v>35</v>
      </c>
      <c r="G445" t="s">
        <v>117</v>
      </c>
      <c r="H445" s="20" t="s">
        <v>203</v>
      </c>
      <c r="I445" t="s">
        <v>65</v>
      </c>
      <c r="J445" s="30">
        <v>1000</v>
      </c>
      <c r="K445" s="22">
        <f>IF(I445="","",IF(I445="ENTRADA",ABS(J445),-ABS(J445)))</f>
        <v>-1000</v>
      </c>
      <c r="L445" t="s">
        <v>37</v>
      </c>
      <c r="N445">
        <v>65165</v>
      </c>
      <c r="O445" t="s">
        <v>237</v>
      </c>
      <c r="P445">
        <v>1886</v>
      </c>
      <c r="Q445" s="42">
        <v>46261</v>
      </c>
      <c r="R445" s="22" t="str">
        <f>IF(H445="","",H445&amp;I445)</f>
        <v>260410-027SALIDA</v>
      </c>
      <c r="S445" s="22" t="str">
        <f>IF(C445="","",C445&amp;I445)</f>
        <v>PardoSALIDA</v>
      </c>
      <c r="T445" t="str">
        <f>IF(OR(C445="",I445&lt;&gt;"ENTRADA"),"",TEXT(B445,"AAMMDD")&amp;"-"&amp;TEXT(VALUE(SUBSTITUTE(A445,"MOV-","")),"000"))</f>
        <v/>
      </c>
    </row>
    <row r="446" spans="1:20">
      <c r="A446" s="20" t="s">
        <v>715</v>
      </c>
      <c r="B446" s="47">
        <v>46258</v>
      </c>
      <c r="C446" t="s">
        <v>130</v>
      </c>
      <c r="D446" t="s">
        <v>131</v>
      </c>
      <c r="E446" t="s">
        <v>132</v>
      </c>
      <c r="G446" t="s">
        <v>133</v>
      </c>
      <c r="H446" s="20" t="s">
        <v>221</v>
      </c>
      <c r="I446" t="s">
        <v>65</v>
      </c>
      <c r="J446" s="30">
        <v>120</v>
      </c>
      <c r="K446" s="22">
        <f>IF(I446="","",IF(I446="ENTRADA",ABS(J446),-ABS(J446)))</f>
        <v>-120</v>
      </c>
      <c r="L446" t="s">
        <v>37</v>
      </c>
      <c r="N446">
        <v>65165</v>
      </c>
      <c r="O446" t="s">
        <v>237</v>
      </c>
      <c r="P446">
        <v>1886</v>
      </c>
      <c r="Q446" s="42">
        <v>46261</v>
      </c>
      <c r="R446" s="22" t="str">
        <f>IF(H446="","",H446&amp;I446)</f>
        <v>260414-029SALIDA</v>
      </c>
      <c r="S446" s="22" t="str">
        <f>IF(C446="","",C446&amp;I446)</f>
        <v>HarrierSALIDA</v>
      </c>
      <c r="T446" t="str">
        <f>IF(OR(C446="",I446&lt;&gt;"ENTRADA"),"",TEXT(B446,"AAMMDD")&amp;"-"&amp;TEXT(VALUE(SUBSTITUTE(A446,"MOV-","")),"000"))</f>
        <v/>
      </c>
    </row>
    <row r="447" spans="1:20">
      <c r="A447" s="20" t="s">
        <v>716</v>
      </c>
      <c r="B447" s="47">
        <v>46258</v>
      </c>
      <c r="C447" t="s">
        <v>137</v>
      </c>
      <c r="D447" t="s">
        <v>138</v>
      </c>
      <c r="E447" t="s">
        <v>132</v>
      </c>
      <c r="G447" t="s">
        <v>133</v>
      </c>
      <c r="H447" s="20" t="s">
        <v>211</v>
      </c>
      <c r="I447" t="s">
        <v>65</v>
      </c>
      <c r="J447" s="30">
        <v>30</v>
      </c>
      <c r="K447" s="22">
        <f>IF(I447="","",IF(I447="ENTRADA",ABS(J447),-ABS(J447)))</f>
        <v>-30</v>
      </c>
      <c r="L447" t="s">
        <v>37</v>
      </c>
      <c r="N447">
        <v>65165</v>
      </c>
      <c r="O447" t="s">
        <v>237</v>
      </c>
      <c r="P447">
        <v>1886</v>
      </c>
      <c r="Q447" s="42">
        <v>46261</v>
      </c>
      <c r="R447" s="22" t="str">
        <f>IF(H447="","",H447&amp;I447)</f>
        <v>260414-030SALIDA</v>
      </c>
      <c r="S447" s="22" t="str">
        <f>IF(C447="","",C447&amp;I447)</f>
        <v>Full controlSALIDA</v>
      </c>
      <c r="T447" t="str">
        <f>IF(OR(C447="",I447&lt;&gt;"ENTRADA"),"",TEXT(B447,"AAMMDD")&amp;"-"&amp;TEXT(VALUE(SUBSTITUTE(A447,"MOV-","")),"000"))</f>
        <v/>
      </c>
    </row>
    <row r="448" spans="1:20">
      <c r="A448" s="20" t="s">
        <v>717</v>
      </c>
      <c r="B448" s="47">
        <v>46258</v>
      </c>
      <c r="C448" t="s">
        <v>90</v>
      </c>
      <c r="D448" t="s">
        <v>91</v>
      </c>
      <c r="E448" t="s">
        <v>34</v>
      </c>
      <c r="G448" t="s">
        <v>36</v>
      </c>
      <c r="H448" s="20" t="s">
        <v>375</v>
      </c>
      <c r="I448" t="s">
        <v>65</v>
      </c>
      <c r="J448" s="30">
        <v>460</v>
      </c>
      <c r="K448" s="22">
        <f>IF(I448="","",IF(I448="ENTRADA",ABS(J448),-ABS(J448)))</f>
        <v>-460</v>
      </c>
      <c r="L448" t="s">
        <v>37</v>
      </c>
      <c r="N448">
        <v>65165</v>
      </c>
      <c r="O448" t="s">
        <v>237</v>
      </c>
      <c r="P448">
        <v>1886</v>
      </c>
      <c r="Q448" s="42">
        <v>46261</v>
      </c>
      <c r="R448" s="22" t="str">
        <f>IF(H448="","",H448&amp;I448)</f>
        <v>260405-132SALIDA</v>
      </c>
      <c r="S448" s="22" t="str">
        <f>IF(C448="","",C448&amp;I448)</f>
        <v>PixxaroSALIDA</v>
      </c>
      <c r="T448" t="str">
        <f>IF(OR(C448="",I448&lt;&gt;"ENTRADA"),"",TEXT(B448,"AAMMDD")&amp;"-"&amp;TEXT(VALUE(SUBSTITUTE(A448,"MOV-","")),"000"))</f>
        <v/>
      </c>
    </row>
    <row r="449" spans="1:20">
      <c r="A449" s="20" t="s">
        <v>718</v>
      </c>
      <c r="B449" s="47">
        <v>46255</v>
      </c>
      <c r="C449" t="s">
        <v>719</v>
      </c>
      <c r="D449" t="s">
        <v>720</v>
      </c>
      <c r="E449" t="s">
        <v>34</v>
      </c>
      <c r="F449" t="s">
        <v>35</v>
      </c>
      <c r="G449" t="s">
        <v>117</v>
      </c>
      <c r="H449" s="20" t="str">
        <f>+T449</f>
        <v>260821-449</v>
      </c>
      <c r="I449" t="s">
        <v>28</v>
      </c>
      <c r="J449" s="30">
        <v>1920</v>
      </c>
      <c r="K449" s="22">
        <f>IF(I449="","",IF(I449="ENTRADA",ABS(J449),-ABS(J449)))</f>
        <v>1920</v>
      </c>
      <c r="L449" t="s">
        <v>37</v>
      </c>
      <c r="M449" s="47">
        <v>46903</v>
      </c>
      <c r="N449">
        <v>50642</v>
      </c>
      <c r="P449">
        <v>14971</v>
      </c>
      <c r="Q449" s="42">
        <v>46261</v>
      </c>
      <c r="R449" s="22" t="str">
        <f>IF(H449="","",H449&amp;I449)</f>
        <v>260821-449ENTRADA</v>
      </c>
      <c r="S449" s="22" t="str">
        <f>IF(C449="","",C449&amp;I449)</f>
        <v>Gamina ENTRADA</v>
      </c>
      <c r="T449" t="str">
        <f>IF(OR(C449="",I449&lt;&gt;"ENTRADA"),"",TEXT(B449,"AAMMDD")&amp;"-"&amp;TEXT(VALUE(SUBSTITUTE(A449,"MOV-","")),"000"))</f>
        <v>260821-449</v>
      </c>
    </row>
    <row r="450" spans="1:20">
      <c r="A450" s="20" t="s">
        <v>721</v>
      </c>
      <c r="B450" s="47">
        <v>46258</v>
      </c>
      <c r="C450" t="s">
        <v>719</v>
      </c>
      <c r="D450" t="s">
        <v>720</v>
      </c>
      <c r="E450" t="s">
        <v>34</v>
      </c>
      <c r="F450" t="s">
        <v>35</v>
      </c>
      <c r="G450" t="s">
        <v>117</v>
      </c>
      <c r="H450" s="20" t="s">
        <v>722</v>
      </c>
      <c r="I450" t="s">
        <v>65</v>
      </c>
      <c r="J450" s="30">
        <v>500</v>
      </c>
      <c r="K450" s="22">
        <f>IF(I450="","",IF(I450="ENTRADA",ABS(J450),-ABS(J450)))</f>
        <v>-500</v>
      </c>
      <c r="L450" t="s">
        <v>37</v>
      </c>
      <c r="N450">
        <v>65165</v>
      </c>
      <c r="O450" t="s">
        <v>237</v>
      </c>
      <c r="P450">
        <v>1886</v>
      </c>
      <c r="Q450" s="42">
        <v>46261</v>
      </c>
      <c r="R450" s="22" t="str">
        <f>IF(H450="","",H450&amp;I450)</f>
        <v>260821-449SALIDA</v>
      </c>
      <c r="S450" s="22" t="str">
        <f>IF(C450="","",C450&amp;I450)</f>
        <v>Gamina SALIDA</v>
      </c>
      <c r="T450" t="str">
        <f>IF(OR(C450="",I450&lt;&gt;"ENTRADA"),"",TEXT(B450,"AAMMDD")&amp;"-"&amp;TEXT(VALUE(SUBSTITUTE(A450,"MOV-","")),"000"))</f>
        <v/>
      </c>
    </row>
    <row r="451" spans="1:20">
      <c r="A451" s="20" t="s">
        <v>723</v>
      </c>
      <c r="B451" s="47">
        <v>46255</v>
      </c>
      <c r="C451" t="s">
        <v>524</v>
      </c>
      <c r="D451" t="s">
        <v>525</v>
      </c>
      <c r="E451" t="s">
        <v>516</v>
      </c>
      <c r="G451" t="s">
        <v>158</v>
      </c>
      <c r="H451" s="20" t="s">
        <v>553</v>
      </c>
      <c r="I451" t="s">
        <v>65</v>
      </c>
      <c r="J451" s="30">
        <v>120</v>
      </c>
      <c r="K451" s="22">
        <f>IF(I451="","",IF(I451="ENTRADA",ABS(J451),-ABS(J451)))</f>
        <v>-120</v>
      </c>
      <c r="L451" t="s">
        <v>37</v>
      </c>
      <c r="N451">
        <v>65164</v>
      </c>
      <c r="O451" t="s">
        <v>66</v>
      </c>
      <c r="P451">
        <v>1885</v>
      </c>
      <c r="Q451" s="42">
        <v>46255</v>
      </c>
      <c r="R451" s="22" t="str">
        <f>IF(H451="","",H451&amp;I451)</f>
        <v>260623-289SALIDA</v>
      </c>
      <c r="S451" s="22" t="str">
        <f>IF(C451="","",C451&amp;I451)</f>
        <v>cripton xpro SALIDA</v>
      </c>
      <c r="T451" t="str">
        <f>IF(OR(C451="",I451&lt;&gt;"ENTRADA"),"",TEXT(B451,"AAMMDD")&amp;"-"&amp;TEXT(VALUE(SUBSTITUTE(A451,"MOV-","")),"000"))</f>
        <v/>
      </c>
    </row>
    <row r="452" spans="1:20">
      <c r="A452" s="20" t="s">
        <v>724</v>
      </c>
      <c r="B452" s="47">
        <v>46255</v>
      </c>
      <c r="C452" s="34" t="s">
        <v>137</v>
      </c>
      <c r="D452" s="34" t="s">
        <v>138</v>
      </c>
      <c r="E452" s="34" t="s">
        <v>132</v>
      </c>
      <c r="F452" s="34"/>
      <c r="G452" s="34" t="s">
        <v>133</v>
      </c>
      <c r="H452" s="20" t="s">
        <v>211</v>
      </c>
      <c r="I452" s="34" t="s">
        <v>65</v>
      </c>
      <c r="J452" s="36">
        <v>15</v>
      </c>
      <c r="K452" s="22">
        <f>IF(I452="","",IF(I452="ENTRADA",ABS(J452),-ABS(J452)))</f>
        <v>-15</v>
      </c>
      <c r="L452" s="34" t="s">
        <v>37</v>
      </c>
      <c r="M452" s="34"/>
      <c r="N452">
        <v>65164</v>
      </c>
      <c r="O452" s="34" t="s">
        <v>66</v>
      </c>
      <c r="P452">
        <v>1885</v>
      </c>
      <c r="Q452" s="42">
        <v>46255</v>
      </c>
      <c r="R452" s="22" t="str">
        <f>IF(H452="","",H452&amp;I452)</f>
        <v>260414-030SALIDA</v>
      </c>
      <c r="S452" s="22" t="str">
        <f>IF(C452="","",C452&amp;I452)</f>
        <v>Full controlSALIDA</v>
      </c>
      <c r="T452" t="str">
        <f>IF(OR(C452="",I452&lt;&gt;"ENTRADA"),"",TEXT(B452,"AAMMDD")&amp;"-"&amp;TEXT(VALUE(SUBSTITUTE(A452,"MOV-","")),"000"))</f>
        <v/>
      </c>
    </row>
    <row r="453" spans="1:20">
      <c r="A453" s="20" t="s">
        <v>725</v>
      </c>
      <c r="B453" s="47">
        <v>46255</v>
      </c>
      <c r="C453" t="s">
        <v>656</v>
      </c>
      <c r="D453" t="s">
        <v>657</v>
      </c>
      <c r="E453" t="s">
        <v>132</v>
      </c>
      <c r="G453" t="s">
        <v>133</v>
      </c>
      <c r="H453" s="20" t="s">
        <v>659</v>
      </c>
      <c r="I453" t="s">
        <v>65</v>
      </c>
      <c r="J453" s="30">
        <v>40</v>
      </c>
      <c r="K453" s="22">
        <f>IF(I453="","",IF(I453="ENTRADA",ABS(J453),-ABS(J453)))</f>
        <v>-40</v>
      </c>
      <c r="L453" t="s">
        <v>37</v>
      </c>
      <c r="N453">
        <v>65164</v>
      </c>
      <c r="O453" t="s">
        <v>66</v>
      </c>
      <c r="P453">
        <v>1885</v>
      </c>
      <c r="Q453" s="42">
        <v>46255</v>
      </c>
      <c r="R453" s="22" t="str">
        <f>IF(H453="","",H453&amp;I453)</f>
        <v>260729-393SALIDA</v>
      </c>
      <c r="S453" s="22" t="str">
        <f>IF(C453="","",C453&amp;I453)</f>
        <v>Harrier Drone SALIDA</v>
      </c>
      <c r="T453" t="str">
        <f>IF(OR(C453="",I453&lt;&gt;"ENTRADA"),"",TEXT(B453,"AAMMDD")&amp;"-"&amp;TEXT(VALUE(SUBSTITUTE(A453,"MOV-","")),"000"))</f>
        <v/>
      </c>
    </row>
    <row r="454" spans="1:20">
      <c r="A454" s="20" t="s">
        <v>726</v>
      </c>
      <c r="B454" s="47">
        <v>46258</v>
      </c>
      <c r="C454" t="s">
        <v>137</v>
      </c>
      <c r="D454" t="s">
        <v>138</v>
      </c>
      <c r="E454" t="s">
        <v>132</v>
      </c>
      <c r="G454" t="s">
        <v>133</v>
      </c>
      <c r="H454" s="20" t="s">
        <v>211</v>
      </c>
      <c r="I454" t="s">
        <v>65</v>
      </c>
      <c r="J454" s="30">
        <v>7</v>
      </c>
      <c r="K454" s="22">
        <f>IF(I454="","",IF(I454="ENTRADA",ABS(J454),-ABS(J454)))</f>
        <v>-7</v>
      </c>
      <c r="L454" t="s">
        <v>37</v>
      </c>
      <c r="N454">
        <v>65166</v>
      </c>
      <c r="O454" t="s">
        <v>387</v>
      </c>
      <c r="P454">
        <v>1887</v>
      </c>
      <c r="Q454" s="42">
        <v>46261</v>
      </c>
      <c r="R454" s="22" t="str">
        <f>IF(H454="","",H454&amp;I454)</f>
        <v>260414-030SALIDA</v>
      </c>
      <c r="S454" s="22" t="str">
        <f>IF(C454="","",C454&amp;I454)</f>
        <v>Full controlSALIDA</v>
      </c>
      <c r="T454" t="str">
        <f>IF(OR(C454="",I454&lt;&gt;"ENTRADA"),"",TEXT(B454,"AAMMDD")&amp;"-"&amp;TEXT(VALUE(SUBSTITUTE(A454,"MOV-","")),"000"))</f>
        <v/>
      </c>
    </row>
    <row r="455" spans="1:20">
      <c r="A455" s="20" t="s">
        <v>727</v>
      </c>
      <c r="B455" s="47">
        <v>46258</v>
      </c>
      <c r="C455" t="s">
        <v>130</v>
      </c>
      <c r="D455" t="s">
        <v>131</v>
      </c>
      <c r="E455" t="s">
        <v>132</v>
      </c>
      <c r="G455" t="s">
        <v>133</v>
      </c>
      <c r="H455" s="20" t="s">
        <v>221</v>
      </c>
      <c r="I455" t="s">
        <v>65</v>
      </c>
      <c r="J455" s="30">
        <v>50</v>
      </c>
      <c r="K455" s="22">
        <f>IF(I455="","",IF(I455="ENTRADA",ABS(J455),-ABS(J455)))</f>
        <v>-50</v>
      </c>
      <c r="L455" t="s">
        <v>37</v>
      </c>
      <c r="N455">
        <v>65166</v>
      </c>
      <c r="O455" t="s">
        <v>387</v>
      </c>
      <c r="P455">
        <v>1887</v>
      </c>
      <c r="Q455" s="42">
        <v>46261</v>
      </c>
      <c r="R455" s="22" t="str">
        <f>IF(H455="","",H455&amp;I455)</f>
        <v>260414-029SALIDA</v>
      </c>
      <c r="S455" s="22" t="str">
        <f>IF(C455="","",C455&amp;I455)</f>
        <v>HarrierSALIDA</v>
      </c>
      <c r="T455" t="str">
        <f>IF(OR(C455="",I455&lt;&gt;"ENTRADA"),"",TEXT(B455,"AAMMDD")&amp;"-"&amp;TEXT(VALUE(SUBSTITUTE(A455,"MOV-","")),"000"))</f>
        <v/>
      </c>
    </row>
    <row r="456" spans="1:20">
      <c r="A456" s="20" t="s">
        <v>728</v>
      </c>
      <c r="B456" s="47">
        <v>46258</v>
      </c>
      <c r="C456" t="s">
        <v>524</v>
      </c>
      <c r="D456" t="s">
        <v>525</v>
      </c>
      <c r="E456" t="s">
        <v>516</v>
      </c>
      <c r="G456" t="s">
        <v>158</v>
      </c>
      <c r="H456" s="20" t="s">
        <v>553</v>
      </c>
      <c r="I456" t="s">
        <v>65</v>
      </c>
      <c r="J456" s="30">
        <v>195</v>
      </c>
      <c r="K456" s="22">
        <f>IF(I456="","",IF(I456="ENTRADA",ABS(J456),-ABS(J456)))</f>
        <v>-195</v>
      </c>
      <c r="L456" t="s">
        <v>37</v>
      </c>
      <c r="N456">
        <v>65166</v>
      </c>
      <c r="O456" t="s">
        <v>387</v>
      </c>
      <c r="P456">
        <v>1887</v>
      </c>
      <c r="Q456" s="42">
        <v>46261</v>
      </c>
      <c r="R456" s="22" t="str">
        <f>IF(H456="","",H456&amp;I456)</f>
        <v>260623-289SALIDA</v>
      </c>
      <c r="S456" s="22" t="str">
        <f>IF(C456="","",C456&amp;I456)</f>
        <v>cripton xpro SALIDA</v>
      </c>
      <c r="T456" t="str">
        <f>IF(OR(C456="",I456&lt;&gt;"ENTRADA"),"",TEXT(B456,"AAMMDD")&amp;"-"&amp;TEXT(VALUE(SUBSTITUTE(A456,"MOV-","")),"000"))</f>
        <v/>
      </c>
    </row>
    <row r="457" spans="1:20">
      <c r="A457" s="20" t="s">
        <v>729</v>
      </c>
      <c r="B457" s="47">
        <v>46258</v>
      </c>
      <c r="C457" t="s">
        <v>137</v>
      </c>
      <c r="D457" t="s">
        <v>138</v>
      </c>
      <c r="E457" t="s">
        <v>132</v>
      </c>
      <c r="G457" t="s">
        <v>133</v>
      </c>
      <c r="H457" s="20" t="s">
        <v>211</v>
      </c>
      <c r="I457" t="s">
        <v>65</v>
      </c>
      <c r="J457" s="30">
        <v>10</v>
      </c>
      <c r="K457" s="22">
        <f>IF(I457="","",IF(I457="ENTRADA",ABS(J457),-ABS(J457)))</f>
        <v>-10</v>
      </c>
      <c r="L457" t="s">
        <v>37</v>
      </c>
      <c r="N457">
        <v>65167</v>
      </c>
      <c r="O457" t="s">
        <v>218</v>
      </c>
      <c r="P457">
        <v>1888</v>
      </c>
      <c r="Q457" s="42">
        <v>46261</v>
      </c>
      <c r="R457" s="22" t="str">
        <f>IF(H457="","",H457&amp;I457)</f>
        <v>260414-030SALIDA</v>
      </c>
      <c r="S457" s="22" t="str">
        <f>IF(C457="","",C457&amp;I457)</f>
        <v>Full controlSALIDA</v>
      </c>
      <c r="T457" t="str">
        <f>IF(OR(C457="",I457&lt;&gt;"ENTRADA"),"",TEXT(B457,"AAMMDD")&amp;"-"&amp;TEXT(VALUE(SUBSTITUTE(A457,"MOV-","")),"000"))</f>
        <v/>
      </c>
    </row>
    <row r="458" spans="1:20">
      <c r="A458" s="20" t="s">
        <v>730</v>
      </c>
      <c r="B458" s="47">
        <v>46258</v>
      </c>
      <c r="C458" t="s">
        <v>130</v>
      </c>
      <c r="D458" t="s">
        <v>131</v>
      </c>
      <c r="E458" t="s">
        <v>132</v>
      </c>
      <c r="G458" t="s">
        <v>133</v>
      </c>
      <c r="H458" s="20" t="s">
        <v>221</v>
      </c>
      <c r="I458" t="s">
        <v>65</v>
      </c>
      <c r="J458" s="30">
        <v>60</v>
      </c>
      <c r="K458" s="22">
        <f>IF(I458="","",IF(I458="ENTRADA",ABS(J458),-ABS(J458)))</f>
        <v>-60</v>
      </c>
      <c r="L458" t="s">
        <v>37</v>
      </c>
      <c r="N458">
        <v>65167</v>
      </c>
      <c r="O458" t="s">
        <v>218</v>
      </c>
      <c r="P458">
        <v>1888</v>
      </c>
      <c r="Q458" s="42">
        <v>46261</v>
      </c>
      <c r="R458" s="22" t="str">
        <f>IF(H458="","",H458&amp;I458)</f>
        <v>260414-029SALIDA</v>
      </c>
      <c r="S458" s="22" t="str">
        <f>IF(C458="","",C458&amp;I458)</f>
        <v>HarrierSALIDA</v>
      </c>
      <c r="T458" t="str">
        <f>IF(OR(C458="",I458&lt;&gt;"ENTRADA"),"",TEXT(B458,"AAMMDD")&amp;"-"&amp;TEXT(VALUE(SUBSTITUTE(A458,"MOV-","")),"000"))</f>
        <v/>
      </c>
    </row>
    <row r="459" spans="1:20">
      <c r="A459" s="20" t="s">
        <v>731</v>
      </c>
      <c r="B459" s="47">
        <v>46258</v>
      </c>
      <c r="C459" t="s">
        <v>130</v>
      </c>
      <c r="D459" t="s">
        <v>131</v>
      </c>
      <c r="E459" t="s">
        <v>132</v>
      </c>
      <c r="G459" t="s">
        <v>133</v>
      </c>
      <c r="H459" s="20" t="s">
        <v>221</v>
      </c>
      <c r="I459" t="s">
        <v>65</v>
      </c>
      <c r="J459" s="30">
        <v>80</v>
      </c>
      <c r="K459" s="22">
        <f>IF(I459="","",IF(I459="ENTRADA",ABS(J459),-ABS(J459)))</f>
        <v>-80</v>
      </c>
      <c r="L459" t="s">
        <v>37</v>
      </c>
      <c r="N459">
        <v>65168</v>
      </c>
      <c r="O459" t="s">
        <v>382</v>
      </c>
      <c r="P459">
        <v>1889</v>
      </c>
      <c r="Q459" s="42">
        <v>46261</v>
      </c>
      <c r="R459" s="22" t="str">
        <f>IF(H459="","",H459&amp;I459)</f>
        <v>260414-029SALIDA</v>
      </c>
      <c r="S459" s="22" t="str">
        <f>IF(C459="","",C459&amp;I459)</f>
        <v>HarrierSALIDA</v>
      </c>
      <c r="T459" t="str">
        <f>IF(OR(C459="",I459&lt;&gt;"ENTRADA"),"",TEXT(B459,"AAMMDD")&amp;"-"&amp;TEXT(VALUE(SUBSTITUTE(A459,"MOV-","")),"000"))</f>
        <v/>
      </c>
    </row>
    <row r="460" spans="1:20">
      <c r="A460" s="20" t="s">
        <v>732</v>
      </c>
      <c r="B460" s="47">
        <v>46258</v>
      </c>
      <c r="C460" t="s">
        <v>137</v>
      </c>
      <c r="D460" t="s">
        <v>138</v>
      </c>
      <c r="E460" t="s">
        <v>132</v>
      </c>
      <c r="G460" t="s">
        <v>133</v>
      </c>
      <c r="H460" s="20" t="s">
        <v>211</v>
      </c>
      <c r="I460" t="s">
        <v>65</v>
      </c>
      <c r="J460" s="30">
        <v>15</v>
      </c>
      <c r="K460" s="22">
        <f>IF(I460="","",IF(I460="ENTRADA",ABS(J460),-ABS(J460)))</f>
        <v>-15</v>
      </c>
      <c r="L460" t="s">
        <v>37</v>
      </c>
      <c r="N460">
        <v>65168</v>
      </c>
      <c r="O460" t="s">
        <v>382</v>
      </c>
      <c r="P460">
        <v>1889</v>
      </c>
      <c r="Q460" s="42">
        <v>46261</v>
      </c>
      <c r="R460" s="22" t="str">
        <f>IF(H460="","",H460&amp;I460)</f>
        <v>260414-030SALIDA</v>
      </c>
      <c r="S460" s="22" t="str">
        <f>IF(C460="","",C460&amp;I460)</f>
        <v>Full controlSALIDA</v>
      </c>
      <c r="T460" t="str">
        <f>IF(OR(C460="",I460&lt;&gt;"ENTRADA"),"",TEXT(B460,"AAMMDD")&amp;"-"&amp;TEXT(VALUE(SUBSTITUTE(A460,"MOV-","")),"000"))</f>
        <v/>
      </c>
    </row>
    <row r="461" spans="1:20">
      <c r="A461" s="20" t="s">
        <v>733</v>
      </c>
      <c r="B461" s="47">
        <v>46260</v>
      </c>
      <c r="C461" t="s">
        <v>491</v>
      </c>
      <c r="D461" t="s">
        <v>492</v>
      </c>
      <c r="E461" t="s">
        <v>493</v>
      </c>
      <c r="G461" t="s">
        <v>36</v>
      </c>
      <c r="H461" s="20" t="s">
        <v>495</v>
      </c>
      <c r="I461" t="s">
        <v>65</v>
      </c>
      <c r="J461" s="30">
        <v>360</v>
      </c>
      <c r="K461" s="22">
        <f>IF(I461="","",IF(I461="ENTRADA",ABS(J461),-ABS(J461)))</f>
        <v>-360</v>
      </c>
      <c r="L461" t="s">
        <v>37</v>
      </c>
      <c r="N461">
        <v>65169</v>
      </c>
      <c r="O461" t="s">
        <v>218</v>
      </c>
      <c r="P461">
        <v>1890</v>
      </c>
      <c r="Q461" s="42">
        <v>46261</v>
      </c>
      <c r="R461" s="22" t="str">
        <f>IF(H461="","",H461&amp;I461)</f>
        <v>260610-265SALIDA</v>
      </c>
      <c r="S461" s="22" t="str">
        <f>IF(C461="","",C461&amp;I461)</f>
        <v>Zinc Plus SALIDA</v>
      </c>
      <c r="T461" t="str">
        <f>IF(OR(C461="",I461&lt;&gt;"ENTRADA"),"",TEXT(B461,"AAMMDD")&amp;"-"&amp;TEXT(VALUE(SUBSTITUTE(A461,"MOV-","")),"000"))</f>
        <v/>
      </c>
    </row>
    <row r="462" spans="1:20">
      <c r="A462" s="20" t="s">
        <v>734</v>
      </c>
      <c r="B462" s="47">
        <v>46260</v>
      </c>
      <c r="C462" t="s">
        <v>137</v>
      </c>
      <c r="D462" t="s">
        <v>138</v>
      </c>
      <c r="E462" t="s">
        <v>132</v>
      </c>
      <c r="G462" t="s">
        <v>133</v>
      </c>
      <c r="H462" s="20" t="s">
        <v>211</v>
      </c>
      <c r="I462" t="s">
        <v>65</v>
      </c>
      <c r="J462" s="30">
        <v>2</v>
      </c>
      <c r="K462" s="22">
        <f>IF(I462="","",IF(I462="ENTRADA",ABS(J462),-ABS(J462)))</f>
        <v>-2</v>
      </c>
      <c r="L462" t="s">
        <v>37</v>
      </c>
      <c r="N462">
        <v>65169</v>
      </c>
      <c r="O462" t="s">
        <v>218</v>
      </c>
      <c r="P462">
        <v>1890</v>
      </c>
      <c r="Q462" s="42">
        <v>46261</v>
      </c>
      <c r="R462" s="22" t="str">
        <f>IF(H462="","",H462&amp;I462)</f>
        <v>260414-030SALIDA</v>
      </c>
      <c r="S462" s="22" t="str">
        <f>IF(C462="","",C462&amp;I462)</f>
        <v>Full controlSALIDA</v>
      </c>
      <c r="T462" t="str">
        <f>IF(OR(C462="",I462&lt;&gt;"ENTRADA"),"",TEXT(B462,"AAMMDD")&amp;"-"&amp;TEXT(VALUE(SUBSTITUTE(A462,"MOV-","")),"000"))</f>
        <v/>
      </c>
    </row>
    <row r="463" spans="1:20">
      <c r="A463" s="20" t="s">
        <v>735</v>
      </c>
      <c r="B463" s="47">
        <v>46260</v>
      </c>
      <c r="C463" s="34" t="s">
        <v>514</v>
      </c>
      <c r="D463" s="34" t="s">
        <v>515</v>
      </c>
      <c r="E463" s="34" t="s">
        <v>516</v>
      </c>
      <c r="F463" s="34"/>
      <c r="G463" s="34" t="s">
        <v>117</v>
      </c>
      <c r="H463" s="20" t="s">
        <v>664</v>
      </c>
      <c r="I463" s="34" t="s">
        <v>65</v>
      </c>
      <c r="J463" s="36">
        <v>105</v>
      </c>
      <c r="K463" s="22">
        <f>IF(I463="","",IF(I463="ENTRADA",ABS(J463),-ABS(J463)))</f>
        <v>-105</v>
      </c>
      <c r="L463" s="34" t="s">
        <v>37</v>
      </c>
      <c r="M463" s="34"/>
      <c r="N463">
        <v>65169</v>
      </c>
      <c r="O463" s="34" t="s">
        <v>218</v>
      </c>
      <c r="P463">
        <v>1890</v>
      </c>
      <c r="Q463" s="42">
        <v>46261</v>
      </c>
      <c r="R463" s="22" t="str">
        <f>IF(H463="","",H463&amp;I463)</f>
        <v>260730-396SALIDA</v>
      </c>
      <c r="S463" s="22" t="str">
        <f>IF(C463="","",C463&amp;I463)</f>
        <v>Unico MaxSALIDA</v>
      </c>
      <c r="T463" t="str">
        <f>IF(OR(C463="",I463&lt;&gt;"ENTRADA"),"",TEXT(B463,"AAMMDD")&amp;"-"&amp;TEXT(VALUE(SUBSTITUTE(A463,"MOV-","")),"000"))</f>
        <v/>
      </c>
    </row>
    <row r="464" spans="1:20">
      <c r="A464" s="20" t="s">
        <v>736</v>
      </c>
      <c r="B464" s="47">
        <v>46260</v>
      </c>
      <c r="C464" t="s">
        <v>130</v>
      </c>
      <c r="D464" t="s">
        <v>131</v>
      </c>
      <c r="E464" t="s">
        <v>132</v>
      </c>
      <c r="G464" t="s">
        <v>133</v>
      </c>
      <c r="H464" s="20" t="s">
        <v>221</v>
      </c>
      <c r="I464" t="s">
        <v>65</v>
      </c>
      <c r="J464" s="30">
        <v>500</v>
      </c>
      <c r="K464" s="22">
        <f>IF(I464="","",IF(I464="ENTRADA",ABS(J464),-ABS(J464)))</f>
        <v>-500</v>
      </c>
      <c r="N464">
        <v>65170</v>
      </c>
      <c r="O464" t="s">
        <v>213</v>
      </c>
      <c r="P464">
        <v>1891</v>
      </c>
      <c r="Q464" s="42">
        <v>46261</v>
      </c>
      <c r="R464" s="22" t="str">
        <f>IF(H464="","",H464&amp;I464)</f>
        <v>260414-029SALIDA</v>
      </c>
      <c r="S464" s="22" t="str">
        <f>IF(C464="","",C464&amp;I464)</f>
        <v>HarrierSALIDA</v>
      </c>
      <c r="T464" t="str">
        <f>IF(OR(C464="",I464&lt;&gt;"ENTRADA"),"",TEXT(B464,"AAMMDD")&amp;"-"&amp;TEXT(VALUE(SUBSTITUTE(A464,"MOV-","")),"000"))</f>
        <v/>
      </c>
    </row>
    <row r="465" spans="1:20">
      <c r="A465" s="20" t="s">
        <v>737</v>
      </c>
      <c r="B465" s="47">
        <v>46260</v>
      </c>
      <c r="C465" t="s">
        <v>524</v>
      </c>
      <c r="D465" t="s">
        <v>525</v>
      </c>
      <c r="E465" t="s">
        <v>516</v>
      </c>
      <c r="G465" t="s">
        <v>158</v>
      </c>
      <c r="H465" s="20" t="s">
        <v>553</v>
      </c>
      <c r="I465" t="s">
        <v>65</v>
      </c>
      <c r="J465" s="30">
        <v>500</v>
      </c>
      <c r="K465" s="22">
        <f>IF(I465="","",IF(I465="ENTRADA",ABS(J465),-ABS(J465)))</f>
        <v>-500</v>
      </c>
      <c r="L465" t="s">
        <v>37</v>
      </c>
      <c r="N465">
        <v>65170</v>
      </c>
      <c r="O465" t="s">
        <v>213</v>
      </c>
      <c r="P465">
        <v>1891</v>
      </c>
      <c r="Q465" s="42">
        <v>46261</v>
      </c>
      <c r="R465" s="22" t="str">
        <f>IF(H465="","",H465&amp;I465)</f>
        <v>260623-289SALIDA</v>
      </c>
      <c r="S465" s="22" t="str">
        <f>IF(C465="","",C465&amp;I465)</f>
        <v>cripton xpro SALIDA</v>
      </c>
      <c r="T465" t="str">
        <f>IF(OR(C465="",I465&lt;&gt;"ENTRADA"),"",TEXT(B465,"AAMMDD")&amp;"-"&amp;TEXT(VALUE(SUBSTITUTE(A465,"MOV-","")),"000"))</f>
        <v/>
      </c>
    </row>
    <row r="466" spans="1:20">
      <c r="A466" s="20" t="s">
        <v>738</v>
      </c>
      <c r="B466" s="47">
        <v>46260</v>
      </c>
      <c r="C466" t="s">
        <v>141</v>
      </c>
      <c r="D466" t="s">
        <v>142</v>
      </c>
      <c r="E466" t="s">
        <v>132</v>
      </c>
      <c r="G466" t="s">
        <v>133</v>
      </c>
      <c r="H466" s="20" t="s">
        <v>469</v>
      </c>
      <c r="I466" t="s">
        <v>65</v>
      </c>
      <c r="J466" s="30">
        <v>60</v>
      </c>
      <c r="K466" s="22">
        <f>IF(I466="","",IF(I466="ENTRADA",ABS(J466),-ABS(J466)))</f>
        <v>-60</v>
      </c>
      <c r="N466">
        <v>65170</v>
      </c>
      <c r="O466" t="s">
        <v>213</v>
      </c>
      <c r="P466">
        <v>1891</v>
      </c>
      <c r="Q466" s="42">
        <v>46261</v>
      </c>
      <c r="R466" s="22" t="str">
        <f>IF(H466="","",H466&amp;I466)</f>
        <v>260414-031SALIDA</v>
      </c>
      <c r="S466" s="22" t="str">
        <f>IF(C466="","",C466&amp;I466)</f>
        <v>Maxi DropSALIDA</v>
      </c>
      <c r="T466" t="str">
        <f>IF(OR(C466="",I466&lt;&gt;"ENTRADA"),"",TEXT(B466,"AAMMDD")&amp;"-"&amp;TEXT(VALUE(SUBSTITUTE(A466,"MOV-","")),"000"))</f>
        <v/>
      </c>
    </row>
    <row r="467" spans="1:20">
      <c r="A467" s="20" t="s">
        <v>739</v>
      </c>
      <c r="B467" s="47">
        <v>46260</v>
      </c>
      <c r="C467" t="s">
        <v>491</v>
      </c>
      <c r="D467" t="s">
        <v>492</v>
      </c>
      <c r="E467" t="s">
        <v>493</v>
      </c>
      <c r="G467" t="s">
        <v>36</v>
      </c>
      <c r="H467" s="20" t="s">
        <v>495</v>
      </c>
      <c r="I467" t="s">
        <v>28</v>
      </c>
      <c r="J467" s="30">
        <v>1140</v>
      </c>
      <c r="K467" s="22">
        <f>IF(I467="","",IF(I467="ENTRADA",ABS(J467),-ABS(J467)))</f>
        <v>1140</v>
      </c>
      <c r="L467" t="s">
        <v>37</v>
      </c>
      <c r="N467">
        <v>65172</v>
      </c>
      <c r="O467" t="s">
        <v>237</v>
      </c>
      <c r="Q467" s="33"/>
      <c r="R467" s="22" t="str">
        <f>IF(H467="","",H467&amp;I467)</f>
        <v>260610-265ENTRADA</v>
      </c>
      <c r="S467" s="22" t="str">
        <f>IF(C467="","",C467&amp;I467)</f>
        <v>Zinc Plus ENTRADA</v>
      </c>
      <c r="T467" t="str">
        <f>IF(OR(C467="",I467&lt;&gt;"ENTRADA"),"",TEXT(B467,"AAMMDD")&amp;"-"&amp;TEXT(VALUE(SUBSTITUTE(A467,"MOV-","")),"000"))</f>
        <v>260826-467</v>
      </c>
    </row>
    <row r="468" spans="1:20">
      <c r="A468" s="20" t="s">
        <v>740</v>
      </c>
      <c r="B468" s="47">
        <v>46260</v>
      </c>
      <c r="C468" t="s">
        <v>40</v>
      </c>
      <c r="D468" t="s">
        <v>41</v>
      </c>
      <c r="E468" t="s">
        <v>34</v>
      </c>
      <c r="F468" t="s">
        <v>35</v>
      </c>
      <c r="G468" t="s">
        <v>36</v>
      </c>
      <c r="H468" s="20" t="s">
        <v>471</v>
      </c>
      <c r="I468" t="s">
        <v>28</v>
      </c>
      <c r="J468" s="30">
        <v>45</v>
      </c>
      <c r="K468" s="22">
        <f>IF(I468="","",IF(I468="ENTRADA",ABS(J468),-ABS(J468)))</f>
        <v>45</v>
      </c>
      <c r="L468" t="s">
        <v>37</v>
      </c>
      <c r="N468">
        <v>65172</v>
      </c>
      <c r="O468" t="s">
        <v>237</v>
      </c>
      <c r="Q468" s="33"/>
      <c r="R468" s="22" t="str">
        <f>IF(H468="","",H468&amp;I468)</f>
        <v>260401-003ENTRADA</v>
      </c>
      <c r="S468" s="22" t="str">
        <f>IF(C468="","",C468&amp;I468)</f>
        <v>LontrelENTRADA</v>
      </c>
      <c r="T468" t="str">
        <f>IF(OR(C468="",I468&lt;&gt;"ENTRADA"),"",TEXT(B468,"AAMMDD")&amp;"-"&amp;TEXT(VALUE(SUBSTITUTE(A468,"MOV-","")),"000"))</f>
        <v>260826-468</v>
      </c>
    </row>
    <row r="469" spans="1:20">
      <c r="A469" s="20" t="s">
        <v>741</v>
      </c>
      <c r="B469" s="47">
        <v>46260</v>
      </c>
      <c r="C469" t="s">
        <v>130</v>
      </c>
      <c r="D469" t="s">
        <v>131</v>
      </c>
      <c r="E469" t="s">
        <v>132</v>
      </c>
      <c r="G469" t="s">
        <v>133</v>
      </c>
      <c r="H469" s="20" t="s">
        <v>221</v>
      </c>
      <c r="I469" t="s">
        <v>65</v>
      </c>
      <c r="J469" s="30">
        <v>35</v>
      </c>
      <c r="K469" s="22">
        <f>IF(I469="","",IF(I469="ENTRADA",ABS(J469),-ABS(J469)))</f>
        <v>-35</v>
      </c>
      <c r="L469" t="s">
        <v>37</v>
      </c>
      <c r="N469">
        <v>65173</v>
      </c>
      <c r="O469" t="s">
        <v>382</v>
      </c>
      <c r="P469">
        <v>1892</v>
      </c>
      <c r="Q469" s="42">
        <v>46261</v>
      </c>
      <c r="R469" s="22" t="str">
        <f>IF(H469="","",H469&amp;I469)</f>
        <v>260414-029SALIDA</v>
      </c>
      <c r="S469" s="22" t="str">
        <f>IF(C469="","",C469&amp;I469)</f>
        <v>HarrierSALIDA</v>
      </c>
      <c r="T469" t="str">
        <f>IF(OR(C469="",I469&lt;&gt;"ENTRADA"),"",TEXT(B469,"AAMMDD")&amp;"-"&amp;TEXT(VALUE(SUBSTITUTE(A469,"MOV-","")),"000"))</f>
        <v/>
      </c>
    </row>
    <row r="470" spans="1:20">
      <c r="A470" s="20" t="s">
        <v>742</v>
      </c>
      <c r="B470" s="47">
        <v>46260</v>
      </c>
      <c r="C470" t="s">
        <v>137</v>
      </c>
      <c r="D470" t="s">
        <v>138</v>
      </c>
      <c r="E470" t="s">
        <v>132</v>
      </c>
      <c r="G470" t="s">
        <v>133</v>
      </c>
      <c r="H470" s="20" t="s">
        <v>211</v>
      </c>
      <c r="I470" t="s">
        <v>65</v>
      </c>
      <c r="J470" s="30">
        <v>5</v>
      </c>
      <c r="K470" s="22">
        <f>IF(I470="","",IF(I470="ENTRADA",ABS(J470),-ABS(J470)))</f>
        <v>-5</v>
      </c>
      <c r="L470" t="s">
        <v>37</v>
      </c>
      <c r="P470">
        <v>1892</v>
      </c>
      <c r="Q470" s="42">
        <v>46261</v>
      </c>
      <c r="R470" s="22" t="str">
        <f>IF(H470="","",H470&amp;I470)</f>
        <v>260414-030SALIDA</v>
      </c>
      <c r="S470" s="22" t="str">
        <f>IF(C470="","",C470&amp;I470)</f>
        <v>Full controlSALIDA</v>
      </c>
      <c r="T470" t="str">
        <f>IF(OR(C470="",I470&lt;&gt;"ENTRADA"),"",TEXT(B470,"AAMMDD")&amp;"-"&amp;TEXT(VALUE(SUBSTITUTE(A470,"MOV-","")),"000"))</f>
        <v/>
      </c>
    </row>
    <row r="471" spans="1:20">
      <c r="A471" s="20" t="s">
        <v>743</v>
      </c>
      <c r="B471" s="47">
        <v>46261</v>
      </c>
      <c r="C471" t="s">
        <v>130</v>
      </c>
      <c r="D471" t="s">
        <v>131</v>
      </c>
      <c r="E471" t="s">
        <v>132</v>
      </c>
      <c r="G471" t="s">
        <v>133</v>
      </c>
      <c r="H471" s="20" t="s">
        <v>221</v>
      </c>
      <c r="I471" t="s">
        <v>28</v>
      </c>
      <c r="J471" s="30">
        <v>10000</v>
      </c>
      <c r="K471" s="22">
        <f>IF(I471="","",IF(I471="ENTRADA",ABS(J471),-ABS(J471)))</f>
        <v>10000</v>
      </c>
      <c r="L471" t="s">
        <v>37</v>
      </c>
      <c r="N471">
        <v>457</v>
      </c>
      <c r="P471">
        <v>14973</v>
      </c>
      <c r="Q471" s="42">
        <v>46261</v>
      </c>
      <c r="R471" s="22" t="str">
        <f>IF(H471="","",H471&amp;I471)</f>
        <v>260414-029ENTRADA</v>
      </c>
      <c r="S471" s="22" t="str">
        <f>IF(C471="","",C471&amp;I471)</f>
        <v>HarrierENTRADA</v>
      </c>
      <c r="T471" t="str">
        <f>IF(OR(C471="",I471&lt;&gt;"ENTRADA"),"",TEXT(B471,"AAMMDD")&amp;"-"&amp;TEXT(VALUE(SUBSTITUTE(A471,"MOV-","")),"000"))</f>
        <v>260827-471</v>
      </c>
    </row>
    <row r="472" spans="1:20">
      <c r="A472" s="20" t="s">
        <v>744</v>
      </c>
      <c r="B472" s="47">
        <v>46261</v>
      </c>
      <c r="C472" t="s">
        <v>137</v>
      </c>
      <c r="D472" t="s">
        <v>138</v>
      </c>
      <c r="E472" t="s">
        <v>132</v>
      </c>
      <c r="G472" t="s">
        <v>133</v>
      </c>
      <c r="H472" s="20" t="str">
        <f>+T472</f>
        <v>260827-472</v>
      </c>
      <c r="I472" t="s">
        <v>28</v>
      </c>
      <c r="J472" s="30">
        <v>2000</v>
      </c>
      <c r="K472" s="22">
        <f>IF(I472="","",IF(I472="ENTRADA",ABS(J472),-ABS(J472)))</f>
        <v>2000</v>
      </c>
      <c r="L472" t="s">
        <v>37</v>
      </c>
      <c r="N472">
        <v>457</v>
      </c>
      <c r="P472">
        <v>14973</v>
      </c>
      <c r="Q472" s="42">
        <v>46261</v>
      </c>
      <c r="R472" s="22" t="str">
        <f>IF(H472="","",H472&amp;I472)</f>
        <v>260827-472ENTRADA</v>
      </c>
      <c r="S472" s="22" t="str">
        <f>IF(C472="","",C472&amp;I472)</f>
        <v>Full controlENTRADA</v>
      </c>
      <c r="T472" t="str">
        <f>IF(OR(C472="",I472&lt;&gt;"ENTRADA"),"",TEXT(B472,"AAMMDD")&amp;"-"&amp;TEXT(VALUE(SUBSTITUTE(A472,"MOV-","")),"000"))</f>
        <v>260827-472</v>
      </c>
    </row>
    <row r="473" spans="1:20">
      <c r="A473" s="20" t="s">
        <v>745</v>
      </c>
      <c r="B473" s="47">
        <v>46261</v>
      </c>
      <c r="C473" t="s">
        <v>141</v>
      </c>
      <c r="D473" t="s">
        <v>142</v>
      </c>
      <c r="E473" t="s">
        <v>132</v>
      </c>
      <c r="G473" t="s">
        <v>133</v>
      </c>
      <c r="H473" s="20" t="str">
        <f>+T473</f>
        <v>260827-473</v>
      </c>
      <c r="I473" t="s">
        <v>28</v>
      </c>
      <c r="J473" s="30">
        <v>300</v>
      </c>
      <c r="K473" s="22">
        <f>IF(I473="","",IF(I473="ENTRADA",ABS(J473),-ABS(J473)))</f>
        <v>300</v>
      </c>
      <c r="L473" t="s">
        <v>37</v>
      </c>
      <c r="N473">
        <v>457</v>
      </c>
      <c r="P473">
        <v>14973</v>
      </c>
      <c r="Q473" s="42">
        <v>46261</v>
      </c>
      <c r="R473" s="22" t="str">
        <f>IF(H473="","",H473&amp;I473)</f>
        <v>260827-473ENTRADA</v>
      </c>
      <c r="S473" s="22" t="str">
        <f>IF(C473="","",C473&amp;I473)</f>
        <v>Maxi DropENTRADA</v>
      </c>
      <c r="T473" t="str">
        <f>IF(OR(C473="",I473&lt;&gt;"ENTRADA"),"",TEXT(B473,"AAMMDD")&amp;"-"&amp;TEXT(VALUE(SUBSTITUTE(A473,"MOV-","")),"000"))</f>
        <v>260827-473</v>
      </c>
    </row>
    <row r="474" spans="1:20">
      <c r="A474" s="20" t="s">
        <v>746</v>
      </c>
      <c r="B474" s="60">
        <v>46255</v>
      </c>
      <c r="C474" s="34" t="s">
        <v>90</v>
      </c>
      <c r="D474" s="34" t="s">
        <v>91</v>
      </c>
      <c r="E474" s="34" t="s">
        <v>34</v>
      </c>
      <c r="F474" s="34" t="s">
        <v>35</v>
      </c>
      <c r="G474" s="34" t="s">
        <v>36</v>
      </c>
      <c r="H474" s="20"/>
      <c r="I474" s="34" t="s">
        <v>28</v>
      </c>
      <c r="J474" s="36">
        <v>5000</v>
      </c>
      <c r="K474" s="22">
        <f>IF(I474="","",IF(I474="ENTRADA",ABS(J474),-ABS(J474)))</f>
        <v>5000</v>
      </c>
      <c r="L474" s="34" t="s">
        <v>37</v>
      </c>
      <c r="M474" s="34"/>
      <c r="N474">
        <v>13444</v>
      </c>
      <c r="O474" s="34"/>
      <c r="P474" s="34">
        <v>14972</v>
      </c>
      <c r="Q474" s="42">
        <v>46261</v>
      </c>
      <c r="R474" s="22" t="str">
        <f>IF(H474="","",H474&amp;I474)</f>
        <v/>
      </c>
      <c r="S474" s="22" t="str">
        <f>IF(C474="","",C474&amp;I474)</f>
        <v>PixxaroENTRADA</v>
      </c>
      <c r="T474" t="str">
        <f>IF(OR(C474="",I474&lt;&gt;"ENTRADA"),"",TEXT(B474,"AAMMDD")&amp;"-"&amp;TEXT(VALUE(SUBSTITUTE(A474,"MOV-","")),"000"))</f>
        <v>260821-474</v>
      </c>
    </row>
    <row r="475" spans="1:20">
      <c r="A475" s="20" t="s">
        <v>747</v>
      </c>
      <c r="B475" s="47">
        <v>46261</v>
      </c>
      <c r="C475" t="s">
        <v>141</v>
      </c>
      <c r="D475" t="s">
        <v>142</v>
      </c>
      <c r="E475" t="s">
        <v>132</v>
      </c>
      <c r="G475" t="s">
        <v>133</v>
      </c>
      <c r="H475" s="20" t="s">
        <v>748</v>
      </c>
      <c r="I475" t="s">
        <v>28</v>
      </c>
      <c r="J475" s="30">
        <v>5</v>
      </c>
      <c r="K475" s="22">
        <f>IF(I475="","",IF(I475="ENTRADA",ABS(J475),-ABS(J475)))</f>
        <v>5</v>
      </c>
      <c r="L475" t="s">
        <v>37</v>
      </c>
      <c r="N475">
        <v>457</v>
      </c>
      <c r="P475">
        <v>14985</v>
      </c>
      <c r="Q475" s="42">
        <v>46262</v>
      </c>
      <c r="R475" s="22" t="str">
        <f>IF(H475="","",H475&amp;I475)</f>
        <v>260827-473ENTRADA</v>
      </c>
      <c r="S475" s="22" t="str">
        <f>IF(C475="","",C475&amp;I475)</f>
        <v>Maxi DropENTRADA</v>
      </c>
      <c r="T475" t="str">
        <f>IF(OR(C475="",I475&lt;&gt;"ENTRADA"),"",TEXT(B475,"AAMMDD")&amp;"-"&amp;TEXT(VALUE(SUBSTITUTE(A475,"MOV-","")),"000"))</f>
        <v>260827-475</v>
      </c>
    </row>
    <row r="476" spans="1:20">
      <c r="A476" s="20" t="s">
        <v>749</v>
      </c>
      <c r="B476" s="47">
        <v>46247</v>
      </c>
      <c r="C476" t="s">
        <v>750</v>
      </c>
      <c r="D476" t="s">
        <v>751</v>
      </c>
      <c r="E476" t="s">
        <v>34</v>
      </c>
      <c r="G476" t="s">
        <v>301</v>
      </c>
      <c r="H476" s="20" t="str">
        <f>+T476</f>
        <v>260813-476</v>
      </c>
      <c r="I476" t="s">
        <v>28</v>
      </c>
      <c r="J476" s="30">
        <v>500</v>
      </c>
      <c r="K476" s="22">
        <f>IF(I476="","",IF(I476="ENTRADA",ABS(J476),-ABS(J476)))</f>
        <v>500</v>
      </c>
      <c r="L476" t="s">
        <v>37</v>
      </c>
      <c r="M476" s="47">
        <v>46874</v>
      </c>
      <c r="N476">
        <v>54148</v>
      </c>
      <c r="P476">
        <v>14996</v>
      </c>
      <c r="Q476" s="42">
        <v>46265</v>
      </c>
      <c r="R476" s="22" t="str">
        <f>IF(H476="","",H476&amp;I476)</f>
        <v>260813-476ENTRADA</v>
      </c>
      <c r="S476" s="22" t="str">
        <f>IF(C476="","",C476&amp;I476)</f>
        <v>Fluroxipir Forte 480ENTRADA</v>
      </c>
      <c r="T476" t="str">
        <f>IF(OR(C476="",I476&lt;&gt;"ENTRADA"),"",TEXT(B476,"AAMMDD")&amp;"-"&amp;TEXT(VALUE(SUBSTITUTE(A476,"MOV-","")),"000"))</f>
        <v>260813-476</v>
      </c>
    </row>
    <row r="477" spans="1:20">
      <c r="A477" s="20" t="s">
        <v>752</v>
      </c>
      <c r="B477" s="47">
        <v>46249</v>
      </c>
      <c r="C477" t="s">
        <v>750</v>
      </c>
      <c r="D477" t="s">
        <v>751</v>
      </c>
      <c r="E477" t="s">
        <v>34</v>
      </c>
      <c r="G477" t="s">
        <v>301</v>
      </c>
      <c r="H477" s="20" t="s">
        <v>753</v>
      </c>
      <c r="I477" t="s">
        <v>65</v>
      </c>
      <c r="J477" s="30">
        <v>100</v>
      </c>
      <c r="K477" s="22">
        <f>IF(I477="","",IF(I477="ENTRADA",ABS(J477),-ABS(J477)))</f>
        <v>-100</v>
      </c>
      <c r="L477" t="s">
        <v>37</v>
      </c>
      <c r="N477">
        <v>65163</v>
      </c>
      <c r="O477" t="s">
        <v>218</v>
      </c>
      <c r="P477">
        <v>1893</v>
      </c>
      <c r="Q477" s="42">
        <v>46265</v>
      </c>
      <c r="R477" s="22" t="str">
        <f>IF(H477="","",H477&amp;I477)</f>
        <v>260813-476SALIDA</v>
      </c>
      <c r="S477" s="22" t="str">
        <f>IF(C477="","",C477&amp;I477)</f>
        <v>Fluroxipir Forte 480SALIDA</v>
      </c>
      <c r="T477" t="str">
        <f>IF(OR(C477="",I477&lt;&gt;"ENTRADA"),"",TEXT(B477,"AAMMDD")&amp;"-"&amp;TEXT(VALUE(SUBSTITUTE(A477,"MOV-","")),"000"))</f>
        <v/>
      </c>
    </row>
    <row r="478" spans="1:20">
      <c r="A478" s="20" t="s">
        <v>754</v>
      </c>
      <c r="B478" s="47">
        <v>46249</v>
      </c>
      <c r="C478" t="s">
        <v>141</v>
      </c>
      <c r="D478" t="s">
        <v>142</v>
      </c>
      <c r="E478" t="s">
        <v>132</v>
      </c>
      <c r="G478" t="s">
        <v>133</v>
      </c>
      <c r="H478" s="20" t="s">
        <v>748</v>
      </c>
      <c r="I478" t="s">
        <v>65</v>
      </c>
      <c r="J478" s="30">
        <v>15</v>
      </c>
      <c r="K478" s="22">
        <f>IF(I478="","",IF(I478="ENTRADA",ABS(J478),-ABS(J478)))</f>
        <v>-15</v>
      </c>
      <c r="L478" t="s">
        <v>37</v>
      </c>
      <c r="N478">
        <v>65163</v>
      </c>
      <c r="O478" t="s">
        <v>213</v>
      </c>
      <c r="P478">
        <v>1893</v>
      </c>
      <c r="Q478" s="42">
        <v>46265</v>
      </c>
      <c r="R478" s="22" t="str">
        <f>IF(H478="","",H478&amp;I478)</f>
        <v>260827-473SALIDA</v>
      </c>
      <c r="S478" s="22" t="str">
        <f>IF(C478="","",C478&amp;I478)</f>
        <v>Maxi DropSALIDA</v>
      </c>
      <c r="T478" t="str">
        <f>IF(OR(C478="",I478&lt;&gt;"ENTRADA"),"",TEXT(B478,"AAMMDD")&amp;"-"&amp;TEXT(VALUE(SUBSTITUTE(A478,"MOV-","")),"000"))</f>
        <v/>
      </c>
    </row>
    <row r="479" spans="1:20">
      <c r="A479" s="20" t="s">
        <v>755</v>
      </c>
      <c r="B479" s="47">
        <v>46249</v>
      </c>
      <c r="C479" t="s">
        <v>141</v>
      </c>
      <c r="D479" t="s">
        <v>142</v>
      </c>
      <c r="E479" t="s">
        <v>132</v>
      </c>
      <c r="G479" t="s">
        <v>133</v>
      </c>
      <c r="H479" s="20" t="s">
        <v>748</v>
      </c>
      <c r="I479" t="s">
        <v>65</v>
      </c>
      <c r="J479" s="30">
        <v>15</v>
      </c>
      <c r="K479" s="22">
        <f>IF(I479="","",IF(I479="ENTRADA",ABS(J479),-ABS(J479)))</f>
        <v>-15</v>
      </c>
      <c r="L479" t="s">
        <v>37</v>
      </c>
      <c r="N479">
        <v>65163</v>
      </c>
      <c r="O479" t="s">
        <v>382</v>
      </c>
      <c r="P479">
        <v>1893</v>
      </c>
      <c r="Q479" s="42">
        <v>46265</v>
      </c>
      <c r="R479" s="22" t="str">
        <f>IF(H479="","",H479&amp;I479)</f>
        <v>260827-473SALIDA</v>
      </c>
      <c r="S479" s="22" t="str">
        <f>IF(C479="","",C479&amp;I479)</f>
        <v>Maxi DropSALIDA</v>
      </c>
      <c r="T479" t="str">
        <f>IF(OR(C479="",I479&lt;&gt;"ENTRADA"),"",TEXT(B479,"AAMMDD")&amp;"-"&amp;TEXT(VALUE(SUBSTITUTE(A479,"MOV-","")),"000"))</f>
        <v/>
      </c>
    </row>
    <row r="480" spans="1:20">
      <c r="A480" s="20" t="s">
        <v>756</v>
      </c>
      <c r="B480" s="47">
        <v>46255</v>
      </c>
      <c r="C480" t="s">
        <v>757</v>
      </c>
      <c r="D480" t="s">
        <v>758</v>
      </c>
      <c r="E480" t="s">
        <v>25</v>
      </c>
      <c r="F480" t="s">
        <v>631</v>
      </c>
      <c r="G480" t="s">
        <v>27</v>
      </c>
      <c r="H480" s="20" t="str">
        <f>+T480</f>
        <v>260821-480</v>
      </c>
      <c r="I480" t="s">
        <v>28</v>
      </c>
      <c r="J480" s="30">
        <v>487</v>
      </c>
      <c r="K480" s="22">
        <f>IF(I480="","",IF(I480="ENTRADA",ABS(J480),-ABS(J480)))</f>
        <v>487</v>
      </c>
      <c r="L480" t="s">
        <v>632</v>
      </c>
      <c r="N480">
        <v>50120</v>
      </c>
      <c r="P480">
        <v>14997</v>
      </c>
      <c r="Q480" s="42">
        <v>46265</v>
      </c>
      <c r="R480" s="22" t="str">
        <f>IF(H480="","",H480&amp;I480)</f>
        <v>260821-480ENTRADA</v>
      </c>
      <c r="S480" s="22" t="str">
        <f>IF(C480="","",C480&amp;I480)</f>
        <v>semilla comprada maiz illinois 2773ENTRADA</v>
      </c>
      <c r="T480" t="str">
        <f>IF(OR(C480="",I480&lt;&gt;"ENTRADA"),"",TEXT(B480,"AAMMDD")&amp;"-"&amp;TEXT(VALUE(SUBSTITUTE(A480,"MOV-","")),"000"))</f>
        <v>260821-480</v>
      </c>
    </row>
    <row r="481" spans="1:20">
      <c r="A481" s="20" t="s">
        <v>759</v>
      </c>
      <c r="B481" s="47">
        <v>46255</v>
      </c>
      <c r="C481" t="s">
        <v>760</v>
      </c>
      <c r="D481" t="s">
        <v>761</v>
      </c>
      <c r="E481" t="s">
        <v>25</v>
      </c>
      <c r="F481" t="s">
        <v>631</v>
      </c>
      <c r="G481" t="s">
        <v>27</v>
      </c>
      <c r="H481" s="20" t="str">
        <f>+T481</f>
        <v>260821-481</v>
      </c>
      <c r="I481" t="s">
        <v>28</v>
      </c>
      <c r="J481" s="30">
        <v>100</v>
      </c>
      <c r="K481" s="22">
        <f>IF(I481="","",IF(I481="ENTRADA",ABS(J481),-ABS(J481)))</f>
        <v>100</v>
      </c>
      <c r="L481" t="s">
        <v>632</v>
      </c>
      <c r="N481">
        <v>50120</v>
      </c>
      <c r="P481">
        <v>14997</v>
      </c>
      <c r="Q481" s="42">
        <v>46265</v>
      </c>
      <c r="R481" s="22" t="str">
        <f>IF(H481="","",H481&amp;I481)</f>
        <v>260821-481ENTRADA</v>
      </c>
      <c r="S481" s="22" t="str">
        <f>IF(C481="","",C481&amp;I481)</f>
        <v>semilla comprada maiz illinois 7.24 ENTRADA</v>
      </c>
      <c r="T481" t="str">
        <f>IF(OR(C481="",I481&lt;&gt;"ENTRADA"),"",TEXT(B481,"AAMMDD")&amp;"-"&amp;TEXT(VALUE(SUBSTITUTE(A481,"MOV-","")),"000"))</f>
        <v>260821-481</v>
      </c>
    </row>
    <row r="482" spans="1:20">
      <c r="A482" s="20" t="s">
        <v>762</v>
      </c>
      <c r="B482" s="47">
        <v>46255</v>
      </c>
      <c r="C482" t="s">
        <v>763</v>
      </c>
      <c r="D482" t="s">
        <v>764</v>
      </c>
      <c r="E482" t="s">
        <v>25</v>
      </c>
      <c r="F482" t="s">
        <v>631</v>
      </c>
      <c r="G482" t="s">
        <v>27</v>
      </c>
      <c r="H482" s="20" t="str">
        <f>+T482</f>
        <v>260821-482</v>
      </c>
      <c r="I482" t="s">
        <v>28</v>
      </c>
      <c r="J482" s="30">
        <v>65</v>
      </c>
      <c r="K482" s="22">
        <f>IF(I482="","",IF(I482="ENTRADA",ABS(J482),-ABS(J482)))</f>
        <v>65</v>
      </c>
      <c r="L482" t="s">
        <v>632</v>
      </c>
      <c r="N482">
        <v>50120</v>
      </c>
      <c r="P482">
        <v>14997</v>
      </c>
      <c r="Q482" s="42">
        <v>46265</v>
      </c>
      <c r="R482" s="22" t="str">
        <f>IF(H482="","",H482&amp;I482)</f>
        <v>260821-482ENTRADA</v>
      </c>
      <c r="S482" s="22" t="str">
        <f>IF(C482="","",C482&amp;I482)</f>
        <v>refugio semilla maiz illinois ENTRADA</v>
      </c>
      <c r="T482" t="str">
        <f>IF(OR(C482="",I482&lt;&gt;"ENTRADA"),"",TEXT(B482,"AAMMDD")&amp;"-"&amp;TEXT(VALUE(SUBSTITUTE(A482,"MOV-","")),"000"))</f>
        <v>260821-482</v>
      </c>
    </row>
    <row r="483" spans="1:20">
      <c r="A483" s="20" t="s">
        <v>765</v>
      </c>
      <c r="B483" s="47">
        <v>46265</v>
      </c>
      <c r="C483" t="s">
        <v>766</v>
      </c>
      <c r="D483" t="s">
        <v>767</v>
      </c>
      <c r="E483" t="s">
        <v>25</v>
      </c>
      <c r="F483" t="s">
        <v>631</v>
      </c>
      <c r="G483" t="s">
        <v>301</v>
      </c>
      <c r="H483" s="20" t="str">
        <f>+T483</f>
        <v>260831-483</v>
      </c>
      <c r="I483" t="s">
        <v>28</v>
      </c>
      <c r="J483" s="30">
        <v>446</v>
      </c>
      <c r="K483" s="22">
        <f>IF(I483="","",IF(I483="ENTRADA",ABS(J483),-ABS(J483)))</f>
        <v>446</v>
      </c>
      <c r="L483" t="s">
        <v>632</v>
      </c>
      <c r="N483">
        <v>14262</v>
      </c>
      <c r="P483">
        <v>15046</v>
      </c>
      <c r="Q483" s="42">
        <v>46268</v>
      </c>
      <c r="R483" s="22" t="str">
        <f>IF(H483="","",H483&amp;I483)</f>
        <v>260831-483ENTRADA</v>
      </c>
      <c r="S483" s="22" t="str">
        <f>IF(C483="","",C483&amp;I483)</f>
        <v>semilla maiz NK842ENTRADA</v>
      </c>
      <c r="T483" t="str">
        <f>IF(OR(C483="",I483&lt;&gt;"ENTRADA"),"",TEXT(B483,"AAMMDD")&amp;"-"&amp;TEXT(VALUE(SUBSTITUTE(A483,"MOV-","")),"000"))</f>
        <v>260831-483</v>
      </c>
    </row>
    <row r="484" spans="1:20">
      <c r="A484" s="20" t="s">
        <v>768</v>
      </c>
      <c r="B484" s="47">
        <v>46260</v>
      </c>
      <c r="C484" t="s">
        <v>769</v>
      </c>
      <c r="D484" t="s">
        <v>770</v>
      </c>
      <c r="E484" t="s">
        <v>34</v>
      </c>
      <c r="F484" t="s">
        <v>35</v>
      </c>
      <c r="G484" t="s">
        <v>771</v>
      </c>
      <c r="H484" s="20" t="str">
        <f>+T484</f>
        <v>260826-484</v>
      </c>
      <c r="I484" t="s">
        <v>28</v>
      </c>
      <c r="J484" s="30">
        <v>3000</v>
      </c>
      <c r="K484" s="22">
        <f>IF(I484="","",IF(I484="ENTRADA",ABS(J484),-ABS(J484)))</f>
        <v>3000</v>
      </c>
      <c r="L484" t="s">
        <v>37</v>
      </c>
      <c r="N484">
        <v>73403</v>
      </c>
      <c r="P484">
        <v>15029</v>
      </c>
      <c r="Q484" s="42">
        <v>46266</v>
      </c>
      <c r="R484" s="22" t="str">
        <f>IF(H484="","",H484&amp;I484)</f>
        <v>260826-484ENTRADA</v>
      </c>
      <c r="S484" s="22" t="str">
        <f>IF(C484="","",C484&amp;I484)</f>
        <v>Paraquat ENTRADA</v>
      </c>
      <c r="T484" t="str">
        <f>IF(OR(C484="",I484&lt;&gt;"ENTRADA"),"",TEXT(B484,"AAMMDD")&amp;"-"&amp;TEXT(VALUE(SUBSTITUTE(A484,"MOV-","")),"000"))</f>
        <v>260826-484</v>
      </c>
    </row>
    <row r="485" spans="1:20">
      <c r="A485" s="20" t="s">
        <v>772</v>
      </c>
      <c r="B485" s="47">
        <v>46262</v>
      </c>
      <c r="C485" s="34" t="s">
        <v>524</v>
      </c>
      <c r="D485" s="34" t="s">
        <v>525</v>
      </c>
      <c r="E485" s="34" t="s">
        <v>516</v>
      </c>
      <c r="F485" s="34"/>
      <c r="G485" s="34" t="s">
        <v>158</v>
      </c>
      <c r="H485" s="20" t="s">
        <v>553</v>
      </c>
      <c r="I485" s="34" t="s">
        <v>65</v>
      </c>
      <c r="J485" s="36">
        <v>140</v>
      </c>
      <c r="K485" s="22">
        <f>IF(I485="","",IF(I485="ENTRADA",ABS(J485),-ABS(J485)))</f>
        <v>-140</v>
      </c>
      <c r="L485" s="34" t="s">
        <v>37</v>
      </c>
      <c r="M485" s="34"/>
      <c r="N485">
        <v>65174</v>
      </c>
      <c r="O485" s="34" t="s">
        <v>213</v>
      </c>
      <c r="P485" s="46">
        <v>1894</v>
      </c>
      <c r="Q485" s="42">
        <v>46263</v>
      </c>
      <c r="R485" s="22" t="str">
        <f>IF(H485="","",H485&amp;I485)</f>
        <v>260623-289SALIDA</v>
      </c>
      <c r="S485" s="22" t="str">
        <f>IF(C485="","",C485&amp;I485)</f>
        <v>cripton xpro SALIDA</v>
      </c>
      <c r="T485" t="str">
        <f>IF(OR(C485="",I485&lt;&gt;"ENTRADA"),"",TEXT(B485,"AAMMDD")&amp;"-"&amp;TEXT(VALUE(SUBSTITUTE(A485,"MOV-","")),"000"))</f>
        <v/>
      </c>
    </row>
    <row r="486" spans="1:20">
      <c r="A486" s="20" t="s">
        <v>773</v>
      </c>
      <c r="B486" s="47">
        <v>46262</v>
      </c>
      <c r="C486" t="s">
        <v>130</v>
      </c>
      <c r="D486" t="s">
        <v>131</v>
      </c>
      <c r="E486" t="s">
        <v>132</v>
      </c>
      <c r="G486" t="s">
        <v>133</v>
      </c>
      <c r="H486" s="20" t="s">
        <v>221</v>
      </c>
      <c r="I486" t="s">
        <v>65</v>
      </c>
      <c r="J486" s="30">
        <v>20</v>
      </c>
      <c r="K486" s="22">
        <f>IF(I486="","",IF(I486="ENTRADA",ABS(J486),-ABS(J486)))</f>
        <v>-20</v>
      </c>
      <c r="L486" t="s">
        <v>37</v>
      </c>
      <c r="N486">
        <v>65174</v>
      </c>
      <c r="O486" t="s">
        <v>213</v>
      </c>
      <c r="P486">
        <v>1894</v>
      </c>
      <c r="Q486" s="42">
        <v>46263</v>
      </c>
      <c r="R486" s="22" t="str">
        <f>IF(H486="","",H486&amp;I486)</f>
        <v>260414-029SALIDA</v>
      </c>
      <c r="S486" s="22" t="str">
        <f>IF(C486="","",C486&amp;I486)</f>
        <v>HarrierSALIDA</v>
      </c>
      <c r="T486" t="str">
        <f>IF(OR(C486="",I486&lt;&gt;"ENTRADA"),"",TEXT(B486,"AAMMDD")&amp;"-"&amp;TEXT(VALUE(SUBSTITUTE(A486,"MOV-","")),"000"))</f>
        <v/>
      </c>
    </row>
    <row r="487" spans="1:20">
      <c r="A487" s="20" t="s">
        <v>774</v>
      </c>
      <c r="B487" s="47">
        <v>46267</v>
      </c>
      <c r="C487" t="s">
        <v>775</v>
      </c>
      <c r="D487" t="s">
        <v>776</v>
      </c>
      <c r="E487" t="s">
        <v>34</v>
      </c>
      <c r="F487" t="s">
        <v>46</v>
      </c>
      <c r="G487" t="s">
        <v>777</v>
      </c>
      <c r="H487" s="20" t="str">
        <f>+T487</f>
        <v>260902-487</v>
      </c>
      <c r="I487" t="s">
        <v>28</v>
      </c>
      <c r="J487" s="30">
        <v>4000</v>
      </c>
      <c r="K487" s="22">
        <f>IF(I487="","",IF(I487="ENTRADA",ABS(J487),-ABS(J487)))</f>
        <v>4000</v>
      </c>
      <c r="L487" t="s">
        <v>37</v>
      </c>
      <c r="M487" s="47">
        <v>46865</v>
      </c>
      <c r="N487">
        <v>3337</v>
      </c>
      <c r="P487">
        <v>15085</v>
      </c>
      <c r="Q487" s="42">
        <v>46276</v>
      </c>
      <c r="R487" s="22" t="str">
        <f>IF(H487="","",H487&amp;I487)</f>
        <v>260902-487ENTRADA</v>
      </c>
      <c r="S487" s="22" t="str">
        <f>IF(C487="","",C487&amp;I487)</f>
        <v>Acuron unoENTRADA</v>
      </c>
      <c r="T487" t="str">
        <f>IF(OR(C487="",I487&lt;&gt;"ENTRADA"),"",TEXT(B487,"AAMMDD")&amp;"-"&amp;TEXT(VALUE(SUBSTITUTE(A487,"MOV-","")),"000"))</f>
        <v>260902-487</v>
      </c>
    </row>
    <row r="488" spans="1:20">
      <c r="A488" s="20" t="s">
        <v>778</v>
      </c>
      <c r="B488" s="47">
        <v>46235</v>
      </c>
      <c r="C488" t="s">
        <v>779</v>
      </c>
      <c r="D488" t="s">
        <v>780</v>
      </c>
      <c r="E488" t="s">
        <v>34</v>
      </c>
      <c r="G488" t="s">
        <v>27</v>
      </c>
      <c r="H488" s="20" t="str">
        <f>+T488</f>
        <v>260801-488</v>
      </c>
      <c r="I488" t="s">
        <v>28</v>
      </c>
      <c r="J488" s="30">
        <v>1100</v>
      </c>
      <c r="K488" s="22">
        <f>IF(I488="","",IF(I488="ENTRADA",ABS(J488),-ABS(J488)))</f>
        <v>1100</v>
      </c>
      <c r="L488" t="s">
        <v>37</v>
      </c>
      <c r="N488">
        <v>986001</v>
      </c>
      <c r="P488">
        <v>15047</v>
      </c>
      <c r="Q488" s="42">
        <v>46268</v>
      </c>
      <c r="R488" s="22" t="str">
        <f>IF(H488="","",H488&amp;I488)</f>
        <v>260801-488ENTRADA</v>
      </c>
      <c r="S488" s="22" t="str">
        <f>IF(C488="","",C488&amp;I488)</f>
        <v>Voraxor ENTRADA</v>
      </c>
      <c r="T488" t="str">
        <f>IF(OR(C488="",I488&lt;&gt;"ENTRADA"),"",TEXT(B488,"AAMMDD")&amp;"-"&amp;TEXT(VALUE(SUBSTITUTE(A488,"MOV-","")),"000"))</f>
        <v>260801-488</v>
      </c>
    </row>
    <row r="489" spans="1:20">
      <c r="A489" s="20" t="s">
        <v>781</v>
      </c>
      <c r="B489" s="47">
        <v>46235</v>
      </c>
      <c r="C489" t="s">
        <v>782</v>
      </c>
      <c r="D489" t="s">
        <v>783</v>
      </c>
      <c r="E489" t="s">
        <v>34</v>
      </c>
      <c r="F489" t="s">
        <v>46</v>
      </c>
      <c r="G489" t="s">
        <v>27</v>
      </c>
      <c r="H489" s="20" t="str">
        <f>+T489</f>
        <v>260801-489</v>
      </c>
      <c r="I489" t="s">
        <v>28</v>
      </c>
      <c r="J489" s="30">
        <v>3600</v>
      </c>
      <c r="K489" s="22">
        <f>IF(I489="","",IF(I489="ENTRADA",ABS(J489),-ABS(J489)))</f>
        <v>3600</v>
      </c>
      <c r="L489" t="s">
        <v>29</v>
      </c>
      <c r="N489">
        <v>986001</v>
      </c>
      <c r="P489">
        <v>15047</v>
      </c>
      <c r="Q489" s="42">
        <v>46268</v>
      </c>
      <c r="R489" s="22" t="str">
        <f>IF(H489="","",H489&amp;I489)</f>
        <v>260801-489ENTRADA</v>
      </c>
      <c r="S489" s="22" t="str">
        <f>IF(C489="","",C489&amp;I489)</f>
        <v>PyroxateENTRADA</v>
      </c>
      <c r="T489" t="str">
        <f>IF(OR(C489="",I489&lt;&gt;"ENTRADA"),"",TEXT(B489,"AAMMDD")&amp;"-"&amp;TEXT(VALUE(SUBSTITUTE(A489,"MOV-","")),"000"))</f>
        <v>260801-489</v>
      </c>
    </row>
    <row r="490" spans="1:20">
      <c r="A490" s="20" t="s">
        <v>784</v>
      </c>
      <c r="B490" s="47">
        <v>46235</v>
      </c>
      <c r="C490" t="s">
        <v>785</v>
      </c>
      <c r="D490" t="s">
        <v>786</v>
      </c>
      <c r="E490" t="s">
        <v>132</v>
      </c>
      <c r="G490" t="s">
        <v>27</v>
      </c>
      <c r="H490" s="20" t="str">
        <f>+T490</f>
        <v>260801-490</v>
      </c>
      <c r="I490" t="s">
        <v>28</v>
      </c>
      <c r="J490" s="30">
        <v>1000</v>
      </c>
      <c r="K490" s="22">
        <f>IF(I490="","",IF(I490="ENTRADA",ABS(J490),-ABS(J490)))</f>
        <v>1000</v>
      </c>
      <c r="L490" t="s">
        <v>37</v>
      </c>
      <c r="N490">
        <v>986001</v>
      </c>
      <c r="P490">
        <v>15047</v>
      </c>
      <c r="Q490" s="42">
        <v>46268</v>
      </c>
      <c r="R490" s="22" t="str">
        <f>IF(H490="","",H490&amp;I490)</f>
        <v>260801-490ENTRADA</v>
      </c>
      <c r="S490" s="22" t="str">
        <f>IF(C490="","",C490&amp;I490)</f>
        <v>Super Gun ENTRADA</v>
      </c>
      <c r="T490" t="str">
        <f>IF(OR(C490="",I490&lt;&gt;"ENTRADA"),"",TEXT(B490,"AAMMDD")&amp;"-"&amp;TEXT(VALUE(SUBSTITUTE(A490,"MOV-","")),"000"))</f>
        <v>260801-490</v>
      </c>
    </row>
    <row r="491" spans="1:20">
      <c r="A491" s="20" t="s">
        <v>787</v>
      </c>
      <c r="B491" s="47">
        <v>46235</v>
      </c>
      <c r="C491" t="s">
        <v>788</v>
      </c>
      <c r="D491" t="s">
        <v>789</v>
      </c>
      <c r="E491" t="s">
        <v>34</v>
      </c>
      <c r="F491" t="s">
        <v>46</v>
      </c>
      <c r="G491" t="s">
        <v>27</v>
      </c>
      <c r="H491" s="20" t="str">
        <f>+T491</f>
        <v>260801-491</v>
      </c>
      <c r="I491" t="s">
        <v>28</v>
      </c>
      <c r="J491" s="30">
        <v>1100</v>
      </c>
      <c r="K491" s="22">
        <f>IF(I491="","",IF(I491="ENTRADA",ABS(J491),-ABS(J491)))</f>
        <v>1100</v>
      </c>
      <c r="L491" t="s">
        <v>37</v>
      </c>
      <c r="N491">
        <v>986001</v>
      </c>
      <c r="P491">
        <v>15047</v>
      </c>
      <c r="Q491" s="42">
        <v>46268</v>
      </c>
      <c r="R491" s="22" t="str">
        <f>IF(H491="","",H491&amp;I491)</f>
        <v>260801-491ENTRADA</v>
      </c>
      <c r="S491" s="22" t="str">
        <f>IF(C491="","",C491&amp;I491)</f>
        <v>zinexENTRADA</v>
      </c>
      <c r="T491" t="str">
        <f>IF(OR(C491="",I491&lt;&gt;"ENTRADA"),"",TEXT(B491,"AAMMDD")&amp;"-"&amp;TEXT(VALUE(SUBSTITUTE(A491,"MOV-","")),"000"))</f>
        <v>260801-491</v>
      </c>
    </row>
    <row r="492" spans="1:20">
      <c r="A492" s="20" t="s">
        <v>790</v>
      </c>
      <c r="B492" s="47">
        <v>46265</v>
      </c>
      <c r="C492" t="s">
        <v>514</v>
      </c>
      <c r="D492" t="s">
        <v>515</v>
      </c>
      <c r="E492" t="s">
        <v>516</v>
      </c>
      <c r="G492" t="s">
        <v>117</v>
      </c>
      <c r="H492" s="20" t="s">
        <v>664</v>
      </c>
      <c r="I492" t="s">
        <v>65</v>
      </c>
      <c r="J492" s="30">
        <v>100</v>
      </c>
      <c r="K492" s="22">
        <f>IF(I492="","",IF(I492="ENTRADA",ABS(J492),-ABS(J492)))</f>
        <v>-100</v>
      </c>
      <c r="L492" t="s">
        <v>37</v>
      </c>
      <c r="N492">
        <v>65176</v>
      </c>
      <c r="O492" t="s">
        <v>218</v>
      </c>
      <c r="P492">
        <v>1895</v>
      </c>
      <c r="Q492" s="42">
        <v>46268</v>
      </c>
      <c r="R492" s="22" t="str">
        <f>IF(H492="","",H492&amp;I492)</f>
        <v>260730-396SALIDA</v>
      </c>
      <c r="S492" s="22" t="str">
        <f>IF(C492="","",C492&amp;I492)</f>
        <v>Unico MaxSALIDA</v>
      </c>
      <c r="T492" t="str">
        <f>IF(OR(C492="",I492&lt;&gt;"ENTRADA"),"",TEXT(B492,"AAMMDD")&amp;"-"&amp;TEXT(VALUE(SUBSTITUTE(A492,"MOV-","")),"000"))</f>
        <v/>
      </c>
    </row>
    <row r="493" spans="1:20">
      <c r="A493" s="20" t="s">
        <v>791</v>
      </c>
      <c r="B493" s="47">
        <v>46265</v>
      </c>
      <c r="C493" t="s">
        <v>130</v>
      </c>
      <c r="D493" t="s">
        <v>131</v>
      </c>
      <c r="E493" t="s">
        <v>132</v>
      </c>
      <c r="G493" t="s">
        <v>133</v>
      </c>
      <c r="H493" s="20" t="s">
        <v>221</v>
      </c>
      <c r="I493" t="s">
        <v>65</v>
      </c>
      <c r="J493" s="30">
        <v>130</v>
      </c>
      <c r="K493" s="22">
        <f>IF(I493="","",IF(I493="ENTRADA",ABS(J493),-ABS(J493)))</f>
        <v>-130</v>
      </c>
      <c r="L493" t="s">
        <v>37</v>
      </c>
      <c r="N493">
        <v>65176</v>
      </c>
      <c r="O493" t="s">
        <v>218</v>
      </c>
      <c r="P493">
        <v>1895</v>
      </c>
      <c r="Q493" s="42">
        <v>46268</v>
      </c>
      <c r="R493" s="22" t="str">
        <f>IF(H493="","",H493&amp;I493)</f>
        <v>260414-029SALIDA</v>
      </c>
      <c r="S493" s="22" t="str">
        <f>IF(C493="","",C493&amp;I493)</f>
        <v>HarrierSALIDA</v>
      </c>
      <c r="T493" t="str">
        <f>IF(OR(C493="",I493&lt;&gt;"ENTRADA"),"",TEXT(B493,"AAMMDD")&amp;"-"&amp;TEXT(VALUE(SUBSTITUTE(A493,"MOV-","")),"000"))</f>
        <v/>
      </c>
    </row>
    <row r="494" spans="1:20">
      <c r="A494" s="20" t="s">
        <v>792</v>
      </c>
      <c r="B494" s="47">
        <v>46265</v>
      </c>
      <c r="C494" t="s">
        <v>137</v>
      </c>
      <c r="D494" t="s">
        <v>138</v>
      </c>
      <c r="E494" t="s">
        <v>132</v>
      </c>
      <c r="G494" t="s">
        <v>133</v>
      </c>
      <c r="H494" s="20" t="s">
        <v>793</v>
      </c>
      <c r="I494" t="s">
        <v>65</v>
      </c>
      <c r="J494" s="30">
        <v>25</v>
      </c>
      <c r="K494" s="22">
        <f>IF(I494="","",IF(I494="ENTRADA",ABS(J494),-ABS(J494)))</f>
        <v>-25</v>
      </c>
      <c r="L494" t="s">
        <v>37</v>
      </c>
      <c r="N494">
        <v>65176</v>
      </c>
      <c r="O494" t="s">
        <v>218</v>
      </c>
      <c r="P494">
        <v>1895</v>
      </c>
      <c r="Q494" s="42">
        <v>46268</v>
      </c>
      <c r="R494" s="22" t="str">
        <f>IF(H494="","",H494&amp;I494)</f>
        <v>260827-472SALIDA</v>
      </c>
      <c r="S494" s="22" t="str">
        <f>IF(C494="","",C494&amp;I494)</f>
        <v>Full controlSALIDA</v>
      </c>
      <c r="T494" t="str">
        <f>IF(OR(C494="",I494&lt;&gt;"ENTRADA"),"",TEXT(B494,"AAMMDD")&amp;"-"&amp;TEXT(VALUE(SUBSTITUTE(A494,"MOV-","")),"000"))</f>
        <v/>
      </c>
    </row>
    <row r="495" spans="1:20">
      <c r="A495" s="20" t="s">
        <v>794</v>
      </c>
      <c r="B495" s="47">
        <v>46265</v>
      </c>
      <c r="C495" t="s">
        <v>719</v>
      </c>
      <c r="D495" t="s">
        <v>720</v>
      </c>
      <c r="E495" t="s">
        <v>34</v>
      </c>
      <c r="F495" t="s">
        <v>35</v>
      </c>
      <c r="G495" t="s">
        <v>117</v>
      </c>
      <c r="H495" s="20" t="s">
        <v>722</v>
      </c>
      <c r="I495" t="s">
        <v>65</v>
      </c>
      <c r="J495" s="30">
        <v>280</v>
      </c>
      <c r="K495" s="22">
        <f>IF(I495="","",IF(I495="ENTRADA",ABS(J495),-ABS(J495)))</f>
        <v>-280</v>
      </c>
      <c r="L495" t="s">
        <v>37</v>
      </c>
      <c r="N495">
        <v>65178</v>
      </c>
      <c r="O495" t="s">
        <v>218</v>
      </c>
      <c r="P495">
        <v>1896</v>
      </c>
      <c r="Q495" s="42">
        <v>46268</v>
      </c>
      <c r="R495" s="22" t="str">
        <f>IF(H495="","",H495&amp;I495)</f>
        <v>260821-449SALIDA</v>
      </c>
      <c r="S495" s="22" t="str">
        <f>IF(C495="","",C495&amp;I495)</f>
        <v>Gamina SALIDA</v>
      </c>
      <c r="T495" t="str">
        <f>IF(OR(C495="",I495&lt;&gt;"ENTRADA"),"",TEXT(B495,"AAMMDD")&amp;"-"&amp;TEXT(VALUE(SUBSTITUTE(A495,"MOV-","")),"000"))</f>
        <v/>
      </c>
    </row>
    <row r="496" spans="1:20">
      <c r="A496" s="20" t="s">
        <v>795</v>
      </c>
      <c r="B496" s="47">
        <v>46265</v>
      </c>
      <c r="C496" s="34" t="s">
        <v>147</v>
      </c>
      <c r="D496" s="34" t="s">
        <v>148</v>
      </c>
      <c r="E496" s="34" t="s">
        <v>34</v>
      </c>
      <c r="F496" s="34" t="s">
        <v>35</v>
      </c>
      <c r="G496" s="34" t="s">
        <v>36</v>
      </c>
      <c r="H496" s="20" t="s">
        <v>563</v>
      </c>
      <c r="I496" s="34" t="s">
        <v>65</v>
      </c>
      <c r="J496" s="36">
        <v>20</v>
      </c>
      <c r="K496" s="22">
        <f>IF(I496="","",IF(I496="ENTRADA",ABS(J496),-ABS(J496)))</f>
        <v>-20</v>
      </c>
      <c r="L496" s="34" t="s">
        <v>37</v>
      </c>
      <c r="M496" s="34"/>
      <c r="N496">
        <v>65178</v>
      </c>
      <c r="O496" s="34" t="s">
        <v>218</v>
      </c>
      <c r="P496" s="34">
        <v>1896</v>
      </c>
      <c r="Q496" s="42">
        <v>46268</v>
      </c>
      <c r="R496" s="22" t="str">
        <f>IF(H496="","",H496&amp;I496)</f>
        <v>260415-032SALIDA</v>
      </c>
      <c r="S496" s="22" t="str">
        <f>IF(C496="","",C496&amp;I496)</f>
        <v>AxialSALIDA</v>
      </c>
      <c r="T496" t="str">
        <f>IF(OR(C496="",I496&lt;&gt;"ENTRADA"),"",TEXT(B496,"AAMMDD")&amp;"-"&amp;TEXT(VALUE(SUBSTITUTE(A496,"MOV-","")),"000"))</f>
        <v/>
      </c>
    </row>
    <row r="497" spans="1:20">
      <c r="A497" s="20" t="s">
        <v>796</v>
      </c>
      <c r="B497" s="47">
        <v>46266</v>
      </c>
      <c r="C497" t="s">
        <v>782</v>
      </c>
      <c r="D497" t="s">
        <v>783</v>
      </c>
      <c r="E497" t="s">
        <v>34</v>
      </c>
      <c r="F497" t="s">
        <v>46</v>
      </c>
      <c r="G497" t="s">
        <v>27</v>
      </c>
      <c r="H497" s="20" t="s">
        <v>797</v>
      </c>
      <c r="I497" t="s">
        <v>65</v>
      </c>
      <c r="J497" s="30">
        <v>160</v>
      </c>
      <c r="K497" s="22">
        <f>IF(I497="","",IF(I497="ENTRADA",ABS(J497),-ABS(J497)))</f>
        <v>-160</v>
      </c>
      <c r="L497" t="s">
        <v>29</v>
      </c>
      <c r="N497">
        <v>65179</v>
      </c>
      <c r="O497" t="s">
        <v>213</v>
      </c>
      <c r="P497">
        <v>1897</v>
      </c>
      <c r="Q497" s="42">
        <v>46268</v>
      </c>
      <c r="R497" s="22" t="str">
        <f>IF(H497="","",H497&amp;I497)</f>
        <v>260801-489SALIDA</v>
      </c>
      <c r="S497" s="22" t="str">
        <f>IF(C497="","",C497&amp;I497)</f>
        <v>PyroxateSALIDA</v>
      </c>
      <c r="T497" t="str">
        <f>IF(OR(C497="",I497&lt;&gt;"ENTRADA"),"",TEXT(B497,"AAMMDD")&amp;"-"&amp;TEXT(VALUE(SUBSTITUTE(A497,"MOV-","")),"000"))</f>
        <v/>
      </c>
    </row>
    <row r="498" spans="1:20">
      <c r="A498" s="20" t="s">
        <v>798</v>
      </c>
      <c r="B498" s="47">
        <v>46266</v>
      </c>
      <c r="C498" t="s">
        <v>524</v>
      </c>
      <c r="D498" t="s">
        <v>525</v>
      </c>
      <c r="E498" t="s">
        <v>516</v>
      </c>
      <c r="G498" t="s">
        <v>158</v>
      </c>
      <c r="H498" s="20" t="s">
        <v>799</v>
      </c>
      <c r="I498" t="s">
        <v>65</v>
      </c>
      <c r="J498" s="30">
        <v>435</v>
      </c>
      <c r="K498" s="22">
        <f>IF(I498="","",IF(I498="ENTRADA",ABS(J498),-ABS(J498)))</f>
        <v>-435</v>
      </c>
      <c r="L498" t="s">
        <v>37</v>
      </c>
      <c r="N498">
        <v>65180</v>
      </c>
      <c r="O498" t="s">
        <v>382</v>
      </c>
      <c r="P498">
        <v>1898</v>
      </c>
      <c r="Q498" s="42">
        <v>46268</v>
      </c>
      <c r="R498" s="22" t="str">
        <f>IF(H498="","",H498&amp;I498)</f>
        <v>260706-343SALIDA</v>
      </c>
      <c r="S498" s="22" t="str">
        <f>IF(C498="","",C498&amp;I498)</f>
        <v>cripton xpro SALIDA</v>
      </c>
      <c r="T498" t="str">
        <f>IF(OR(C498="",I498&lt;&gt;"ENTRADA"),"",TEXT(B498,"AAMMDD")&amp;"-"&amp;TEXT(VALUE(SUBSTITUTE(A498,"MOV-","")),"000"))</f>
        <v/>
      </c>
    </row>
    <row r="499" spans="1:20">
      <c r="A499" s="20" t="s">
        <v>800</v>
      </c>
      <c r="B499" s="47">
        <v>46266</v>
      </c>
      <c r="C499" t="s">
        <v>514</v>
      </c>
      <c r="D499" t="s">
        <v>515</v>
      </c>
      <c r="E499" t="s">
        <v>516</v>
      </c>
      <c r="G499" t="s">
        <v>117</v>
      </c>
      <c r="H499" s="20" t="s">
        <v>664</v>
      </c>
      <c r="I499" t="s">
        <v>65</v>
      </c>
      <c r="J499" s="30">
        <v>465</v>
      </c>
      <c r="K499" s="22">
        <f>IF(I499="","",IF(I499="ENTRADA",ABS(J499),-ABS(J499)))</f>
        <v>-465</v>
      </c>
      <c r="L499" t="s">
        <v>37</v>
      </c>
      <c r="N499">
        <v>65180</v>
      </c>
      <c r="O499" t="s">
        <v>382</v>
      </c>
      <c r="P499">
        <v>1898</v>
      </c>
      <c r="Q499" s="42">
        <v>46268</v>
      </c>
      <c r="R499" s="22" t="str">
        <f>IF(H499="","",H499&amp;I499)</f>
        <v>260730-396SALIDA</v>
      </c>
      <c r="S499" s="22" t="str">
        <f>IF(C499="","",C499&amp;I499)</f>
        <v>Unico MaxSALIDA</v>
      </c>
      <c r="T499" t="str">
        <f>IF(OR(C499="",I499&lt;&gt;"ENTRADA"),"",TEXT(B499,"AAMMDD")&amp;"-"&amp;TEXT(VALUE(SUBSTITUTE(A499,"MOV-","")),"000"))</f>
        <v/>
      </c>
    </row>
    <row r="500" spans="1:20">
      <c r="A500" s="20" t="s">
        <v>801</v>
      </c>
      <c r="B500" s="47">
        <v>46266</v>
      </c>
      <c r="C500" t="s">
        <v>130</v>
      </c>
      <c r="D500" t="s">
        <v>131</v>
      </c>
      <c r="E500" t="s">
        <v>132</v>
      </c>
      <c r="G500" t="s">
        <v>133</v>
      </c>
      <c r="H500" s="20" t="s">
        <v>221</v>
      </c>
      <c r="I500" t="s">
        <v>65</v>
      </c>
      <c r="J500" s="30">
        <v>160</v>
      </c>
      <c r="K500" s="22">
        <f>IF(I500="","",IF(I500="ENTRADA",ABS(J500),-ABS(J500)))</f>
        <v>-160</v>
      </c>
      <c r="L500" t="s">
        <v>37</v>
      </c>
      <c r="N500">
        <v>65180</v>
      </c>
      <c r="O500" t="s">
        <v>382</v>
      </c>
      <c r="P500">
        <v>1898</v>
      </c>
      <c r="Q500" s="42">
        <v>46268</v>
      </c>
      <c r="R500" s="22" t="str">
        <f>IF(H500="","",H500&amp;I500)</f>
        <v>260414-029SALIDA</v>
      </c>
      <c r="S500" s="22" t="str">
        <f>IF(C500="","",C500&amp;I500)</f>
        <v>HarrierSALIDA</v>
      </c>
      <c r="T500" t="str">
        <f>IF(OR(C500="",I500&lt;&gt;"ENTRADA"),"",TEXT(B500,"AAMMDD")&amp;"-"&amp;TEXT(VALUE(SUBSTITUTE(A500,"MOV-","")),"000"))</f>
        <v/>
      </c>
    </row>
    <row r="501" spans="1:20">
      <c r="A501" s="20" t="s">
        <v>802</v>
      </c>
      <c r="B501" s="47">
        <v>46266</v>
      </c>
      <c r="C501" t="s">
        <v>137</v>
      </c>
      <c r="D501" t="s">
        <v>138</v>
      </c>
      <c r="E501" t="s">
        <v>132</v>
      </c>
      <c r="G501" t="s">
        <v>133</v>
      </c>
      <c r="H501" s="20" t="s">
        <v>793</v>
      </c>
      <c r="I501" t="s">
        <v>65</v>
      </c>
      <c r="J501" s="30">
        <v>30</v>
      </c>
      <c r="K501" s="22">
        <f>IF(I501="","",IF(I501="ENTRADA",ABS(J501),-ABS(J501)))</f>
        <v>-30</v>
      </c>
      <c r="L501" t="s">
        <v>37</v>
      </c>
      <c r="N501">
        <v>65180</v>
      </c>
      <c r="O501" t="s">
        <v>382</v>
      </c>
      <c r="P501">
        <v>1898</v>
      </c>
      <c r="Q501" s="47">
        <v>46268</v>
      </c>
      <c r="R501" s="22" t="str">
        <f>IF(H501="","",H501&amp;I501)</f>
        <v>260827-472SALIDA</v>
      </c>
      <c r="S501" s="22" t="str">
        <f>IF(C501="","",C501&amp;I501)</f>
        <v>Full controlSALIDA</v>
      </c>
      <c r="T501" t="str">
        <f>IF(OR(C501="",I501&lt;&gt;"ENTRADA"),"",TEXT(B501,"AAMMDD")&amp;"-"&amp;TEXT(VALUE(SUBSTITUTE(A501,"MOV-","")),"000"))</f>
        <v/>
      </c>
    </row>
    <row r="502" spans="1:20">
      <c r="A502" s="20" t="s">
        <v>803</v>
      </c>
      <c r="B502" s="47">
        <v>46266</v>
      </c>
      <c r="C502" t="s">
        <v>115</v>
      </c>
      <c r="D502" t="s">
        <v>116</v>
      </c>
      <c r="E502" t="s">
        <v>34</v>
      </c>
      <c r="F502" t="s">
        <v>35</v>
      </c>
      <c r="G502" t="s">
        <v>117</v>
      </c>
      <c r="H502" s="20" t="s">
        <v>668</v>
      </c>
      <c r="I502" t="s">
        <v>65</v>
      </c>
      <c r="J502" s="30">
        <v>100</v>
      </c>
      <c r="K502" s="22">
        <f>IF(I502="","",IF(I502="ENTRADA",ABS(J502),-ABS(J502)))</f>
        <v>-100</v>
      </c>
      <c r="L502" t="s">
        <v>37</v>
      </c>
      <c r="N502">
        <v>65181</v>
      </c>
      <c r="O502" t="s">
        <v>213</v>
      </c>
      <c r="P502">
        <v>1899</v>
      </c>
      <c r="Q502" s="47">
        <v>46268</v>
      </c>
      <c r="R502" s="22" t="str">
        <f>IF(H502="","",H502&amp;I502)</f>
        <v>260727-381SALIDA</v>
      </c>
      <c r="S502" s="22" t="str">
        <f>IF(C502="","",C502&amp;I502)</f>
        <v>AzukaSALIDA</v>
      </c>
      <c r="T502" t="str">
        <f>IF(OR(C502="",I502&lt;&gt;"ENTRADA"),"",TEXT(B502,"AAMMDD")&amp;"-"&amp;TEXT(VALUE(SUBSTITUTE(A502,"MOV-","")),"000"))</f>
        <v/>
      </c>
    </row>
    <row r="503" spans="1:20">
      <c r="A503" s="20" t="s">
        <v>804</v>
      </c>
      <c r="B503" s="47">
        <v>46266</v>
      </c>
      <c r="C503" t="s">
        <v>90</v>
      </c>
      <c r="D503" t="s">
        <v>91</v>
      </c>
      <c r="E503" t="s">
        <v>34</v>
      </c>
      <c r="F503" t="s">
        <v>35</v>
      </c>
      <c r="G503" t="s">
        <v>36</v>
      </c>
      <c r="H503" s="20" t="s">
        <v>375</v>
      </c>
      <c r="I503" t="s">
        <v>65</v>
      </c>
      <c r="J503" s="30">
        <v>30</v>
      </c>
      <c r="K503" s="22">
        <f>IF(I503="","",IF(I503="ENTRADA",ABS(J503),-ABS(J503)))</f>
        <v>-30</v>
      </c>
      <c r="L503" t="s">
        <v>37</v>
      </c>
      <c r="N503">
        <v>65182</v>
      </c>
      <c r="O503" t="s">
        <v>218</v>
      </c>
      <c r="P503">
        <v>1900</v>
      </c>
      <c r="Q503" s="47">
        <v>46268</v>
      </c>
      <c r="R503" s="22" t="str">
        <f>IF(H503="","",H503&amp;I503)</f>
        <v>260405-132SALIDA</v>
      </c>
      <c r="S503" s="22" t="str">
        <f>IF(C503="","",C503&amp;I503)</f>
        <v>PixxaroSALIDA</v>
      </c>
      <c r="T503" t="str">
        <f>IF(OR(C503="",I503&lt;&gt;"ENTRADA"),"",TEXT(B503,"AAMMDD")&amp;"-"&amp;TEXT(VALUE(SUBSTITUTE(A503,"MOV-","")),"000"))</f>
        <v/>
      </c>
    </row>
    <row r="504" spans="1:20">
      <c r="A504" s="20" t="s">
        <v>805</v>
      </c>
      <c r="B504" s="47">
        <v>46267</v>
      </c>
      <c r="C504" t="s">
        <v>760</v>
      </c>
      <c r="D504" t="s">
        <v>761</v>
      </c>
      <c r="E504" t="s">
        <v>25</v>
      </c>
      <c r="F504" t="s">
        <v>631</v>
      </c>
      <c r="G504" t="s">
        <v>27</v>
      </c>
      <c r="H504" s="20" t="s">
        <v>806</v>
      </c>
      <c r="I504" t="s">
        <v>65</v>
      </c>
      <c r="J504" s="30">
        <v>100</v>
      </c>
      <c r="K504" s="22">
        <f>IF(I504="","",IF(I504="ENTRADA",ABS(J504),-ABS(J504)))</f>
        <v>-100</v>
      </c>
      <c r="L504" t="s">
        <v>632</v>
      </c>
      <c r="N504">
        <v>65183</v>
      </c>
      <c r="O504" t="s">
        <v>213</v>
      </c>
      <c r="P504">
        <v>1902</v>
      </c>
      <c r="Q504" s="47">
        <v>46268</v>
      </c>
      <c r="R504" s="22" t="str">
        <f>IF(H504="","",H504&amp;I504)</f>
        <v>260821-481SALIDA</v>
      </c>
      <c r="S504" s="22" t="str">
        <f>IF(C504="","",C504&amp;I504)</f>
        <v>semilla comprada maiz illinois 7.24 SALIDA</v>
      </c>
      <c r="T504" t="str">
        <f>IF(OR(C504="",I504&lt;&gt;"ENTRADA"),"",TEXT(B504,"AAMMDD")&amp;"-"&amp;TEXT(VALUE(SUBSTITUTE(A504,"MOV-","")),"000"))</f>
        <v/>
      </c>
    </row>
    <row r="505" spans="1:20">
      <c r="A505" s="20" t="s">
        <v>807</v>
      </c>
      <c r="B505" s="47">
        <v>46267</v>
      </c>
      <c r="C505" t="s">
        <v>763</v>
      </c>
      <c r="D505" t="s">
        <v>764</v>
      </c>
      <c r="E505" t="s">
        <v>25</v>
      </c>
      <c r="F505" t="s">
        <v>631</v>
      </c>
      <c r="G505" t="s">
        <v>27</v>
      </c>
      <c r="H505" s="20" t="s">
        <v>808</v>
      </c>
      <c r="I505" t="s">
        <v>65</v>
      </c>
      <c r="J505" s="30">
        <v>10</v>
      </c>
      <c r="K505" s="22">
        <f>IF(I505="","",IF(I505="ENTRADA",ABS(J505),-ABS(J505)))</f>
        <v>-10</v>
      </c>
      <c r="L505" t="s">
        <v>632</v>
      </c>
      <c r="N505">
        <v>65183</v>
      </c>
      <c r="O505" t="s">
        <v>213</v>
      </c>
      <c r="P505">
        <v>1902</v>
      </c>
      <c r="Q505" s="47">
        <v>46268</v>
      </c>
      <c r="R505" s="22" t="str">
        <f>IF(H505="","",H505&amp;I505)</f>
        <v>260821-482SALIDA</v>
      </c>
      <c r="S505" s="22" t="str">
        <f>IF(C505="","",C505&amp;I505)</f>
        <v>refugio semilla maiz illinois SALIDA</v>
      </c>
      <c r="T505" t="str">
        <f>IF(OR(C505="",I505&lt;&gt;"ENTRADA"),"",TEXT(B505,"AAMMDD")&amp;"-"&amp;TEXT(VALUE(SUBSTITUTE(A505,"MOV-","")),"000"))</f>
        <v/>
      </c>
    </row>
    <row r="506" spans="1:20">
      <c r="A506" s="20" t="s">
        <v>809</v>
      </c>
      <c r="B506" s="47">
        <v>46267</v>
      </c>
      <c r="C506" t="s">
        <v>757</v>
      </c>
      <c r="D506" t="s">
        <v>758</v>
      </c>
      <c r="E506" t="s">
        <v>25</v>
      </c>
      <c r="F506" t="s">
        <v>631</v>
      </c>
      <c r="G506" t="s">
        <v>27</v>
      </c>
      <c r="H506" s="20" t="s">
        <v>810</v>
      </c>
      <c r="I506" t="s">
        <v>65</v>
      </c>
      <c r="J506" s="30">
        <v>132</v>
      </c>
      <c r="K506" s="22">
        <f>IF(I506="","",IF(I506="ENTRADA",ABS(J506),-ABS(J506)))</f>
        <v>-132</v>
      </c>
      <c r="L506" t="s">
        <v>632</v>
      </c>
      <c r="N506">
        <v>65183</v>
      </c>
      <c r="O506" t="s">
        <v>213</v>
      </c>
      <c r="P506">
        <v>1902</v>
      </c>
      <c r="Q506" s="47">
        <v>46268</v>
      </c>
      <c r="R506" s="22" t="str">
        <f>IF(H506="","",H506&amp;I506)</f>
        <v>260821-480SALIDA</v>
      </c>
      <c r="S506" s="22" t="str">
        <f>IF(C506="","",C506&amp;I506)</f>
        <v>semilla comprada maiz illinois 2773SALIDA</v>
      </c>
      <c r="T506" t="str">
        <f>IF(OR(C506="",I506&lt;&gt;"ENTRADA"),"",TEXT(B506,"AAMMDD")&amp;"-"&amp;TEXT(VALUE(SUBSTITUTE(A506,"MOV-","")),"000"))</f>
        <v/>
      </c>
    </row>
    <row r="507" spans="1:20">
      <c r="A507" s="20" t="s">
        <v>811</v>
      </c>
      <c r="B507" s="47">
        <v>46267</v>
      </c>
      <c r="C507" s="34" t="s">
        <v>763</v>
      </c>
      <c r="D507" s="34" t="s">
        <v>764</v>
      </c>
      <c r="E507" s="34" t="s">
        <v>25</v>
      </c>
      <c r="F507" s="34" t="s">
        <v>631</v>
      </c>
      <c r="G507" s="34" t="s">
        <v>27</v>
      </c>
      <c r="H507" s="20" t="s">
        <v>808</v>
      </c>
      <c r="I507" s="34" t="s">
        <v>65</v>
      </c>
      <c r="J507" s="36">
        <v>10</v>
      </c>
      <c r="K507" s="22">
        <f>IF(I507="","",IF(I507="ENTRADA",ABS(J507),-ABS(J507)))</f>
        <v>-10</v>
      </c>
      <c r="L507" s="34" t="s">
        <v>632</v>
      </c>
      <c r="M507" s="34"/>
      <c r="N507">
        <v>65183</v>
      </c>
      <c r="O507" s="34" t="s">
        <v>213</v>
      </c>
      <c r="P507" s="34">
        <v>1902</v>
      </c>
      <c r="Q507" s="47">
        <v>46268</v>
      </c>
      <c r="R507" s="22" t="str">
        <f>IF(H507="","",H507&amp;I507)</f>
        <v>260821-482SALIDA</v>
      </c>
      <c r="S507" s="22" t="str">
        <f>IF(C507="","",C507&amp;I507)</f>
        <v>refugio semilla maiz illinois SALIDA</v>
      </c>
      <c r="T507" t="str">
        <f>IF(OR(C507="",I507&lt;&gt;"ENTRADA"),"",TEXT(B507,"AAMMDD")&amp;"-"&amp;TEXT(VALUE(SUBSTITUTE(A507,"MOV-","")),"000"))</f>
        <v/>
      </c>
    </row>
    <row r="508" spans="1:20">
      <c r="A508" s="20" t="s">
        <v>812</v>
      </c>
      <c r="B508" s="47">
        <v>46267</v>
      </c>
      <c r="C508" t="s">
        <v>115</v>
      </c>
      <c r="D508" t="s">
        <v>116</v>
      </c>
      <c r="E508" t="s">
        <v>34</v>
      </c>
      <c r="F508" t="s">
        <v>35</v>
      </c>
      <c r="G508" t="s">
        <v>117</v>
      </c>
      <c r="H508" s="20" t="s">
        <v>668</v>
      </c>
      <c r="I508" t="s">
        <v>65</v>
      </c>
      <c r="J508" s="30">
        <v>1600</v>
      </c>
      <c r="K508" s="22">
        <f>IF(I508="","",IF(I508="ENTRADA",ABS(J508),-ABS(J508)))</f>
        <v>-1600</v>
      </c>
      <c r="L508" t="s">
        <v>37</v>
      </c>
      <c r="N508">
        <v>65184</v>
      </c>
      <c r="O508" t="s">
        <v>218</v>
      </c>
      <c r="P508">
        <v>1901</v>
      </c>
      <c r="Q508" s="47">
        <v>46268</v>
      </c>
      <c r="R508" s="22" t="str">
        <f>IF(H508="","",H508&amp;I508)</f>
        <v>260727-381SALIDA</v>
      </c>
      <c r="S508" s="22" t="str">
        <f>IF(C508="","",C508&amp;I508)</f>
        <v>AzukaSALIDA</v>
      </c>
      <c r="T508" t="str">
        <f>IF(OR(C508="",I508&lt;&gt;"ENTRADA"),"",TEXT(B508,"AAMMDD")&amp;"-"&amp;TEXT(VALUE(SUBSTITUTE(A508,"MOV-","")),"000"))</f>
        <v/>
      </c>
    </row>
    <row r="509" spans="1:20">
      <c r="A509" s="20" t="s">
        <v>813</v>
      </c>
      <c r="B509" s="47">
        <v>46267</v>
      </c>
      <c r="C509" t="s">
        <v>122</v>
      </c>
      <c r="D509" t="s">
        <v>123</v>
      </c>
      <c r="E509" t="s">
        <v>34</v>
      </c>
      <c r="F509" t="s">
        <v>35</v>
      </c>
      <c r="G509" t="s">
        <v>117</v>
      </c>
      <c r="H509" s="20" t="s">
        <v>203</v>
      </c>
      <c r="I509" t="s">
        <v>65</v>
      </c>
      <c r="J509" s="30">
        <v>500</v>
      </c>
      <c r="K509" s="22">
        <f>IF(I509="","",IF(I509="ENTRADA",ABS(J509),-ABS(J509)))</f>
        <v>-500</v>
      </c>
      <c r="L509" t="s">
        <v>37</v>
      </c>
      <c r="N509">
        <v>65184</v>
      </c>
      <c r="O509" t="s">
        <v>218</v>
      </c>
      <c r="P509">
        <v>1901</v>
      </c>
      <c r="Q509" s="47">
        <v>46268</v>
      </c>
      <c r="R509" s="22" t="str">
        <f>IF(H509="","",H509&amp;I509)</f>
        <v>260410-027SALIDA</v>
      </c>
      <c r="S509" s="22" t="str">
        <f>IF(C509="","",C509&amp;I509)</f>
        <v>PardoSALIDA</v>
      </c>
      <c r="T509" t="str">
        <f>IF(OR(C509="",I509&lt;&gt;"ENTRADA"),"",TEXT(B509,"AAMMDD")&amp;"-"&amp;TEXT(VALUE(SUBSTITUTE(A509,"MOV-","")),"000"))</f>
        <v/>
      </c>
    </row>
    <row r="510" spans="1:20">
      <c r="A510" s="20" t="s">
        <v>814</v>
      </c>
      <c r="B510" s="47">
        <v>46267</v>
      </c>
      <c r="C510" t="s">
        <v>75</v>
      </c>
      <c r="D510" t="s">
        <v>76</v>
      </c>
      <c r="E510" t="s">
        <v>34</v>
      </c>
      <c r="F510" t="s">
        <v>35</v>
      </c>
      <c r="G510" t="s">
        <v>77</v>
      </c>
      <c r="H510" s="20" t="s">
        <v>94</v>
      </c>
      <c r="I510" t="s">
        <v>65</v>
      </c>
      <c r="J510" s="30">
        <v>400</v>
      </c>
      <c r="K510" s="22">
        <f>IF(I510="","",IF(I510="ENTRADA",ABS(J510),-ABS(J510)))</f>
        <v>-400</v>
      </c>
      <c r="L510" t="s">
        <v>37</v>
      </c>
      <c r="N510">
        <v>65184</v>
      </c>
      <c r="O510" t="s">
        <v>218</v>
      </c>
      <c r="P510">
        <v>1901</v>
      </c>
      <c r="Q510" s="47">
        <v>46268</v>
      </c>
      <c r="R510" s="22" t="str">
        <f>IF(H510="","",H510&amp;I510)</f>
        <v>260407-012SALIDA</v>
      </c>
      <c r="S510" s="22" t="str">
        <f>IF(C510="","",C510&amp;I510)</f>
        <v>Dedalo eliteSALIDA</v>
      </c>
      <c r="T510" t="str">
        <f>IF(OR(C510="",I510&lt;&gt;"ENTRADA"),"",TEXT(B510,"AAMMDD")&amp;"-"&amp;TEXT(VALUE(SUBSTITUTE(A510,"MOV-","")),"000"))</f>
        <v/>
      </c>
    </row>
    <row r="511" spans="1:20">
      <c r="A511" s="20" t="s">
        <v>815</v>
      </c>
      <c r="B511" s="47">
        <v>46267</v>
      </c>
      <c r="C511" t="s">
        <v>122</v>
      </c>
      <c r="D511" t="s">
        <v>123</v>
      </c>
      <c r="E511" t="s">
        <v>34</v>
      </c>
      <c r="F511" t="s">
        <v>35</v>
      </c>
      <c r="G511" t="s">
        <v>117</v>
      </c>
      <c r="H511" s="20" t="s">
        <v>203</v>
      </c>
      <c r="I511" t="s">
        <v>65</v>
      </c>
      <c r="J511" s="30">
        <v>80</v>
      </c>
      <c r="K511" s="22">
        <f>IF(I511="","",IF(I511="ENTRADA",ABS(J511),-ABS(J511)))</f>
        <v>-80</v>
      </c>
      <c r="L511" t="s">
        <v>37</v>
      </c>
      <c r="N511">
        <v>65185</v>
      </c>
      <c r="O511" t="s">
        <v>218</v>
      </c>
      <c r="P511">
        <v>1903</v>
      </c>
      <c r="Q511" s="47">
        <v>46268</v>
      </c>
      <c r="R511" s="22" t="str">
        <f>IF(H511="","",H511&amp;I511)</f>
        <v>260410-027SALIDA</v>
      </c>
      <c r="S511" s="22" t="str">
        <f>IF(C511="","",C511&amp;I511)</f>
        <v>PardoSALIDA</v>
      </c>
      <c r="T511" t="str">
        <f>IF(OR(C511="",I511&lt;&gt;"ENTRADA"),"",TEXT(B511,"AAMMDD")&amp;"-"&amp;TEXT(VALUE(SUBSTITUTE(A511,"MOV-","")),"000"))</f>
        <v/>
      </c>
    </row>
    <row r="512" spans="1:20">
      <c r="A512" s="20" t="s">
        <v>816</v>
      </c>
      <c r="B512" s="47">
        <v>46267</v>
      </c>
      <c r="C512" t="s">
        <v>90</v>
      </c>
      <c r="D512" t="s">
        <v>91</v>
      </c>
      <c r="E512" t="s">
        <v>34</v>
      </c>
      <c r="F512" t="s">
        <v>35</v>
      </c>
      <c r="G512" t="s">
        <v>36</v>
      </c>
      <c r="H512" s="20" t="s">
        <v>375</v>
      </c>
      <c r="I512" t="s">
        <v>65</v>
      </c>
      <c r="J512" s="30">
        <v>20</v>
      </c>
      <c r="K512" s="22">
        <f>IF(I512="","",IF(I512="ENTRADA",ABS(J512),-ABS(J512)))</f>
        <v>-20</v>
      </c>
      <c r="L512" t="s">
        <v>37</v>
      </c>
      <c r="N512">
        <v>65185</v>
      </c>
      <c r="O512" t="s">
        <v>218</v>
      </c>
      <c r="P512">
        <v>1903</v>
      </c>
      <c r="Q512" s="47">
        <v>46268</v>
      </c>
      <c r="R512" s="22" t="str">
        <f>IF(H512="","",H512&amp;I512)</f>
        <v>260405-132SALIDA</v>
      </c>
      <c r="S512" s="22" t="str">
        <f>IF(C512="","",C512&amp;I512)</f>
        <v>PixxaroSALIDA</v>
      </c>
      <c r="T512" t="str">
        <f>IF(OR(C512="",I512&lt;&gt;"ENTRADA"),"",TEXT(B512,"AAMMDD")&amp;"-"&amp;TEXT(VALUE(SUBSTITUTE(A512,"MOV-","")),"000"))</f>
        <v/>
      </c>
    </row>
    <row r="513" spans="1:20">
      <c r="A513" s="20" t="s">
        <v>817</v>
      </c>
      <c r="B513" s="47">
        <v>46267</v>
      </c>
      <c r="C513" t="s">
        <v>115</v>
      </c>
      <c r="D513" t="s">
        <v>116</v>
      </c>
      <c r="E513" t="s">
        <v>34</v>
      </c>
      <c r="F513" t="s">
        <v>35</v>
      </c>
      <c r="G513" t="s">
        <v>117</v>
      </c>
      <c r="H513" s="20" t="s">
        <v>668</v>
      </c>
      <c r="I513" t="s">
        <v>65</v>
      </c>
      <c r="J513" s="30">
        <v>100</v>
      </c>
      <c r="K513" s="22">
        <f>IF(I513="","",IF(I513="ENTRADA",ABS(J513),-ABS(J513)))</f>
        <v>-100</v>
      </c>
      <c r="L513" t="s">
        <v>37</v>
      </c>
      <c r="N513">
        <v>65185</v>
      </c>
      <c r="O513" t="s">
        <v>218</v>
      </c>
      <c r="P513">
        <v>1903</v>
      </c>
      <c r="Q513" s="47">
        <v>46268</v>
      </c>
      <c r="R513" s="22" t="str">
        <f>IF(H513="","",H513&amp;I513)</f>
        <v>260727-381SALIDA</v>
      </c>
      <c r="S513" s="22" t="str">
        <f>IF(C513="","",C513&amp;I513)</f>
        <v>AzukaSALIDA</v>
      </c>
      <c r="T513" t="str">
        <f>IF(OR(C513="",I513&lt;&gt;"ENTRADA"),"",TEXT(B513,"AAMMDD")&amp;"-"&amp;TEXT(VALUE(SUBSTITUTE(A513,"MOV-","")),"000"))</f>
        <v/>
      </c>
    </row>
    <row r="514" spans="1:20">
      <c r="A514" s="20" t="s">
        <v>818</v>
      </c>
      <c r="B514" s="47">
        <v>46267</v>
      </c>
      <c r="C514" t="s">
        <v>750</v>
      </c>
      <c r="D514" t="s">
        <v>751</v>
      </c>
      <c r="E514" t="s">
        <v>34</v>
      </c>
      <c r="G514" t="s">
        <v>301</v>
      </c>
      <c r="H514" s="20" t="s">
        <v>753</v>
      </c>
      <c r="I514" t="s">
        <v>65</v>
      </c>
      <c r="J514" s="30">
        <v>70</v>
      </c>
      <c r="K514" s="22">
        <f>IF(I514="","",IF(I514="ENTRADA",ABS(J514),-ABS(J514)))</f>
        <v>-70</v>
      </c>
      <c r="L514" t="s">
        <v>37</v>
      </c>
      <c r="N514">
        <v>65185</v>
      </c>
      <c r="O514" t="s">
        <v>218</v>
      </c>
      <c r="P514">
        <v>1903</v>
      </c>
      <c r="Q514" s="47">
        <v>46268</v>
      </c>
      <c r="R514" s="22" t="str">
        <f>IF(H514="","",H514&amp;I514)</f>
        <v>260813-476SALIDA</v>
      </c>
      <c r="S514" s="22" t="str">
        <f>IF(C514="","",C514&amp;I514)</f>
        <v>Fluroxipir Forte 480SALIDA</v>
      </c>
      <c r="T514" t="str">
        <f>IF(OR(C514="",I514&lt;&gt;"ENTRADA"),"",TEXT(B514,"AAMMDD")&amp;"-"&amp;TEXT(VALUE(SUBSTITUTE(A514,"MOV-","")),"000"))</f>
        <v/>
      </c>
    </row>
    <row r="515" spans="1:20">
      <c r="A515" s="20" t="s">
        <v>819</v>
      </c>
      <c r="B515" s="47">
        <v>46267</v>
      </c>
      <c r="C515" t="s">
        <v>757</v>
      </c>
      <c r="D515" t="s">
        <v>758</v>
      </c>
      <c r="E515" t="s">
        <v>25</v>
      </c>
      <c r="F515" t="s">
        <v>631</v>
      </c>
      <c r="G515" t="s">
        <v>27</v>
      </c>
      <c r="H515" s="20" t="s">
        <v>810</v>
      </c>
      <c r="I515" t="s">
        <v>65</v>
      </c>
      <c r="J515" s="30">
        <v>80</v>
      </c>
      <c r="K515" s="22">
        <f>IF(I515="","",IF(I515="ENTRADA",ABS(J515),-ABS(J515)))</f>
        <v>-80</v>
      </c>
      <c r="L515" t="s">
        <v>632</v>
      </c>
      <c r="N515">
        <v>65186</v>
      </c>
      <c r="O515" t="s">
        <v>213</v>
      </c>
      <c r="P515">
        <v>1904</v>
      </c>
      <c r="Q515" s="47">
        <v>46269</v>
      </c>
      <c r="R515" s="22" t="str">
        <f>IF(H515="","",H515&amp;I515)</f>
        <v>260821-480SALIDA</v>
      </c>
      <c r="S515" s="22" t="str">
        <f>IF(C515="","",C515&amp;I515)</f>
        <v>semilla comprada maiz illinois 2773SALIDA</v>
      </c>
      <c r="T515" t="str">
        <f>IF(OR(C515="",I515&lt;&gt;"ENTRADA"),"",TEXT(B515,"AAMMDD")&amp;"-"&amp;TEXT(VALUE(SUBSTITUTE(A515,"MOV-","")),"000"))</f>
        <v/>
      </c>
    </row>
    <row r="516" spans="1:20">
      <c r="A516" s="20" t="s">
        <v>820</v>
      </c>
      <c r="B516" s="47">
        <v>46267</v>
      </c>
      <c r="C516" t="s">
        <v>763</v>
      </c>
      <c r="D516" t="s">
        <v>764</v>
      </c>
      <c r="E516" t="s">
        <v>25</v>
      </c>
      <c r="F516" t="s">
        <v>631</v>
      </c>
      <c r="G516" t="s">
        <v>27</v>
      </c>
      <c r="H516" s="20" t="s">
        <v>808</v>
      </c>
      <c r="I516" t="s">
        <v>65</v>
      </c>
      <c r="J516" s="30">
        <v>8</v>
      </c>
      <c r="K516" s="22">
        <f>IF(I516="","",IF(I516="ENTRADA",ABS(J516),-ABS(J516)))</f>
        <v>-8</v>
      </c>
      <c r="L516" t="s">
        <v>632</v>
      </c>
      <c r="N516">
        <v>65186</v>
      </c>
      <c r="O516" t="s">
        <v>213</v>
      </c>
      <c r="P516">
        <v>1904</v>
      </c>
      <c r="Q516" s="47">
        <v>46269</v>
      </c>
      <c r="R516" s="22" t="str">
        <f>IF(H516="","",H516&amp;I516)</f>
        <v>260821-482SALIDA</v>
      </c>
      <c r="S516" s="22" t="str">
        <f>IF(C516="","",C516&amp;I516)</f>
        <v>refugio semilla maiz illinois SALIDA</v>
      </c>
      <c r="T516" t="str">
        <f>IF(OR(C516="",I516&lt;&gt;"ENTRADA"),"",TEXT(B516,"AAMMDD")&amp;"-"&amp;TEXT(VALUE(SUBSTITUTE(A516,"MOV-","")),"000"))</f>
        <v/>
      </c>
    </row>
    <row r="517" spans="1:20">
      <c r="A517" s="20" t="s">
        <v>821</v>
      </c>
      <c r="B517" s="47">
        <v>46267</v>
      </c>
      <c r="C517" t="s">
        <v>629</v>
      </c>
      <c r="D517" t="s">
        <v>630</v>
      </c>
      <c r="E517" t="s">
        <v>25</v>
      </c>
      <c r="F517" t="s">
        <v>631</v>
      </c>
      <c r="G517" t="s">
        <v>158</v>
      </c>
      <c r="H517" s="20" t="s">
        <v>822</v>
      </c>
      <c r="I517" t="s">
        <v>65</v>
      </c>
      <c r="J517" s="30">
        <v>120</v>
      </c>
      <c r="K517" s="22">
        <f>IF(I517="","",IF(I517="ENTRADA",ABS(J517),-ABS(J517)))</f>
        <v>-120</v>
      </c>
      <c r="L517" t="s">
        <v>632</v>
      </c>
      <c r="N517">
        <v>65186</v>
      </c>
      <c r="O517" t="s">
        <v>213</v>
      </c>
      <c r="P517">
        <v>1904</v>
      </c>
      <c r="Q517" s="47">
        <v>46269</v>
      </c>
      <c r="R517" s="22" t="str">
        <f>IF(H517="","",H517&amp;I517)</f>
        <v>260617-373SALIDA</v>
      </c>
      <c r="S517" s="22" t="str">
        <f>IF(C517="","",C517&amp;I517)</f>
        <v>semilla maiz DK 69-62 TRESALIDA</v>
      </c>
      <c r="T517" t="str">
        <f>IF(OR(C517="",I517&lt;&gt;"ENTRADA"),"",TEXT(B517,"AAMMDD")&amp;"-"&amp;TEXT(VALUE(SUBSTITUTE(A517,"MOV-","")),"000"))</f>
        <v/>
      </c>
    </row>
    <row r="518" spans="1:20">
      <c r="A518" s="20" t="s">
        <v>823</v>
      </c>
      <c r="B518" s="47">
        <v>46267</v>
      </c>
      <c r="C518" s="34" t="s">
        <v>634</v>
      </c>
      <c r="D518" s="34" t="s">
        <v>630</v>
      </c>
      <c r="E518" s="34" t="s">
        <v>25</v>
      </c>
      <c r="F518" s="34" t="s">
        <v>631</v>
      </c>
      <c r="G518" s="34" t="s">
        <v>158</v>
      </c>
      <c r="H518" s="20" t="s">
        <v>824</v>
      </c>
      <c r="I518" s="34" t="s">
        <v>65</v>
      </c>
      <c r="J518" s="36">
        <v>12</v>
      </c>
      <c r="K518" s="22">
        <f>IF(I518="","",IF(I518="ENTRADA",ABS(J518),-ABS(J518)))</f>
        <v>-12</v>
      </c>
      <c r="L518" s="34" t="s">
        <v>632</v>
      </c>
      <c r="M518" s="34"/>
      <c r="N518">
        <v>65186</v>
      </c>
      <c r="O518" s="34" t="s">
        <v>213</v>
      </c>
      <c r="P518">
        <v>1904</v>
      </c>
      <c r="Q518" s="47">
        <v>46269</v>
      </c>
      <c r="R518" s="22" t="str">
        <f>IF(H518="","",H518&amp;I518)</f>
        <v>260617-374SALIDA</v>
      </c>
      <c r="S518" s="22" t="str">
        <f>IF(C518="","",C518&amp;I518)</f>
        <v>semilla maiz DK 72-10 RR2C5 refugioSALIDA</v>
      </c>
      <c r="T518" t="str">
        <f>IF(OR(C518="",I518&lt;&gt;"ENTRADA"),"",TEXT(B518,"AAMMDD")&amp;"-"&amp;TEXT(VALUE(SUBSTITUTE(A518,"MOV-","")),"000"))</f>
        <v/>
      </c>
    </row>
    <row r="519" spans="1:20">
      <c r="A519" s="20" t="s">
        <v>825</v>
      </c>
      <c r="B519" s="47">
        <v>46267</v>
      </c>
      <c r="C519" t="s">
        <v>115</v>
      </c>
      <c r="D519" t="s">
        <v>116</v>
      </c>
      <c r="E519" t="s">
        <v>34</v>
      </c>
      <c r="F519" t="s">
        <v>35</v>
      </c>
      <c r="G519" t="s">
        <v>117</v>
      </c>
      <c r="H519" s="20" t="s">
        <v>668</v>
      </c>
      <c r="I519" t="s">
        <v>65</v>
      </c>
      <c r="J519" s="30">
        <v>700</v>
      </c>
      <c r="K519" s="22">
        <f>IF(I519="","",IF(I519="ENTRADA",ABS(J519),-ABS(J519)))</f>
        <v>-700</v>
      </c>
      <c r="L519" t="s">
        <v>37</v>
      </c>
      <c r="N519">
        <v>65187</v>
      </c>
      <c r="O519" t="s">
        <v>237</v>
      </c>
      <c r="P519">
        <v>1905</v>
      </c>
      <c r="Q519" s="47">
        <v>46269</v>
      </c>
      <c r="R519" s="22" t="str">
        <f>IF(H519="","",H519&amp;I519)</f>
        <v>260727-381SALIDA</v>
      </c>
      <c r="S519" s="22" t="str">
        <f>IF(C519="","",C519&amp;I519)</f>
        <v>AzukaSALIDA</v>
      </c>
      <c r="T519" t="str">
        <f>IF(OR(C519="",I519&lt;&gt;"ENTRADA"),"",TEXT(B519,"AAMMDD")&amp;"-"&amp;TEXT(VALUE(SUBSTITUTE(A519,"MOV-","")),"000"))</f>
        <v/>
      </c>
    </row>
    <row r="520" spans="1:20">
      <c r="A520" s="20" t="s">
        <v>826</v>
      </c>
      <c r="B520" s="47">
        <v>46267</v>
      </c>
      <c r="C520" t="s">
        <v>629</v>
      </c>
      <c r="D520" t="s">
        <v>630</v>
      </c>
      <c r="E520" t="s">
        <v>25</v>
      </c>
      <c r="F520" t="s">
        <v>631</v>
      </c>
      <c r="G520" t="s">
        <v>158</v>
      </c>
      <c r="H520" s="20" t="s">
        <v>822</v>
      </c>
      <c r="I520" t="s">
        <v>65</v>
      </c>
      <c r="J520" s="30">
        <v>190</v>
      </c>
      <c r="K520" s="22">
        <f>IF(I520="","",IF(I520="ENTRADA",ABS(J520),-ABS(J520)))</f>
        <v>-190</v>
      </c>
      <c r="L520" t="s">
        <v>632</v>
      </c>
      <c r="N520">
        <v>65187</v>
      </c>
      <c r="O520" t="s">
        <v>237</v>
      </c>
      <c r="P520">
        <v>1905</v>
      </c>
      <c r="Q520" s="47">
        <v>46269</v>
      </c>
      <c r="R520" s="22" t="str">
        <f>IF(H520="","",H520&amp;I520)</f>
        <v>260617-373SALIDA</v>
      </c>
      <c r="S520" s="22" t="str">
        <f>IF(C520="","",C520&amp;I520)</f>
        <v>semilla maiz DK 69-62 TRESALIDA</v>
      </c>
      <c r="T520" t="str">
        <f>IF(OR(C520="",I520&lt;&gt;"ENTRADA"),"",TEXT(B520,"AAMMDD")&amp;"-"&amp;TEXT(VALUE(SUBSTITUTE(A520,"MOV-","")),"000"))</f>
        <v/>
      </c>
    </row>
    <row r="521" spans="1:20">
      <c r="A521" s="20" t="s">
        <v>827</v>
      </c>
      <c r="B521" s="47">
        <v>46267</v>
      </c>
      <c r="C521" t="s">
        <v>634</v>
      </c>
      <c r="D521" t="s">
        <v>630</v>
      </c>
      <c r="E521" t="s">
        <v>25</v>
      </c>
      <c r="F521" t="s">
        <v>631</v>
      </c>
      <c r="G521" t="s">
        <v>158</v>
      </c>
      <c r="H521" s="20" t="s">
        <v>824</v>
      </c>
      <c r="I521" t="s">
        <v>65</v>
      </c>
      <c r="J521" s="30">
        <v>20</v>
      </c>
      <c r="K521" s="22">
        <f>IF(I521="","",IF(I521="ENTRADA",ABS(J521),-ABS(J521)))</f>
        <v>-20</v>
      </c>
      <c r="L521" t="s">
        <v>632</v>
      </c>
      <c r="N521">
        <v>65187</v>
      </c>
      <c r="O521" t="s">
        <v>237</v>
      </c>
      <c r="P521">
        <v>1905</v>
      </c>
      <c r="Q521" s="47">
        <v>46269</v>
      </c>
      <c r="R521" s="22" t="str">
        <f>IF(H521="","",H521&amp;I521)</f>
        <v>260617-374SALIDA</v>
      </c>
      <c r="S521" s="22" t="str">
        <f>IF(C521="","",C521&amp;I521)</f>
        <v>semilla maiz DK 72-10 RR2C5 refugioSALIDA</v>
      </c>
      <c r="T521" t="str">
        <f>IF(OR(C521="",I521&lt;&gt;"ENTRADA"),"",TEXT(B521,"AAMMDD")&amp;"-"&amp;TEXT(VALUE(SUBSTITUTE(A521,"MOV-","")),"000"))</f>
        <v/>
      </c>
    </row>
    <row r="522" spans="1:20">
      <c r="A522" s="20" t="s">
        <v>828</v>
      </c>
      <c r="B522" s="47">
        <v>46267</v>
      </c>
      <c r="C522" t="s">
        <v>769</v>
      </c>
      <c r="D522" t="s">
        <v>770</v>
      </c>
      <c r="E522" t="s">
        <v>34</v>
      </c>
      <c r="F522" t="s">
        <v>35</v>
      </c>
      <c r="G522" t="s">
        <v>771</v>
      </c>
      <c r="H522" s="20" t="s">
        <v>829</v>
      </c>
      <c r="I522" t="s">
        <v>65</v>
      </c>
      <c r="J522" s="30">
        <v>560</v>
      </c>
      <c r="K522" s="22">
        <f>IF(I522="","",IF(I522="ENTRADA",ABS(J522),-ABS(J522)))</f>
        <v>-560</v>
      </c>
      <c r="L522" t="s">
        <v>37</v>
      </c>
      <c r="N522">
        <v>65187</v>
      </c>
      <c r="O522" t="s">
        <v>237</v>
      </c>
      <c r="P522">
        <v>1905</v>
      </c>
      <c r="Q522" s="47">
        <v>46269</v>
      </c>
      <c r="R522" s="22" t="str">
        <f>IF(H522="","",H522&amp;I522)</f>
        <v>260826-484SALIDA</v>
      </c>
      <c r="S522" s="22" t="str">
        <f>IF(C522="","",C522&amp;I522)</f>
        <v>Paraquat SALIDA</v>
      </c>
      <c r="T522" t="str">
        <f>IF(OR(C522="",I522&lt;&gt;"ENTRADA"),"",TEXT(B522,"AAMMDD")&amp;"-"&amp;TEXT(VALUE(SUBSTITUTE(A522,"MOV-","")),"000"))</f>
        <v/>
      </c>
    </row>
    <row r="523" spans="1:20">
      <c r="A523" s="20" t="s">
        <v>830</v>
      </c>
      <c r="B523" s="47">
        <v>46267</v>
      </c>
      <c r="C523" t="s">
        <v>130</v>
      </c>
      <c r="D523" t="s">
        <v>131</v>
      </c>
      <c r="E523" t="s">
        <v>132</v>
      </c>
      <c r="G523" t="s">
        <v>133</v>
      </c>
      <c r="H523" s="20" t="s">
        <v>221</v>
      </c>
      <c r="I523" t="s">
        <v>65</v>
      </c>
      <c r="J523" s="30">
        <v>40</v>
      </c>
      <c r="K523" s="22">
        <f>IF(I523="","",IF(I523="ENTRADA",ABS(J523),-ABS(J523)))</f>
        <v>-40</v>
      </c>
      <c r="L523" t="s">
        <v>37</v>
      </c>
      <c r="N523">
        <v>65187</v>
      </c>
      <c r="O523" t="s">
        <v>237</v>
      </c>
      <c r="P523">
        <v>1905</v>
      </c>
      <c r="Q523" s="47">
        <v>46269</v>
      </c>
      <c r="R523" s="22" t="str">
        <f>IF(H523="","",H523&amp;I523)</f>
        <v>260414-029SALIDA</v>
      </c>
      <c r="S523" s="22" t="str">
        <f>IF(C523="","",C523&amp;I523)</f>
        <v>HarrierSALIDA</v>
      </c>
      <c r="T523" t="str">
        <f>IF(OR(C523="",I523&lt;&gt;"ENTRADA"),"",TEXT(B523,"AAMMDD")&amp;"-"&amp;TEXT(VALUE(SUBSTITUTE(A523,"MOV-","")),"000"))</f>
        <v/>
      </c>
    </row>
    <row r="524" spans="1:20">
      <c r="A524" s="20" t="s">
        <v>831</v>
      </c>
      <c r="B524" s="47">
        <v>46268</v>
      </c>
      <c r="C524" t="s">
        <v>90</v>
      </c>
      <c r="D524" t="s">
        <v>91</v>
      </c>
      <c r="E524" t="s">
        <v>34</v>
      </c>
      <c r="F524" t="s">
        <v>35</v>
      </c>
      <c r="G524" t="s">
        <v>36</v>
      </c>
      <c r="H524" s="20" t="s">
        <v>375</v>
      </c>
      <c r="I524" t="s">
        <v>65</v>
      </c>
      <c r="J524" s="30">
        <v>60</v>
      </c>
      <c r="K524" s="22">
        <f>IF(I524="","",IF(I524="ENTRADA",ABS(J524),-ABS(J524)))</f>
        <v>-60</v>
      </c>
      <c r="L524" t="s">
        <v>37</v>
      </c>
      <c r="N524">
        <v>65188</v>
      </c>
      <c r="O524" t="s">
        <v>218</v>
      </c>
      <c r="P524">
        <v>1906</v>
      </c>
      <c r="Q524" s="47">
        <v>46269</v>
      </c>
      <c r="R524" s="22" t="str">
        <f>IF(H524="","",H524&amp;I524)</f>
        <v>260405-132SALIDA</v>
      </c>
      <c r="S524" s="22" t="str">
        <f>IF(C524="","",C524&amp;I524)</f>
        <v>PixxaroSALIDA</v>
      </c>
      <c r="T524" t="str">
        <f>IF(OR(C524="",I524&lt;&gt;"ENTRADA"),"",TEXT(B524,"AAMMDD")&amp;"-"&amp;TEXT(VALUE(SUBSTITUTE(A524,"MOV-","")),"000"))</f>
        <v/>
      </c>
    </row>
    <row r="525" spans="1:20">
      <c r="A525" s="20" t="s">
        <v>832</v>
      </c>
      <c r="B525" s="47">
        <v>46268</v>
      </c>
      <c r="C525" t="s">
        <v>122</v>
      </c>
      <c r="D525" t="s">
        <v>123</v>
      </c>
      <c r="E525" t="s">
        <v>34</v>
      </c>
      <c r="F525" t="s">
        <v>35</v>
      </c>
      <c r="G525" t="s">
        <v>117</v>
      </c>
      <c r="H525" s="20" t="s">
        <v>203</v>
      </c>
      <c r="I525" t="s">
        <v>65</v>
      </c>
      <c r="J525" s="30">
        <v>100</v>
      </c>
      <c r="K525" s="22">
        <f>IF(I525="","",IF(I525="ENTRADA",ABS(J525),-ABS(J525)))</f>
        <v>-100</v>
      </c>
      <c r="L525" t="s">
        <v>37</v>
      </c>
      <c r="N525">
        <v>65188</v>
      </c>
      <c r="O525" t="s">
        <v>218</v>
      </c>
      <c r="P525">
        <v>1906</v>
      </c>
      <c r="Q525" s="47">
        <v>46269</v>
      </c>
      <c r="R525" s="22" t="str">
        <f>IF(H525="","",H525&amp;I525)</f>
        <v>260410-027SALIDA</v>
      </c>
      <c r="S525" s="22" t="str">
        <f>IF(C525="","",C525&amp;I525)</f>
        <v>PardoSALIDA</v>
      </c>
      <c r="T525" t="str">
        <f>IF(OR(C525="",I525&lt;&gt;"ENTRADA"),"",TEXT(B525,"AAMMDD")&amp;"-"&amp;TEXT(VALUE(SUBSTITUTE(A525,"MOV-","")),"000"))</f>
        <v/>
      </c>
    </row>
    <row r="526" spans="1:20">
      <c r="A526" s="20" t="s">
        <v>833</v>
      </c>
      <c r="B526" s="47">
        <v>46268</v>
      </c>
      <c r="C526" t="s">
        <v>491</v>
      </c>
      <c r="D526" t="s">
        <v>492</v>
      </c>
      <c r="E526" t="s">
        <v>493</v>
      </c>
      <c r="G526" t="s">
        <v>36</v>
      </c>
      <c r="H526" s="20" t="s">
        <v>495</v>
      </c>
      <c r="I526" t="s">
        <v>65</v>
      </c>
      <c r="J526" s="30">
        <v>100</v>
      </c>
      <c r="K526" s="22">
        <f>IF(I526="","",IF(I526="ENTRADA",ABS(J526),-ABS(J526)))</f>
        <v>-100</v>
      </c>
      <c r="L526" t="s">
        <v>37</v>
      </c>
      <c r="N526">
        <v>65188</v>
      </c>
      <c r="O526" t="s">
        <v>218</v>
      </c>
      <c r="P526">
        <v>1906</v>
      </c>
      <c r="Q526" s="47">
        <v>46269</v>
      </c>
      <c r="R526" s="22" t="str">
        <f>IF(H526="","",H526&amp;I526)</f>
        <v>260610-265SALIDA</v>
      </c>
      <c r="S526" s="22" t="str">
        <f>IF(C526="","",C526&amp;I526)</f>
        <v>Zinc Plus SALIDA</v>
      </c>
      <c r="T526" t="str">
        <f>IF(OR(C526="",I526&lt;&gt;"ENTRADA"),"",TEXT(B526,"AAMMDD")&amp;"-"&amp;TEXT(VALUE(SUBSTITUTE(A526,"MOV-","")),"000"))</f>
        <v/>
      </c>
    </row>
    <row r="527" spans="1:20">
      <c r="A527" s="20" t="s">
        <v>834</v>
      </c>
      <c r="B527" s="47">
        <v>46268</v>
      </c>
      <c r="C527" t="s">
        <v>514</v>
      </c>
      <c r="D527" t="s">
        <v>515</v>
      </c>
      <c r="E527" t="s">
        <v>516</v>
      </c>
      <c r="G527" t="s">
        <v>117</v>
      </c>
      <c r="H527" s="20" t="s">
        <v>664</v>
      </c>
      <c r="I527" t="s">
        <v>65</v>
      </c>
      <c r="J527" s="30">
        <v>50</v>
      </c>
      <c r="K527" s="22">
        <f>IF(I527="","",IF(I527="ENTRADA",ABS(J527),-ABS(J527)))</f>
        <v>-50</v>
      </c>
      <c r="L527" t="s">
        <v>37</v>
      </c>
      <c r="N527">
        <v>65188</v>
      </c>
      <c r="O527" t="s">
        <v>218</v>
      </c>
      <c r="P527">
        <v>1906</v>
      </c>
      <c r="Q527" s="47">
        <v>46269</v>
      </c>
      <c r="R527" s="22" t="str">
        <f>IF(H527="","",H527&amp;I527)</f>
        <v>260730-396SALIDA</v>
      </c>
      <c r="S527" s="22" t="str">
        <f>IF(C527="","",C527&amp;I527)</f>
        <v>Unico MaxSALIDA</v>
      </c>
      <c r="T527" t="str">
        <f>IF(OR(C527="",I527&lt;&gt;"ENTRADA"),"",TEXT(B527,"AAMMDD")&amp;"-"&amp;TEXT(VALUE(SUBSTITUTE(A527,"MOV-","")),"000"))</f>
        <v/>
      </c>
    </row>
    <row r="528" spans="1:20">
      <c r="A528" s="20" t="s">
        <v>835</v>
      </c>
      <c r="B528" s="47">
        <v>46268</v>
      </c>
      <c r="C528" t="s">
        <v>283</v>
      </c>
      <c r="D528" t="s">
        <v>284</v>
      </c>
      <c r="E528" t="s">
        <v>285</v>
      </c>
      <c r="F528" t="s">
        <v>286</v>
      </c>
      <c r="G528" t="s">
        <v>83</v>
      </c>
      <c r="H528" s="20" t="s">
        <v>836</v>
      </c>
      <c r="I528" t="s">
        <v>65</v>
      </c>
      <c r="J528" s="30">
        <v>3000</v>
      </c>
      <c r="K528" s="22">
        <f>IF(I528="","",IF(I528="ENTRADA",ABS(J528),-ABS(J528)))</f>
        <v>-3000</v>
      </c>
      <c r="L528" t="s">
        <v>37</v>
      </c>
      <c r="N528">
        <v>65189</v>
      </c>
      <c r="O528" t="s">
        <v>213</v>
      </c>
      <c r="P528">
        <v>1909</v>
      </c>
      <c r="Q528" s="47">
        <v>46269</v>
      </c>
      <c r="R528" s="22" t="str">
        <f>IF(H528="","",H528&amp;I528)</f>
        <v>260730-399SALIDA</v>
      </c>
      <c r="S528" s="22" t="str">
        <f>IF(C528="","",C528&amp;I528)</f>
        <v>Hydra HumeSALIDA</v>
      </c>
      <c r="T528" t="str">
        <f>IF(OR(C528="",I528&lt;&gt;"ENTRADA"),"",TEXT(B528,"AAMMDD")&amp;"-"&amp;TEXT(VALUE(SUBSTITUTE(A528,"MOV-","")),"000"))</f>
        <v/>
      </c>
    </row>
    <row r="529" spans="1:20">
      <c r="A529" s="20" t="s">
        <v>837</v>
      </c>
      <c r="B529" s="47">
        <v>46268</v>
      </c>
      <c r="C529" s="34" t="s">
        <v>838</v>
      </c>
      <c r="D529" s="34" t="s">
        <v>630</v>
      </c>
      <c r="E529" s="34" t="s">
        <v>25</v>
      </c>
      <c r="F529" s="34" t="s">
        <v>631</v>
      </c>
      <c r="G529" s="34" t="s">
        <v>301</v>
      </c>
      <c r="H529" s="20" t="str">
        <f>+T529</f>
        <v>260903-529</v>
      </c>
      <c r="I529" s="34" t="s">
        <v>28</v>
      </c>
      <c r="J529" s="36">
        <v>96</v>
      </c>
      <c r="K529" s="22">
        <f>IF(I529="","",IF(I529="ENTRADA",ABS(J529),-ABS(J529)))</f>
        <v>96</v>
      </c>
      <c r="L529" s="34" t="s">
        <v>632</v>
      </c>
      <c r="M529" s="34"/>
      <c r="N529">
        <v>14367</v>
      </c>
      <c r="O529" s="34"/>
      <c r="P529" s="34">
        <v>15054</v>
      </c>
      <c r="Q529" s="35"/>
      <c r="R529" s="22" t="str">
        <f>IF(H529="","",H529&amp;I529)</f>
        <v>260903-529ENTRADA</v>
      </c>
      <c r="S529" s="22" t="str">
        <f>IF(C529="","",C529&amp;I529)</f>
        <v>maiz Nk 825 vip3cl ENTRADA</v>
      </c>
      <c r="T529" t="str">
        <f>IF(OR(C529="",I529&lt;&gt;"ENTRADA"),"",TEXT(B529,"AAMMDD")&amp;"-"&amp;TEXT(VALUE(SUBSTITUTE(A529,"MOV-","")),"000"))</f>
        <v>260903-529</v>
      </c>
    </row>
    <row r="530" spans="1:20">
      <c r="A530" s="20" t="s">
        <v>839</v>
      </c>
      <c r="B530" s="47">
        <v>46268</v>
      </c>
      <c r="C530" t="s">
        <v>840</v>
      </c>
      <c r="D530" t="s">
        <v>630</v>
      </c>
      <c r="E530" t="s">
        <v>25</v>
      </c>
      <c r="F530" t="s">
        <v>631</v>
      </c>
      <c r="G530" t="s">
        <v>301</v>
      </c>
      <c r="H530" s="20" t="s">
        <v>841</v>
      </c>
      <c r="I530" t="s">
        <v>28</v>
      </c>
      <c r="J530" s="30">
        <v>4</v>
      </c>
      <c r="K530" s="22">
        <f>IF(I530="","",IF(I530="ENTRADA",ABS(J530),-ABS(J530)))</f>
        <v>4</v>
      </c>
      <c r="L530" t="s">
        <v>632</v>
      </c>
      <c r="N530">
        <v>14370</v>
      </c>
      <c r="P530">
        <v>15057</v>
      </c>
      <c r="R530" s="22" t="str">
        <f>IF(H530="","",H530&amp;I530)</f>
        <v>260903-531ENTRADA</v>
      </c>
      <c r="S530" s="22" t="str">
        <f>IF(C530="","",C530&amp;I530)</f>
        <v>Maiz Nk 800 tgcl refugio ENTRADA</v>
      </c>
      <c r="T530" t="str">
        <f>IF(OR(C530="",I530&lt;&gt;"ENTRADA"),"",TEXT(B530,"AAMMDD")&amp;"-"&amp;TEXT(VALUE(SUBSTITUTE(A530,"MOV-","")),"000"))</f>
        <v>260903-530</v>
      </c>
    </row>
    <row r="531" spans="1:20">
      <c r="A531" s="20" t="s">
        <v>842</v>
      </c>
      <c r="B531" s="47">
        <v>46268</v>
      </c>
      <c r="C531" t="s">
        <v>840</v>
      </c>
      <c r="D531" t="s">
        <v>630</v>
      </c>
      <c r="E531" t="s">
        <v>25</v>
      </c>
      <c r="F531" t="s">
        <v>631</v>
      </c>
      <c r="G531" t="s">
        <v>301</v>
      </c>
      <c r="H531" s="20" t="str">
        <f>+T531</f>
        <v>260903-531</v>
      </c>
      <c r="I531" t="s">
        <v>28</v>
      </c>
      <c r="J531" s="30">
        <v>28</v>
      </c>
      <c r="K531" s="22">
        <f>IF(I531="","",IF(I531="ENTRADA",ABS(J531),-ABS(J531)))</f>
        <v>28</v>
      </c>
      <c r="L531" t="s">
        <v>632</v>
      </c>
      <c r="N531">
        <v>14369</v>
      </c>
      <c r="P531">
        <v>15055</v>
      </c>
      <c r="R531" s="22" t="str">
        <f>IF(H531="","",H531&amp;I531)</f>
        <v>260903-531ENTRADA</v>
      </c>
      <c r="S531" s="22" t="str">
        <f>IF(C531="","",C531&amp;I531)</f>
        <v>Maiz Nk 800 tgcl refugio ENTRADA</v>
      </c>
      <c r="T531" t="str">
        <f>IF(OR(C531="",I531&lt;&gt;"ENTRADA"),"",TEXT(B531,"AAMMDD")&amp;"-"&amp;TEXT(VALUE(SUBSTITUTE(A531,"MOV-","")),"000"))</f>
        <v>260903-531</v>
      </c>
    </row>
    <row r="532" spans="1:20">
      <c r="A532" s="20" t="s">
        <v>843</v>
      </c>
      <c r="B532" s="47">
        <v>46268</v>
      </c>
      <c r="C532" t="s">
        <v>840</v>
      </c>
      <c r="D532" t="s">
        <v>630</v>
      </c>
      <c r="E532" t="s">
        <v>25</v>
      </c>
      <c r="F532" t="s">
        <v>631</v>
      </c>
      <c r="G532" t="s">
        <v>301</v>
      </c>
      <c r="H532" s="20" t="s">
        <v>841</v>
      </c>
      <c r="I532" t="s">
        <v>28</v>
      </c>
      <c r="J532" s="30">
        <v>5</v>
      </c>
      <c r="K532" s="22">
        <f>IF(I532="","",IF(I532="ENTRADA",ABS(J532),-ABS(J532)))</f>
        <v>5</v>
      </c>
      <c r="L532" t="s">
        <v>632</v>
      </c>
      <c r="N532">
        <v>14375</v>
      </c>
      <c r="P532">
        <v>15056</v>
      </c>
      <c r="R532" s="22" t="str">
        <f>IF(H532="","",H532&amp;I532)</f>
        <v>260903-531ENTRADA</v>
      </c>
      <c r="S532" s="22" t="str">
        <f>IF(C532="","",C532&amp;I532)</f>
        <v>Maiz Nk 800 tgcl refugio ENTRADA</v>
      </c>
      <c r="T532" t="str">
        <f>IF(OR(C532="",I532&lt;&gt;"ENTRADA"),"",TEXT(B532,"AAMMDD")&amp;"-"&amp;TEXT(VALUE(SUBSTITUTE(A532,"MOV-","")),"000"))</f>
        <v>260903-532</v>
      </c>
    </row>
    <row r="533" spans="1:20">
      <c r="A533" s="20" t="s">
        <v>844</v>
      </c>
      <c r="B533" s="47">
        <v>46262</v>
      </c>
      <c r="C533" t="s">
        <v>115</v>
      </c>
      <c r="D533" t="s">
        <v>116</v>
      </c>
      <c r="E533" t="s">
        <v>34</v>
      </c>
      <c r="F533" t="s">
        <v>35</v>
      </c>
      <c r="G533" t="s">
        <v>117</v>
      </c>
      <c r="H533" s="20" t="s">
        <v>668</v>
      </c>
      <c r="I533" t="s">
        <v>65</v>
      </c>
      <c r="J533" s="30">
        <v>840</v>
      </c>
      <c r="K533" s="22">
        <f>IF(I533="","",IF(I533="ENTRADA",ABS(J533),-ABS(J533)))</f>
        <v>-840</v>
      </c>
      <c r="L533" t="s">
        <v>37</v>
      </c>
      <c r="N533">
        <v>65192</v>
      </c>
      <c r="O533" t="s">
        <v>213</v>
      </c>
      <c r="P533">
        <v>1907</v>
      </c>
      <c r="Q533" s="47">
        <v>46269</v>
      </c>
      <c r="R533" s="22" t="str">
        <f>IF(H533="","",H533&amp;I533)</f>
        <v>260727-381SALIDA</v>
      </c>
      <c r="S533" s="22" t="str">
        <f>IF(C533="","",C533&amp;I533)</f>
        <v>AzukaSALIDA</v>
      </c>
      <c r="T533" t="str">
        <f>IF(OR(C533="",I533&lt;&gt;"ENTRADA"),"",TEXT(B533,"AAMMDD")&amp;"-"&amp;TEXT(VALUE(SUBSTITUTE(A533,"MOV-","")),"000"))</f>
        <v/>
      </c>
    </row>
    <row r="534" spans="1:20">
      <c r="A534" s="20" t="s">
        <v>845</v>
      </c>
      <c r="B534" s="47">
        <v>46262</v>
      </c>
      <c r="C534" t="s">
        <v>122</v>
      </c>
      <c r="D534" t="s">
        <v>123</v>
      </c>
      <c r="E534" t="s">
        <v>34</v>
      </c>
      <c r="F534" t="s">
        <v>35</v>
      </c>
      <c r="G534" t="s">
        <v>117</v>
      </c>
      <c r="H534" s="20" t="s">
        <v>203</v>
      </c>
      <c r="I534" t="s">
        <v>65</v>
      </c>
      <c r="J534" s="30">
        <v>240</v>
      </c>
      <c r="K534" s="22">
        <f>IF(I534="","",IF(I534="ENTRADA",ABS(J534),-ABS(J534)))</f>
        <v>-240</v>
      </c>
      <c r="L534" t="s">
        <v>37</v>
      </c>
      <c r="N534">
        <v>65192</v>
      </c>
      <c r="O534" t="s">
        <v>213</v>
      </c>
      <c r="P534">
        <v>1907</v>
      </c>
      <c r="Q534" s="47">
        <v>46269</v>
      </c>
      <c r="R534" s="22" t="str">
        <f>IF(H534="","",H534&amp;I534)</f>
        <v>260410-027SALIDA</v>
      </c>
      <c r="S534" s="22" t="str">
        <f>IF(C534="","",C534&amp;I534)</f>
        <v>PardoSALIDA</v>
      </c>
      <c r="T534" t="str">
        <f>IF(OR(C534="",I534&lt;&gt;"ENTRADA"),"",TEXT(B534,"AAMMDD")&amp;"-"&amp;TEXT(VALUE(SUBSTITUTE(A534,"MOV-","")),"000"))</f>
        <v/>
      </c>
    </row>
    <row r="535" spans="1:20">
      <c r="A535" s="20" t="s">
        <v>846</v>
      </c>
      <c r="B535" s="47">
        <v>46262</v>
      </c>
      <c r="C535" t="s">
        <v>130</v>
      </c>
      <c r="D535" t="s">
        <v>131</v>
      </c>
      <c r="E535" t="s">
        <v>132</v>
      </c>
      <c r="G535" t="s">
        <v>133</v>
      </c>
      <c r="H535" s="20" t="s">
        <v>221</v>
      </c>
      <c r="I535" t="s">
        <v>65</v>
      </c>
      <c r="J535" s="30">
        <v>30</v>
      </c>
      <c r="K535" s="22">
        <f>IF(I535="","",IF(I535="ENTRADA",ABS(J535),-ABS(J535)))</f>
        <v>-30</v>
      </c>
      <c r="L535" t="s">
        <v>37</v>
      </c>
      <c r="N535">
        <v>65192</v>
      </c>
      <c r="O535" t="s">
        <v>213</v>
      </c>
      <c r="P535">
        <v>1907</v>
      </c>
      <c r="Q535" s="47">
        <v>46269</v>
      </c>
      <c r="R535" s="22" t="str">
        <f>IF(H535="","",H535&amp;I535)</f>
        <v>260414-029SALIDA</v>
      </c>
      <c r="S535" s="22" t="str">
        <f>IF(C535="","",C535&amp;I535)</f>
        <v>HarrierSALIDA</v>
      </c>
      <c r="T535" t="str">
        <f>IF(OR(C535="",I535&lt;&gt;"ENTRADA"),"",TEXT(B535,"AAMMDD")&amp;"-"&amp;TEXT(VALUE(SUBSTITUTE(A535,"MOV-","")),"000"))</f>
        <v/>
      </c>
    </row>
    <row r="536" spans="1:20">
      <c r="A536" s="20" t="s">
        <v>847</v>
      </c>
      <c r="B536" s="47">
        <v>46262</v>
      </c>
      <c r="C536" t="s">
        <v>137</v>
      </c>
      <c r="D536" t="s">
        <v>138</v>
      </c>
      <c r="E536" t="s">
        <v>132</v>
      </c>
      <c r="G536" t="s">
        <v>133</v>
      </c>
      <c r="H536" s="20" t="s">
        <v>793</v>
      </c>
      <c r="I536" t="s">
        <v>65</v>
      </c>
      <c r="J536" s="30">
        <v>5</v>
      </c>
      <c r="K536" s="22">
        <f>IF(I536="","",IF(I536="ENTRADA",ABS(J536),-ABS(J536)))</f>
        <v>-5</v>
      </c>
      <c r="L536" t="s">
        <v>37</v>
      </c>
      <c r="N536">
        <v>65192</v>
      </c>
      <c r="O536" t="s">
        <v>213</v>
      </c>
      <c r="P536">
        <v>1907</v>
      </c>
      <c r="Q536" s="47">
        <v>46269</v>
      </c>
      <c r="R536" s="22" t="str">
        <f>IF(H536="","",H536&amp;I536)</f>
        <v>260827-472SALIDA</v>
      </c>
      <c r="S536" s="22" t="str">
        <f>IF(C536="","",C536&amp;I536)</f>
        <v>Full controlSALIDA</v>
      </c>
      <c r="T536" t="str">
        <f>IF(OR(C536="",I536&lt;&gt;"ENTRADA"),"",TEXT(B536,"AAMMDD")&amp;"-"&amp;TEXT(VALUE(SUBSTITUTE(A536,"MOV-","")),"000"))</f>
        <v/>
      </c>
    </row>
    <row r="537" spans="1:20">
      <c r="A537" s="20" t="s">
        <v>848</v>
      </c>
      <c r="B537" s="47">
        <v>46262</v>
      </c>
      <c r="C537" t="s">
        <v>115</v>
      </c>
      <c r="D537" t="s">
        <v>116</v>
      </c>
      <c r="E537" t="s">
        <v>34</v>
      </c>
      <c r="F537" t="s">
        <v>35</v>
      </c>
      <c r="G537" t="s">
        <v>117</v>
      </c>
      <c r="H537" s="20" t="s">
        <v>668</v>
      </c>
      <c r="I537" t="s">
        <v>65</v>
      </c>
      <c r="J537" s="30">
        <v>1080</v>
      </c>
      <c r="K537" s="22">
        <f>IF(I537="","",IF(I537="ENTRADA",ABS(J537),-ABS(J537)))</f>
        <v>-1080</v>
      </c>
      <c r="L537" t="s">
        <v>37</v>
      </c>
      <c r="N537">
        <v>65193</v>
      </c>
      <c r="O537" t="s">
        <v>218</v>
      </c>
      <c r="P537">
        <v>1908</v>
      </c>
      <c r="Q537" s="47">
        <v>46269</v>
      </c>
      <c r="R537" s="22" t="str">
        <f>IF(H537="","",H537&amp;I537)</f>
        <v>260727-381SALIDA</v>
      </c>
      <c r="S537" s="22" t="str">
        <f>IF(C537="","",C537&amp;I537)</f>
        <v>AzukaSALIDA</v>
      </c>
      <c r="T537" t="str">
        <f>IF(OR(C537="",I537&lt;&gt;"ENTRADA"),"",TEXT(B537,"AAMMDD")&amp;"-"&amp;TEXT(VALUE(SUBSTITUTE(A537,"MOV-","")),"000"))</f>
        <v/>
      </c>
    </row>
    <row r="538" spans="1:20">
      <c r="A538" s="20" t="s">
        <v>849</v>
      </c>
      <c r="B538" s="47">
        <v>46262</v>
      </c>
      <c r="C538" t="s">
        <v>122</v>
      </c>
      <c r="D538" t="s">
        <v>123</v>
      </c>
      <c r="E538" t="s">
        <v>34</v>
      </c>
      <c r="F538" t="s">
        <v>35</v>
      </c>
      <c r="G538" t="s">
        <v>117</v>
      </c>
      <c r="H538" s="20" t="s">
        <v>203</v>
      </c>
      <c r="I538" t="s">
        <v>65</v>
      </c>
      <c r="J538" s="30">
        <v>260</v>
      </c>
      <c r="K538" s="22">
        <f>IF(I538="","",IF(I538="ENTRADA",ABS(J538),-ABS(J538)))</f>
        <v>-260</v>
      </c>
      <c r="L538" t="s">
        <v>37</v>
      </c>
      <c r="N538">
        <v>65193</v>
      </c>
      <c r="O538" t="s">
        <v>218</v>
      </c>
      <c r="P538">
        <v>1908</v>
      </c>
      <c r="Q538" s="47">
        <v>46269</v>
      </c>
      <c r="R538" s="22" t="str">
        <f>IF(H538="","",H538&amp;I538)</f>
        <v>260410-027SALIDA</v>
      </c>
      <c r="S538" s="22" t="str">
        <f>IF(C538="","",C538&amp;I538)</f>
        <v>PardoSALIDA</v>
      </c>
      <c r="T538" t="str">
        <f>IF(OR(C538="",I538&lt;&gt;"ENTRADA"),"",TEXT(B538,"AAMMDD")&amp;"-"&amp;TEXT(VALUE(SUBSTITUTE(A538,"MOV-","")),"000"))</f>
        <v/>
      </c>
    </row>
    <row r="539" spans="1:20">
      <c r="A539" s="20" t="s">
        <v>850</v>
      </c>
      <c r="B539" s="47">
        <v>46262</v>
      </c>
      <c r="C539" t="s">
        <v>130</v>
      </c>
      <c r="D539" t="s">
        <v>131</v>
      </c>
      <c r="E539" t="s">
        <v>132</v>
      </c>
      <c r="G539" t="s">
        <v>133</v>
      </c>
      <c r="H539" s="20" t="s">
        <v>221</v>
      </c>
      <c r="I539" t="s">
        <v>65</v>
      </c>
      <c r="J539" s="30">
        <v>50</v>
      </c>
      <c r="K539" s="22">
        <f>IF(I539="","",IF(I539="ENTRADA",ABS(J539),-ABS(J539)))</f>
        <v>-50</v>
      </c>
      <c r="L539" t="s">
        <v>37</v>
      </c>
      <c r="N539">
        <v>65193</v>
      </c>
      <c r="O539" t="s">
        <v>218</v>
      </c>
      <c r="P539">
        <v>1908</v>
      </c>
      <c r="Q539" s="47">
        <v>46269</v>
      </c>
      <c r="R539" s="22" t="str">
        <f>IF(H539="","",H539&amp;I539)</f>
        <v>260414-029SALIDA</v>
      </c>
      <c r="S539" s="22" t="str">
        <f>IF(C539="","",C539&amp;I539)</f>
        <v>HarrierSALIDA</v>
      </c>
      <c r="T539" t="str">
        <f>IF(OR(C539="",I539&lt;&gt;"ENTRADA"),"",TEXT(B539,"AAMMDD")&amp;"-"&amp;TEXT(VALUE(SUBSTITUTE(A539,"MOV-","")),"000"))</f>
        <v/>
      </c>
    </row>
    <row r="540" spans="1:20">
      <c r="A540" s="20" t="s">
        <v>851</v>
      </c>
      <c r="B540" s="47">
        <v>46262</v>
      </c>
      <c r="C540" s="34" t="s">
        <v>137</v>
      </c>
      <c r="D540" s="34" t="s">
        <v>138</v>
      </c>
      <c r="E540" s="34" t="s">
        <v>132</v>
      </c>
      <c r="F540" s="34"/>
      <c r="G540" s="34" t="s">
        <v>133</v>
      </c>
      <c r="H540" s="20" t="s">
        <v>793</v>
      </c>
      <c r="I540" s="34" t="s">
        <v>65</v>
      </c>
      <c r="J540" s="36">
        <v>10</v>
      </c>
      <c r="K540" s="22">
        <f>IF(I540="","",IF(I540="ENTRADA",ABS(J540),-ABS(J540)))</f>
        <v>-10</v>
      </c>
      <c r="L540" s="34" t="s">
        <v>37</v>
      </c>
      <c r="M540" s="34"/>
      <c r="N540">
        <v>65193</v>
      </c>
      <c r="O540" s="34" t="s">
        <v>218</v>
      </c>
      <c r="P540">
        <v>1908</v>
      </c>
      <c r="Q540" s="47">
        <v>46269</v>
      </c>
      <c r="R540" s="22" t="str">
        <f>IF(H540="","",H540&amp;I540)</f>
        <v>260827-472SALIDA</v>
      </c>
      <c r="S540" s="22" t="str">
        <f>IF(C540="","",C540&amp;I540)</f>
        <v>Full controlSALIDA</v>
      </c>
      <c r="T540" t="str">
        <f>IF(OR(C540="",I540&lt;&gt;"ENTRADA"),"",TEXT(B540,"AAMMDD")&amp;"-"&amp;TEXT(VALUE(SUBSTITUTE(A540,"MOV-","")),"000"))</f>
        <v/>
      </c>
    </row>
    <row r="541" spans="1:20">
      <c r="A541" s="20" t="s">
        <v>852</v>
      </c>
      <c r="B541" s="47">
        <v>46262</v>
      </c>
      <c r="C541" t="s">
        <v>90</v>
      </c>
      <c r="D541" t="s">
        <v>91</v>
      </c>
      <c r="E541" t="s">
        <v>34</v>
      </c>
      <c r="F541" t="s">
        <v>35</v>
      </c>
      <c r="G541" t="s">
        <v>36</v>
      </c>
      <c r="H541" s="20" t="s">
        <v>375</v>
      </c>
      <c r="I541" t="s">
        <v>65</v>
      </c>
      <c r="J541" s="30">
        <v>200</v>
      </c>
      <c r="K541" s="22">
        <f>IF(I541="","",IF(I541="ENTRADA",ABS(J541),-ABS(J541)))</f>
        <v>-200</v>
      </c>
      <c r="L541" t="s">
        <v>37</v>
      </c>
      <c r="N541">
        <v>65193</v>
      </c>
      <c r="O541" t="s">
        <v>218</v>
      </c>
      <c r="P541">
        <v>1908</v>
      </c>
      <c r="Q541" s="47">
        <v>46269</v>
      </c>
      <c r="R541" s="22" t="str">
        <f>IF(H541="","",H541&amp;I541)</f>
        <v>260405-132SALIDA</v>
      </c>
      <c r="S541" s="22" t="str">
        <f>IF(C541="","",C541&amp;I541)</f>
        <v>PixxaroSALIDA</v>
      </c>
      <c r="T541" t="str">
        <f>IF(OR(C541="",I541&lt;&gt;"ENTRADA"),"",TEXT(B541,"AAMMDD")&amp;"-"&amp;TEXT(VALUE(SUBSTITUTE(A541,"MOV-","")),"000"))</f>
        <v/>
      </c>
    </row>
    <row r="542" spans="1:20">
      <c r="A542" s="20" t="s">
        <v>853</v>
      </c>
      <c r="B542" s="47">
        <v>46268</v>
      </c>
      <c r="C542" t="s">
        <v>775</v>
      </c>
      <c r="D542" t="s">
        <v>776</v>
      </c>
      <c r="E542" t="s">
        <v>34</v>
      </c>
      <c r="F542" t="s">
        <v>46</v>
      </c>
      <c r="G542" t="s">
        <v>777</v>
      </c>
      <c r="H542" s="20" t="s">
        <v>854</v>
      </c>
      <c r="I542" t="s">
        <v>65</v>
      </c>
      <c r="J542" s="30">
        <v>1000</v>
      </c>
      <c r="K542" s="22">
        <f>IF(I542="","",IF(I542="ENTRADA",ABS(J542),-ABS(J542)))</f>
        <v>-1000</v>
      </c>
      <c r="L542" t="s">
        <v>37</v>
      </c>
      <c r="M542" s="47"/>
      <c r="N542">
        <v>65190</v>
      </c>
      <c r="O542" t="s">
        <v>213</v>
      </c>
      <c r="P542">
        <v>1917</v>
      </c>
      <c r="Q542" s="47">
        <v>46279</v>
      </c>
      <c r="R542" s="22" t="str">
        <f>IF(H542="","",H542&amp;I542)</f>
        <v>260902-487SALIDA</v>
      </c>
      <c r="S542" s="22" t="str">
        <f>IF(C542="","",C542&amp;I542)</f>
        <v>Acuron unoSALIDA</v>
      </c>
      <c r="T542" t="str">
        <f>IF(OR(C542="",I542&lt;&gt;"ENTRADA"),"",TEXT(B542,"AAMMDD")&amp;"-"&amp;TEXT(VALUE(SUBSTITUTE(A542,"MOV-","")),"000"))</f>
        <v/>
      </c>
    </row>
    <row r="543" spans="1:20">
      <c r="A543" s="20" t="s">
        <v>855</v>
      </c>
      <c r="B543" s="47">
        <v>46269</v>
      </c>
      <c r="C543" t="s">
        <v>44</v>
      </c>
      <c r="D543" t="s">
        <v>63</v>
      </c>
      <c r="E543" t="s">
        <v>34</v>
      </c>
      <c r="F543" t="s">
        <v>46</v>
      </c>
      <c r="G543" t="s">
        <v>36</v>
      </c>
      <c r="H543" s="20" t="s">
        <v>64</v>
      </c>
      <c r="I543" t="s">
        <v>65</v>
      </c>
      <c r="J543" s="30">
        <v>40</v>
      </c>
      <c r="K543" s="22">
        <f>IF(I543="","",IF(I543="ENTRADA",ABS(J543),-ABS(J543)))</f>
        <v>-40</v>
      </c>
      <c r="L543" t="s">
        <v>37</v>
      </c>
      <c r="N543">
        <v>65191</v>
      </c>
      <c r="O543" t="s">
        <v>218</v>
      </c>
      <c r="P543">
        <v>1918</v>
      </c>
      <c r="Q543" s="47">
        <v>46279</v>
      </c>
      <c r="R543" s="22" t="str">
        <f>IF(H543="","",H543&amp;I543)</f>
        <v>260401-004SALIDA</v>
      </c>
      <c r="S543" s="22" t="str">
        <f>IF(C543="","",C543&amp;I543)</f>
        <v>PresideSALIDA</v>
      </c>
      <c r="T543" t="str">
        <f>IF(OR(C543="",I543&lt;&gt;"ENTRADA"),"",TEXT(B543,"AAMMDD")&amp;"-"&amp;TEXT(VALUE(SUBSTITUTE(A543,"MOV-","")),"000"))</f>
        <v/>
      </c>
    </row>
    <row r="544" spans="1:20">
      <c r="A544" s="20" t="s">
        <v>856</v>
      </c>
      <c r="B544" s="47">
        <v>46269</v>
      </c>
      <c r="C544" t="s">
        <v>59</v>
      </c>
      <c r="D544" t="s">
        <v>60</v>
      </c>
      <c r="E544" t="s">
        <v>34</v>
      </c>
      <c r="F544" t="s">
        <v>35</v>
      </c>
      <c r="H544" s="20" t="s">
        <v>68</v>
      </c>
      <c r="I544" t="s">
        <v>65</v>
      </c>
      <c r="J544" s="30">
        <v>80</v>
      </c>
      <c r="K544" s="22">
        <f>IF(I544="","",IF(I544="ENTRADA",ABS(J544),-ABS(J544)))</f>
        <v>-80</v>
      </c>
      <c r="L544" t="s">
        <v>37</v>
      </c>
      <c r="N544">
        <v>65191</v>
      </c>
      <c r="O544" t="s">
        <v>218</v>
      </c>
      <c r="P544">
        <v>1918</v>
      </c>
      <c r="Q544" s="47">
        <v>46279</v>
      </c>
      <c r="R544" s="22" t="str">
        <f>IF(H544="","",H544&amp;I544)</f>
        <v>260401-008SALIDA</v>
      </c>
      <c r="S544" s="22" t="str">
        <f>IF(C544="","",C544&amp;I544)</f>
        <v>Venceweed extraSALIDA</v>
      </c>
      <c r="T544" t="str">
        <f>IF(OR(C544="",I544&lt;&gt;"ENTRADA"),"",TEXT(B544,"AAMMDD")&amp;"-"&amp;TEXT(VALUE(SUBSTITUTE(A544,"MOV-","")),"000"))</f>
        <v/>
      </c>
    </row>
    <row r="545" spans="1:20">
      <c r="A545" s="20" t="s">
        <v>857</v>
      </c>
      <c r="B545" s="47">
        <v>46269</v>
      </c>
      <c r="C545" t="s">
        <v>130</v>
      </c>
      <c r="D545" t="s">
        <v>131</v>
      </c>
      <c r="E545" t="s">
        <v>132</v>
      </c>
      <c r="G545" t="s">
        <v>133</v>
      </c>
      <c r="H545" s="20" t="s">
        <v>221</v>
      </c>
      <c r="I545" t="s">
        <v>65</v>
      </c>
      <c r="J545" s="30">
        <v>20</v>
      </c>
      <c r="K545" s="22">
        <f>IF(I545="","",IF(I545="ENTRADA",ABS(J545),-ABS(J545)))</f>
        <v>-20</v>
      </c>
      <c r="L545" t="s">
        <v>37</v>
      </c>
      <c r="N545">
        <v>65191</v>
      </c>
      <c r="O545" t="s">
        <v>218</v>
      </c>
      <c r="P545">
        <v>1918</v>
      </c>
      <c r="Q545" s="47">
        <v>46279</v>
      </c>
      <c r="R545" s="22" t="str">
        <f>IF(H545="","",H545&amp;I545)</f>
        <v>260414-029SALIDA</v>
      </c>
      <c r="S545" s="22" t="str">
        <f>IF(C545="","",C545&amp;I545)</f>
        <v>HarrierSALIDA</v>
      </c>
      <c r="T545" t="str">
        <f>IF(OR(C545="",I545&lt;&gt;"ENTRADA"),"",TEXT(B545,"AAMMDD")&amp;"-"&amp;TEXT(VALUE(SUBSTITUTE(A545,"MOV-","")),"000"))</f>
        <v/>
      </c>
    </row>
    <row r="546" spans="1:20">
      <c r="A546" s="20" t="s">
        <v>858</v>
      </c>
      <c r="B546" s="47">
        <v>46269</v>
      </c>
      <c r="C546" t="s">
        <v>137</v>
      </c>
      <c r="D546" t="s">
        <v>138</v>
      </c>
      <c r="E546" t="s">
        <v>132</v>
      </c>
      <c r="G546" t="s">
        <v>133</v>
      </c>
      <c r="H546" s="20" t="s">
        <v>793</v>
      </c>
      <c r="I546" t="s">
        <v>65</v>
      </c>
      <c r="J546" s="30">
        <v>3</v>
      </c>
      <c r="K546" s="22">
        <f>IF(I546="","",IF(I546="ENTRADA",ABS(J546),-ABS(J546)))</f>
        <v>-3</v>
      </c>
      <c r="L546" t="s">
        <v>37</v>
      </c>
      <c r="N546">
        <v>65191</v>
      </c>
      <c r="O546" t="s">
        <v>218</v>
      </c>
      <c r="P546">
        <v>1918</v>
      </c>
      <c r="Q546" s="47">
        <v>46279</v>
      </c>
      <c r="R546" s="22" t="str">
        <f>IF(H546="","",H546&amp;I546)</f>
        <v>260827-472SALIDA</v>
      </c>
      <c r="S546" s="22" t="str">
        <f>IF(C546="","",C546&amp;I546)</f>
        <v>Full controlSALIDA</v>
      </c>
      <c r="T546" t="str">
        <f>IF(OR(C546="",I546&lt;&gt;"ENTRADA"),"",TEXT(B546,"AAMMDD")&amp;"-"&amp;TEXT(VALUE(SUBSTITUTE(A546,"MOV-","")),"000"))</f>
        <v/>
      </c>
    </row>
    <row r="547" spans="1:20">
      <c r="A547" s="20" t="s">
        <v>859</v>
      </c>
      <c r="B547" s="47">
        <v>46269</v>
      </c>
      <c r="C547" t="s">
        <v>757</v>
      </c>
      <c r="D547" t="s">
        <v>758</v>
      </c>
      <c r="E547" t="s">
        <v>25</v>
      </c>
      <c r="F547" t="s">
        <v>631</v>
      </c>
      <c r="G547" t="s">
        <v>27</v>
      </c>
      <c r="H547" s="20" t="s">
        <v>810</v>
      </c>
      <c r="I547" t="s">
        <v>65</v>
      </c>
      <c r="J547" s="30">
        <v>275</v>
      </c>
      <c r="K547" s="22">
        <f>IF(I547="","",IF(I547="ENTRADA",ABS(J547),-ABS(J547)))</f>
        <v>-275</v>
      </c>
      <c r="L547" t="s">
        <v>632</v>
      </c>
      <c r="N547">
        <v>65194</v>
      </c>
      <c r="O547" t="s">
        <v>213</v>
      </c>
      <c r="P547">
        <v>1919</v>
      </c>
      <c r="Q547" s="47">
        <v>46279</v>
      </c>
      <c r="R547" s="22" t="str">
        <f>IF(H547="","",H547&amp;I547)</f>
        <v>260821-480SALIDA</v>
      </c>
      <c r="S547" s="22" t="str">
        <f>IF(C547="","",C547&amp;I547)</f>
        <v>semilla comprada maiz illinois 2773SALIDA</v>
      </c>
      <c r="T547" t="str">
        <f>IF(OR(C547="",I547&lt;&gt;"ENTRADA"),"",TEXT(B547,"AAMMDD")&amp;"-"&amp;TEXT(VALUE(SUBSTITUTE(A547,"MOV-","")),"000"))</f>
        <v/>
      </c>
    </row>
    <row r="548" spans="1:20">
      <c r="A548" s="20" t="s">
        <v>860</v>
      </c>
      <c r="B548" s="47">
        <v>46269</v>
      </c>
      <c r="C548" t="s">
        <v>763</v>
      </c>
      <c r="D548" t="s">
        <v>764</v>
      </c>
      <c r="E548" t="s">
        <v>25</v>
      </c>
      <c r="F548" t="s">
        <v>631</v>
      </c>
      <c r="G548" t="s">
        <v>27</v>
      </c>
      <c r="H548" s="20" t="s">
        <v>808</v>
      </c>
      <c r="I548" t="s">
        <v>65</v>
      </c>
      <c r="J548" s="30">
        <v>8</v>
      </c>
      <c r="K548" s="22">
        <f>IF(I548="","",IF(I548="ENTRADA",ABS(J548),-ABS(J548)))</f>
        <v>-8</v>
      </c>
      <c r="L548" t="s">
        <v>632</v>
      </c>
      <c r="N548">
        <v>65194</v>
      </c>
      <c r="O548" t="s">
        <v>213</v>
      </c>
      <c r="P548">
        <v>1919</v>
      </c>
      <c r="Q548" s="47">
        <v>46279</v>
      </c>
      <c r="R548" s="22" t="str">
        <f>IF(H548="","",H548&amp;I548)</f>
        <v>260821-482SALIDA</v>
      </c>
      <c r="S548" s="22" t="str">
        <f>IF(C548="","",C548&amp;I548)</f>
        <v>refugio semilla maiz illinois SALIDA</v>
      </c>
      <c r="T548" t="str">
        <f>IF(OR(C548="",I548&lt;&gt;"ENTRADA"),"",TEXT(B548,"AAMMDD")&amp;"-"&amp;TEXT(VALUE(SUBSTITUTE(A548,"MOV-","")),"000"))</f>
        <v/>
      </c>
    </row>
    <row r="549" spans="1:20">
      <c r="A549" s="20" t="s">
        <v>861</v>
      </c>
      <c r="B549" s="47">
        <v>46269</v>
      </c>
      <c r="C549" t="s">
        <v>629</v>
      </c>
      <c r="D549" t="s">
        <v>630</v>
      </c>
      <c r="E549" t="s">
        <v>25</v>
      </c>
      <c r="F549" t="s">
        <v>631</v>
      </c>
      <c r="G549" t="s">
        <v>158</v>
      </c>
      <c r="H549" s="20" t="s">
        <v>822</v>
      </c>
      <c r="I549" t="s">
        <v>65</v>
      </c>
      <c r="J549" s="30">
        <v>128</v>
      </c>
      <c r="K549" s="22">
        <f>IF(I549="","",IF(I549="ENTRADA",ABS(J549),-ABS(J549)))</f>
        <v>-128</v>
      </c>
      <c r="L549" t="s">
        <v>632</v>
      </c>
      <c r="N549">
        <v>65194</v>
      </c>
      <c r="O549" t="s">
        <v>213</v>
      </c>
      <c r="P549">
        <v>1919</v>
      </c>
      <c r="Q549" s="47">
        <v>46279</v>
      </c>
      <c r="R549" s="22" t="str">
        <f>IF(H549="","",H549&amp;I549)</f>
        <v>260617-373SALIDA</v>
      </c>
      <c r="S549" s="22" t="str">
        <f>IF(C549="","",C549&amp;I549)</f>
        <v>semilla maiz DK 69-62 TRESALIDA</v>
      </c>
      <c r="T549" t="str">
        <f>IF(OR(C549="",I549&lt;&gt;"ENTRADA"),"",TEXT(B549,"AAMMDD")&amp;"-"&amp;TEXT(VALUE(SUBSTITUTE(A549,"MOV-","")),"000"))</f>
        <v/>
      </c>
    </row>
    <row r="550" spans="1:20">
      <c r="A550" s="20" t="s">
        <v>862</v>
      </c>
      <c r="B550" s="47">
        <v>46269</v>
      </c>
      <c r="C550" t="s">
        <v>763</v>
      </c>
      <c r="D550" t="s">
        <v>764</v>
      </c>
      <c r="E550" t="s">
        <v>25</v>
      </c>
      <c r="F550" t="s">
        <v>631</v>
      </c>
      <c r="G550" t="s">
        <v>27</v>
      </c>
      <c r="H550" s="20" t="s">
        <v>808</v>
      </c>
      <c r="I550" t="s">
        <v>65</v>
      </c>
      <c r="J550" s="30">
        <v>16</v>
      </c>
      <c r="K550" s="22">
        <f>IF(I550="","",IF(I550="ENTRADA",ABS(J550),-ABS(J550)))</f>
        <v>-16</v>
      </c>
      <c r="L550" t="s">
        <v>632</v>
      </c>
      <c r="N550">
        <v>65194</v>
      </c>
      <c r="O550" t="s">
        <v>213</v>
      </c>
      <c r="P550">
        <v>1919</v>
      </c>
      <c r="Q550" s="47">
        <v>46279</v>
      </c>
      <c r="R550" s="22" t="str">
        <f>IF(H550="","",H550&amp;I550)</f>
        <v>260821-482SALIDA</v>
      </c>
      <c r="S550" s="22" t="str">
        <f>IF(C550="","",C550&amp;I550)</f>
        <v>refugio semilla maiz illinois SALIDA</v>
      </c>
      <c r="T550" t="str">
        <f>IF(OR(C550="",I550&lt;&gt;"ENTRADA"),"",TEXT(B550,"AAMMDD")&amp;"-"&amp;TEXT(VALUE(SUBSTITUTE(A550,"MOV-","")),"000"))</f>
        <v/>
      </c>
    </row>
    <row r="551" spans="1:20">
      <c r="A551" s="20" t="s">
        <v>863</v>
      </c>
      <c r="B551" s="47">
        <v>46269</v>
      </c>
      <c r="C551" s="34" t="s">
        <v>634</v>
      </c>
      <c r="D551" s="34" t="s">
        <v>630</v>
      </c>
      <c r="E551" s="34" t="s">
        <v>25</v>
      </c>
      <c r="F551" s="34" t="s">
        <v>631</v>
      </c>
      <c r="G551" s="34" t="s">
        <v>158</v>
      </c>
      <c r="H551" s="20" t="s">
        <v>824</v>
      </c>
      <c r="I551" s="34" t="s">
        <v>65</v>
      </c>
      <c r="J551" s="36">
        <v>16</v>
      </c>
      <c r="K551" s="22">
        <f>IF(I551="","",IF(I551="ENTRADA",ABS(J551),-ABS(J551)))</f>
        <v>-16</v>
      </c>
      <c r="L551" s="34" t="s">
        <v>632</v>
      </c>
      <c r="M551" s="34"/>
      <c r="N551">
        <v>65194</v>
      </c>
      <c r="O551" s="34" t="s">
        <v>213</v>
      </c>
      <c r="P551">
        <v>1919</v>
      </c>
      <c r="Q551" s="47">
        <v>46279</v>
      </c>
      <c r="R551" s="22" t="str">
        <f>IF(H551="","",H551&amp;I551)</f>
        <v>260617-374SALIDA</v>
      </c>
      <c r="S551" s="22" t="str">
        <f>IF(C551="","",C551&amp;I551)</f>
        <v>semilla maiz DK 72-10 RR2C5 refugioSALIDA</v>
      </c>
      <c r="T551" t="str">
        <f>IF(OR(C551="",I551&lt;&gt;"ENTRADA"),"",TEXT(B551,"AAMMDD")&amp;"-"&amp;TEXT(VALUE(SUBSTITUTE(A551,"MOV-","")),"000"))</f>
        <v/>
      </c>
    </row>
    <row r="552" spans="1:20">
      <c r="A552" s="20" t="s">
        <v>864</v>
      </c>
      <c r="B552" s="47">
        <v>46269</v>
      </c>
      <c r="C552" t="s">
        <v>115</v>
      </c>
      <c r="D552" t="s">
        <v>116</v>
      </c>
      <c r="E552" t="s">
        <v>34</v>
      </c>
      <c r="F552" t="s">
        <v>35</v>
      </c>
      <c r="G552" t="s">
        <v>117</v>
      </c>
      <c r="H552" s="20" t="s">
        <v>668</v>
      </c>
      <c r="I552" t="s">
        <v>65</v>
      </c>
      <c r="J552" s="30">
        <v>2700</v>
      </c>
      <c r="K552" s="22">
        <f>IF(I552="","",IF(I552="ENTRADA",ABS(J552),-ABS(J552)))</f>
        <v>-2700</v>
      </c>
      <c r="L552" t="s">
        <v>37</v>
      </c>
      <c r="N552">
        <v>65195</v>
      </c>
      <c r="O552" t="s">
        <v>382</v>
      </c>
      <c r="P552">
        <v>1920</v>
      </c>
      <c r="Q552" s="47">
        <v>46279</v>
      </c>
      <c r="R552" s="22" t="str">
        <f>IF(H552="","",H552&amp;I552)</f>
        <v>260727-381SALIDA</v>
      </c>
      <c r="S552" s="22" t="str">
        <f>IF(C552="","",C552&amp;I552)</f>
        <v>AzukaSALIDA</v>
      </c>
      <c r="T552" t="str">
        <f>IF(OR(C552="",I552&lt;&gt;"ENTRADA"),"",TEXT(B552,"AAMMDD")&amp;"-"&amp;TEXT(VALUE(SUBSTITUTE(A552,"MOV-","")),"000"))</f>
        <v/>
      </c>
    </row>
    <row r="553" spans="1:20">
      <c r="A553" s="20" t="s">
        <v>865</v>
      </c>
      <c r="B553" s="47">
        <v>46269</v>
      </c>
      <c r="C553" t="s">
        <v>782</v>
      </c>
      <c r="D553" t="s">
        <v>783</v>
      </c>
      <c r="E553" t="s">
        <v>34</v>
      </c>
      <c r="F553" t="s">
        <v>46</v>
      </c>
      <c r="G553" t="s">
        <v>27</v>
      </c>
      <c r="H553" s="20" t="s">
        <v>797</v>
      </c>
      <c r="I553" t="s">
        <v>65</v>
      </c>
      <c r="J553" s="30">
        <v>150</v>
      </c>
      <c r="K553" s="22">
        <f>IF(I553="","",IF(I553="ENTRADA",ABS(J553),-ABS(J553)))</f>
        <v>-150</v>
      </c>
      <c r="L553" t="s">
        <v>29</v>
      </c>
      <c r="N553">
        <v>65195</v>
      </c>
      <c r="O553" t="s">
        <v>382</v>
      </c>
      <c r="P553">
        <v>1920</v>
      </c>
      <c r="Q553" s="47">
        <v>46279</v>
      </c>
      <c r="R553" s="22" t="str">
        <f>IF(H553="","",H553&amp;I553)</f>
        <v>260801-489SALIDA</v>
      </c>
      <c r="S553" s="22" t="str">
        <f>IF(C553="","",C553&amp;I553)</f>
        <v>PyroxateSALIDA</v>
      </c>
      <c r="T553" t="str">
        <f>IF(OR(C553="",I553&lt;&gt;"ENTRADA"),"",TEXT(B553,"AAMMDD")&amp;"-"&amp;TEXT(VALUE(SUBSTITUTE(A553,"MOV-","")),"000"))</f>
        <v/>
      </c>
    </row>
    <row r="554" spans="1:20">
      <c r="A554" s="20" t="s">
        <v>866</v>
      </c>
      <c r="B554" s="47">
        <v>46269</v>
      </c>
      <c r="C554" t="s">
        <v>130</v>
      </c>
      <c r="D554" t="s">
        <v>131</v>
      </c>
      <c r="E554" t="s">
        <v>132</v>
      </c>
      <c r="G554" t="s">
        <v>133</v>
      </c>
      <c r="H554" s="20" t="s">
        <v>221</v>
      </c>
      <c r="I554" t="s">
        <v>65</v>
      </c>
      <c r="J554" s="30">
        <v>110</v>
      </c>
      <c r="K554" s="22">
        <f>IF(I554="","",IF(I554="ENTRADA",ABS(J554),-ABS(J554)))</f>
        <v>-110</v>
      </c>
      <c r="L554" t="s">
        <v>37</v>
      </c>
      <c r="N554">
        <v>65195</v>
      </c>
      <c r="O554" t="s">
        <v>382</v>
      </c>
      <c r="P554">
        <v>1920</v>
      </c>
      <c r="Q554" s="47">
        <v>46279</v>
      </c>
      <c r="R554" s="22" t="str">
        <f>IF(H554="","",H554&amp;I554)</f>
        <v>260414-029SALIDA</v>
      </c>
      <c r="S554" s="22" t="str">
        <f>IF(C554="","",C554&amp;I554)</f>
        <v>HarrierSALIDA</v>
      </c>
      <c r="T554" t="str">
        <f>IF(OR(C554="",I554&lt;&gt;"ENTRADA"),"",TEXT(B554,"AAMMDD")&amp;"-"&amp;TEXT(VALUE(SUBSTITUTE(A554,"MOV-","")),"000"))</f>
        <v/>
      </c>
    </row>
    <row r="555" spans="1:20">
      <c r="A555" s="20" t="s">
        <v>867</v>
      </c>
      <c r="B555" s="47">
        <v>46269</v>
      </c>
      <c r="C555" t="s">
        <v>137</v>
      </c>
      <c r="D555" t="s">
        <v>138</v>
      </c>
      <c r="E555" t="s">
        <v>132</v>
      </c>
      <c r="G555" t="s">
        <v>133</v>
      </c>
      <c r="H555" s="20" t="s">
        <v>793</v>
      </c>
      <c r="I555" t="s">
        <v>65</v>
      </c>
      <c r="J555" s="30">
        <v>18</v>
      </c>
      <c r="K555" s="22">
        <f>IF(I555="","",IF(I555="ENTRADA",ABS(J555),-ABS(J555)))</f>
        <v>-18</v>
      </c>
      <c r="L555" t="s">
        <v>37</v>
      </c>
      <c r="N555">
        <v>65195</v>
      </c>
      <c r="O555" t="s">
        <v>382</v>
      </c>
      <c r="P555">
        <v>1920</v>
      </c>
      <c r="Q555" s="47">
        <v>46279</v>
      </c>
      <c r="R555" s="22" t="str">
        <f>IF(H555="","",H555&amp;I555)</f>
        <v>260827-472SALIDA</v>
      </c>
      <c r="S555" s="22" t="str">
        <f>IF(C555="","",C555&amp;I555)</f>
        <v>Full controlSALIDA</v>
      </c>
      <c r="T555" t="str">
        <f>IF(OR(C555="",I555&lt;&gt;"ENTRADA"),"",TEXT(B555,"AAMMDD")&amp;"-"&amp;TEXT(VALUE(SUBSTITUTE(A555,"MOV-","")),"000"))</f>
        <v/>
      </c>
    </row>
    <row r="556" spans="1:20">
      <c r="A556" s="20" t="s">
        <v>868</v>
      </c>
      <c r="B556" s="47">
        <v>46269</v>
      </c>
      <c r="C556" t="s">
        <v>775</v>
      </c>
      <c r="D556" t="s">
        <v>776</v>
      </c>
      <c r="E556" t="s">
        <v>34</v>
      </c>
      <c r="F556" t="s">
        <v>46</v>
      </c>
      <c r="G556" t="s">
        <v>777</v>
      </c>
      <c r="H556" s="20" t="s">
        <v>854</v>
      </c>
      <c r="I556" t="s">
        <v>65</v>
      </c>
      <c r="J556" s="30">
        <v>900</v>
      </c>
      <c r="K556" s="22">
        <f>IF(I556="","",IF(I556="ENTRADA",ABS(J556),-ABS(J556)))</f>
        <v>-900</v>
      </c>
      <c r="L556" t="s">
        <v>37</v>
      </c>
      <c r="N556">
        <v>65195</v>
      </c>
      <c r="O556" t="s">
        <v>382</v>
      </c>
      <c r="P556">
        <v>1920</v>
      </c>
      <c r="Q556" s="47">
        <v>46279</v>
      </c>
      <c r="R556" s="22" t="str">
        <f>IF(H556="","",H556&amp;I556)</f>
        <v>260902-487SALIDA</v>
      </c>
      <c r="S556" s="22" t="str">
        <f>IF(C556="","",C556&amp;I556)</f>
        <v>Acuron unoSALIDA</v>
      </c>
      <c r="T556" t="str">
        <f>IF(OR(C556="",I556&lt;&gt;"ENTRADA"),"",TEXT(B556,"AAMMDD")&amp;"-"&amp;TEXT(VALUE(SUBSTITUTE(A556,"MOV-","")),"000"))</f>
        <v/>
      </c>
    </row>
    <row r="557" spans="1:20">
      <c r="A557" s="20" t="s">
        <v>869</v>
      </c>
      <c r="B557" s="47">
        <v>46269</v>
      </c>
      <c r="C557" t="s">
        <v>75</v>
      </c>
      <c r="D557" t="s">
        <v>76</v>
      </c>
      <c r="E557" t="s">
        <v>34</v>
      </c>
      <c r="F557" t="s">
        <v>35</v>
      </c>
      <c r="G557" t="s">
        <v>77</v>
      </c>
      <c r="H557" s="20" t="s">
        <v>94</v>
      </c>
      <c r="I557" t="s">
        <v>65</v>
      </c>
      <c r="J557" s="30">
        <v>160</v>
      </c>
      <c r="K557" s="22">
        <f>IF(I557="","",IF(I557="ENTRADA",ABS(J557),-ABS(J557)))</f>
        <v>-160</v>
      </c>
      <c r="L557" t="s">
        <v>37</v>
      </c>
      <c r="N557">
        <v>65196</v>
      </c>
      <c r="O557" t="s">
        <v>218</v>
      </c>
      <c r="P557">
        <v>1921</v>
      </c>
      <c r="Q557" s="47">
        <v>46279</v>
      </c>
      <c r="R557" s="22" t="str">
        <f>IF(H557="","",H557&amp;I557)</f>
        <v>260407-012SALIDA</v>
      </c>
      <c r="S557" s="22" t="str">
        <f>IF(C557="","",C557&amp;I557)</f>
        <v>Dedalo eliteSALIDA</v>
      </c>
      <c r="T557" t="str">
        <f>IF(OR(C557="",I557&lt;&gt;"ENTRADA"),"",TEXT(B557,"AAMMDD")&amp;"-"&amp;TEXT(VALUE(SUBSTITUTE(A557,"MOV-","")),"000"))</f>
        <v/>
      </c>
    </row>
    <row r="558" spans="1:20">
      <c r="A558" s="20" t="s">
        <v>870</v>
      </c>
      <c r="B558" s="47">
        <v>46269</v>
      </c>
      <c r="C558" t="s">
        <v>115</v>
      </c>
      <c r="D558" t="s">
        <v>116</v>
      </c>
      <c r="E558" t="s">
        <v>34</v>
      </c>
      <c r="F558" t="s">
        <v>35</v>
      </c>
      <c r="G558" t="s">
        <v>117</v>
      </c>
      <c r="H558" s="20" t="s">
        <v>668</v>
      </c>
      <c r="I558" t="s">
        <v>65</v>
      </c>
      <c r="J558" s="30">
        <v>1040</v>
      </c>
      <c r="K558" s="22">
        <f>IF(I558="","",IF(I558="ENTRADA",ABS(J558),-ABS(J558)))</f>
        <v>-1040</v>
      </c>
      <c r="L558" t="s">
        <v>37</v>
      </c>
      <c r="N558">
        <v>65197</v>
      </c>
      <c r="O558" t="s">
        <v>213</v>
      </c>
      <c r="P558">
        <v>1922</v>
      </c>
      <c r="Q558" s="47">
        <v>46279</v>
      </c>
      <c r="R558" s="22" t="str">
        <f>IF(H558="","",H558&amp;I558)</f>
        <v>260727-381SALIDA</v>
      </c>
      <c r="S558" s="22" t="str">
        <f>IF(C558="","",C558&amp;I558)</f>
        <v>AzukaSALIDA</v>
      </c>
      <c r="T558" t="str">
        <f>IF(OR(C558="",I558&lt;&gt;"ENTRADA"),"",TEXT(B558,"AAMMDD")&amp;"-"&amp;TEXT(VALUE(SUBSTITUTE(A558,"MOV-","")),"000"))</f>
        <v/>
      </c>
    </row>
    <row r="559" spans="1:20">
      <c r="A559" s="20" t="s">
        <v>871</v>
      </c>
      <c r="B559" s="47">
        <v>46269</v>
      </c>
      <c r="C559" t="s">
        <v>769</v>
      </c>
      <c r="D559" t="s">
        <v>770</v>
      </c>
      <c r="E559" t="s">
        <v>34</v>
      </c>
      <c r="F559" t="s">
        <v>35</v>
      </c>
      <c r="G559" t="s">
        <v>771</v>
      </c>
      <c r="H559" s="20" t="s">
        <v>829</v>
      </c>
      <c r="I559" t="s">
        <v>65</v>
      </c>
      <c r="J559" s="30">
        <v>500</v>
      </c>
      <c r="K559" s="22">
        <f>IF(I559="","",IF(I559="ENTRADA",ABS(J559),-ABS(J559)))</f>
        <v>-500</v>
      </c>
      <c r="L559" t="s">
        <v>37</v>
      </c>
      <c r="N559">
        <v>65197</v>
      </c>
      <c r="O559" t="s">
        <v>213</v>
      </c>
      <c r="P559">
        <v>1922</v>
      </c>
      <c r="Q559" s="47">
        <v>46279</v>
      </c>
      <c r="R559" s="22" t="str">
        <f>IF(H559="","",H559&amp;I559)</f>
        <v>260826-484SALIDA</v>
      </c>
      <c r="S559" s="22" t="str">
        <f>IF(C559="","",C559&amp;I559)</f>
        <v>Paraquat SALIDA</v>
      </c>
      <c r="T559" t="str">
        <f>IF(OR(C559="",I559&lt;&gt;"ENTRADA"),"",TEXT(B559,"AAMMDD")&amp;"-"&amp;TEXT(VALUE(SUBSTITUTE(A559,"MOV-","")),"000"))</f>
        <v/>
      </c>
    </row>
    <row r="560" spans="1:20">
      <c r="A560" s="20" t="s">
        <v>872</v>
      </c>
      <c r="B560" s="47">
        <v>46269</v>
      </c>
      <c r="C560" t="s">
        <v>130</v>
      </c>
      <c r="D560" t="s">
        <v>131</v>
      </c>
      <c r="E560" t="s">
        <v>132</v>
      </c>
      <c r="G560" t="s">
        <v>133</v>
      </c>
      <c r="H560" s="20" t="s">
        <v>221</v>
      </c>
      <c r="I560" t="s">
        <v>65</v>
      </c>
      <c r="J560" s="30">
        <v>80</v>
      </c>
      <c r="K560" s="22">
        <f>IF(I560="","",IF(I560="ENTRADA",ABS(J560),-ABS(J560)))</f>
        <v>-80</v>
      </c>
      <c r="L560" t="s">
        <v>37</v>
      </c>
      <c r="N560">
        <v>65197</v>
      </c>
      <c r="O560" t="s">
        <v>213</v>
      </c>
      <c r="P560">
        <v>1922</v>
      </c>
      <c r="Q560" s="47">
        <v>46279</v>
      </c>
      <c r="R560" s="22" t="str">
        <f>IF(H560="","",H560&amp;I560)</f>
        <v>260414-029SALIDA</v>
      </c>
      <c r="S560" s="22" t="str">
        <f>IF(C560="","",C560&amp;I560)</f>
        <v>HarrierSALIDA</v>
      </c>
      <c r="T560" t="str">
        <f>IF(OR(C560="",I560&lt;&gt;"ENTRADA"),"",TEXT(B560,"AAMMDD")&amp;"-"&amp;TEXT(VALUE(SUBSTITUTE(A560,"MOV-","")),"000"))</f>
        <v/>
      </c>
    </row>
    <row r="561" spans="1:20">
      <c r="A561" s="20" t="s">
        <v>873</v>
      </c>
      <c r="B561" s="47">
        <v>46269</v>
      </c>
      <c r="C561" t="s">
        <v>782</v>
      </c>
      <c r="D561" t="s">
        <v>783</v>
      </c>
      <c r="E561" t="s">
        <v>34</v>
      </c>
      <c r="F561" t="s">
        <v>46</v>
      </c>
      <c r="G561" t="s">
        <v>27</v>
      </c>
      <c r="H561" s="20" t="s">
        <v>797</v>
      </c>
      <c r="I561" t="s">
        <v>65</v>
      </c>
      <c r="J561" s="30">
        <v>40</v>
      </c>
      <c r="K561" s="22">
        <f>IF(I561="","",IF(I561="ENTRADA",ABS(J561),-ABS(J561)))</f>
        <v>-40</v>
      </c>
      <c r="L561" t="s">
        <v>29</v>
      </c>
      <c r="N561">
        <v>65197</v>
      </c>
      <c r="O561" t="s">
        <v>213</v>
      </c>
      <c r="P561">
        <v>1922</v>
      </c>
      <c r="Q561" s="47">
        <v>46279</v>
      </c>
      <c r="R561" s="22" t="str">
        <f>IF(H561="","",H561&amp;I561)</f>
        <v>260801-489SALIDA</v>
      </c>
      <c r="S561" s="22" t="str">
        <f>IF(C561="","",C561&amp;I561)</f>
        <v>PyroxateSALIDA</v>
      </c>
      <c r="T561" t="str">
        <f>IF(OR(C561="",I561&lt;&gt;"ENTRADA"),"",TEXT(B561,"AAMMDD")&amp;"-"&amp;TEXT(VALUE(SUBSTITUTE(A561,"MOV-","")),"000"))</f>
        <v/>
      </c>
    </row>
    <row r="562" spans="1:20">
      <c r="A562" s="20" t="s">
        <v>874</v>
      </c>
      <c r="B562" s="47">
        <v>46269</v>
      </c>
      <c r="C562" s="34" t="s">
        <v>775</v>
      </c>
      <c r="D562" s="34" t="s">
        <v>776</v>
      </c>
      <c r="E562" s="34" t="s">
        <v>34</v>
      </c>
      <c r="F562" s="34" t="s">
        <v>46</v>
      </c>
      <c r="G562" s="34" t="s">
        <v>777</v>
      </c>
      <c r="H562" s="20" t="s">
        <v>854</v>
      </c>
      <c r="I562" s="34" t="s">
        <v>65</v>
      </c>
      <c r="J562" s="36">
        <v>200</v>
      </c>
      <c r="K562" s="22">
        <f>IF(I562="","",IF(I562="ENTRADA",ABS(J562),-ABS(J562)))</f>
        <v>-200</v>
      </c>
      <c r="L562" s="34" t="s">
        <v>37</v>
      </c>
      <c r="M562" s="34"/>
      <c r="N562">
        <v>65197</v>
      </c>
      <c r="O562" s="34" t="s">
        <v>213</v>
      </c>
      <c r="P562">
        <v>1922</v>
      </c>
      <c r="Q562" s="47">
        <v>46279</v>
      </c>
      <c r="R562" s="22" t="str">
        <f>IF(H562="","",H562&amp;I562)</f>
        <v>260902-487SALIDA</v>
      </c>
      <c r="S562" s="22" t="str">
        <f>IF(C562="","",C562&amp;I562)</f>
        <v>Acuron unoSALIDA</v>
      </c>
      <c r="T562" t="str">
        <f>IF(OR(C562="",I562&lt;&gt;"ENTRADA"),"",TEXT(B562,"AAMMDD")&amp;"-"&amp;TEXT(VALUE(SUBSTITUTE(A562,"MOV-","")),"000"))</f>
        <v/>
      </c>
    </row>
    <row r="563" spans="1:20">
      <c r="A563" s="20" t="s">
        <v>875</v>
      </c>
      <c r="B563" s="47">
        <v>46269</v>
      </c>
      <c r="C563" t="s">
        <v>90</v>
      </c>
      <c r="D563" t="s">
        <v>91</v>
      </c>
      <c r="E563" t="s">
        <v>34</v>
      </c>
      <c r="F563" t="s">
        <v>35</v>
      </c>
      <c r="G563" t="s">
        <v>36</v>
      </c>
      <c r="H563" s="20" t="s">
        <v>375</v>
      </c>
      <c r="I563" t="s">
        <v>65</v>
      </c>
      <c r="J563" s="30">
        <v>80</v>
      </c>
      <c r="K563" s="22">
        <f>IF(I563="","",IF(I563="ENTRADA",ABS(J563),-ABS(J563)))</f>
        <v>-80</v>
      </c>
      <c r="L563" t="s">
        <v>37</v>
      </c>
      <c r="N563">
        <v>65197</v>
      </c>
      <c r="O563" t="s">
        <v>213</v>
      </c>
      <c r="P563">
        <v>1922</v>
      </c>
      <c r="Q563" s="47">
        <v>46279</v>
      </c>
      <c r="R563" s="22" t="str">
        <f>IF(H563="","",H563&amp;I563)</f>
        <v>260405-132SALIDA</v>
      </c>
      <c r="S563" s="22" t="str">
        <f>IF(C563="","",C563&amp;I563)</f>
        <v>PixxaroSALIDA</v>
      </c>
      <c r="T563" t="str">
        <f>IF(OR(C563="",I563&lt;&gt;"ENTRADA"),"",TEXT(B563,"AAMMDD")&amp;"-"&amp;TEXT(VALUE(SUBSTITUTE(A563,"MOV-","")),"000"))</f>
        <v/>
      </c>
    </row>
    <row r="564" spans="1:20">
      <c r="A564" s="20" t="s">
        <v>876</v>
      </c>
      <c r="B564" s="47">
        <v>46269</v>
      </c>
      <c r="C564" t="s">
        <v>122</v>
      </c>
      <c r="D564" t="s">
        <v>123</v>
      </c>
      <c r="E564" t="s">
        <v>34</v>
      </c>
      <c r="F564" t="s">
        <v>35</v>
      </c>
      <c r="G564" t="s">
        <v>117</v>
      </c>
      <c r="H564" s="20" t="s">
        <v>203</v>
      </c>
      <c r="I564" t="s">
        <v>65</v>
      </c>
      <c r="J564" s="30">
        <v>330</v>
      </c>
      <c r="K564" s="22">
        <f>IF(I564="","",IF(I564="ENTRADA",ABS(J564),-ABS(J564)))</f>
        <v>-330</v>
      </c>
      <c r="L564" t="s">
        <v>37</v>
      </c>
      <c r="N564">
        <v>65197</v>
      </c>
      <c r="O564" t="s">
        <v>213</v>
      </c>
      <c r="P564">
        <v>1922</v>
      </c>
      <c r="Q564" s="47">
        <v>46279</v>
      </c>
      <c r="R564" s="22" t="str">
        <f>IF(H564="","",H564&amp;I564)</f>
        <v>260410-027SALIDA</v>
      </c>
      <c r="S564" s="22" t="str">
        <f>IF(C564="","",C564&amp;I564)</f>
        <v>PardoSALIDA</v>
      </c>
      <c r="T564" t="str">
        <f>IF(OR(C564="",I564&lt;&gt;"ENTRADA"),"",TEXT(B564,"AAMMDD")&amp;"-"&amp;TEXT(VALUE(SUBSTITUTE(A564,"MOV-","")),"000"))</f>
        <v/>
      </c>
    </row>
    <row r="565" spans="1:20">
      <c r="A565" s="20" t="s">
        <v>877</v>
      </c>
      <c r="B565" s="47">
        <v>46269</v>
      </c>
      <c r="C565" t="s">
        <v>137</v>
      </c>
      <c r="D565" t="s">
        <v>138</v>
      </c>
      <c r="E565" t="s">
        <v>132</v>
      </c>
      <c r="G565" t="s">
        <v>133</v>
      </c>
      <c r="H565" s="20" t="s">
        <v>793</v>
      </c>
      <c r="I565" t="s">
        <v>65</v>
      </c>
      <c r="J565" s="30">
        <v>15</v>
      </c>
      <c r="K565" s="22">
        <f>IF(I565="","",IF(I565="ENTRADA",ABS(J565),-ABS(J565)))</f>
        <v>-15</v>
      </c>
      <c r="L565" t="s">
        <v>37</v>
      </c>
      <c r="N565">
        <v>65197</v>
      </c>
      <c r="O565" t="s">
        <v>213</v>
      </c>
      <c r="P565">
        <v>1922</v>
      </c>
      <c r="Q565" s="47">
        <v>46279</v>
      </c>
      <c r="R565" s="22" t="str">
        <f>IF(H565="","",H565&amp;I565)</f>
        <v>260827-472SALIDA</v>
      </c>
      <c r="S565" s="22" t="str">
        <f>IF(C565="","",C565&amp;I565)</f>
        <v>Full controlSALIDA</v>
      </c>
      <c r="T565" t="str">
        <f>IF(OR(C565="",I565&lt;&gt;"ENTRADA"),"",TEXT(B565,"AAMMDD")&amp;"-"&amp;TEXT(VALUE(SUBSTITUTE(A565,"MOV-","")),"000"))</f>
        <v/>
      </c>
    </row>
    <row r="566" spans="1:20">
      <c r="A566" s="20" t="s">
        <v>878</v>
      </c>
      <c r="B566" s="47">
        <v>46273</v>
      </c>
      <c r="C566" t="s">
        <v>782</v>
      </c>
      <c r="D566" t="s">
        <v>783</v>
      </c>
      <c r="E566" t="s">
        <v>34</v>
      </c>
      <c r="F566" t="s">
        <v>46</v>
      </c>
      <c r="G566" t="s">
        <v>27</v>
      </c>
      <c r="H566" s="20" t="s">
        <v>797</v>
      </c>
      <c r="I566" t="s">
        <v>65</v>
      </c>
      <c r="J566" s="30">
        <v>140</v>
      </c>
      <c r="K566" s="22">
        <f>IF(I566="","",IF(I566="ENTRADA",ABS(J566),-ABS(J566)))</f>
        <v>-140</v>
      </c>
      <c r="L566" t="s">
        <v>29</v>
      </c>
      <c r="N566">
        <v>65198</v>
      </c>
      <c r="O566" t="s">
        <v>66</v>
      </c>
      <c r="P566">
        <v>1923</v>
      </c>
      <c r="Q566" s="47">
        <v>46279</v>
      </c>
      <c r="R566" s="22" t="str">
        <f>IF(H566="","",H566&amp;I566)</f>
        <v>260801-489SALIDA</v>
      </c>
      <c r="S566" s="22" t="str">
        <f>IF(C566="","",C566&amp;I566)</f>
        <v>PyroxateSALIDA</v>
      </c>
      <c r="T566" t="str">
        <f>IF(OR(C566="",I566&lt;&gt;"ENTRADA"),"",TEXT(B566,"AAMMDD")&amp;"-"&amp;TEXT(VALUE(SUBSTITUTE(A566,"MOV-","")),"000"))</f>
        <v/>
      </c>
    </row>
    <row r="567" spans="1:20">
      <c r="A567" s="20" t="s">
        <v>879</v>
      </c>
      <c r="B567" s="47">
        <v>46273</v>
      </c>
      <c r="C567" t="s">
        <v>115</v>
      </c>
      <c r="D567" t="s">
        <v>116</v>
      </c>
      <c r="E567" t="s">
        <v>34</v>
      </c>
      <c r="F567" t="s">
        <v>35</v>
      </c>
      <c r="G567" t="s">
        <v>117</v>
      </c>
      <c r="H567" s="20" t="s">
        <v>668</v>
      </c>
      <c r="I567" t="s">
        <v>65</v>
      </c>
      <c r="J567" s="30">
        <v>2500</v>
      </c>
      <c r="K567" s="22">
        <f>IF(I567="","",IF(I567="ENTRADA",ABS(J567),-ABS(J567)))</f>
        <v>-2500</v>
      </c>
      <c r="L567" t="s">
        <v>37</v>
      </c>
      <c r="N567">
        <v>65198</v>
      </c>
      <c r="O567" t="s">
        <v>66</v>
      </c>
      <c r="P567">
        <v>1923</v>
      </c>
      <c r="Q567" s="47">
        <v>46279</v>
      </c>
      <c r="R567" s="22" t="str">
        <f>IF(H567="","",H567&amp;I567)</f>
        <v>260727-381SALIDA</v>
      </c>
      <c r="S567" s="22" t="str">
        <f>IF(C567="","",C567&amp;I567)</f>
        <v>AzukaSALIDA</v>
      </c>
      <c r="T567" t="str">
        <f>IF(OR(C567="",I567&lt;&gt;"ENTRADA"),"",TEXT(B567,"AAMMDD")&amp;"-"&amp;TEXT(VALUE(SUBSTITUTE(A567,"MOV-","")),"000"))</f>
        <v/>
      </c>
    </row>
    <row r="568" spans="1:20">
      <c r="A568" s="20" t="s">
        <v>880</v>
      </c>
      <c r="B568" s="47">
        <v>46273</v>
      </c>
      <c r="C568" t="s">
        <v>75</v>
      </c>
      <c r="D568" t="s">
        <v>76</v>
      </c>
      <c r="E568" t="s">
        <v>34</v>
      </c>
      <c r="F568" t="s">
        <v>35</v>
      </c>
      <c r="G568" t="s">
        <v>77</v>
      </c>
      <c r="H568" s="20" t="s">
        <v>94</v>
      </c>
      <c r="I568" t="s">
        <v>65</v>
      </c>
      <c r="J568" s="30">
        <v>1000</v>
      </c>
      <c r="K568" s="22">
        <f>IF(I568="","",IF(I568="ENTRADA",ABS(J568),-ABS(J568)))</f>
        <v>-1000</v>
      </c>
      <c r="L568" t="s">
        <v>37</v>
      </c>
      <c r="N568">
        <v>65198</v>
      </c>
      <c r="O568" t="s">
        <v>66</v>
      </c>
      <c r="P568">
        <v>1923</v>
      </c>
      <c r="Q568" s="47">
        <v>46279</v>
      </c>
      <c r="R568" s="22" t="str">
        <f>IF(H568="","",H568&amp;I568)</f>
        <v>260407-012SALIDA</v>
      </c>
      <c r="S568" s="22" t="str">
        <f>IF(C568="","",C568&amp;I568)</f>
        <v>Dedalo eliteSALIDA</v>
      </c>
      <c r="T568" t="str">
        <f>IF(OR(C568="",I568&lt;&gt;"ENTRADA"),"",TEXT(B568,"AAMMDD")&amp;"-"&amp;TEXT(VALUE(SUBSTITUTE(A568,"MOV-","")),"000"))</f>
        <v/>
      </c>
    </row>
    <row r="569" spans="1:20">
      <c r="A569" s="20" t="s">
        <v>881</v>
      </c>
      <c r="B569" s="47">
        <v>46273</v>
      </c>
      <c r="C569" t="s">
        <v>137</v>
      </c>
      <c r="D569" t="s">
        <v>138</v>
      </c>
      <c r="E569" t="s">
        <v>132</v>
      </c>
      <c r="G569" t="s">
        <v>133</v>
      </c>
      <c r="H569" s="20" t="s">
        <v>793</v>
      </c>
      <c r="I569" t="s">
        <v>65</v>
      </c>
      <c r="J569" s="30">
        <v>60</v>
      </c>
      <c r="K569" s="22">
        <f>IF(I569="","",IF(I569="ENTRADA",ABS(J569),-ABS(J569)))</f>
        <v>-60</v>
      </c>
      <c r="L569" t="s">
        <v>37</v>
      </c>
      <c r="N569">
        <v>65198</v>
      </c>
      <c r="O569" t="s">
        <v>66</v>
      </c>
      <c r="P569">
        <v>1923</v>
      </c>
      <c r="Q569" s="47">
        <v>46279</v>
      </c>
      <c r="R569" s="22" t="str">
        <f>IF(H569="","",H569&amp;I569)</f>
        <v>260827-472SALIDA</v>
      </c>
      <c r="S569" s="22" t="str">
        <f>IF(C569="","",C569&amp;I569)</f>
        <v>Full controlSALIDA</v>
      </c>
      <c r="T569" t="str">
        <f>IF(OR(C569="",I569&lt;&gt;"ENTRADA"),"",TEXT(B569,"AAMMDD")&amp;"-"&amp;TEXT(VALUE(SUBSTITUTE(A569,"MOV-","")),"000"))</f>
        <v/>
      </c>
    </row>
    <row r="570" spans="1:20">
      <c r="A570" s="20" t="s">
        <v>882</v>
      </c>
      <c r="B570" s="47">
        <v>46273</v>
      </c>
      <c r="C570" t="s">
        <v>656</v>
      </c>
      <c r="D570" t="s">
        <v>657</v>
      </c>
      <c r="E570" t="s">
        <v>132</v>
      </c>
      <c r="G570" t="s">
        <v>133</v>
      </c>
      <c r="H570" s="20" t="s">
        <v>659</v>
      </c>
      <c r="I570" t="s">
        <v>65</v>
      </c>
      <c r="J570" s="30">
        <v>60</v>
      </c>
      <c r="K570" s="22">
        <f>IF(I570="","",IF(I570="ENTRADA",ABS(J570),-ABS(J570)))</f>
        <v>-60</v>
      </c>
      <c r="L570" t="s">
        <v>37</v>
      </c>
      <c r="N570">
        <v>65198</v>
      </c>
      <c r="O570" t="s">
        <v>66</v>
      </c>
      <c r="P570">
        <v>1923</v>
      </c>
      <c r="Q570" s="47">
        <v>46279</v>
      </c>
      <c r="R570" s="22" t="str">
        <f>IF(H570="","",H570&amp;I570)</f>
        <v>260729-393SALIDA</v>
      </c>
      <c r="S570" s="22" t="str">
        <f>IF(C570="","",C570&amp;I570)</f>
        <v>Harrier Drone SALIDA</v>
      </c>
      <c r="T570" t="str">
        <f>IF(OR(C570="",I570&lt;&gt;"ENTRADA"),"",TEXT(B570,"AAMMDD")&amp;"-"&amp;TEXT(VALUE(SUBSTITUTE(A570,"MOV-","")),"000"))</f>
        <v/>
      </c>
    </row>
    <row r="571" spans="1:20">
      <c r="A571" s="20" t="s">
        <v>883</v>
      </c>
      <c r="B571" s="47">
        <v>46273</v>
      </c>
      <c r="C571" t="s">
        <v>130</v>
      </c>
      <c r="D571" t="s">
        <v>131</v>
      </c>
      <c r="E571" t="s">
        <v>132</v>
      </c>
      <c r="G571" t="s">
        <v>133</v>
      </c>
      <c r="H571" s="20" t="s">
        <v>221</v>
      </c>
      <c r="I571" t="s">
        <v>65</v>
      </c>
      <c r="J571" s="30">
        <v>60</v>
      </c>
      <c r="K571" s="22">
        <f>IF(I571="","",IF(I571="ENTRADA",ABS(J571),-ABS(J571)))</f>
        <v>-60</v>
      </c>
      <c r="L571" t="s">
        <v>37</v>
      </c>
      <c r="N571">
        <v>65198</v>
      </c>
      <c r="O571" t="s">
        <v>66</v>
      </c>
      <c r="P571">
        <v>1923</v>
      </c>
      <c r="Q571" s="47">
        <v>46279</v>
      </c>
      <c r="R571" s="22" t="str">
        <f>IF(H571="","",H571&amp;I571)</f>
        <v>260414-029SALIDA</v>
      </c>
      <c r="S571" s="22" t="str">
        <f>IF(C571="","",C571&amp;I571)</f>
        <v>HarrierSALIDA</v>
      </c>
      <c r="T571" t="str">
        <f>IF(OR(C571="",I571&lt;&gt;"ENTRADA"),"",TEXT(B571,"AAMMDD")&amp;"-"&amp;TEXT(VALUE(SUBSTITUTE(A571,"MOV-","")),"000"))</f>
        <v/>
      </c>
    </row>
    <row r="572" spans="1:20">
      <c r="A572" s="20" t="s">
        <v>884</v>
      </c>
      <c r="B572" s="47">
        <v>46273</v>
      </c>
      <c r="C572" t="s">
        <v>775</v>
      </c>
      <c r="D572" t="s">
        <v>776</v>
      </c>
      <c r="E572" t="s">
        <v>34</v>
      </c>
      <c r="F572" t="s">
        <v>46</v>
      </c>
      <c r="G572" t="s">
        <v>777</v>
      </c>
      <c r="H572" s="20" t="s">
        <v>854</v>
      </c>
      <c r="I572" t="s">
        <v>65</v>
      </c>
      <c r="J572" s="30">
        <v>60</v>
      </c>
      <c r="K572" s="22">
        <f>IF(I572="","",IF(I572="ENTRADA",ABS(J572),-ABS(J572)))</f>
        <v>-60</v>
      </c>
      <c r="L572" t="s">
        <v>37</v>
      </c>
      <c r="N572">
        <v>65198</v>
      </c>
      <c r="O572" t="s">
        <v>66</v>
      </c>
      <c r="P572">
        <v>1923</v>
      </c>
      <c r="Q572" s="47">
        <v>46279</v>
      </c>
      <c r="R572" s="22" t="str">
        <f>IF(H572="","",H572&amp;I572)</f>
        <v>260902-487SALIDA</v>
      </c>
      <c r="S572" s="22" t="str">
        <f>IF(C572="","",C572&amp;I572)</f>
        <v>Acuron unoSALIDA</v>
      </c>
      <c r="T572" t="str">
        <f>IF(OR(C572="",I572&lt;&gt;"ENTRADA"),"",TEXT(B572,"AAMMDD")&amp;"-"&amp;TEXT(VALUE(SUBSTITUTE(A572,"MOV-","")),"000"))</f>
        <v/>
      </c>
    </row>
    <row r="573" spans="1:20">
      <c r="A573" s="20" t="s">
        <v>885</v>
      </c>
      <c r="B573" s="47">
        <v>46272</v>
      </c>
      <c r="C573" s="34" t="s">
        <v>634</v>
      </c>
      <c r="D573" s="34" t="s">
        <v>630</v>
      </c>
      <c r="E573" s="34" t="s">
        <v>25</v>
      </c>
      <c r="F573" s="34" t="s">
        <v>631</v>
      </c>
      <c r="G573" s="34" t="s">
        <v>158</v>
      </c>
      <c r="H573" s="20" t="s">
        <v>824</v>
      </c>
      <c r="I573" s="34" t="s">
        <v>65</v>
      </c>
      <c r="J573" s="36">
        <v>12</v>
      </c>
      <c r="K573" s="22">
        <f>IF(I573="","",IF(I573="ENTRADA",ABS(J573),-ABS(J573)))</f>
        <v>-12</v>
      </c>
      <c r="L573" s="34" t="s">
        <v>632</v>
      </c>
      <c r="M573" s="34"/>
      <c r="N573">
        <v>65199</v>
      </c>
      <c r="O573" s="34" t="s">
        <v>382</v>
      </c>
      <c r="P573">
        <v>1924</v>
      </c>
      <c r="Q573" s="47">
        <v>46279</v>
      </c>
      <c r="R573" s="22" t="str">
        <f>IF(H573="","",H573&amp;I573)</f>
        <v>260617-374SALIDA</v>
      </c>
      <c r="S573" s="22" t="str">
        <f>IF(C573="","",C573&amp;I573)</f>
        <v>semilla maiz DK 72-10 RR2C5 refugioSALIDA</v>
      </c>
      <c r="T573" t="str">
        <f>IF(OR(C573="",I573&lt;&gt;"ENTRADA"),"",TEXT(B573,"AAMMDD")&amp;"-"&amp;TEXT(VALUE(SUBSTITUTE(A573,"MOV-","")),"000"))</f>
        <v/>
      </c>
    </row>
    <row r="574" spans="1:20">
      <c r="A574" s="20" t="s">
        <v>886</v>
      </c>
      <c r="B574" s="47">
        <v>46273</v>
      </c>
      <c r="C574" t="s">
        <v>137</v>
      </c>
      <c r="D574" t="s">
        <v>138</v>
      </c>
      <c r="E574" t="s">
        <v>132</v>
      </c>
      <c r="G574" t="s">
        <v>133</v>
      </c>
      <c r="H574" s="20" t="s">
        <v>793</v>
      </c>
      <c r="I574" t="s">
        <v>65</v>
      </c>
      <c r="J574" s="30">
        <v>8</v>
      </c>
      <c r="K574" s="22">
        <f>IF(I574="","",IF(I574="ENTRADA",ABS(J574),-ABS(J574)))</f>
        <v>-8</v>
      </c>
      <c r="L574" t="s">
        <v>37</v>
      </c>
      <c r="N574">
        <v>65200</v>
      </c>
      <c r="O574" t="s">
        <v>218</v>
      </c>
      <c r="P574">
        <v>1925</v>
      </c>
      <c r="Q574" s="47">
        <v>46279</v>
      </c>
      <c r="R574" s="22" t="str">
        <f>IF(H574="","",H574&amp;I574)</f>
        <v>260827-472SALIDA</v>
      </c>
      <c r="S574" s="22" t="str">
        <f>IF(C574="","",C574&amp;I574)</f>
        <v>Full controlSALIDA</v>
      </c>
      <c r="T574" t="str">
        <f>IF(OR(C574="",I574&lt;&gt;"ENTRADA"),"",TEXT(B574,"AAMMDD")&amp;"-"&amp;TEXT(VALUE(SUBSTITUTE(A574,"MOV-","")),"000"))</f>
        <v/>
      </c>
    </row>
    <row r="575" spans="1:20">
      <c r="A575" s="20" t="s">
        <v>887</v>
      </c>
      <c r="B575" s="47">
        <v>46273</v>
      </c>
      <c r="C575" t="s">
        <v>514</v>
      </c>
      <c r="D575" t="s">
        <v>515</v>
      </c>
      <c r="E575" t="s">
        <v>516</v>
      </c>
      <c r="G575" t="s">
        <v>117</v>
      </c>
      <c r="H575" s="20" t="s">
        <v>664</v>
      </c>
      <c r="I575" t="s">
        <v>65</v>
      </c>
      <c r="J575" s="30">
        <v>200</v>
      </c>
      <c r="K575" s="22">
        <f>IF(I575="","",IF(I575="ENTRADA",ABS(J575),-ABS(J575)))</f>
        <v>-200</v>
      </c>
      <c r="L575" t="s">
        <v>37</v>
      </c>
      <c r="N575">
        <v>65200</v>
      </c>
      <c r="O575" t="s">
        <v>218</v>
      </c>
      <c r="P575">
        <v>1925</v>
      </c>
      <c r="Q575" s="47">
        <v>46279</v>
      </c>
      <c r="R575" s="22" t="str">
        <f>IF(H575="","",H575&amp;I575)</f>
        <v>260730-396SALIDA</v>
      </c>
      <c r="S575" s="22" t="str">
        <f>IF(C575="","",C575&amp;I575)</f>
        <v>Unico MaxSALIDA</v>
      </c>
      <c r="T575" t="str">
        <f>IF(OR(C575="",I575&lt;&gt;"ENTRADA"),"",TEXT(B575,"AAMMDD")&amp;"-"&amp;TEXT(VALUE(SUBSTITUTE(A575,"MOV-","")),"000"))</f>
        <v/>
      </c>
    </row>
    <row r="576" spans="1:20">
      <c r="A576" s="20" t="s">
        <v>888</v>
      </c>
      <c r="B576" s="47">
        <v>46273</v>
      </c>
      <c r="C576" t="s">
        <v>130</v>
      </c>
      <c r="D576" t="s">
        <v>131</v>
      </c>
      <c r="E576" t="s">
        <v>132</v>
      </c>
      <c r="G576" t="s">
        <v>133</v>
      </c>
      <c r="H576" s="20" t="s">
        <v>221</v>
      </c>
      <c r="I576" t="s">
        <v>65</v>
      </c>
      <c r="J576" s="30">
        <v>40</v>
      </c>
      <c r="K576" s="22">
        <f>IF(I576="","",IF(I576="ENTRADA",ABS(J576),-ABS(J576)))</f>
        <v>-40</v>
      </c>
      <c r="L576" t="s">
        <v>37</v>
      </c>
      <c r="N576">
        <v>65200</v>
      </c>
      <c r="O576" t="s">
        <v>218</v>
      </c>
      <c r="P576">
        <v>1925</v>
      </c>
      <c r="Q576" s="47">
        <v>46279</v>
      </c>
      <c r="R576" s="22" t="str">
        <f>IF(H576="","",H576&amp;I576)</f>
        <v>260414-029SALIDA</v>
      </c>
      <c r="S576" s="22" t="str">
        <f>IF(C576="","",C576&amp;I576)</f>
        <v>HarrierSALIDA</v>
      </c>
      <c r="T576" t="str">
        <f>IF(OR(C576="",I576&lt;&gt;"ENTRADA"),"",TEXT(B576,"AAMMDD")&amp;"-"&amp;TEXT(VALUE(SUBSTITUTE(A576,"MOV-","")),"000"))</f>
        <v/>
      </c>
    </row>
    <row r="577" spans="1:20">
      <c r="A577" s="20" t="s">
        <v>889</v>
      </c>
      <c r="B577" s="47">
        <v>46273</v>
      </c>
      <c r="C577" t="s">
        <v>130</v>
      </c>
      <c r="D577" t="s">
        <v>131</v>
      </c>
      <c r="E577" t="s">
        <v>132</v>
      </c>
      <c r="G577" t="s">
        <v>133</v>
      </c>
      <c r="H577" s="20" t="s">
        <v>221</v>
      </c>
      <c r="I577" t="s">
        <v>65</v>
      </c>
      <c r="J577" s="30">
        <v>80</v>
      </c>
      <c r="K577" s="22">
        <f>IF(I577="","",IF(I577="ENTRADA",ABS(J577),-ABS(J577)))</f>
        <v>-80</v>
      </c>
      <c r="L577" t="s">
        <v>37</v>
      </c>
      <c r="N577">
        <v>65201</v>
      </c>
      <c r="O577" t="s">
        <v>382</v>
      </c>
      <c r="P577">
        <v>1926</v>
      </c>
      <c r="Q577" s="47">
        <v>46279</v>
      </c>
      <c r="R577" s="22" t="str">
        <f>IF(H577="","",H577&amp;I577)</f>
        <v>260414-029SALIDA</v>
      </c>
      <c r="S577" s="22" t="str">
        <f>IF(C577="","",C577&amp;I577)</f>
        <v>HarrierSALIDA</v>
      </c>
      <c r="T577" t="str">
        <f>IF(OR(C577="",I577&lt;&gt;"ENTRADA"),"",TEXT(B577,"AAMMDD")&amp;"-"&amp;TEXT(VALUE(SUBSTITUTE(A577,"MOV-","")),"000"))</f>
        <v/>
      </c>
    </row>
    <row r="578" spans="1:20">
      <c r="A578" s="20" t="s">
        <v>890</v>
      </c>
      <c r="B578" s="47">
        <v>46273</v>
      </c>
      <c r="C578" t="s">
        <v>137</v>
      </c>
      <c r="D578" t="s">
        <v>138</v>
      </c>
      <c r="E578" t="s">
        <v>132</v>
      </c>
      <c r="G578" t="s">
        <v>133</v>
      </c>
      <c r="H578" s="20" t="s">
        <v>211</v>
      </c>
      <c r="I578" t="s">
        <v>65</v>
      </c>
      <c r="J578" s="30">
        <v>15</v>
      </c>
      <c r="K578" s="22">
        <f>IF(I578="","",IF(I578="ENTRADA",ABS(J578),-ABS(J578)))</f>
        <v>-15</v>
      </c>
      <c r="L578" t="s">
        <v>37</v>
      </c>
      <c r="N578">
        <v>65201</v>
      </c>
      <c r="O578" t="s">
        <v>382</v>
      </c>
      <c r="P578">
        <v>1926</v>
      </c>
      <c r="Q578" s="47">
        <v>46279</v>
      </c>
      <c r="R578" s="22" t="str">
        <f>IF(H578="","",H578&amp;I578)</f>
        <v>260414-030SALIDA</v>
      </c>
      <c r="S578" s="22" t="str">
        <f>IF(C578="","",C578&amp;I578)</f>
        <v>Full controlSALIDA</v>
      </c>
      <c r="T578" t="str">
        <f>IF(OR(C578="",I578&lt;&gt;"ENTRADA"),"",TEXT(B578,"AAMMDD")&amp;"-"&amp;TEXT(VALUE(SUBSTITUTE(A578,"MOV-","")),"000"))</f>
        <v/>
      </c>
    </row>
    <row r="579" spans="1:20">
      <c r="A579" s="20" t="s">
        <v>891</v>
      </c>
      <c r="B579" s="47">
        <v>46273</v>
      </c>
      <c r="C579" t="s">
        <v>115</v>
      </c>
      <c r="D579" t="s">
        <v>116</v>
      </c>
      <c r="E579" t="s">
        <v>34</v>
      </c>
      <c r="F579" t="s">
        <v>35</v>
      </c>
      <c r="G579" t="s">
        <v>117</v>
      </c>
      <c r="H579" s="20" t="s">
        <v>668</v>
      </c>
      <c r="I579" t="s">
        <v>65</v>
      </c>
      <c r="J579" s="30">
        <v>2200</v>
      </c>
      <c r="K579" s="22">
        <f>IF(I579="","",IF(I579="ENTRADA",ABS(J579),-ABS(J579)))</f>
        <v>-2200</v>
      </c>
      <c r="L579" t="s">
        <v>37</v>
      </c>
      <c r="N579">
        <v>65201</v>
      </c>
      <c r="O579" t="s">
        <v>382</v>
      </c>
      <c r="P579">
        <v>1926</v>
      </c>
      <c r="Q579" s="47">
        <v>46279</v>
      </c>
      <c r="R579" s="22" t="str">
        <f>IF(H579="","",H579&amp;I579)</f>
        <v>260727-381SALIDA</v>
      </c>
      <c r="S579" s="22" t="str">
        <f>IF(C579="","",C579&amp;I579)</f>
        <v>AzukaSALIDA</v>
      </c>
      <c r="T579" t="str">
        <f>IF(OR(C579="",I579&lt;&gt;"ENTRADA"),"",TEXT(B579,"AAMMDD")&amp;"-"&amp;TEXT(VALUE(SUBSTITUTE(A579,"MOV-","")),"000"))</f>
        <v/>
      </c>
    </row>
    <row r="580" spans="1:20">
      <c r="A580" s="20" t="s">
        <v>892</v>
      </c>
      <c r="B580" s="47">
        <v>46273</v>
      </c>
      <c r="C580" t="s">
        <v>122</v>
      </c>
      <c r="D580" t="s">
        <v>123</v>
      </c>
      <c r="E580" t="s">
        <v>34</v>
      </c>
      <c r="F580" t="s">
        <v>35</v>
      </c>
      <c r="G580" t="s">
        <v>117</v>
      </c>
      <c r="H580" s="20" t="s">
        <v>203</v>
      </c>
      <c r="I580" t="s">
        <v>65</v>
      </c>
      <c r="J580" s="30">
        <v>640</v>
      </c>
      <c r="K580" s="22">
        <f>IF(I580="","",IF(I580="ENTRADA",ABS(J580),-ABS(J580)))</f>
        <v>-640</v>
      </c>
      <c r="L580" t="s">
        <v>37</v>
      </c>
      <c r="N580">
        <v>65201</v>
      </c>
      <c r="O580" t="s">
        <v>382</v>
      </c>
      <c r="P580">
        <v>1926</v>
      </c>
      <c r="Q580" s="47">
        <v>46279</v>
      </c>
      <c r="R580" s="22" t="str">
        <f>IF(H580="","",H580&amp;I580)</f>
        <v>260410-027SALIDA</v>
      </c>
      <c r="S580" s="22" t="str">
        <f>IF(C580="","",C580&amp;I580)</f>
        <v>PardoSALIDA</v>
      </c>
      <c r="T580" t="str">
        <f>IF(OR(C580="",I580&lt;&gt;"ENTRADA"),"",TEXT(B580,"AAMMDD")&amp;"-"&amp;TEXT(VALUE(SUBSTITUTE(A580,"MOV-","")),"000"))</f>
        <v/>
      </c>
    </row>
    <row r="581" spans="1:20">
      <c r="A581" s="20" t="s">
        <v>893</v>
      </c>
      <c r="B581" s="47">
        <v>46273</v>
      </c>
      <c r="C581" t="s">
        <v>90</v>
      </c>
      <c r="D581" t="s">
        <v>91</v>
      </c>
      <c r="E581" t="s">
        <v>34</v>
      </c>
      <c r="F581" t="s">
        <v>35</v>
      </c>
      <c r="G581" t="s">
        <v>36</v>
      </c>
      <c r="H581" s="20" t="s">
        <v>375</v>
      </c>
      <c r="I581" t="s">
        <v>65</v>
      </c>
      <c r="J581" s="30">
        <v>100</v>
      </c>
      <c r="K581" s="22">
        <f>IF(I581="","",IF(I581="ENTRADA",ABS(J581),-ABS(J581)))</f>
        <v>-100</v>
      </c>
      <c r="L581" t="s">
        <v>37</v>
      </c>
      <c r="N581">
        <v>65201</v>
      </c>
      <c r="O581" t="s">
        <v>382</v>
      </c>
      <c r="P581">
        <v>1926</v>
      </c>
      <c r="Q581" s="47">
        <v>46279</v>
      </c>
      <c r="R581" s="22" t="str">
        <f>IF(H581="","",H581&amp;I581)</f>
        <v>260405-132SALIDA</v>
      </c>
      <c r="S581" s="22" t="str">
        <f>IF(C581="","",C581&amp;I581)</f>
        <v>PixxaroSALIDA</v>
      </c>
      <c r="T581" t="str">
        <f>IF(OR(C581="",I581&lt;&gt;"ENTRADA"),"",TEXT(B581,"AAMMDD")&amp;"-"&amp;TEXT(VALUE(SUBSTITUTE(A581,"MOV-","")),"000"))</f>
        <v/>
      </c>
    </row>
    <row r="582" spans="1:20">
      <c r="A582" s="20" t="s">
        <v>894</v>
      </c>
      <c r="B582" s="47">
        <v>46273</v>
      </c>
      <c r="C582" t="s">
        <v>750</v>
      </c>
      <c r="D582" t="s">
        <v>751</v>
      </c>
      <c r="E582" t="s">
        <v>34</v>
      </c>
      <c r="G582" t="s">
        <v>301</v>
      </c>
      <c r="H582" s="20" t="s">
        <v>753</v>
      </c>
      <c r="I582" t="s">
        <v>65</v>
      </c>
      <c r="J582" s="30">
        <v>60</v>
      </c>
      <c r="K582" s="22">
        <f>IF(I582="","",IF(I582="ENTRADA",ABS(J582),-ABS(J582)))</f>
        <v>-60</v>
      </c>
      <c r="L582" t="s">
        <v>37</v>
      </c>
      <c r="N582">
        <v>65201</v>
      </c>
      <c r="O582" t="s">
        <v>382</v>
      </c>
      <c r="P582">
        <v>1926</v>
      </c>
      <c r="Q582" s="47">
        <v>46279</v>
      </c>
      <c r="R582" s="22" t="str">
        <f>IF(H582="","",H582&amp;I582)</f>
        <v>260813-476SALIDA</v>
      </c>
      <c r="S582" s="22" t="str">
        <f>IF(C582="","",C582&amp;I582)</f>
        <v>Fluroxipir Forte 480SALIDA</v>
      </c>
      <c r="T582" t="str">
        <f>IF(OR(C582="",I582&lt;&gt;"ENTRADA"),"",TEXT(B582,"AAMMDD")&amp;"-"&amp;TEXT(VALUE(SUBSTITUTE(A582,"MOV-","")),"000"))</f>
        <v/>
      </c>
    </row>
    <row r="583" spans="1:20">
      <c r="A583" s="20" t="s">
        <v>895</v>
      </c>
      <c r="B583" s="47">
        <v>46273</v>
      </c>
      <c r="C583" t="s">
        <v>115</v>
      </c>
      <c r="D583" t="s">
        <v>116</v>
      </c>
      <c r="E583" t="s">
        <v>34</v>
      </c>
      <c r="F583" t="s">
        <v>35</v>
      </c>
      <c r="G583" t="s">
        <v>117</v>
      </c>
      <c r="H583" s="20" t="s">
        <v>668</v>
      </c>
      <c r="I583" t="s">
        <v>65</v>
      </c>
      <c r="J583" s="30">
        <v>8160</v>
      </c>
      <c r="K583" s="22">
        <f>IF(I583="","",IF(I583="ENTRADA",ABS(J583),-ABS(J583)))</f>
        <v>-8160</v>
      </c>
      <c r="L583" t="s">
        <v>37</v>
      </c>
      <c r="N583">
        <v>65202</v>
      </c>
      <c r="O583" t="s">
        <v>213</v>
      </c>
      <c r="P583">
        <v>1927</v>
      </c>
      <c r="Q583" s="47">
        <v>46279</v>
      </c>
      <c r="R583" s="22" t="str">
        <f>IF(H583="","",H583&amp;I583)</f>
        <v>260727-381SALIDA</v>
      </c>
      <c r="S583" s="22" t="str">
        <f>IF(C583="","",C583&amp;I583)</f>
        <v>AzukaSALIDA</v>
      </c>
      <c r="T583" t="str">
        <f>IF(OR(C583="",I583&lt;&gt;"ENTRADA"),"",TEXT(B583,"AAMMDD")&amp;"-"&amp;TEXT(VALUE(SUBSTITUTE(A583,"MOV-","")),"000"))</f>
        <v/>
      </c>
    </row>
    <row r="584" spans="1:20">
      <c r="A584" s="20" t="s">
        <v>896</v>
      </c>
      <c r="B584" s="47">
        <v>46273</v>
      </c>
      <c r="C584" s="34" t="s">
        <v>122</v>
      </c>
      <c r="D584" s="34" t="s">
        <v>123</v>
      </c>
      <c r="E584" s="34" t="s">
        <v>34</v>
      </c>
      <c r="F584" s="34" t="s">
        <v>35</v>
      </c>
      <c r="G584" s="34" t="s">
        <v>117</v>
      </c>
      <c r="H584" s="20" t="s">
        <v>203</v>
      </c>
      <c r="I584" s="34" t="s">
        <v>65</v>
      </c>
      <c r="J584" s="36">
        <v>2000</v>
      </c>
      <c r="K584" s="22">
        <f>IF(I584="","",IF(I584="ENTRADA",ABS(J584),-ABS(J584)))</f>
        <v>-2000</v>
      </c>
      <c r="L584" s="34" t="s">
        <v>37</v>
      </c>
      <c r="M584" s="34"/>
      <c r="N584">
        <v>65202</v>
      </c>
      <c r="O584" s="34" t="s">
        <v>213</v>
      </c>
      <c r="P584">
        <v>1927</v>
      </c>
      <c r="Q584" s="47">
        <v>46279</v>
      </c>
      <c r="R584" s="22" t="str">
        <f>IF(H584="","",H584&amp;I584)</f>
        <v>260410-027SALIDA</v>
      </c>
      <c r="S584" s="22" t="str">
        <f>IF(C584="","",C584&amp;I584)</f>
        <v>PardoSALIDA</v>
      </c>
      <c r="T584" t="str">
        <f>IF(OR(C584="",I584&lt;&gt;"ENTRADA"),"",TEXT(B584,"AAMMDD")&amp;"-"&amp;TEXT(VALUE(SUBSTITUTE(A584,"MOV-","")),"000"))</f>
        <v/>
      </c>
    </row>
    <row r="585" spans="1:20">
      <c r="A585" s="20" t="s">
        <v>897</v>
      </c>
      <c r="B585" s="47">
        <v>46273</v>
      </c>
      <c r="C585" t="s">
        <v>90</v>
      </c>
      <c r="D585" t="s">
        <v>91</v>
      </c>
      <c r="E585" t="s">
        <v>34</v>
      </c>
      <c r="F585" t="s">
        <v>35</v>
      </c>
      <c r="G585" t="s">
        <v>36</v>
      </c>
      <c r="H585" s="20" t="s">
        <v>375</v>
      </c>
      <c r="I585" t="s">
        <v>65</v>
      </c>
      <c r="J585" s="30">
        <v>200</v>
      </c>
      <c r="K585" s="22">
        <f>IF(I585="","",IF(I585="ENTRADA",ABS(J585),-ABS(J585)))</f>
        <v>-200</v>
      </c>
      <c r="L585" t="s">
        <v>37</v>
      </c>
      <c r="N585">
        <v>65202</v>
      </c>
      <c r="O585" t="s">
        <v>213</v>
      </c>
      <c r="P585">
        <v>1927</v>
      </c>
      <c r="Q585" s="47">
        <v>46279</v>
      </c>
      <c r="R585" s="22" t="str">
        <f>IF(H585="","",H585&amp;I585)</f>
        <v>260405-132SALIDA</v>
      </c>
      <c r="S585" s="22" t="str">
        <f>IF(C585="","",C585&amp;I585)</f>
        <v>PixxaroSALIDA</v>
      </c>
      <c r="T585" t="str">
        <f>IF(OR(C585="",I585&lt;&gt;"ENTRADA"),"",TEXT(B585,"AAMMDD")&amp;"-"&amp;TEXT(VALUE(SUBSTITUTE(A585,"MOV-","")),"000"))</f>
        <v/>
      </c>
    </row>
    <row r="586" spans="1:20">
      <c r="A586" s="20" t="s">
        <v>898</v>
      </c>
      <c r="B586" s="47">
        <v>46273</v>
      </c>
      <c r="C586" t="s">
        <v>115</v>
      </c>
      <c r="D586" t="s">
        <v>116</v>
      </c>
      <c r="E586" t="s">
        <v>34</v>
      </c>
      <c r="F586" t="s">
        <v>35</v>
      </c>
      <c r="G586" t="s">
        <v>117</v>
      </c>
      <c r="H586" s="20" t="s">
        <v>668</v>
      </c>
      <c r="I586" t="s">
        <v>65</v>
      </c>
      <c r="J586" s="30">
        <v>7500</v>
      </c>
      <c r="K586" s="22">
        <f>IF(I586="","",IF(I586="ENTRADA",ABS(J586),-ABS(J586)))</f>
        <v>-7500</v>
      </c>
      <c r="L586" t="s">
        <v>37</v>
      </c>
      <c r="N586">
        <v>65203</v>
      </c>
      <c r="O586" t="s">
        <v>237</v>
      </c>
      <c r="P586">
        <v>1929</v>
      </c>
      <c r="Q586" s="47">
        <v>46279</v>
      </c>
      <c r="R586" s="22" t="str">
        <f>IF(H586="","",H586&amp;I586)</f>
        <v>260727-381SALIDA</v>
      </c>
      <c r="S586" s="22" t="str">
        <f>IF(C586="","",C586&amp;I586)</f>
        <v>AzukaSALIDA</v>
      </c>
      <c r="T586" t="str">
        <f>IF(OR(C586="",I586&lt;&gt;"ENTRADA"),"",TEXT(B586,"AAMMDD")&amp;"-"&amp;TEXT(VALUE(SUBSTITUTE(A586,"MOV-","")),"000"))</f>
        <v/>
      </c>
    </row>
    <row r="587" spans="1:20">
      <c r="A587" s="20" t="s">
        <v>899</v>
      </c>
      <c r="B587" s="47">
        <v>46273</v>
      </c>
      <c r="C587" t="s">
        <v>122</v>
      </c>
      <c r="D587" t="s">
        <v>123</v>
      </c>
      <c r="E587" t="s">
        <v>34</v>
      </c>
      <c r="F587" t="s">
        <v>35</v>
      </c>
      <c r="G587" t="s">
        <v>117</v>
      </c>
      <c r="H587" s="20" t="s">
        <v>203</v>
      </c>
      <c r="I587" t="s">
        <v>65</v>
      </c>
      <c r="J587" s="30">
        <v>2000</v>
      </c>
      <c r="K587" s="22">
        <f>IF(I587="","",IF(I587="ENTRADA",ABS(J587),-ABS(J587)))</f>
        <v>-2000</v>
      </c>
      <c r="L587" t="s">
        <v>37</v>
      </c>
      <c r="N587">
        <v>65203</v>
      </c>
      <c r="O587" t="s">
        <v>237</v>
      </c>
      <c r="P587">
        <v>1929</v>
      </c>
      <c r="Q587" s="47">
        <v>46279</v>
      </c>
      <c r="R587" s="22" t="str">
        <f>IF(H587="","",H587&amp;I587)</f>
        <v>260410-027SALIDA</v>
      </c>
      <c r="S587" s="22" t="str">
        <f>IF(C587="","",C587&amp;I587)</f>
        <v>PardoSALIDA</v>
      </c>
      <c r="T587" t="str">
        <f>IF(OR(C587="",I587&lt;&gt;"ENTRADA"),"",TEXT(B587,"AAMMDD")&amp;"-"&amp;TEXT(VALUE(SUBSTITUTE(A587,"MOV-","")),"000"))</f>
        <v/>
      </c>
    </row>
    <row r="588" spans="1:20">
      <c r="A588" s="20" t="s">
        <v>900</v>
      </c>
      <c r="B588" s="47">
        <v>46273</v>
      </c>
      <c r="C588" t="s">
        <v>130</v>
      </c>
      <c r="D588" t="s">
        <v>131</v>
      </c>
      <c r="E588" t="s">
        <v>132</v>
      </c>
      <c r="G588" t="s">
        <v>133</v>
      </c>
      <c r="H588" s="20" t="s">
        <v>221</v>
      </c>
      <c r="I588" t="s">
        <v>65</v>
      </c>
      <c r="J588" s="30">
        <v>210</v>
      </c>
      <c r="K588" s="22">
        <f>IF(I588="","",IF(I588="ENTRADA",ABS(J588),-ABS(J588)))</f>
        <v>-210</v>
      </c>
      <c r="L588" t="s">
        <v>37</v>
      </c>
      <c r="N588">
        <v>65203</v>
      </c>
      <c r="O588" t="s">
        <v>237</v>
      </c>
      <c r="P588">
        <v>1929</v>
      </c>
      <c r="Q588" s="47">
        <v>46279</v>
      </c>
      <c r="R588" s="22" t="str">
        <f>IF(H588="","",H588&amp;I588)</f>
        <v>260414-029SALIDA</v>
      </c>
      <c r="S588" s="22" t="str">
        <f>IF(C588="","",C588&amp;I588)</f>
        <v>HarrierSALIDA</v>
      </c>
      <c r="T588" t="str">
        <f>IF(OR(C588="",I588&lt;&gt;"ENTRADA"),"",TEXT(B588,"AAMMDD")&amp;"-"&amp;TEXT(VALUE(SUBSTITUTE(A588,"MOV-","")),"000"))</f>
        <v/>
      </c>
    </row>
    <row r="589" spans="1:20">
      <c r="A589" s="20" t="s">
        <v>901</v>
      </c>
      <c r="B589" s="47">
        <v>46273</v>
      </c>
      <c r="C589" t="s">
        <v>137</v>
      </c>
      <c r="D589" t="s">
        <v>138</v>
      </c>
      <c r="E589" t="s">
        <v>132</v>
      </c>
      <c r="G589" t="s">
        <v>133</v>
      </c>
      <c r="H589" s="20" t="s">
        <v>211</v>
      </c>
      <c r="I589" t="s">
        <v>65</v>
      </c>
      <c r="J589" s="30">
        <v>45</v>
      </c>
      <c r="K589" s="22">
        <f>IF(I589="","",IF(I589="ENTRADA",ABS(J589),-ABS(J589)))</f>
        <v>-45</v>
      </c>
      <c r="L589" t="s">
        <v>37</v>
      </c>
      <c r="N589">
        <v>65203</v>
      </c>
      <c r="O589" t="s">
        <v>237</v>
      </c>
      <c r="P589">
        <v>1929</v>
      </c>
      <c r="Q589" s="47">
        <v>46279</v>
      </c>
      <c r="R589" s="22" t="str">
        <f>IF(H589="","",H589&amp;I589)</f>
        <v>260414-030SALIDA</v>
      </c>
      <c r="S589" s="22" t="str">
        <f>IF(C589="","",C589&amp;I589)</f>
        <v>Full controlSALIDA</v>
      </c>
      <c r="T589" t="str">
        <f>IF(OR(C589="",I589&lt;&gt;"ENTRADA"),"",TEXT(B589,"AAMMDD")&amp;"-"&amp;TEXT(VALUE(SUBSTITUTE(A589,"MOV-","")),"000"))</f>
        <v/>
      </c>
    </row>
    <row r="590" spans="1:20">
      <c r="A590" s="20" t="s">
        <v>902</v>
      </c>
      <c r="B590" s="47">
        <v>46273</v>
      </c>
      <c r="C590" t="s">
        <v>75</v>
      </c>
      <c r="D590" t="s">
        <v>76</v>
      </c>
      <c r="E590" t="s">
        <v>34</v>
      </c>
      <c r="F590" t="s">
        <v>35</v>
      </c>
      <c r="G590" t="s">
        <v>77</v>
      </c>
      <c r="H590" s="20" t="s">
        <v>94</v>
      </c>
      <c r="I590" t="s">
        <v>65</v>
      </c>
      <c r="J590" s="30">
        <v>780</v>
      </c>
      <c r="K590" s="22">
        <f>IF(I590="","",IF(I590="ENTRADA",ABS(J590),-ABS(J590)))</f>
        <v>-780</v>
      </c>
      <c r="L590" t="s">
        <v>37</v>
      </c>
      <c r="N590">
        <v>65203</v>
      </c>
      <c r="O590" t="s">
        <v>237</v>
      </c>
      <c r="P590">
        <v>1929</v>
      </c>
      <c r="Q590" s="47">
        <v>46279</v>
      </c>
      <c r="R590" s="22" t="str">
        <f>IF(H590="","",H590&amp;I590)</f>
        <v>260407-012SALIDA</v>
      </c>
      <c r="S590" s="22" t="str">
        <f>IF(C590="","",C590&amp;I590)</f>
        <v>Dedalo eliteSALIDA</v>
      </c>
      <c r="T590" t="str">
        <f>IF(OR(C590="",I590&lt;&gt;"ENTRADA"),"",TEXT(B590,"AAMMDD")&amp;"-"&amp;TEXT(VALUE(SUBSTITUTE(A590,"MOV-","")),"000"))</f>
        <v/>
      </c>
    </row>
    <row r="591" spans="1:20">
      <c r="A591" s="20" t="s">
        <v>903</v>
      </c>
      <c r="B591" s="47">
        <v>46273</v>
      </c>
      <c r="C591" t="s">
        <v>775</v>
      </c>
      <c r="D591" t="s">
        <v>776</v>
      </c>
      <c r="E591" t="s">
        <v>34</v>
      </c>
      <c r="F591" t="s">
        <v>46</v>
      </c>
      <c r="G591" t="s">
        <v>777</v>
      </c>
      <c r="H591" s="20" t="s">
        <v>854</v>
      </c>
      <c r="I591" t="s">
        <v>65</v>
      </c>
      <c r="J591" s="30">
        <v>190</v>
      </c>
      <c r="K591" s="22">
        <f>IF(I591="","",IF(I591="ENTRADA",ABS(J591),-ABS(J591)))</f>
        <v>-190</v>
      </c>
      <c r="L591" t="s">
        <v>37</v>
      </c>
      <c r="N591">
        <v>65203</v>
      </c>
      <c r="O591" t="s">
        <v>237</v>
      </c>
      <c r="P591">
        <v>1929</v>
      </c>
      <c r="Q591" s="47">
        <v>46279</v>
      </c>
      <c r="R591" s="22" t="str">
        <f>IF(H591="","",H591&amp;I591)</f>
        <v>260902-487SALIDA</v>
      </c>
      <c r="S591" s="22" t="str">
        <f>IF(C591="","",C591&amp;I591)</f>
        <v>Acuron unoSALIDA</v>
      </c>
      <c r="T591" t="str">
        <f>IF(OR(C591="",I591&lt;&gt;"ENTRADA"),"",TEXT(B591,"AAMMDD")&amp;"-"&amp;TEXT(VALUE(SUBSTITUTE(A591,"MOV-","")),"000"))</f>
        <v/>
      </c>
    </row>
    <row r="592" spans="1:20">
      <c r="A592" s="20" t="s">
        <v>904</v>
      </c>
      <c r="B592" s="47">
        <v>46274</v>
      </c>
      <c r="C592" t="s">
        <v>115</v>
      </c>
      <c r="D592" t="s">
        <v>116</v>
      </c>
      <c r="E592" t="s">
        <v>34</v>
      </c>
      <c r="F592" t="s">
        <v>35</v>
      </c>
      <c r="G592" t="s">
        <v>117</v>
      </c>
      <c r="H592" s="20" t="s">
        <v>120</v>
      </c>
      <c r="I592" t="s">
        <v>65</v>
      </c>
      <c r="J592" s="30">
        <v>460</v>
      </c>
      <c r="K592" s="22">
        <f>IF(I592="","",IF(I592="ENTRADA",ABS(J592),-ABS(J592)))</f>
        <v>-460</v>
      </c>
      <c r="L592" t="s">
        <v>37</v>
      </c>
      <c r="N592">
        <v>65204</v>
      </c>
      <c r="O592" t="s">
        <v>590</v>
      </c>
      <c r="P592">
        <v>1930</v>
      </c>
      <c r="Q592" s="47">
        <v>46279</v>
      </c>
      <c r="R592" s="22" t="str">
        <f>IF(H592="","",H592&amp;I592)</f>
        <v>260410-025SALIDA</v>
      </c>
      <c r="S592" s="22" t="str">
        <f>IF(C592="","",C592&amp;I592)</f>
        <v>AzukaSALIDA</v>
      </c>
      <c r="T592" t="str">
        <f>IF(OR(C592="",I592&lt;&gt;"ENTRADA"),"",TEXT(B592,"AAMMDD")&amp;"-"&amp;TEXT(VALUE(SUBSTITUTE(A592,"MOV-","")),"000"))</f>
        <v/>
      </c>
    </row>
    <row r="593" spans="1:20">
      <c r="A593" s="20" t="s">
        <v>905</v>
      </c>
      <c r="B593" s="47">
        <v>46274</v>
      </c>
      <c r="C593" t="s">
        <v>130</v>
      </c>
      <c r="D593" t="s">
        <v>131</v>
      </c>
      <c r="E593" t="s">
        <v>132</v>
      </c>
      <c r="G593" t="s">
        <v>133</v>
      </c>
      <c r="H593" s="20" t="s">
        <v>221</v>
      </c>
      <c r="I593" t="s">
        <v>65</v>
      </c>
      <c r="J593" s="30">
        <v>20</v>
      </c>
      <c r="K593" s="22">
        <f>IF(I593="","",IF(I593="ENTRADA",ABS(J593),-ABS(J593)))</f>
        <v>-20</v>
      </c>
      <c r="L593" t="s">
        <v>37</v>
      </c>
      <c r="N593">
        <v>65204</v>
      </c>
      <c r="O593" t="s">
        <v>590</v>
      </c>
      <c r="P593">
        <v>1930</v>
      </c>
      <c r="Q593" s="47">
        <v>46279</v>
      </c>
      <c r="R593" s="22" t="str">
        <f>IF(H593="","",H593&amp;I593)</f>
        <v>260414-029SALIDA</v>
      </c>
      <c r="S593" s="22" t="str">
        <f>IF(C593="","",C593&amp;I593)</f>
        <v>HarrierSALIDA</v>
      </c>
      <c r="T593" t="str">
        <f>IF(OR(C593="",I593&lt;&gt;"ENTRADA"),"",TEXT(B593,"AAMMDD")&amp;"-"&amp;TEXT(VALUE(SUBSTITUTE(A593,"MOV-","")),"000"))</f>
        <v/>
      </c>
    </row>
    <row r="594" spans="1:20">
      <c r="A594" s="20" t="s">
        <v>906</v>
      </c>
      <c r="B594" s="47">
        <v>46274</v>
      </c>
      <c r="C594" t="s">
        <v>775</v>
      </c>
      <c r="D594" t="s">
        <v>776</v>
      </c>
      <c r="E594" t="s">
        <v>34</v>
      </c>
      <c r="F594" t="s">
        <v>46</v>
      </c>
      <c r="G594" t="s">
        <v>777</v>
      </c>
      <c r="H594" s="20" t="s">
        <v>854</v>
      </c>
      <c r="I594" t="s">
        <v>65</v>
      </c>
      <c r="J594" s="30">
        <v>150</v>
      </c>
      <c r="K594" s="22">
        <f>IF(I594="","",IF(I594="ENTRADA",ABS(J594),-ABS(J594)))</f>
        <v>-150</v>
      </c>
      <c r="L594" t="s">
        <v>37</v>
      </c>
      <c r="N594">
        <v>65204</v>
      </c>
      <c r="O594" t="s">
        <v>590</v>
      </c>
      <c r="P594">
        <v>1930</v>
      </c>
      <c r="Q594" s="47">
        <v>46279</v>
      </c>
      <c r="R594" s="22" t="str">
        <f>IF(H594="","",H594&amp;I594)</f>
        <v>260902-487SALIDA</v>
      </c>
      <c r="S594" s="22" t="str">
        <f>IF(C594="","",C594&amp;I594)</f>
        <v>Acuron unoSALIDA</v>
      </c>
      <c r="T594" t="str">
        <f>IF(OR(C594="",I594&lt;&gt;"ENTRADA"),"",TEXT(B594,"AAMMDD")&amp;"-"&amp;TEXT(VALUE(SUBSTITUTE(A594,"MOV-","")),"000"))</f>
        <v/>
      </c>
    </row>
    <row r="595" spans="1:20">
      <c r="A595" s="20" t="s">
        <v>907</v>
      </c>
      <c r="B595" s="47">
        <v>46274</v>
      </c>
      <c r="C595" s="34" t="s">
        <v>137</v>
      </c>
      <c r="D595" s="34" t="s">
        <v>138</v>
      </c>
      <c r="E595" s="34" t="s">
        <v>132</v>
      </c>
      <c r="F595" s="34"/>
      <c r="G595" s="34" t="s">
        <v>133</v>
      </c>
      <c r="H595" s="20" t="s">
        <v>211</v>
      </c>
      <c r="I595" s="34" t="s">
        <v>65</v>
      </c>
      <c r="J595" s="36">
        <v>3</v>
      </c>
      <c r="K595" s="22">
        <f>IF(I595="","",IF(I595="ENTRADA",ABS(J595),-ABS(J595)))</f>
        <v>-3</v>
      </c>
      <c r="L595" s="34" t="s">
        <v>37</v>
      </c>
      <c r="M595" s="34"/>
      <c r="N595">
        <v>65204</v>
      </c>
      <c r="O595" t="s">
        <v>590</v>
      </c>
      <c r="P595">
        <v>1930</v>
      </c>
      <c r="Q595" s="47">
        <v>46279</v>
      </c>
      <c r="R595" s="22" t="str">
        <f>IF(H595="","",H595&amp;I595)</f>
        <v>260414-030SALIDA</v>
      </c>
      <c r="S595" s="22" t="str">
        <f>IF(C595="","",C595&amp;I595)</f>
        <v>Full controlSALIDA</v>
      </c>
      <c r="T595" t="str">
        <f>IF(OR(C595="",I595&lt;&gt;"ENTRADA"),"",TEXT(B595,"AAMMDD")&amp;"-"&amp;TEXT(VALUE(SUBSTITUTE(A595,"MOV-","")),"000"))</f>
        <v/>
      </c>
    </row>
    <row r="596" spans="1:20">
      <c r="A596" s="20" t="s">
        <v>908</v>
      </c>
      <c r="B596" s="47">
        <v>46274</v>
      </c>
      <c r="C596" t="s">
        <v>782</v>
      </c>
      <c r="D596" t="s">
        <v>783</v>
      </c>
      <c r="E596" t="s">
        <v>34</v>
      </c>
      <c r="F596" t="s">
        <v>46</v>
      </c>
      <c r="G596" t="s">
        <v>27</v>
      </c>
      <c r="H596" s="20" t="s">
        <v>797</v>
      </c>
      <c r="I596" t="s">
        <v>65</v>
      </c>
      <c r="J596" s="30">
        <v>24</v>
      </c>
      <c r="K596" s="22">
        <f>IF(I596="","",IF(I596="ENTRADA",ABS(J596),-ABS(J596)))</f>
        <v>-24</v>
      </c>
      <c r="L596" t="s">
        <v>29</v>
      </c>
      <c r="N596">
        <v>65204</v>
      </c>
      <c r="O596" t="s">
        <v>590</v>
      </c>
      <c r="P596">
        <v>1930</v>
      </c>
      <c r="Q596" s="47">
        <v>46279</v>
      </c>
      <c r="R596" s="22" t="str">
        <f>IF(H596="","",H596&amp;I596)</f>
        <v>260801-489SALIDA</v>
      </c>
      <c r="S596" s="22" t="str">
        <f>IF(C596="","",C596&amp;I596)</f>
        <v>PyroxateSALIDA</v>
      </c>
      <c r="T596" t="str">
        <f>IF(OR(C596="",I596&lt;&gt;"ENTRADA"),"",TEXT(B596,"AAMMDD")&amp;"-"&amp;TEXT(VALUE(SUBSTITUTE(A596,"MOV-","")),"000"))</f>
        <v/>
      </c>
    </row>
    <row r="597" spans="1:20">
      <c r="A597" s="20" t="s">
        <v>909</v>
      </c>
      <c r="B597" s="47">
        <v>46274</v>
      </c>
      <c r="C597" t="s">
        <v>910</v>
      </c>
      <c r="D597" t="s">
        <v>630</v>
      </c>
      <c r="E597" t="s">
        <v>25</v>
      </c>
      <c r="F597" t="s">
        <v>631</v>
      </c>
      <c r="H597" s="20" t="str">
        <f>+T597</f>
        <v>260909-597</v>
      </c>
      <c r="I597" t="s">
        <v>28</v>
      </c>
      <c r="J597" s="30">
        <v>26</v>
      </c>
      <c r="K597" s="22">
        <f>IF(I597="","",IF(I597="ENTRADA",ABS(J597),-ABS(J597)))</f>
        <v>26</v>
      </c>
      <c r="L597" t="s">
        <v>632</v>
      </c>
      <c r="N597">
        <v>65205</v>
      </c>
      <c r="O597" t="s">
        <v>382</v>
      </c>
      <c r="P597">
        <v>1963</v>
      </c>
      <c r="Q597" s="47">
        <v>46294</v>
      </c>
      <c r="R597" s="22" t="str">
        <f>IF(H597="","",H597&amp;I597)</f>
        <v>260909-597ENTRADA</v>
      </c>
      <c r="S597" s="22" t="str">
        <f>IF(C597="","",C597&amp;I597)</f>
        <v>maiz dk 7447ENTRADA</v>
      </c>
      <c r="T597" t="str">
        <f>IF(OR(C597="",I597&lt;&gt;"ENTRADA"),"",TEXT(B597,"AAMMDD")&amp;"-"&amp;TEXT(VALUE(SUBSTITUTE(A597,"MOV-","")),"000"))</f>
        <v>260909-597</v>
      </c>
    </row>
    <row r="598" spans="1:20">
      <c r="A598" s="20" t="s">
        <v>911</v>
      </c>
      <c r="B598" s="47">
        <v>46274</v>
      </c>
      <c r="C598" t="s">
        <v>782</v>
      </c>
      <c r="D598" t="s">
        <v>783</v>
      </c>
      <c r="E598" t="s">
        <v>34</v>
      </c>
      <c r="F598" t="s">
        <v>46</v>
      </c>
      <c r="G598" t="s">
        <v>27</v>
      </c>
      <c r="H598" s="20" t="s">
        <v>797</v>
      </c>
      <c r="I598" t="s">
        <v>65</v>
      </c>
      <c r="J598" s="30">
        <v>20</v>
      </c>
      <c r="K598" s="22">
        <f>IF(I598="","",IF(I598="ENTRADA",ABS(J598),-ABS(J598)))</f>
        <v>-20</v>
      </c>
      <c r="L598" t="s">
        <v>29</v>
      </c>
      <c r="N598">
        <v>65206</v>
      </c>
      <c r="O598" t="s">
        <v>213</v>
      </c>
      <c r="P598">
        <v>1928</v>
      </c>
      <c r="Q598" s="47">
        <v>46279</v>
      </c>
      <c r="R598" s="22" t="str">
        <f>IF(H598="","",H598&amp;I598)</f>
        <v>260801-489SALIDA</v>
      </c>
      <c r="S598" s="22" t="str">
        <f>IF(C598="","",C598&amp;I598)</f>
        <v>PyroxateSALIDA</v>
      </c>
      <c r="T598" t="str">
        <f>IF(OR(C598="",I598&lt;&gt;"ENTRADA"),"",TEXT(B598,"AAMMDD")&amp;"-"&amp;TEXT(VALUE(SUBSTITUTE(A598,"MOV-","")),"000"))</f>
        <v/>
      </c>
    </row>
    <row r="599" spans="1:20">
      <c r="A599" s="20" t="s">
        <v>912</v>
      </c>
      <c r="B599" s="47">
        <v>46274</v>
      </c>
      <c r="C599" t="s">
        <v>115</v>
      </c>
      <c r="D599" t="s">
        <v>116</v>
      </c>
      <c r="E599" t="s">
        <v>34</v>
      </c>
      <c r="F599" t="s">
        <v>35</v>
      </c>
      <c r="G599" t="s">
        <v>117</v>
      </c>
      <c r="H599" s="20" t="s">
        <v>668</v>
      </c>
      <c r="I599" t="s">
        <v>65</v>
      </c>
      <c r="J599" s="30">
        <v>140</v>
      </c>
      <c r="K599" s="22">
        <f>IF(I599="","",IF(I599="ENTRADA",ABS(J599),-ABS(J599)))</f>
        <v>-140</v>
      </c>
      <c r="L599" t="s">
        <v>37</v>
      </c>
      <c r="N599">
        <v>65207</v>
      </c>
      <c r="O599" t="s">
        <v>218</v>
      </c>
      <c r="P599">
        <v>1931</v>
      </c>
      <c r="Q599" s="47">
        <v>46279</v>
      </c>
      <c r="R599" s="22" t="str">
        <f>IF(H599="","",H599&amp;I599)</f>
        <v>260727-381SALIDA</v>
      </c>
      <c r="S599" s="22" t="str">
        <f>IF(C599="","",C599&amp;I599)</f>
        <v>AzukaSALIDA</v>
      </c>
      <c r="T599" t="str">
        <f>IF(OR(C599="",I599&lt;&gt;"ENTRADA"),"",TEXT(B599,"AAMMDD")&amp;"-"&amp;TEXT(VALUE(SUBSTITUTE(A599,"MOV-","")),"000"))</f>
        <v/>
      </c>
    </row>
    <row r="600" spans="1:20">
      <c r="A600" s="20" t="s">
        <v>913</v>
      </c>
      <c r="B600" s="47">
        <v>46274</v>
      </c>
      <c r="C600" t="s">
        <v>769</v>
      </c>
      <c r="D600" t="s">
        <v>770</v>
      </c>
      <c r="E600" t="s">
        <v>34</v>
      </c>
      <c r="F600" t="s">
        <v>35</v>
      </c>
      <c r="G600" t="s">
        <v>771</v>
      </c>
      <c r="H600" s="20" t="s">
        <v>829</v>
      </c>
      <c r="I600" t="s">
        <v>65</v>
      </c>
      <c r="J600" s="30">
        <v>500</v>
      </c>
      <c r="K600" s="22">
        <f>IF(I600="","",IF(I600="ENTRADA",ABS(J600),-ABS(J600)))</f>
        <v>-500</v>
      </c>
      <c r="L600" t="s">
        <v>37</v>
      </c>
      <c r="N600">
        <v>65207</v>
      </c>
      <c r="O600" t="s">
        <v>218</v>
      </c>
      <c r="P600">
        <v>1931</v>
      </c>
      <c r="Q600" s="47">
        <v>46279</v>
      </c>
      <c r="R600" s="22" t="str">
        <f>IF(H600="","",H600&amp;I600)</f>
        <v>260826-484SALIDA</v>
      </c>
      <c r="S600" s="22" t="str">
        <f>IF(C600="","",C600&amp;I600)</f>
        <v>Paraquat SALIDA</v>
      </c>
      <c r="T600" t="str">
        <f>IF(OR(C600="",I600&lt;&gt;"ENTRADA"),"",TEXT(B600,"AAMMDD")&amp;"-"&amp;TEXT(VALUE(SUBSTITUTE(A600,"MOV-","")),"000"))</f>
        <v/>
      </c>
    </row>
    <row r="601" spans="1:20">
      <c r="A601" s="20" t="s">
        <v>914</v>
      </c>
      <c r="B601" s="47">
        <v>46274</v>
      </c>
      <c r="C601" t="s">
        <v>137</v>
      </c>
      <c r="D601" t="s">
        <v>138</v>
      </c>
      <c r="E601" t="s">
        <v>132</v>
      </c>
      <c r="G601" t="s">
        <v>133</v>
      </c>
      <c r="H601" s="20" t="s">
        <v>211</v>
      </c>
      <c r="I601" t="s">
        <v>65</v>
      </c>
      <c r="J601" s="30">
        <v>8</v>
      </c>
      <c r="K601" s="22">
        <f>IF(I601="","",IF(I601="ENTRADA",ABS(J601),-ABS(J601)))</f>
        <v>-8</v>
      </c>
      <c r="L601" t="s">
        <v>37</v>
      </c>
      <c r="N601">
        <v>65207</v>
      </c>
      <c r="O601" t="s">
        <v>218</v>
      </c>
      <c r="P601">
        <v>1931</v>
      </c>
      <c r="Q601" s="47">
        <v>46279</v>
      </c>
      <c r="R601" s="22" t="str">
        <f>IF(H601="","",H601&amp;I601)</f>
        <v>260414-030SALIDA</v>
      </c>
      <c r="S601" s="22" t="str">
        <f>IF(C601="","",C601&amp;I601)</f>
        <v>Full controlSALIDA</v>
      </c>
      <c r="T601" t="str">
        <f>IF(OR(C601="",I601&lt;&gt;"ENTRADA"),"",TEXT(B601,"AAMMDD")&amp;"-"&amp;TEXT(VALUE(SUBSTITUTE(A601,"MOV-","")),"000"))</f>
        <v/>
      </c>
    </row>
    <row r="602" spans="1:20">
      <c r="A602" s="20" t="s">
        <v>915</v>
      </c>
      <c r="B602" s="47">
        <v>46274</v>
      </c>
      <c r="C602" t="s">
        <v>122</v>
      </c>
      <c r="D602" t="s">
        <v>123</v>
      </c>
      <c r="E602" t="s">
        <v>34</v>
      </c>
      <c r="F602" t="s">
        <v>35</v>
      </c>
      <c r="G602" t="s">
        <v>117</v>
      </c>
      <c r="H602" s="20" t="s">
        <v>203</v>
      </c>
      <c r="I602" t="s">
        <v>65</v>
      </c>
      <c r="J602" s="30">
        <v>50</v>
      </c>
      <c r="K602" s="22">
        <f>IF(I602="","",IF(I602="ENTRADA",ABS(J602),-ABS(J602)))</f>
        <v>-50</v>
      </c>
      <c r="L602" t="s">
        <v>37</v>
      </c>
      <c r="N602">
        <v>65207</v>
      </c>
      <c r="O602" t="s">
        <v>218</v>
      </c>
      <c r="P602">
        <v>1931</v>
      </c>
      <c r="Q602" s="47">
        <v>46279</v>
      </c>
      <c r="R602" s="22" t="str">
        <f>IF(H602="","",H602&amp;I602)</f>
        <v>260410-027SALIDA</v>
      </c>
      <c r="S602" s="22" t="str">
        <f>IF(C602="","",C602&amp;I602)</f>
        <v>PardoSALIDA</v>
      </c>
      <c r="T602" t="str">
        <f>IF(OR(C602="",I602&lt;&gt;"ENTRADA"),"",TEXT(B602,"AAMMDD")&amp;"-"&amp;TEXT(VALUE(SUBSTITUTE(A602,"MOV-","")),"000"))</f>
        <v/>
      </c>
    </row>
    <row r="603" spans="1:20">
      <c r="A603" s="20" t="s">
        <v>916</v>
      </c>
      <c r="B603" s="47">
        <v>46274</v>
      </c>
      <c r="C603" t="s">
        <v>130</v>
      </c>
      <c r="D603" t="s">
        <v>131</v>
      </c>
      <c r="E603" t="s">
        <v>132</v>
      </c>
      <c r="G603" t="s">
        <v>133</v>
      </c>
      <c r="H603" s="20" t="s">
        <v>221</v>
      </c>
      <c r="I603" t="s">
        <v>65</v>
      </c>
      <c r="J603" s="30">
        <v>40</v>
      </c>
      <c r="K603" s="22">
        <f>IF(I603="","",IF(I603="ENTRADA",ABS(J603),-ABS(J603)))</f>
        <v>-40</v>
      </c>
      <c r="L603" t="s">
        <v>37</v>
      </c>
      <c r="N603">
        <v>65202</v>
      </c>
      <c r="O603" t="s">
        <v>218</v>
      </c>
      <c r="P603">
        <v>1932</v>
      </c>
      <c r="Q603" s="47">
        <v>46279</v>
      </c>
      <c r="R603" s="22" t="str">
        <f>IF(H603="","",H603&amp;I603)</f>
        <v>260414-029SALIDA</v>
      </c>
      <c r="S603" s="22" t="str">
        <f>IF(C603="","",C603&amp;I603)</f>
        <v>HarrierSALIDA</v>
      </c>
      <c r="T603" t="str">
        <f>IF(OR(C603="",I603&lt;&gt;"ENTRADA"),"",TEXT(B603,"AAMMDD")&amp;"-"&amp;TEXT(VALUE(SUBSTITUTE(A603,"MOV-","")),"000"))</f>
        <v/>
      </c>
    </row>
    <row r="604" spans="1:20">
      <c r="A604" s="20" t="s">
        <v>917</v>
      </c>
      <c r="B604" s="47">
        <v>46274</v>
      </c>
      <c r="C604" t="s">
        <v>769</v>
      </c>
      <c r="D604" t="s">
        <v>770</v>
      </c>
      <c r="E604" t="s">
        <v>34</v>
      </c>
      <c r="F604" t="s">
        <v>35</v>
      </c>
      <c r="G604" t="s">
        <v>771</v>
      </c>
      <c r="H604" s="20" t="s">
        <v>829</v>
      </c>
      <c r="I604" t="s">
        <v>65</v>
      </c>
      <c r="J604" s="30">
        <v>1360</v>
      </c>
      <c r="K604" s="22">
        <f>IF(I604="","",IF(I604="ENTRADA",ABS(J604),-ABS(J604)))</f>
        <v>-1360</v>
      </c>
      <c r="L604" t="s">
        <v>37</v>
      </c>
      <c r="N604">
        <v>65208</v>
      </c>
      <c r="O604" t="s">
        <v>218</v>
      </c>
      <c r="P604">
        <v>1933</v>
      </c>
      <c r="Q604" s="47">
        <v>46279</v>
      </c>
      <c r="R604" s="22" t="str">
        <f>IF(H604="","",H604&amp;I604)</f>
        <v>260826-484SALIDA</v>
      </c>
      <c r="S604" s="22" t="str">
        <f>IF(C604="","",C604&amp;I604)</f>
        <v>Paraquat SALIDA</v>
      </c>
      <c r="T604" t="str">
        <f>IF(OR(C604="",I604&lt;&gt;"ENTRADA"),"",TEXT(B604,"AAMMDD")&amp;"-"&amp;TEXT(VALUE(SUBSTITUTE(A604,"MOV-","")),"000"))</f>
        <v/>
      </c>
    </row>
    <row r="605" spans="1:20">
      <c r="A605" s="20" t="s">
        <v>918</v>
      </c>
      <c r="B605" s="47">
        <v>46274</v>
      </c>
      <c r="C605" t="s">
        <v>130</v>
      </c>
      <c r="D605" t="s">
        <v>131</v>
      </c>
      <c r="E605" t="s">
        <v>132</v>
      </c>
      <c r="G605" t="s">
        <v>133</v>
      </c>
      <c r="H605" s="20" t="s">
        <v>221</v>
      </c>
      <c r="I605" t="s">
        <v>65</v>
      </c>
      <c r="J605" s="30">
        <v>100</v>
      </c>
      <c r="K605" s="22">
        <f>IF(I605="","",IF(I605="ENTRADA",ABS(J605),-ABS(J605)))</f>
        <v>-100</v>
      </c>
      <c r="L605" t="s">
        <v>37</v>
      </c>
      <c r="N605">
        <v>65208</v>
      </c>
      <c r="O605" t="s">
        <v>218</v>
      </c>
      <c r="P605">
        <v>1933</v>
      </c>
      <c r="Q605" s="47">
        <v>46279</v>
      </c>
      <c r="R605" s="22" t="str">
        <f>IF(H605="","",H605&amp;I605)</f>
        <v>260414-029SALIDA</v>
      </c>
      <c r="S605" s="22" t="str">
        <f>IF(C605="","",C605&amp;I605)</f>
        <v>HarrierSALIDA</v>
      </c>
      <c r="T605" t="str">
        <f>IF(OR(C605="",I605&lt;&gt;"ENTRADA"),"",TEXT(B605,"AAMMDD")&amp;"-"&amp;TEXT(VALUE(SUBSTITUTE(A605,"MOV-","")),"000"))</f>
        <v/>
      </c>
    </row>
    <row r="606" spans="1:20">
      <c r="A606" s="20" t="s">
        <v>919</v>
      </c>
      <c r="B606" s="47">
        <v>46274</v>
      </c>
      <c r="C606" s="34" t="s">
        <v>137</v>
      </c>
      <c r="D606" s="34" t="s">
        <v>138</v>
      </c>
      <c r="E606" s="34" t="s">
        <v>132</v>
      </c>
      <c r="F606" s="34"/>
      <c r="G606" s="34" t="s">
        <v>133</v>
      </c>
      <c r="H606" s="20" t="s">
        <v>211</v>
      </c>
      <c r="I606" s="34" t="s">
        <v>65</v>
      </c>
      <c r="J606" s="36">
        <v>20</v>
      </c>
      <c r="K606" s="22">
        <f>IF(I606="","",IF(I606="ENTRADA",ABS(J606),-ABS(J606)))</f>
        <v>-20</v>
      </c>
      <c r="L606" s="34" t="s">
        <v>37</v>
      </c>
      <c r="M606" s="34"/>
      <c r="N606">
        <v>65208</v>
      </c>
      <c r="O606" s="34" t="s">
        <v>218</v>
      </c>
      <c r="P606">
        <v>1933</v>
      </c>
      <c r="Q606" s="47">
        <v>46279</v>
      </c>
      <c r="R606" s="22" t="str">
        <f>IF(H606="","",H606&amp;I606)</f>
        <v>260414-030SALIDA</v>
      </c>
      <c r="S606" s="22" t="str">
        <f>IF(C606="","",C606&amp;I606)</f>
        <v>Full controlSALIDA</v>
      </c>
      <c r="T606" t="str">
        <f>IF(OR(C606="",I606&lt;&gt;"ENTRADA"),"",TEXT(B606,"AAMMDD")&amp;"-"&amp;TEXT(VALUE(SUBSTITUTE(A606,"MOV-","")),"000"))</f>
        <v/>
      </c>
    </row>
    <row r="607" spans="1:20">
      <c r="A607" s="20" t="s">
        <v>920</v>
      </c>
      <c r="B607" s="47">
        <v>46260</v>
      </c>
      <c r="C607" t="s">
        <v>137</v>
      </c>
      <c r="D607" t="s">
        <v>138</v>
      </c>
      <c r="E607" t="s">
        <v>132</v>
      </c>
      <c r="G607" t="s">
        <v>133</v>
      </c>
      <c r="H607" s="20" t="s">
        <v>211</v>
      </c>
      <c r="I607" t="s">
        <v>65</v>
      </c>
      <c r="J607" s="30">
        <v>5</v>
      </c>
      <c r="K607" s="22">
        <f>IF(I607="","",IF(I607="ENTRADA",ABS(J607),-ABS(J607)))</f>
        <v>-5</v>
      </c>
      <c r="L607" t="s">
        <v>37</v>
      </c>
      <c r="N607">
        <v>65173</v>
      </c>
      <c r="O607" t="s">
        <v>382</v>
      </c>
      <c r="P607">
        <v>1892</v>
      </c>
      <c r="Q607" s="47">
        <v>46261</v>
      </c>
      <c r="R607" s="22" t="str">
        <f>IF(H607="","",H607&amp;I607)</f>
        <v>260414-030SALIDA</v>
      </c>
      <c r="S607" s="22" t="str">
        <f>IF(C607="","",C607&amp;I607)</f>
        <v>Full controlSALIDA</v>
      </c>
      <c r="T607" t="str">
        <f>IF(OR(C607="",I607&lt;&gt;"ENTRADA"),"",TEXT(B607,"AAMMDD")&amp;"-"&amp;TEXT(VALUE(SUBSTITUTE(A607,"MOV-","")),"000"))</f>
        <v/>
      </c>
    </row>
    <row r="608" spans="1:20">
      <c r="A608" s="20" t="s">
        <v>921</v>
      </c>
      <c r="B608" s="47">
        <v>46265</v>
      </c>
      <c r="C608" t="s">
        <v>115</v>
      </c>
      <c r="D608" t="s">
        <v>116</v>
      </c>
      <c r="E608" t="s">
        <v>34</v>
      </c>
      <c r="F608" t="s">
        <v>35</v>
      </c>
      <c r="G608" t="s">
        <v>117</v>
      </c>
      <c r="H608" s="20" t="s">
        <v>668</v>
      </c>
      <c r="I608" t="s">
        <v>65</v>
      </c>
      <c r="J608" s="30">
        <v>560</v>
      </c>
      <c r="K608" s="22">
        <f>IF(I608="","",IF(I608="ENTRADA",ABS(J608),-ABS(J608)))</f>
        <v>-560</v>
      </c>
      <c r="L608" t="s">
        <v>37</v>
      </c>
      <c r="N608">
        <v>65177</v>
      </c>
      <c r="O608" t="s">
        <v>218</v>
      </c>
      <c r="P608">
        <v>1935</v>
      </c>
      <c r="Q608" s="47">
        <v>46279</v>
      </c>
      <c r="R608" s="22" t="str">
        <f>IF(H608="","",H608&amp;I608)</f>
        <v>260727-381SALIDA</v>
      </c>
      <c r="S608" s="22" t="str">
        <f>IF(C608="","",C608&amp;I608)</f>
        <v>AzukaSALIDA</v>
      </c>
      <c r="T608" t="str">
        <f>IF(OR(C608="",I608&lt;&gt;"ENTRADA"),"",TEXT(B608,"AAMMDD")&amp;"-"&amp;TEXT(VALUE(SUBSTITUTE(A608,"MOV-","")),"000"))</f>
        <v/>
      </c>
    </row>
    <row r="609" spans="1:20">
      <c r="A609" s="20" t="s">
        <v>922</v>
      </c>
      <c r="B609" s="47">
        <v>46265</v>
      </c>
      <c r="C609" t="s">
        <v>491</v>
      </c>
      <c r="D609" t="s">
        <v>492</v>
      </c>
      <c r="E609" t="s">
        <v>493</v>
      </c>
      <c r="G609" t="s">
        <v>36</v>
      </c>
      <c r="H609" s="20" t="s">
        <v>495</v>
      </c>
      <c r="I609" t="s">
        <v>65</v>
      </c>
      <c r="J609" s="30">
        <v>460</v>
      </c>
      <c r="K609" s="22">
        <f>IF(I609="","",IF(I609="ENTRADA",ABS(J609),-ABS(J609)))</f>
        <v>-460</v>
      </c>
      <c r="L609" t="s">
        <v>37</v>
      </c>
      <c r="N609">
        <v>65177</v>
      </c>
      <c r="O609" t="s">
        <v>218</v>
      </c>
      <c r="P609">
        <v>1935</v>
      </c>
      <c r="Q609" s="47">
        <v>46279</v>
      </c>
      <c r="R609" s="22" t="str">
        <f>IF(H609="","",H609&amp;I609)</f>
        <v>260610-265SALIDA</v>
      </c>
      <c r="S609" s="22" t="str">
        <f>IF(C609="","",C609&amp;I609)</f>
        <v>Zinc Plus SALIDA</v>
      </c>
      <c r="T609" t="str">
        <f>IF(OR(C609="",I609&lt;&gt;"ENTRADA"),"",TEXT(B609,"AAMMDD")&amp;"-"&amp;TEXT(VALUE(SUBSTITUTE(A609,"MOV-","")),"000"))</f>
        <v/>
      </c>
    </row>
    <row r="610" spans="1:20">
      <c r="A610" s="20" t="s">
        <v>923</v>
      </c>
      <c r="B610" s="47">
        <v>46265</v>
      </c>
      <c r="C610" t="s">
        <v>514</v>
      </c>
      <c r="D610" t="s">
        <v>515</v>
      </c>
      <c r="E610" t="s">
        <v>516</v>
      </c>
      <c r="G610" t="s">
        <v>117</v>
      </c>
      <c r="H610" s="20" t="s">
        <v>664</v>
      </c>
      <c r="I610" t="s">
        <v>65</v>
      </c>
      <c r="J610" s="30">
        <v>100</v>
      </c>
      <c r="K610" s="22">
        <f>IF(I610="","",IF(I610="ENTRADA",ABS(J610),-ABS(J610)))</f>
        <v>-100</v>
      </c>
      <c r="L610" t="s">
        <v>37</v>
      </c>
      <c r="N610">
        <v>65177</v>
      </c>
      <c r="O610" t="s">
        <v>218</v>
      </c>
      <c r="P610">
        <v>1935</v>
      </c>
      <c r="Q610" s="47">
        <v>46279</v>
      </c>
      <c r="R610" s="22" t="str">
        <f>IF(H610="","",H610&amp;I610)</f>
        <v>260730-396SALIDA</v>
      </c>
      <c r="S610" s="22" t="str">
        <f>IF(C610="","",C610&amp;I610)</f>
        <v>Unico MaxSALIDA</v>
      </c>
      <c r="T610" t="str">
        <f>IF(OR(C610="",I610&lt;&gt;"ENTRADA"),"",TEXT(B610,"AAMMDD")&amp;"-"&amp;TEXT(VALUE(SUBSTITUTE(A610,"MOV-","")),"000"))</f>
        <v/>
      </c>
    </row>
    <row r="611" spans="1:20">
      <c r="A611" s="20" t="s">
        <v>924</v>
      </c>
      <c r="B611" s="47">
        <v>46265</v>
      </c>
      <c r="C611" t="s">
        <v>122</v>
      </c>
      <c r="D611" t="s">
        <v>123</v>
      </c>
      <c r="E611" t="s">
        <v>34</v>
      </c>
      <c r="F611" t="s">
        <v>35</v>
      </c>
      <c r="G611" t="s">
        <v>117</v>
      </c>
      <c r="H611" s="20" t="s">
        <v>203</v>
      </c>
      <c r="I611" t="s">
        <v>65</v>
      </c>
      <c r="J611" s="30">
        <v>180</v>
      </c>
      <c r="K611" s="22">
        <f>IF(I611="","",IF(I611="ENTRADA",ABS(J611),-ABS(J611)))</f>
        <v>-180</v>
      </c>
      <c r="L611" t="s">
        <v>37</v>
      </c>
      <c r="N611">
        <v>65177</v>
      </c>
      <c r="O611" t="s">
        <v>218</v>
      </c>
      <c r="P611">
        <v>1935</v>
      </c>
      <c r="Q611" s="47">
        <v>46279</v>
      </c>
      <c r="R611" s="22" t="str">
        <f>IF(H611="","",H611&amp;I611)</f>
        <v>260410-027SALIDA</v>
      </c>
      <c r="S611" s="22" t="str">
        <f>IF(C611="","",C611&amp;I611)</f>
        <v>PardoSALIDA</v>
      </c>
      <c r="T611" t="str">
        <f>IF(OR(C611="",I611&lt;&gt;"ENTRADA"),"",TEXT(B611,"AAMMDD")&amp;"-"&amp;TEXT(VALUE(SUBSTITUTE(A611,"MOV-","")),"000"))</f>
        <v/>
      </c>
    </row>
    <row r="612" spans="1:20">
      <c r="A612" s="20" t="s">
        <v>925</v>
      </c>
      <c r="B612" s="47">
        <v>46265</v>
      </c>
      <c r="C612" t="s">
        <v>137</v>
      </c>
      <c r="D612" t="s">
        <v>138</v>
      </c>
      <c r="E612" t="s">
        <v>132</v>
      </c>
      <c r="G612" t="s">
        <v>133</v>
      </c>
      <c r="H612" s="20" t="s">
        <v>211</v>
      </c>
      <c r="I612" t="s">
        <v>65</v>
      </c>
      <c r="J612" s="30">
        <v>8</v>
      </c>
      <c r="K612" s="22">
        <f>IF(I612="","",IF(I612="ENTRADA",ABS(J612),-ABS(J612)))</f>
        <v>-8</v>
      </c>
      <c r="L612" t="s">
        <v>37</v>
      </c>
      <c r="N612">
        <v>65177</v>
      </c>
      <c r="O612" t="s">
        <v>218</v>
      </c>
      <c r="P612">
        <v>1935</v>
      </c>
      <c r="Q612" s="47">
        <v>46279</v>
      </c>
      <c r="R612" s="22" t="str">
        <f>IF(H612="","",H612&amp;I612)</f>
        <v>260414-030SALIDA</v>
      </c>
      <c r="S612" s="22" t="str">
        <f>IF(C612="","",C612&amp;I612)</f>
        <v>Full controlSALIDA</v>
      </c>
      <c r="T612" t="str">
        <f>IF(OR(C612="",I612&lt;&gt;"ENTRADA"),"",TEXT(B612,"AAMMDD")&amp;"-"&amp;TEXT(VALUE(SUBSTITUTE(A612,"MOV-","")),"000"))</f>
        <v/>
      </c>
    </row>
    <row r="613" spans="1:20">
      <c r="A613" s="20" t="s">
        <v>926</v>
      </c>
      <c r="B613" s="47">
        <v>46265</v>
      </c>
      <c r="C613" t="s">
        <v>130</v>
      </c>
      <c r="D613" t="s">
        <v>131</v>
      </c>
      <c r="E613" t="s">
        <v>132</v>
      </c>
      <c r="G613" t="s">
        <v>133</v>
      </c>
      <c r="H613" s="20" t="s">
        <v>221</v>
      </c>
      <c r="I613" t="s">
        <v>65</v>
      </c>
      <c r="J613" s="30">
        <v>40</v>
      </c>
      <c r="K613" s="22">
        <f>IF(I613="","",IF(I613="ENTRADA",ABS(J613),-ABS(J613)))</f>
        <v>-40</v>
      </c>
      <c r="L613" t="s">
        <v>37</v>
      </c>
      <c r="N613">
        <v>65177</v>
      </c>
      <c r="O613" t="s">
        <v>218</v>
      </c>
      <c r="P613">
        <v>1935</v>
      </c>
      <c r="Q613" s="47">
        <v>46279</v>
      </c>
      <c r="R613" s="22" t="str">
        <f>IF(H613="","",H613&amp;I613)</f>
        <v>260414-029SALIDA</v>
      </c>
      <c r="S613" s="22" t="str">
        <f>IF(C613="","",C613&amp;I613)</f>
        <v>HarrierSALIDA</v>
      </c>
      <c r="T613" t="str">
        <f>IF(OR(C613="",I613&lt;&gt;"ENTRADA"),"",TEXT(B613,"AAMMDD")&amp;"-"&amp;TEXT(VALUE(SUBSTITUTE(A613,"MOV-","")),"000"))</f>
        <v/>
      </c>
    </row>
    <row r="614" spans="1:20">
      <c r="A614" s="20" t="s">
        <v>927</v>
      </c>
      <c r="B614" s="47">
        <v>46274</v>
      </c>
      <c r="C614" t="s">
        <v>130</v>
      </c>
      <c r="D614" t="s">
        <v>131</v>
      </c>
      <c r="E614" t="s">
        <v>132</v>
      </c>
      <c r="G614" t="s">
        <v>133</v>
      </c>
      <c r="H614" s="20" t="s">
        <v>221</v>
      </c>
      <c r="I614" t="s">
        <v>65</v>
      </c>
      <c r="J614" s="30">
        <v>40</v>
      </c>
      <c r="K614" s="22">
        <f>IF(I614="","",IF(I614="ENTRADA",ABS(J614),-ABS(J614)))</f>
        <v>-40</v>
      </c>
      <c r="L614" t="s">
        <v>37</v>
      </c>
      <c r="N614">
        <v>65207</v>
      </c>
      <c r="O614" t="s">
        <v>218</v>
      </c>
      <c r="P614" s="54">
        <v>1931</v>
      </c>
      <c r="Q614" s="47">
        <v>46279</v>
      </c>
      <c r="R614" s="22" t="str">
        <f>IF(H614="","",H614&amp;I614)</f>
        <v>260414-029SALIDA</v>
      </c>
      <c r="S614" s="22" t="str">
        <f>IF(C614="","",C614&amp;I614)</f>
        <v>HarrierSALIDA</v>
      </c>
      <c r="T614" t="str">
        <f>IF(OR(C614="",I614&lt;&gt;"ENTRADA"),"",TEXT(B614,"AAMMDD")&amp;"-"&amp;TEXT(VALUE(SUBSTITUTE(A614,"MOV-","")),"000"))</f>
        <v/>
      </c>
    </row>
    <row r="615" spans="1:20">
      <c r="A615" s="20" t="s">
        <v>928</v>
      </c>
      <c r="B615" s="60">
        <v>46275</v>
      </c>
      <c r="C615" s="34" t="s">
        <v>115</v>
      </c>
      <c r="D615" s="34" t="s">
        <v>116</v>
      </c>
      <c r="E615" s="34" t="s">
        <v>34</v>
      </c>
      <c r="F615" s="34" t="s">
        <v>35</v>
      </c>
      <c r="G615" s="34" t="s">
        <v>117</v>
      </c>
      <c r="H615" s="20" t="s">
        <v>668</v>
      </c>
      <c r="I615" s="34" t="s">
        <v>65</v>
      </c>
      <c r="J615" s="36">
        <v>600</v>
      </c>
      <c r="K615" s="22">
        <f>IF(I615="","",IF(I615="ENTRADA",ABS(J615),-ABS(J615)))</f>
        <v>-600</v>
      </c>
      <c r="L615" s="34" t="s">
        <v>37</v>
      </c>
      <c r="M615" s="34"/>
      <c r="N615">
        <v>65209</v>
      </c>
      <c r="O615" t="s">
        <v>387</v>
      </c>
      <c r="P615" s="46">
        <v>1936</v>
      </c>
      <c r="Q615" s="47">
        <v>46279</v>
      </c>
      <c r="R615" s="22" t="str">
        <f>IF(H615="","",H615&amp;I615)</f>
        <v>260727-381SALIDA</v>
      </c>
      <c r="S615" s="22" t="str">
        <f>IF(C615="","",C615&amp;I615)</f>
        <v>AzukaSALIDA</v>
      </c>
      <c r="T615" t="str">
        <f>IF(OR(C615="",I615&lt;&gt;"ENTRADA"),"",TEXT(B615,"AAMMDD")&amp;"-"&amp;TEXT(VALUE(SUBSTITUTE(A615,"MOV-","")),"000"))</f>
        <v/>
      </c>
    </row>
    <row r="616" spans="1:20">
      <c r="A616" s="20" t="s">
        <v>929</v>
      </c>
      <c r="B616" s="47">
        <v>46275</v>
      </c>
      <c r="C616" t="s">
        <v>130</v>
      </c>
      <c r="D616" t="s">
        <v>131</v>
      </c>
      <c r="E616" t="s">
        <v>132</v>
      </c>
      <c r="G616" t="s">
        <v>133</v>
      </c>
      <c r="H616" s="20" t="s">
        <v>221</v>
      </c>
      <c r="I616" t="s">
        <v>65</v>
      </c>
      <c r="J616" s="30">
        <v>60</v>
      </c>
      <c r="K616" s="22">
        <f>IF(I616="","",IF(I616="ENTRADA",ABS(J616),-ABS(J616)))</f>
        <v>-60</v>
      </c>
      <c r="L616" t="s">
        <v>37</v>
      </c>
      <c r="N616">
        <v>65209</v>
      </c>
      <c r="O616" t="s">
        <v>387</v>
      </c>
      <c r="P616" s="46">
        <v>1936</v>
      </c>
      <c r="Q616" s="47">
        <v>46279</v>
      </c>
      <c r="R616" s="22" t="str">
        <f>IF(H616="","",H616&amp;I616)</f>
        <v>260414-029SALIDA</v>
      </c>
      <c r="S616" s="22" t="str">
        <f>IF(C616="","",C616&amp;I616)</f>
        <v>HarrierSALIDA</v>
      </c>
      <c r="T616" t="str">
        <f>IF(OR(C616="",I616&lt;&gt;"ENTRADA"),"",TEXT(B616,"AAMMDD")&amp;"-"&amp;TEXT(VALUE(SUBSTITUTE(A616,"MOV-","")),"000"))</f>
        <v/>
      </c>
    </row>
    <row r="617" spans="1:20">
      <c r="A617" s="20" t="s">
        <v>930</v>
      </c>
      <c r="B617" s="47">
        <v>46276</v>
      </c>
      <c r="C617" t="s">
        <v>115</v>
      </c>
      <c r="D617" t="s">
        <v>116</v>
      </c>
      <c r="E617" t="s">
        <v>34</v>
      </c>
      <c r="F617" t="s">
        <v>35</v>
      </c>
      <c r="G617" t="s">
        <v>117</v>
      </c>
      <c r="H617" s="20" t="s">
        <v>668</v>
      </c>
      <c r="I617" t="s">
        <v>65</v>
      </c>
      <c r="J617" s="30">
        <v>460</v>
      </c>
      <c r="K617" s="22">
        <f>IF(I617="","",IF(I617="ENTRADA",ABS(J617),-ABS(J617)))</f>
        <v>-460</v>
      </c>
      <c r="L617" t="s">
        <v>37</v>
      </c>
      <c r="N617">
        <v>65210</v>
      </c>
      <c r="O617" t="s">
        <v>387</v>
      </c>
      <c r="P617">
        <v>1937</v>
      </c>
      <c r="Q617" s="47">
        <v>46279</v>
      </c>
      <c r="R617" s="22" t="str">
        <f>IF(H617="","",H617&amp;I617)</f>
        <v>260727-381SALIDA</v>
      </c>
      <c r="S617" s="22" t="str">
        <f>IF(C617="","",C617&amp;I617)</f>
        <v>AzukaSALIDA</v>
      </c>
      <c r="T617" t="str">
        <f>IF(OR(C617="",I617&lt;&gt;"ENTRADA"),"",TEXT(B617,"AAMMDD")&amp;"-"&amp;TEXT(VALUE(SUBSTITUTE(A617,"MOV-","")),"000"))</f>
        <v/>
      </c>
    </row>
    <row r="618" spans="1:20">
      <c r="A618" s="20" t="s">
        <v>931</v>
      </c>
      <c r="B618" s="47">
        <v>46276</v>
      </c>
      <c r="C618" t="s">
        <v>122</v>
      </c>
      <c r="D618" t="s">
        <v>123</v>
      </c>
      <c r="E618" t="s">
        <v>34</v>
      </c>
      <c r="F618" t="s">
        <v>35</v>
      </c>
      <c r="G618" t="s">
        <v>117</v>
      </c>
      <c r="H618" s="20" t="s">
        <v>203</v>
      </c>
      <c r="I618" t="s">
        <v>65</v>
      </c>
      <c r="J618" s="30">
        <v>50</v>
      </c>
      <c r="K618" s="22">
        <f>IF(I618="","",IF(I618="ENTRADA",ABS(J618),-ABS(J618)))</f>
        <v>-50</v>
      </c>
      <c r="L618" t="s">
        <v>37</v>
      </c>
      <c r="N618">
        <v>65210</v>
      </c>
      <c r="O618" t="s">
        <v>387</v>
      </c>
      <c r="P618">
        <v>1937</v>
      </c>
      <c r="Q618" s="47">
        <v>46279</v>
      </c>
      <c r="R618" s="22" t="str">
        <f>IF(H618="","",H618&amp;I618)</f>
        <v>260410-027SALIDA</v>
      </c>
      <c r="S618" s="22" t="str">
        <f>IF(C618="","",C618&amp;I618)</f>
        <v>PardoSALIDA</v>
      </c>
      <c r="T618" t="str">
        <f>IF(OR(C618="",I618&lt;&gt;"ENTRADA"),"",TEXT(B618,"AAMMDD")&amp;"-"&amp;TEXT(VALUE(SUBSTITUTE(A618,"MOV-","")),"000"))</f>
        <v/>
      </c>
    </row>
    <row r="619" spans="1:20">
      <c r="A619" s="20" t="s">
        <v>932</v>
      </c>
      <c r="B619" s="47">
        <v>46279</v>
      </c>
      <c r="C619" t="s">
        <v>933</v>
      </c>
      <c r="D619" t="s">
        <v>934</v>
      </c>
      <c r="E619" t="s">
        <v>516</v>
      </c>
      <c r="G619" t="s">
        <v>36</v>
      </c>
      <c r="H619" s="20" t="str">
        <f>+T619</f>
        <v>260914-621</v>
      </c>
      <c r="I619" t="s">
        <v>28</v>
      </c>
      <c r="J619" s="30">
        <v>3300</v>
      </c>
      <c r="K619" s="22">
        <f>IF(I619="","",IF(I619="ENTRADA",ABS(J619),-ABS(J619)))</f>
        <v>3300</v>
      </c>
      <c r="L619" t="s">
        <v>37</v>
      </c>
      <c r="N619">
        <v>13641</v>
      </c>
      <c r="P619">
        <v>15096</v>
      </c>
      <c r="Q619" s="47">
        <v>46279</v>
      </c>
      <c r="R619" s="22" t="str">
        <f>IF(H619="","",H619&amp;I619)</f>
        <v>260914-621ENTRADA</v>
      </c>
      <c r="S619" s="22" t="str">
        <f>IF(C619="","",C619&amp;I619)</f>
        <v>swing plusENTRADA</v>
      </c>
      <c r="T619" t="str">
        <f>IF(OR(C619="",I619&lt;&gt;"ENTRADA"),"",TEXT(B619,"AAMMDD")&amp;"-"&amp;TEXT(VALUE(SUBSTITUTE(A619,"MOV-","")),"000"))</f>
        <v>260914-621</v>
      </c>
    </row>
    <row r="620" spans="1:20">
      <c r="A620" s="20" t="s">
        <v>935</v>
      </c>
      <c r="B620" s="47">
        <v>46275</v>
      </c>
      <c r="C620" t="s">
        <v>115</v>
      </c>
      <c r="D620" t="s">
        <v>116</v>
      </c>
      <c r="E620" t="s">
        <v>34</v>
      </c>
      <c r="F620" t="s">
        <v>35</v>
      </c>
      <c r="G620" t="s">
        <v>117</v>
      </c>
      <c r="H620" s="20" t="str">
        <f>+T620</f>
        <v>260910-622</v>
      </c>
      <c r="I620" t="s">
        <v>28</v>
      </c>
      <c r="J620" s="30">
        <v>21120</v>
      </c>
      <c r="K620" s="22">
        <f>IF(I620="","",IF(I620="ENTRADA",ABS(J620),-ABS(J620)))</f>
        <v>21120</v>
      </c>
      <c r="L620" t="s">
        <v>37</v>
      </c>
      <c r="M620" s="47">
        <v>46904</v>
      </c>
      <c r="N620">
        <v>51051</v>
      </c>
      <c r="P620">
        <v>15177</v>
      </c>
      <c r="Q620" s="47">
        <v>46288</v>
      </c>
      <c r="R620" s="22" t="str">
        <f>IF(H620="","",H620&amp;I620)</f>
        <v>260910-622ENTRADA</v>
      </c>
      <c r="S620" s="22" t="str">
        <f>IF(C620="","",C620&amp;I620)</f>
        <v>AzukaENTRADA</v>
      </c>
      <c r="T620" t="str">
        <f>IF(OR(C620="",I620&lt;&gt;"ENTRADA"),"",TEXT(B620,"AAMMDD")&amp;"-"&amp;TEXT(VALUE(SUBSTITUTE(A620,"MOV-","")),"000"))</f>
        <v>260910-622</v>
      </c>
    </row>
    <row r="621" spans="1:20">
      <c r="A621" s="20" t="s">
        <v>936</v>
      </c>
      <c r="B621" s="47">
        <v>46210</v>
      </c>
      <c r="C621" t="s">
        <v>719</v>
      </c>
      <c r="D621" t="s">
        <v>720</v>
      </c>
      <c r="E621" t="s">
        <v>34</v>
      </c>
      <c r="F621" t="s">
        <v>35</v>
      </c>
      <c r="G621" t="s">
        <v>117</v>
      </c>
      <c r="H621" s="20" t="str">
        <f>+T621</f>
        <v>260707-623</v>
      </c>
      <c r="I621" t="s">
        <v>28</v>
      </c>
      <c r="J621" s="30">
        <v>6880</v>
      </c>
      <c r="K621" s="22">
        <f>IF(I621="","",IF(I621="ENTRADA",ABS(J621),-ABS(J621)))</f>
        <v>6880</v>
      </c>
      <c r="L621" t="s">
        <v>37</v>
      </c>
      <c r="N621">
        <v>50993</v>
      </c>
      <c r="P621">
        <v>15102</v>
      </c>
      <c r="Q621" s="47">
        <v>46279</v>
      </c>
      <c r="R621" s="22" t="str">
        <f>IF(H621="","",H621&amp;I621)</f>
        <v>260707-623ENTRADA</v>
      </c>
      <c r="S621" s="22" t="str">
        <f>IF(C621="","",C621&amp;I621)</f>
        <v>Gamina ENTRADA</v>
      </c>
      <c r="T621" t="str">
        <f>IF(OR(C621="",I621&lt;&gt;"ENTRADA"),"",TEXT(B621,"AAMMDD")&amp;"-"&amp;TEXT(VALUE(SUBSTITUTE(A621,"MOV-","")),"000"))</f>
        <v>260707-623</v>
      </c>
    </row>
    <row r="622" spans="1:20">
      <c r="A622" s="20" t="s">
        <v>937</v>
      </c>
      <c r="B622" s="47">
        <v>46280</v>
      </c>
      <c r="C622" t="s">
        <v>122</v>
      </c>
      <c r="D622" t="s">
        <v>123</v>
      </c>
      <c r="E622" t="s">
        <v>34</v>
      </c>
      <c r="F622" t="s">
        <v>35</v>
      </c>
      <c r="G622" t="s">
        <v>117</v>
      </c>
      <c r="H622" s="20" t="s">
        <v>938</v>
      </c>
      <c r="I622" t="s">
        <v>28</v>
      </c>
      <c r="J622" s="30">
        <v>3840</v>
      </c>
      <c r="K622" s="22">
        <f>IF(I622="","",IF(I622="ENTRADA",ABS(J622),-ABS(J622)))</f>
        <v>3840</v>
      </c>
      <c r="L622" t="s">
        <v>37</v>
      </c>
      <c r="N622">
        <v>51029</v>
      </c>
      <c r="P622">
        <v>15125</v>
      </c>
      <c r="Q622" s="47">
        <v>46280</v>
      </c>
      <c r="R622" s="22" t="str">
        <f>IF(H622="","",H622&amp;I622)</f>
        <v>260727-380ENTRADA</v>
      </c>
      <c r="S622" s="22" t="str">
        <f>IF(C622="","",C622&amp;I622)</f>
        <v>PardoENTRADA</v>
      </c>
      <c r="T622" t="str">
        <f>IF(OR(C622="",I622&lt;&gt;"ENTRADA"),"",TEXT(B622,"AAMMDD")&amp;"-"&amp;TEXT(VALUE(SUBSTITUTE(A622,"MOV-","")),"000"))</f>
        <v>260915-624</v>
      </c>
    </row>
    <row r="623" spans="1:20">
      <c r="A623" s="20" t="s">
        <v>939</v>
      </c>
      <c r="B623" s="47">
        <v>46280</v>
      </c>
      <c r="C623" t="s">
        <v>940</v>
      </c>
      <c r="D623" t="s">
        <v>941</v>
      </c>
      <c r="E623" t="s">
        <v>34</v>
      </c>
      <c r="F623" t="s">
        <v>35</v>
      </c>
      <c r="G623" t="s">
        <v>36</v>
      </c>
      <c r="H623" s="20" t="str">
        <f>+T623</f>
        <v>260915-625</v>
      </c>
      <c r="I623" t="s">
        <v>28</v>
      </c>
      <c r="J623" s="30">
        <v>2800</v>
      </c>
      <c r="K623" s="22">
        <f>IF(I623="","",IF(I623="ENTRADA",ABS(J623),-ABS(J623)))</f>
        <v>2800</v>
      </c>
      <c r="L623" t="s">
        <v>37</v>
      </c>
      <c r="N623">
        <v>13704</v>
      </c>
      <c r="P623">
        <v>15176</v>
      </c>
      <c r="Q623" s="47">
        <v>46288</v>
      </c>
      <c r="R623" s="22" t="str">
        <f>IF(H623="","",H623&amp;I623)</f>
        <v>260915-625ENTRADA</v>
      </c>
      <c r="S623" s="22" t="str">
        <f>IF(C623="","",C623&amp;I623)</f>
        <v>yescaENTRADA</v>
      </c>
      <c r="T623" t="str">
        <f>IF(OR(C623="",I623&lt;&gt;"ENTRADA"),"",TEXT(B623,"AAMMDD")&amp;"-"&amp;TEXT(VALUE(SUBSTITUTE(A623,"MOV-","")),"000"))</f>
        <v>260915-625</v>
      </c>
    </row>
    <row r="624" spans="1:20">
      <c r="A624" s="20" t="s">
        <v>942</v>
      </c>
      <c r="B624" s="47">
        <v>46282</v>
      </c>
      <c r="C624" t="s">
        <v>943</v>
      </c>
      <c r="D624" t="s">
        <v>944</v>
      </c>
      <c r="E624" t="s">
        <v>516</v>
      </c>
      <c r="G624" t="s">
        <v>777</v>
      </c>
      <c r="H624" s="20" t="str">
        <f>+T624</f>
        <v>260917-626</v>
      </c>
      <c r="I624" t="s">
        <v>28</v>
      </c>
      <c r="J624" s="30">
        <v>360</v>
      </c>
      <c r="K624" s="22">
        <f>IF(I624="","",IF(I624="ENTRADA",ABS(J624),-ABS(J624)))</f>
        <v>360</v>
      </c>
      <c r="L624" t="s">
        <v>56</v>
      </c>
      <c r="N624">
        <v>13691</v>
      </c>
      <c r="P624">
        <v>15178</v>
      </c>
      <c r="Q624" s="47">
        <v>46288</v>
      </c>
      <c r="R624" s="22" t="str">
        <f>IF(H624="","",H624&amp;I624)</f>
        <v>260917-626ENTRADA</v>
      </c>
      <c r="S624" s="22" t="str">
        <f>IF(C624="","",C624&amp;I624)</f>
        <v>Miravis triple packENTRADA</v>
      </c>
      <c r="T624" t="str">
        <f>IF(OR(C624="",I624&lt;&gt;"ENTRADA"),"",TEXT(B624,"AAMMDD")&amp;"-"&amp;TEXT(VALUE(SUBSTITUTE(A624,"MOV-","")),"000"))</f>
        <v>260917-626</v>
      </c>
    </row>
    <row r="625" spans="1:20">
      <c r="A625" s="20" t="s">
        <v>945</v>
      </c>
      <c r="B625" s="47">
        <v>46282</v>
      </c>
      <c r="C625" t="s">
        <v>629</v>
      </c>
      <c r="D625" t="s">
        <v>630</v>
      </c>
      <c r="E625" t="s">
        <v>25</v>
      </c>
      <c r="F625" t="s">
        <v>631</v>
      </c>
      <c r="G625" t="s">
        <v>158</v>
      </c>
      <c r="H625" s="20" t="str">
        <f>+T625</f>
        <v>260917-627</v>
      </c>
      <c r="I625" t="s">
        <v>28</v>
      </c>
      <c r="J625" s="30">
        <v>216</v>
      </c>
      <c r="K625" s="22">
        <f>IF(I625="","",IF(I625="ENTRADA",ABS(J625),-ABS(J625)))</f>
        <v>216</v>
      </c>
      <c r="L625" t="s">
        <v>632</v>
      </c>
      <c r="N625">
        <v>35960</v>
      </c>
      <c r="P625">
        <v>15181</v>
      </c>
      <c r="Q625" s="47">
        <v>46289</v>
      </c>
      <c r="R625" s="22" t="str">
        <f>IF(H625="","",H625&amp;I625)</f>
        <v>260917-627ENTRADA</v>
      </c>
      <c r="S625" s="22" t="str">
        <f>IF(C625="","",C625&amp;I625)</f>
        <v>semilla maiz DK 69-62 TREENTRADA</v>
      </c>
      <c r="T625" t="str">
        <f>IF(OR(C625="",I625&lt;&gt;"ENTRADA"),"",TEXT(B625,"AAMMDD")&amp;"-"&amp;TEXT(VALUE(SUBSTITUTE(A625,"MOV-","")),"000"))</f>
        <v>260917-627</v>
      </c>
    </row>
    <row r="626" spans="1:20">
      <c r="A626" s="20" t="s">
        <v>946</v>
      </c>
      <c r="B626" s="60">
        <v>46283</v>
      </c>
      <c r="C626" t="s">
        <v>629</v>
      </c>
      <c r="D626" s="34" t="s">
        <v>630</v>
      </c>
      <c r="E626" s="34" t="s">
        <v>25</v>
      </c>
      <c r="F626" s="34" t="s">
        <v>631</v>
      </c>
      <c r="G626" s="34" t="s">
        <v>158</v>
      </c>
      <c r="H626" s="20" t="s">
        <v>947</v>
      </c>
      <c r="I626" s="34" t="s">
        <v>28</v>
      </c>
      <c r="J626" s="36">
        <v>216</v>
      </c>
      <c r="K626" s="22">
        <f>IF(I626="","",IF(I626="ENTRADA",ABS(J626),-ABS(J626)))</f>
        <v>216</v>
      </c>
      <c r="L626" s="34" t="s">
        <v>632</v>
      </c>
      <c r="M626" s="34"/>
      <c r="N626">
        <v>35983</v>
      </c>
      <c r="O626" s="34"/>
      <c r="P626">
        <v>15198</v>
      </c>
      <c r="Q626" s="61">
        <v>46293</v>
      </c>
      <c r="R626" s="22" t="str">
        <f>IF(H626="","",H626&amp;I626)</f>
        <v>260917-627ENTRADA</v>
      </c>
      <c r="S626" s="22" t="str">
        <f>IF(C626="","",C626&amp;I626)</f>
        <v>semilla maiz DK 69-62 TREENTRADA</v>
      </c>
      <c r="T626" t="str">
        <f>IF(OR(C626="",I626&lt;&gt;"ENTRADA"),"",TEXT(B626,"AAMMDD")&amp;"-"&amp;TEXT(VALUE(SUBSTITUTE(A626,"MOV-","")),"000"))</f>
        <v>260918-628</v>
      </c>
    </row>
    <row r="627" spans="1:20">
      <c r="A627" s="20" t="s">
        <v>948</v>
      </c>
      <c r="B627" s="47">
        <v>46283</v>
      </c>
      <c r="C627" t="s">
        <v>629</v>
      </c>
      <c r="D627" t="s">
        <v>630</v>
      </c>
      <c r="E627" t="s">
        <v>25</v>
      </c>
      <c r="F627" t="s">
        <v>631</v>
      </c>
      <c r="G627" t="s">
        <v>158</v>
      </c>
      <c r="H627" s="20" t="s">
        <v>947</v>
      </c>
      <c r="I627" t="s">
        <v>28</v>
      </c>
      <c r="J627" s="30">
        <v>168</v>
      </c>
      <c r="K627" s="22">
        <f>IF(I627="","",IF(I627="ENTRADA",ABS(J627),-ABS(J627)))</f>
        <v>168</v>
      </c>
      <c r="L627" t="s">
        <v>632</v>
      </c>
      <c r="N627">
        <v>36028</v>
      </c>
      <c r="P627">
        <v>15199</v>
      </c>
      <c r="Q627" s="61">
        <v>46293</v>
      </c>
      <c r="R627" s="22" t="str">
        <f>IF(H627="","",H627&amp;I627)</f>
        <v>260917-627ENTRADA</v>
      </c>
      <c r="S627" s="22" t="str">
        <f>IF(C627="","",C627&amp;I627)</f>
        <v>semilla maiz DK 69-62 TREENTRADA</v>
      </c>
      <c r="T627" t="str">
        <f>IF(OR(C627="",I627&lt;&gt;"ENTRADA"),"",TEXT(B627,"AAMMDD")&amp;"-"&amp;TEXT(VALUE(SUBSTITUTE(A627,"MOV-","")),"000"))</f>
        <v>260918-629</v>
      </c>
    </row>
    <row r="628" spans="1:20">
      <c r="A628" s="20" t="s">
        <v>949</v>
      </c>
      <c r="B628" s="47">
        <v>46283</v>
      </c>
      <c r="C628" t="s">
        <v>950</v>
      </c>
      <c r="D628" t="s">
        <v>951</v>
      </c>
      <c r="E628" t="s">
        <v>25</v>
      </c>
      <c r="F628" t="s">
        <v>631</v>
      </c>
      <c r="G628" t="s">
        <v>158</v>
      </c>
      <c r="H628" s="20" t="str">
        <f>+T628</f>
        <v>260918-630</v>
      </c>
      <c r="I628" t="s">
        <v>28</v>
      </c>
      <c r="J628" s="30">
        <v>41</v>
      </c>
      <c r="K628" s="22">
        <f>IF(I628="","",IF(I628="ENTRADA",ABS(J628),-ABS(J628)))</f>
        <v>41</v>
      </c>
      <c r="L628" t="s">
        <v>632</v>
      </c>
      <c r="N628">
        <v>36028</v>
      </c>
      <c r="P628">
        <v>15199</v>
      </c>
      <c r="Q628" s="61">
        <v>46293</v>
      </c>
      <c r="R628" s="22" t="str">
        <f>IF(H628="","",H628&amp;I628)</f>
        <v>260918-630ENTRADA</v>
      </c>
      <c r="S628" s="22" t="str">
        <f>IF(C628="","",C628&amp;I628)</f>
        <v>refugio dk 72-72 RR2ENTRADA</v>
      </c>
      <c r="T628" t="str">
        <f>IF(OR(C628="",I628&lt;&gt;"ENTRADA"),"",TEXT(B628,"AAMMDD")&amp;"-"&amp;TEXT(VALUE(SUBSTITUTE(A628,"MOV-","")),"000"))</f>
        <v>260918-630</v>
      </c>
    </row>
    <row r="629" spans="1:20">
      <c r="A629" s="20" t="s">
        <v>952</v>
      </c>
      <c r="B629" s="47">
        <v>46281</v>
      </c>
      <c r="C629" t="s">
        <v>940</v>
      </c>
      <c r="D629" t="s">
        <v>941</v>
      </c>
      <c r="E629" t="s">
        <v>34</v>
      </c>
      <c r="F629" t="s">
        <v>35</v>
      </c>
      <c r="G629" t="s">
        <v>36</v>
      </c>
      <c r="H629" s="20" t="s">
        <v>953</v>
      </c>
      <c r="I629" t="s">
        <v>65</v>
      </c>
      <c r="J629" s="30">
        <v>900</v>
      </c>
      <c r="K629" s="22">
        <f>IF(I629="","",IF(I629="ENTRADA",ABS(J629),-ABS(J629)))</f>
        <v>-900</v>
      </c>
      <c r="L629" t="s">
        <v>37</v>
      </c>
      <c r="N629">
        <v>65212</v>
      </c>
      <c r="O629" t="s">
        <v>382</v>
      </c>
      <c r="P629">
        <v>1941</v>
      </c>
      <c r="Q629" s="47">
        <v>46288</v>
      </c>
      <c r="R629" s="22" t="str">
        <f>IF(H629="","",H629&amp;I629)</f>
        <v>260915-625SALIDA</v>
      </c>
      <c r="S629" s="22" t="str">
        <f>IF(C629="","",C629&amp;I629)</f>
        <v>yescaSALIDA</v>
      </c>
      <c r="T629" t="str">
        <f>IF(OR(C629="",I629&lt;&gt;"ENTRADA"),"",TEXT(B629,"AAMMDD")&amp;"-"&amp;TEXT(VALUE(SUBSTITUTE(A629,"MOV-","")),"000"))</f>
        <v/>
      </c>
    </row>
    <row r="630" spans="1:20">
      <c r="A630" s="20" t="s">
        <v>954</v>
      </c>
      <c r="B630" s="47">
        <v>46281</v>
      </c>
      <c r="C630" t="s">
        <v>130</v>
      </c>
      <c r="D630" t="s">
        <v>131</v>
      </c>
      <c r="E630" t="s">
        <v>132</v>
      </c>
      <c r="G630" t="s">
        <v>133</v>
      </c>
      <c r="H630" s="20" t="s">
        <v>221</v>
      </c>
      <c r="I630" t="s">
        <v>65</v>
      </c>
      <c r="J630" s="30">
        <v>45</v>
      </c>
      <c r="K630" s="22">
        <f>IF(I630="","",IF(I630="ENTRADA",ABS(J630),-ABS(J630)))</f>
        <v>-45</v>
      </c>
      <c r="L630" t="s">
        <v>37</v>
      </c>
      <c r="N630">
        <v>65212</v>
      </c>
      <c r="O630" t="s">
        <v>382</v>
      </c>
      <c r="P630">
        <v>1941</v>
      </c>
      <c r="Q630" s="47">
        <v>46288</v>
      </c>
      <c r="R630" s="22" t="str">
        <f>IF(H630="","",H630&amp;I630)</f>
        <v>260414-029SALIDA</v>
      </c>
      <c r="S630" s="22" t="str">
        <f>IF(C630="","",C630&amp;I630)</f>
        <v>HarrierSALIDA</v>
      </c>
      <c r="T630" t="str">
        <f>IF(OR(C630="",I630&lt;&gt;"ENTRADA"),"",TEXT(B630,"AAMMDD")&amp;"-"&amp;TEXT(VALUE(SUBSTITUTE(A630,"MOV-","")),"000"))</f>
        <v/>
      </c>
    </row>
    <row r="631" spans="1:20">
      <c r="A631" s="20" t="s">
        <v>955</v>
      </c>
      <c r="B631" s="47">
        <v>46281</v>
      </c>
      <c r="C631" t="s">
        <v>137</v>
      </c>
      <c r="D631" t="s">
        <v>138</v>
      </c>
      <c r="E631" t="s">
        <v>132</v>
      </c>
      <c r="G631" t="s">
        <v>133</v>
      </c>
      <c r="H631" s="20" t="s">
        <v>211</v>
      </c>
      <c r="I631" t="s">
        <v>65</v>
      </c>
      <c r="J631" s="30">
        <v>8</v>
      </c>
      <c r="K631" s="22">
        <f>IF(I631="","",IF(I631="ENTRADA",ABS(J631),-ABS(J631)))</f>
        <v>-8</v>
      </c>
      <c r="L631" t="s">
        <v>37</v>
      </c>
      <c r="N631">
        <v>65212</v>
      </c>
      <c r="O631" t="s">
        <v>382</v>
      </c>
      <c r="P631">
        <v>1941</v>
      </c>
      <c r="Q631" s="47">
        <v>46288</v>
      </c>
      <c r="R631" s="22" t="str">
        <f>IF(H631="","",H631&amp;I631)</f>
        <v>260414-030SALIDA</v>
      </c>
      <c r="S631" s="22" t="str">
        <f>IF(C631="","",C631&amp;I631)</f>
        <v>Full controlSALIDA</v>
      </c>
      <c r="T631" t="str">
        <f>IF(OR(C631="",I631&lt;&gt;"ENTRADA"),"",TEXT(B631,"AAMMDD")&amp;"-"&amp;TEXT(VALUE(SUBSTITUTE(A631,"MOV-","")),"000"))</f>
        <v/>
      </c>
    </row>
    <row r="632" spans="1:20">
      <c r="A632" s="20" t="s">
        <v>956</v>
      </c>
      <c r="B632" s="47">
        <v>46281</v>
      </c>
      <c r="C632" t="s">
        <v>137</v>
      </c>
      <c r="D632" t="s">
        <v>138</v>
      </c>
      <c r="E632" t="s">
        <v>132</v>
      </c>
      <c r="G632" t="s">
        <v>133</v>
      </c>
      <c r="H632" s="20" t="s">
        <v>211</v>
      </c>
      <c r="I632" t="s">
        <v>65</v>
      </c>
      <c r="J632" s="30">
        <v>210</v>
      </c>
      <c r="K632" s="22">
        <f>IF(I632="","",IF(I632="ENTRADA",ABS(J632),-ABS(J632)))</f>
        <v>-210</v>
      </c>
      <c r="L632" t="s">
        <v>37</v>
      </c>
      <c r="N632">
        <v>65213</v>
      </c>
      <c r="O632" t="s">
        <v>213</v>
      </c>
      <c r="P632">
        <v>1942</v>
      </c>
      <c r="Q632" s="47">
        <v>46289</v>
      </c>
      <c r="R632" s="22" t="str">
        <f>IF(H632="","",H632&amp;I632)</f>
        <v>260414-030SALIDA</v>
      </c>
      <c r="S632" s="22" t="str">
        <f>IF(C632="","",C632&amp;I632)</f>
        <v>Full controlSALIDA</v>
      </c>
      <c r="T632" t="str">
        <f>IF(OR(C632="",I632&lt;&gt;"ENTRADA"),"",TEXT(B632,"AAMMDD")&amp;"-"&amp;TEXT(VALUE(SUBSTITUTE(A632,"MOV-","")),"000"))</f>
        <v/>
      </c>
    </row>
    <row r="633" spans="1:20">
      <c r="A633" s="20" t="s">
        <v>957</v>
      </c>
      <c r="B633" s="47">
        <v>46281</v>
      </c>
      <c r="C633" t="s">
        <v>130</v>
      </c>
      <c r="D633" t="s">
        <v>131</v>
      </c>
      <c r="E633" t="s">
        <v>132</v>
      </c>
      <c r="G633" t="s">
        <v>133</v>
      </c>
      <c r="H633" s="20" t="s">
        <v>221</v>
      </c>
      <c r="I633" t="s">
        <v>65</v>
      </c>
      <c r="J633" s="30">
        <v>200</v>
      </c>
      <c r="K633" s="22">
        <f>IF(I633="","",IF(I633="ENTRADA",ABS(J633),-ABS(J633)))</f>
        <v>-200</v>
      </c>
      <c r="L633" t="s">
        <v>37</v>
      </c>
      <c r="N633">
        <v>65213</v>
      </c>
      <c r="O633" t="s">
        <v>213</v>
      </c>
      <c r="P633">
        <v>1942</v>
      </c>
      <c r="Q633" s="47">
        <v>46289</v>
      </c>
      <c r="R633" s="22" t="str">
        <f>IF(H633="","",H633&amp;I633)</f>
        <v>260414-029SALIDA</v>
      </c>
      <c r="S633" s="22" t="str">
        <f>IF(C633="","",C633&amp;I633)</f>
        <v>HarrierSALIDA</v>
      </c>
      <c r="T633" t="str">
        <f>IF(OR(C633="",I633&lt;&gt;"ENTRADA"),"",TEXT(B633,"AAMMDD")&amp;"-"&amp;TEXT(VALUE(SUBSTITUTE(A633,"MOV-","")),"000"))</f>
        <v/>
      </c>
    </row>
    <row r="634" spans="1:20">
      <c r="A634" s="20" t="s">
        <v>958</v>
      </c>
      <c r="B634" s="47">
        <v>46282</v>
      </c>
      <c r="C634" t="s">
        <v>44</v>
      </c>
      <c r="D634" t="s">
        <v>63</v>
      </c>
      <c r="E634" t="s">
        <v>34</v>
      </c>
      <c r="F634" t="s">
        <v>46</v>
      </c>
      <c r="G634" t="s">
        <v>36</v>
      </c>
      <c r="H634" s="20" t="s">
        <v>64</v>
      </c>
      <c r="I634" t="s">
        <v>65</v>
      </c>
      <c r="J634" s="30">
        <v>25</v>
      </c>
      <c r="K634" s="22">
        <f>IF(I634="","",IF(I634="ENTRADA",ABS(J634),-ABS(J634)))</f>
        <v>-25</v>
      </c>
      <c r="L634" t="s">
        <v>37</v>
      </c>
      <c r="N634">
        <v>65214</v>
      </c>
      <c r="O634" t="s">
        <v>218</v>
      </c>
      <c r="P634">
        <v>1944</v>
      </c>
      <c r="Q634" s="47">
        <v>46293</v>
      </c>
      <c r="R634" s="22" t="str">
        <f>IF(H634="","",H634&amp;I634)</f>
        <v>260401-004SALIDA</v>
      </c>
      <c r="S634" s="22" t="str">
        <f>IF(C634="","",C634&amp;I634)</f>
        <v>PresideSALIDA</v>
      </c>
      <c r="T634" t="str">
        <f>IF(OR(C634="",I634&lt;&gt;"ENTRADA"),"",TEXT(B634,"AAMMDD")&amp;"-"&amp;TEXT(VALUE(SUBSTITUTE(A634,"MOV-","")),"000"))</f>
        <v/>
      </c>
    </row>
    <row r="635" spans="1:20">
      <c r="A635" s="20" t="s">
        <v>959</v>
      </c>
      <c r="B635" s="47">
        <v>46282</v>
      </c>
      <c r="C635" t="s">
        <v>59</v>
      </c>
      <c r="D635" t="s">
        <v>60</v>
      </c>
      <c r="E635" t="s">
        <v>34</v>
      </c>
      <c r="F635" t="s">
        <v>35</v>
      </c>
      <c r="H635" s="20" t="s">
        <v>68</v>
      </c>
      <c r="I635" t="s">
        <v>65</v>
      </c>
      <c r="J635" s="30">
        <v>50</v>
      </c>
      <c r="K635" s="22">
        <f>IF(I635="","",IF(I635="ENTRADA",ABS(J635),-ABS(J635)))</f>
        <v>-50</v>
      </c>
      <c r="L635" t="s">
        <v>37</v>
      </c>
      <c r="N635">
        <v>65214</v>
      </c>
      <c r="O635" t="s">
        <v>218</v>
      </c>
      <c r="P635">
        <v>1944</v>
      </c>
      <c r="Q635" s="47">
        <v>46293</v>
      </c>
      <c r="R635" s="22" t="str">
        <f>IF(H635="","",H635&amp;I635)</f>
        <v>260401-008SALIDA</v>
      </c>
      <c r="S635" s="22" t="str">
        <f>IF(C635="","",C635&amp;I635)</f>
        <v>Venceweed extraSALIDA</v>
      </c>
      <c r="T635" t="str">
        <f>IF(OR(C635="",I635&lt;&gt;"ENTRADA"),"",TEXT(B635,"AAMMDD")&amp;"-"&amp;TEXT(VALUE(SUBSTITUTE(A635,"MOV-","")),"000"))</f>
        <v/>
      </c>
    </row>
    <row r="636" spans="1:20">
      <c r="A636" s="20" t="s">
        <v>960</v>
      </c>
      <c r="B636" s="47">
        <v>46282</v>
      </c>
      <c r="C636" t="s">
        <v>90</v>
      </c>
      <c r="D636" t="s">
        <v>91</v>
      </c>
      <c r="E636" t="s">
        <v>34</v>
      </c>
      <c r="F636" t="s">
        <v>35</v>
      </c>
      <c r="G636" t="s">
        <v>36</v>
      </c>
      <c r="H636" s="20" t="s">
        <v>375</v>
      </c>
      <c r="I636" t="s">
        <v>65</v>
      </c>
      <c r="J636" s="30">
        <v>25</v>
      </c>
      <c r="K636" s="22">
        <f>IF(I636="","",IF(I636="ENTRADA",ABS(J636),-ABS(J636)))</f>
        <v>-25</v>
      </c>
      <c r="L636" t="s">
        <v>37</v>
      </c>
      <c r="N636">
        <v>65214</v>
      </c>
      <c r="O636" t="s">
        <v>218</v>
      </c>
      <c r="P636">
        <v>1944</v>
      </c>
      <c r="Q636" s="47">
        <v>46293</v>
      </c>
      <c r="R636" s="22" t="str">
        <f>IF(H636="","",H636&amp;I636)</f>
        <v>260405-132SALIDA</v>
      </c>
      <c r="S636" s="22" t="str">
        <f>IF(C636="","",C636&amp;I636)</f>
        <v>PixxaroSALIDA</v>
      </c>
      <c r="T636" t="str">
        <f>IF(OR(C636="",I636&lt;&gt;"ENTRADA"),"",TEXT(B636,"AAMMDD")&amp;"-"&amp;TEXT(VALUE(SUBSTITUTE(A636,"MOV-","")),"000"))</f>
        <v/>
      </c>
    </row>
    <row r="637" spans="1:20">
      <c r="A637" s="20" t="s">
        <v>961</v>
      </c>
      <c r="B637" s="47">
        <v>46281</v>
      </c>
      <c r="C637" s="34" t="s">
        <v>634</v>
      </c>
      <c r="D637" s="34" t="s">
        <v>630</v>
      </c>
      <c r="E637" s="34" t="s">
        <v>25</v>
      </c>
      <c r="F637" s="34" t="s">
        <v>631</v>
      </c>
      <c r="G637" s="34" t="s">
        <v>158</v>
      </c>
      <c r="H637" s="20" t="s">
        <v>824</v>
      </c>
      <c r="I637" s="34" t="s">
        <v>65</v>
      </c>
      <c r="J637" s="30">
        <v>1</v>
      </c>
      <c r="K637" s="22">
        <f>IF(I637="","",IF(I637="ENTRADA",ABS(J637),-ABS(J637)))</f>
        <v>-1</v>
      </c>
      <c r="L637" s="34" t="s">
        <v>632</v>
      </c>
      <c r="M637" s="34"/>
      <c r="N637">
        <v>65215</v>
      </c>
      <c r="O637" s="34" t="s">
        <v>382</v>
      </c>
      <c r="P637" s="34">
        <v>1945</v>
      </c>
      <c r="Q637" s="35">
        <v>46293</v>
      </c>
      <c r="R637" s="22" t="str">
        <f>IF(H637="","",H637&amp;I637)</f>
        <v>260617-374SALIDA</v>
      </c>
      <c r="S637" s="22" t="str">
        <f>IF(C637="","",C637&amp;I637)</f>
        <v>semilla maiz DK 72-10 RR2C5 refugioSALIDA</v>
      </c>
      <c r="T637" t="str">
        <f>IF(OR(C637="",I637&lt;&gt;"ENTRADA"),"",TEXT(B637,"AAMMDD")&amp;"-"&amp;TEXT(VALUE(SUBSTITUTE(A637,"MOV-","")),"000"))</f>
        <v/>
      </c>
    </row>
    <row r="638" spans="1:20">
      <c r="A638" s="20" t="s">
        <v>962</v>
      </c>
      <c r="B638" s="47">
        <v>46283</v>
      </c>
      <c r="C638" t="s">
        <v>514</v>
      </c>
      <c r="D638" t="s">
        <v>515</v>
      </c>
      <c r="E638" t="s">
        <v>516</v>
      </c>
      <c r="G638" t="s">
        <v>117</v>
      </c>
      <c r="H638" s="20" t="s">
        <v>664</v>
      </c>
      <c r="I638" t="s">
        <v>65</v>
      </c>
      <c r="J638" s="30">
        <v>190</v>
      </c>
      <c r="K638" s="22">
        <f>IF(I638="","",IF(I638="ENTRADA",ABS(J638),-ABS(J638)))</f>
        <v>-190</v>
      </c>
      <c r="L638" t="s">
        <v>37</v>
      </c>
      <c r="N638">
        <v>65217</v>
      </c>
      <c r="O638" t="s">
        <v>218</v>
      </c>
      <c r="P638">
        <v>1943</v>
      </c>
      <c r="Q638" s="35">
        <v>46293</v>
      </c>
      <c r="R638" s="22" t="str">
        <f>IF(H638="","",H638&amp;I638)</f>
        <v>260730-396SALIDA</v>
      </c>
      <c r="S638" s="22" t="str">
        <f>IF(C638="","",C638&amp;I638)</f>
        <v>Unico MaxSALIDA</v>
      </c>
      <c r="T638" t="str">
        <f>IF(OR(C638="",I638&lt;&gt;"ENTRADA"),"",TEXT(B638,"AAMMDD")&amp;"-"&amp;TEXT(VALUE(SUBSTITUTE(A638,"MOV-","")),"000"))</f>
        <v/>
      </c>
    </row>
    <row r="639" spans="1:20">
      <c r="A639" s="20" t="s">
        <v>963</v>
      </c>
      <c r="B639" s="47">
        <v>46283</v>
      </c>
      <c r="C639" t="s">
        <v>629</v>
      </c>
      <c r="D639" t="s">
        <v>630</v>
      </c>
      <c r="E639" t="s">
        <v>25</v>
      </c>
      <c r="F639" t="s">
        <v>631</v>
      </c>
      <c r="G639" t="s">
        <v>158</v>
      </c>
      <c r="H639" s="20" t="s">
        <v>947</v>
      </c>
      <c r="I639" t="s">
        <v>28</v>
      </c>
      <c r="J639" s="30">
        <v>215</v>
      </c>
      <c r="K639" s="22">
        <f>IF(I639="","",IF(I639="ENTRADA",ABS(J639),-ABS(J639)))</f>
        <v>215</v>
      </c>
      <c r="L639" t="s">
        <v>632</v>
      </c>
      <c r="N639">
        <v>36037</v>
      </c>
      <c r="P639">
        <v>15203</v>
      </c>
      <c r="Q639" s="35">
        <v>46293</v>
      </c>
      <c r="R639" s="22" t="str">
        <f>IF(H639="","",H639&amp;I639)</f>
        <v>260917-627ENTRADA</v>
      </c>
      <c r="S639" s="22" t="str">
        <f>IF(C639="","",C639&amp;I639)</f>
        <v>semilla maiz DK 69-62 TREENTRADA</v>
      </c>
      <c r="T639" t="str">
        <f>IF(OR(C639="",I639&lt;&gt;"ENTRADA"),"",TEXT(B639,"AAMMDD")&amp;"-"&amp;TEXT(VALUE(SUBSTITUTE(A639,"MOV-","")),"000"))</f>
        <v>260918-641</v>
      </c>
    </row>
    <row r="640" spans="1:20">
      <c r="A640" s="20" t="s">
        <v>964</v>
      </c>
      <c r="B640" s="47">
        <v>46283</v>
      </c>
      <c r="C640" t="s">
        <v>636</v>
      </c>
      <c r="D640" t="s">
        <v>630</v>
      </c>
      <c r="E640" t="s">
        <v>25</v>
      </c>
      <c r="F640" t="s">
        <v>631</v>
      </c>
      <c r="G640" t="s">
        <v>158</v>
      </c>
      <c r="H640" s="20" t="s">
        <v>965</v>
      </c>
      <c r="I640" t="s">
        <v>28</v>
      </c>
      <c r="J640" s="30">
        <v>168</v>
      </c>
      <c r="K640" s="22">
        <f>IF(I640="","",IF(I640="ENTRADA",ABS(J640),-ABS(J640)))</f>
        <v>168</v>
      </c>
      <c r="L640" t="s">
        <v>632</v>
      </c>
      <c r="N640">
        <v>36044</v>
      </c>
      <c r="P640">
        <v>15201</v>
      </c>
      <c r="Q640" s="35">
        <v>46293</v>
      </c>
      <c r="R640" s="22" t="str">
        <f>IF(H640="","",H640&amp;I640)</f>
        <v>260617-375ENTRADA</v>
      </c>
      <c r="S640" s="22" t="str">
        <f>IF(C640="","",C640&amp;I640)</f>
        <v>semilla maiz DK 73-03 TREENTRADA</v>
      </c>
      <c r="T640" t="str">
        <f>IF(OR(C640="",I640&lt;&gt;"ENTRADA"),"",TEXT(B640,"AAMMDD")&amp;"-"&amp;TEXT(VALUE(SUBSTITUTE(A640,"MOV-","")),"000"))</f>
        <v>260918-642</v>
      </c>
    </row>
    <row r="641" spans="1:20">
      <c r="A641" s="20" t="s">
        <v>966</v>
      </c>
      <c r="B641" s="47">
        <v>46283</v>
      </c>
      <c r="C641" t="s">
        <v>629</v>
      </c>
      <c r="D641" t="s">
        <v>630</v>
      </c>
      <c r="E641" t="s">
        <v>25</v>
      </c>
      <c r="F641" t="s">
        <v>631</v>
      </c>
      <c r="G641" t="s">
        <v>158</v>
      </c>
      <c r="H641" s="20" t="s">
        <v>947</v>
      </c>
      <c r="I641" t="s">
        <v>28</v>
      </c>
      <c r="J641" s="30">
        <v>78</v>
      </c>
      <c r="K641" s="22">
        <f>IF(I641="","",IF(I641="ENTRADA",ABS(J641),-ABS(J641)))</f>
        <v>78</v>
      </c>
      <c r="L641" t="s">
        <v>632</v>
      </c>
      <c r="N641">
        <v>36044</v>
      </c>
      <c r="P641">
        <v>15201</v>
      </c>
      <c r="Q641" s="35">
        <v>46293</v>
      </c>
      <c r="R641" s="22" t="str">
        <f>IF(H641="","",H641&amp;I641)</f>
        <v>260917-627ENTRADA</v>
      </c>
      <c r="S641" s="22" t="str">
        <f>IF(C641="","",C641&amp;I641)</f>
        <v>semilla maiz DK 69-62 TREENTRADA</v>
      </c>
      <c r="T641" t="str">
        <f>IF(OR(C641="",I641&lt;&gt;"ENTRADA"),"",TEXT(B641,"AAMMDD")&amp;"-"&amp;TEXT(VALUE(SUBSTITUTE(A641,"MOV-","")),"000"))</f>
        <v>260918-643</v>
      </c>
    </row>
    <row r="642" spans="1:20">
      <c r="A642" s="20" t="s">
        <v>967</v>
      </c>
      <c r="B642" s="47">
        <v>46283</v>
      </c>
      <c r="C642" t="s">
        <v>769</v>
      </c>
      <c r="D642" t="s">
        <v>770</v>
      </c>
      <c r="E642" t="s">
        <v>34</v>
      </c>
      <c r="F642" t="s">
        <v>35</v>
      </c>
      <c r="G642" t="s">
        <v>771</v>
      </c>
      <c r="H642" s="20" t="s">
        <v>829</v>
      </c>
      <c r="I642" t="s">
        <v>65</v>
      </c>
      <c r="J642" s="30">
        <v>80</v>
      </c>
      <c r="K642" s="22">
        <f>IF(I642="","",IF(I642="ENTRADA",ABS(J642),-ABS(J642)))</f>
        <v>-80</v>
      </c>
      <c r="L642" t="s">
        <v>385</v>
      </c>
      <c r="N642">
        <v>65218</v>
      </c>
      <c r="O642" t="s">
        <v>213</v>
      </c>
      <c r="P642">
        <v>1946</v>
      </c>
      <c r="Q642" s="35">
        <v>46293</v>
      </c>
      <c r="R642" s="22" t="str">
        <f>IF(H642="","",H642&amp;I642)</f>
        <v>260826-484SALIDA</v>
      </c>
      <c r="S642" s="22" t="str">
        <f>IF(C642="","",C642&amp;I642)</f>
        <v>Paraquat SALIDA</v>
      </c>
      <c r="T642" t="str">
        <f>IF(OR(C642="",I642&lt;&gt;"ENTRADA"),"",TEXT(B642,"AAMMDD")&amp;"-"&amp;TEXT(VALUE(SUBSTITUTE(A642,"MOV-","")),"000"))</f>
        <v/>
      </c>
    </row>
    <row r="643" spans="1:20">
      <c r="A643" s="20" t="s">
        <v>968</v>
      </c>
      <c r="B643" s="47">
        <v>46283</v>
      </c>
      <c r="C643" t="s">
        <v>943</v>
      </c>
      <c r="D643" t="s">
        <v>944</v>
      </c>
      <c r="E643" t="s">
        <v>516</v>
      </c>
      <c r="G643" t="s">
        <v>777</v>
      </c>
      <c r="H643" s="20" t="s">
        <v>969</v>
      </c>
      <c r="I643" t="s">
        <v>65</v>
      </c>
      <c r="J643" s="30">
        <v>24</v>
      </c>
      <c r="K643" s="22">
        <f>IF(I643="","",IF(I643="ENTRADA",ABS(J643),-ABS(J643)))</f>
        <v>-24</v>
      </c>
      <c r="L643" t="s">
        <v>56</v>
      </c>
      <c r="N643">
        <v>65218</v>
      </c>
      <c r="O643" t="s">
        <v>213</v>
      </c>
      <c r="P643">
        <v>1946</v>
      </c>
      <c r="Q643" s="35">
        <v>46293</v>
      </c>
      <c r="R643" s="22" t="str">
        <f>IF(H643="","",H643&amp;I643)</f>
        <v>260917-626SALIDA</v>
      </c>
      <c r="S643" s="22" t="str">
        <f>IF(C643="","",C643&amp;I643)</f>
        <v>Miravis triple packSALIDA</v>
      </c>
      <c r="T643" t="str">
        <f>IF(OR(C643="",I643&lt;&gt;"ENTRADA"),"",TEXT(B643,"AAMMDD")&amp;"-"&amp;TEXT(VALUE(SUBSTITUTE(A643,"MOV-","")),"000"))</f>
        <v/>
      </c>
    </row>
    <row r="644" spans="1:20">
      <c r="A644" s="20" t="s">
        <v>970</v>
      </c>
      <c r="B644" s="47">
        <v>46286</v>
      </c>
      <c r="C644" t="s">
        <v>115</v>
      </c>
      <c r="D644" t="s">
        <v>116</v>
      </c>
      <c r="E644" t="s">
        <v>34</v>
      </c>
      <c r="F644" t="s">
        <v>35</v>
      </c>
      <c r="G644" t="s">
        <v>117</v>
      </c>
      <c r="H644" s="20" t="s">
        <v>971</v>
      </c>
      <c r="I644" t="s">
        <v>65</v>
      </c>
      <c r="J644" s="30">
        <v>820</v>
      </c>
      <c r="K644" s="22">
        <f>IF(I644="","",IF(I644="ENTRADA",ABS(J644),-ABS(J644)))</f>
        <v>-820</v>
      </c>
      <c r="L644" t="s">
        <v>37</v>
      </c>
      <c r="N644">
        <v>65226</v>
      </c>
      <c r="O644" t="s">
        <v>213</v>
      </c>
      <c r="P644">
        <v>1948</v>
      </c>
      <c r="Q644" s="47">
        <v>46294</v>
      </c>
      <c r="R644" s="22" t="str">
        <f>IF(H644="","",H644&amp;I644)</f>
        <v>260910-622SALIDA</v>
      </c>
      <c r="S644" s="22" t="str">
        <f>IF(C644="","",C644&amp;I644)</f>
        <v>AzukaSALIDA</v>
      </c>
      <c r="T644" t="str">
        <f>IF(OR(C644="",I644&lt;&gt;"ENTRADA"),"",TEXT(B644,"AAMMDD")&amp;"-"&amp;TEXT(VALUE(SUBSTITUTE(A644,"MOV-","")),"000"))</f>
        <v/>
      </c>
    </row>
    <row r="645" spans="1:20">
      <c r="A645" s="20" t="s">
        <v>972</v>
      </c>
      <c r="B645" s="47">
        <v>46286</v>
      </c>
      <c r="C645" t="s">
        <v>122</v>
      </c>
      <c r="D645" t="s">
        <v>123</v>
      </c>
      <c r="E645" t="s">
        <v>34</v>
      </c>
      <c r="F645" t="s">
        <v>35</v>
      </c>
      <c r="G645" t="s">
        <v>117</v>
      </c>
      <c r="H645" s="20" t="s">
        <v>938</v>
      </c>
      <c r="I645" t="s">
        <v>65</v>
      </c>
      <c r="J645" s="30">
        <v>110</v>
      </c>
      <c r="K645" s="22">
        <f>IF(I645="","",IF(I645="ENTRADA",ABS(J645),-ABS(J645)))</f>
        <v>-110</v>
      </c>
      <c r="L645" t="s">
        <v>37</v>
      </c>
      <c r="N645">
        <v>65226</v>
      </c>
      <c r="O645" t="s">
        <v>213</v>
      </c>
      <c r="P645">
        <v>1948</v>
      </c>
      <c r="Q645" s="47">
        <v>46294</v>
      </c>
      <c r="R645" s="22" t="str">
        <f>IF(H645="","",H645&amp;I645)</f>
        <v>260727-380SALIDA</v>
      </c>
      <c r="S645" s="22" t="str">
        <f>IF(C645="","",C645&amp;I645)</f>
        <v>PardoSALIDA</v>
      </c>
      <c r="T645" t="str">
        <f>IF(OR(C645="",I645&lt;&gt;"ENTRADA"),"",TEXT(B645,"AAMMDD")&amp;"-"&amp;TEXT(VALUE(SUBSTITUTE(A645,"MOV-","")),"000"))</f>
        <v/>
      </c>
    </row>
    <row r="646" spans="1:20">
      <c r="A646" s="20" t="s">
        <v>973</v>
      </c>
      <c r="B646" s="47">
        <v>46286</v>
      </c>
      <c r="C646" t="s">
        <v>130</v>
      </c>
      <c r="D646" t="s">
        <v>131</v>
      </c>
      <c r="E646" t="s">
        <v>132</v>
      </c>
      <c r="G646" t="s">
        <v>133</v>
      </c>
      <c r="H646" s="20" t="s">
        <v>221</v>
      </c>
      <c r="I646" t="s">
        <v>65</v>
      </c>
      <c r="J646" s="30">
        <v>30</v>
      </c>
      <c r="K646" s="22">
        <f>IF(I646="","",IF(I646="ENTRADA",ABS(J646),-ABS(J646)))</f>
        <v>-30</v>
      </c>
      <c r="L646" t="s">
        <v>37</v>
      </c>
      <c r="N646">
        <v>65226</v>
      </c>
      <c r="O646" t="s">
        <v>213</v>
      </c>
      <c r="P646">
        <v>1948</v>
      </c>
      <c r="Q646" s="47">
        <v>46294</v>
      </c>
      <c r="R646" s="22" t="str">
        <f>IF(H646="","",H646&amp;I646)</f>
        <v>260414-029SALIDA</v>
      </c>
      <c r="S646" s="22" t="str">
        <f>IF(C646="","",C646&amp;I646)</f>
        <v>HarrierSALIDA</v>
      </c>
      <c r="T646" t="str">
        <f>IF(OR(C646="",I646&lt;&gt;"ENTRADA"),"",TEXT(B646,"AAMMDD")&amp;"-"&amp;TEXT(VALUE(SUBSTITUTE(A646,"MOV-","")),"000"))</f>
        <v/>
      </c>
    </row>
    <row r="647" spans="1:20">
      <c r="A647" s="20" t="s">
        <v>974</v>
      </c>
      <c r="B647" s="47">
        <v>46286</v>
      </c>
      <c r="C647" t="s">
        <v>137</v>
      </c>
      <c r="D647" t="s">
        <v>138</v>
      </c>
      <c r="E647" t="s">
        <v>132</v>
      </c>
      <c r="G647" t="s">
        <v>133</v>
      </c>
      <c r="H647" s="20" t="s">
        <v>211</v>
      </c>
      <c r="I647" t="s">
        <v>65</v>
      </c>
      <c r="J647" s="30">
        <v>7</v>
      </c>
      <c r="K647" s="22">
        <f>IF(I647="","",IF(I647="ENTRADA",ABS(J647),-ABS(J647)))</f>
        <v>-7</v>
      </c>
      <c r="L647" t="s">
        <v>37</v>
      </c>
      <c r="N647">
        <v>65226</v>
      </c>
      <c r="O647" t="s">
        <v>213</v>
      </c>
      <c r="P647">
        <v>1948</v>
      </c>
      <c r="Q647" s="47">
        <v>46294</v>
      </c>
      <c r="R647" s="22" t="str">
        <f>IF(H647="","",H647&amp;I647)</f>
        <v>260414-030SALIDA</v>
      </c>
      <c r="S647" s="22" t="str">
        <f>IF(C647="","",C647&amp;I647)</f>
        <v>Full controlSALIDA</v>
      </c>
      <c r="T647" t="str">
        <f>IF(OR(C647="",I647&lt;&gt;"ENTRADA"),"",TEXT(B647,"AAMMDD")&amp;"-"&amp;TEXT(VALUE(SUBSTITUTE(A647,"MOV-","")),"000"))</f>
        <v/>
      </c>
    </row>
    <row r="648" spans="1:20">
      <c r="A648" s="20" t="s">
        <v>975</v>
      </c>
      <c r="B648" s="47">
        <v>46286</v>
      </c>
      <c r="C648" t="s">
        <v>629</v>
      </c>
      <c r="D648" s="34" t="s">
        <v>630</v>
      </c>
      <c r="E648" s="34" t="s">
        <v>25</v>
      </c>
      <c r="F648" s="34" t="s">
        <v>631</v>
      </c>
      <c r="G648" s="34" t="s">
        <v>158</v>
      </c>
      <c r="H648" s="20" t="s">
        <v>947</v>
      </c>
      <c r="I648" s="34" t="s">
        <v>65</v>
      </c>
      <c r="J648" s="30">
        <v>210</v>
      </c>
      <c r="K648" s="22">
        <f>IF(I648="","",IF(I648="ENTRADA",ABS(J648),-ABS(J648)))</f>
        <v>-210</v>
      </c>
      <c r="L648" s="34" t="s">
        <v>632</v>
      </c>
      <c r="M648" s="34"/>
      <c r="N648">
        <v>65227</v>
      </c>
      <c r="O648" s="34" t="s">
        <v>213</v>
      </c>
      <c r="P648" s="34">
        <v>1948</v>
      </c>
      <c r="Q648" s="47">
        <v>46294</v>
      </c>
      <c r="R648" s="22" t="str">
        <f>IF(H648="","",H648&amp;I648)</f>
        <v>260917-627SALIDA</v>
      </c>
      <c r="S648" s="22" t="str">
        <f>IF(C648="","",C648&amp;I648)</f>
        <v>semilla maiz DK 69-62 TRESALIDA</v>
      </c>
      <c r="T648" t="str">
        <f>IF(OR(C648="",I648&lt;&gt;"ENTRADA"),"",TEXT(B648,"AAMMDD")&amp;"-"&amp;TEXT(VALUE(SUBSTITUTE(A648,"MOV-","")),"000"))</f>
        <v/>
      </c>
    </row>
    <row r="649" spans="1:20">
      <c r="A649" s="20" t="s">
        <v>976</v>
      </c>
      <c r="B649" s="47">
        <v>46286</v>
      </c>
      <c r="C649" t="s">
        <v>629</v>
      </c>
      <c r="D649" t="s">
        <v>630</v>
      </c>
      <c r="E649" t="s">
        <v>25</v>
      </c>
      <c r="F649" t="s">
        <v>631</v>
      </c>
      <c r="G649" t="s">
        <v>158</v>
      </c>
      <c r="H649" s="20" t="s">
        <v>947</v>
      </c>
      <c r="I649" t="s">
        <v>28</v>
      </c>
      <c r="J649" s="30">
        <v>9</v>
      </c>
      <c r="K649" s="22">
        <f>IF(I649="","",IF(I649="ENTRADA",ABS(J649),-ABS(J649)))</f>
        <v>9</v>
      </c>
      <c r="L649" t="s">
        <v>632</v>
      </c>
      <c r="N649">
        <v>36105</v>
      </c>
      <c r="P649">
        <v>15200</v>
      </c>
      <c r="Q649" s="47">
        <v>46293</v>
      </c>
      <c r="R649" s="22" t="str">
        <f>IF(H649="","",H649&amp;I649)</f>
        <v>260917-627ENTRADA</v>
      </c>
      <c r="S649" s="22" t="str">
        <f>IF(C649="","",C649&amp;I649)</f>
        <v>semilla maiz DK 69-62 TREENTRADA</v>
      </c>
      <c r="T649" t="str">
        <f>IF(OR(C649="",I649&lt;&gt;"ENTRADA"),"",TEXT(B649,"AAMMDD")&amp;"-"&amp;TEXT(VALUE(SUBSTITUTE(A649,"MOV-","")),"000"))</f>
        <v>260921-651</v>
      </c>
    </row>
    <row r="650" spans="1:20">
      <c r="A650" s="20" t="s">
        <v>977</v>
      </c>
      <c r="B650" s="47">
        <v>46286</v>
      </c>
      <c r="C650" t="s">
        <v>636</v>
      </c>
      <c r="D650" t="s">
        <v>630</v>
      </c>
      <c r="E650" t="s">
        <v>25</v>
      </c>
      <c r="F650" t="s">
        <v>631</v>
      </c>
      <c r="G650" t="s">
        <v>158</v>
      </c>
      <c r="H650" s="20" t="s">
        <v>965</v>
      </c>
      <c r="I650" t="s">
        <v>28</v>
      </c>
      <c r="J650" s="30">
        <v>211</v>
      </c>
      <c r="K650" s="22">
        <f>IF(I650="","",IF(I650="ENTRADA",ABS(J650),-ABS(J650)))</f>
        <v>211</v>
      </c>
      <c r="L650" t="s">
        <v>632</v>
      </c>
      <c r="N650">
        <v>36105</v>
      </c>
      <c r="P650">
        <v>15200</v>
      </c>
      <c r="Q650" s="47">
        <v>46293</v>
      </c>
      <c r="R650" s="22" t="str">
        <f>IF(H650="","",H650&amp;I650)</f>
        <v>260617-375ENTRADA</v>
      </c>
      <c r="S650" s="22" t="str">
        <f>IF(C650="","",C650&amp;I650)</f>
        <v>semilla maiz DK 73-03 TREENTRADA</v>
      </c>
      <c r="T650" t="str">
        <f>IF(OR(C650="",I650&lt;&gt;"ENTRADA"),"",TEXT(B650,"AAMMDD")&amp;"-"&amp;TEXT(VALUE(SUBSTITUTE(A650,"MOV-","")),"000"))</f>
        <v>260921-652</v>
      </c>
    </row>
    <row r="651" spans="1:20">
      <c r="A651" s="20" t="s">
        <v>978</v>
      </c>
      <c r="B651" s="47">
        <v>46287</v>
      </c>
      <c r="C651" t="s">
        <v>629</v>
      </c>
      <c r="D651" t="s">
        <v>630</v>
      </c>
      <c r="E651" t="s">
        <v>25</v>
      </c>
      <c r="F651" t="s">
        <v>631</v>
      </c>
      <c r="G651" t="s">
        <v>158</v>
      </c>
      <c r="H651" s="20" t="s">
        <v>947</v>
      </c>
      <c r="I651" t="s">
        <v>65</v>
      </c>
      <c r="J651" s="30">
        <v>10</v>
      </c>
      <c r="K651" s="22">
        <f>IF(I651="","",IF(I651="ENTRADA",ABS(J651),-ABS(J651)))</f>
        <v>-10</v>
      </c>
      <c r="L651" t="s">
        <v>632</v>
      </c>
      <c r="N651">
        <v>65222</v>
      </c>
      <c r="O651" t="s">
        <v>237</v>
      </c>
      <c r="P651">
        <v>1947</v>
      </c>
      <c r="Q651" s="47">
        <v>46293</v>
      </c>
      <c r="R651" s="22" t="str">
        <f>IF(H651="","",H651&amp;I651)</f>
        <v>260917-627SALIDA</v>
      </c>
      <c r="S651" s="22" t="str">
        <f>IF(C651="","",C651&amp;I651)</f>
        <v>semilla maiz DK 69-62 TRESALIDA</v>
      </c>
      <c r="T651" t="str">
        <f>IF(OR(C651="",I651&lt;&gt;"ENTRADA"),"",TEXT(B651,"AAMMDD")&amp;"-"&amp;TEXT(VALUE(SUBSTITUTE(A651,"MOV-","")),"000"))</f>
        <v/>
      </c>
    </row>
    <row r="652" spans="1:20">
      <c r="A652" s="20" t="s">
        <v>979</v>
      </c>
      <c r="B652" s="47">
        <v>46287</v>
      </c>
      <c r="C652" t="s">
        <v>950</v>
      </c>
      <c r="D652" t="s">
        <v>951</v>
      </c>
      <c r="E652" t="s">
        <v>25</v>
      </c>
      <c r="F652" t="s">
        <v>631</v>
      </c>
      <c r="G652" t="s">
        <v>158</v>
      </c>
      <c r="H652" s="20" t="s">
        <v>980</v>
      </c>
      <c r="I652" t="s">
        <v>65</v>
      </c>
      <c r="J652" s="30">
        <v>10</v>
      </c>
      <c r="K652" s="22">
        <f>IF(I652="","",IF(I652="ENTRADA",ABS(J652),-ABS(J652)))</f>
        <v>-10</v>
      </c>
      <c r="L652" t="s">
        <v>632</v>
      </c>
      <c r="N652">
        <v>65222</v>
      </c>
      <c r="O652" t="s">
        <v>237</v>
      </c>
      <c r="P652">
        <v>1947</v>
      </c>
      <c r="Q652" s="47">
        <v>46293</v>
      </c>
      <c r="R652" s="22" t="str">
        <f>IF(H652="","",H652&amp;I652)</f>
        <v>260918-630SALIDA</v>
      </c>
      <c r="S652" s="22" t="str">
        <f>IF(C652="","",C652&amp;I652)</f>
        <v>refugio dk 72-72 RR2SALIDA</v>
      </c>
      <c r="T652" t="str">
        <f>IF(OR(C652="",I652&lt;&gt;"ENTRADA"),"",TEXT(B652,"AAMMDD")&amp;"-"&amp;TEXT(VALUE(SUBSTITUTE(A652,"MOV-","")),"000"))</f>
        <v/>
      </c>
    </row>
    <row r="653" spans="1:20">
      <c r="A653" s="20" t="s">
        <v>981</v>
      </c>
      <c r="B653" s="47">
        <v>46287</v>
      </c>
      <c r="C653" t="s">
        <v>141</v>
      </c>
      <c r="D653" t="s">
        <v>142</v>
      </c>
      <c r="E653" t="s">
        <v>132</v>
      </c>
      <c r="G653" t="s">
        <v>133</v>
      </c>
      <c r="H653" s="20" t="s">
        <v>748</v>
      </c>
      <c r="I653" t="s">
        <v>65</v>
      </c>
      <c r="J653" s="30">
        <v>15</v>
      </c>
      <c r="K653" s="22">
        <f>IF(I653="","",IF(I653="ENTRADA",ABS(J653),-ABS(J653)))</f>
        <v>-15</v>
      </c>
      <c r="L653" t="s">
        <v>37</v>
      </c>
      <c r="N653">
        <v>65222</v>
      </c>
      <c r="O653" t="s">
        <v>237</v>
      </c>
      <c r="P653">
        <v>1947</v>
      </c>
      <c r="Q653" s="47">
        <v>46293</v>
      </c>
      <c r="R653" s="22" t="str">
        <f>IF(H653="","",H653&amp;I653)</f>
        <v>260827-473SALIDA</v>
      </c>
      <c r="S653" s="22" t="str">
        <f>IF(C653="","",C653&amp;I653)</f>
        <v>Maxi DropSALIDA</v>
      </c>
      <c r="T653" t="str">
        <f>IF(OR(C653="",I653&lt;&gt;"ENTRADA"),"",TEXT(B653,"AAMMDD")&amp;"-"&amp;TEXT(VALUE(SUBSTITUTE(A653,"MOV-","")),"000"))</f>
        <v/>
      </c>
    </row>
    <row r="654" spans="1:20">
      <c r="A654" s="20" t="s">
        <v>982</v>
      </c>
      <c r="B654" s="47">
        <v>46287</v>
      </c>
      <c r="C654" t="s">
        <v>130</v>
      </c>
      <c r="D654" t="s">
        <v>131</v>
      </c>
      <c r="E654" t="s">
        <v>132</v>
      </c>
      <c r="G654" t="s">
        <v>133</v>
      </c>
      <c r="H654" s="20" t="s">
        <v>221</v>
      </c>
      <c r="I654" t="s">
        <v>65</v>
      </c>
      <c r="J654" s="30">
        <v>80</v>
      </c>
      <c r="K654" s="22">
        <f>IF(I654="","",IF(I654="ENTRADA",ABS(J654),-ABS(J654)))</f>
        <v>-80</v>
      </c>
      <c r="L654" t="s">
        <v>37</v>
      </c>
      <c r="N654">
        <v>65222</v>
      </c>
      <c r="O654" t="s">
        <v>237</v>
      </c>
      <c r="P654">
        <v>1947</v>
      </c>
      <c r="Q654" s="47">
        <v>46293</v>
      </c>
      <c r="R654" s="22" t="str">
        <f>IF(H654="","",H654&amp;I654)</f>
        <v>260414-029SALIDA</v>
      </c>
      <c r="S654" s="22" t="str">
        <f>IF(C654="","",C654&amp;I654)</f>
        <v>HarrierSALIDA</v>
      </c>
      <c r="T654" t="str">
        <f>IF(OR(C654="",I654&lt;&gt;"ENTRADA"),"",TEXT(B654,"AAMMDD")&amp;"-"&amp;TEXT(VALUE(SUBSTITUTE(A654,"MOV-","")),"000"))</f>
        <v/>
      </c>
    </row>
    <row r="655" spans="1:20">
      <c r="A655" s="20" t="s">
        <v>983</v>
      </c>
      <c r="B655" s="47">
        <v>46287</v>
      </c>
      <c r="C655" t="s">
        <v>137</v>
      </c>
      <c r="D655" t="s">
        <v>138</v>
      </c>
      <c r="E655" t="s">
        <v>132</v>
      </c>
      <c r="G655" t="s">
        <v>133</v>
      </c>
      <c r="H655" s="20" t="s">
        <v>211</v>
      </c>
      <c r="I655" t="s">
        <v>65</v>
      </c>
      <c r="J655" s="30">
        <v>15</v>
      </c>
      <c r="K655" s="22">
        <f>IF(I655="","",IF(I655="ENTRADA",ABS(J655),-ABS(J655)))</f>
        <v>-15</v>
      </c>
      <c r="L655" t="s">
        <v>37</v>
      </c>
      <c r="N655">
        <v>65222</v>
      </c>
      <c r="O655" t="s">
        <v>237</v>
      </c>
      <c r="P655">
        <v>1947</v>
      </c>
      <c r="Q655" s="47">
        <v>46293</v>
      </c>
      <c r="R655" s="22" t="str">
        <f>IF(H655="","",H655&amp;I655)</f>
        <v>260414-030SALIDA</v>
      </c>
      <c r="S655" s="22" t="str">
        <f>IF(C655="","",C655&amp;I655)</f>
        <v>Full controlSALIDA</v>
      </c>
      <c r="T655" t="str">
        <f>IF(OR(C655="",I655&lt;&gt;"ENTRADA"),"",TEXT(B655,"AAMMDD")&amp;"-"&amp;TEXT(VALUE(SUBSTITUTE(A655,"MOV-","")),"000"))</f>
        <v/>
      </c>
    </row>
    <row r="656" spans="1:20">
      <c r="A656" s="20" t="s">
        <v>984</v>
      </c>
      <c r="B656" s="47">
        <v>46287</v>
      </c>
      <c r="C656" t="s">
        <v>115</v>
      </c>
      <c r="D656" t="s">
        <v>116</v>
      </c>
      <c r="E656" t="s">
        <v>34</v>
      </c>
      <c r="F656" t="s">
        <v>35</v>
      </c>
      <c r="G656" t="s">
        <v>117</v>
      </c>
      <c r="H656" s="20" t="s">
        <v>971</v>
      </c>
      <c r="I656" t="s">
        <v>65</v>
      </c>
      <c r="J656" s="30">
        <v>2300</v>
      </c>
      <c r="K656" s="22">
        <f>IF(I656="","",IF(I656="ENTRADA",ABS(J656),-ABS(J656)))</f>
        <v>-2300</v>
      </c>
      <c r="L656" t="s">
        <v>37</v>
      </c>
      <c r="N656">
        <v>65224</v>
      </c>
      <c r="O656" t="s">
        <v>387</v>
      </c>
      <c r="P656">
        <v>1951</v>
      </c>
      <c r="Q656" s="47">
        <v>46294</v>
      </c>
      <c r="R656" s="22" t="str">
        <f>IF(H656="","",H656&amp;I656)</f>
        <v>260910-622SALIDA</v>
      </c>
      <c r="S656" s="22" t="str">
        <f>IF(C656="","",C656&amp;I656)</f>
        <v>AzukaSALIDA</v>
      </c>
      <c r="T656" t="str">
        <f>IF(OR(C656="",I656&lt;&gt;"ENTRADA"),"",TEXT(B656,"AAMMDD")&amp;"-"&amp;TEXT(VALUE(SUBSTITUTE(A656,"MOV-","")),"000"))</f>
        <v/>
      </c>
    </row>
    <row r="657" spans="1:20">
      <c r="A657" s="20" t="s">
        <v>985</v>
      </c>
      <c r="B657" s="47">
        <v>46287</v>
      </c>
      <c r="C657" t="s">
        <v>940</v>
      </c>
      <c r="D657" t="s">
        <v>941</v>
      </c>
      <c r="E657" t="s">
        <v>34</v>
      </c>
      <c r="F657" t="s">
        <v>35</v>
      </c>
      <c r="G657" t="s">
        <v>36</v>
      </c>
      <c r="H657" s="20" t="s">
        <v>953</v>
      </c>
      <c r="I657" t="s">
        <v>65</v>
      </c>
      <c r="J657" s="30">
        <v>1900</v>
      </c>
      <c r="K657" s="22">
        <f>IF(I657="","",IF(I657="ENTRADA",ABS(J657),-ABS(J657)))</f>
        <v>-1900</v>
      </c>
      <c r="L657" t="s">
        <v>37</v>
      </c>
      <c r="N657">
        <v>65224</v>
      </c>
      <c r="O657" t="s">
        <v>387</v>
      </c>
      <c r="P657">
        <v>1951</v>
      </c>
      <c r="Q657" s="47">
        <v>46294</v>
      </c>
      <c r="R657" s="22" t="str">
        <f>IF(H657="","",H657&amp;I657)</f>
        <v>260915-625SALIDA</v>
      </c>
      <c r="S657" s="22" t="str">
        <f>IF(C657="","",C657&amp;I657)</f>
        <v>yescaSALIDA</v>
      </c>
      <c r="T657" t="str">
        <f>IF(OR(C657="",I657&lt;&gt;"ENTRADA"),"",TEXT(B657,"AAMMDD")&amp;"-"&amp;TEXT(VALUE(SUBSTITUTE(A657,"MOV-","")),"000"))</f>
        <v/>
      </c>
    </row>
    <row r="658" spans="1:20">
      <c r="A658" s="20" t="s">
        <v>986</v>
      </c>
      <c r="B658" s="47">
        <v>46287</v>
      </c>
      <c r="C658" t="s">
        <v>130</v>
      </c>
      <c r="D658" t="s">
        <v>131</v>
      </c>
      <c r="E658" t="s">
        <v>132</v>
      </c>
      <c r="G658" t="s">
        <v>133</v>
      </c>
      <c r="H658" s="20" t="s">
        <v>221</v>
      </c>
      <c r="I658" t="s">
        <v>65</v>
      </c>
      <c r="J658" s="30">
        <v>140</v>
      </c>
      <c r="K658" s="22">
        <f>IF(I658="","",IF(I658="ENTRADA",ABS(J658),-ABS(J658)))</f>
        <v>-140</v>
      </c>
      <c r="L658" t="s">
        <v>37</v>
      </c>
      <c r="N658">
        <v>65224</v>
      </c>
      <c r="O658" t="s">
        <v>387</v>
      </c>
      <c r="P658">
        <v>1951</v>
      </c>
      <c r="Q658" s="47">
        <v>46294</v>
      </c>
      <c r="R658" s="22" t="str">
        <f>IF(H658="","",H658&amp;I658)</f>
        <v>260414-029SALIDA</v>
      </c>
      <c r="S658" s="22" t="str">
        <f>IF(C658="","",C658&amp;I658)</f>
        <v>HarrierSALIDA</v>
      </c>
      <c r="T658" t="str">
        <f>IF(OR(C658="",I658&lt;&gt;"ENTRADA"),"",TEXT(B658,"AAMMDD")&amp;"-"&amp;TEXT(VALUE(SUBSTITUTE(A658,"MOV-","")),"000"))</f>
        <v/>
      </c>
    </row>
    <row r="659" spans="1:20">
      <c r="A659" s="20" t="s">
        <v>987</v>
      </c>
      <c r="B659" s="47">
        <v>46287</v>
      </c>
      <c r="C659" s="34" t="s">
        <v>137</v>
      </c>
      <c r="D659" s="34" t="s">
        <v>138</v>
      </c>
      <c r="E659" s="34" t="s">
        <v>132</v>
      </c>
      <c r="F659" s="34"/>
      <c r="G659" s="34" t="s">
        <v>133</v>
      </c>
      <c r="H659" s="20" t="s">
        <v>211</v>
      </c>
      <c r="I659" s="34" t="s">
        <v>65</v>
      </c>
      <c r="J659" s="30">
        <v>30</v>
      </c>
      <c r="K659" s="22">
        <f>IF(I659="","",IF(I659="ENTRADA",ABS(J659),-ABS(J659)))</f>
        <v>-30</v>
      </c>
      <c r="L659" s="34" t="s">
        <v>37</v>
      </c>
      <c r="M659" s="34"/>
      <c r="N659">
        <v>65224</v>
      </c>
      <c r="O659" s="34" t="s">
        <v>387</v>
      </c>
      <c r="P659">
        <v>1951</v>
      </c>
      <c r="Q659" s="47">
        <v>46294</v>
      </c>
      <c r="R659" s="22" t="str">
        <f>IF(H659="","",H659&amp;I659)</f>
        <v>260414-030SALIDA</v>
      </c>
      <c r="S659" s="22" t="str">
        <f>IF(C659="","",C659&amp;I659)</f>
        <v>Full controlSALIDA</v>
      </c>
      <c r="T659" t="str">
        <f>IF(OR(C659="",I659&lt;&gt;"ENTRADA"),"",TEXT(B659,"AAMMDD")&amp;"-"&amp;TEXT(VALUE(SUBSTITUTE(A659,"MOV-","")),"000"))</f>
        <v/>
      </c>
    </row>
    <row r="660" spans="1:20">
      <c r="A660" s="20" t="s">
        <v>988</v>
      </c>
      <c r="B660" s="47">
        <v>46282</v>
      </c>
      <c r="C660" t="s">
        <v>629</v>
      </c>
      <c r="D660" t="s">
        <v>630</v>
      </c>
      <c r="E660" t="s">
        <v>25</v>
      </c>
      <c r="F660" t="s">
        <v>631</v>
      </c>
      <c r="G660" t="s">
        <v>158</v>
      </c>
      <c r="H660" s="20" t="s">
        <v>947</v>
      </c>
      <c r="I660" t="s">
        <v>28</v>
      </c>
      <c r="J660" s="30">
        <v>4</v>
      </c>
      <c r="K660" s="22">
        <f>IF(I660="","",IF(I660="ENTRADA",ABS(J660),-ABS(J660)))</f>
        <v>4</v>
      </c>
      <c r="L660" t="s">
        <v>632</v>
      </c>
      <c r="N660">
        <v>65216</v>
      </c>
      <c r="O660" t="s">
        <v>382</v>
      </c>
      <c r="P660">
        <v>1962</v>
      </c>
      <c r="Q660" s="47">
        <v>46294</v>
      </c>
      <c r="R660" s="22" t="str">
        <f>IF(H660="","",H660&amp;I660)</f>
        <v>260917-627ENTRADA</v>
      </c>
      <c r="S660" s="22" t="str">
        <f>IF(C660="","",C660&amp;I660)</f>
        <v>semilla maiz DK 69-62 TREENTRADA</v>
      </c>
      <c r="T660" t="str">
        <f>IF(OR(C660="",I660&lt;&gt;"ENTRADA"),"",TEXT(B660,"AAMMDD")&amp;"-"&amp;TEXT(VALUE(SUBSTITUTE(A660,"MOV-","")),"000"))</f>
        <v>260917-662</v>
      </c>
    </row>
    <row r="661" spans="1:20">
      <c r="A661" s="20" t="s">
        <v>989</v>
      </c>
      <c r="B661" s="47">
        <v>46282</v>
      </c>
      <c r="C661" t="s">
        <v>990</v>
      </c>
      <c r="D661" t="s">
        <v>991</v>
      </c>
      <c r="E661" t="s">
        <v>25</v>
      </c>
      <c r="F661" t="s">
        <v>631</v>
      </c>
      <c r="G661" t="s">
        <v>36</v>
      </c>
      <c r="H661" s="20" t="str">
        <f>+T661</f>
        <v>260917-663</v>
      </c>
      <c r="I661" t="s">
        <v>28</v>
      </c>
      <c r="J661" s="30">
        <v>12</v>
      </c>
      <c r="K661" s="22">
        <f>IF(I661="","",IF(I661="ENTRADA",ABS(J661),-ABS(J661)))</f>
        <v>12</v>
      </c>
      <c r="L661" t="s">
        <v>632</v>
      </c>
      <c r="N661">
        <v>65216</v>
      </c>
      <c r="O661" t="s">
        <v>382</v>
      </c>
      <c r="P661">
        <v>1962</v>
      </c>
      <c r="Q661" s="47">
        <v>46294</v>
      </c>
      <c r="R661" s="22" t="str">
        <f>IF(H661="","",H661&amp;I661)</f>
        <v>260917-663ENTRADA</v>
      </c>
      <c r="S661" s="22" t="str">
        <f>IF(C661="","",C661&amp;I661)</f>
        <v>semilla comprada maiz P 2123 PwueENTRADA</v>
      </c>
      <c r="T661" t="str">
        <f>IF(OR(C661="",I661&lt;&gt;"ENTRADA"),"",TEXT(B661,"AAMMDD")&amp;"-"&amp;TEXT(VALUE(SUBSTITUTE(A661,"MOV-","")),"000"))</f>
        <v>260917-663</v>
      </c>
    </row>
    <row r="662" spans="1:20">
      <c r="A662" s="20" t="s">
        <v>992</v>
      </c>
      <c r="B662" s="47">
        <v>46287</v>
      </c>
      <c r="C662" t="s">
        <v>933</v>
      </c>
      <c r="D662" t="s">
        <v>934</v>
      </c>
      <c r="E662" t="s">
        <v>516</v>
      </c>
      <c r="G662" t="s">
        <v>36</v>
      </c>
      <c r="H662" s="20" t="s">
        <v>993</v>
      </c>
      <c r="I662" t="s">
        <v>65</v>
      </c>
      <c r="J662" s="30">
        <v>380</v>
      </c>
      <c r="K662" s="22">
        <f>IF(I662="","",IF(I662="ENTRADA",ABS(J662),-ABS(J662)))</f>
        <v>-380</v>
      </c>
      <c r="L662" t="s">
        <v>37</v>
      </c>
      <c r="N662">
        <v>65223</v>
      </c>
      <c r="O662" t="s">
        <v>66</v>
      </c>
      <c r="P662">
        <v>1953</v>
      </c>
      <c r="Q662" s="47">
        <v>46294</v>
      </c>
      <c r="R662" s="22" t="str">
        <f>IF(H662="","",H662&amp;I662)</f>
        <v>260914-621SALIDA</v>
      </c>
      <c r="S662" s="22" t="str">
        <f>IF(C663="","",C663&amp;I662)</f>
        <v>AzukaSALIDA</v>
      </c>
      <c r="T662" t="str">
        <f>IF(OR(C663="",I662&lt;&gt;"ENTRADA"),"",TEXT(B662,"AAMMDD")&amp;"-"&amp;TEXT(VALUE(SUBSTITUTE(A662,"MOV-","")),"000"))</f>
        <v/>
      </c>
    </row>
    <row r="663" spans="1:20">
      <c r="A663" s="20" t="s">
        <v>994</v>
      </c>
      <c r="B663" s="47">
        <v>46288</v>
      </c>
      <c r="C663" t="s">
        <v>115</v>
      </c>
      <c r="D663" t="s">
        <v>116</v>
      </c>
      <c r="E663" t="s">
        <v>34</v>
      </c>
      <c r="F663" t="s">
        <v>35</v>
      </c>
      <c r="G663" t="s">
        <v>117</v>
      </c>
      <c r="H663" s="20" t="s">
        <v>971</v>
      </c>
      <c r="I663" t="s">
        <v>65</v>
      </c>
      <c r="J663" s="30">
        <v>280</v>
      </c>
      <c r="K663" s="22">
        <f>IF(I663="","",IF(I663="ENTRADA",ABS(J663),-ABS(J663)))</f>
        <v>-280</v>
      </c>
      <c r="L663" t="s">
        <v>37</v>
      </c>
      <c r="N663">
        <v>65225</v>
      </c>
      <c r="O663" t="s">
        <v>382</v>
      </c>
      <c r="P663">
        <v>1952</v>
      </c>
      <c r="Q663" s="47">
        <v>46294</v>
      </c>
      <c r="R663" s="22" t="str">
        <f>IF(H663="","",H663&amp;I663)</f>
        <v>260910-622SALIDA</v>
      </c>
      <c r="S663" s="22" t="e">
        <f>IF(#REF!="","",#REF!&amp;I663)</f>
        <v>#REF!</v>
      </c>
      <c r="T663" t="e">
        <f>IF(OR(#REF!="",I663&lt;&gt;"ENTRADA"),"",TEXT(B663,"AAMMDD")&amp;"-"&amp;TEXT(VALUE(SUBSTITUTE(A663,"MOV-","")),"000"))</f>
        <v>#REF!</v>
      </c>
    </row>
    <row r="664" spans="1:20">
      <c r="A664" s="20" t="s">
        <v>995</v>
      </c>
      <c r="B664" s="47">
        <v>46288</v>
      </c>
      <c r="C664" t="s">
        <v>122</v>
      </c>
      <c r="D664" t="s">
        <v>123</v>
      </c>
      <c r="E664" t="s">
        <v>34</v>
      </c>
      <c r="F664" t="s">
        <v>35</v>
      </c>
      <c r="G664" t="s">
        <v>117</v>
      </c>
      <c r="H664" s="20" t="s">
        <v>938</v>
      </c>
      <c r="I664" t="s">
        <v>65</v>
      </c>
      <c r="J664" s="30">
        <v>50</v>
      </c>
      <c r="K664" s="22">
        <f>IF(I664="","",IF(I664="ENTRADA",ABS(J664),-ABS(J664)))</f>
        <v>-50</v>
      </c>
      <c r="L664" t="s">
        <v>37</v>
      </c>
      <c r="N664">
        <v>65225</v>
      </c>
      <c r="O664" t="s">
        <v>382</v>
      </c>
      <c r="P664">
        <v>1952</v>
      </c>
      <c r="Q664" s="47">
        <v>46294</v>
      </c>
      <c r="R664" s="22" t="str">
        <f>IF(H664="","",H664&amp;I664)</f>
        <v>260727-380SALIDA</v>
      </c>
      <c r="S664" s="22" t="str">
        <f>IF(C664="","",C664&amp;I664)</f>
        <v>PardoSALIDA</v>
      </c>
      <c r="T664" t="str">
        <f>IF(OR(C664="",I664&lt;&gt;"ENTRADA"),"",TEXT(B664,"AAMMDD")&amp;"-"&amp;TEXT(VALUE(SUBSTITUTE(A664,"MOV-","")),"000"))</f>
        <v/>
      </c>
    </row>
    <row r="665" spans="1:20">
      <c r="A665" s="20" t="s">
        <v>996</v>
      </c>
      <c r="B665" s="47">
        <v>46288</v>
      </c>
      <c r="C665" t="s">
        <v>636</v>
      </c>
      <c r="D665" t="s">
        <v>630</v>
      </c>
      <c r="E665" t="s">
        <v>25</v>
      </c>
      <c r="F665" t="s">
        <v>631</v>
      </c>
      <c r="G665" t="s">
        <v>158</v>
      </c>
      <c r="H665" s="20" t="s">
        <v>965</v>
      </c>
      <c r="I665" t="s">
        <v>65</v>
      </c>
      <c r="J665" s="30">
        <v>195</v>
      </c>
      <c r="K665" s="22">
        <f>IF(I665="","",IF(I665="ENTRADA",ABS(J665),-ABS(J665)))</f>
        <v>-195</v>
      </c>
      <c r="L665" t="s">
        <v>632</v>
      </c>
      <c r="N665">
        <v>65228</v>
      </c>
      <c r="O665" t="s">
        <v>218</v>
      </c>
      <c r="P665">
        <v>1950</v>
      </c>
      <c r="Q665" s="47">
        <v>46294</v>
      </c>
      <c r="R665" s="22" t="str">
        <f>IF(H665="","",H665&amp;I665)</f>
        <v>260617-375SALIDA</v>
      </c>
      <c r="S665" s="22" t="str">
        <f>IF(C665="","",C665&amp;I665)</f>
        <v>semilla maiz DK 73-03 TRESALIDA</v>
      </c>
      <c r="T665" t="str">
        <f>IF(OR(C665="",I665&lt;&gt;"ENTRADA"),"",TEXT(B665,"AAMMDD")&amp;"-"&amp;TEXT(VALUE(SUBSTITUTE(A665,"MOV-","")),"000"))</f>
        <v/>
      </c>
    </row>
    <row r="666" spans="1:20">
      <c r="A666" s="20" t="s">
        <v>997</v>
      </c>
      <c r="B666" s="47">
        <v>46288</v>
      </c>
      <c r="C666" t="s">
        <v>950</v>
      </c>
      <c r="D666" t="s">
        <v>951</v>
      </c>
      <c r="E666" t="s">
        <v>25</v>
      </c>
      <c r="F666" t="s">
        <v>631</v>
      </c>
      <c r="G666" t="s">
        <v>158</v>
      </c>
      <c r="H666" s="20" t="s">
        <v>980</v>
      </c>
      <c r="I666" t="s">
        <v>65</v>
      </c>
      <c r="J666" s="30">
        <v>20</v>
      </c>
      <c r="K666" s="22">
        <f>IF(I666="","",IF(I666="ENTRADA",ABS(J666),-ABS(J666)))</f>
        <v>-20</v>
      </c>
      <c r="L666" t="s">
        <v>632</v>
      </c>
      <c r="N666">
        <v>65228</v>
      </c>
      <c r="O666" t="s">
        <v>218</v>
      </c>
      <c r="P666">
        <v>1950</v>
      </c>
      <c r="Q666" s="47">
        <v>46294</v>
      </c>
      <c r="R666" s="22" t="str">
        <f>IF(H666="","",H666&amp;I666)</f>
        <v>260918-630SALIDA</v>
      </c>
      <c r="S666" s="22" t="str">
        <f>IF(C666="","",C666&amp;I666)</f>
        <v>refugio dk 72-72 RR2SALIDA</v>
      </c>
      <c r="T666" t="str">
        <f>IF(OR(C666="",I666&lt;&gt;"ENTRADA"),"",TEXT(B666,"AAMMDD")&amp;"-"&amp;TEXT(VALUE(SUBSTITUTE(A666,"MOV-","")),"000"))</f>
        <v/>
      </c>
    </row>
    <row r="667" spans="1:20">
      <c r="A667" s="20" t="s">
        <v>998</v>
      </c>
      <c r="B667" s="47">
        <v>46288</v>
      </c>
      <c r="C667" t="s">
        <v>629</v>
      </c>
      <c r="D667" t="s">
        <v>630</v>
      </c>
      <c r="E667" t="s">
        <v>25</v>
      </c>
      <c r="F667" t="s">
        <v>631</v>
      </c>
      <c r="G667" t="s">
        <v>158</v>
      </c>
      <c r="H667" s="20" t="s">
        <v>947</v>
      </c>
      <c r="I667" t="s">
        <v>28</v>
      </c>
      <c r="J667" s="30">
        <v>11</v>
      </c>
      <c r="K667" s="22">
        <f>IF(I667="","",IF(I667="ENTRADA",ABS(J667),-ABS(J667)))</f>
        <v>11</v>
      </c>
      <c r="L667" t="s">
        <v>632</v>
      </c>
      <c r="N667">
        <v>65229</v>
      </c>
      <c r="O667" t="s">
        <v>590</v>
      </c>
      <c r="P667">
        <v>1965</v>
      </c>
      <c r="Q667" s="47">
        <v>46295</v>
      </c>
      <c r="R667" s="22" t="str">
        <f>IF(H667="","",H667&amp;I667)</f>
        <v>260917-627ENTRADA</v>
      </c>
      <c r="S667" s="22" t="str">
        <f>IF(C667="","",C667&amp;I667)</f>
        <v>semilla maiz DK 69-62 TREENTRADA</v>
      </c>
      <c r="T667" t="str">
        <f>IF(OR(C667="",I667&lt;&gt;"ENTRADA"),"",TEXT(B667,"AAMMDD")&amp;"-"&amp;TEXT(VALUE(SUBSTITUTE(A667,"MOV-","")),"000"))</f>
        <v>260923-669</v>
      </c>
    </row>
    <row r="668" spans="1:20">
      <c r="A668" s="20" t="s">
        <v>999</v>
      </c>
      <c r="B668" s="47">
        <v>46289</v>
      </c>
      <c r="C668" t="s">
        <v>933</v>
      </c>
      <c r="D668" t="s">
        <v>934</v>
      </c>
      <c r="E668" t="s">
        <v>516</v>
      </c>
      <c r="G668" t="s">
        <v>36</v>
      </c>
      <c r="H668" s="20" t="s">
        <v>993</v>
      </c>
      <c r="I668" t="s">
        <v>65</v>
      </c>
      <c r="J668" s="30">
        <v>320</v>
      </c>
      <c r="K668" s="22">
        <f>IF(I668="","",IF(I668="ENTRADA",ABS(J668),-ABS(J668)))</f>
        <v>-320</v>
      </c>
      <c r="L668" t="s">
        <v>37</v>
      </c>
      <c r="N668">
        <v>65230</v>
      </c>
      <c r="O668" t="s">
        <v>309</v>
      </c>
      <c r="P668">
        <v>1954</v>
      </c>
      <c r="Q668" s="47">
        <v>46294</v>
      </c>
      <c r="R668" s="22" t="str">
        <f>IF(H668="","",H668&amp;I668)</f>
        <v>260914-621SALIDA</v>
      </c>
      <c r="S668" s="22" t="str">
        <f>IF(C668="","",C668&amp;I668)</f>
        <v>swing plusSALIDA</v>
      </c>
      <c r="T668" t="str">
        <f>IF(OR(C668="",I668&lt;&gt;"ENTRADA"),"",TEXT(B668,"AAMMDD")&amp;"-"&amp;TEXT(VALUE(SUBSTITUTE(A668,"MOV-","")),"000"))</f>
        <v/>
      </c>
    </row>
    <row r="669" spans="1:20">
      <c r="A669" s="20" t="s">
        <v>1000</v>
      </c>
      <c r="B669" s="47">
        <v>46289</v>
      </c>
      <c r="C669" t="s">
        <v>115</v>
      </c>
      <c r="D669" t="s">
        <v>116</v>
      </c>
      <c r="E669" t="s">
        <v>34</v>
      </c>
      <c r="F669" t="s">
        <v>35</v>
      </c>
      <c r="G669" t="s">
        <v>117</v>
      </c>
      <c r="H669" s="20" t="s">
        <v>971</v>
      </c>
      <c r="I669" t="s">
        <v>65</v>
      </c>
      <c r="J669" s="30">
        <v>540</v>
      </c>
      <c r="K669" s="22">
        <f>IF(I669="","",IF(I669="ENTRADA",ABS(J669),-ABS(J669)))</f>
        <v>-540</v>
      </c>
      <c r="L669" t="s">
        <v>37</v>
      </c>
      <c r="N669">
        <v>65231</v>
      </c>
      <c r="O669" t="s">
        <v>218</v>
      </c>
      <c r="P669">
        <v>1955</v>
      </c>
      <c r="Q669" s="47">
        <v>46294</v>
      </c>
      <c r="R669" s="22" t="str">
        <f>IF(H669="","",H669&amp;I669)</f>
        <v>260910-622SALIDA</v>
      </c>
      <c r="S669" s="22" t="str">
        <f>IF(C669="","",C669&amp;I669)</f>
        <v>AzukaSALIDA</v>
      </c>
      <c r="T669" t="str">
        <f>IF(OR(C669="",I669&lt;&gt;"ENTRADA"),"",TEXT(B669,"AAMMDD")&amp;"-"&amp;TEXT(VALUE(SUBSTITUTE(A669,"MOV-","")),"000"))</f>
        <v/>
      </c>
    </row>
    <row r="670" spans="1:20">
      <c r="A670" s="20" t="s">
        <v>1001</v>
      </c>
      <c r="B670" s="47">
        <v>46289</v>
      </c>
      <c r="C670" s="34" t="s">
        <v>782</v>
      </c>
      <c r="D670" s="34" t="s">
        <v>783</v>
      </c>
      <c r="E670" s="34" t="s">
        <v>34</v>
      </c>
      <c r="F670" s="34" t="s">
        <v>46</v>
      </c>
      <c r="G670" s="34" t="s">
        <v>27</v>
      </c>
      <c r="H670" s="20" t="s">
        <v>797</v>
      </c>
      <c r="I670" s="34" t="s">
        <v>65</v>
      </c>
      <c r="J670" s="30">
        <v>20</v>
      </c>
      <c r="K670" s="22">
        <f>IF(I670="","",IF(I670="ENTRADA",ABS(J670),-ABS(J670)))</f>
        <v>-20</v>
      </c>
      <c r="L670" s="34" t="s">
        <v>29</v>
      </c>
      <c r="M670" s="34"/>
      <c r="N670">
        <v>65231</v>
      </c>
      <c r="O670" s="34" t="s">
        <v>218</v>
      </c>
      <c r="P670">
        <v>1955</v>
      </c>
      <c r="Q670" s="47">
        <v>46294</v>
      </c>
      <c r="R670" s="22" t="str">
        <f>IF(H670="","",H670&amp;I670)</f>
        <v>260801-489SALIDA</v>
      </c>
      <c r="S670" s="22" t="str">
        <f>IF(C670="","",C670&amp;I670)</f>
        <v>PyroxateSALIDA</v>
      </c>
      <c r="T670" t="str">
        <f>IF(OR(C670="",I670&lt;&gt;"ENTRADA"),"",TEXT(B670,"AAMMDD")&amp;"-"&amp;TEXT(VALUE(SUBSTITUTE(A670,"MOV-","")),"000"))</f>
        <v/>
      </c>
    </row>
    <row r="671" spans="1:20">
      <c r="A671" s="20" t="s">
        <v>1002</v>
      </c>
      <c r="B671" s="47">
        <v>46289</v>
      </c>
      <c r="C671" t="s">
        <v>130</v>
      </c>
      <c r="D671" t="s">
        <v>131</v>
      </c>
      <c r="E671" t="s">
        <v>132</v>
      </c>
      <c r="G671" t="s">
        <v>133</v>
      </c>
      <c r="H671" s="20" t="s">
        <v>221</v>
      </c>
      <c r="I671" t="s">
        <v>65</v>
      </c>
      <c r="J671" s="30">
        <v>40</v>
      </c>
      <c r="K671" s="22">
        <f>IF(I671="","",IF(I671="ENTRADA",ABS(J671),-ABS(J671)))</f>
        <v>-40</v>
      </c>
      <c r="L671" t="s">
        <v>37</v>
      </c>
      <c r="N671">
        <v>65231</v>
      </c>
      <c r="O671" t="s">
        <v>218</v>
      </c>
      <c r="P671">
        <v>1955</v>
      </c>
      <c r="Q671" s="47">
        <v>46294</v>
      </c>
      <c r="R671" s="22" t="str">
        <f>IF(H671="","",H671&amp;I671)</f>
        <v>260414-029SALIDA</v>
      </c>
      <c r="S671" s="22" t="str">
        <f>IF(C671="","",C671&amp;I671)</f>
        <v>HarrierSALIDA</v>
      </c>
      <c r="T671" t="str">
        <f>IF(OR(C671="",I671&lt;&gt;"ENTRADA"),"",TEXT(B671,"AAMMDD")&amp;"-"&amp;TEXT(VALUE(SUBSTITUTE(A671,"MOV-","")),"000"))</f>
        <v/>
      </c>
    </row>
    <row r="672" spans="1:20">
      <c r="A672" s="20" t="s">
        <v>1003</v>
      </c>
      <c r="B672" s="47">
        <v>46289</v>
      </c>
      <c r="C672" t="s">
        <v>137</v>
      </c>
      <c r="D672" t="s">
        <v>138</v>
      </c>
      <c r="E672" t="s">
        <v>132</v>
      </c>
      <c r="G672" t="s">
        <v>133</v>
      </c>
      <c r="H672" s="20" t="s">
        <v>211</v>
      </c>
      <c r="I672" t="s">
        <v>65</v>
      </c>
      <c r="J672" s="30">
        <v>6</v>
      </c>
      <c r="K672" s="22">
        <f>IF(I672="","",IF(I672="ENTRADA",ABS(J672),-ABS(J672)))</f>
        <v>-6</v>
      </c>
      <c r="L672" t="s">
        <v>37</v>
      </c>
      <c r="N672">
        <v>65231</v>
      </c>
      <c r="O672" t="s">
        <v>218</v>
      </c>
      <c r="P672">
        <v>1955</v>
      </c>
      <c r="Q672" s="47">
        <v>46294</v>
      </c>
      <c r="R672" s="22" t="str">
        <f>IF(H672="","",H672&amp;I672)</f>
        <v>260414-030SALIDA</v>
      </c>
      <c r="S672" s="22" t="str">
        <f>IF(C672="","",C672&amp;I672)</f>
        <v>Full controlSALIDA</v>
      </c>
      <c r="T672" t="str">
        <f>IF(OR(C672="",I672&lt;&gt;"ENTRADA"),"",TEXT(B672,"AAMMDD")&amp;"-"&amp;TEXT(VALUE(SUBSTITUTE(A672,"MOV-","")),"000"))</f>
        <v/>
      </c>
    </row>
    <row r="673" spans="1:20">
      <c r="A673" s="20" t="s">
        <v>1004</v>
      </c>
      <c r="B673" s="47">
        <v>46287</v>
      </c>
      <c r="C673" t="s">
        <v>933</v>
      </c>
      <c r="D673" t="s">
        <v>934</v>
      </c>
      <c r="E673" t="s">
        <v>516</v>
      </c>
      <c r="G673" t="s">
        <v>36</v>
      </c>
      <c r="H673" s="20" t="s">
        <v>993</v>
      </c>
      <c r="I673" t="s">
        <v>65</v>
      </c>
      <c r="J673" s="30">
        <v>480</v>
      </c>
      <c r="K673" s="22">
        <f>IF(I673="","",IF(I673="ENTRADA",ABS(J673),-ABS(J673)))</f>
        <v>-480</v>
      </c>
      <c r="L673" t="s">
        <v>37</v>
      </c>
      <c r="N673">
        <v>65224</v>
      </c>
      <c r="O673" t="s">
        <v>387</v>
      </c>
      <c r="P673">
        <v>1951</v>
      </c>
      <c r="Q673" s="47">
        <v>46294</v>
      </c>
      <c r="R673" s="22" t="str">
        <f>IF(H673="","",H673&amp;I673)</f>
        <v>260914-621SALIDA</v>
      </c>
      <c r="S673" s="22" t="str">
        <f>IF(C673="","",C673&amp;I673)</f>
        <v>swing plusSALIDA</v>
      </c>
      <c r="T673" t="str">
        <f>IF(OR(C673="",I673&lt;&gt;"ENTRADA"),"",TEXT(B673,"AAMMDD")&amp;"-"&amp;TEXT(VALUE(SUBSTITUTE(A673,"MOV-","")),"000"))</f>
        <v/>
      </c>
    </row>
    <row r="674" spans="1:20">
      <c r="A674" s="20" t="s">
        <v>1005</v>
      </c>
      <c r="B674" s="47">
        <v>46290</v>
      </c>
      <c r="C674" t="s">
        <v>629</v>
      </c>
      <c r="D674" t="s">
        <v>630</v>
      </c>
      <c r="E674" t="s">
        <v>25</v>
      </c>
      <c r="F674" t="s">
        <v>631</v>
      </c>
      <c r="G674" t="s">
        <v>158</v>
      </c>
      <c r="H674" s="20" t="s">
        <v>947</v>
      </c>
      <c r="I674" t="s">
        <v>65</v>
      </c>
      <c r="J674" s="30">
        <v>25</v>
      </c>
      <c r="K674" s="22">
        <f>IF(I674="","",IF(I674="ENTRADA",ABS(J674),-ABS(J674)))</f>
        <v>-25</v>
      </c>
      <c r="L674" t="s">
        <v>632</v>
      </c>
      <c r="N674">
        <v>65232</v>
      </c>
      <c r="O674" t="s">
        <v>237</v>
      </c>
      <c r="P674">
        <v>1956</v>
      </c>
      <c r="Q674" s="47">
        <v>46294</v>
      </c>
      <c r="R674" s="22" t="str">
        <f>IF(H674="","",H674&amp;I674)</f>
        <v>260917-627SALIDA</v>
      </c>
      <c r="S674" s="22" t="str">
        <f>IF(C674="","",C674&amp;I674)</f>
        <v>semilla maiz DK 69-62 TRESALIDA</v>
      </c>
      <c r="T674" t="str">
        <f>IF(OR(C674="",I674&lt;&gt;"ENTRADA"),"",TEXT(B674,"AAMMDD")&amp;"-"&amp;TEXT(VALUE(SUBSTITUTE(A674,"MOV-","")),"000"))</f>
        <v/>
      </c>
    </row>
    <row r="675" spans="1:20">
      <c r="A675" s="20" t="s">
        <v>1006</v>
      </c>
      <c r="B675" s="47">
        <v>46290</v>
      </c>
      <c r="C675" t="s">
        <v>629</v>
      </c>
      <c r="D675" t="s">
        <v>630</v>
      </c>
      <c r="E675" t="s">
        <v>25</v>
      </c>
      <c r="F675" t="s">
        <v>631</v>
      </c>
      <c r="G675" t="s">
        <v>158</v>
      </c>
      <c r="H675" s="20" t="s">
        <v>947</v>
      </c>
      <c r="I675" t="s">
        <v>65</v>
      </c>
      <c r="J675" s="30">
        <v>40</v>
      </c>
      <c r="K675" s="22">
        <f>IF(I675="","",IF(I675="ENTRADA",ABS(J675),-ABS(J675)))</f>
        <v>-40</v>
      </c>
      <c r="L675" t="s">
        <v>632</v>
      </c>
      <c r="N675">
        <v>65233</v>
      </c>
      <c r="O675" t="s">
        <v>213</v>
      </c>
      <c r="P675">
        <v>1957</v>
      </c>
      <c r="Q675" s="47">
        <v>46294</v>
      </c>
      <c r="R675" s="22" t="str">
        <f>IF(H675="","",H675&amp;I675)</f>
        <v>260917-627SALIDA</v>
      </c>
      <c r="S675" s="22" t="str">
        <f>IF(C675="","",C675&amp;I675)</f>
        <v>semilla maiz DK 69-62 TRESALIDA</v>
      </c>
      <c r="T675" t="str">
        <f>IF(OR(C675="",I675&lt;&gt;"ENTRADA"),"",TEXT(B675,"AAMMDD")&amp;"-"&amp;TEXT(VALUE(SUBSTITUTE(A675,"MOV-","")),"000"))</f>
        <v/>
      </c>
    </row>
    <row r="676" spans="1:20">
      <c r="A676" s="20" t="s">
        <v>1007</v>
      </c>
      <c r="B676" s="47">
        <v>46290</v>
      </c>
      <c r="C676" t="s">
        <v>115</v>
      </c>
      <c r="D676" t="s">
        <v>116</v>
      </c>
      <c r="E676" t="s">
        <v>34</v>
      </c>
      <c r="F676" t="s">
        <v>35</v>
      </c>
      <c r="G676" t="s">
        <v>117</v>
      </c>
      <c r="H676" s="20" t="s">
        <v>971</v>
      </c>
      <c r="I676" t="s">
        <v>65</v>
      </c>
      <c r="J676" s="30">
        <v>5000</v>
      </c>
      <c r="K676" s="22">
        <f>IF(I676="","",IF(I676="ENTRADA",ABS(J676),-ABS(J676)))</f>
        <v>-5000</v>
      </c>
      <c r="L676" t="s">
        <v>37</v>
      </c>
      <c r="N676">
        <v>65234</v>
      </c>
      <c r="O676" t="s">
        <v>331</v>
      </c>
      <c r="P676">
        <v>1958</v>
      </c>
      <c r="Q676" s="47">
        <v>46294</v>
      </c>
      <c r="R676" s="22" t="str">
        <f>IF(H676="","",H676&amp;I676)</f>
        <v>260910-622SALIDA</v>
      </c>
      <c r="S676" s="22" t="str">
        <f>IF(C676="","",C676&amp;I676)</f>
        <v>AzukaSALIDA</v>
      </c>
      <c r="T676" t="str">
        <f>IF(OR(C676="",I676&lt;&gt;"ENTRADA"),"",TEXT(B676,"AAMMDD")&amp;"-"&amp;TEXT(VALUE(SUBSTITUTE(A676,"MOV-","")),"000"))</f>
        <v/>
      </c>
    </row>
    <row r="677" spans="1:20">
      <c r="A677" s="20" t="s">
        <v>1008</v>
      </c>
      <c r="B677" s="47">
        <v>46290</v>
      </c>
      <c r="C677" t="s">
        <v>115</v>
      </c>
      <c r="D677" t="s">
        <v>116</v>
      </c>
      <c r="E677" t="s">
        <v>34</v>
      </c>
      <c r="F677" t="s">
        <v>35</v>
      </c>
      <c r="G677" t="s">
        <v>117</v>
      </c>
      <c r="H677" s="20" t="s">
        <v>971</v>
      </c>
      <c r="I677" t="s">
        <v>65</v>
      </c>
      <c r="J677" s="30">
        <v>6000</v>
      </c>
      <c r="K677" s="22">
        <f>IF(I677="","",IF(I677="ENTRADA",ABS(J677),-ABS(J677)))</f>
        <v>-6000</v>
      </c>
      <c r="L677" t="s">
        <v>37</v>
      </c>
      <c r="N677">
        <v>65234</v>
      </c>
      <c r="O677" t="s">
        <v>309</v>
      </c>
      <c r="P677">
        <v>1958</v>
      </c>
      <c r="Q677" s="47">
        <v>46294</v>
      </c>
      <c r="R677" s="22" t="str">
        <f>IF(H677="","",H677&amp;I677)</f>
        <v>260910-622SALIDA</v>
      </c>
      <c r="S677" s="22" t="str">
        <f>IF(C677="","",C677&amp;I677)</f>
        <v>AzukaSALIDA</v>
      </c>
      <c r="T677" t="str">
        <f>IF(OR(C677="",I677&lt;&gt;"ENTRADA"),"",TEXT(B677,"AAMMDD")&amp;"-"&amp;TEXT(VALUE(SUBSTITUTE(A677,"MOV-","")),"000"))</f>
        <v/>
      </c>
    </row>
    <row r="678" spans="1:20">
      <c r="A678" s="20" t="s">
        <v>1009</v>
      </c>
      <c r="B678" s="47">
        <v>46290</v>
      </c>
      <c r="C678" t="s">
        <v>75</v>
      </c>
      <c r="D678" t="s">
        <v>76</v>
      </c>
      <c r="E678" t="s">
        <v>34</v>
      </c>
      <c r="F678" t="s">
        <v>35</v>
      </c>
      <c r="G678" t="s">
        <v>77</v>
      </c>
      <c r="H678" s="20" t="s">
        <v>94</v>
      </c>
      <c r="I678" t="s">
        <v>65</v>
      </c>
      <c r="J678" s="30">
        <v>700</v>
      </c>
      <c r="K678" s="22">
        <f>IF(I678="","",IF(I678="ENTRADA",ABS(J678),-ABS(J678)))</f>
        <v>-700</v>
      </c>
      <c r="L678" t="s">
        <v>37</v>
      </c>
      <c r="N678">
        <v>65234</v>
      </c>
      <c r="O678" t="s">
        <v>331</v>
      </c>
      <c r="P678">
        <v>1958</v>
      </c>
      <c r="Q678" s="47">
        <v>46294</v>
      </c>
      <c r="R678" s="22" t="str">
        <f>IF(H678="","",H678&amp;I678)</f>
        <v>260407-012SALIDA</v>
      </c>
      <c r="S678" s="22" t="str">
        <f>IF(C678="","",C678&amp;I678)</f>
        <v>Dedalo eliteSALIDA</v>
      </c>
      <c r="T678" t="str">
        <f>IF(OR(C678="",I678&lt;&gt;"ENTRADA"),"",TEXT(B678,"AAMMDD")&amp;"-"&amp;TEXT(VALUE(SUBSTITUTE(A678,"MOV-","")),"000"))</f>
        <v/>
      </c>
    </row>
    <row r="679" spans="1:20">
      <c r="A679" s="20" t="s">
        <v>1010</v>
      </c>
      <c r="B679" s="47">
        <v>46290</v>
      </c>
      <c r="C679" t="s">
        <v>75</v>
      </c>
      <c r="D679" t="s">
        <v>76</v>
      </c>
      <c r="E679" t="s">
        <v>34</v>
      </c>
      <c r="F679" t="s">
        <v>35</v>
      </c>
      <c r="G679" t="s">
        <v>77</v>
      </c>
      <c r="H679" s="20" t="s">
        <v>94</v>
      </c>
      <c r="I679" t="s">
        <v>65</v>
      </c>
      <c r="J679" s="30">
        <v>1500</v>
      </c>
      <c r="K679" s="22">
        <f>IF(I679="","",IF(I679="ENTRADA",ABS(J679),-ABS(J679)))</f>
        <v>-1500</v>
      </c>
      <c r="L679" t="s">
        <v>37</v>
      </c>
      <c r="N679">
        <v>65234</v>
      </c>
      <c r="O679" t="s">
        <v>309</v>
      </c>
      <c r="P679">
        <v>1958</v>
      </c>
      <c r="Q679" s="47">
        <v>46294</v>
      </c>
      <c r="R679" s="22" t="str">
        <f>IF(H679="","",H679&amp;I679)</f>
        <v>260407-012SALIDA</v>
      </c>
      <c r="S679" s="22" t="str">
        <f>IF(C679="","",C679&amp;I679)</f>
        <v>Dedalo eliteSALIDA</v>
      </c>
      <c r="T679" t="str">
        <f>IF(OR(C679="",I679&lt;&gt;"ENTRADA"),"",TEXT(B679,"AAMMDD")&amp;"-"&amp;TEXT(VALUE(SUBSTITUTE(A679,"MOV-","")),"000"))</f>
        <v/>
      </c>
    </row>
    <row r="680" spans="1:20">
      <c r="A680" s="20" t="s">
        <v>1011</v>
      </c>
      <c r="B680" s="47">
        <v>46290</v>
      </c>
      <c r="C680" t="s">
        <v>130</v>
      </c>
      <c r="D680" t="s">
        <v>131</v>
      </c>
      <c r="E680" t="s">
        <v>132</v>
      </c>
      <c r="G680" t="s">
        <v>133</v>
      </c>
      <c r="H680" s="20" t="s">
        <v>221</v>
      </c>
      <c r="I680" t="s">
        <v>65</v>
      </c>
      <c r="J680" s="30">
        <v>300</v>
      </c>
      <c r="K680" s="22">
        <f>IF(I680="","",IF(I680="ENTRADA",ABS(J680),-ABS(J680)))</f>
        <v>-300</v>
      </c>
      <c r="L680" t="s">
        <v>37</v>
      </c>
      <c r="N680">
        <v>65234</v>
      </c>
      <c r="O680" t="s">
        <v>331</v>
      </c>
      <c r="P680">
        <v>1958</v>
      </c>
      <c r="Q680" s="47">
        <v>46294</v>
      </c>
      <c r="R680" s="22" t="str">
        <f>IF(H680="","",H680&amp;I680)</f>
        <v>260414-029SALIDA</v>
      </c>
      <c r="S680" s="22" t="str">
        <f>IF(C680="","",C680&amp;I680)</f>
        <v>HarrierSALIDA</v>
      </c>
      <c r="T680" t="str">
        <f>IF(OR(C680="",I680&lt;&gt;"ENTRADA"),"",TEXT(B680,"AAMMDD")&amp;"-"&amp;TEXT(VALUE(SUBSTITUTE(A680,"MOV-","")),"000"))</f>
        <v/>
      </c>
    </row>
    <row r="681" spans="1:20">
      <c r="A681" s="20" t="s">
        <v>1012</v>
      </c>
      <c r="B681" s="47">
        <v>46290</v>
      </c>
      <c r="C681" s="34" t="s">
        <v>130</v>
      </c>
      <c r="D681" s="34" t="s">
        <v>131</v>
      </c>
      <c r="E681" s="34" t="s">
        <v>132</v>
      </c>
      <c r="F681" s="34"/>
      <c r="G681" s="34" t="s">
        <v>133</v>
      </c>
      <c r="H681" s="20" t="s">
        <v>221</v>
      </c>
      <c r="I681" s="34" t="s">
        <v>65</v>
      </c>
      <c r="J681" s="30">
        <v>200</v>
      </c>
      <c r="K681" s="22">
        <f>IF(I681="","",IF(I681="ENTRADA",ABS(J681),-ABS(J681)))</f>
        <v>-200</v>
      </c>
      <c r="L681" s="34" t="s">
        <v>37</v>
      </c>
      <c r="M681" s="34"/>
      <c r="N681">
        <v>65234</v>
      </c>
      <c r="O681" s="34" t="s">
        <v>309</v>
      </c>
      <c r="P681">
        <v>1958</v>
      </c>
      <c r="Q681" s="47">
        <v>46294</v>
      </c>
      <c r="R681" s="22" t="str">
        <f>IF(H681="","",H681&amp;I681)</f>
        <v>260414-029SALIDA</v>
      </c>
      <c r="S681" s="22" t="str">
        <f>IF(C681="","",C681&amp;I681)</f>
        <v>HarrierSALIDA</v>
      </c>
      <c r="T681" t="str">
        <f>IF(OR(C681="",I681&lt;&gt;"ENTRADA"),"",TEXT(B681,"AAMMDD")&amp;"-"&amp;TEXT(VALUE(SUBSTITUTE(A681,"MOV-","")),"000"))</f>
        <v/>
      </c>
    </row>
    <row r="682" spans="1:20">
      <c r="A682" s="20" t="s">
        <v>1013</v>
      </c>
      <c r="B682" s="47">
        <v>46290</v>
      </c>
      <c r="C682" t="s">
        <v>137</v>
      </c>
      <c r="D682" t="s">
        <v>138</v>
      </c>
      <c r="E682" t="s">
        <v>132</v>
      </c>
      <c r="G682" t="s">
        <v>133</v>
      </c>
      <c r="H682" s="20" t="s">
        <v>211</v>
      </c>
      <c r="I682" t="s">
        <v>65</v>
      </c>
      <c r="J682" s="30">
        <v>60</v>
      </c>
      <c r="K682" s="22">
        <f>IF(I682="","",IF(I682="ENTRADA",ABS(J682),-ABS(J682)))</f>
        <v>-60</v>
      </c>
      <c r="L682" t="s">
        <v>37</v>
      </c>
      <c r="N682">
        <v>65234</v>
      </c>
      <c r="O682" t="s">
        <v>331</v>
      </c>
      <c r="P682">
        <v>1958</v>
      </c>
      <c r="Q682" s="47">
        <v>46294</v>
      </c>
      <c r="R682" s="22" t="str">
        <f>IF(H682="","",H682&amp;I682)</f>
        <v>260414-030SALIDA</v>
      </c>
      <c r="S682" s="22" t="str">
        <f>IF(C682="","",C682&amp;I682)</f>
        <v>Full controlSALIDA</v>
      </c>
      <c r="T682" t="str">
        <f>IF(OR(C682="",I682&lt;&gt;"ENTRADA"),"",TEXT(B682,"AAMMDD")&amp;"-"&amp;TEXT(VALUE(SUBSTITUTE(A682,"MOV-","")),"000"))</f>
        <v/>
      </c>
    </row>
    <row r="683" spans="1:20">
      <c r="A683" s="20" t="s">
        <v>1014</v>
      </c>
      <c r="B683" s="47">
        <v>46290</v>
      </c>
      <c r="C683" t="s">
        <v>137</v>
      </c>
      <c r="D683" t="s">
        <v>138</v>
      </c>
      <c r="E683" t="s">
        <v>132</v>
      </c>
      <c r="G683" t="s">
        <v>133</v>
      </c>
      <c r="H683" s="20" t="s">
        <v>211</v>
      </c>
      <c r="I683" t="s">
        <v>65</v>
      </c>
      <c r="J683" s="30">
        <v>60</v>
      </c>
      <c r="K683" s="22">
        <f>IF(I683="","",IF(I683="ENTRADA",ABS(J683),-ABS(J683)))</f>
        <v>-60</v>
      </c>
      <c r="L683" t="s">
        <v>37</v>
      </c>
      <c r="N683">
        <v>65234</v>
      </c>
      <c r="O683" t="s">
        <v>309</v>
      </c>
      <c r="P683">
        <v>1958</v>
      </c>
      <c r="Q683" s="47">
        <v>46294</v>
      </c>
      <c r="R683" s="22" t="str">
        <f>IF(H683="","",H683&amp;I683)</f>
        <v>260414-030SALIDA</v>
      </c>
      <c r="S683" s="22" t="str">
        <f>IF(C683="","",C683&amp;I683)</f>
        <v>Full controlSALIDA</v>
      </c>
      <c r="T683" t="str">
        <f>IF(OR(C683="",I683&lt;&gt;"ENTRADA"),"",TEXT(B683,"AAMMDD")&amp;"-"&amp;TEXT(VALUE(SUBSTITUTE(A683,"MOV-","")),"000"))</f>
        <v/>
      </c>
    </row>
    <row r="684" spans="1:20">
      <c r="A684" s="20" t="s">
        <v>1015</v>
      </c>
      <c r="B684" s="47">
        <v>46290</v>
      </c>
      <c r="C684" t="s">
        <v>122</v>
      </c>
      <c r="D684" t="s">
        <v>123</v>
      </c>
      <c r="E684" t="s">
        <v>34</v>
      </c>
      <c r="F684" t="s">
        <v>35</v>
      </c>
      <c r="G684" t="s">
        <v>117</v>
      </c>
      <c r="H684" s="20" t="s">
        <v>938</v>
      </c>
      <c r="I684" t="s">
        <v>65</v>
      </c>
      <c r="J684" s="30">
        <v>480</v>
      </c>
      <c r="K684" s="22">
        <f>IF(I684="","",IF(I684="ENTRADA",ABS(J684),-ABS(J684)))</f>
        <v>-480</v>
      </c>
      <c r="L684" t="s">
        <v>37</v>
      </c>
      <c r="N684">
        <v>65234</v>
      </c>
      <c r="O684" t="s">
        <v>331</v>
      </c>
      <c r="P684">
        <v>1958</v>
      </c>
      <c r="Q684" s="47">
        <v>46294</v>
      </c>
      <c r="R684" s="22" t="str">
        <f>IF(H684="","",H684&amp;I684)</f>
        <v>260727-380SALIDA</v>
      </c>
      <c r="S684" s="22" t="str">
        <f>IF(C684="","",C684&amp;I684)</f>
        <v>PardoSALIDA</v>
      </c>
      <c r="T684" t="str">
        <f>IF(OR(C684="",I684&lt;&gt;"ENTRADA"),"",TEXT(B684,"AAMMDD")&amp;"-"&amp;TEXT(VALUE(SUBSTITUTE(A684,"MOV-","")),"000"))</f>
        <v/>
      </c>
    </row>
    <row r="685" spans="1:20">
      <c r="A685" s="20" t="s">
        <v>1016</v>
      </c>
      <c r="B685" s="47">
        <v>46290</v>
      </c>
      <c r="C685" t="s">
        <v>122</v>
      </c>
      <c r="D685" t="s">
        <v>123</v>
      </c>
      <c r="E685" t="s">
        <v>34</v>
      </c>
      <c r="F685" t="s">
        <v>35</v>
      </c>
      <c r="G685" t="s">
        <v>117</v>
      </c>
      <c r="H685" s="20" t="s">
        <v>938</v>
      </c>
      <c r="I685" t="s">
        <v>65</v>
      </c>
      <c r="J685" s="30">
        <v>1500</v>
      </c>
      <c r="K685" s="22">
        <f>IF(I685="","",IF(I685="ENTRADA",ABS(J685),-ABS(J685)))</f>
        <v>-1500</v>
      </c>
      <c r="L685" t="s">
        <v>37</v>
      </c>
      <c r="N685">
        <v>65234</v>
      </c>
      <c r="O685" t="s">
        <v>309</v>
      </c>
      <c r="P685">
        <v>1958</v>
      </c>
      <c r="Q685" s="47">
        <v>46294</v>
      </c>
      <c r="R685" s="22" t="str">
        <f>IF(H685="","",H685&amp;I685)</f>
        <v>260727-380SALIDA</v>
      </c>
      <c r="S685" s="22" t="str">
        <f>IF(C685="","",C685&amp;I685)</f>
        <v>PardoSALIDA</v>
      </c>
      <c r="T685" t="str">
        <f>IF(OR(C685="",I685&lt;&gt;"ENTRADA"),"",TEXT(B685,"AAMMDD")&amp;"-"&amp;TEXT(VALUE(SUBSTITUTE(A685,"MOV-","")),"000"))</f>
        <v/>
      </c>
    </row>
    <row r="686" spans="1:20">
      <c r="A686" s="20" t="s">
        <v>1017</v>
      </c>
      <c r="B686" s="47">
        <v>46290</v>
      </c>
      <c r="C686" t="s">
        <v>779</v>
      </c>
      <c r="D686" t="s">
        <v>780</v>
      </c>
      <c r="E686" t="s">
        <v>34</v>
      </c>
      <c r="G686" t="s">
        <v>27</v>
      </c>
      <c r="H686" s="20" t="s">
        <v>1018</v>
      </c>
      <c r="I686" t="s">
        <v>65</v>
      </c>
      <c r="J686" s="30">
        <v>200</v>
      </c>
      <c r="K686" s="22">
        <f>IF(I686="","",IF(I686="ENTRADA",ABS(J686),-ABS(J686)))</f>
        <v>-200</v>
      </c>
      <c r="L686" t="s">
        <v>37</v>
      </c>
      <c r="N686">
        <v>65234</v>
      </c>
      <c r="O686" t="s">
        <v>309</v>
      </c>
      <c r="P686">
        <v>1958</v>
      </c>
      <c r="Q686" s="47">
        <v>46294</v>
      </c>
      <c r="R686" s="22" t="str">
        <f>IF(H686="","",H686&amp;I686)</f>
        <v>260801-488SALIDA</v>
      </c>
      <c r="S686" s="22" t="str">
        <f>IF(C686="","",C686&amp;I686)</f>
        <v>Voraxor SALIDA</v>
      </c>
      <c r="T686" t="str">
        <f>IF(OR(C686="",I686&lt;&gt;"ENTRADA"),"",TEXT(B686,"AAMMDD")&amp;"-"&amp;TEXT(VALUE(SUBSTITUTE(A686,"MOV-","")),"000"))</f>
        <v/>
      </c>
    </row>
    <row r="687" spans="1:20">
      <c r="A687" s="20" t="s">
        <v>1019</v>
      </c>
      <c r="B687" s="47">
        <v>46290</v>
      </c>
      <c r="C687" t="s">
        <v>943</v>
      </c>
      <c r="D687" t="s">
        <v>944</v>
      </c>
      <c r="E687" t="s">
        <v>516</v>
      </c>
      <c r="G687" t="s">
        <v>777</v>
      </c>
      <c r="H687" s="20" t="s">
        <v>969</v>
      </c>
      <c r="I687" t="s">
        <v>65</v>
      </c>
      <c r="J687" s="30">
        <v>145</v>
      </c>
      <c r="K687" s="22">
        <f>IF(I687="","",IF(I687="ENTRADA",ABS(J687),-ABS(J687)))</f>
        <v>-145</v>
      </c>
      <c r="L687" t="s">
        <v>56</v>
      </c>
      <c r="N687">
        <v>65235</v>
      </c>
      <c r="O687" t="s">
        <v>382</v>
      </c>
      <c r="P687">
        <v>1959</v>
      </c>
      <c r="Q687" s="47">
        <v>46294</v>
      </c>
      <c r="R687" s="22" t="str">
        <f>IF(H687="","",H687&amp;I687)</f>
        <v>260917-626SALIDA</v>
      </c>
      <c r="S687" s="22" t="str">
        <f>IF(C687="","",C687&amp;I687)</f>
        <v>Miravis triple packSALIDA</v>
      </c>
      <c r="T687" t="str">
        <f>IF(OR(C687="",I687&lt;&gt;"ENTRADA"),"",TEXT(B687,"AAMMDD")&amp;"-"&amp;TEXT(VALUE(SUBSTITUTE(A687,"MOV-","")),"000"))</f>
        <v/>
      </c>
    </row>
    <row r="688" spans="1:20">
      <c r="A688" s="20" t="s">
        <v>1020</v>
      </c>
      <c r="B688" s="47">
        <v>46290</v>
      </c>
      <c r="C688" t="s">
        <v>130</v>
      </c>
      <c r="D688" t="s">
        <v>131</v>
      </c>
      <c r="E688" t="s">
        <v>132</v>
      </c>
      <c r="G688" t="s">
        <v>133</v>
      </c>
      <c r="H688" s="20" t="s">
        <v>221</v>
      </c>
      <c r="I688" t="s">
        <v>65</v>
      </c>
      <c r="J688" s="30">
        <v>160</v>
      </c>
      <c r="K688" s="22">
        <f>IF(I688="","",IF(I688="ENTRADA",ABS(J688),-ABS(J688)))</f>
        <v>-160</v>
      </c>
      <c r="L688" t="s">
        <v>37</v>
      </c>
      <c r="N688">
        <v>65235</v>
      </c>
      <c r="O688" t="s">
        <v>382</v>
      </c>
      <c r="P688">
        <v>1959</v>
      </c>
      <c r="Q688" s="47">
        <v>46294</v>
      </c>
      <c r="R688" s="22" t="str">
        <f>IF(H688="","",H688&amp;I688)</f>
        <v>260414-029SALIDA</v>
      </c>
      <c r="S688" s="22" t="str">
        <f>IF(C688="","",C688&amp;I688)</f>
        <v>HarrierSALIDA</v>
      </c>
      <c r="T688" t="str">
        <f>IF(OR(C688="",I688&lt;&gt;"ENTRADA"),"",TEXT(B688,"AAMMDD")&amp;"-"&amp;TEXT(VALUE(SUBSTITUTE(A688,"MOV-","")),"000"))</f>
        <v/>
      </c>
    </row>
    <row r="689" spans="1:20">
      <c r="A689" s="20" t="s">
        <v>1021</v>
      </c>
      <c r="B689" s="47">
        <v>46290</v>
      </c>
      <c r="C689" t="s">
        <v>137</v>
      </c>
      <c r="D689" t="s">
        <v>138</v>
      </c>
      <c r="E689" t="s">
        <v>132</v>
      </c>
      <c r="G689" t="s">
        <v>133</v>
      </c>
      <c r="H689" s="20" t="s">
        <v>211</v>
      </c>
      <c r="I689" t="s">
        <v>65</v>
      </c>
      <c r="J689" s="30">
        <v>30</v>
      </c>
      <c r="K689" s="22">
        <f>IF(I689="","",IF(I689="ENTRADA",ABS(J689),-ABS(J689)))</f>
        <v>-30</v>
      </c>
      <c r="L689" t="s">
        <v>37</v>
      </c>
      <c r="N689">
        <v>65235</v>
      </c>
      <c r="O689" t="s">
        <v>382</v>
      </c>
      <c r="P689">
        <v>1959</v>
      </c>
      <c r="Q689" s="47">
        <v>46294</v>
      </c>
      <c r="R689" s="22" t="str">
        <f>IF(H689="","",H689&amp;I689)</f>
        <v>260414-030SALIDA</v>
      </c>
      <c r="S689" s="22" t="str">
        <f>IF(C689="","",C689&amp;I689)</f>
        <v>Full controlSALIDA</v>
      </c>
      <c r="T689" t="str">
        <f>IF(OR(C689="",I689&lt;&gt;"ENTRADA"),"",TEXT(B689,"AAMMDD")&amp;"-"&amp;TEXT(VALUE(SUBSTITUTE(A689,"MOV-","")),"000"))</f>
        <v/>
      </c>
    </row>
    <row r="690" spans="1:20">
      <c r="A690" s="20" t="s">
        <v>1022</v>
      </c>
      <c r="B690" s="47">
        <v>46291</v>
      </c>
      <c r="C690" t="s">
        <v>115</v>
      </c>
      <c r="D690" t="s">
        <v>116</v>
      </c>
      <c r="E690" t="s">
        <v>34</v>
      </c>
      <c r="F690" t="s">
        <v>35</v>
      </c>
      <c r="G690" t="s">
        <v>117</v>
      </c>
      <c r="H690" s="20" t="s">
        <v>971</v>
      </c>
      <c r="I690" t="s">
        <v>65</v>
      </c>
      <c r="J690" s="30">
        <v>2500</v>
      </c>
      <c r="K690" s="22">
        <f>IF(I690="","",IF(I690="ENTRADA",ABS(J690),-ABS(J690)))</f>
        <v>-2500</v>
      </c>
      <c r="L690" t="s">
        <v>37</v>
      </c>
      <c r="N690">
        <v>65236</v>
      </c>
      <c r="O690" t="s">
        <v>1023</v>
      </c>
      <c r="P690">
        <v>1971</v>
      </c>
      <c r="Q690" s="47">
        <v>46297</v>
      </c>
      <c r="R690" s="22" t="str">
        <f>IF(H690="","",H690&amp;I690)</f>
        <v>260910-622SALIDA</v>
      </c>
      <c r="S690" s="22" t="str">
        <f>IF(C690="","",C690&amp;I690)</f>
        <v>AzukaSALIDA</v>
      </c>
      <c r="T690" t="str">
        <f>IF(OR(C690="",I690&lt;&gt;"ENTRADA"),"",TEXT(B690,"AAMMDD")&amp;"-"&amp;TEXT(VALUE(SUBSTITUTE(A690,"MOV-","")),"000"))</f>
        <v/>
      </c>
    </row>
    <row r="691" spans="1:20">
      <c r="A691" s="20" t="s">
        <v>1024</v>
      </c>
      <c r="B691" s="47">
        <v>46291</v>
      </c>
      <c r="C691" t="s">
        <v>122</v>
      </c>
      <c r="D691" t="s">
        <v>123</v>
      </c>
      <c r="E691" t="s">
        <v>34</v>
      </c>
      <c r="F691" t="s">
        <v>35</v>
      </c>
      <c r="G691" t="s">
        <v>117</v>
      </c>
      <c r="H691" s="20" t="s">
        <v>938</v>
      </c>
      <c r="I691" t="s">
        <v>65</v>
      </c>
      <c r="J691" s="30">
        <v>700</v>
      </c>
      <c r="K691" s="22">
        <f>IF(I691="","",IF(I691="ENTRADA",ABS(J691),-ABS(J691)))</f>
        <v>-700</v>
      </c>
      <c r="L691" t="s">
        <v>37</v>
      </c>
      <c r="N691">
        <v>65236</v>
      </c>
      <c r="O691" t="s">
        <v>1023</v>
      </c>
      <c r="P691">
        <v>1971</v>
      </c>
      <c r="Q691" s="47">
        <v>46297</v>
      </c>
      <c r="R691" s="22" t="str">
        <f>IF(H691="","",H691&amp;I691)</f>
        <v>260727-380SALIDA</v>
      </c>
      <c r="S691" s="22" t="str">
        <f>IF(C691="","",C691&amp;I691)</f>
        <v>PardoSALIDA</v>
      </c>
      <c r="T691" t="str">
        <f>IF(OR(C691="",I691&lt;&gt;"ENTRADA"),"",TEXT(B691,"AAMMDD")&amp;"-"&amp;TEXT(VALUE(SUBSTITUTE(A691,"MOV-","")),"000"))</f>
        <v/>
      </c>
    </row>
    <row r="692" spans="1:20">
      <c r="A692" s="20" t="s">
        <v>1025</v>
      </c>
      <c r="B692" s="47">
        <v>46291</v>
      </c>
      <c r="C692" s="34" t="s">
        <v>933</v>
      </c>
      <c r="D692" s="34" t="s">
        <v>934</v>
      </c>
      <c r="E692" s="34" t="s">
        <v>516</v>
      </c>
      <c r="F692" s="34"/>
      <c r="G692" s="34" t="s">
        <v>36</v>
      </c>
      <c r="H692" s="20" t="s">
        <v>993</v>
      </c>
      <c r="I692" s="34" t="s">
        <v>65</v>
      </c>
      <c r="J692" s="30">
        <v>500</v>
      </c>
      <c r="K692" s="22">
        <f>IF(I692="","",IF(I692="ENTRADA",ABS(J692),-ABS(J692)))</f>
        <v>-500</v>
      </c>
      <c r="L692" s="34" t="s">
        <v>37</v>
      </c>
      <c r="M692" s="34"/>
      <c r="N692">
        <v>65236</v>
      </c>
      <c r="O692" t="s">
        <v>1023</v>
      </c>
      <c r="P692">
        <v>1971</v>
      </c>
      <c r="Q692" s="47">
        <v>46297</v>
      </c>
      <c r="R692" s="22" t="str">
        <f>IF(H692="","",H692&amp;I692)</f>
        <v>260914-621SALIDA</v>
      </c>
      <c r="S692" s="22" t="str">
        <f>IF(C692="","",C692&amp;I692)</f>
        <v>swing plusSALIDA</v>
      </c>
      <c r="T692" t="str">
        <f>IF(OR(C692="",I692&lt;&gt;"ENTRADA"),"",TEXT(B692,"AAMMDD")&amp;"-"&amp;TEXT(VALUE(SUBSTITUTE(A692,"MOV-","")),"000"))</f>
        <v/>
      </c>
    </row>
    <row r="693" spans="1:20">
      <c r="A693" s="20" t="s">
        <v>1026</v>
      </c>
      <c r="B693" s="47">
        <v>46291</v>
      </c>
      <c r="C693" t="s">
        <v>137</v>
      </c>
      <c r="D693" t="s">
        <v>138</v>
      </c>
      <c r="E693" t="s">
        <v>132</v>
      </c>
      <c r="G693" t="s">
        <v>133</v>
      </c>
      <c r="H693" s="20" t="s">
        <v>211</v>
      </c>
      <c r="I693" t="s">
        <v>65</v>
      </c>
      <c r="J693" s="30">
        <v>30</v>
      </c>
      <c r="K693" s="22">
        <f>IF(I693="","",IF(I693="ENTRADA",ABS(J693),-ABS(J693)))</f>
        <v>-30</v>
      </c>
      <c r="L693" t="s">
        <v>37</v>
      </c>
      <c r="N693">
        <v>65236</v>
      </c>
      <c r="O693" t="s">
        <v>1023</v>
      </c>
      <c r="P693">
        <v>1971</v>
      </c>
      <c r="Q693" s="47">
        <v>46297</v>
      </c>
      <c r="R693" s="22" t="str">
        <f>IF(H693="","",H693&amp;I693)</f>
        <v>260414-030SALIDA</v>
      </c>
      <c r="S693" s="22" t="str">
        <f>IF(C693="","",C693&amp;I693)</f>
        <v>Full controlSALIDA</v>
      </c>
      <c r="T693" t="str">
        <f>IF(OR(C693="",I693&lt;&gt;"ENTRADA"),"",TEXT(B693,"AAMMDD")&amp;"-"&amp;TEXT(VALUE(SUBSTITUTE(A693,"MOV-","")),"000"))</f>
        <v/>
      </c>
    </row>
    <row r="694" spans="1:20">
      <c r="A694" s="20" t="s">
        <v>1027</v>
      </c>
      <c r="B694" s="47">
        <v>46291</v>
      </c>
      <c r="C694" t="s">
        <v>130</v>
      </c>
      <c r="D694" t="s">
        <v>131</v>
      </c>
      <c r="E694" t="s">
        <v>132</v>
      </c>
      <c r="G694" t="s">
        <v>133</v>
      </c>
      <c r="H694" s="20" t="s">
        <v>221</v>
      </c>
      <c r="I694" t="s">
        <v>65</v>
      </c>
      <c r="J694" s="30">
        <v>100</v>
      </c>
      <c r="K694" s="22">
        <f>IF(I694="","",IF(I694="ENTRADA",ABS(J694),-ABS(J694)))</f>
        <v>-100</v>
      </c>
      <c r="L694" t="s">
        <v>37</v>
      </c>
      <c r="N694">
        <v>65236</v>
      </c>
      <c r="O694" t="s">
        <v>1023</v>
      </c>
      <c r="P694">
        <v>1971</v>
      </c>
      <c r="Q694" s="47">
        <v>46297</v>
      </c>
      <c r="R694" s="22" t="str">
        <f>IF(H694="","",H694&amp;I694)</f>
        <v>260414-029SALIDA</v>
      </c>
      <c r="S694" s="22" t="str">
        <f>IF(C694="","",C694&amp;I694)</f>
        <v>HarrierSALIDA</v>
      </c>
      <c r="T694" t="str">
        <f>IF(OR(C694="",I694&lt;&gt;"ENTRADA"),"",TEXT(B694,"AAMMDD")&amp;"-"&amp;TEXT(VALUE(SUBSTITUTE(A694,"MOV-","")),"000"))</f>
        <v/>
      </c>
    </row>
    <row r="695" spans="1:20">
      <c r="A695" s="20" t="s">
        <v>1028</v>
      </c>
      <c r="B695" s="47">
        <v>46291</v>
      </c>
      <c r="C695" t="s">
        <v>90</v>
      </c>
      <c r="D695" t="s">
        <v>91</v>
      </c>
      <c r="E695" t="s">
        <v>34</v>
      </c>
      <c r="F695" t="s">
        <v>35</v>
      </c>
      <c r="G695" t="s">
        <v>36</v>
      </c>
      <c r="H695" s="20" t="s">
        <v>375</v>
      </c>
      <c r="I695" t="s">
        <v>65</v>
      </c>
      <c r="J695" s="30">
        <v>340</v>
      </c>
      <c r="K695" s="22">
        <f>IF(I695="","",IF(I695="ENTRADA",ABS(J695),-ABS(J695)))</f>
        <v>-340</v>
      </c>
      <c r="L695" t="s">
        <v>37</v>
      </c>
      <c r="N695">
        <v>65236</v>
      </c>
      <c r="O695" t="s">
        <v>1023</v>
      </c>
      <c r="P695">
        <v>1971</v>
      </c>
      <c r="Q695" s="47">
        <v>46297</v>
      </c>
      <c r="R695" s="22" t="str">
        <f>IF(H695="","",H695&amp;I695)</f>
        <v>260405-132SALIDA</v>
      </c>
      <c r="S695" s="22" t="str">
        <f>IF(C695="","",C695&amp;I695)</f>
        <v>PixxaroSALIDA</v>
      </c>
      <c r="T695" t="str">
        <f>IF(OR(C695="",I695&lt;&gt;"ENTRADA"),"",TEXT(B695,"AAMMDD")&amp;"-"&amp;TEXT(VALUE(SUBSTITUTE(A695,"MOV-","")),"000"))</f>
        <v/>
      </c>
    </row>
    <row r="696" spans="1:20">
      <c r="A696" s="20" t="s">
        <v>1029</v>
      </c>
      <c r="B696" s="47">
        <v>46293</v>
      </c>
      <c r="C696" t="s">
        <v>1030</v>
      </c>
      <c r="D696" t="s">
        <v>1031</v>
      </c>
      <c r="E696" t="s">
        <v>34</v>
      </c>
      <c r="F696" t="s">
        <v>35</v>
      </c>
      <c r="G696" t="s">
        <v>1032</v>
      </c>
      <c r="H696" s="20" t="str">
        <f>+T696</f>
        <v>260928-698</v>
      </c>
      <c r="I696" t="s">
        <v>28</v>
      </c>
      <c r="J696" s="30">
        <v>600</v>
      </c>
      <c r="K696" s="22">
        <f>IF(I696="","",IF(I696="ENTRADA",ABS(J696),-ABS(J696)))</f>
        <v>600</v>
      </c>
      <c r="L696" t="s">
        <v>37</v>
      </c>
      <c r="N696">
        <v>14744</v>
      </c>
      <c r="P696">
        <v>15208</v>
      </c>
      <c r="Q696" s="47">
        <v>46294</v>
      </c>
      <c r="R696" s="22" t="str">
        <f>IF(H696="","",H696&amp;I696)</f>
        <v>260928-698ENTRADA</v>
      </c>
      <c r="S696" s="22" t="str">
        <f>IF(C696="","",C696&amp;I696)</f>
        <v>Sauquat super ENTRADA</v>
      </c>
      <c r="T696" t="str">
        <f>IF(OR(C696="",I696&lt;&gt;"ENTRADA"),"",TEXT(B696,"AAMMDD")&amp;"-"&amp;TEXT(VALUE(SUBSTITUTE(A696,"MOV-","")),"000"))</f>
        <v>260928-698</v>
      </c>
    </row>
    <row r="697" spans="1:20">
      <c r="A697" s="20" t="s">
        <v>1033</v>
      </c>
      <c r="B697" s="47">
        <v>46287</v>
      </c>
      <c r="C697" t="s">
        <v>141</v>
      </c>
      <c r="D697" t="s">
        <v>142</v>
      </c>
      <c r="E697" t="s">
        <v>132</v>
      </c>
      <c r="G697" t="s">
        <v>133</v>
      </c>
      <c r="H697" s="20" t="s">
        <v>748</v>
      </c>
      <c r="I697" t="s">
        <v>65</v>
      </c>
      <c r="J697" s="30">
        <v>2</v>
      </c>
      <c r="K697" s="22">
        <f>IF(I697="","",IF(I697="ENTRADA",ABS(J697),-ABS(J697)))</f>
        <v>-2</v>
      </c>
      <c r="L697" t="s">
        <v>37</v>
      </c>
      <c r="N697">
        <v>65224</v>
      </c>
      <c r="O697" t="s">
        <v>387</v>
      </c>
      <c r="P697">
        <v>1951</v>
      </c>
      <c r="Q697" s="47">
        <v>46294</v>
      </c>
      <c r="R697" s="22" t="str">
        <f>IF(H697="","",H697&amp;I697)</f>
        <v>260827-473SALIDA</v>
      </c>
      <c r="S697" s="22" t="str">
        <f>IF(C697="","",C697&amp;I697)</f>
        <v>Maxi DropSALIDA</v>
      </c>
      <c r="T697" t="str">
        <f>IF(OR(C697="",I697&lt;&gt;"ENTRADA"),"",TEXT(B697,"AAMMDD")&amp;"-"&amp;TEXT(VALUE(SUBSTITUTE(A697,"MOV-","")),"000"))</f>
        <v/>
      </c>
    </row>
    <row r="698" spans="1:20">
      <c r="A698" s="20" t="s">
        <v>1034</v>
      </c>
      <c r="B698" s="47">
        <v>46295</v>
      </c>
      <c r="C698" t="s">
        <v>115</v>
      </c>
      <c r="D698" t="s">
        <v>116</v>
      </c>
      <c r="E698" t="s">
        <v>34</v>
      </c>
      <c r="F698" t="s">
        <v>35</v>
      </c>
      <c r="G698" t="s">
        <v>117</v>
      </c>
      <c r="H698" s="20" t="s">
        <v>971</v>
      </c>
      <c r="I698" t="s">
        <v>65</v>
      </c>
      <c r="J698" s="30">
        <v>960</v>
      </c>
      <c r="K698" s="22">
        <f>IF(I698="","",IF(I698="ENTRADA",ABS(J698),-ABS(J698)))</f>
        <v>-960</v>
      </c>
      <c r="L698" t="s">
        <v>37</v>
      </c>
      <c r="N698">
        <v>65237</v>
      </c>
      <c r="O698" t="s">
        <v>1023</v>
      </c>
      <c r="P698">
        <v>1972</v>
      </c>
      <c r="Q698" s="47">
        <v>46297</v>
      </c>
      <c r="R698" s="22" t="str">
        <f>IF(H698="","",H698&amp;I698)</f>
        <v>260910-622SALIDA</v>
      </c>
      <c r="S698" s="22" t="str">
        <f>IF(C698="","",C698&amp;I698)</f>
        <v>AzukaSALIDA</v>
      </c>
      <c r="T698" t="str">
        <f>IF(OR(C698="",I698&lt;&gt;"ENTRADA"),"",TEXT(B698,"AAMMDD")&amp;"-"&amp;TEXT(VALUE(SUBSTITUTE(A698,"MOV-","")),"000"))</f>
        <v/>
      </c>
    </row>
    <row r="699" spans="1:20">
      <c r="A699" s="20" t="s">
        <v>1035</v>
      </c>
      <c r="B699" s="47">
        <v>46295</v>
      </c>
      <c r="C699" t="s">
        <v>750</v>
      </c>
      <c r="D699" t="s">
        <v>87</v>
      </c>
      <c r="E699" t="s">
        <v>34</v>
      </c>
      <c r="G699" t="s">
        <v>301</v>
      </c>
      <c r="H699" s="20" t="s">
        <v>753</v>
      </c>
      <c r="I699" t="s">
        <v>65</v>
      </c>
      <c r="J699" s="30">
        <v>140</v>
      </c>
      <c r="K699" s="22">
        <f>IF(I699="","",IF(I699="ENTRADA",ABS(J699),-ABS(J699)))</f>
        <v>-140</v>
      </c>
      <c r="L699" t="s">
        <v>37</v>
      </c>
      <c r="N699">
        <v>65237</v>
      </c>
      <c r="O699" t="s">
        <v>1023</v>
      </c>
      <c r="P699">
        <v>1972</v>
      </c>
      <c r="Q699" s="47">
        <v>46297</v>
      </c>
      <c r="R699" s="22" t="str">
        <f>IF(H699="","",H699&amp;I699)</f>
        <v>260813-476SALIDA</v>
      </c>
      <c r="S699" s="22" t="str">
        <f>IF(C699="","",C699&amp;I699)</f>
        <v>Fluroxipir Forte 480SALIDA</v>
      </c>
      <c r="T699" t="str">
        <f>IF(OR(C699="",I699&lt;&gt;"ENTRADA"),"",TEXT(B699,"AAMMDD")&amp;"-"&amp;TEXT(VALUE(SUBSTITUTE(A699,"MOV-","")),"000"))</f>
        <v/>
      </c>
    </row>
    <row r="700" spans="1:20">
      <c r="A700" s="20" t="s">
        <v>1036</v>
      </c>
      <c r="B700" s="47">
        <v>46295</v>
      </c>
      <c r="C700" t="s">
        <v>122</v>
      </c>
      <c r="D700" t="s">
        <v>123</v>
      </c>
      <c r="E700" t="s">
        <v>34</v>
      </c>
      <c r="F700" t="s">
        <v>35</v>
      </c>
      <c r="G700" t="s">
        <v>117</v>
      </c>
      <c r="H700" s="20" t="s">
        <v>938</v>
      </c>
      <c r="I700" t="s">
        <v>65</v>
      </c>
      <c r="J700" s="30">
        <v>240</v>
      </c>
      <c r="K700" s="22">
        <f>IF(I700="","",IF(I700="ENTRADA",ABS(J700),-ABS(J700)))</f>
        <v>-240</v>
      </c>
      <c r="L700" t="s">
        <v>37</v>
      </c>
      <c r="N700">
        <v>65237</v>
      </c>
      <c r="O700" t="s">
        <v>1023</v>
      </c>
      <c r="P700">
        <v>1972</v>
      </c>
      <c r="Q700" s="47">
        <v>46297</v>
      </c>
      <c r="R700" s="22" t="str">
        <f>IF(H700="","",H700&amp;I700)</f>
        <v>260727-380SALIDA</v>
      </c>
      <c r="S700" s="22" t="str">
        <f>IF(C700="","",C700&amp;I700)</f>
        <v>PardoSALIDA</v>
      </c>
      <c r="T700" t="str">
        <f>IF(OR(C700="",I700&lt;&gt;"ENTRADA"),"",TEXT(B700,"AAMMDD")&amp;"-"&amp;TEXT(VALUE(SUBSTITUTE(A700,"MOV-","")),"000"))</f>
        <v/>
      </c>
    </row>
    <row r="701" spans="1:20">
      <c r="A701" s="20" t="s">
        <v>1037</v>
      </c>
      <c r="B701" s="47">
        <v>46295</v>
      </c>
      <c r="C701" t="s">
        <v>137</v>
      </c>
      <c r="D701" t="s">
        <v>138</v>
      </c>
      <c r="E701" t="s">
        <v>132</v>
      </c>
      <c r="G701" t="s">
        <v>133</v>
      </c>
      <c r="H701" s="20" t="s">
        <v>211</v>
      </c>
      <c r="I701" t="s">
        <v>65</v>
      </c>
      <c r="J701" s="30">
        <v>5</v>
      </c>
      <c r="K701" s="22">
        <f>IF(I701="","",IF(I701="ENTRADA",ABS(J701),-ABS(J701)))</f>
        <v>-5</v>
      </c>
      <c r="L701" t="s">
        <v>37</v>
      </c>
      <c r="N701">
        <v>65237</v>
      </c>
      <c r="O701" t="s">
        <v>1023</v>
      </c>
      <c r="P701">
        <v>1972</v>
      </c>
      <c r="Q701" s="47">
        <v>46297</v>
      </c>
      <c r="R701" s="22" t="str">
        <f>IF(H701="","",H701&amp;I701)</f>
        <v>260414-030SALIDA</v>
      </c>
      <c r="S701" s="22" t="str">
        <f>IF(C701="","",C701&amp;I701)</f>
        <v>Full controlSALIDA</v>
      </c>
      <c r="T701" t="str">
        <f>IF(OR(C701="",I701&lt;&gt;"ENTRADA"),"",TEXT(B701,"AAMMDD")&amp;"-"&amp;TEXT(VALUE(SUBSTITUTE(A701,"MOV-","")),"000"))</f>
        <v/>
      </c>
    </row>
    <row r="702" spans="1:20">
      <c r="A702" s="20" t="s">
        <v>1038</v>
      </c>
      <c r="B702" s="47">
        <v>46295</v>
      </c>
      <c r="C702" t="s">
        <v>656</v>
      </c>
      <c r="D702" t="s">
        <v>657</v>
      </c>
      <c r="E702" t="s">
        <v>132</v>
      </c>
      <c r="G702" t="s">
        <v>133</v>
      </c>
      <c r="H702" s="20" t="s">
        <v>659</v>
      </c>
      <c r="I702" t="s">
        <v>65</v>
      </c>
      <c r="J702" s="30">
        <v>25</v>
      </c>
      <c r="K702" s="22">
        <f>IF(I702="","",IF(I702="ENTRADA",ABS(J702),-ABS(J702)))</f>
        <v>-25</v>
      </c>
      <c r="L702" t="s">
        <v>37</v>
      </c>
      <c r="N702">
        <v>65237</v>
      </c>
      <c r="O702" t="s">
        <v>1023</v>
      </c>
      <c r="P702">
        <v>1972</v>
      </c>
      <c r="Q702" s="47">
        <v>46297</v>
      </c>
      <c r="R702" s="22" t="str">
        <f>IF(H702="","",H702&amp;I702)</f>
        <v>260729-393SALIDA</v>
      </c>
      <c r="S702" s="22" t="str">
        <f>IF(C702="","",C702&amp;I702)</f>
        <v>Harrier Drone SALIDA</v>
      </c>
      <c r="T702" t="str">
        <f>IF(OR(C702="",I702&lt;&gt;"ENTRADA"),"",TEXT(B702,"AAMMDD")&amp;"-"&amp;TEXT(VALUE(SUBSTITUTE(A702,"MOV-","")),"000"))</f>
        <v/>
      </c>
    </row>
    <row r="703" spans="1:20">
      <c r="A703" s="20" t="s">
        <v>1039</v>
      </c>
      <c r="B703" s="47">
        <v>46295</v>
      </c>
      <c r="C703" s="34" t="s">
        <v>933</v>
      </c>
      <c r="D703" s="34" t="s">
        <v>934</v>
      </c>
      <c r="E703" s="34" t="s">
        <v>516</v>
      </c>
      <c r="F703" s="34"/>
      <c r="G703" s="34" t="s">
        <v>36</v>
      </c>
      <c r="H703" s="20" t="s">
        <v>993</v>
      </c>
      <c r="I703" s="34" t="s">
        <v>65</v>
      </c>
      <c r="J703" s="30">
        <v>480</v>
      </c>
      <c r="K703" s="22">
        <f>IF(I703="","",IF(I703="ENTRADA",ABS(J703),-ABS(J703)))</f>
        <v>-480</v>
      </c>
      <c r="L703" s="34" t="s">
        <v>37</v>
      </c>
      <c r="M703" s="34"/>
      <c r="N703">
        <v>65238</v>
      </c>
      <c r="O703" s="34" t="s">
        <v>237</v>
      </c>
      <c r="P703" s="34">
        <v>1964</v>
      </c>
      <c r="Q703" s="35">
        <v>46295</v>
      </c>
      <c r="R703" s="22" t="str">
        <f>IF(H703="","",H703&amp;I703)</f>
        <v>260914-621SALIDA</v>
      </c>
      <c r="S703" s="22" t="str">
        <f>IF(C703="","",C703&amp;I703)</f>
        <v>swing plusSALIDA</v>
      </c>
      <c r="T703" t="str">
        <f>IF(OR(C703="",I703&lt;&gt;"ENTRADA"),"",TEXT(B703,"AAMMDD")&amp;"-"&amp;TEXT(VALUE(SUBSTITUTE(A703,"MOV-","")),"000"))</f>
        <v/>
      </c>
    </row>
    <row r="704" spans="1:20">
      <c r="A704" s="20" t="s">
        <v>1040</v>
      </c>
      <c r="B704" s="47">
        <v>46295</v>
      </c>
      <c r="C704" t="s">
        <v>75</v>
      </c>
      <c r="D704" t="s">
        <v>76</v>
      </c>
      <c r="E704" t="s">
        <v>34</v>
      </c>
      <c r="F704" t="s">
        <v>35</v>
      </c>
      <c r="G704" t="s">
        <v>77</v>
      </c>
      <c r="H704" s="20" t="s">
        <v>94</v>
      </c>
      <c r="I704" t="s">
        <v>65</v>
      </c>
      <c r="J704" s="30">
        <v>180</v>
      </c>
      <c r="K704" s="22">
        <f>IF(I704="","",IF(I704="ENTRADA",ABS(J704),-ABS(J704)))</f>
        <v>-180</v>
      </c>
      <c r="L704" t="s">
        <v>37</v>
      </c>
      <c r="N704">
        <v>65238</v>
      </c>
      <c r="O704" t="s">
        <v>237</v>
      </c>
      <c r="P704">
        <v>1964</v>
      </c>
      <c r="Q704" s="47">
        <v>46295</v>
      </c>
      <c r="R704" s="22" t="str">
        <f>IF(H704="","",H704&amp;I704)</f>
        <v>260407-012SALIDA</v>
      </c>
      <c r="S704" s="22" t="str">
        <f>IF(C704="","",C704&amp;I704)</f>
        <v>Dedalo eliteSALIDA</v>
      </c>
      <c r="T704" t="str">
        <f>IF(OR(C704="",I704&lt;&gt;"ENTRADA"),"",TEXT(B704,"AAMMDD")&amp;"-"&amp;TEXT(VALUE(SUBSTITUTE(A704,"MOV-","")),"000"))</f>
        <v/>
      </c>
    </row>
    <row r="705" spans="1:20">
      <c r="A705" s="20" t="s">
        <v>1041</v>
      </c>
      <c r="B705" s="47">
        <v>46295</v>
      </c>
      <c r="C705" t="s">
        <v>59</v>
      </c>
      <c r="D705" t="s">
        <v>60</v>
      </c>
      <c r="E705" t="s">
        <v>34</v>
      </c>
      <c r="F705" t="s">
        <v>35</v>
      </c>
      <c r="H705" s="20" t="s">
        <v>68</v>
      </c>
      <c r="I705" t="s">
        <v>65</v>
      </c>
      <c r="J705" s="30">
        <v>10</v>
      </c>
      <c r="K705" s="22">
        <f>IF(I705="","",IF(I705="ENTRADA",ABS(J705),-ABS(J705)))</f>
        <v>-10</v>
      </c>
      <c r="L705" t="s">
        <v>37</v>
      </c>
      <c r="O705" t="s">
        <v>1042</v>
      </c>
      <c r="R705" s="22" t="str">
        <f>IF(H705="","",H705&amp;I705)</f>
        <v>260401-008SALIDA</v>
      </c>
      <c r="S705" s="22" t="str">
        <f>IF(C705="","",C705&amp;I705)</f>
        <v>Venceweed extraSALIDA</v>
      </c>
      <c r="T705" t="str">
        <f>IF(OR(C705="",I705&lt;&gt;"ENTRADA"),"",TEXT(B705,"AAMMDD")&amp;"-"&amp;TEXT(VALUE(SUBSTITUTE(A705,"MOV-","")),"000"))</f>
        <v/>
      </c>
    </row>
    <row r="706" spans="1:20">
      <c r="A706" s="20" t="s">
        <v>1043</v>
      </c>
      <c r="B706" s="47">
        <v>46296</v>
      </c>
      <c r="C706" t="s">
        <v>933</v>
      </c>
      <c r="D706" t="s">
        <v>934</v>
      </c>
      <c r="E706" t="s">
        <v>516</v>
      </c>
      <c r="G706" t="s">
        <v>36</v>
      </c>
      <c r="H706" s="20" t="s">
        <v>993</v>
      </c>
      <c r="I706" t="s">
        <v>65</v>
      </c>
      <c r="J706" s="30">
        <v>500</v>
      </c>
      <c r="K706" s="22">
        <f>IF(I706="","",IF(I706="ENTRADA",ABS(J706),-ABS(J706)))</f>
        <v>-500</v>
      </c>
      <c r="L706" t="s">
        <v>37</v>
      </c>
      <c r="N706">
        <v>65239</v>
      </c>
      <c r="O706" t="s">
        <v>213</v>
      </c>
      <c r="P706">
        <v>1970</v>
      </c>
      <c r="Q706" s="47">
        <v>46297</v>
      </c>
      <c r="R706" s="22" t="str">
        <f>IF(H706="","",H706&amp;I706)</f>
        <v>260914-621SALIDA</v>
      </c>
      <c r="S706" s="22" t="str">
        <f>IF(C706="","",C706&amp;I706)</f>
        <v>swing plusSALIDA</v>
      </c>
      <c r="T706" t="str">
        <f>IF(OR(C706="",I706&lt;&gt;"ENTRADA"),"",TEXT(B706,"AAMMDD")&amp;"-"&amp;TEXT(VALUE(SUBSTITUTE(A706,"MOV-","")),"000"))</f>
        <v/>
      </c>
    </row>
    <row r="707" spans="1:20">
      <c r="A707" s="20" t="s">
        <v>1044</v>
      </c>
      <c r="B707" s="47">
        <v>46296</v>
      </c>
      <c r="C707" t="s">
        <v>115</v>
      </c>
      <c r="D707" t="s">
        <v>116</v>
      </c>
      <c r="E707" t="s">
        <v>34</v>
      </c>
      <c r="F707" t="s">
        <v>35</v>
      </c>
      <c r="G707" t="s">
        <v>117</v>
      </c>
      <c r="H707" s="20" t="s">
        <v>971</v>
      </c>
      <c r="I707" t="s">
        <v>28</v>
      </c>
      <c r="J707" s="30">
        <v>21120</v>
      </c>
      <c r="K707" s="22">
        <f>IF(I707="","",IF(I707="ENTRADA",ABS(J707),-ABS(J707)))</f>
        <v>21120</v>
      </c>
      <c r="L707" t="s">
        <v>37</v>
      </c>
      <c r="N707">
        <v>51428</v>
      </c>
      <c r="P707">
        <v>15227</v>
      </c>
      <c r="Q707" s="47">
        <v>46297</v>
      </c>
      <c r="R707" s="22" t="str">
        <f>IF(H707="","",H707&amp;I707)</f>
        <v>260910-622ENTRADA</v>
      </c>
      <c r="S707" s="22" t="str">
        <f>IF(C707="","",C707&amp;I707)</f>
        <v>AzukaENTRADA</v>
      </c>
      <c r="T707" t="str">
        <f>IF(OR(C707="",I707&lt;&gt;"ENTRADA"),"",TEXT(B707,"AAMMDD")&amp;"-"&amp;TEXT(VALUE(SUBSTITUTE(A707,"MOV-","")),"000"))</f>
        <v>261001-709</v>
      </c>
    </row>
    <row r="708" spans="1:20">
      <c r="A708" s="20" t="s">
        <v>1045</v>
      </c>
      <c r="B708" s="47">
        <v>46296</v>
      </c>
      <c r="C708" t="s">
        <v>115</v>
      </c>
      <c r="D708" t="s">
        <v>116</v>
      </c>
      <c r="E708" t="s">
        <v>34</v>
      </c>
      <c r="F708" t="s">
        <v>35</v>
      </c>
      <c r="G708" t="s">
        <v>117</v>
      </c>
      <c r="H708" s="20" t="s">
        <v>971</v>
      </c>
      <c r="I708" t="s">
        <v>65</v>
      </c>
      <c r="J708" s="30">
        <v>1060</v>
      </c>
      <c r="K708" s="22">
        <f>IF(I708="","",IF(I708="ENTRADA",ABS(J708),-ABS(J708)))</f>
        <v>-1060</v>
      </c>
      <c r="L708" t="s">
        <v>37</v>
      </c>
      <c r="N708">
        <v>65241</v>
      </c>
      <c r="O708" t="s">
        <v>1023</v>
      </c>
      <c r="P708">
        <v>1973</v>
      </c>
      <c r="Q708" s="47">
        <v>46297</v>
      </c>
      <c r="R708" s="22" t="str">
        <f>IF(H708="","",H708&amp;I708)</f>
        <v>260910-622SALIDA</v>
      </c>
      <c r="S708" s="22" t="str">
        <f>IF(C708="","",C708&amp;I708)</f>
        <v>AzukaSALIDA</v>
      </c>
      <c r="T708" t="str">
        <f>IF(OR(C708="",I708&lt;&gt;"ENTRADA"),"",TEXT(B708,"AAMMDD")&amp;"-"&amp;TEXT(VALUE(SUBSTITUTE(A708,"MOV-","")),"000"))</f>
        <v/>
      </c>
    </row>
    <row r="709" spans="1:20">
      <c r="A709" s="20" t="s">
        <v>1046</v>
      </c>
      <c r="B709" s="47">
        <v>46296</v>
      </c>
      <c r="C709" t="s">
        <v>122</v>
      </c>
      <c r="D709" t="s">
        <v>123</v>
      </c>
      <c r="E709" t="s">
        <v>34</v>
      </c>
      <c r="F709" t="s">
        <v>35</v>
      </c>
      <c r="G709" t="s">
        <v>117</v>
      </c>
      <c r="H709" s="20" t="s">
        <v>938</v>
      </c>
      <c r="I709" t="s">
        <v>65</v>
      </c>
      <c r="J709" s="30">
        <v>300</v>
      </c>
      <c r="K709" s="22">
        <f>IF(I709="","",IF(I709="ENTRADA",ABS(J709),-ABS(J709)))</f>
        <v>-300</v>
      </c>
      <c r="L709" t="s">
        <v>37</v>
      </c>
      <c r="N709">
        <v>65241</v>
      </c>
      <c r="O709" t="s">
        <v>1023</v>
      </c>
      <c r="P709">
        <v>1973</v>
      </c>
      <c r="Q709" s="47">
        <v>46297</v>
      </c>
      <c r="R709" s="22" t="str">
        <f>IF(H709="","",H709&amp;I709)</f>
        <v>260727-380SALIDA</v>
      </c>
      <c r="S709" s="22" t="str">
        <f>IF(C709="","",C709&amp;I709)</f>
        <v>PardoSALIDA</v>
      </c>
      <c r="T709" t="str">
        <f>IF(OR(C709="",I709&lt;&gt;"ENTRADA"),"",TEXT(B709,"AAMMDD")&amp;"-"&amp;TEXT(VALUE(SUBSTITUTE(A709,"MOV-","")),"000"))</f>
        <v/>
      </c>
    </row>
    <row r="710" spans="1:20">
      <c r="A710" s="20" t="s">
        <v>1047</v>
      </c>
      <c r="B710" s="47">
        <v>46296</v>
      </c>
      <c r="C710" t="s">
        <v>656</v>
      </c>
      <c r="D710" t="s">
        <v>657</v>
      </c>
      <c r="E710" t="s">
        <v>132</v>
      </c>
      <c r="G710" t="s">
        <v>133</v>
      </c>
      <c r="H710" s="20" t="s">
        <v>659</v>
      </c>
      <c r="I710" t="s">
        <v>65</v>
      </c>
      <c r="J710" s="30">
        <v>30</v>
      </c>
      <c r="K710" s="22">
        <f>IF(I710="","",IF(I710="ENTRADA",ABS(J710),-ABS(J710)))</f>
        <v>-30</v>
      </c>
      <c r="L710" t="s">
        <v>37</v>
      </c>
      <c r="N710">
        <v>65241</v>
      </c>
      <c r="O710" t="s">
        <v>1023</v>
      </c>
      <c r="P710">
        <v>1973</v>
      </c>
      <c r="Q710" s="47">
        <v>46297</v>
      </c>
      <c r="R710" s="22" t="str">
        <f>IF(H710="","",H710&amp;I710)</f>
        <v>260729-393SALIDA</v>
      </c>
      <c r="S710" s="22" t="str">
        <f>IF(C710="","",C710&amp;I710)</f>
        <v>Harrier Drone SALIDA</v>
      </c>
      <c r="T710" t="str">
        <f>IF(OR(C710="",I710&lt;&gt;"ENTRADA"),"",TEXT(B710,"AAMMDD")&amp;"-"&amp;TEXT(VALUE(SUBSTITUTE(A710,"MOV-","")),"000"))</f>
        <v/>
      </c>
    </row>
    <row r="711" spans="1:20">
      <c r="A711" s="20" t="s">
        <v>1048</v>
      </c>
      <c r="B711" s="47">
        <v>46296</v>
      </c>
      <c r="C711" t="s">
        <v>90</v>
      </c>
      <c r="D711" t="s">
        <v>91</v>
      </c>
      <c r="E711" t="s">
        <v>34</v>
      </c>
      <c r="F711" t="s">
        <v>35</v>
      </c>
      <c r="G711" t="s">
        <v>36</v>
      </c>
      <c r="H711" s="20" t="s">
        <v>375</v>
      </c>
      <c r="I711" t="s">
        <v>65</v>
      </c>
      <c r="J711" s="30">
        <v>120</v>
      </c>
      <c r="K711" s="22">
        <f>IF(I711="","",IF(I711="ENTRADA",ABS(J711),-ABS(J711)))</f>
        <v>-120</v>
      </c>
      <c r="L711" t="s">
        <v>37</v>
      </c>
      <c r="N711">
        <v>65241</v>
      </c>
      <c r="O711" t="s">
        <v>1023</v>
      </c>
      <c r="P711">
        <v>1973</v>
      </c>
      <c r="Q711" s="47">
        <v>46297</v>
      </c>
      <c r="R711" s="22" t="str">
        <f>IF(H711="","",H711&amp;I711)</f>
        <v>260405-132SALIDA</v>
      </c>
      <c r="S711" s="22" t="str">
        <f>IF(C711="","",C711&amp;I711)</f>
        <v>PixxaroSALIDA</v>
      </c>
      <c r="T711" t="str">
        <f>IF(OR(C711="",I711&lt;&gt;"ENTRADA"),"",TEXT(B711,"AAMMDD")&amp;"-"&amp;TEXT(VALUE(SUBSTITUTE(A711,"MOV-","")),"000"))</f>
        <v/>
      </c>
    </row>
    <row r="712" spans="1:20">
      <c r="A712" s="20" t="s">
        <v>1049</v>
      </c>
      <c r="B712" s="47">
        <v>46297</v>
      </c>
      <c r="C712" t="s">
        <v>933</v>
      </c>
      <c r="D712" t="s">
        <v>934</v>
      </c>
      <c r="E712" t="s">
        <v>516</v>
      </c>
      <c r="G712" t="s">
        <v>36</v>
      </c>
      <c r="H712" s="20" t="s">
        <v>993</v>
      </c>
      <c r="I712" t="s">
        <v>65</v>
      </c>
      <c r="J712" s="30">
        <v>450</v>
      </c>
      <c r="K712" s="22">
        <f>IF(I712="","",IF(I712="ENTRADA",ABS(J712),-ABS(J712)))</f>
        <v>-450</v>
      </c>
      <c r="L712" t="s">
        <v>37</v>
      </c>
      <c r="N712">
        <v>65240</v>
      </c>
      <c r="O712" t="s">
        <v>218</v>
      </c>
      <c r="P712">
        <v>1974</v>
      </c>
      <c r="Q712" s="47">
        <v>46297</v>
      </c>
      <c r="R712" s="22" t="str">
        <f>IF(H712="","",H712&amp;I712)</f>
        <v>260914-621SALIDA</v>
      </c>
      <c r="S712" s="22" t="str">
        <f>IF(C712="","",C712&amp;I712)</f>
        <v>swing plusSALIDA</v>
      </c>
      <c r="T712" t="str">
        <f>IF(OR(C712="",I712&lt;&gt;"ENTRADA"),"",TEXT(B712,"AAMMDD")&amp;"-"&amp;TEXT(VALUE(SUBSTITUTE(A712,"MOV-","")),"000"))</f>
        <v/>
      </c>
    </row>
    <row r="713" spans="1:20">
      <c r="A713" s="20" t="s">
        <v>1050</v>
      </c>
      <c r="B713" s="47">
        <v>46297</v>
      </c>
      <c r="C713" t="s">
        <v>141</v>
      </c>
      <c r="D713" t="s">
        <v>142</v>
      </c>
      <c r="E713" t="s">
        <v>132</v>
      </c>
      <c r="G713" t="s">
        <v>133</v>
      </c>
      <c r="H713" s="20" t="s">
        <v>748</v>
      </c>
      <c r="I713" t="s">
        <v>65</v>
      </c>
      <c r="J713" s="30">
        <v>1</v>
      </c>
      <c r="K713" s="22">
        <f>IF(I713="","",IF(I713="ENTRADA",ABS(J713),-ABS(J713)))</f>
        <v>-1</v>
      </c>
      <c r="L713" t="s">
        <v>37</v>
      </c>
      <c r="N713">
        <v>65240</v>
      </c>
      <c r="O713" t="s">
        <v>218</v>
      </c>
      <c r="P713">
        <v>1974</v>
      </c>
      <c r="Q713" s="47">
        <v>46297</v>
      </c>
      <c r="R713" s="22" t="str">
        <f>IF(H713="","",H713&amp;I713)</f>
        <v>260827-473SALIDA</v>
      </c>
      <c r="S713" s="22" t="str">
        <f>IF(C713="","",C713&amp;I713)</f>
        <v>Maxi DropSALIDA</v>
      </c>
      <c r="T713" t="str">
        <f>IF(OR(C713="",I713&lt;&gt;"ENTRADA"),"",TEXT(B713,"AAMMDD")&amp;"-"&amp;TEXT(VALUE(SUBSTITUTE(A713,"MOV-","")),"000"))</f>
        <v/>
      </c>
    </row>
    <row r="714" spans="1:20">
      <c r="A714" s="20" t="s">
        <v>1051</v>
      </c>
      <c r="B714" s="47">
        <v>46297</v>
      </c>
      <c r="C714" s="34" t="s">
        <v>137</v>
      </c>
      <c r="D714" s="34" t="s">
        <v>138</v>
      </c>
      <c r="E714" s="34" t="s">
        <v>132</v>
      </c>
      <c r="F714" s="34"/>
      <c r="G714" s="34" t="s">
        <v>133</v>
      </c>
      <c r="H714" s="20" t="s">
        <v>211</v>
      </c>
      <c r="I714" s="34" t="s">
        <v>65</v>
      </c>
      <c r="J714" s="30">
        <v>6</v>
      </c>
      <c r="K714" s="22">
        <f>IF(I714="","",IF(I714="ENTRADA",ABS(J714),-ABS(J714)))</f>
        <v>-6</v>
      </c>
      <c r="L714" s="34" t="s">
        <v>37</v>
      </c>
      <c r="M714" s="34"/>
      <c r="N714">
        <v>65240</v>
      </c>
      <c r="O714" s="34" t="s">
        <v>218</v>
      </c>
      <c r="P714">
        <v>1974</v>
      </c>
      <c r="Q714" s="47">
        <v>46297</v>
      </c>
      <c r="R714" s="22" t="str">
        <f>IF(H714="","",H714&amp;I714)</f>
        <v>260414-030SALIDA</v>
      </c>
      <c r="S714" s="22" t="str">
        <f>IF(C714="","",C714&amp;I714)</f>
        <v>Full controlSALIDA</v>
      </c>
      <c r="T714" t="str">
        <f>IF(OR(C714="",I714&lt;&gt;"ENTRADA"),"",TEXT(B714,"AAMMDD")&amp;"-"&amp;TEXT(VALUE(SUBSTITUTE(A714,"MOV-","")),"000"))</f>
        <v/>
      </c>
    </row>
    <row r="715" spans="1:20">
      <c r="A715" s="20" t="s">
        <v>1052</v>
      </c>
      <c r="B715" s="47">
        <v>46297</v>
      </c>
      <c r="C715" t="s">
        <v>656</v>
      </c>
      <c r="D715" t="s">
        <v>657</v>
      </c>
      <c r="E715" t="s">
        <v>132</v>
      </c>
      <c r="G715" t="s">
        <v>133</v>
      </c>
      <c r="H715" s="20" t="s">
        <v>659</v>
      </c>
      <c r="I715" t="s">
        <v>65</v>
      </c>
      <c r="J715" s="30">
        <v>40</v>
      </c>
      <c r="K715" s="22">
        <f>IF(I715="","",IF(I715="ENTRADA",ABS(J715),-ABS(J715)))</f>
        <v>-40</v>
      </c>
      <c r="L715" t="s">
        <v>37</v>
      </c>
      <c r="N715">
        <v>65240</v>
      </c>
      <c r="O715" t="s">
        <v>218</v>
      </c>
      <c r="P715">
        <v>1974</v>
      </c>
      <c r="Q715" s="47">
        <v>46297</v>
      </c>
      <c r="R715" s="22" t="str">
        <f>IF(H715="","",H715&amp;I715)</f>
        <v>260729-393SALIDA</v>
      </c>
      <c r="S715" s="22" t="str">
        <f>IF(C715="","",C715&amp;I715)</f>
        <v>Harrier Drone SALIDA</v>
      </c>
      <c r="T715" t="str">
        <f>IF(OR(C715="",I715&lt;&gt;"ENTRADA"),"",TEXT(B715,"AAMMDD")&amp;"-"&amp;TEXT(VALUE(SUBSTITUTE(A715,"MOV-","")),"000"))</f>
        <v/>
      </c>
    </row>
    <row r="716" spans="1:20">
      <c r="A716" s="20" t="s">
        <v>1053</v>
      </c>
      <c r="B716" s="47">
        <v>46301</v>
      </c>
      <c r="C716" t="s">
        <v>1054</v>
      </c>
      <c r="D716" t="s">
        <v>1055</v>
      </c>
      <c r="E716" t="s">
        <v>25</v>
      </c>
      <c r="F716" t="s">
        <v>1056</v>
      </c>
      <c r="G716" t="s">
        <v>180</v>
      </c>
      <c r="H716" s="20" t="str">
        <f>+T716</f>
        <v>261006-718</v>
      </c>
      <c r="I716" t="s">
        <v>28</v>
      </c>
      <c r="J716" s="30">
        <v>834</v>
      </c>
      <c r="K716" s="22">
        <f>IF(I716="","",IF(I716="ENTRADA",ABS(J716),-ABS(J716)))</f>
        <v>834</v>
      </c>
      <c r="L716" t="s">
        <v>632</v>
      </c>
      <c r="N716">
        <v>8199</v>
      </c>
      <c r="R716" s="22" t="str">
        <f>IF(H716="","",H716&amp;I716)</f>
        <v>261006-718ENTRADA</v>
      </c>
      <c r="S716" s="22" t="str">
        <f>IF(C716="","",C716&amp;I716)</f>
        <v>Sorgo forrajero ENTRADA</v>
      </c>
      <c r="T716" t="str">
        <f>IF(OR(C716="",I716&lt;&gt;"ENTRADA"),"",TEXT(B716,"AAMMDD")&amp;"-"&amp;TEXT(VALUE(SUBSTITUTE(A716,"MOV-","")),"000"))</f>
        <v>261006-718</v>
      </c>
    </row>
    <row r="717" spans="1:20">
      <c r="A717" s="20" t="s">
        <v>1057</v>
      </c>
      <c r="B717" s="47">
        <v>46301</v>
      </c>
      <c r="C717" t="s">
        <v>1054</v>
      </c>
      <c r="D717" t="s">
        <v>1058</v>
      </c>
      <c r="E717" t="s">
        <v>25</v>
      </c>
      <c r="F717" t="s">
        <v>1056</v>
      </c>
      <c r="G717" t="s">
        <v>180</v>
      </c>
      <c r="H717" s="20" t="str">
        <f>+T717</f>
        <v>261006-719</v>
      </c>
      <c r="I717" t="s">
        <v>28</v>
      </c>
      <c r="J717" s="30">
        <v>125</v>
      </c>
      <c r="K717" s="22">
        <f>IF(I717="","",IF(I717="ENTRADA",ABS(J717),-ABS(J717)))</f>
        <v>125</v>
      </c>
      <c r="L717" t="s">
        <v>632</v>
      </c>
      <c r="N717">
        <v>8199</v>
      </c>
      <c r="R717" s="22" t="str">
        <f>IF(H717="","",H717&amp;I717)</f>
        <v>261006-719ENTRADA</v>
      </c>
      <c r="S717" s="22" t="str">
        <f>IF(C717="","",C717&amp;I717)</f>
        <v>Sorgo forrajero ENTRADA</v>
      </c>
      <c r="T717" t="str">
        <f>IF(OR(C717="",I717&lt;&gt;"ENTRADA"),"",TEXT(B717,"AAMMDD")&amp;"-"&amp;TEXT(VALUE(SUBSTITUTE(A717,"MOV-","")),"000"))</f>
        <v>261006-719</v>
      </c>
    </row>
    <row r="718" spans="1:20">
      <c r="A718" s="20" t="s">
        <v>1059</v>
      </c>
      <c r="B718" s="47">
        <v>46301</v>
      </c>
      <c r="C718" t="s">
        <v>1060</v>
      </c>
      <c r="D718" t="s">
        <v>1061</v>
      </c>
      <c r="E718" t="s">
        <v>34</v>
      </c>
      <c r="G718" t="s">
        <v>180</v>
      </c>
      <c r="H718" s="20" t="str">
        <f>+T718</f>
        <v>261006-720</v>
      </c>
      <c r="I718" t="s">
        <v>28</v>
      </c>
      <c r="J718" s="30">
        <v>18</v>
      </c>
      <c r="K718" s="22">
        <f>IF(I718="","",IF(I718="ENTRADA",ABS(J718),-ABS(J718)))</f>
        <v>18</v>
      </c>
      <c r="L718" t="s">
        <v>29</v>
      </c>
      <c r="N718">
        <v>7981</v>
      </c>
      <c r="R718" s="22" t="str">
        <f>IF(H718="","",H718&amp;I718)</f>
        <v>261006-720ENTRADA</v>
      </c>
      <c r="S718" s="22" t="str">
        <f>IF(C718="","",C718&amp;I718)</f>
        <v>Semar ENTRADA</v>
      </c>
      <c r="T718" t="str">
        <f>IF(OR(C718="",I718&lt;&gt;"ENTRADA"),"",TEXT(B718,"AAMMDD")&amp;"-"&amp;TEXT(VALUE(SUBSTITUTE(A718,"MOV-","")),"000"))</f>
        <v>261006-720</v>
      </c>
    </row>
    <row r="719" spans="1:20">
      <c r="A719" s="20" t="s">
        <v>1062</v>
      </c>
      <c r="B719" s="47">
        <v>46301</v>
      </c>
      <c r="C719" t="s">
        <v>137</v>
      </c>
      <c r="D719" t="s">
        <v>138</v>
      </c>
      <c r="E719" t="s">
        <v>132</v>
      </c>
      <c r="G719" t="s">
        <v>133</v>
      </c>
      <c r="H719" s="20" t="s">
        <v>211</v>
      </c>
      <c r="I719" t="s">
        <v>65</v>
      </c>
      <c r="J719" s="30">
        <v>9</v>
      </c>
      <c r="K719" s="22">
        <f>IF(I719="","",IF(I719="ENTRADA",ABS(J719),-ABS(J719)))</f>
        <v>-9</v>
      </c>
      <c r="L719" t="s">
        <v>385</v>
      </c>
      <c r="N719">
        <v>65242</v>
      </c>
      <c r="O719" t="s">
        <v>218</v>
      </c>
      <c r="P719">
        <v>1977</v>
      </c>
      <c r="Q719" s="47">
        <v>46301</v>
      </c>
      <c r="R719" s="22" t="str">
        <f>IF(H719="","",H719&amp;I719)</f>
        <v>260414-030SALIDA</v>
      </c>
      <c r="S719" s="22" t="str">
        <f>IF(C719="","",C719&amp;I719)</f>
        <v>Full controlSALIDA</v>
      </c>
      <c r="T719" t="str">
        <f>IF(OR(C719="",I719&lt;&gt;"ENTRADA"),"",TEXT(B719,"AAMMDD")&amp;"-"&amp;TEXT(VALUE(SUBSTITUTE(A719,"MOV-","")),"000"))</f>
        <v/>
      </c>
    </row>
    <row r="720" spans="1:20">
      <c r="A720" s="20" t="s">
        <v>1063</v>
      </c>
      <c r="B720" s="47">
        <v>46301</v>
      </c>
      <c r="C720" t="s">
        <v>130</v>
      </c>
      <c r="D720" t="s">
        <v>131</v>
      </c>
      <c r="E720" t="s">
        <v>132</v>
      </c>
      <c r="G720" t="s">
        <v>133</v>
      </c>
      <c r="H720" s="20" t="s">
        <v>221</v>
      </c>
      <c r="I720" t="s">
        <v>65</v>
      </c>
      <c r="J720" s="30">
        <v>40</v>
      </c>
      <c r="K720" s="22">
        <f>IF(I720="","",IF(I720="ENTRADA",ABS(J720),-ABS(J720)))</f>
        <v>-40</v>
      </c>
      <c r="L720" t="s">
        <v>37</v>
      </c>
      <c r="N720">
        <v>65242</v>
      </c>
      <c r="O720" t="s">
        <v>218</v>
      </c>
      <c r="P720">
        <v>1977</v>
      </c>
      <c r="Q720" s="47">
        <v>46301</v>
      </c>
      <c r="R720" s="22" t="str">
        <f>IF(H720="","",H720&amp;I720)</f>
        <v>260414-029SALIDA</v>
      </c>
      <c r="S720" s="22" t="str">
        <f>IF(C720="","",C720&amp;I720)</f>
        <v>HarrierSALIDA</v>
      </c>
      <c r="T720" t="str">
        <f>IF(OR(C720="",I720&lt;&gt;"ENTRADA"),"",TEXT(B720,"AAMMDD")&amp;"-"&amp;TEXT(VALUE(SUBSTITUTE(A720,"MOV-","")),"000"))</f>
        <v/>
      </c>
    </row>
    <row r="721" spans="1:22">
      <c r="A721" s="20" t="s">
        <v>1064</v>
      </c>
      <c r="B721" s="47">
        <v>46301</v>
      </c>
      <c r="C721" t="s">
        <v>943</v>
      </c>
      <c r="D721" t="s">
        <v>944</v>
      </c>
      <c r="E721" t="s">
        <v>516</v>
      </c>
      <c r="G721" t="s">
        <v>777</v>
      </c>
      <c r="H721" s="20" t="s">
        <v>969</v>
      </c>
      <c r="I721" t="s">
        <v>65</v>
      </c>
      <c r="J721" s="30">
        <v>34</v>
      </c>
      <c r="K721" s="22">
        <f>IF(I721="","",IF(I721="ENTRADA",ABS(J721),-ABS(J721)))</f>
        <v>-34</v>
      </c>
      <c r="L721" t="s">
        <v>56</v>
      </c>
      <c r="N721">
        <v>65242</v>
      </c>
      <c r="O721" t="s">
        <v>218</v>
      </c>
      <c r="P721">
        <v>1977</v>
      </c>
      <c r="Q721" s="47">
        <v>46301</v>
      </c>
      <c r="R721" s="22" t="str">
        <f>IF(H721="","",H721&amp;I721)</f>
        <v>260917-626SALIDA</v>
      </c>
      <c r="S721" s="22" t="str">
        <f>IF(C721="","",C721&amp;I721)</f>
        <v>Miravis triple packSALIDA</v>
      </c>
      <c r="T721" t="str">
        <f>IF(OR(C721="",I721&lt;&gt;"ENTRADA"),"",TEXT(B721,"AAMMDD")&amp;"-"&amp;TEXT(VALUE(SUBSTITUTE(A721,"MOV-","")),"000"))</f>
        <v/>
      </c>
    </row>
    <row r="722" spans="1:22">
      <c r="A722" s="20" t="s">
        <v>1065</v>
      </c>
      <c r="B722" s="47">
        <v>46301</v>
      </c>
      <c r="C722" t="s">
        <v>1054</v>
      </c>
      <c r="D722" t="s">
        <v>1055</v>
      </c>
      <c r="E722" t="s">
        <v>25</v>
      </c>
      <c r="F722" t="s">
        <v>1056</v>
      </c>
      <c r="G722" t="s">
        <v>180</v>
      </c>
      <c r="H722" s="20" t="s">
        <v>1066</v>
      </c>
      <c r="I722" t="s">
        <v>65</v>
      </c>
      <c r="J722" s="30">
        <v>115</v>
      </c>
      <c r="K722" s="22">
        <f>IF(I722="","",IF(I722="ENTRADA",ABS(J722),-ABS(J722)))</f>
        <v>-115</v>
      </c>
      <c r="L722" t="s">
        <v>632</v>
      </c>
      <c r="O722" t="s">
        <v>237</v>
      </c>
      <c r="R722" s="22" t="str">
        <f>IF(H722="","",H722&amp;I722)</f>
        <v>261006-718SALIDA</v>
      </c>
      <c r="S722" s="22" t="str">
        <f>IF(C722="","",C722&amp;I722)</f>
        <v>Sorgo forrajero SALIDA</v>
      </c>
      <c r="T722" t="str">
        <f>IF(OR(C722="",I722&lt;&gt;"ENTRADA"),"",TEXT(B722,"AAMMDD")&amp;"-"&amp;TEXT(VALUE(SUBSTITUTE(A722,"MOV-","")),"000"))</f>
        <v/>
      </c>
    </row>
    <row r="723" spans="1:22">
      <c r="A723" s="20" t="s">
        <v>1067</v>
      </c>
      <c r="B723" s="47">
        <v>46301</v>
      </c>
      <c r="C723" t="s">
        <v>656</v>
      </c>
      <c r="D723" t="s">
        <v>657</v>
      </c>
      <c r="E723" t="s">
        <v>132</v>
      </c>
      <c r="G723" t="s">
        <v>133</v>
      </c>
      <c r="H723" s="20" t="s">
        <v>659</v>
      </c>
      <c r="I723" t="s">
        <v>28</v>
      </c>
      <c r="J723" s="30">
        <v>500</v>
      </c>
      <c r="K723" s="22">
        <f>IF(I723="","",IF(I723="ENTRADA",ABS(J723),-ABS(J723)))</f>
        <v>500</v>
      </c>
      <c r="L723" t="s">
        <v>37</v>
      </c>
      <c r="N723">
        <v>489</v>
      </c>
      <c r="R723" s="22" t="str">
        <f>IF(H723="","",H723&amp;I723)</f>
        <v>260729-393ENTRADA</v>
      </c>
      <c r="S723" s="22" t="str">
        <f>IF(C723="","",C723&amp;I723)</f>
        <v>Harrier Drone ENTRADA</v>
      </c>
      <c r="T723" t="str">
        <f>IF(OR(C723="",I723&lt;&gt;"ENTRADA"),"",TEXT(B723,"AAMMDD")&amp;"-"&amp;TEXT(VALUE(SUBSTITUTE(A723,"MOV-","")),"000"))</f>
        <v>261006-725</v>
      </c>
    </row>
    <row r="724" spans="1:22">
      <c r="A724" s="20" t="s">
        <v>1068</v>
      </c>
      <c r="B724" s="47">
        <v>46301</v>
      </c>
      <c r="C724" t="s">
        <v>130</v>
      </c>
      <c r="D724" t="s">
        <v>131</v>
      </c>
      <c r="E724" t="s">
        <v>132</v>
      </c>
      <c r="G724" t="s">
        <v>133</v>
      </c>
      <c r="H724" s="20" t="s">
        <v>221</v>
      </c>
      <c r="I724" t="s">
        <v>65</v>
      </c>
      <c r="J724" s="30">
        <v>500</v>
      </c>
      <c r="K724" s="22">
        <f>IF(I724="","",IF(I724="ENTRADA",ABS(J724),-ABS(J724)))</f>
        <v>-500</v>
      </c>
      <c r="L724" t="s">
        <v>37</v>
      </c>
      <c r="N724">
        <v>65244</v>
      </c>
      <c r="O724" t="s">
        <v>213</v>
      </c>
      <c r="R724" s="22" t="str">
        <f>IF(H724="","",H724&amp;I724)</f>
        <v>260414-029SALIDA</v>
      </c>
      <c r="S724" s="22" t="str">
        <f>IF(C724="","",C724&amp;I724)</f>
        <v>HarrierSALIDA</v>
      </c>
      <c r="T724" t="str">
        <f>IF(OR(C724="",I724&lt;&gt;"ENTRADA"),"",TEXT(B724,"AAMMDD")&amp;"-"&amp;TEXT(VALUE(SUBSTITUTE(A724,"MOV-","")),"000"))</f>
        <v/>
      </c>
    </row>
    <row r="725" spans="1:22">
      <c r="A725" s="20" t="s">
        <v>1069</v>
      </c>
      <c r="B725" s="47">
        <v>46301</v>
      </c>
      <c r="C725" s="34" t="s">
        <v>1054</v>
      </c>
      <c r="D725" s="34" t="s">
        <v>1055</v>
      </c>
      <c r="E725" s="34" t="s">
        <v>25</v>
      </c>
      <c r="F725" s="34" t="s">
        <v>1056</v>
      </c>
      <c r="G725" s="34" t="s">
        <v>180</v>
      </c>
      <c r="H725" s="20" t="s">
        <v>1066</v>
      </c>
      <c r="I725" s="34" t="s">
        <v>65</v>
      </c>
      <c r="J725" s="30">
        <v>115</v>
      </c>
      <c r="K725" s="22">
        <f>IF(I725="","",IF(I725="ENTRADA",ABS(J725),-ABS(J725)))</f>
        <v>-115</v>
      </c>
      <c r="L725" s="34" t="s">
        <v>632</v>
      </c>
      <c r="M725" s="34"/>
      <c r="N725">
        <v>65244</v>
      </c>
      <c r="O725" s="34" t="s">
        <v>213</v>
      </c>
      <c r="P725" s="34"/>
      <c r="Q725" s="35"/>
      <c r="R725" s="22" t="str">
        <f>IF(H725="","",H725&amp;I725)</f>
        <v>261006-718SALIDA</v>
      </c>
      <c r="S725" s="22" t="str">
        <f>IF(C725="","",C725&amp;I725)</f>
        <v>Sorgo forrajero SALIDA</v>
      </c>
      <c r="T725" t="str">
        <f>IF(OR(C725="",I725&lt;&gt;"ENTRADA"),"",TEXT(B725,"AAMMDD")&amp;"-"&amp;TEXT(VALUE(SUBSTITUTE(A725,"MOV-","")),"000"))</f>
        <v/>
      </c>
    </row>
    <row r="726" spans="1:22">
      <c r="A726" s="20" t="s">
        <v>1070</v>
      </c>
      <c r="B726" s="47">
        <v>46302</v>
      </c>
      <c r="C726" t="s">
        <v>933</v>
      </c>
      <c r="D726" t="s">
        <v>934</v>
      </c>
      <c r="E726" t="s">
        <v>516</v>
      </c>
      <c r="G726" t="s">
        <v>36</v>
      </c>
      <c r="H726" s="20" t="s">
        <v>993</v>
      </c>
      <c r="I726" t="s">
        <v>65</v>
      </c>
      <c r="J726" s="30">
        <v>190</v>
      </c>
      <c r="K726" s="22">
        <f>IF(I726="","",IF(I726="ENTRADA",ABS(J726),-ABS(J726)))</f>
        <v>-190</v>
      </c>
      <c r="L726" t="s">
        <v>37</v>
      </c>
      <c r="N726">
        <v>65245</v>
      </c>
      <c r="O726" t="s">
        <v>218</v>
      </c>
      <c r="R726" s="22" t="str">
        <f>IF(H726="","",H726&amp;I726)</f>
        <v>260914-621SALIDA</v>
      </c>
      <c r="S726" s="22" t="str">
        <f>IF(C726="","",C726&amp;I726)</f>
        <v>swing plusSALIDA</v>
      </c>
      <c r="T726" t="str">
        <f>IF(OR(C726="",I726&lt;&gt;"ENTRADA"),"",TEXT(B726,"AAMMDD")&amp;"-"&amp;TEXT(VALUE(SUBSTITUTE(A726,"MOV-","")),"000"))</f>
        <v/>
      </c>
    </row>
    <row r="727" spans="1:22">
      <c r="A727" s="20" t="s">
        <v>1071</v>
      </c>
      <c r="B727" s="47">
        <v>46302</v>
      </c>
      <c r="C727" t="s">
        <v>141</v>
      </c>
      <c r="D727" t="s">
        <v>142</v>
      </c>
      <c r="E727" t="s">
        <v>132</v>
      </c>
      <c r="G727" t="s">
        <v>133</v>
      </c>
      <c r="H727" s="20" t="s">
        <v>748</v>
      </c>
      <c r="I727" t="s">
        <v>65</v>
      </c>
      <c r="J727" s="30">
        <v>1</v>
      </c>
      <c r="K727" s="22">
        <f>IF(I727="","",IF(I727="ENTRADA",ABS(J727),-ABS(J727)))</f>
        <v>-1</v>
      </c>
      <c r="L727" t="s">
        <v>37</v>
      </c>
      <c r="N727">
        <v>65245</v>
      </c>
      <c r="O727" t="s">
        <v>218</v>
      </c>
      <c r="R727" s="22" t="str">
        <f>IF(H727="","",H727&amp;I727)</f>
        <v>260827-473SALIDA</v>
      </c>
      <c r="S727" s="22" t="str">
        <f>IF(C727="","",C727&amp;I727)</f>
        <v>Maxi DropSALIDA</v>
      </c>
      <c r="T727" t="str">
        <f>IF(OR(C727="",I727&lt;&gt;"ENTRADA"),"",TEXT(B727,"AAMMDD")&amp;"-"&amp;TEXT(VALUE(SUBSTITUTE(A727,"MOV-","")),"000"))</f>
        <v/>
      </c>
    </row>
    <row r="728" spans="1:22">
      <c r="A728" s="20" t="s">
        <v>1072</v>
      </c>
      <c r="B728" s="47">
        <v>46302</v>
      </c>
      <c r="C728" t="s">
        <v>656</v>
      </c>
      <c r="D728" t="s">
        <v>657</v>
      </c>
      <c r="E728" t="s">
        <v>132</v>
      </c>
      <c r="G728" t="s">
        <v>133</v>
      </c>
      <c r="H728" s="20" t="s">
        <v>659</v>
      </c>
      <c r="I728" t="s">
        <v>65</v>
      </c>
      <c r="J728" s="30">
        <v>20</v>
      </c>
      <c r="K728" s="22">
        <f>IF(I728="","",IF(I728="ENTRADA",ABS(J728),-ABS(J728)))</f>
        <v>-20</v>
      </c>
      <c r="L728" t="s">
        <v>37</v>
      </c>
      <c r="N728">
        <v>65245</v>
      </c>
      <c r="O728" t="s">
        <v>218</v>
      </c>
      <c r="R728" s="22" t="str">
        <f>IF(H728="","",H728&amp;I728)</f>
        <v>260729-393SALIDA</v>
      </c>
      <c r="S728" s="22" t="str">
        <f>IF(C728="","",C728&amp;I728)</f>
        <v>Harrier Drone SALIDA</v>
      </c>
      <c r="T728" t="str">
        <f>IF(OR(C728="",I728&lt;&gt;"ENTRADA"),"",TEXT(B728,"AAMMDD")&amp;"-"&amp;TEXT(VALUE(SUBSTITUTE(A728,"MOV-","")),"000"))</f>
        <v/>
      </c>
    </row>
    <row r="729" spans="1:22">
      <c r="A729" s="20" t="s">
        <v>1073</v>
      </c>
      <c r="B729" s="47">
        <v>46302</v>
      </c>
      <c r="C729" t="s">
        <v>943</v>
      </c>
      <c r="D729" t="s">
        <v>944</v>
      </c>
      <c r="E729" t="s">
        <v>516</v>
      </c>
      <c r="G729" t="s">
        <v>777</v>
      </c>
      <c r="H729" s="20" t="s">
        <v>969</v>
      </c>
      <c r="I729" t="s">
        <v>65</v>
      </c>
      <c r="J729" s="30">
        <v>3</v>
      </c>
      <c r="K729" s="22">
        <f>IF(I729="","",IF(I729="ENTRADA",ABS(J729),-ABS(J729)))</f>
        <v>-3</v>
      </c>
      <c r="L729" t="s">
        <v>1074</v>
      </c>
      <c r="N729">
        <v>65245</v>
      </c>
      <c r="O729" t="s">
        <v>218</v>
      </c>
      <c r="R729" s="22" t="str">
        <f>IF(H729="","",H729&amp;I729)</f>
        <v>260917-626SALIDA</v>
      </c>
      <c r="S729" s="22" t="str">
        <f>IF(C729="","",C729&amp;I729)</f>
        <v>Miravis triple packSALIDA</v>
      </c>
      <c r="T729" t="str">
        <f>IF(OR(C729="",I729&lt;&gt;"ENTRADA"),"",TEXT(B729,"AAMMDD")&amp;"-"&amp;TEXT(VALUE(SUBSTITUTE(A729,"MOV-","")),"000"))</f>
        <v/>
      </c>
    </row>
    <row r="730" spans="1:22">
      <c r="A730" s="20" t="s">
        <v>1075</v>
      </c>
      <c r="B730" s="47">
        <v>46302</v>
      </c>
      <c r="C730" t="s">
        <v>137</v>
      </c>
      <c r="D730" t="s">
        <v>138</v>
      </c>
      <c r="E730" t="s">
        <v>132</v>
      </c>
      <c r="G730" t="s">
        <v>133</v>
      </c>
      <c r="H730" s="20" t="s">
        <v>211</v>
      </c>
      <c r="I730" t="s">
        <v>65</v>
      </c>
      <c r="J730" s="30">
        <v>3</v>
      </c>
      <c r="K730" s="22">
        <f>IF(I730="","",IF(I730="ENTRADA",ABS(J730),-ABS(J730)))</f>
        <v>-3</v>
      </c>
      <c r="L730" t="s">
        <v>37</v>
      </c>
      <c r="N730">
        <v>65245</v>
      </c>
      <c r="O730" t="s">
        <v>218</v>
      </c>
      <c r="R730" s="22" t="str">
        <f>IF(H730="","",H730&amp;I730)</f>
        <v>260414-030SALIDA</v>
      </c>
      <c r="S730" s="22" t="str">
        <f>IF(C730="","",C730&amp;I730)</f>
        <v>Full controlSALIDA</v>
      </c>
      <c r="T730" t="str">
        <f>IF(OR(C730="",I730&lt;&gt;"ENTRADA"),"",TEXT(B730,"AAMMDD")&amp;"-"&amp;TEXT(VALUE(SUBSTITUTE(A730,"MOV-","")),"000"))</f>
        <v/>
      </c>
    </row>
    <row r="731" spans="1:22">
      <c r="A731" s="20" t="s">
        <v>1076</v>
      </c>
      <c r="B731" s="47">
        <v>46303</v>
      </c>
      <c r="C731" t="s">
        <v>840</v>
      </c>
      <c r="D731" t="s">
        <v>630</v>
      </c>
      <c r="E731" t="s">
        <v>25</v>
      </c>
      <c r="F731" t="s">
        <v>631</v>
      </c>
      <c r="G731" t="s">
        <v>301</v>
      </c>
      <c r="H731" s="20" t="s">
        <v>841</v>
      </c>
      <c r="I731" t="s">
        <v>28</v>
      </c>
      <c r="J731" s="30">
        <v>20</v>
      </c>
      <c r="K731" s="22">
        <f>IF(I731="","",IF(I731="ENTRADA",ABS(J731),-ABS(J731)))</f>
        <v>20</v>
      </c>
      <c r="L731" t="s">
        <v>632</v>
      </c>
      <c r="N731">
        <v>2003</v>
      </c>
      <c r="P731">
        <v>15251</v>
      </c>
      <c r="Q731" s="47">
        <v>46303</v>
      </c>
      <c r="R731" s="22" t="str">
        <f>IF(H731="","",H731&amp;I731)</f>
        <v>260903-531ENTRADA</v>
      </c>
      <c r="S731" s="22" t="str">
        <f>IF(C731="","",C731&amp;I731)</f>
        <v>Maiz Nk 800 tgcl refugio ENTRADA</v>
      </c>
      <c r="T731" t="str">
        <f>IF(OR(C731="",I731&lt;&gt;"ENTRADA"),"",TEXT(B731,"AAMMDD")&amp;"-"&amp;TEXT(VALUE(SUBSTITUTE(A731,"MOV-","")),"000"))</f>
        <v>261008-733</v>
      </c>
    </row>
    <row r="732" spans="1:22">
      <c r="A732" s="20" t="s">
        <v>1077</v>
      </c>
      <c r="B732" s="47">
        <v>46303</v>
      </c>
      <c r="C732" t="s">
        <v>1054</v>
      </c>
      <c r="D732" t="s">
        <v>1058</v>
      </c>
      <c r="E732" t="s">
        <v>25</v>
      </c>
      <c r="F732" t="s">
        <v>1056</v>
      </c>
      <c r="G732" t="s">
        <v>180</v>
      </c>
      <c r="H732" s="20" t="s">
        <v>1078</v>
      </c>
      <c r="I732" t="s">
        <v>65</v>
      </c>
      <c r="J732" s="30">
        <v>38</v>
      </c>
      <c r="K732" s="22">
        <f>IF(I732="","",IF(I732="ENTRADA",ABS(J732),-ABS(J732)))</f>
        <v>-38</v>
      </c>
      <c r="L732" t="s">
        <v>632</v>
      </c>
      <c r="N732">
        <v>65247</v>
      </c>
      <c r="O732" t="s">
        <v>213</v>
      </c>
      <c r="R732" s="22" t="str">
        <f>IF(H732="","",H732&amp;I732)</f>
        <v>261006-719SALIDA</v>
      </c>
      <c r="S732" s="22" t="str">
        <f>IF(C732="","",C732&amp;I732)</f>
        <v>Sorgo forrajero SALIDA</v>
      </c>
      <c r="T732" t="str">
        <f>IF(OR(C732="",I732&lt;&gt;"ENTRADA"),"",TEXT(B732,"AAMMDD")&amp;"-"&amp;TEXT(VALUE(SUBSTITUTE(A732,"MOV-","")),"000"))</f>
        <v/>
      </c>
      <c r="V732" t="s">
        <v>1079</v>
      </c>
    </row>
    <row r="733" spans="1:22">
      <c r="A733" s="20" t="s">
        <v>1080</v>
      </c>
      <c r="B733" s="47">
        <v>46304</v>
      </c>
      <c r="C733" t="s">
        <v>122</v>
      </c>
      <c r="D733" t="s">
        <v>123</v>
      </c>
      <c r="E733" t="s">
        <v>34</v>
      </c>
      <c r="F733" t="s">
        <v>35</v>
      </c>
      <c r="G733" t="s">
        <v>117</v>
      </c>
      <c r="H733" s="20" t="s">
        <v>938</v>
      </c>
      <c r="I733" t="s">
        <v>65</v>
      </c>
      <c r="J733" s="30">
        <v>640</v>
      </c>
      <c r="K733" s="22">
        <f>IF(I733="","",IF(I733="ENTRADA",ABS(J733),-ABS(J733)))</f>
        <v>-640</v>
      </c>
      <c r="L733" t="s">
        <v>37</v>
      </c>
      <c r="N733">
        <v>65248</v>
      </c>
      <c r="O733" t="s">
        <v>66</v>
      </c>
      <c r="R733" s="22" t="str">
        <f>IF(H733="","",H733&amp;I733)</f>
        <v>260727-380SALIDA</v>
      </c>
      <c r="S733" s="22" t="str">
        <f>IF(C733="","",C733&amp;I733)</f>
        <v>PardoSALIDA</v>
      </c>
      <c r="T733" t="str">
        <f>IF(OR(C733="",I733&lt;&gt;"ENTRADA"),"",TEXT(B733,"AAMMDD")&amp;"-"&amp;TEXT(VALUE(SUBSTITUTE(A733,"MOV-","")),"000"))</f>
        <v/>
      </c>
      <c r="V733" t="s">
        <v>1081</v>
      </c>
    </row>
    <row r="734" spans="1:22">
      <c r="A734" s="20" t="s">
        <v>1082</v>
      </c>
      <c r="B734" s="47">
        <v>46304</v>
      </c>
      <c r="C734" t="s">
        <v>1060</v>
      </c>
      <c r="D734" t="s">
        <v>1061</v>
      </c>
      <c r="E734" t="s">
        <v>34</v>
      </c>
      <c r="G734" t="s">
        <v>180</v>
      </c>
      <c r="H734" s="20" t="s">
        <v>1083</v>
      </c>
      <c r="I734" t="s">
        <v>65</v>
      </c>
      <c r="J734" s="30">
        <v>15</v>
      </c>
      <c r="K734" s="22">
        <f>IF(I734="","",IF(I734="ENTRADA",ABS(J734),-ABS(J734)))</f>
        <v>-15</v>
      </c>
      <c r="L734" t="s">
        <v>29</v>
      </c>
      <c r="N734">
        <v>65248</v>
      </c>
      <c r="O734" t="s">
        <v>66</v>
      </c>
      <c r="R734" s="22" t="str">
        <f>IF(H734="","",H734&amp;I734)</f>
        <v>261006-720SALIDA</v>
      </c>
      <c r="S734" s="22" t="str">
        <f>IF(C734="","",C734&amp;I734)</f>
        <v>Semar SALIDA</v>
      </c>
      <c r="T734" t="str">
        <f>IF(OR(C734="",I734&lt;&gt;"ENTRADA"),"",TEXT(B734,"AAMMDD")&amp;"-"&amp;TEXT(VALUE(SUBSTITUTE(A734,"MOV-","")),"000"))</f>
        <v/>
      </c>
      <c r="V734" t="s">
        <v>1081</v>
      </c>
    </row>
    <row r="735" spans="1:22">
      <c r="A735" s="20" t="s">
        <v>1084</v>
      </c>
      <c r="B735" s="47">
        <v>46304</v>
      </c>
      <c r="C735" t="s">
        <v>782</v>
      </c>
      <c r="D735" t="s">
        <v>783</v>
      </c>
      <c r="E735" t="s">
        <v>34</v>
      </c>
      <c r="F735" t="s">
        <v>46</v>
      </c>
      <c r="G735" t="s">
        <v>27</v>
      </c>
      <c r="H735" s="20" t="s">
        <v>797</v>
      </c>
      <c r="I735" t="s">
        <v>65</v>
      </c>
      <c r="J735" s="30">
        <v>180</v>
      </c>
      <c r="K735" s="22">
        <f>IF(I735="","",IF(I735="ENTRADA",ABS(J735),-ABS(J735)))</f>
        <v>-180</v>
      </c>
      <c r="L735" t="s">
        <v>29</v>
      </c>
      <c r="N735">
        <v>65248</v>
      </c>
      <c r="O735" t="s">
        <v>66</v>
      </c>
      <c r="R735" s="22" t="str">
        <f>IF(H735="","",H735&amp;I735)</f>
        <v>260801-489SALIDA</v>
      </c>
      <c r="S735" s="22" t="str">
        <f>IF(C735="","",C735&amp;I735)</f>
        <v>PyroxateSALIDA</v>
      </c>
      <c r="T735" t="str">
        <f>IF(OR(C735="",I735&lt;&gt;"ENTRADA"),"",TEXT(B735,"AAMMDD")&amp;"-"&amp;TEXT(VALUE(SUBSTITUTE(A735,"MOV-","")),"000"))</f>
        <v/>
      </c>
      <c r="V735" t="s">
        <v>1081</v>
      </c>
    </row>
    <row r="736" spans="1:22">
      <c r="A736" s="20" t="s">
        <v>1085</v>
      </c>
      <c r="B736" s="47">
        <v>46304</v>
      </c>
      <c r="C736" s="34" t="s">
        <v>115</v>
      </c>
      <c r="D736" s="34" t="s">
        <v>116</v>
      </c>
      <c r="E736" s="34" t="s">
        <v>34</v>
      </c>
      <c r="F736" s="34" t="s">
        <v>35</v>
      </c>
      <c r="G736" s="34" t="s">
        <v>117</v>
      </c>
      <c r="H736" s="20" t="s">
        <v>971</v>
      </c>
      <c r="I736" s="34" t="s">
        <v>65</v>
      </c>
      <c r="J736" s="30">
        <v>2000</v>
      </c>
      <c r="K736" s="22">
        <f>IF(I736="","",IF(I736="ENTRADA",ABS(J736),-ABS(J736)))</f>
        <v>-2000</v>
      </c>
      <c r="L736" s="34" t="s">
        <v>37</v>
      </c>
      <c r="M736" s="34"/>
      <c r="N736">
        <v>65248</v>
      </c>
      <c r="O736" s="34" t="s">
        <v>66</v>
      </c>
      <c r="P736" s="34"/>
      <c r="Q736" s="35"/>
      <c r="R736" s="22" t="str">
        <f>IF(H736="","",H736&amp;I736)</f>
        <v>260910-622SALIDA</v>
      </c>
      <c r="S736" s="22" t="str">
        <f>IF(C736="","",C736&amp;I736)</f>
        <v>AzukaSALIDA</v>
      </c>
      <c r="T736" t="str">
        <f>IF(OR(C736="",I736&lt;&gt;"ENTRADA"),"",TEXT(B736,"AAMMDD")&amp;"-"&amp;TEXT(VALUE(SUBSTITUTE(A736,"MOV-","")),"000"))</f>
        <v/>
      </c>
      <c r="V736" t="s">
        <v>1081</v>
      </c>
    </row>
    <row r="737" spans="1:22">
      <c r="A737" s="20" t="s">
        <v>1086</v>
      </c>
      <c r="B737" s="47">
        <v>46304</v>
      </c>
      <c r="C737" t="s">
        <v>1054</v>
      </c>
      <c r="D737" t="s">
        <v>1058</v>
      </c>
      <c r="E737" t="s">
        <v>25</v>
      </c>
      <c r="F737" t="s">
        <v>1056</v>
      </c>
      <c r="G737" t="s">
        <v>180</v>
      </c>
      <c r="H737" s="20" t="s">
        <v>1078</v>
      </c>
      <c r="I737" t="s">
        <v>65</v>
      </c>
      <c r="J737" s="30">
        <v>87</v>
      </c>
      <c r="K737" s="22">
        <f>IF(I737="","",IF(I737="ENTRADA",ABS(J737),-ABS(J737)))</f>
        <v>-87</v>
      </c>
      <c r="L737" t="s">
        <v>632</v>
      </c>
      <c r="N737">
        <v>65248</v>
      </c>
      <c r="O737" t="s">
        <v>66</v>
      </c>
      <c r="R737" s="22" t="str">
        <f>IF(H737="","",H737&amp;I737)</f>
        <v>261006-719SALIDA</v>
      </c>
      <c r="S737" s="22" t="str">
        <f>IF(C737="","",C737&amp;I737)</f>
        <v>Sorgo forrajero SALIDA</v>
      </c>
      <c r="T737" t="str">
        <f>IF(OR(C737="",I737&lt;&gt;"ENTRADA"),"",TEXT(B737,"AAMMDD")&amp;"-"&amp;TEXT(VALUE(SUBSTITUTE(A737,"MOV-","")),"000"))</f>
        <v/>
      </c>
      <c r="V737" t="s">
        <v>1081</v>
      </c>
    </row>
    <row r="738" spans="1:22">
      <c r="A738" s="20" t="s">
        <v>1087</v>
      </c>
      <c r="B738" s="47">
        <v>46304</v>
      </c>
      <c r="C738" t="s">
        <v>1054</v>
      </c>
      <c r="D738" t="s">
        <v>1055</v>
      </c>
      <c r="E738" t="s">
        <v>25</v>
      </c>
      <c r="F738" t="s">
        <v>1056</v>
      </c>
      <c r="G738" t="s">
        <v>180</v>
      </c>
      <c r="H738" s="20" t="s">
        <v>1066</v>
      </c>
      <c r="I738" t="s">
        <v>65</v>
      </c>
      <c r="J738" s="30">
        <v>32</v>
      </c>
      <c r="K738" s="22">
        <f>IF(I738="","",IF(I738="ENTRADA",ABS(J738),-ABS(J738)))</f>
        <v>-32</v>
      </c>
      <c r="L738" t="s">
        <v>632</v>
      </c>
      <c r="N738">
        <v>65248</v>
      </c>
      <c r="O738" t="s">
        <v>66</v>
      </c>
      <c r="R738" s="22" t="str">
        <f>IF(H738="","",H738&amp;I738)</f>
        <v>261006-718SALIDA</v>
      </c>
      <c r="S738" s="22" t="str">
        <f>IF(C738="","",C738&amp;I738)</f>
        <v>Sorgo forrajero SALIDA</v>
      </c>
      <c r="T738" t="str">
        <f>IF(OR(C738="",I738&lt;&gt;"ENTRADA"),"",TEXT(B738,"AAMMDD")&amp;"-"&amp;TEXT(VALUE(SUBSTITUTE(A738,"MOV-","")),"000"))</f>
        <v/>
      </c>
      <c r="V738" t="s">
        <v>1081</v>
      </c>
    </row>
    <row r="739" spans="1:22">
      <c r="A739" s="20" t="s">
        <v>1088</v>
      </c>
      <c r="B739" s="47">
        <v>46302</v>
      </c>
      <c r="C739" t="s">
        <v>115</v>
      </c>
      <c r="D739" t="s">
        <v>116</v>
      </c>
      <c r="E739" t="s">
        <v>34</v>
      </c>
      <c r="F739" t="s">
        <v>35</v>
      </c>
      <c r="G739" t="s">
        <v>117</v>
      </c>
      <c r="H739" s="20" t="str">
        <f>+T739</f>
        <v>261007-741</v>
      </c>
      <c r="I739" t="s">
        <v>28</v>
      </c>
      <c r="J739" s="30">
        <v>560</v>
      </c>
      <c r="K739" s="22">
        <f>IF(I739="","",IF(I739="ENTRADA",ABS(J739),-ABS(J739)))</f>
        <v>560</v>
      </c>
      <c r="L739" t="s">
        <v>37</v>
      </c>
      <c r="N739">
        <v>65246</v>
      </c>
      <c r="O739" t="s">
        <v>1023</v>
      </c>
      <c r="R739" s="22" t="str">
        <f>IF(H739="","",H739&amp;I739)</f>
        <v>261007-741ENTRADA</v>
      </c>
      <c r="S739" s="22" t="str">
        <f>IF(C739="","",C739&amp;I739)</f>
        <v>AzukaENTRADA</v>
      </c>
      <c r="T739" t="str">
        <f>IF(OR(C739="",I739&lt;&gt;"ENTRADA"),"",TEXT(B739,"AAMMDD")&amp;"-"&amp;TEXT(VALUE(SUBSTITUTE(A739,"MOV-","")),"000"))</f>
        <v>261007-741</v>
      </c>
      <c r="V739" t="s">
        <v>1089</v>
      </c>
    </row>
    <row r="740" spans="1:22">
      <c r="A740" s="20" t="s">
        <v>1090</v>
      </c>
      <c r="B740" s="47">
        <v>46302</v>
      </c>
      <c r="C740" t="s">
        <v>122</v>
      </c>
      <c r="D740" t="s">
        <v>123</v>
      </c>
      <c r="E740" t="s">
        <v>34</v>
      </c>
      <c r="F740" t="s">
        <v>35</v>
      </c>
      <c r="G740" t="s">
        <v>117</v>
      </c>
      <c r="H740" s="20" t="s">
        <v>938</v>
      </c>
      <c r="I740" t="s">
        <v>28</v>
      </c>
      <c r="J740" s="30">
        <v>220</v>
      </c>
      <c r="K740" s="22">
        <f>IF(I740="","",IF(I740="ENTRADA",ABS(J740),-ABS(J740)))</f>
        <v>220</v>
      </c>
      <c r="L740" t="s">
        <v>37</v>
      </c>
      <c r="N740">
        <v>65246</v>
      </c>
      <c r="O740" t="s">
        <v>1023</v>
      </c>
      <c r="R740" s="22" t="str">
        <f>IF(H740="","",H740&amp;I740)</f>
        <v>260727-380ENTRADA</v>
      </c>
      <c r="S740" s="22" t="str">
        <f>IF(C740="","",C740&amp;I740)</f>
        <v>PardoENTRADA</v>
      </c>
      <c r="T740" t="str">
        <f>IF(OR(C740="",I740&lt;&gt;"ENTRADA"),"",TEXT(B740,"AAMMDD")&amp;"-"&amp;TEXT(VALUE(SUBSTITUTE(A740,"MOV-","")),"000"))</f>
        <v>261007-742</v>
      </c>
      <c r="V740" t="s">
        <v>1089</v>
      </c>
    </row>
    <row r="741" spans="1:22">
      <c r="A741" s="20" t="s">
        <v>1091</v>
      </c>
      <c r="B741" s="47">
        <v>46302</v>
      </c>
      <c r="C741" t="s">
        <v>90</v>
      </c>
      <c r="D741" t="s">
        <v>91</v>
      </c>
      <c r="F741" t="s">
        <v>35</v>
      </c>
      <c r="G741" t="s">
        <v>36</v>
      </c>
      <c r="H741" s="20" t="s">
        <v>375</v>
      </c>
      <c r="I741" t="s">
        <v>28</v>
      </c>
      <c r="J741" s="30">
        <v>145</v>
      </c>
      <c r="K741" s="22">
        <f>IF(I741="","",IF(I741="ENTRADA",ABS(J741),-ABS(J741)))</f>
        <v>145</v>
      </c>
      <c r="L741" t="s">
        <v>37</v>
      </c>
      <c r="N741">
        <v>65246</v>
      </c>
      <c r="O741" t="s">
        <v>1023</v>
      </c>
      <c r="R741" s="22" t="str">
        <f>IF(H741="","",H741&amp;I741)</f>
        <v>260405-132ENTRADA</v>
      </c>
      <c r="S741" s="22" t="str">
        <f>IF(C741="","",C741&amp;I741)</f>
        <v>PixxaroENTRADA</v>
      </c>
      <c r="T741" t="str">
        <f>IF(OR(C741="",I741&lt;&gt;"ENTRADA"),"",TEXT(B741,"AAMMDD")&amp;"-"&amp;TEXT(VALUE(SUBSTITUTE(A741,"MOV-","")),"000"))</f>
        <v>261007-743</v>
      </c>
      <c r="V741" t="s">
        <v>1089</v>
      </c>
    </row>
    <row r="742" spans="1:22">
      <c r="A742" s="20" t="s">
        <v>1092</v>
      </c>
      <c r="B742" s="47">
        <v>46302</v>
      </c>
      <c r="C742" t="s">
        <v>130</v>
      </c>
      <c r="D742" t="s">
        <v>131</v>
      </c>
      <c r="E742" t="s">
        <v>132</v>
      </c>
      <c r="G742" t="s">
        <v>133</v>
      </c>
      <c r="H742" s="20" t="s">
        <v>221</v>
      </c>
      <c r="I742" t="s">
        <v>28</v>
      </c>
      <c r="J742" s="30">
        <v>20</v>
      </c>
      <c r="K742" s="22">
        <f>IF(I742="","",IF(I742="ENTRADA",ABS(J742),-ABS(J742)))</f>
        <v>20</v>
      </c>
      <c r="L742" t="s">
        <v>37</v>
      </c>
      <c r="N742">
        <v>65246</v>
      </c>
      <c r="O742" t="s">
        <v>1023</v>
      </c>
      <c r="R742" s="22" t="str">
        <f>IF(H742="","",H742&amp;I742)</f>
        <v>260414-029ENTRADA</v>
      </c>
      <c r="S742" s="22" t="str">
        <f>IF(C742="","",C742&amp;I742)</f>
        <v>HarrierENTRADA</v>
      </c>
      <c r="T742" t="str">
        <f>IF(OR(C742="",I742&lt;&gt;"ENTRADA"),"",TEXT(B742,"AAMMDD")&amp;"-"&amp;TEXT(VALUE(SUBSTITUTE(A742,"MOV-","")),"000"))</f>
        <v>261007-744</v>
      </c>
      <c r="V742" t="s">
        <v>1089</v>
      </c>
    </row>
    <row r="743" spans="1:22">
      <c r="A743" s="20" t="s">
        <v>1093</v>
      </c>
      <c r="B743" s="47">
        <v>46302</v>
      </c>
      <c r="C743" t="s">
        <v>1094</v>
      </c>
      <c r="D743" t="s">
        <v>1095</v>
      </c>
      <c r="E743" t="s">
        <v>34</v>
      </c>
      <c r="F743" t="s">
        <v>35</v>
      </c>
      <c r="G743" t="s">
        <v>180</v>
      </c>
      <c r="H743" s="20" t="str">
        <f>+T743</f>
        <v>261007-745</v>
      </c>
      <c r="I743" t="s">
        <v>28</v>
      </c>
      <c r="J743" s="30">
        <v>30</v>
      </c>
      <c r="K743" s="22">
        <f>IF(I743="","",IF(I743="ENTRADA",ABS(J743),-ABS(J743)))</f>
        <v>30</v>
      </c>
      <c r="L743" t="s">
        <v>37</v>
      </c>
      <c r="N743">
        <v>65246</v>
      </c>
      <c r="O743" t="s">
        <v>1023</v>
      </c>
      <c r="R743" s="22" t="str">
        <f>IF(H743="","",H743&amp;I743)</f>
        <v>261007-745ENTRADA</v>
      </c>
      <c r="S743" s="22" t="str">
        <f>IF(C743="","",C743&amp;I743)</f>
        <v>irvix full ENTRADA</v>
      </c>
      <c r="T743" t="str">
        <f>IF(OR(C743="",I743&lt;&gt;"ENTRADA"),"",TEXT(B743,"AAMMDD")&amp;"-"&amp;TEXT(VALUE(SUBSTITUTE(A743,"MOV-","")),"000"))</f>
        <v>261007-745</v>
      </c>
      <c r="V743" t="s">
        <v>1089</v>
      </c>
    </row>
    <row r="744" spans="1:22">
      <c r="A744" s="20" t="s">
        <v>1096</v>
      </c>
      <c r="B744" s="47">
        <v>46302</v>
      </c>
      <c r="C744" t="s">
        <v>137</v>
      </c>
      <c r="D744" t="s">
        <v>138</v>
      </c>
      <c r="E744" t="s">
        <v>132</v>
      </c>
      <c r="G744" t="s">
        <v>133</v>
      </c>
      <c r="H744" s="20" t="s">
        <v>211</v>
      </c>
      <c r="I744" t="s">
        <v>28</v>
      </c>
      <c r="J744" s="30">
        <v>22</v>
      </c>
      <c r="K744" s="22">
        <f>IF(I744="","",IF(I744="ENTRADA",ABS(J744),-ABS(J744)))</f>
        <v>22</v>
      </c>
      <c r="L744" t="s">
        <v>37</v>
      </c>
      <c r="N744">
        <v>65246</v>
      </c>
      <c r="O744" t="s">
        <v>1023</v>
      </c>
      <c r="R744" s="22" t="str">
        <f>IF(H744="","",H744&amp;I744)</f>
        <v>260414-030ENTRADA</v>
      </c>
      <c r="S744" s="22" t="str">
        <f>IF(C744="","",C744&amp;I744)</f>
        <v>Full controlENTRADA</v>
      </c>
      <c r="T744" t="str">
        <f>IF(OR(C744="",I744&lt;&gt;"ENTRADA"),"",TEXT(B744,"AAMMDD")&amp;"-"&amp;TEXT(VALUE(SUBSTITUTE(A744,"MOV-","")),"000"))</f>
        <v>261007-746</v>
      </c>
      <c r="V744" t="s">
        <v>1089</v>
      </c>
    </row>
    <row r="745" spans="1:22">
      <c r="A745" s="20" t="s">
        <v>1097</v>
      </c>
      <c r="B745" s="47">
        <v>46305</v>
      </c>
      <c r="C745" t="s">
        <v>1030</v>
      </c>
      <c r="D745" t="s">
        <v>1031</v>
      </c>
      <c r="E745" t="s">
        <v>34</v>
      </c>
      <c r="F745" t="s">
        <v>35</v>
      </c>
      <c r="G745" t="s">
        <v>1032</v>
      </c>
      <c r="H745" s="20" t="s">
        <v>1098</v>
      </c>
      <c r="I745" t="s">
        <v>65</v>
      </c>
      <c r="J745" s="30">
        <v>280</v>
      </c>
      <c r="K745" s="22">
        <f>IF(I745="","",IF(I745="ENTRADA",ABS(J745),-ABS(J745)))</f>
        <v>-280</v>
      </c>
      <c r="L745" t="s">
        <v>37</v>
      </c>
      <c r="N745">
        <v>65249</v>
      </c>
      <c r="O745" t="s">
        <v>1023</v>
      </c>
      <c r="R745" s="22" t="str">
        <f>IF(H745="","",H745&amp;I745)</f>
        <v>260928-698SALIDA</v>
      </c>
      <c r="S745" s="22" t="str">
        <f>IF(C745="","",C745&amp;I745)</f>
        <v>Sauquat super SALIDA</v>
      </c>
      <c r="T745" t="str">
        <f>IF(OR(C745="",I745&lt;&gt;"ENTRADA"),"",TEXT(B745,"AAMMDD")&amp;"-"&amp;TEXT(VALUE(SUBSTITUTE(A745,"MOV-","")),"000"))</f>
        <v/>
      </c>
      <c r="V745" t="s">
        <v>1099</v>
      </c>
    </row>
    <row r="746" spans="1:22">
      <c r="A746" s="20" t="s">
        <v>1100</v>
      </c>
      <c r="B746" s="47">
        <v>46305</v>
      </c>
      <c r="C746" t="s">
        <v>141</v>
      </c>
      <c r="D746" t="s">
        <v>142</v>
      </c>
      <c r="E746" t="s">
        <v>132</v>
      </c>
      <c r="G746" t="s">
        <v>133</v>
      </c>
      <c r="H746" s="20" t="s">
        <v>748</v>
      </c>
      <c r="I746" t="s">
        <v>65</v>
      </c>
      <c r="J746" s="30">
        <v>1</v>
      </c>
      <c r="K746" s="22">
        <f>IF(I746="","",IF(I746="ENTRADA",ABS(J746),-ABS(J746)))</f>
        <v>-1</v>
      </c>
      <c r="L746" t="s">
        <v>37</v>
      </c>
      <c r="N746">
        <v>65249</v>
      </c>
      <c r="O746" t="s">
        <v>1023</v>
      </c>
      <c r="R746" s="22" t="str">
        <f>IF(H746="","",H746&amp;I746)</f>
        <v>260827-473SALIDA</v>
      </c>
      <c r="S746" s="22" t="str">
        <f>IF(C746="","",C746&amp;I746)</f>
        <v>Maxi DropSALIDA</v>
      </c>
      <c r="T746" t="str">
        <f>IF(OR(C746="",I746&lt;&gt;"ENTRADA"),"",TEXT(B746,"AAMMDD")&amp;"-"&amp;TEXT(VALUE(SUBSTITUTE(A746,"MOV-","")),"000"))</f>
        <v/>
      </c>
      <c r="V746" t="s">
        <v>1099</v>
      </c>
    </row>
    <row r="747" spans="1:22">
      <c r="A747" s="20" t="s">
        <v>1101</v>
      </c>
      <c r="B747" s="47">
        <v>46305</v>
      </c>
      <c r="C747" s="34" t="s">
        <v>656</v>
      </c>
      <c r="D747" s="34" t="s">
        <v>657</v>
      </c>
      <c r="E747" s="34" t="s">
        <v>132</v>
      </c>
      <c r="F747" s="34"/>
      <c r="G747" s="34" t="s">
        <v>133</v>
      </c>
      <c r="H747" s="20" t="s">
        <v>659</v>
      </c>
      <c r="I747" s="34" t="s">
        <v>65</v>
      </c>
      <c r="J747" s="36">
        <v>10</v>
      </c>
      <c r="K747" s="22">
        <f>IF(I747="","",IF(I747="ENTRADA",ABS(J747),-ABS(J747)))</f>
        <v>-10</v>
      </c>
      <c r="L747" s="34" t="s">
        <v>37</v>
      </c>
      <c r="M747" s="34"/>
      <c r="N747">
        <v>65249</v>
      </c>
      <c r="O747" t="s">
        <v>1023</v>
      </c>
      <c r="P747" s="34"/>
      <c r="Q747" s="35"/>
      <c r="R747" s="22" t="str">
        <f>IF(H747="","",H747&amp;I747)</f>
        <v>260729-393SALIDA</v>
      </c>
      <c r="S747" s="22" t="str">
        <f>IF(C747="","",C747&amp;I747)</f>
        <v>Harrier Drone SALIDA</v>
      </c>
      <c r="T747" t="str">
        <f>IF(OR(C747="",I747&lt;&gt;"ENTRADA"),"",TEXT(B747,"AAMMDD")&amp;"-"&amp;TEXT(VALUE(SUBSTITUTE(A747,"MOV-","")),"000"))</f>
        <v/>
      </c>
      <c r="V747" t="s">
        <v>1099</v>
      </c>
    </row>
    <row r="748" spans="1:22">
      <c r="A748" s="20" t="s">
        <v>1102</v>
      </c>
      <c r="B748" s="47">
        <v>46305</v>
      </c>
      <c r="C748" t="s">
        <v>782</v>
      </c>
      <c r="D748" t="s">
        <v>783</v>
      </c>
      <c r="E748" t="s">
        <v>34</v>
      </c>
      <c r="F748" t="s">
        <v>46</v>
      </c>
      <c r="G748" t="s">
        <v>27</v>
      </c>
      <c r="H748" s="20" t="s">
        <v>797</v>
      </c>
      <c r="I748" t="s">
        <v>65</v>
      </c>
      <c r="J748" s="30">
        <v>20</v>
      </c>
      <c r="K748" s="22">
        <f>IF(I748="","",IF(I748="ENTRADA",ABS(J748),-ABS(J748)))</f>
        <v>-20</v>
      </c>
      <c r="L748" t="s">
        <v>29</v>
      </c>
      <c r="N748">
        <v>65249</v>
      </c>
      <c r="O748" t="s">
        <v>1023</v>
      </c>
      <c r="R748" s="22" t="str">
        <f>IF(H748="","",H748&amp;I748)</f>
        <v>260801-489SALIDA</v>
      </c>
      <c r="S748" s="22" t="str">
        <f>IF(C748="","",C748&amp;I748)</f>
        <v>PyroxateSALIDA</v>
      </c>
      <c r="T748" t="str">
        <f>IF(OR(C748="",I748&lt;&gt;"ENTRADA"),"",TEXT(B748,"AAMMDD")&amp;"-"&amp;TEXT(VALUE(SUBSTITUTE(A748,"MOV-","")),"000"))</f>
        <v/>
      </c>
      <c r="V748" t="s">
        <v>1099</v>
      </c>
    </row>
    <row r="749" spans="1:22">
      <c r="A749" s="20" t="s">
        <v>1103</v>
      </c>
      <c r="B749" s="47">
        <v>46305</v>
      </c>
      <c r="C749" t="s">
        <v>137</v>
      </c>
      <c r="D749" t="s">
        <v>138</v>
      </c>
      <c r="E749" t="s">
        <v>132</v>
      </c>
      <c r="G749" t="s">
        <v>133</v>
      </c>
      <c r="H749" s="20" t="s">
        <v>211</v>
      </c>
      <c r="I749" t="s">
        <v>65</v>
      </c>
      <c r="J749" s="30">
        <v>3</v>
      </c>
      <c r="K749" s="22">
        <f>IF(I749="","",IF(I749="ENTRADA",ABS(J749),-ABS(J749)))</f>
        <v>-3</v>
      </c>
      <c r="L749" t="s">
        <v>37</v>
      </c>
      <c r="N749">
        <v>65249</v>
      </c>
      <c r="O749" t="s">
        <v>1023</v>
      </c>
      <c r="R749" s="22" t="str">
        <f>IF(H749="","",H749&amp;I749)</f>
        <v>260414-030SALIDA</v>
      </c>
      <c r="S749" s="22" t="str">
        <f>IF(C749="","",C749&amp;I749)</f>
        <v>Full controlSALIDA</v>
      </c>
      <c r="T749" t="str">
        <f>IF(OR(C749="",I749&lt;&gt;"ENTRADA"),"",TEXT(B749,"AAMMDD")&amp;"-"&amp;TEXT(VALUE(SUBSTITUTE(A749,"MOV-","")),"000"))</f>
        <v/>
      </c>
      <c r="V749" t="s">
        <v>1099</v>
      </c>
    </row>
    <row r="750" spans="1:22">
      <c r="A750" s="20" t="s">
        <v>1104</v>
      </c>
      <c r="B750" s="47">
        <v>46305</v>
      </c>
      <c r="C750" t="s">
        <v>1030</v>
      </c>
      <c r="D750" t="s">
        <v>1031</v>
      </c>
      <c r="E750" t="s">
        <v>34</v>
      </c>
      <c r="F750" t="s">
        <v>35</v>
      </c>
      <c r="G750" t="s">
        <v>1032</v>
      </c>
      <c r="H750" s="20" t="s">
        <v>1098</v>
      </c>
      <c r="I750" t="s">
        <v>65</v>
      </c>
      <c r="J750" s="30">
        <v>320</v>
      </c>
      <c r="K750" s="22">
        <f>IF(I750="","",IF(I750="ENTRADA",ABS(J750),-ABS(J750)))</f>
        <v>-320</v>
      </c>
      <c r="L750" t="s">
        <v>37</v>
      </c>
      <c r="N750">
        <v>65250</v>
      </c>
      <c r="O750" t="s">
        <v>1023</v>
      </c>
      <c r="R750" s="22" t="str">
        <f>IF(H750="","",H750&amp;I750)</f>
        <v>260928-698SALIDA</v>
      </c>
      <c r="S750" s="22" t="str">
        <f>IF(C750="","",C750&amp;I750)</f>
        <v>Sauquat super SALIDA</v>
      </c>
      <c r="T750" t="str">
        <f>IF(OR(C750="",I750&lt;&gt;"ENTRADA"),"",TEXT(B750,"AAMMDD")&amp;"-"&amp;TEXT(VALUE(SUBSTITUTE(A750,"MOV-","")),"000"))</f>
        <v/>
      </c>
      <c r="V750" t="s">
        <v>1105</v>
      </c>
    </row>
    <row r="751" spans="1:22">
      <c r="A751" s="20" t="s">
        <v>1106</v>
      </c>
      <c r="B751" s="47">
        <v>46305</v>
      </c>
      <c r="C751" t="s">
        <v>782</v>
      </c>
      <c r="D751" t="s">
        <v>783</v>
      </c>
      <c r="E751" t="s">
        <v>34</v>
      </c>
      <c r="F751" t="s">
        <v>46</v>
      </c>
      <c r="G751" t="s">
        <v>27</v>
      </c>
      <c r="H751" s="20" t="s">
        <v>797</v>
      </c>
      <c r="I751" t="s">
        <v>65</v>
      </c>
      <c r="J751" s="30">
        <v>30</v>
      </c>
      <c r="K751" s="22">
        <f>IF(I751="","",IF(I751="ENTRADA",ABS(J751),-ABS(J751)))</f>
        <v>-30</v>
      </c>
      <c r="L751" t="s">
        <v>29</v>
      </c>
      <c r="N751">
        <v>65250</v>
      </c>
      <c r="O751" t="s">
        <v>1023</v>
      </c>
      <c r="R751" s="22" t="str">
        <f>IF(H751="","",H751&amp;I751)</f>
        <v>260801-489SALIDA</v>
      </c>
      <c r="S751" s="22" t="str">
        <f>IF(C751="","",C751&amp;I751)</f>
        <v>PyroxateSALIDA</v>
      </c>
      <c r="T751" t="str">
        <f>IF(OR(C751="",I751&lt;&gt;"ENTRADA"),"",TEXT(B751,"AAMMDD")&amp;"-"&amp;TEXT(VALUE(SUBSTITUTE(A751,"MOV-","")),"000"))</f>
        <v/>
      </c>
      <c r="V751" t="s">
        <v>1105</v>
      </c>
    </row>
    <row r="752" spans="1:22">
      <c r="A752" s="20" t="s">
        <v>1107</v>
      </c>
      <c r="B752" s="47">
        <v>46305</v>
      </c>
      <c r="C752" t="s">
        <v>656</v>
      </c>
      <c r="D752" t="s">
        <v>657</v>
      </c>
      <c r="E752" t="s">
        <v>132</v>
      </c>
      <c r="G752" t="s">
        <v>133</v>
      </c>
      <c r="H752" s="20" t="s">
        <v>659</v>
      </c>
      <c r="I752" t="s">
        <v>65</v>
      </c>
      <c r="J752" s="30">
        <v>20</v>
      </c>
      <c r="K752" s="22">
        <f>IF(I752="","",IF(I752="ENTRADA",ABS(J752),-ABS(J752)))</f>
        <v>-20</v>
      </c>
      <c r="L752" t="s">
        <v>37</v>
      </c>
      <c r="N752">
        <v>65250</v>
      </c>
      <c r="O752" t="s">
        <v>1023</v>
      </c>
      <c r="R752" s="22" t="str">
        <f>IF(H752="","",H752&amp;I752)</f>
        <v>260729-393SALIDA</v>
      </c>
      <c r="S752" s="22" t="str">
        <f>IF(C752="","",C752&amp;I752)</f>
        <v>Harrier Drone SALIDA</v>
      </c>
      <c r="T752" t="str">
        <f>IF(OR(C752="",I752&lt;&gt;"ENTRADA"),"",TEXT(B752,"AAMMDD")&amp;"-"&amp;TEXT(VALUE(SUBSTITUTE(A752,"MOV-","")),"000"))</f>
        <v/>
      </c>
      <c r="V752" t="s">
        <v>1105</v>
      </c>
    </row>
    <row r="753" spans="1:22">
      <c r="A753" s="20" t="s">
        <v>1108</v>
      </c>
      <c r="B753" s="47">
        <v>46305</v>
      </c>
      <c r="C753" t="s">
        <v>137</v>
      </c>
      <c r="D753" t="s">
        <v>138</v>
      </c>
      <c r="E753" t="s">
        <v>132</v>
      </c>
      <c r="G753" t="s">
        <v>133</v>
      </c>
      <c r="H753" s="20" t="s">
        <v>211</v>
      </c>
      <c r="I753" t="s">
        <v>65</v>
      </c>
      <c r="J753" s="30">
        <v>3</v>
      </c>
      <c r="K753" s="22">
        <f>IF(I753="","",IF(I753="ENTRADA",ABS(J753),-ABS(J753)))</f>
        <v>-3</v>
      </c>
      <c r="L753" t="s">
        <v>37</v>
      </c>
      <c r="N753">
        <v>65250</v>
      </c>
      <c r="O753" t="s">
        <v>1023</v>
      </c>
      <c r="R753" s="22" t="str">
        <f>IF(H753="","",H753&amp;I753)</f>
        <v>260414-030SALIDA</v>
      </c>
      <c r="S753" s="22" t="str">
        <f>IF(C753="","",C753&amp;I753)</f>
        <v>Full controlSALIDA</v>
      </c>
      <c r="T753" t="str">
        <f>IF(OR(C753="",I753&lt;&gt;"ENTRADA"),"",TEXT(B753,"AAMMDD")&amp;"-"&amp;TEXT(VALUE(SUBSTITUTE(A753,"MOV-","")),"000"))</f>
        <v/>
      </c>
      <c r="V753" t="s">
        <v>1105</v>
      </c>
    </row>
    <row r="754" spans="1:22">
      <c r="A754" s="20" t="s">
        <v>1109</v>
      </c>
      <c r="B754" s="47">
        <v>46308</v>
      </c>
      <c r="C754" t="s">
        <v>115</v>
      </c>
      <c r="D754" t="s">
        <v>116</v>
      </c>
      <c r="E754" t="s">
        <v>34</v>
      </c>
      <c r="F754" t="s">
        <v>35</v>
      </c>
      <c r="G754" t="s">
        <v>117</v>
      </c>
      <c r="H754" s="20" t="s">
        <v>971</v>
      </c>
      <c r="I754" t="s">
        <v>65</v>
      </c>
      <c r="J754" s="30">
        <v>1120</v>
      </c>
      <c r="K754" s="22">
        <f>IF(I754="","",IF(I754="ENTRADA",ABS(J754),-ABS(J754)))</f>
        <v>-1120</v>
      </c>
      <c r="L754" t="s">
        <v>37</v>
      </c>
      <c r="N754">
        <v>65301</v>
      </c>
      <c r="O754" t="s">
        <v>218</v>
      </c>
      <c r="R754" s="22" t="str">
        <f>IF(H754="","",H754&amp;I754)</f>
        <v>260910-622SALIDA</v>
      </c>
      <c r="S754" s="22" t="str">
        <f>IF(C754="","",C754&amp;I754)</f>
        <v>AzukaSALIDA</v>
      </c>
      <c r="T754" t="str">
        <f>IF(OR(C754="",I754&lt;&gt;"ENTRADA"),"",TEXT(B754,"AAMMDD")&amp;"-"&amp;TEXT(VALUE(SUBSTITUTE(A754,"MOV-","")),"000"))</f>
        <v/>
      </c>
      <c r="V754" t="s">
        <v>1110</v>
      </c>
    </row>
    <row r="755" spans="1:22">
      <c r="A755" s="20" t="s">
        <v>1111</v>
      </c>
      <c r="B755" s="47">
        <v>46308</v>
      </c>
      <c r="C755" t="s">
        <v>782</v>
      </c>
      <c r="D755" t="s">
        <v>783</v>
      </c>
      <c r="E755" t="s">
        <v>34</v>
      </c>
      <c r="F755" t="s">
        <v>46</v>
      </c>
      <c r="G755" t="s">
        <v>27</v>
      </c>
      <c r="H755" s="20" t="s">
        <v>797</v>
      </c>
      <c r="I755" t="s">
        <v>65</v>
      </c>
      <c r="J755" s="30">
        <v>40</v>
      </c>
      <c r="K755" s="22">
        <f>IF(I755="","",IF(I755="ENTRADA",ABS(J755),-ABS(J755)))</f>
        <v>-40</v>
      </c>
      <c r="L755" t="s">
        <v>29</v>
      </c>
      <c r="N755">
        <v>65301</v>
      </c>
      <c r="O755" t="s">
        <v>218</v>
      </c>
      <c r="R755" s="22" t="str">
        <f>IF(H755="","",H755&amp;I755)</f>
        <v>260801-489SALIDA</v>
      </c>
      <c r="S755" s="22" t="str">
        <f>IF(C755="","",C755&amp;I755)</f>
        <v>PyroxateSALIDA</v>
      </c>
      <c r="T755" t="str">
        <f>IF(OR(C755="",I755&lt;&gt;"ENTRADA"),"",TEXT(B755,"AAMMDD")&amp;"-"&amp;TEXT(VALUE(SUBSTITUTE(A755,"MOV-","")),"000"))</f>
        <v/>
      </c>
      <c r="V755" t="s">
        <v>1110</v>
      </c>
    </row>
    <row r="756" spans="1:22">
      <c r="A756" s="20" t="s">
        <v>1112</v>
      </c>
      <c r="B756" s="47">
        <v>46308</v>
      </c>
      <c r="C756" t="s">
        <v>130</v>
      </c>
      <c r="D756" t="s">
        <v>131</v>
      </c>
      <c r="E756" t="s">
        <v>132</v>
      </c>
      <c r="G756" t="s">
        <v>133</v>
      </c>
      <c r="H756" s="20" t="s">
        <v>221</v>
      </c>
      <c r="I756" t="s">
        <v>65</v>
      </c>
      <c r="J756" s="30">
        <v>40</v>
      </c>
      <c r="K756" s="22">
        <f>IF(I756="","",IF(I756="ENTRADA",ABS(J756),-ABS(J756)))</f>
        <v>-40</v>
      </c>
      <c r="L756" t="s">
        <v>37</v>
      </c>
      <c r="N756">
        <v>65301</v>
      </c>
      <c r="O756" t="s">
        <v>218</v>
      </c>
      <c r="R756" s="22" t="str">
        <f>IF(H756="","",H756&amp;I756)</f>
        <v>260414-029SALIDA</v>
      </c>
      <c r="S756" s="22" t="str">
        <f>IF(C756="","",C756&amp;I756)</f>
        <v>HarrierSALIDA</v>
      </c>
      <c r="T756" t="str">
        <f>IF(OR(C756="",I756&lt;&gt;"ENTRADA"),"",TEXT(B756,"AAMMDD")&amp;"-"&amp;TEXT(VALUE(SUBSTITUTE(A756,"MOV-","")),"000"))</f>
        <v/>
      </c>
      <c r="V756" t="s">
        <v>1110</v>
      </c>
    </row>
    <row r="757" spans="1:22">
      <c r="A757" s="20" t="s">
        <v>1113</v>
      </c>
      <c r="B757" s="47">
        <v>46308</v>
      </c>
      <c r="C757" t="s">
        <v>137</v>
      </c>
      <c r="D757" t="s">
        <v>138</v>
      </c>
      <c r="E757" t="s">
        <v>132</v>
      </c>
      <c r="G757" t="s">
        <v>133</v>
      </c>
      <c r="H757" s="20" t="s">
        <v>211</v>
      </c>
      <c r="I757" t="s">
        <v>65</v>
      </c>
      <c r="J757" s="30">
        <v>15</v>
      </c>
      <c r="K757" s="22">
        <f>IF(I757="","",IF(I757="ENTRADA",ABS(J757),-ABS(J757)))</f>
        <v>-15</v>
      </c>
      <c r="L757" t="s">
        <v>37</v>
      </c>
      <c r="N757">
        <v>65301</v>
      </c>
      <c r="O757" t="s">
        <v>218</v>
      </c>
      <c r="R757" s="22" t="str">
        <f>IF(H757="","",H757&amp;I757)</f>
        <v>260414-030SALIDA</v>
      </c>
      <c r="S757" s="22" t="str">
        <f>IF(C757="","",C757&amp;I757)</f>
        <v>Full controlSALIDA</v>
      </c>
      <c r="T757" t="str">
        <f>IF(OR(C757="",I757&lt;&gt;"ENTRADA"),"",TEXT(B757,"AAMMDD")&amp;"-"&amp;TEXT(VALUE(SUBSTITUTE(A757,"MOV-","")),"000"))</f>
        <v/>
      </c>
      <c r="V757" t="s">
        <v>1110</v>
      </c>
    </row>
    <row r="758" spans="1:22">
      <c r="A758" s="20" t="s">
        <v>1114</v>
      </c>
      <c r="B758" s="47">
        <v>46308</v>
      </c>
      <c r="C758" s="34" t="s">
        <v>137</v>
      </c>
      <c r="D758" s="34" t="s">
        <v>138</v>
      </c>
      <c r="E758" s="34" t="s">
        <v>132</v>
      </c>
      <c r="F758" s="34"/>
      <c r="G758" s="34" t="s">
        <v>133</v>
      </c>
      <c r="H758" s="20" t="s">
        <v>211</v>
      </c>
      <c r="I758" s="34" t="s">
        <v>65</v>
      </c>
      <c r="J758" s="36">
        <v>8</v>
      </c>
      <c r="K758" s="22">
        <f>IF(I758="","",IF(I758="ENTRADA",ABS(J758),-ABS(J758)))</f>
        <v>-8</v>
      </c>
      <c r="L758" s="34" t="s">
        <v>37</v>
      </c>
      <c r="M758" s="34"/>
      <c r="N758" s="34">
        <v>65302</v>
      </c>
      <c r="O758" s="34" t="s">
        <v>1023</v>
      </c>
      <c r="P758" s="34"/>
      <c r="Q758" s="35"/>
      <c r="R758" s="22" t="str">
        <f>IF(H758="","",H758&amp;I758)</f>
        <v>260414-030SALIDA</v>
      </c>
      <c r="S758" s="22" t="str">
        <f>IF(C758="","",C758&amp;I758)</f>
        <v>Full controlSALIDA</v>
      </c>
      <c r="T758" t="str">
        <f>IF(OR(C758="",I758&lt;&gt;"ENTRADA"),"",TEXT(B758,"AAMMDD")&amp;"-"&amp;TEXT(VALUE(SUBSTITUTE(A758,"MOV-","")),"000"))</f>
        <v/>
      </c>
      <c r="V758" t="s">
        <v>1110</v>
      </c>
    </row>
    <row r="759" spans="1:22">
      <c r="A759" s="20" t="s">
        <v>1115</v>
      </c>
      <c r="B759" s="47">
        <v>46308</v>
      </c>
      <c r="C759" t="s">
        <v>130</v>
      </c>
      <c r="D759" t="s">
        <v>131</v>
      </c>
      <c r="E759" t="s">
        <v>132</v>
      </c>
      <c r="G759" t="s">
        <v>133</v>
      </c>
      <c r="H759" s="20" t="s">
        <v>221</v>
      </c>
      <c r="I759" t="s">
        <v>65</v>
      </c>
      <c r="J759" s="30">
        <v>40</v>
      </c>
      <c r="K759" s="22">
        <f>IF(I759="","",IF(I759="ENTRADA",ABS(J759),-ABS(J759)))</f>
        <v>-40</v>
      </c>
      <c r="L759" t="s">
        <v>37</v>
      </c>
      <c r="N759">
        <v>65302</v>
      </c>
      <c r="O759" t="s">
        <v>1023</v>
      </c>
      <c r="R759" s="22" t="str">
        <f>IF(H759="","",H759&amp;I759)</f>
        <v>260414-029SALIDA</v>
      </c>
      <c r="S759" s="22" t="str">
        <f>IF(C759="","",C759&amp;I759)</f>
        <v>HarrierSALIDA</v>
      </c>
      <c r="T759" t="str">
        <f>IF(OR(C759="",I759&lt;&gt;"ENTRADA"),"",TEXT(B759,"AAMMDD")&amp;"-"&amp;TEXT(VALUE(SUBSTITUTE(A759,"MOV-","")),"000"))</f>
        <v/>
      </c>
      <c r="V759" t="s">
        <v>1110</v>
      </c>
    </row>
    <row r="760" spans="1:22">
      <c r="A760" s="20" t="s">
        <v>1116</v>
      </c>
      <c r="B760" s="47">
        <v>46308</v>
      </c>
      <c r="C760" t="s">
        <v>1054</v>
      </c>
      <c r="D760" t="s">
        <v>1055</v>
      </c>
      <c r="E760" t="s">
        <v>25</v>
      </c>
      <c r="F760" t="s">
        <v>1056</v>
      </c>
      <c r="G760" t="s">
        <v>180</v>
      </c>
      <c r="H760" s="20" t="s">
        <v>1066</v>
      </c>
      <c r="I760" t="s">
        <v>65</v>
      </c>
      <c r="J760" s="30">
        <v>145</v>
      </c>
      <c r="K760" s="22">
        <f>IF(I760="","",IF(I760="ENTRADA",ABS(J760),-ABS(J760)))</f>
        <v>-145</v>
      </c>
      <c r="L760" t="s">
        <v>632</v>
      </c>
      <c r="N760">
        <v>65303</v>
      </c>
      <c r="O760" t="s">
        <v>309</v>
      </c>
      <c r="R760" s="22" t="str">
        <f>IF(H760="","",H760&amp;I760)</f>
        <v>261006-718SALIDA</v>
      </c>
      <c r="S760" s="22" t="str">
        <f>IF(C760="","",C760&amp;I760)</f>
        <v>Sorgo forrajero SALIDA</v>
      </c>
      <c r="T760" t="str">
        <f>IF(OR(C760="",I760&lt;&gt;"ENTRADA"),"",TEXT(B760,"AAMMDD")&amp;"-"&amp;TEXT(VALUE(SUBSTITUTE(A760,"MOV-","")),"000"))</f>
        <v/>
      </c>
      <c r="V760" t="s">
        <v>1117</v>
      </c>
    </row>
    <row r="761" spans="1:22">
      <c r="A761" s="20" t="s">
        <v>1118</v>
      </c>
      <c r="B761" s="47">
        <v>46309</v>
      </c>
      <c r="C761" t="s">
        <v>115</v>
      </c>
      <c r="D761" t="s">
        <v>116</v>
      </c>
      <c r="F761" t="s">
        <v>35</v>
      </c>
      <c r="G761" t="s">
        <v>117</v>
      </c>
      <c r="H761" s="20" t="s">
        <v>971</v>
      </c>
      <c r="I761" t="s">
        <v>65</v>
      </c>
      <c r="J761" s="30">
        <v>860</v>
      </c>
      <c r="K761" s="22">
        <f>IF(I761="","",IF(I761="ENTRADA",ABS(J761),-ABS(J761)))</f>
        <v>-860</v>
      </c>
      <c r="L761" t="s">
        <v>37</v>
      </c>
      <c r="N761">
        <v>65304</v>
      </c>
      <c r="O761" t="s">
        <v>218</v>
      </c>
      <c r="R761" s="22" t="str">
        <f>IF(H761="","",H761&amp;I761)</f>
        <v>260910-622SALIDA</v>
      </c>
      <c r="S761" s="22" t="str">
        <f>IF(C761="","",C761&amp;I761)</f>
        <v>AzukaSALIDA</v>
      </c>
      <c r="T761" t="str">
        <f>IF(OR(C761="",I761&lt;&gt;"ENTRADA"),"",TEXT(B761,"AAMMDD")&amp;"-"&amp;TEXT(VALUE(SUBSTITUTE(A761,"MOV-","")),"000"))</f>
        <v/>
      </c>
      <c r="V761" t="s">
        <v>1119</v>
      </c>
    </row>
    <row r="762" spans="1:22">
      <c r="A762" s="20" t="s">
        <v>1120</v>
      </c>
      <c r="B762" s="47">
        <v>46309</v>
      </c>
      <c r="C762" t="s">
        <v>782</v>
      </c>
      <c r="D762" t="s">
        <v>783</v>
      </c>
      <c r="E762" t="s">
        <v>34</v>
      </c>
      <c r="F762" t="s">
        <v>46</v>
      </c>
      <c r="G762" t="s">
        <v>27</v>
      </c>
      <c r="H762" s="20" t="s">
        <v>797</v>
      </c>
      <c r="I762" t="s">
        <v>65</v>
      </c>
      <c r="J762" s="30">
        <v>30</v>
      </c>
      <c r="K762" s="22">
        <f>IF(I762="","",IF(I762="ENTRADA",ABS(J762),-ABS(J762)))</f>
        <v>-30</v>
      </c>
      <c r="L762" t="s">
        <v>29</v>
      </c>
      <c r="N762">
        <v>65304</v>
      </c>
      <c r="O762" t="s">
        <v>218</v>
      </c>
      <c r="R762" s="22" t="str">
        <f>IF(H762="","",H762&amp;I762)</f>
        <v>260801-489SALIDA</v>
      </c>
      <c r="S762" s="22" t="str">
        <f>IF(C762="","",C762&amp;I762)</f>
        <v>PyroxateSALIDA</v>
      </c>
      <c r="T762" t="str">
        <f>IF(OR(C762="",I762&lt;&gt;"ENTRADA"),"",TEXT(B762,"AAMMDD")&amp;"-"&amp;TEXT(VALUE(SUBSTITUTE(A762,"MOV-","")),"000"))</f>
        <v/>
      </c>
    </row>
    <row r="763" spans="1:22">
      <c r="A763" s="20" t="s">
        <v>1121</v>
      </c>
      <c r="B763" s="47">
        <v>46309</v>
      </c>
      <c r="C763" t="s">
        <v>130</v>
      </c>
      <c r="D763" t="s">
        <v>131</v>
      </c>
      <c r="E763" t="s">
        <v>132</v>
      </c>
      <c r="G763" t="s">
        <v>133</v>
      </c>
      <c r="H763" s="20" t="s">
        <v>221</v>
      </c>
      <c r="I763" t="s">
        <v>65</v>
      </c>
      <c r="J763" s="30">
        <v>5</v>
      </c>
      <c r="K763" s="22">
        <f>IF(I763="","",IF(I763="ENTRADA",ABS(J763),-ABS(J763)))</f>
        <v>-5</v>
      </c>
      <c r="L763" t="s">
        <v>37</v>
      </c>
      <c r="N763">
        <v>65304</v>
      </c>
      <c r="O763" t="s">
        <v>218</v>
      </c>
      <c r="R763" s="22" t="str">
        <f>IF(H763="","",H763&amp;I763)</f>
        <v>260414-029SALIDA</v>
      </c>
      <c r="S763" s="22" t="str">
        <f>IF(C763="","",C763&amp;I763)</f>
        <v>HarrierSALIDA</v>
      </c>
      <c r="T763" t="str">
        <f>IF(OR(C763="",I763&lt;&gt;"ENTRADA"),"",TEXT(B763,"AAMMDD")&amp;"-"&amp;TEXT(VALUE(SUBSTITUTE(A763,"MOV-","")),"000"))</f>
        <v/>
      </c>
      <c r="V763" t="s">
        <v>1119</v>
      </c>
    </row>
    <row r="764" spans="1:22">
      <c r="A764" s="20" t="s">
        <v>1122</v>
      </c>
      <c r="B764" s="47">
        <v>46309</v>
      </c>
      <c r="C764" t="s">
        <v>137</v>
      </c>
      <c r="D764" t="s">
        <v>138</v>
      </c>
      <c r="E764" t="s">
        <v>132</v>
      </c>
      <c r="G764" t="s">
        <v>133</v>
      </c>
      <c r="H764" s="20" t="s">
        <v>211</v>
      </c>
      <c r="I764" t="s">
        <v>65</v>
      </c>
      <c r="J764" s="30">
        <v>3</v>
      </c>
      <c r="K764" s="22">
        <f>IF(I764="","",IF(I764="ENTRADA",ABS(J764),-ABS(J764)))</f>
        <v>-3</v>
      </c>
      <c r="L764" t="s">
        <v>37</v>
      </c>
      <c r="N764">
        <v>65304</v>
      </c>
      <c r="O764" t="s">
        <v>218</v>
      </c>
      <c r="R764" s="22" t="str">
        <f>IF(H764="","",H764&amp;I764)</f>
        <v>260414-030SALIDA</v>
      </c>
      <c r="S764" s="22" t="str">
        <f>IF(C764="","",C764&amp;I764)</f>
        <v>Full controlSALIDA</v>
      </c>
      <c r="T764" t="str">
        <f>IF(OR(C764="",I764&lt;&gt;"ENTRADA"),"",TEXT(B764,"AAMMDD")&amp;"-"&amp;TEXT(VALUE(SUBSTITUTE(A764,"MOV-","")),"000"))</f>
        <v/>
      </c>
      <c r="V764" t="s">
        <v>1119</v>
      </c>
    </row>
    <row r="765" spans="1:22">
      <c r="A765" s="20" t="s">
        <v>1123</v>
      </c>
      <c r="B765" s="47">
        <v>46309</v>
      </c>
      <c r="C765" t="s">
        <v>782</v>
      </c>
      <c r="D765" t="s">
        <v>783</v>
      </c>
      <c r="E765" t="s">
        <v>34</v>
      </c>
      <c r="F765" t="s">
        <v>46</v>
      </c>
      <c r="G765" t="s">
        <v>27</v>
      </c>
      <c r="H765" s="20" t="s">
        <v>797</v>
      </c>
      <c r="I765" t="s">
        <v>65</v>
      </c>
      <c r="J765" s="30">
        <v>250</v>
      </c>
      <c r="K765" s="22">
        <f>IF(I765="","",IF(I765="ENTRADA",ABS(J765),-ABS(J765)))</f>
        <v>-250</v>
      </c>
      <c r="L765" t="s">
        <v>29</v>
      </c>
      <c r="N765">
        <v>65305</v>
      </c>
      <c r="O765" t="s">
        <v>213</v>
      </c>
      <c r="R765" s="22" t="str">
        <f>IF(H765="","",H765&amp;I765)</f>
        <v>260801-489SALIDA</v>
      </c>
      <c r="S765" s="22" t="str">
        <f>IF(C765="","",C765&amp;I765)</f>
        <v>PyroxateSALIDA</v>
      </c>
      <c r="T765" t="str">
        <f>IF(OR(C765="",I765&lt;&gt;"ENTRADA"),"",TEXT(B765,"AAMMDD")&amp;"-"&amp;TEXT(VALUE(SUBSTITUTE(A765,"MOV-","")),"000"))</f>
        <v/>
      </c>
      <c r="V765" t="s">
        <v>1124</v>
      </c>
    </row>
    <row r="766" spans="1:22">
      <c r="A766" s="20" t="s">
        <v>1125</v>
      </c>
      <c r="H766" s="20" t="str">
        <f>+T766</f>
        <v/>
      </c>
      <c r="J766" s="30"/>
      <c r="K766" s="22" t="str">
        <f>IF(I766="","",IF(I766="ENTRADA",ABS(J766),-ABS(J766)))</f>
        <v/>
      </c>
      <c r="R766" s="22" t="str">
        <f>IF(H766="","",H766&amp;I766)</f>
        <v/>
      </c>
      <c r="S766" s="22" t="str">
        <f>IF(C766="","",C766&amp;I766)</f>
        <v/>
      </c>
      <c r="T766" t="str">
        <f>IF(OR(C766="",I766&lt;&gt;"ENTRADA"),"",TEXT(B766,"AAMMDD")&amp;"-"&amp;TEXT(VALUE(SUBSTITUTE(A766,"MOV-","")),"000"))</f>
        <v/>
      </c>
    </row>
    <row r="767" spans="1:22">
      <c r="A767" s="20" t="s">
        <v>1126</v>
      </c>
      <c r="H767" s="20" t="str">
        <f>+T767</f>
        <v/>
      </c>
      <c r="J767" s="30"/>
      <c r="K767" s="22" t="str">
        <f>IF(I767="","",IF(I767="ENTRADA",ABS(J767),-ABS(J767)))</f>
        <v/>
      </c>
      <c r="R767" s="22" t="str">
        <f>IF(H767="","",H767&amp;I767)</f>
        <v/>
      </c>
      <c r="S767" s="22" t="str">
        <f>IF(C767="","",C767&amp;I767)</f>
        <v/>
      </c>
      <c r="T767" t="str">
        <f>IF(OR(C767="",I767&lt;&gt;"ENTRADA"),"",TEXT(B767,"AAMMDD")&amp;"-"&amp;TEXT(VALUE(SUBSTITUTE(A767,"MOV-","")),"000"))</f>
        <v/>
      </c>
    </row>
    <row r="768" spans="1:22">
      <c r="A768" s="20" t="s">
        <v>1127</v>
      </c>
      <c r="H768" s="20" t="str">
        <f>+T768</f>
        <v/>
      </c>
      <c r="J768" s="30"/>
      <c r="K768" s="22" t="str">
        <f>IF(I768="","",IF(I768="ENTRADA",ABS(J768),-ABS(J768)))</f>
        <v/>
      </c>
      <c r="R768" s="22" t="str">
        <f>IF(H768="","",H768&amp;I768)</f>
        <v/>
      </c>
      <c r="S768" s="22" t="str">
        <f>IF(C768="","",C768&amp;I768)</f>
        <v/>
      </c>
      <c r="T768" t="str">
        <f>IF(OR(C768="",I768&lt;&gt;"ENTRADA"),"",TEXT(B768,"AAMMDD")&amp;"-"&amp;TEXT(VALUE(SUBSTITUTE(A768,"MOV-","")),"000"))</f>
        <v/>
      </c>
    </row>
    <row r="769" spans="1:20">
      <c r="A769" s="20" t="s">
        <v>1128</v>
      </c>
      <c r="B769" s="34"/>
      <c r="C769" s="34"/>
      <c r="D769" s="34"/>
      <c r="E769" s="34"/>
      <c r="F769" s="34"/>
      <c r="G769" s="34"/>
      <c r="H769" s="20" t="str">
        <f>+T769</f>
        <v/>
      </c>
      <c r="I769" s="34"/>
      <c r="J769" s="36"/>
      <c r="K769" s="22" t="str">
        <f>IF(I769="","",IF(I769="ENTRADA",ABS(J769),-ABS(J769)))</f>
        <v/>
      </c>
      <c r="L769" s="34"/>
      <c r="M769" s="34"/>
      <c r="N769" s="34"/>
      <c r="O769" s="34"/>
      <c r="P769" s="34"/>
      <c r="Q769" s="35"/>
      <c r="R769" s="22" t="str">
        <f>IF(H769="","",H769&amp;I769)</f>
        <v/>
      </c>
      <c r="S769" s="22" t="str">
        <f>IF(C769="","",C769&amp;I769)</f>
        <v/>
      </c>
      <c r="T769" t="str">
        <f>IF(OR(C769="",I769&lt;&gt;"ENTRADA"),"",TEXT(B769,"AAMMDD")&amp;"-"&amp;TEXT(VALUE(SUBSTITUTE(A769,"MOV-","")),"000"))</f>
        <v/>
      </c>
    </row>
    <row r="770" spans="1:20">
      <c r="A770" s="20" t="s">
        <v>1129</v>
      </c>
      <c r="H770" s="20" t="str">
        <f>+T770</f>
        <v/>
      </c>
      <c r="J770" s="30"/>
      <c r="K770" s="22" t="str">
        <f>IF(I770="","",IF(I770="ENTRADA",ABS(J770),-ABS(J770)))</f>
        <v/>
      </c>
      <c r="R770" s="22" t="str">
        <f>IF(H770="","",H770&amp;I770)</f>
        <v/>
      </c>
      <c r="S770" s="22" t="str">
        <f>IF(C770="","",C770&amp;I770)</f>
        <v/>
      </c>
      <c r="T770" t="str">
        <f>IF(OR(C770="",I770&lt;&gt;"ENTRADA"),"",TEXT(B770,"AAMMDD")&amp;"-"&amp;TEXT(VALUE(SUBSTITUTE(A770,"MOV-","")),"000"))</f>
        <v/>
      </c>
    </row>
    <row r="771" spans="1:20">
      <c r="A771" s="20" t="s">
        <v>1130</v>
      </c>
      <c r="H771" s="20" t="str">
        <f>+T771</f>
        <v/>
      </c>
      <c r="J771" s="30"/>
      <c r="K771" s="22" t="str">
        <f>IF(I771="","",IF(I771="ENTRADA",ABS(J771),-ABS(J771)))</f>
        <v/>
      </c>
      <c r="R771" s="22" t="str">
        <f>IF(H771="","",H771&amp;I771)</f>
        <v/>
      </c>
      <c r="S771" s="22" t="str">
        <f>IF(C771="","",C771&amp;I771)</f>
        <v/>
      </c>
      <c r="T771" t="str">
        <f>IF(OR(C771="",I771&lt;&gt;"ENTRADA"),"",TEXT(B771,"AAMMDD")&amp;"-"&amp;TEXT(VALUE(SUBSTITUTE(A771,"MOV-","")),"000"))</f>
        <v/>
      </c>
    </row>
    <row r="772" spans="1:20">
      <c r="A772" s="20" t="s">
        <v>1131</v>
      </c>
      <c r="H772" s="20" t="str">
        <f>+T772</f>
        <v/>
      </c>
      <c r="J772" s="30"/>
      <c r="K772" s="22" t="str">
        <f>IF(I772="","",IF(I772="ENTRADA",ABS(J772),-ABS(J772)))</f>
        <v/>
      </c>
      <c r="R772" s="22" t="str">
        <f>IF(H772="","",H772&amp;I772)</f>
        <v/>
      </c>
      <c r="S772" s="22" t="str">
        <f>IF(C772="","",C772&amp;I772)</f>
        <v/>
      </c>
      <c r="T772" t="str">
        <f>IF(OR(C772="",I772&lt;&gt;"ENTRADA"),"",TEXT(B772,"AAMMDD")&amp;"-"&amp;TEXT(VALUE(SUBSTITUTE(A772,"MOV-","")),"000"))</f>
        <v/>
      </c>
    </row>
    <row r="773" spans="1:20">
      <c r="A773" s="20" t="s">
        <v>1132</v>
      </c>
      <c r="H773" s="20" t="str">
        <f>+T773</f>
        <v/>
      </c>
      <c r="J773" s="30"/>
      <c r="K773" s="22" t="str">
        <f>IF(I773="","",IF(I773="ENTRADA",ABS(J773),-ABS(J773)))</f>
        <v/>
      </c>
      <c r="R773" s="22" t="str">
        <f>IF(H773="","",H773&amp;I773)</f>
        <v/>
      </c>
      <c r="S773" s="22" t="str">
        <f>IF(C773="","",C773&amp;I773)</f>
        <v/>
      </c>
      <c r="T773" t="str">
        <f>IF(OR(C773="",I773&lt;&gt;"ENTRADA"),"",TEXT(B773,"AAMMDD")&amp;"-"&amp;TEXT(VALUE(SUBSTITUTE(A773,"MOV-","")),"000"))</f>
        <v/>
      </c>
    </row>
    <row r="774" spans="1:20">
      <c r="A774" s="20" t="s">
        <v>1133</v>
      </c>
      <c r="H774" s="20" t="str">
        <f>+T774</f>
        <v/>
      </c>
      <c r="J774" s="30"/>
      <c r="K774" s="22" t="str">
        <f>IF(I774="","",IF(I774="ENTRADA",ABS(J774),-ABS(J774)))</f>
        <v/>
      </c>
      <c r="R774" s="22" t="str">
        <f>IF(H774="","",H774&amp;I774)</f>
        <v/>
      </c>
      <c r="S774" s="22" t="str">
        <f>IF(C774="","",C774&amp;I774)</f>
        <v/>
      </c>
      <c r="T774" t="str">
        <f>IF(OR(C774="",I774&lt;&gt;"ENTRADA"),"",TEXT(B774,"AAMMDD")&amp;"-"&amp;TEXT(VALUE(SUBSTITUTE(A774,"MOV-","")),"000"))</f>
        <v/>
      </c>
    </row>
    <row r="775" spans="1:20">
      <c r="A775" s="20" t="s">
        <v>1134</v>
      </c>
      <c r="H775" s="20" t="str">
        <f>+T775</f>
        <v/>
      </c>
      <c r="J775" s="30"/>
      <c r="K775" s="22" t="str">
        <f>IF(I775="","",IF(I775="ENTRADA",ABS(J775),-ABS(J775)))</f>
        <v/>
      </c>
      <c r="R775" s="22" t="str">
        <f>IF(H775="","",H775&amp;I775)</f>
        <v/>
      </c>
      <c r="S775" s="22" t="str">
        <f>IF(C775="","",C775&amp;I775)</f>
        <v/>
      </c>
      <c r="T775" t="str">
        <f>IF(OR(C775="",I775&lt;&gt;"ENTRADA"),"",TEXT(B775,"AAMMDD")&amp;"-"&amp;TEXT(VALUE(SUBSTITUTE(A775,"MOV-","")),"000"))</f>
        <v/>
      </c>
    </row>
    <row r="776" spans="1:20">
      <c r="A776" s="20" t="s">
        <v>1135</v>
      </c>
      <c r="H776" s="20" t="str">
        <f>+T776</f>
        <v/>
      </c>
      <c r="J776" s="30"/>
      <c r="K776" s="22" t="str">
        <f>IF(I776="","",IF(I776="ENTRADA",ABS(J776),-ABS(J776)))</f>
        <v/>
      </c>
      <c r="R776" s="22" t="str">
        <f>IF(H776="","",H776&amp;I776)</f>
        <v/>
      </c>
      <c r="S776" s="22" t="str">
        <f>IF(C776="","",C776&amp;I776)</f>
        <v/>
      </c>
      <c r="T776" t="str">
        <f>IF(OR(C776="",I776&lt;&gt;"ENTRADA"),"",TEXT(B776,"AAMMDD")&amp;"-"&amp;TEXT(VALUE(SUBSTITUTE(A776,"MOV-","")),"000"))</f>
        <v/>
      </c>
    </row>
    <row r="777" spans="1:20">
      <c r="A777" s="20" t="s">
        <v>1136</v>
      </c>
      <c r="H777" s="20" t="str">
        <f>+T777</f>
        <v/>
      </c>
      <c r="J777" s="30"/>
      <c r="K777" s="22" t="str">
        <f>IF(I777="","",IF(I777="ENTRADA",ABS(J777),-ABS(J777)))</f>
        <v/>
      </c>
      <c r="R777" s="22" t="str">
        <f>IF(H777="","",H777&amp;I777)</f>
        <v/>
      </c>
      <c r="S777" s="22" t="str">
        <f>IF(C777="","",C777&amp;I777)</f>
        <v/>
      </c>
      <c r="T777" t="str">
        <f>IF(OR(C777="",I777&lt;&gt;"ENTRADA"),"",TEXT(B777,"AAMMDD")&amp;"-"&amp;TEXT(VALUE(SUBSTITUTE(A777,"MOV-","")),"000"))</f>
        <v/>
      </c>
    </row>
    <row r="778" spans="1:20">
      <c r="A778" s="20" t="s">
        <v>1137</v>
      </c>
      <c r="H778" s="20" t="str">
        <f>+T778</f>
        <v/>
      </c>
      <c r="J778" s="30"/>
      <c r="K778" s="22" t="str">
        <f>IF(I778="","",IF(I778="ENTRADA",ABS(J778),-ABS(J778)))</f>
        <v/>
      </c>
      <c r="R778" s="22" t="str">
        <f>IF(H778="","",H778&amp;I778)</f>
        <v/>
      </c>
      <c r="S778" s="22" t="str">
        <f>IF(C778="","",C778&amp;I778)</f>
        <v/>
      </c>
      <c r="T778" t="str">
        <f>IF(OR(C778="",I778&lt;&gt;"ENTRADA"),"",TEXT(B778,"AAMMDD")&amp;"-"&amp;TEXT(VALUE(SUBSTITUTE(A778,"MOV-","")),"000"))</f>
        <v/>
      </c>
    </row>
    <row r="779" spans="1:20">
      <c r="A779" s="20" t="s">
        <v>1138</v>
      </c>
      <c r="H779" s="20" t="str">
        <f>+T779</f>
        <v/>
      </c>
      <c r="J779" s="30"/>
      <c r="K779" s="22" t="str">
        <f>IF(I779="","",IF(I779="ENTRADA",ABS(J779),-ABS(J779)))</f>
        <v/>
      </c>
      <c r="R779" s="22" t="str">
        <f>IF(H779="","",H779&amp;I779)</f>
        <v/>
      </c>
      <c r="S779" s="22" t="str">
        <f>IF(C779="","",C779&amp;I779)</f>
        <v/>
      </c>
      <c r="T779" t="str">
        <f>IF(OR(C779="",I779&lt;&gt;"ENTRADA"),"",TEXT(B779,"AAMMDD")&amp;"-"&amp;TEXT(VALUE(SUBSTITUTE(A779,"MOV-","")),"000"))</f>
        <v/>
      </c>
    </row>
    <row r="780" spans="1:20">
      <c r="A780" s="20" t="s">
        <v>1139</v>
      </c>
      <c r="B780" s="34"/>
      <c r="C780" s="34"/>
      <c r="D780" s="34"/>
      <c r="E780" s="34"/>
      <c r="F780" s="34"/>
      <c r="G780" s="34"/>
      <c r="H780" s="20" t="str">
        <f>+T780</f>
        <v/>
      </c>
      <c r="I780" s="34"/>
      <c r="J780" s="36"/>
      <c r="K780" s="22" t="str">
        <f>IF(I780="","",IF(I780="ENTRADA",ABS(J780),-ABS(J780)))</f>
        <v/>
      </c>
      <c r="L780" s="34"/>
      <c r="M780" s="34"/>
      <c r="N780" s="34"/>
      <c r="O780" s="34"/>
      <c r="P780" s="34"/>
      <c r="Q780" s="35"/>
      <c r="R780" s="22" t="str">
        <f>IF(H780="","",H780&amp;I780)</f>
        <v/>
      </c>
      <c r="S780" s="22" t="str">
        <f>IF(C780="","",C780&amp;I780)</f>
        <v/>
      </c>
      <c r="T780" t="str">
        <f>IF(OR(C780="",I780&lt;&gt;"ENTRADA"),"",TEXT(B780,"AAMMDD")&amp;"-"&amp;TEXT(VALUE(SUBSTITUTE(A780,"MOV-","")),"000"))</f>
        <v/>
      </c>
    </row>
    <row r="781" spans="1:20">
      <c r="A781" s="20" t="s">
        <v>1140</v>
      </c>
      <c r="H781" s="20" t="str">
        <f>+T781</f>
        <v/>
      </c>
      <c r="J781" s="30"/>
      <c r="K781" s="22" t="str">
        <f>IF(I781="","",IF(I781="ENTRADA",ABS(J781),-ABS(J781)))</f>
        <v/>
      </c>
      <c r="R781" s="22" t="str">
        <f>IF(H781="","",H781&amp;I781)</f>
        <v/>
      </c>
      <c r="S781" s="22" t="str">
        <f>IF(C781="","",C781&amp;I781)</f>
        <v/>
      </c>
      <c r="T781" t="str">
        <f>IF(OR(C781="",I781&lt;&gt;"ENTRADA"),"",TEXT(B781,"AAMMDD")&amp;"-"&amp;TEXT(VALUE(SUBSTITUTE(A781,"MOV-","")),"000"))</f>
        <v/>
      </c>
    </row>
    <row r="782" spans="1:20">
      <c r="A782" s="20" t="s">
        <v>1141</v>
      </c>
      <c r="H782" s="20" t="str">
        <f>+T782</f>
        <v/>
      </c>
      <c r="J782" s="30"/>
      <c r="K782" s="22" t="str">
        <f>IF(I782="","",IF(I782="ENTRADA",ABS(J782),-ABS(J782)))</f>
        <v/>
      </c>
      <c r="R782" s="22" t="str">
        <f>IF(H782="","",H782&amp;I782)</f>
        <v/>
      </c>
      <c r="S782" s="22" t="str">
        <f>IF(C782="","",C782&amp;I782)</f>
        <v/>
      </c>
      <c r="T782" t="str">
        <f>IF(OR(C782="",I782&lt;&gt;"ENTRADA"),"",TEXT(B782,"AAMMDD")&amp;"-"&amp;TEXT(VALUE(SUBSTITUTE(A782,"MOV-","")),"000"))</f>
        <v/>
      </c>
    </row>
    <row r="783" spans="1:20">
      <c r="A783" s="20" t="s">
        <v>1142</v>
      </c>
      <c r="H783" s="20" t="str">
        <f>+T783</f>
        <v/>
      </c>
      <c r="J783" s="30"/>
      <c r="K783" s="22" t="str">
        <f>IF(I783="","",IF(I783="ENTRADA",ABS(J783),-ABS(J783)))</f>
        <v/>
      </c>
      <c r="R783" s="22" t="str">
        <f>IF(H783="","",H783&amp;I783)</f>
        <v/>
      </c>
      <c r="S783" s="22" t="str">
        <f>IF(C783="","",C783&amp;I783)</f>
        <v/>
      </c>
      <c r="T783" t="str">
        <f>IF(OR(C783="",I783&lt;&gt;"ENTRADA"),"",TEXT(B783,"AAMMDD")&amp;"-"&amp;TEXT(VALUE(SUBSTITUTE(A783,"MOV-","")),"000"))</f>
        <v/>
      </c>
    </row>
    <row r="784" spans="1:20">
      <c r="A784" s="20" t="s">
        <v>1143</v>
      </c>
      <c r="H784" s="20" t="str">
        <f>+T784</f>
        <v/>
      </c>
      <c r="J784" s="30"/>
      <c r="K784" s="22" t="str">
        <f>IF(I784="","",IF(I784="ENTRADA",ABS(J784),-ABS(J784)))</f>
        <v/>
      </c>
      <c r="R784" s="22" t="str">
        <f>IF(H784="","",H784&amp;I784)</f>
        <v/>
      </c>
      <c r="S784" s="22" t="str">
        <f>IF(C784="","",C784&amp;I784)</f>
        <v/>
      </c>
      <c r="T784" t="str">
        <f>IF(OR(C784="",I784&lt;&gt;"ENTRADA"),"",TEXT(B784,"AAMMDD")&amp;"-"&amp;TEXT(VALUE(SUBSTITUTE(A784,"MOV-","")),"000"))</f>
        <v/>
      </c>
    </row>
    <row r="785" spans="1:20">
      <c r="A785" s="20" t="s">
        <v>1144</v>
      </c>
      <c r="H785" s="20" t="str">
        <f>+T785</f>
        <v/>
      </c>
      <c r="J785" s="30"/>
      <c r="K785" s="22" t="str">
        <f>IF(I785="","",IF(I785="ENTRADA",ABS(J785),-ABS(J785)))</f>
        <v/>
      </c>
      <c r="R785" s="22" t="str">
        <f>IF(H785="","",H785&amp;I785)</f>
        <v/>
      </c>
      <c r="S785" s="22" t="str">
        <f>IF(C785="","",C785&amp;I785)</f>
        <v/>
      </c>
      <c r="T785" t="str">
        <f>IF(OR(C785="",I785&lt;&gt;"ENTRADA"),"",TEXT(B785,"AAMMDD")&amp;"-"&amp;TEXT(VALUE(SUBSTITUTE(A785,"MOV-","")),"000"))</f>
        <v/>
      </c>
    </row>
    <row r="786" spans="1:20">
      <c r="A786" s="20" t="s">
        <v>1145</v>
      </c>
      <c r="H786" s="20" t="str">
        <f>+T786</f>
        <v/>
      </c>
      <c r="J786" s="30"/>
      <c r="K786" s="22" t="str">
        <f>IF(I786="","",IF(I786="ENTRADA",ABS(J786),-ABS(J786)))</f>
        <v/>
      </c>
      <c r="R786" s="22" t="str">
        <f>IF(H786="","",H786&amp;I786)</f>
        <v/>
      </c>
      <c r="S786" s="22" t="str">
        <f>IF(C786="","",C786&amp;I786)</f>
        <v/>
      </c>
      <c r="T786" t="str">
        <f>IF(OR(C786="",I786&lt;&gt;"ENTRADA"),"",TEXT(B786,"AAMMDD")&amp;"-"&amp;TEXT(VALUE(SUBSTITUTE(A786,"MOV-","")),"000"))</f>
        <v/>
      </c>
    </row>
    <row r="787" spans="1:20">
      <c r="A787" s="20" t="s">
        <v>1146</v>
      </c>
      <c r="H787" s="20" t="str">
        <f>+T787</f>
        <v/>
      </c>
      <c r="J787" s="30"/>
      <c r="K787" s="22" t="str">
        <f>IF(I787="","",IF(I787="ENTRADA",ABS(J787),-ABS(J787)))</f>
        <v/>
      </c>
      <c r="R787" s="22" t="str">
        <f>IF(H787="","",H787&amp;I787)</f>
        <v/>
      </c>
      <c r="S787" s="22" t="str">
        <f>IF(C787="","",C787&amp;I787)</f>
        <v/>
      </c>
      <c r="T787" t="str">
        <f>IF(OR(C787="",I787&lt;&gt;"ENTRADA"),"",TEXT(B787,"AAMMDD")&amp;"-"&amp;TEXT(VALUE(SUBSTITUTE(A787,"MOV-","")),"000"))</f>
        <v/>
      </c>
    </row>
    <row r="788" spans="1:20">
      <c r="A788" s="20" t="s">
        <v>1147</v>
      </c>
      <c r="H788" s="20" t="str">
        <f>+T788</f>
        <v/>
      </c>
      <c r="J788" s="30"/>
      <c r="K788" s="22" t="str">
        <f>IF(I788="","",IF(I788="ENTRADA",ABS(J788),-ABS(J788)))</f>
        <v/>
      </c>
      <c r="R788" s="22" t="str">
        <f>IF(H788="","",H788&amp;I788)</f>
        <v/>
      </c>
      <c r="S788" s="22" t="str">
        <f>IF(C788="","",C788&amp;I788)</f>
        <v/>
      </c>
      <c r="T788" t="str">
        <f>IF(OR(C788="",I788&lt;&gt;"ENTRADA"),"",TEXT(B788,"AAMMDD")&amp;"-"&amp;TEXT(VALUE(SUBSTITUTE(A788,"MOV-","")),"000"))</f>
        <v/>
      </c>
    </row>
    <row r="789" spans="1:20">
      <c r="A789" s="20" t="s">
        <v>1148</v>
      </c>
      <c r="H789" s="20" t="str">
        <f>+T789</f>
        <v/>
      </c>
      <c r="J789" s="30"/>
      <c r="K789" s="22" t="str">
        <f>IF(I789="","",IF(I789="ENTRADA",ABS(J789),-ABS(J789)))</f>
        <v/>
      </c>
      <c r="R789" s="22" t="str">
        <f>IF(H789="","",H789&amp;I789)</f>
        <v/>
      </c>
      <c r="S789" s="22" t="str">
        <f>IF(C789="","",C789&amp;I789)</f>
        <v/>
      </c>
      <c r="T789" t="str">
        <f>IF(OR(C789="",I789&lt;&gt;"ENTRADA"),"",TEXT(B789,"AAMMDD")&amp;"-"&amp;TEXT(VALUE(SUBSTITUTE(A789,"MOV-","")),"000"))</f>
        <v/>
      </c>
    </row>
    <row r="790" spans="1:20">
      <c r="A790" s="20" t="s">
        <v>1149</v>
      </c>
      <c r="H790" s="20" t="str">
        <f>+T790</f>
        <v/>
      </c>
      <c r="J790" s="30"/>
      <c r="K790" s="22" t="str">
        <f>IF(I790="","",IF(I790="ENTRADA",ABS(J790),-ABS(J790)))</f>
        <v/>
      </c>
      <c r="R790" s="22" t="str">
        <f>IF(H790="","",H790&amp;I790)</f>
        <v/>
      </c>
      <c r="S790" s="22" t="str">
        <f>IF(C790="","",C790&amp;I790)</f>
        <v/>
      </c>
      <c r="T790" t="str">
        <f>IF(OR(C790="",I790&lt;&gt;"ENTRADA"),"",TEXT(B790,"AAMMDD")&amp;"-"&amp;TEXT(VALUE(SUBSTITUTE(A790,"MOV-","")),"000"))</f>
        <v/>
      </c>
    </row>
    <row r="791" spans="1:20">
      <c r="A791" s="20" t="s">
        <v>1150</v>
      </c>
      <c r="B791" s="34"/>
      <c r="C791" s="34"/>
      <c r="D791" s="34"/>
      <c r="E791" s="34"/>
      <c r="F791" s="34"/>
      <c r="G791" s="34"/>
      <c r="H791" s="20" t="str">
        <f>+T791</f>
        <v/>
      </c>
      <c r="I791" s="34"/>
      <c r="J791" s="36"/>
      <c r="K791" s="22" t="str">
        <f>IF(I791="","",IF(I791="ENTRADA",ABS(J791),-ABS(J791)))</f>
        <v/>
      </c>
      <c r="L791" s="34"/>
      <c r="M791" s="34"/>
      <c r="N791" s="34"/>
      <c r="O791" s="34"/>
      <c r="P791" s="34"/>
      <c r="Q791" s="35"/>
      <c r="R791" s="22" t="str">
        <f>IF(H791="","",H791&amp;I791)</f>
        <v/>
      </c>
      <c r="S791" s="22" t="str">
        <f>IF(C791="","",C791&amp;I791)</f>
        <v/>
      </c>
      <c r="T791" t="str">
        <f>IF(OR(C791="",I791&lt;&gt;"ENTRADA"),"",TEXT(B791,"AAMMDD")&amp;"-"&amp;TEXT(VALUE(SUBSTITUTE(A791,"MOV-","")),"000"))</f>
        <v/>
      </c>
    </row>
    <row r="792" spans="1:20">
      <c r="A792" s="20" t="s">
        <v>1151</v>
      </c>
      <c r="H792" s="20" t="str">
        <f>+T792</f>
        <v/>
      </c>
      <c r="J792" s="30"/>
      <c r="K792" s="22" t="str">
        <f>IF(I792="","",IF(I792="ENTRADA",ABS(J792),-ABS(J792)))</f>
        <v/>
      </c>
      <c r="R792" s="22" t="str">
        <f>IF(H792="","",H792&amp;I792)</f>
        <v/>
      </c>
      <c r="S792" s="22" t="str">
        <f>IF(C792="","",C792&amp;I792)</f>
        <v/>
      </c>
      <c r="T792" t="str">
        <f>IF(OR(C792="",I792&lt;&gt;"ENTRADA"),"",TEXT(B792,"AAMMDD")&amp;"-"&amp;TEXT(VALUE(SUBSTITUTE(A792,"MOV-","")),"000"))</f>
        <v/>
      </c>
    </row>
    <row r="793" spans="1:20">
      <c r="A793" s="20" t="s">
        <v>1152</v>
      </c>
      <c r="H793" s="20" t="str">
        <f>+T793</f>
        <v/>
      </c>
      <c r="J793" s="30"/>
      <c r="K793" s="22" t="str">
        <f>IF(I793="","",IF(I793="ENTRADA",ABS(J793),-ABS(J793)))</f>
        <v/>
      </c>
      <c r="R793" s="22" t="str">
        <f>IF(H793="","",H793&amp;I793)</f>
        <v/>
      </c>
      <c r="S793" s="22" t="str">
        <f>IF(C793="","",C793&amp;I793)</f>
        <v/>
      </c>
      <c r="T793" t="str">
        <f>IF(OR(C793="",I793&lt;&gt;"ENTRADA"),"",TEXT(B793,"AAMMDD")&amp;"-"&amp;TEXT(VALUE(SUBSTITUTE(A793,"MOV-","")),"000"))</f>
        <v/>
      </c>
    </row>
    <row r="794" spans="1:20">
      <c r="A794" s="20" t="s">
        <v>1153</v>
      </c>
      <c r="H794" s="20" t="str">
        <f>+T794</f>
        <v/>
      </c>
      <c r="J794" s="30"/>
      <c r="K794" s="22" t="str">
        <f>IF(I794="","",IF(I794="ENTRADA",ABS(J794),-ABS(J794)))</f>
        <v/>
      </c>
      <c r="R794" s="22" t="str">
        <f>IF(H794="","",H794&amp;I794)</f>
        <v/>
      </c>
      <c r="S794" s="22" t="str">
        <f>IF(C794="","",C794&amp;I794)</f>
        <v/>
      </c>
      <c r="T794" t="str">
        <f>IF(OR(C794="",I794&lt;&gt;"ENTRADA"),"",TEXT(B794,"AAMMDD")&amp;"-"&amp;TEXT(VALUE(SUBSTITUTE(A794,"MOV-","")),"000"))</f>
        <v/>
      </c>
    </row>
    <row r="795" spans="1:20">
      <c r="A795" s="20" t="s">
        <v>1154</v>
      </c>
      <c r="H795" s="20" t="str">
        <f>+T795</f>
        <v/>
      </c>
      <c r="J795" s="30"/>
      <c r="K795" s="22" t="str">
        <f>IF(I795="","",IF(I795="ENTRADA",ABS(J795),-ABS(J795)))</f>
        <v/>
      </c>
      <c r="R795" s="22" t="str">
        <f>IF(H795="","",H795&amp;I795)</f>
        <v/>
      </c>
      <c r="S795" s="22" t="str">
        <f>IF(C795="","",C795&amp;I795)</f>
        <v/>
      </c>
      <c r="T795" t="str">
        <f>IF(OR(C795="",I795&lt;&gt;"ENTRADA"),"",TEXT(B795,"AAMMDD")&amp;"-"&amp;TEXT(VALUE(SUBSTITUTE(A795,"MOV-","")),"000"))</f>
        <v/>
      </c>
    </row>
    <row r="796" spans="1:20">
      <c r="A796" s="20" t="s">
        <v>1155</v>
      </c>
      <c r="H796" s="20" t="str">
        <f>+T796</f>
        <v/>
      </c>
      <c r="J796" s="30"/>
      <c r="K796" s="22" t="str">
        <f>IF(I796="","",IF(I796="ENTRADA",ABS(J796),-ABS(J796)))</f>
        <v/>
      </c>
      <c r="R796" s="22" t="str">
        <f>IF(H796="","",H796&amp;I796)</f>
        <v/>
      </c>
      <c r="S796" s="22" t="str">
        <f>IF(C796="","",C796&amp;I796)</f>
        <v/>
      </c>
      <c r="T796" t="str">
        <f>IF(OR(C796="",I796&lt;&gt;"ENTRADA"),"",TEXT(B796,"AAMMDD")&amp;"-"&amp;TEXT(VALUE(SUBSTITUTE(A796,"MOV-","")),"000"))</f>
        <v/>
      </c>
    </row>
    <row r="797" spans="1:20">
      <c r="A797" s="20" t="s">
        <v>1156</v>
      </c>
      <c r="H797" s="20" t="str">
        <f>+T797</f>
        <v/>
      </c>
      <c r="J797" s="30"/>
      <c r="K797" s="22" t="str">
        <f>IF(I797="","",IF(I797="ENTRADA",ABS(J797),-ABS(J797)))</f>
        <v/>
      </c>
      <c r="R797" s="22" t="str">
        <f>IF(H797="","",H797&amp;I797)</f>
        <v/>
      </c>
      <c r="S797" s="22" t="str">
        <f>IF(C797="","",C797&amp;I797)</f>
        <v/>
      </c>
      <c r="T797" t="str">
        <f>IF(OR(C797="",I797&lt;&gt;"ENTRADA"),"",TEXT(B797,"AAMMDD")&amp;"-"&amp;TEXT(VALUE(SUBSTITUTE(A797,"MOV-","")),"000"))</f>
        <v/>
      </c>
    </row>
    <row r="798" spans="1:20">
      <c r="A798" s="20" t="s">
        <v>1157</v>
      </c>
      <c r="H798" s="20" t="str">
        <f>+T798</f>
        <v/>
      </c>
      <c r="J798" s="30"/>
      <c r="K798" s="22" t="str">
        <f>IF(I798="","",IF(I798="ENTRADA",ABS(J798),-ABS(J798)))</f>
        <v/>
      </c>
      <c r="R798" s="22" t="str">
        <f>IF(H798="","",H798&amp;I798)</f>
        <v/>
      </c>
      <c r="S798" s="22" t="str">
        <f>IF(C798="","",C798&amp;I798)</f>
        <v/>
      </c>
      <c r="T798" t="str">
        <f>IF(OR(C798="",I798&lt;&gt;"ENTRADA"),"",TEXT(B798,"AAMMDD")&amp;"-"&amp;TEXT(VALUE(SUBSTITUTE(A798,"MOV-","")),"000"))</f>
        <v/>
      </c>
    </row>
    <row r="799" spans="1:20">
      <c r="A799" s="20" t="s">
        <v>1158</v>
      </c>
      <c r="H799" s="20" t="str">
        <f>+T799</f>
        <v/>
      </c>
      <c r="J799" s="30"/>
      <c r="K799" s="22" t="str">
        <f>IF(I799="","",IF(I799="ENTRADA",ABS(J799),-ABS(J799)))</f>
        <v/>
      </c>
      <c r="R799" s="22" t="str">
        <f>IF(H799="","",H799&amp;I799)</f>
        <v/>
      </c>
      <c r="S799" s="22" t="str">
        <f>IF(C799="","",C799&amp;I799)</f>
        <v/>
      </c>
      <c r="T799" t="str">
        <f>IF(OR(C799="",I799&lt;&gt;"ENTRADA"),"",TEXT(B799,"AAMMDD")&amp;"-"&amp;TEXT(VALUE(SUBSTITUTE(A799,"MOV-","")),"000"))</f>
        <v/>
      </c>
    </row>
    <row r="800" spans="1:20">
      <c r="A800" s="20" t="s">
        <v>1159</v>
      </c>
      <c r="H800" s="20" t="str">
        <f>+T800</f>
        <v/>
      </c>
      <c r="J800" s="30"/>
      <c r="K800" s="22" t="str">
        <f>IF(I800="","",IF(I800="ENTRADA",ABS(J800),-ABS(J800)))</f>
        <v/>
      </c>
      <c r="R800" s="22" t="str">
        <f>IF(H800="","",H800&amp;I800)</f>
        <v/>
      </c>
      <c r="S800" s="22" t="str">
        <f>IF(C800="","",C800&amp;I800)</f>
        <v/>
      </c>
      <c r="T800" t="str">
        <f>IF(OR(C800="",I800&lt;&gt;"ENTRADA"),"",TEXT(B800,"AAMMDD")&amp;"-"&amp;TEXT(VALUE(SUBSTITUTE(A800,"MOV-","")),"000"))</f>
        <v/>
      </c>
    </row>
    <row r="801" spans="1:20">
      <c r="A801" s="20" t="s">
        <v>1160</v>
      </c>
      <c r="H801" s="20" t="str">
        <f>+T801</f>
        <v/>
      </c>
      <c r="J801" s="30"/>
      <c r="K801" s="22" t="str">
        <f>IF(I801="","",IF(I801="ENTRADA",ABS(J801),-ABS(J801)))</f>
        <v/>
      </c>
      <c r="R801" s="22" t="str">
        <f>IF(H801="","",H801&amp;I801)</f>
        <v/>
      </c>
      <c r="S801" s="22" t="str">
        <f>IF(C801="","",C801&amp;I801)</f>
        <v/>
      </c>
      <c r="T801" t="str">
        <f>IF(OR(C801="",I801&lt;&gt;"ENTRADA"),"",TEXT(B801,"AAMMDD")&amp;"-"&amp;TEXT(VALUE(SUBSTITUTE(A801,"MOV-","")),"000"))</f>
        <v/>
      </c>
    </row>
    <row r="802" spans="1:20">
      <c r="A802" s="20" t="s">
        <v>1161</v>
      </c>
      <c r="B802" s="34"/>
      <c r="C802" s="34"/>
      <c r="D802" s="34"/>
      <c r="E802" s="34"/>
      <c r="F802" s="34"/>
      <c r="G802" s="34"/>
      <c r="H802" s="20" t="str">
        <f>+T802</f>
        <v/>
      </c>
      <c r="I802" s="34"/>
      <c r="J802" s="36"/>
      <c r="K802" s="22" t="str">
        <f>IF(I802="","",IF(I802="ENTRADA",ABS(J802),-ABS(J802)))</f>
        <v/>
      </c>
      <c r="L802" s="34"/>
      <c r="M802" s="34"/>
      <c r="N802" s="34"/>
      <c r="O802" s="34"/>
      <c r="P802" s="34"/>
      <c r="Q802" s="35"/>
      <c r="R802" s="22" t="str">
        <f>IF(H802="","",H802&amp;I802)</f>
        <v/>
      </c>
      <c r="S802" s="22" t="str">
        <f>IF(C802="","",C802&amp;I802)</f>
        <v/>
      </c>
      <c r="T802" t="str">
        <f>IF(OR(C802="",I802&lt;&gt;"ENTRADA"),"",TEXT(B802,"AAMMDD")&amp;"-"&amp;TEXT(VALUE(SUBSTITUTE(A802,"MOV-","")),"000"))</f>
        <v/>
      </c>
    </row>
    <row r="803" spans="1:20">
      <c r="A803" s="20" t="s">
        <v>1162</v>
      </c>
      <c r="H803" s="20" t="str">
        <f>+T803</f>
        <v/>
      </c>
      <c r="J803" s="30"/>
      <c r="K803" s="22" t="str">
        <f>IF(I803="","",IF(I803="ENTRADA",ABS(J803),-ABS(J803)))</f>
        <v/>
      </c>
      <c r="R803" s="22" t="str">
        <f>IF(H803="","",H803&amp;I803)</f>
        <v/>
      </c>
      <c r="S803" s="22" t="str">
        <f>IF(C803="","",C803&amp;I803)</f>
        <v/>
      </c>
      <c r="T803" t="str">
        <f>IF(OR(C803="",I803&lt;&gt;"ENTRADA"),"",TEXT(B803,"AAMMDD")&amp;"-"&amp;TEXT(VALUE(SUBSTITUTE(A803,"MOV-","")),"000"))</f>
        <v/>
      </c>
    </row>
    <row r="804" spans="1:20">
      <c r="A804" s="20" t="s">
        <v>1163</v>
      </c>
      <c r="H804" s="20" t="str">
        <f>+T804</f>
        <v/>
      </c>
      <c r="J804" s="30"/>
      <c r="K804" s="22" t="str">
        <f>IF(I804="","",IF(I804="ENTRADA",ABS(J804),-ABS(J804)))</f>
        <v/>
      </c>
      <c r="R804" s="22" t="str">
        <f>IF(H804="","",H804&amp;I804)</f>
        <v/>
      </c>
      <c r="S804" s="22" t="str">
        <f>IF(C804="","",C804&amp;I804)</f>
        <v/>
      </c>
      <c r="T804" t="str">
        <f>IF(OR(C804="",I804&lt;&gt;"ENTRADA"),"",TEXT(B804,"AAMMDD")&amp;"-"&amp;TEXT(VALUE(SUBSTITUTE(A804,"MOV-","")),"000"))</f>
        <v/>
      </c>
    </row>
    <row r="805" spans="1:20">
      <c r="A805" s="20" t="s">
        <v>1164</v>
      </c>
      <c r="H805" s="20" t="str">
        <f>+T805</f>
        <v/>
      </c>
      <c r="J805" s="30"/>
      <c r="K805" s="22" t="str">
        <f>IF(I805="","",IF(I805="ENTRADA",ABS(J805),-ABS(J805)))</f>
        <v/>
      </c>
      <c r="R805" s="22" t="str">
        <f>IF(H805="","",H805&amp;I805)</f>
        <v/>
      </c>
      <c r="S805" s="22" t="str">
        <f>IF(C805="","",C805&amp;I805)</f>
        <v/>
      </c>
      <c r="T805" t="str">
        <f>IF(OR(C805="",I805&lt;&gt;"ENTRADA"),"",TEXT(B805,"AAMMDD")&amp;"-"&amp;TEXT(VALUE(SUBSTITUTE(A805,"MOV-","")),"000"))</f>
        <v/>
      </c>
    </row>
    <row r="806" spans="1:20">
      <c r="A806" s="20" t="s">
        <v>1165</v>
      </c>
      <c r="H806" s="20" t="str">
        <f>+T806</f>
        <v/>
      </c>
      <c r="J806" s="30"/>
      <c r="K806" s="22" t="str">
        <f>IF(I806="","",IF(I806="ENTRADA",ABS(J806),-ABS(J806)))</f>
        <v/>
      </c>
      <c r="R806" s="22" t="str">
        <f>IF(H806="","",H806&amp;I806)</f>
        <v/>
      </c>
      <c r="S806" s="22" t="str">
        <f>IF(C806="","",C806&amp;I806)</f>
        <v/>
      </c>
      <c r="T806" t="str">
        <f>IF(OR(C806="",I806&lt;&gt;"ENTRADA"),"",TEXT(B806,"AAMMDD")&amp;"-"&amp;TEXT(VALUE(SUBSTITUTE(A806,"MOV-","")),"000"))</f>
        <v/>
      </c>
    </row>
    <row r="807" spans="1:20">
      <c r="A807" s="20" t="s">
        <v>1166</v>
      </c>
      <c r="H807" s="20" t="str">
        <f>+T807</f>
        <v/>
      </c>
      <c r="J807" s="30"/>
      <c r="K807" s="22" t="str">
        <f>IF(I807="","",IF(I807="ENTRADA",ABS(J807),-ABS(J807)))</f>
        <v/>
      </c>
      <c r="R807" s="22" t="str">
        <f>IF(H807="","",H807&amp;I807)</f>
        <v/>
      </c>
      <c r="S807" s="22" t="str">
        <f>IF(C807="","",C807&amp;I807)</f>
        <v/>
      </c>
      <c r="T807" t="str">
        <f>IF(OR(C807="",I807&lt;&gt;"ENTRADA"),"",TEXT(B807,"AAMMDD")&amp;"-"&amp;TEXT(VALUE(SUBSTITUTE(A807,"MOV-","")),"000"))</f>
        <v/>
      </c>
    </row>
    <row r="808" spans="1:20">
      <c r="A808" s="20" t="s">
        <v>1167</v>
      </c>
      <c r="H808" s="20" t="str">
        <f>+T808</f>
        <v/>
      </c>
      <c r="J808" s="30"/>
      <c r="K808" s="22" t="str">
        <f>IF(I808="","",IF(I808="ENTRADA",ABS(J808),-ABS(J808)))</f>
        <v/>
      </c>
      <c r="R808" s="22" t="str">
        <f>IF(H808="","",H808&amp;I808)</f>
        <v/>
      </c>
      <c r="S808" s="22" t="str">
        <f>IF(C808="","",C808&amp;I808)</f>
        <v/>
      </c>
      <c r="T808" t="str">
        <f>IF(OR(C808="",I808&lt;&gt;"ENTRADA"),"",TEXT(B808,"AAMMDD")&amp;"-"&amp;TEXT(VALUE(SUBSTITUTE(A808,"MOV-","")),"000"))</f>
        <v/>
      </c>
    </row>
    <row r="809" spans="1:20">
      <c r="A809" s="20" t="s">
        <v>1168</v>
      </c>
      <c r="H809" s="20" t="str">
        <f>+T809</f>
        <v/>
      </c>
      <c r="J809" s="30"/>
      <c r="K809" s="22" t="str">
        <f>IF(I809="","",IF(I809="ENTRADA",ABS(J809),-ABS(J809)))</f>
        <v/>
      </c>
      <c r="R809" s="22" t="str">
        <f>IF(H809="","",H809&amp;I809)</f>
        <v/>
      </c>
      <c r="S809" s="22" t="str">
        <f>IF(C809="","",C809&amp;I809)</f>
        <v/>
      </c>
      <c r="T809" t="str">
        <f>IF(OR(C809="",I809&lt;&gt;"ENTRADA"),"",TEXT(B809,"AAMMDD")&amp;"-"&amp;TEXT(VALUE(SUBSTITUTE(A809,"MOV-","")),"000"))</f>
        <v/>
      </c>
    </row>
    <row r="810" spans="1:20">
      <c r="A810" s="20" t="s">
        <v>1169</v>
      </c>
      <c r="H810" s="20" t="str">
        <f>+T810</f>
        <v/>
      </c>
      <c r="J810" s="30"/>
      <c r="K810" s="22" t="str">
        <f>IF(I810="","",IF(I810="ENTRADA",ABS(J810),-ABS(J810)))</f>
        <v/>
      </c>
      <c r="R810" s="22" t="str">
        <f>IF(H810="","",H810&amp;I810)</f>
        <v/>
      </c>
      <c r="S810" s="22" t="str">
        <f>IF(C810="","",C810&amp;I810)</f>
        <v/>
      </c>
      <c r="T810" t="str">
        <f>IF(OR(C810="",I810&lt;&gt;"ENTRADA"),"",TEXT(B810,"AAMMDD")&amp;"-"&amp;TEXT(VALUE(SUBSTITUTE(A810,"MOV-","")),"000"))</f>
        <v/>
      </c>
    </row>
    <row r="811" spans="1:20">
      <c r="A811" s="20" t="s">
        <v>1170</v>
      </c>
      <c r="H811" s="20" t="str">
        <f>+T811</f>
        <v/>
      </c>
      <c r="J811" s="30"/>
      <c r="K811" s="22" t="str">
        <f>IF(I811="","",IF(I811="ENTRADA",ABS(J811),-ABS(J811)))</f>
        <v/>
      </c>
      <c r="R811" s="22" t="str">
        <f>IF(H811="","",H811&amp;I811)</f>
        <v/>
      </c>
      <c r="S811" s="22" t="str">
        <f>IF(C811="","",C811&amp;I811)</f>
        <v/>
      </c>
      <c r="T811" t="str">
        <f>IF(OR(C811="",I811&lt;&gt;"ENTRADA"),"",TEXT(B811,"AAMMDD")&amp;"-"&amp;TEXT(VALUE(SUBSTITUTE(A811,"MOV-","")),"000"))</f>
        <v/>
      </c>
    </row>
    <row r="812" spans="1:20">
      <c r="A812" s="20" t="s">
        <v>1171</v>
      </c>
      <c r="H812" s="20" t="str">
        <f>+T812</f>
        <v/>
      </c>
      <c r="J812" s="30"/>
      <c r="K812" s="22" t="str">
        <f>IF(I812="","",IF(I812="ENTRADA",ABS(J812),-ABS(J812)))</f>
        <v/>
      </c>
      <c r="R812" s="22" t="str">
        <f>IF(H812="","",H812&amp;I812)</f>
        <v/>
      </c>
      <c r="S812" s="22" t="str">
        <f>IF(C812="","",C812&amp;I812)</f>
        <v/>
      </c>
      <c r="T812" t="str">
        <f>IF(OR(C812="",I812&lt;&gt;"ENTRADA"),"",TEXT(B812,"AAMMDD")&amp;"-"&amp;TEXT(VALUE(SUBSTITUTE(A812,"MOV-","")),"000"))</f>
        <v/>
      </c>
    </row>
    <row r="813" spans="1:20">
      <c r="A813" s="20" t="s">
        <v>1172</v>
      </c>
      <c r="B813" s="34"/>
      <c r="C813" s="34"/>
      <c r="D813" s="34"/>
      <c r="E813" s="34"/>
      <c r="F813" s="34"/>
      <c r="G813" s="34"/>
      <c r="H813" s="20" t="str">
        <f>+T813</f>
        <v/>
      </c>
      <c r="I813" s="34"/>
      <c r="J813" s="36"/>
      <c r="K813" s="22" t="str">
        <f>IF(I813="","",IF(I813="ENTRADA",ABS(J813),-ABS(J813)))</f>
        <v/>
      </c>
      <c r="L813" s="34"/>
      <c r="M813" s="34"/>
      <c r="N813" s="34"/>
      <c r="O813" s="34"/>
      <c r="P813" s="34"/>
      <c r="Q813" s="35"/>
      <c r="R813" s="22" t="str">
        <f>IF(H813="","",H813&amp;I813)</f>
        <v/>
      </c>
      <c r="S813" s="22" t="str">
        <f>IF(C813="","",C813&amp;I813)</f>
        <v/>
      </c>
      <c r="T813" t="str">
        <f>IF(OR(C813="",I813&lt;&gt;"ENTRADA"),"",TEXT(B813,"AAMMDD")&amp;"-"&amp;TEXT(VALUE(SUBSTITUTE(A813,"MOV-","")),"000"))</f>
        <v/>
      </c>
    </row>
    <row r="814" spans="1:20">
      <c r="A814" s="20" t="s">
        <v>1173</v>
      </c>
      <c r="H814" s="20" t="str">
        <f>+T814</f>
        <v/>
      </c>
      <c r="J814" s="30"/>
      <c r="K814" s="22" t="str">
        <f>IF(I814="","",IF(I814="ENTRADA",ABS(J814),-ABS(J814)))</f>
        <v/>
      </c>
      <c r="R814" s="22" t="str">
        <f>IF(H814="","",H814&amp;I814)</f>
        <v/>
      </c>
      <c r="S814" s="22" t="str">
        <f>IF(C814="","",C814&amp;I814)</f>
        <v/>
      </c>
      <c r="T814" t="str">
        <f>IF(OR(C814="",I814&lt;&gt;"ENTRADA"),"",TEXT(B814,"AAMMDD")&amp;"-"&amp;TEXT(VALUE(SUBSTITUTE(A814,"MOV-","")),"000"))</f>
        <v/>
      </c>
    </row>
    <row r="815" spans="1:20">
      <c r="A815" s="20" t="s">
        <v>1174</v>
      </c>
      <c r="H815" s="20" t="str">
        <f>+T815</f>
        <v/>
      </c>
      <c r="J815" s="30"/>
      <c r="K815" s="22" t="str">
        <f>IF(I815="","",IF(I815="ENTRADA",ABS(J815),-ABS(J815)))</f>
        <v/>
      </c>
      <c r="R815" s="22" t="str">
        <f>IF(H815="","",H815&amp;I815)</f>
        <v/>
      </c>
      <c r="S815" s="22" t="str">
        <f>IF(C815="","",C815&amp;I815)</f>
        <v/>
      </c>
      <c r="T815" t="str">
        <f>IF(OR(C815="",I815&lt;&gt;"ENTRADA"),"",TEXT(B815,"AAMMDD")&amp;"-"&amp;TEXT(VALUE(SUBSTITUTE(A815,"MOV-","")),"000"))</f>
        <v/>
      </c>
    </row>
    <row r="816" spans="1:20">
      <c r="A816" s="20" t="s">
        <v>1175</v>
      </c>
      <c r="H816" s="20" t="str">
        <f>+T816</f>
        <v/>
      </c>
      <c r="J816" s="30"/>
      <c r="K816" s="22" t="str">
        <f>IF(I816="","",IF(I816="ENTRADA",ABS(J816),-ABS(J816)))</f>
        <v/>
      </c>
      <c r="R816" s="22" t="str">
        <f>IF(H816="","",H816&amp;I816)</f>
        <v/>
      </c>
      <c r="S816" s="22" t="str">
        <f>IF(C816="","",C816&amp;I816)</f>
        <v/>
      </c>
      <c r="T816" t="str">
        <f>IF(OR(C816="",I816&lt;&gt;"ENTRADA"),"",TEXT(B816,"AAMMDD")&amp;"-"&amp;TEXT(VALUE(SUBSTITUTE(A816,"MOV-","")),"000"))</f>
        <v/>
      </c>
    </row>
    <row r="817" spans="1:20">
      <c r="A817" s="20" t="s">
        <v>1176</v>
      </c>
      <c r="H817" s="20" t="str">
        <f>+T817</f>
        <v/>
      </c>
      <c r="J817" s="30"/>
      <c r="K817" s="22" t="str">
        <f>IF(I817="","",IF(I817="ENTRADA",ABS(J817),-ABS(J817)))</f>
        <v/>
      </c>
      <c r="R817" s="22" t="str">
        <f>IF(H817="","",H817&amp;I817)</f>
        <v/>
      </c>
      <c r="S817" s="22" t="str">
        <f>IF(C817="","",C817&amp;I817)</f>
        <v/>
      </c>
      <c r="T817" t="str">
        <f>IF(OR(C817="",I817&lt;&gt;"ENTRADA"),"",TEXT(B817,"AAMMDD")&amp;"-"&amp;TEXT(VALUE(SUBSTITUTE(A817,"MOV-","")),"000"))</f>
        <v/>
      </c>
    </row>
    <row r="818" spans="1:20">
      <c r="A818" s="20" t="s">
        <v>1177</v>
      </c>
      <c r="H818" s="20" t="str">
        <f>+T818</f>
        <v/>
      </c>
      <c r="J818" s="30"/>
      <c r="K818" s="22" t="str">
        <f>IF(I818="","",IF(I818="ENTRADA",ABS(J818),-ABS(J818)))</f>
        <v/>
      </c>
      <c r="R818" s="22" t="str">
        <f>IF(H818="","",H818&amp;I818)</f>
        <v/>
      </c>
      <c r="S818" s="22" t="str">
        <f>IF(C818="","",C818&amp;I818)</f>
        <v/>
      </c>
      <c r="T818" t="str">
        <f>IF(OR(C818="",I818&lt;&gt;"ENTRADA"),"",TEXT(B818,"AAMMDD")&amp;"-"&amp;TEXT(VALUE(SUBSTITUTE(A818,"MOV-","")),"000"))</f>
        <v/>
      </c>
    </row>
    <row r="819" spans="1:20">
      <c r="A819" s="20" t="s">
        <v>1178</v>
      </c>
      <c r="H819" s="20" t="str">
        <f>+T819</f>
        <v/>
      </c>
      <c r="J819" s="30"/>
      <c r="K819" s="22" t="str">
        <f>IF(I819="","",IF(I819="ENTRADA",ABS(J819),-ABS(J819)))</f>
        <v/>
      </c>
      <c r="R819" s="22" t="str">
        <f>IF(H819="","",H819&amp;I819)</f>
        <v/>
      </c>
      <c r="S819" s="22" t="str">
        <f>IF(C819="","",C819&amp;I819)</f>
        <v/>
      </c>
      <c r="T819" t="str">
        <f>IF(OR(C819="",I819&lt;&gt;"ENTRADA"),"",TEXT(B819,"AAMMDD")&amp;"-"&amp;TEXT(VALUE(SUBSTITUTE(A819,"MOV-","")),"000"))</f>
        <v/>
      </c>
    </row>
    <row r="820" spans="1:20">
      <c r="A820" s="20" t="s">
        <v>1179</v>
      </c>
      <c r="H820" s="20" t="str">
        <f>+T820</f>
        <v/>
      </c>
      <c r="J820" s="30"/>
      <c r="K820" s="22" t="str">
        <f>IF(I820="","",IF(I820="ENTRADA",ABS(J820),-ABS(J820)))</f>
        <v/>
      </c>
      <c r="R820" s="22" t="str">
        <f>IF(H820="","",H820&amp;I820)</f>
        <v/>
      </c>
      <c r="S820" s="22" t="str">
        <f>IF(C820="","",C820&amp;I820)</f>
        <v/>
      </c>
      <c r="T820" t="str">
        <f>IF(OR(C820="",I820&lt;&gt;"ENTRADA"),"",TEXT(B820,"AAMMDD")&amp;"-"&amp;TEXT(VALUE(SUBSTITUTE(A820,"MOV-","")),"000"))</f>
        <v/>
      </c>
    </row>
    <row r="821" spans="1:20">
      <c r="A821" s="20" t="s">
        <v>1180</v>
      </c>
      <c r="H821" s="20" t="str">
        <f>+T821</f>
        <v/>
      </c>
      <c r="J821" s="30"/>
      <c r="K821" s="22" t="str">
        <f>IF(I821="","",IF(I821="ENTRADA",ABS(J821),-ABS(J821)))</f>
        <v/>
      </c>
      <c r="R821" s="22" t="str">
        <f>IF(H821="","",H821&amp;I821)</f>
        <v/>
      </c>
      <c r="S821" s="22" t="str">
        <f>IF(C821="","",C821&amp;I821)</f>
        <v/>
      </c>
      <c r="T821" t="str">
        <f>IF(OR(C821="",I821&lt;&gt;"ENTRADA"),"",TEXT(B821,"AAMMDD")&amp;"-"&amp;TEXT(VALUE(SUBSTITUTE(A821,"MOV-","")),"000"))</f>
        <v/>
      </c>
    </row>
    <row r="822" spans="1:20">
      <c r="A822" s="20" t="s">
        <v>1181</v>
      </c>
      <c r="H822" s="20" t="str">
        <f>+T822</f>
        <v/>
      </c>
      <c r="J822" s="30"/>
      <c r="K822" s="22" t="str">
        <f>IF(I822="","",IF(I822="ENTRADA",ABS(J822),-ABS(J822)))</f>
        <v/>
      </c>
      <c r="R822" s="22" t="str">
        <f>IF(H822="","",H822&amp;I822)</f>
        <v/>
      </c>
      <c r="S822" s="22" t="str">
        <f>IF(C822="","",C822&amp;I822)</f>
        <v/>
      </c>
      <c r="T822" t="str">
        <f>IF(OR(C822="",I822&lt;&gt;"ENTRADA"),"",TEXT(B822,"AAMMDD")&amp;"-"&amp;TEXT(VALUE(SUBSTITUTE(A822,"MOV-","")),"000"))</f>
        <v/>
      </c>
    </row>
    <row r="823" spans="1:20">
      <c r="A823" s="20" t="s">
        <v>1182</v>
      </c>
      <c r="H823" s="20" t="str">
        <f>+T823</f>
        <v/>
      </c>
      <c r="J823" s="30"/>
      <c r="K823" s="22" t="str">
        <f>IF(I823="","",IF(I823="ENTRADA",ABS(J823),-ABS(J823)))</f>
        <v/>
      </c>
      <c r="R823" s="22" t="str">
        <f>IF(H823="","",H823&amp;I823)</f>
        <v/>
      </c>
      <c r="S823" s="22" t="str">
        <f>IF(C823="","",C823&amp;I823)</f>
        <v/>
      </c>
      <c r="T823" t="str">
        <f>IF(OR(C823="",I823&lt;&gt;"ENTRADA"),"",TEXT(B823,"AAMMDD")&amp;"-"&amp;TEXT(VALUE(SUBSTITUTE(A823,"MOV-","")),"000"))</f>
        <v/>
      </c>
    </row>
    <row r="824" spans="1:20">
      <c r="A824" s="20" t="s">
        <v>1183</v>
      </c>
      <c r="B824" s="34"/>
      <c r="C824" s="34"/>
      <c r="D824" s="34"/>
      <c r="E824" s="34"/>
      <c r="F824" s="34"/>
      <c r="G824" s="34"/>
      <c r="H824" s="20" t="str">
        <f>+T824</f>
        <v/>
      </c>
      <c r="I824" s="34"/>
      <c r="J824" s="36"/>
      <c r="K824" s="22" t="str">
        <f>IF(I824="","",IF(I824="ENTRADA",ABS(J824),-ABS(J824)))</f>
        <v/>
      </c>
      <c r="L824" s="34"/>
      <c r="M824" s="34"/>
      <c r="N824" s="34"/>
      <c r="O824" s="34"/>
      <c r="P824" s="34"/>
      <c r="Q824" s="35"/>
      <c r="R824" s="22" t="str">
        <f>IF(H824="","",H824&amp;I824)</f>
        <v/>
      </c>
      <c r="S824" s="22" t="str">
        <f>IF(C824="","",C824&amp;I824)</f>
        <v/>
      </c>
      <c r="T824" t="str">
        <f>IF(OR(C824="",I824&lt;&gt;"ENTRADA"),"",TEXT(B824,"AAMMDD")&amp;"-"&amp;TEXT(VALUE(SUBSTITUTE(A824,"MOV-","")),"000"))</f>
        <v/>
      </c>
    </row>
    <row r="825" spans="1:20">
      <c r="A825" s="20" t="s">
        <v>1184</v>
      </c>
      <c r="H825" s="20" t="str">
        <f>+T825</f>
        <v/>
      </c>
      <c r="J825" s="30"/>
      <c r="K825" s="22" t="str">
        <f>IF(I825="","",IF(I825="ENTRADA",ABS(J825),-ABS(J825)))</f>
        <v/>
      </c>
      <c r="R825" s="22" t="str">
        <f>IF(H825="","",H825&amp;I825)</f>
        <v/>
      </c>
      <c r="S825" s="22" t="str">
        <f>IF(C825="","",C825&amp;I825)</f>
        <v/>
      </c>
      <c r="T825" t="str">
        <f>IF(OR(C825="",I825&lt;&gt;"ENTRADA"),"",TEXT(B825,"AAMMDD")&amp;"-"&amp;TEXT(VALUE(SUBSTITUTE(A825,"MOV-","")),"000"))</f>
        <v/>
      </c>
    </row>
    <row r="826" spans="1:20">
      <c r="A826" s="20" t="s">
        <v>1185</v>
      </c>
      <c r="H826" s="20" t="str">
        <f>+T826</f>
        <v/>
      </c>
      <c r="J826" s="30"/>
      <c r="K826" s="22" t="str">
        <f>IF(I826="","",IF(I826="ENTRADA",ABS(J826),-ABS(J826)))</f>
        <v/>
      </c>
      <c r="R826" s="22" t="str">
        <f>IF(H826="","",H826&amp;I826)</f>
        <v/>
      </c>
      <c r="S826" s="22" t="str">
        <f>IF(C826="","",C826&amp;I826)</f>
        <v/>
      </c>
      <c r="T826" t="str">
        <f>IF(OR(C826="",I826&lt;&gt;"ENTRADA"),"",TEXT(B826,"AAMMDD")&amp;"-"&amp;TEXT(VALUE(SUBSTITUTE(A826,"MOV-","")),"000"))</f>
        <v/>
      </c>
    </row>
    <row r="827" spans="1:20">
      <c r="A827" s="20" t="s">
        <v>1186</v>
      </c>
      <c r="H827" s="20" t="str">
        <f>+T827</f>
        <v/>
      </c>
      <c r="J827" s="30"/>
      <c r="K827" s="22" t="str">
        <f>IF(I827="","",IF(I827="ENTRADA",ABS(J827),-ABS(J827)))</f>
        <v/>
      </c>
      <c r="R827" s="22" t="str">
        <f>IF(H827="","",H827&amp;I827)</f>
        <v/>
      </c>
      <c r="S827" s="22" t="str">
        <f>IF(C827="","",C827&amp;I827)</f>
        <v/>
      </c>
      <c r="T827" t="str">
        <f>IF(OR(C827="",I827&lt;&gt;"ENTRADA"),"",TEXT(B827,"AAMMDD")&amp;"-"&amp;TEXT(VALUE(SUBSTITUTE(A827,"MOV-","")),"000"))</f>
        <v/>
      </c>
    </row>
    <row r="828" spans="1:20">
      <c r="A828" s="20" t="s">
        <v>1187</v>
      </c>
      <c r="H828" s="20" t="str">
        <f>+T828</f>
        <v/>
      </c>
      <c r="J828" s="30"/>
      <c r="K828" s="22" t="str">
        <f>IF(I828="","",IF(I828="ENTRADA",ABS(J828),-ABS(J828)))</f>
        <v/>
      </c>
      <c r="R828" s="22" t="str">
        <f>IF(H828="","",H828&amp;I828)</f>
        <v/>
      </c>
      <c r="S828" s="22" t="str">
        <f>IF(C828="","",C828&amp;I828)</f>
        <v/>
      </c>
      <c r="T828" t="str">
        <f>IF(OR(C828="",I828&lt;&gt;"ENTRADA"),"",TEXT(B828,"AAMMDD")&amp;"-"&amp;TEXT(VALUE(SUBSTITUTE(A828,"MOV-","")),"000"))</f>
        <v/>
      </c>
    </row>
    <row r="829" spans="1:20">
      <c r="A829" s="20" t="s">
        <v>1188</v>
      </c>
      <c r="H829" s="20" t="str">
        <f>+T829</f>
        <v/>
      </c>
      <c r="J829" s="30"/>
      <c r="K829" s="22" t="str">
        <f>IF(I829="","",IF(I829="ENTRADA",ABS(J829),-ABS(J829)))</f>
        <v/>
      </c>
      <c r="R829" s="22" t="str">
        <f>IF(H829="","",H829&amp;I829)</f>
        <v/>
      </c>
      <c r="S829" s="22" t="str">
        <f>IF(C829="","",C829&amp;I829)</f>
        <v/>
      </c>
      <c r="T829" t="str">
        <f>IF(OR(C829="",I829&lt;&gt;"ENTRADA"),"",TEXT(B829,"AAMMDD")&amp;"-"&amp;TEXT(VALUE(SUBSTITUTE(A829,"MOV-","")),"000"))</f>
        <v/>
      </c>
    </row>
    <row r="830" spans="1:20">
      <c r="A830" s="20" t="s">
        <v>1189</v>
      </c>
      <c r="H830" s="20" t="str">
        <f>+T830</f>
        <v/>
      </c>
      <c r="J830" s="30"/>
      <c r="K830" s="22" t="str">
        <f>IF(I830="","",IF(I830="ENTRADA",ABS(J830),-ABS(J830)))</f>
        <v/>
      </c>
      <c r="R830" s="22" t="str">
        <f>IF(H830="","",H830&amp;I830)</f>
        <v/>
      </c>
      <c r="S830" s="22" t="str">
        <f>IF(C830="","",C830&amp;I830)</f>
        <v/>
      </c>
      <c r="T830" t="str">
        <f>IF(OR(C830="",I830&lt;&gt;"ENTRADA"),"",TEXT(B830,"AAMMDD")&amp;"-"&amp;TEXT(VALUE(SUBSTITUTE(A830,"MOV-","")),"000"))</f>
        <v/>
      </c>
    </row>
    <row r="831" spans="1:20">
      <c r="A831" s="20" t="s">
        <v>1190</v>
      </c>
      <c r="H831" s="20" t="str">
        <f>+T831</f>
        <v/>
      </c>
      <c r="J831" s="30"/>
      <c r="K831" s="22" t="str">
        <f>IF(I831="","",IF(I831="ENTRADA",ABS(J831),-ABS(J831)))</f>
        <v/>
      </c>
      <c r="R831" s="22" t="str">
        <f>IF(H831="","",H831&amp;I831)</f>
        <v/>
      </c>
      <c r="S831" s="22" t="str">
        <f>IF(C831="","",C831&amp;I831)</f>
        <v/>
      </c>
      <c r="T831" t="str">
        <f>IF(OR(C831="",I831&lt;&gt;"ENTRADA"),"",TEXT(B831,"AAMMDD")&amp;"-"&amp;TEXT(VALUE(SUBSTITUTE(A831,"MOV-","")),"000"))</f>
        <v/>
      </c>
    </row>
    <row r="832" spans="1:20">
      <c r="A832" s="20" t="s">
        <v>1191</v>
      </c>
      <c r="H832" s="20" t="str">
        <f>+T832</f>
        <v/>
      </c>
      <c r="J832" s="30"/>
      <c r="K832" s="22" t="str">
        <f>IF(I832="","",IF(I832="ENTRADA",ABS(J832),-ABS(J832)))</f>
        <v/>
      </c>
      <c r="R832" s="22" t="str">
        <f>IF(H832="","",H832&amp;I832)</f>
        <v/>
      </c>
      <c r="S832" s="22" t="str">
        <f>IF(C832="","",C832&amp;I832)</f>
        <v/>
      </c>
      <c r="T832" t="str">
        <f>IF(OR(C832="",I832&lt;&gt;"ENTRADA"),"",TEXT(B832,"AAMMDD")&amp;"-"&amp;TEXT(VALUE(SUBSTITUTE(A832,"MOV-","")),"000"))</f>
        <v/>
      </c>
    </row>
    <row r="833" spans="1:20">
      <c r="A833" s="20" t="s">
        <v>1192</v>
      </c>
      <c r="H833" s="20" t="str">
        <f>+T833</f>
        <v/>
      </c>
      <c r="J833" s="30"/>
      <c r="K833" s="22" t="str">
        <f>IF(I833="","",IF(I833="ENTRADA",ABS(J833),-ABS(J833)))</f>
        <v/>
      </c>
      <c r="R833" s="22" t="str">
        <f>IF(H833="","",H833&amp;I833)</f>
        <v/>
      </c>
      <c r="S833" s="22" t="str">
        <f>IF(C833="","",C833&amp;I833)</f>
        <v/>
      </c>
      <c r="T833" t="str">
        <f>IF(OR(C833="",I833&lt;&gt;"ENTRADA"),"",TEXT(B833,"AAMMDD")&amp;"-"&amp;TEXT(VALUE(SUBSTITUTE(A833,"MOV-","")),"000"))</f>
        <v/>
      </c>
    </row>
    <row r="834" spans="1:20">
      <c r="A834" s="20" t="s">
        <v>1193</v>
      </c>
      <c r="H834" s="20" t="str">
        <f>+T834</f>
        <v/>
      </c>
      <c r="J834" s="30"/>
      <c r="K834" s="22" t="str">
        <f>IF(I834="","",IF(I834="ENTRADA",ABS(J834),-ABS(J834)))</f>
        <v/>
      </c>
      <c r="R834" s="22" t="str">
        <f>IF(H834="","",H834&amp;I834)</f>
        <v/>
      </c>
      <c r="S834" s="22" t="str">
        <f>IF(C834="","",C834&amp;I834)</f>
        <v/>
      </c>
      <c r="T834" t="str">
        <f>IF(OR(C834="",I834&lt;&gt;"ENTRADA"),"",TEXT(B834,"AAMMDD")&amp;"-"&amp;TEXT(VALUE(SUBSTITUTE(A834,"MOV-","")),"000"))</f>
        <v/>
      </c>
    </row>
    <row r="835" spans="1:20">
      <c r="A835" s="20" t="s">
        <v>1194</v>
      </c>
      <c r="B835" s="34"/>
      <c r="C835" s="34"/>
      <c r="D835" s="34"/>
      <c r="E835" s="34"/>
      <c r="F835" s="34"/>
      <c r="G835" s="34"/>
      <c r="H835" s="20" t="str">
        <f>+T835</f>
        <v/>
      </c>
      <c r="I835" s="34"/>
      <c r="J835" s="36"/>
      <c r="K835" s="22" t="str">
        <f>IF(I835="","",IF(I835="ENTRADA",ABS(J835),-ABS(J835)))</f>
        <v/>
      </c>
      <c r="L835" s="34"/>
      <c r="M835" s="34"/>
      <c r="N835" s="34"/>
      <c r="O835" s="34"/>
      <c r="P835" s="34"/>
      <c r="Q835" s="35"/>
      <c r="R835" s="22" t="str">
        <f>IF(H835="","",H835&amp;I835)</f>
        <v/>
      </c>
      <c r="S835" s="22" t="str">
        <f>IF(C835="","",C835&amp;I835)</f>
        <v/>
      </c>
      <c r="T835" t="str">
        <f>IF(OR(C835="",I835&lt;&gt;"ENTRADA"),"",TEXT(B835,"AAMMDD")&amp;"-"&amp;TEXT(VALUE(SUBSTITUTE(A835,"MOV-","")),"000"))</f>
        <v/>
      </c>
    </row>
    <row r="836" spans="1:20">
      <c r="A836" s="20" t="s">
        <v>1195</v>
      </c>
      <c r="H836" s="20" t="str">
        <f>+T836</f>
        <v/>
      </c>
      <c r="J836" s="30"/>
      <c r="K836" s="22" t="str">
        <f>IF(I836="","",IF(I836="ENTRADA",ABS(J836),-ABS(J836)))</f>
        <v/>
      </c>
      <c r="R836" s="22" t="str">
        <f>IF(H836="","",H836&amp;I836)</f>
        <v/>
      </c>
      <c r="S836" s="22" t="str">
        <f>IF(C836="","",C836&amp;I836)</f>
        <v/>
      </c>
      <c r="T836" t="str">
        <f>IF(OR(C836="",I836&lt;&gt;"ENTRADA"),"",TEXT(B836,"AAMMDD")&amp;"-"&amp;TEXT(VALUE(SUBSTITUTE(A836,"MOV-","")),"000"))</f>
        <v/>
      </c>
    </row>
    <row r="837" spans="1:20">
      <c r="A837" s="20" t="s">
        <v>1196</v>
      </c>
      <c r="H837" s="20" t="str">
        <f>+T837</f>
        <v/>
      </c>
      <c r="J837" s="30"/>
      <c r="K837" s="22" t="str">
        <f>IF(I837="","",IF(I837="ENTRADA",ABS(J837),-ABS(J837)))</f>
        <v/>
      </c>
      <c r="R837" s="22" t="str">
        <f>IF(H837="","",H837&amp;I837)</f>
        <v/>
      </c>
      <c r="S837" s="22" t="str">
        <f>IF(C837="","",C837&amp;I837)</f>
        <v/>
      </c>
      <c r="T837" t="str">
        <f>IF(OR(C837="",I837&lt;&gt;"ENTRADA"),"",TEXT(B837,"AAMMDD")&amp;"-"&amp;TEXT(VALUE(SUBSTITUTE(A837,"MOV-","")),"000"))</f>
        <v/>
      </c>
    </row>
    <row r="838" spans="1:20">
      <c r="A838" s="20" t="s">
        <v>1197</v>
      </c>
      <c r="H838" s="20" t="str">
        <f>+T838</f>
        <v/>
      </c>
      <c r="J838" s="30"/>
      <c r="K838" s="22" t="str">
        <f>IF(I838="","",IF(I838="ENTRADA",ABS(J838),-ABS(J838)))</f>
        <v/>
      </c>
      <c r="R838" s="22" t="str">
        <f>IF(H838="","",H838&amp;I838)</f>
        <v/>
      </c>
      <c r="S838" s="22" t="str">
        <f>IF(C838="","",C838&amp;I838)</f>
        <v/>
      </c>
      <c r="T838" t="str">
        <f>IF(OR(C838="",I838&lt;&gt;"ENTRADA"),"",TEXT(B838,"AAMMDD")&amp;"-"&amp;TEXT(VALUE(SUBSTITUTE(A838,"MOV-","")),"000"))</f>
        <v/>
      </c>
    </row>
    <row r="839" spans="1:20">
      <c r="A839" s="20" t="s">
        <v>1198</v>
      </c>
      <c r="H839" s="20" t="str">
        <f>+T839</f>
        <v/>
      </c>
      <c r="J839" s="30"/>
      <c r="K839" s="22" t="str">
        <f>IF(I839="","",IF(I839="ENTRADA",ABS(J839),-ABS(J839)))</f>
        <v/>
      </c>
      <c r="R839" s="22" t="str">
        <f>IF(H839="","",H839&amp;I839)</f>
        <v/>
      </c>
      <c r="S839" s="22" t="str">
        <f>IF(C839="","",C839&amp;I839)</f>
        <v/>
      </c>
      <c r="T839" t="str">
        <f>IF(OR(C839="",I839&lt;&gt;"ENTRADA"),"",TEXT(B839,"AAMMDD")&amp;"-"&amp;TEXT(VALUE(SUBSTITUTE(A839,"MOV-","")),"000"))</f>
        <v/>
      </c>
    </row>
    <row r="840" spans="1:20">
      <c r="A840" s="20" t="s">
        <v>1199</v>
      </c>
      <c r="H840" s="20" t="str">
        <f>+T840</f>
        <v/>
      </c>
      <c r="J840" s="30"/>
      <c r="K840" s="22" t="str">
        <f>IF(I840="","",IF(I840="ENTRADA",ABS(J840),-ABS(J840)))</f>
        <v/>
      </c>
      <c r="R840" s="22" t="str">
        <f>IF(H840="","",H840&amp;I840)</f>
        <v/>
      </c>
      <c r="S840" s="22" t="str">
        <f>IF(C840="","",C840&amp;I840)</f>
        <v/>
      </c>
      <c r="T840" t="str">
        <f>IF(OR(C840="",I840&lt;&gt;"ENTRADA"),"",TEXT(B840,"AAMMDD")&amp;"-"&amp;TEXT(VALUE(SUBSTITUTE(A840,"MOV-","")),"000"))</f>
        <v/>
      </c>
    </row>
    <row r="841" spans="1:20">
      <c r="A841" s="20" t="s">
        <v>1200</v>
      </c>
      <c r="H841" s="20" t="str">
        <f>+T841</f>
        <v/>
      </c>
      <c r="J841" s="30"/>
      <c r="K841" s="22" t="str">
        <f>IF(I841="","",IF(I841="ENTRADA",ABS(J841),-ABS(J841)))</f>
        <v/>
      </c>
      <c r="R841" s="22" t="str">
        <f>IF(H841="","",H841&amp;I841)</f>
        <v/>
      </c>
      <c r="S841" s="22" t="str">
        <f>IF(C841="","",C841&amp;I841)</f>
        <v/>
      </c>
      <c r="T841" t="str">
        <f>IF(OR(C841="",I841&lt;&gt;"ENTRADA"),"",TEXT(B841,"AAMMDD")&amp;"-"&amp;TEXT(VALUE(SUBSTITUTE(A841,"MOV-","")),"000"))</f>
        <v/>
      </c>
    </row>
    <row r="842" spans="1:20">
      <c r="A842" s="20" t="s">
        <v>1201</v>
      </c>
      <c r="H842" s="20" t="str">
        <f>+T842</f>
        <v/>
      </c>
      <c r="J842" s="30"/>
      <c r="K842" s="22" t="str">
        <f>IF(I842="","",IF(I842="ENTRADA",ABS(J842),-ABS(J842)))</f>
        <v/>
      </c>
      <c r="R842" s="22" t="str">
        <f>IF(H842="","",H842&amp;I842)</f>
        <v/>
      </c>
      <c r="S842" s="22" t="str">
        <f>IF(C842="","",C842&amp;I842)</f>
        <v/>
      </c>
      <c r="T842" t="str">
        <f>IF(OR(C842="",I842&lt;&gt;"ENTRADA"),"",TEXT(B842,"AAMMDD")&amp;"-"&amp;TEXT(VALUE(SUBSTITUTE(A842,"MOV-","")),"000"))</f>
        <v/>
      </c>
    </row>
    <row r="843" spans="1:20">
      <c r="A843" s="20" t="s">
        <v>1202</v>
      </c>
      <c r="H843" s="20" t="str">
        <f>+T843</f>
        <v/>
      </c>
      <c r="J843" s="30"/>
      <c r="K843" s="22" t="str">
        <f>IF(I843="","",IF(I843="ENTRADA",ABS(J843),-ABS(J843)))</f>
        <v/>
      </c>
      <c r="R843" s="22" t="str">
        <f>IF(H843="","",H843&amp;I843)</f>
        <v/>
      </c>
      <c r="S843" s="22" t="str">
        <f>IF(C843="","",C843&amp;I843)</f>
        <v/>
      </c>
      <c r="T843" t="str">
        <f>IF(OR(C843="",I843&lt;&gt;"ENTRADA"),"",TEXT(B843,"AAMMDD")&amp;"-"&amp;TEXT(VALUE(SUBSTITUTE(A843,"MOV-","")),"000"))</f>
        <v/>
      </c>
    </row>
    <row r="844" spans="1:20">
      <c r="A844" s="20" t="s">
        <v>1203</v>
      </c>
      <c r="H844" s="20" t="str">
        <f>+T844</f>
        <v/>
      </c>
      <c r="J844" s="30"/>
      <c r="K844" s="22" t="str">
        <f>IF(I844="","",IF(I844="ENTRADA",ABS(J844),-ABS(J844)))</f>
        <v/>
      </c>
      <c r="R844" s="22" t="str">
        <f>IF(H844="","",H844&amp;I844)</f>
        <v/>
      </c>
      <c r="S844" s="22" t="str">
        <f>IF(C844="","",C844&amp;I844)</f>
        <v/>
      </c>
      <c r="T844" t="str">
        <f>IF(OR(C844="",I844&lt;&gt;"ENTRADA"),"",TEXT(B844,"AAMMDD")&amp;"-"&amp;TEXT(VALUE(SUBSTITUTE(A844,"MOV-","")),"000"))</f>
        <v/>
      </c>
    </row>
    <row r="845" spans="1:20">
      <c r="A845" s="20" t="s">
        <v>1204</v>
      </c>
      <c r="H845" s="20" t="str">
        <f>+T845</f>
        <v/>
      </c>
      <c r="J845" s="30"/>
      <c r="K845" s="22" t="str">
        <f>IF(I845="","",IF(I845="ENTRADA",ABS(J845),-ABS(J845)))</f>
        <v/>
      </c>
      <c r="R845" s="22" t="str">
        <f>IF(H845="","",H845&amp;I845)</f>
        <v/>
      </c>
      <c r="S845" s="22" t="str">
        <f>IF(C845="","",C845&amp;I845)</f>
        <v/>
      </c>
      <c r="T845" t="str">
        <f>IF(OR(C845="",I845&lt;&gt;"ENTRADA"),"",TEXT(B845,"AAMMDD")&amp;"-"&amp;TEXT(VALUE(SUBSTITUTE(A845,"MOV-","")),"000"))</f>
        <v/>
      </c>
    </row>
    <row r="846" spans="1:20">
      <c r="A846" s="20" t="s">
        <v>1205</v>
      </c>
      <c r="B846" s="34"/>
      <c r="C846" s="34"/>
      <c r="D846" s="34"/>
      <c r="E846" s="34"/>
      <c r="F846" s="34"/>
      <c r="G846" s="34"/>
      <c r="H846" s="20" t="str">
        <f>+T846</f>
        <v/>
      </c>
      <c r="I846" s="34"/>
      <c r="J846" s="36"/>
      <c r="K846" s="22" t="str">
        <f>IF(I846="","",IF(I846="ENTRADA",ABS(J846),-ABS(J846)))</f>
        <v/>
      </c>
      <c r="L846" s="34"/>
      <c r="M846" s="34"/>
      <c r="N846" s="34"/>
      <c r="O846" s="34"/>
      <c r="P846" s="34"/>
      <c r="Q846" s="35"/>
      <c r="R846" s="22" t="str">
        <f>IF(H846="","",H846&amp;I846)</f>
        <v/>
      </c>
      <c r="S846" s="22" t="str">
        <f>IF(C846="","",C846&amp;I846)</f>
        <v/>
      </c>
      <c r="T846" t="str">
        <f>IF(OR(C846="",I846&lt;&gt;"ENTRADA"),"",TEXT(B846,"AAMMDD")&amp;"-"&amp;TEXT(VALUE(SUBSTITUTE(A846,"MOV-","")),"000"))</f>
        <v/>
      </c>
    </row>
    <row r="847" spans="1:20">
      <c r="A847" s="20" t="s">
        <v>1206</v>
      </c>
      <c r="H847" s="20" t="str">
        <f>+T847</f>
        <v/>
      </c>
      <c r="J847" s="30"/>
      <c r="K847" s="22" t="str">
        <f>IF(I847="","",IF(I847="ENTRADA",ABS(J847),-ABS(J847)))</f>
        <v/>
      </c>
      <c r="R847" s="22" t="str">
        <f>IF(H847="","",H847&amp;I847)</f>
        <v/>
      </c>
      <c r="S847" s="22" t="str">
        <f>IF(C847="","",C847&amp;I847)</f>
        <v/>
      </c>
      <c r="T847" t="str">
        <f>IF(OR(C847="",I847&lt;&gt;"ENTRADA"),"",TEXT(B847,"AAMMDD")&amp;"-"&amp;TEXT(VALUE(SUBSTITUTE(A847,"MOV-","")),"000"))</f>
        <v/>
      </c>
    </row>
    <row r="848" spans="1:20">
      <c r="A848" s="20" t="s">
        <v>1207</v>
      </c>
      <c r="H848" s="20" t="str">
        <f>+T848</f>
        <v/>
      </c>
      <c r="J848" s="30"/>
      <c r="K848" s="22" t="str">
        <f>IF(I848="","",IF(I848="ENTRADA",ABS(J848),-ABS(J848)))</f>
        <v/>
      </c>
      <c r="R848" s="22" t="str">
        <f>IF(H848="","",H848&amp;I848)</f>
        <v/>
      </c>
      <c r="S848" s="22" t="str">
        <f>IF(C848="","",C848&amp;I848)</f>
        <v/>
      </c>
      <c r="T848" t="str">
        <f>IF(OR(C848="",I848&lt;&gt;"ENTRADA"),"",TEXT(B848,"AAMMDD")&amp;"-"&amp;TEXT(VALUE(SUBSTITUTE(A848,"MOV-","")),"000"))</f>
        <v/>
      </c>
    </row>
    <row r="849" spans="1:20">
      <c r="A849" s="20" t="s">
        <v>1208</v>
      </c>
      <c r="H849" s="20" t="str">
        <f>+T849</f>
        <v/>
      </c>
      <c r="J849" s="30"/>
      <c r="K849" s="22" t="str">
        <f>IF(I849="","",IF(I849="ENTRADA",ABS(J849),-ABS(J849)))</f>
        <v/>
      </c>
      <c r="R849" s="22" t="str">
        <f>IF(H849="","",H849&amp;I849)</f>
        <v/>
      </c>
      <c r="S849" s="22" t="str">
        <f>IF(C849="","",C849&amp;I849)</f>
        <v/>
      </c>
      <c r="T849" t="str">
        <f>IF(OR(C849="",I849&lt;&gt;"ENTRADA"),"",TEXT(B849,"AAMMDD")&amp;"-"&amp;TEXT(VALUE(SUBSTITUTE(A849,"MOV-","")),"000"))</f>
        <v/>
      </c>
    </row>
    <row r="850" spans="1:20">
      <c r="A850" s="20" t="s">
        <v>1209</v>
      </c>
      <c r="H850" s="20" t="str">
        <f>+T850</f>
        <v/>
      </c>
      <c r="J850" s="30"/>
      <c r="K850" s="22" t="str">
        <f>IF(I850="","",IF(I850="ENTRADA",ABS(J850),-ABS(J850)))</f>
        <v/>
      </c>
      <c r="R850" s="22" t="str">
        <f>IF(H850="","",H850&amp;I850)</f>
        <v/>
      </c>
      <c r="S850" s="22" t="str">
        <f>IF(C850="","",C850&amp;I850)</f>
        <v/>
      </c>
      <c r="T850" t="str">
        <f>IF(OR(C850="",I850&lt;&gt;"ENTRADA"),"",TEXT(B850,"AAMMDD")&amp;"-"&amp;TEXT(VALUE(SUBSTITUTE(A850,"MOV-","")),"000"))</f>
        <v/>
      </c>
    </row>
    <row r="851" spans="1:20">
      <c r="A851" s="20" t="s">
        <v>1210</v>
      </c>
      <c r="H851" s="20" t="str">
        <f>+T851</f>
        <v/>
      </c>
      <c r="J851" s="30"/>
      <c r="K851" s="22" t="str">
        <f>IF(I851="","",IF(I851="ENTRADA",ABS(J851),-ABS(J851)))</f>
        <v/>
      </c>
      <c r="R851" s="22" t="str">
        <f>IF(H851="","",H851&amp;I851)</f>
        <v/>
      </c>
      <c r="S851" s="22" t="str">
        <f>IF(C851="","",C851&amp;I851)</f>
        <v/>
      </c>
      <c r="T851" t="str">
        <f>IF(OR(C851="",I851&lt;&gt;"ENTRADA"),"",TEXT(B851,"AAMMDD")&amp;"-"&amp;TEXT(VALUE(SUBSTITUTE(A851,"MOV-","")),"000"))</f>
        <v/>
      </c>
    </row>
    <row r="852" spans="1:20">
      <c r="A852" s="20" t="s">
        <v>1211</v>
      </c>
      <c r="H852" s="20" t="str">
        <f>+T852</f>
        <v/>
      </c>
      <c r="J852" s="30"/>
      <c r="K852" s="22" t="str">
        <f>IF(I852="","",IF(I852="ENTRADA",ABS(J852),-ABS(J852)))</f>
        <v/>
      </c>
      <c r="R852" s="22" t="str">
        <f>IF(H852="","",H852&amp;I852)</f>
        <v/>
      </c>
      <c r="S852" s="22" t="str">
        <f>IF(C852="","",C852&amp;I852)</f>
        <v/>
      </c>
      <c r="T852" t="str">
        <f>IF(OR(C852="",I852&lt;&gt;"ENTRADA"),"",TEXT(B852,"AAMMDD")&amp;"-"&amp;TEXT(VALUE(SUBSTITUTE(A852,"MOV-","")),"000"))</f>
        <v/>
      </c>
    </row>
    <row r="853" spans="1:20">
      <c r="A853" s="20" t="s">
        <v>1212</v>
      </c>
      <c r="H853" s="20" t="str">
        <f>+T853</f>
        <v/>
      </c>
      <c r="J853" s="30"/>
      <c r="K853" s="22" t="str">
        <f>IF(I853="","",IF(I853="ENTRADA",ABS(J853),-ABS(J853)))</f>
        <v/>
      </c>
      <c r="R853" s="22" t="str">
        <f>IF(H853="","",H853&amp;I853)</f>
        <v/>
      </c>
      <c r="S853" s="22" t="str">
        <f>IF(C853="","",C853&amp;I853)</f>
        <v/>
      </c>
      <c r="T853" t="str">
        <f>IF(OR(C853="",I853&lt;&gt;"ENTRADA"),"",TEXT(B853,"AAMMDD")&amp;"-"&amp;TEXT(VALUE(SUBSTITUTE(A853,"MOV-","")),"000"))</f>
        <v/>
      </c>
    </row>
    <row r="854" spans="1:20">
      <c r="A854" s="20" t="s">
        <v>1213</v>
      </c>
      <c r="H854" s="20" t="str">
        <f>+T854</f>
        <v/>
      </c>
      <c r="J854" s="30"/>
      <c r="K854" s="22" t="str">
        <f>IF(I854="","",IF(I854="ENTRADA",ABS(J854),-ABS(J854)))</f>
        <v/>
      </c>
      <c r="R854" s="22" t="str">
        <f>IF(H854="","",H854&amp;I854)</f>
        <v/>
      </c>
      <c r="S854" s="22" t="str">
        <f>IF(C854="","",C854&amp;I854)</f>
        <v/>
      </c>
      <c r="T854" t="str">
        <f>IF(OR(C854="",I854&lt;&gt;"ENTRADA"),"",TEXT(B854,"AAMMDD")&amp;"-"&amp;TEXT(VALUE(SUBSTITUTE(A854,"MOV-","")),"000"))</f>
        <v/>
      </c>
    </row>
    <row r="855" spans="1:20">
      <c r="A855" s="20" t="s">
        <v>1214</v>
      </c>
      <c r="H855" s="20" t="str">
        <f>+T855</f>
        <v/>
      </c>
      <c r="J855" s="30"/>
      <c r="K855" s="22" t="str">
        <f>IF(I855="","",IF(I855="ENTRADA",ABS(J855),-ABS(J855)))</f>
        <v/>
      </c>
      <c r="R855" s="22" t="str">
        <f>IF(H855="","",H855&amp;I855)</f>
        <v/>
      </c>
      <c r="S855" s="22" t="str">
        <f>IF(C855="","",C855&amp;I855)</f>
        <v/>
      </c>
      <c r="T855" t="str">
        <f>IF(OR(C855="",I855&lt;&gt;"ENTRADA"),"",TEXT(B855,"AAMMDD")&amp;"-"&amp;TEXT(VALUE(SUBSTITUTE(A855,"MOV-","")),"000"))</f>
        <v/>
      </c>
    </row>
    <row r="856" spans="1:20">
      <c r="A856" s="20" t="s">
        <v>1215</v>
      </c>
      <c r="H856" s="20" t="str">
        <f>+T856</f>
        <v/>
      </c>
      <c r="J856" s="30"/>
      <c r="K856" s="22" t="str">
        <f>IF(I856="","",IF(I856="ENTRADA",ABS(J856),-ABS(J856)))</f>
        <v/>
      </c>
      <c r="R856" s="22" t="str">
        <f>IF(H856="","",H856&amp;I856)</f>
        <v/>
      </c>
      <c r="S856" s="22" t="str">
        <f>IF(C856="","",C856&amp;I856)</f>
        <v/>
      </c>
      <c r="T856" t="str">
        <f>IF(OR(C856="",I856&lt;&gt;"ENTRADA"),"",TEXT(B856,"AAMMDD")&amp;"-"&amp;TEXT(VALUE(SUBSTITUTE(A856,"MOV-","")),"000"))</f>
        <v/>
      </c>
    </row>
    <row r="857" spans="1:20">
      <c r="A857" s="20" t="s">
        <v>1216</v>
      </c>
      <c r="B857" s="34"/>
      <c r="C857" s="34"/>
      <c r="D857" s="34"/>
      <c r="E857" s="34"/>
      <c r="F857" s="34"/>
      <c r="G857" s="34"/>
      <c r="H857" s="20" t="str">
        <f>+T857</f>
        <v/>
      </c>
      <c r="I857" s="34"/>
      <c r="J857" s="36"/>
      <c r="K857" s="22" t="str">
        <f>IF(I857="","",IF(I857="ENTRADA",ABS(J857),-ABS(J857)))</f>
        <v/>
      </c>
      <c r="L857" s="34"/>
      <c r="M857" s="34"/>
      <c r="N857" s="34"/>
      <c r="O857" s="34"/>
      <c r="P857" s="34"/>
      <c r="Q857" s="35"/>
      <c r="R857" s="22" t="str">
        <f>IF(H857="","",H857&amp;I857)</f>
        <v/>
      </c>
      <c r="S857" s="22" t="str">
        <f>IF(C857="","",C857&amp;I857)</f>
        <v/>
      </c>
      <c r="T857" t="str">
        <f>IF(OR(C857="",I857&lt;&gt;"ENTRADA"),"",TEXT(B857,"AAMMDD")&amp;"-"&amp;TEXT(VALUE(SUBSTITUTE(A857,"MOV-","")),"000"))</f>
        <v/>
      </c>
    </row>
    <row r="858" spans="1:20">
      <c r="A858" s="20" t="s">
        <v>1217</v>
      </c>
      <c r="H858" s="20" t="str">
        <f>+T858</f>
        <v/>
      </c>
      <c r="J858" s="30"/>
      <c r="K858" s="22" t="str">
        <f>IF(I858="","",IF(I858="ENTRADA",ABS(J858),-ABS(J858)))</f>
        <v/>
      </c>
      <c r="R858" s="22" t="str">
        <f>IF(H858="","",H858&amp;I858)</f>
        <v/>
      </c>
      <c r="S858" s="22" t="str">
        <f>IF(C858="","",C858&amp;I858)</f>
        <v/>
      </c>
      <c r="T858" t="str">
        <f>IF(OR(C858="",I858&lt;&gt;"ENTRADA"),"",TEXT(B858,"AAMMDD")&amp;"-"&amp;TEXT(VALUE(SUBSTITUTE(A858,"MOV-","")),"000"))</f>
        <v/>
      </c>
    </row>
    <row r="859" spans="1:20">
      <c r="A859" s="20" t="s">
        <v>1218</v>
      </c>
      <c r="H859" s="20" t="str">
        <f>+T859</f>
        <v/>
      </c>
      <c r="J859" s="30"/>
      <c r="K859" s="22" t="str">
        <f>IF(I859="","",IF(I859="ENTRADA",ABS(J859),-ABS(J859)))</f>
        <v/>
      </c>
      <c r="R859" s="22" t="str">
        <f>IF(H859="","",H859&amp;I859)</f>
        <v/>
      </c>
      <c r="S859" s="22" t="str">
        <f>IF(C859="","",C859&amp;I859)</f>
        <v/>
      </c>
      <c r="T859" t="str">
        <f>IF(OR(C859="",I859&lt;&gt;"ENTRADA"),"",TEXT(B859,"AAMMDD")&amp;"-"&amp;TEXT(VALUE(SUBSTITUTE(A859,"MOV-","")),"000"))</f>
        <v/>
      </c>
    </row>
    <row r="860" spans="1:20">
      <c r="A860" s="20" t="s">
        <v>1219</v>
      </c>
      <c r="H860" s="20" t="str">
        <f>+T860</f>
        <v/>
      </c>
      <c r="J860" s="30"/>
      <c r="K860" s="22" t="str">
        <f>IF(I860="","",IF(I860="ENTRADA",ABS(J860),-ABS(J860)))</f>
        <v/>
      </c>
      <c r="R860" s="22" t="str">
        <f>IF(H860="","",H860&amp;I860)</f>
        <v/>
      </c>
      <c r="S860" s="22" t="str">
        <f>IF(C860="","",C860&amp;I860)</f>
        <v/>
      </c>
      <c r="T860" t="str">
        <f>IF(OR(C860="",I860&lt;&gt;"ENTRADA"),"",TEXT(B860,"AAMMDD")&amp;"-"&amp;TEXT(VALUE(SUBSTITUTE(A860,"MOV-","")),"000"))</f>
        <v/>
      </c>
    </row>
    <row r="861" spans="1:20">
      <c r="A861" s="20" t="s">
        <v>1220</v>
      </c>
      <c r="H861" s="20" t="str">
        <f>+T861</f>
        <v/>
      </c>
      <c r="J861" s="30"/>
      <c r="K861" s="22" t="str">
        <f>IF(I861="","",IF(I861="ENTRADA",ABS(J861),-ABS(J861)))</f>
        <v/>
      </c>
      <c r="R861" s="22" t="str">
        <f>IF(H861="","",H861&amp;I861)</f>
        <v/>
      </c>
      <c r="S861" s="22" t="str">
        <f>IF(C861="","",C861&amp;I861)</f>
        <v/>
      </c>
      <c r="T861" t="str">
        <f>IF(OR(C861="",I861&lt;&gt;"ENTRADA"),"",TEXT(B861,"AAMMDD")&amp;"-"&amp;TEXT(VALUE(SUBSTITUTE(A861,"MOV-","")),"000"))</f>
        <v/>
      </c>
    </row>
    <row r="862" spans="1:20">
      <c r="A862" s="20" t="s">
        <v>1221</v>
      </c>
      <c r="H862" s="20" t="str">
        <f>+T862</f>
        <v/>
      </c>
      <c r="J862" s="30"/>
      <c r="K862" s="22" t="str">
        <f>IF(I862="","",IF(I862="ENTRADA",ABS(J862),-ABS(J862)))</f>
        <v/>
      </c>
      <c r="R862" s="22" t="str">
        <f>IF(H862="","",H862&amp;I862)</f>
        <v/>
      </c>
      <c r="S862" s="22" t="str">
        <f>IF(C862="","",C862&amp;I862)</f>
        <v/>
      </c>
      <c r="T862" t="str">
        <f>IF(OR(C862="",I862&lt;&gt;"ENTRADA"),"",TEXT(B862,"AAMMDD")&amp;"-"&amp;TEXT(VALUE(SUBSTITUTE(A862,"MOV-","")),"000"))</f>
        <v/>
      </c>
    </row>
    <row r="863" spans="1:20">
      <c r="A863" s="20" t="s">
        <v>1222</v>
      </c>
      <c r="H863" s="20" t="str">
        <f>+T863</f>
        <v/>
      </c>
      <c r="J863" s="30"/>
      <c r="K863" s="22" t="str">
        <f>IF(I863="","",IF(I863="ENTRADA",ABS(J863),-ABS(J863)))</f>
        <v/>
      </c>
      <c r="R863" s="22" t="str">
        <f>IF(H863="","",H863&amp;I863)</f>
        <v/>
      </c>
      <c r="S863" s="22" t="str">
        <f>IF(C863="","",C863&amp;I863)</f>
        <v/>
      </c>
      <c r="T863" t="str">
        <f>IF(OR(C863="",I863&lt;&gt;"ENTRADA"),"",TEXT(B863,"AAMMDD")&amp;"-"&amp;TEXT(VALUE(SUBSTITUTE(A863,"MOV-","")),"000"))</f>
        <v/>
      </c>
    </row>
    <row r="864" spans="1:20">
      <c r="A864" s="20" t="s">
        <v>1223</v>
      </c>
      <c r="H864" s="20" t="str">
        <f>+T864</f>
        <v/>
      </c>
      <c r="J864" s="30"/>
      <c r="K864" s="22" t="str">
        <f>IF(I864="","",IF(I864="ENTRADA",ABS(J864),-ABS(J864)))</f>
        <v/>
      </c>
      <c r="R864" s="22" t="str">
        <f>IF(H864="","",H864&amp;I864)</f>
        <v/>
      </c>
      <c r="S864" s="22" t="str">
        <f>IF(C864="","",C864&amp;I864)</f>
        <v/>
      </c>
      <c r="T864" t="str">
        <f>IF(OR(C864="",I864&lt;&gt;"ENTRADA"),"",TEXT(B864,"AAMMDD")&amp;"-"&amp;TEXT(VALUE(SUBSTITUTE(A864,"MOV-","")),"000"))</f>
        <v/>
      </c>
    </row>
    <row r="865" spans="1:20">
      <c r="A865" s="20" t="s">
        <v>1224</v>
      </c>
      <c r="H865" s="20" t="str">
        <f>+T865</f>
        <v/>
      </c>
      <c r="J865" s="30"/>
      <c r="K865" s="22" t="str">
        <f>IF(I865="","",IF(I865="ENTRADA",ABS(J865),-ABS(J865)))</f>
        <v/>
      </c>
      <c r="R865" s="22" t="str">
        <f>IF(H865="","",H865&amp;I865)</f>
        <v/>
      </c>
      <c r="S865" s="22" t="str">
        <f>IF(C865="","",C865&amp;I865)</f>
        <v/>
      </c>
      <c r="T865" t="str">
        <f>IF(OR(C865="",I865&lt;&gt;"ENTRADA"),"",TEXT(B865,"AAMMDD")&amp;"-"&amp;TEXT(VALUE(SUBSTITUTE(A865,"MOV-","")),"000"))</f>
        <v/>
      </c>
    </row>
    <row r="866" spans="1:20">
      <c r="A866" s="20" t="s">
        <v>1225</v>
      </c>
      <c r="H866" s="20" t="str">
        <f>+T866</f>
        <v/>
      </c>
      <c r="J866" s="30"/>
      <c r="K866" s="22" t="str">
        <f>IF(I866="","",IF(I866="ENTRADA",ABS(J866),-ABS(J866)))</f>
        <v/>
      </c>
      <c r="R866" s="22" t="str">
        <f>IF(H866="","",H866&amp;I866)</f>
        <v/>
      </c>
      <c r="S866" s="22" t="str">
        <f>IF(C866="","",C866&amp;I866)</f>
        <v/>
      </c>
      <c r="T866" t="str">
        <f>IF(OR(C866="",I866&lt;&gt;"ENTRADA"),"",TEXT(B866,"AAMMDD")&amp;"-"&amp;TEXT(VALUE(SUBSTITUTE(A866,"MOV-","")),"000"))</f>
        <v/>
      </c>
    </row>
    <row r="867" spans="1:20">
      <c r="A867" s="20" t="s">
        <v>1226</v>
      </c>
      <c r="H867" s="20" t="str">
        <f>+T867</f>
        <v/>
      </c>
      <c r="J867" s="30"/>
      <c r="K867" s="22" t="str">
        <f>IF(I867="","",IF(I867="ENTRADA",ABS(J867),-ABS(J867)))</f>
        <v/>
      </c>
      <c r="R867" s="22" t="str">
        <f>IF(H867="","",H867&amp;I867)</f>
        <v/>
      </c>
      <c r="S867" s="22" t="str">
        <f>IF(C867="","",C867&amp;I867)</f>
        <v/>
      </c>
      <c r="T867" t="str">
        <f>IF(OR(C867="",I867&lt;&gt;"ENTRADA"),"",TEXT(B867,"AAMMDD")&amp;"-"&amp;TEXT(VALUE(SUBSTITUTE(A867,"MOV-","")),"000"))</f>
        <v/>
      </c>
    </row>
    <row r="868" spans="1:20">
      <c r="A868" s="20" t="s">
        <v>1227</v>
      </c>
      <c r="B868" s="34"/>
      <c r="C868" s="34"/>
      <c r="D868" s="34"/>
      <c r="E868" s="34"/>
      <c r="F868" s="34"/>
      <c r="G868" s="34"/>
      <c r="H868" s="20" t="str">
        <f>+T868</f>
        <v/>
      </c>
      <c r="I868" s="34"/>
      <c r="J868" s="36"/>
      <c r="K868" s="22" t="str">
        <f>IF(I868="","",IF(I868="ENTRADA",ABS(J868),-ABS(J868)))</f>
        <v/>
      </c>
      <c r="L868" s="34"/>
      <c r="M868" s="34"/>
      <c r="N868" s="34"/>
      <c r="O868" s="34"/>
      <c r="P868" s="34"/>
      <c r="Q868" s="35"/>
      <c r="R868" s="22" t="str">
        <f>IF(H868="","",H868&amp;I868)</f>
        <v/>
      </c>
      <c r="S868" s="22" t="str">
        <f>IF(C868="","",C868&amp;I868)</f>
        <v/>
      </c>
      <c r="T868" t="str">
        <f>IF(OR(C868="",I868&lt;&gt;"ENTRADA"),"",TEXT(B868,"AAMMDD")&amp;"-"&amp;TEXT(VALUE(SUBSTITUTE(A868,"MOV-","")),"000"))</f>
        <v/>
      </c>
    </row>
    <row r="869" spans="1:20">
      <c r="A869" s="20" t="s">
        <v>1228</v>
      </c>
      <c r="H869" s="20" t="str">
        <f>+T869</f>
        <v/>
      </c>
      <c r="J869" s="30"/>
      <c r="K869" s="22" t="str">
        <f>IF(I869="","",IF(I869="ENTRADA",ABS(J869),-ABS(J869)))</f>
        <v/>
      </c>
      <c r="R869" s="22" t="str">
        <f>IF(H869="","",H869&amp;I869)</f>
        <v/>
      </c>
      <c r="S869" s="22" t="str">
        <f>IF(C869="","",C869&amp;I869)</f>
        <v/>
      </c>
      <c r="T869" t="str">
        <f>IF(OR(C869="",I869&lt;&gt;"ENTRADA"),"",TEXT(B869,"AAMMDD")&amp;"-"&amp;TEXT(VALUE(SUBSTITUTE(A869,"MOV-","")),"000"))</f>
        <v/>
      </c>
    </row>
    <row r="870" spans="1:20">
      <c r="A870" s="20" t="s">
        <v>1229</v>
      </c>
      <c r="H870" s="20" t="str">
        <f>+T870</f>
        <v/>
      </c>
      <c r="J870" s="30"/>
      <c r="K870" s="22" t="str">
        <f>IF(I870="","",IF(I870="ENTRADA",ABS(J870),-ABS(J870)))</f>
        <v/>
      </c>
      <c r="R870" s="22" t="str">
        <f>IF(H870="","",H870&amp;I870)</f>
        <v/>
      </c>
      <c r="S870" s="22" t="str">
        <f>IF(C870="","",C870&amp;I870)</f>
        <v/>
      </c>
      <c r="T870" t="str">
        <f>IF(OR(C870="",I870&lt;&gt;"ENTRADA"),"",TEXT(B870,"AAMMDD")&amp;"-"&amp;TEXT(VALUE(SUBSTITUTE(A870,"MOV-","")),"000"))</f>
        <v/>
      </c>
    </row>
    <row r="871" spans="1:20">
      <c r="A871" s="20" t="s">
        <v>1230</v>
      </c>
      <c r="H871" s="20" t="str">
        <f>+T871</f>
        <v/>
      </c>
      <c r="J871" s="30"/>
      <c r="K871" s="22" t="str">
        <f>IF(I871="","",IF(I871="ENTRADA",ABS(J871),-ABS(J871)))</f>
        <v/>
      </c>
      <c r="R871" s="22" t="str">
        <f>IF(H871="","",H871&amp;I871)</f>
        <v/>
      </c>
      <c r="S871" s="22" t="str">
        <f>IF(C871="","",C871&amp;I871)</f>
        <v/>
      </c>
      <c r="T871" t="str">
        <f>IF(OR(C871="",I871&lt;&gt;"ENTRADA"),"",TEXT(B871,"AAMMDD")&amp;"-"&amp;TEXT(VALUE(SUBSTITUTE(A871,"MOV-","")),"000"))</f>
        <v/>
      </c>
    </row>
    <row r="872" spans="1:20">
      <c r="A872" s="20" t="s">
        <v>1231</v>
      </c>
      <c r="H872" s="20" t="str">
        <f>+T872</f>
        <v/>
      </c>
      <c r="J872" s="30"/>
      <c r="K872" s="22" t="str">
        <f>IF(I872="","",IF(I872="ENTRADA",ABS(J872),-ABS(J872)))</f>
        <v/>
      </c>
      <c r="R872" s="22" t="str">
        <f>IF(H872="","",H872&amp;I872)</f>
        <v/>
      </c>
      <c r="S872" s="22" t="str">
        <f>IF(C872="","",C872&amp;I872)</f>
        <v/>
      </c>
      <c r="T872" t="str">
        <f>IF(OR(C872="",I872&lt;&gt;"ENTRADA"),"",TEXT(B872,"AAMMDD")&amp;"-"&amp;TEXT(VALUE(SUBSTITUTE(A872,"MOV-","")),"000"))</f>
        <v/>
      </c>
    </row>
    <row r="873" spans="1:20">
      <c r="A873" s="20" t="s">
        <v>1232</v>
      </c>
      <c r="H873" s="20" t="str">
        <f>+T873</f>
        <v/>
      </c>
      <c r="J873" s="30"/>
      <c r="K873" s="22" t="str">
        <f>IF(I873="","",IF(I873="ENTRADA",ABS(J873),-ABS(J873)))</f>
        <v/>
      </c>
      <c r="R873" s="22" t="str">
        <f>IF(H873="","",H873&amp;I873)</f>
        <v/>
      </c>
      <c r="S873" s="22" t="str">
        <f>IF(C873="","",C873&amp;I873)</f>
        <v/>
      </c>
      <c r="T873" t="str">
        <f>IF(OR(C873="",I873&lt;&gt;"ENTRADA"),"",TEXT(B873,"AAMMDD")&amp;"-"&amp;TEXT(VALUE(SUBSTITUTE(A873,"MOV-","")),"000"))</f>
        <v/>
      </c>
    </row>
    <row r="874" spans="1:20">
      <c r="A874" s="20" t="s">
        <v>1233</v>
      </c>
      <c r="H874" s="20" t="str">
        <f>+T874</f>
        <v/>
      </c>
      <c r="J874" s="30"/>
      <c r="K874" s="22" t="str">
        <f>IF(I874="","",IF(I874="ENTRADA",ABS(J874),-ABS(J874)))</f>
        <v/>
      </c>
      <c r="R874" s="22" t="str">
        <f>IF(H874="","",H874&amp;I874)</f>
        <v/>
      </c>
      <c r="S874" s="22" t="str">
        <f>IF(C874="","",C874&amp;I874)</f>
        <v/>
      </c>
      <c r="T874" t="str">
        <f>IF(OR(C874="",I874&lt;&gt;"ENTRADA"),"",TEXT(B874,"AAMMDD")&amp;"-"&amp;TEXT(VALUE(SUBSTITUTE(A874,"MOV-","")),"000"))</f>
        <v/>
      </c>
    </row>
    <row r="875" spans="1:20">
      <c r="A875" s="20" t="s">
        <v>1234</v>
      </c>
      <c r="H875" s="20" t="str">
        <f>+T875</f>
        <v/>
      </c>
      <c r="J875" s="30"/>
      <c r="K875" s="22" t="str">
        <f>IF(I875="","",IF(I875="ENTRADA",ABS(J875),-ABS(J875)))</f>
        <v/>
      </c>
      <c r="R875" s="22" t="str">
        <f>IF(H875="","",H875&amp;I875)</f>
        <v/>
      </c>
      <c r="S875" s="22" t="str">
        <f>IF(C875="","",C875&amp;I875)</f>
        <v/>
      </c>
      <c r="T875" t="str">
        <f>IF(OR(C875="",I875&lt;&gt;"ENTRADA"),"",TEXT(B875,"AAMMDD")&amp;"-"&amp;TEXT(VALUE(SUBSTITUTE(A875,"MOV-","")),"000"))</f>
        <v/>
      </c>
    </row>
    <row r="876" spans="1:20">
      <c r="A876" s="20" t="s">
        <v>1235</v>
      </c>
      <c r="H876" s="20" t="str">
        <f>+T876</f>
        <v/>
      </c>
      <c r="J876" s="30"/>
      <c r="K876" s="22" t="str">
        <f>IF(I876="","",IF(I876="ENTRADA",ABS(J876),-ABS(J876)))</f>
        <v/>
      </c>
      <c r="R876" s="22" t="str">
        <f>IF(H876="","",H876&amp;I876)</f>
        <v/>
      </c>
      <c r="S876" s="22" t="str">
        <f>IF(C876="","",C876&amp;I876)</f>
        <v/>
      </c>
      <c r="T876" t="str">
        <f>IF(OR(C876="",I876&lt;&gt;"ENTRADA"),"",TEXT(B876,"AAMMDD")&amp;"-"&amp;TEXT(VALUE(SUBSTITUTE(A876,"MOV-","")),"000"))</f>
        <v/>
      </c>
    </row>
    <row r="877" spans="1:20">
      <c r="A877" s="20" t="s">
        <v>1236</v>
      </c>
      <c r="H877" s="20" t="str">
        <f>+T877</f>
        <v/>
      </c>
      <c r="J877" s="30"/>
      <c r="K877" s="22" t="str">
        <f>IF(I877="","",IF(I877="ENTRADA",ABS(J877),-ABS(J877)))</f>
        <v/>
      </c>
      <c r="R877" s="22" t="str">
        <f>IF(H877="","",H877&amp;I877)</f>
        <v/>
      </c>
      <c r="S877" s="22" t="str">
        <f>IF(C877="","",C877&amp;I877)</f>
        <v/>
      </c>
      <c r="T877" t="str">
        <f>IF(OR(C877="",I877&lt;&gt;"ENTRADA"),"",TEXT(B877,"AAMMDD")&amp;"-"&amp;TEXT(VALUE(SUBSTITUTE(A877,"MOV-","")),"000"))</f>
        <v/>
      </c>
    </row>
    <row r="878" spans="1:20">
      <c r="A878" s="20" t="s">
        <v>1237</v>
      </c>
      <c r="H878" s="20" t="str">
        <f>+T878</f>
        <v/>
      </c>
      <c r="J878" s="30"/>
      <c r="K878" s="22" t="str">
        <f>IF(I878="","",IF(I878="ENTRADA",ABS(J878),-ABS(J878)))</f>
        <v/>
      </c>
      <c r="R878" s="22" t="str">
        <f>IF(H878="","",H878&amp;I878)</f>
        <v/>
      </c>
      <c r="S878" s="22" t="str">
        <f>IF(C878="","",C878&amp;I878)</f>
        <v/>
      </c>
      <c r="T878" t="str">
        <f>IF(OR(C878="",I878&lt;&gt;"ENTRADA"),"",TEXT(B878,"AAMMDD")&amp;"-"&amp;TEXT(VALUE(SUBSTITUTE(A878,"MOV-","")),"000"))</f>
        <v/>
      </c>
    </row>
    <row r="879" spans="1:20">
      <c r="A879" s="20" t="s">
        <v>1238</v>
      </c>
      <c r="B879" s="34"/>
      <c r="C879" s="34"/>
      <c r="D879" s="34"/>
      <c r="E879" s="34"/>
      <c r="F879" s="34"/>
      <c r="G879" s="34"/>
      <c r="H879" s="20" t="str">
        <f>+T879</f>
        <v/>
      </c>
      <c r="I879" s="34"/>
      <c r="J879" s="36"/>
      <c r="K879" s="22" t="str">
        <f>IF(I879="","",IF(I879="ENTRADA",ABS(J879),-ABS(J879)))</f>
        <v/>
      </c>
      <c r="L879" s="34"/>
      <c r="M879" s="34"/>
      <c r="N879" s="34"/>
      <c r="O879" s="34"/>
      <c r="P879" s="34"/>
      <c r="Q879" s="35"/>
      <c r="R879" s="22" t="str">
        <f>IF(H879="","",H879&amp;I879)</f>
        <v/>
      </c>
      <c r="S879" s="22" t="str">
        <f>IF(C879="","",C879&amp;I879)</f>
        <v/>
      </c>
      <c r="T879" t="str">
        <f>IF(OR(C879="",I879&lt;&gt;"ENTRADA"),"",TEXT(B879,"AAMMDD")&amp;"-"&amp;TEXT(VALUE(SUBSTITUTE(A879,"MOV-","")),"000"))</f>
        <v/>
      </c>
    </row>
    <row r="880" spans="1:20">
      <c r="A880" s="20" t="s">
        <v>1239</v>
      </c>
      <c r="H880" s="20" t="str">
        <f>+T880</f>
        <v/>
      </c>
      <c r="J880" s="30"/>
      <c r="K880" s="22" t="str">
        <f>IF(I880="","",IF(I880="ENTRADA",ABS(J880),-ABS(J880)))</f>
        <v/>
      </c>
      <c r="R880" s="22" t="str">
        <f>IF(H880="","",H880&amp;I880)</f>
        <v/>
      </c>
      <c r="S880" s="22" t="str">
        <f>IF(C880="","",C880&amp;I880)</f>
        <v/>
      </c>
      <c r="T880" t="str">
        <f>IF(OR(C880="",I880&lt;&gt;"ENTRADA"),"",TEXT(B880,"AAMMDD")&amp;"-"&amp;TEXT(VALUE(SUBSTITUTE(A880,"MOV-","")),"000"))</f>
        <v/>
      </c>
    </row>
    <row r="881" spans="1:20">
      <c r="A881" s="20" t="s">
        <v>1240</v>
      </c>
      <c r="H881" s="20" t="str">
        <f>+T881</f>
        <v/>
      </c>
      <c r="J881" s="30"/>
      <c r="K881" s="22" t="str">
        <f>IF(I881="","",IF(I881="ENTRADA",ABS(J881),-ABS(J881)))</f>
        <v/>
      </c>
      <c r="R881" s="22" t="str">
        <f>IF(H881="","",H881&amp;I881)</f>
        <v/>
      </c>
      <c r="S881" s="22" t="str">
        <f>IF(C881="","",C881&amp;I881)</f>
        <v/>
      </c>
      <c r="T881" t="str">
        <f>IF(OR(C881="",I881&lt;&gt;"ENTRADA"),"",TEXT(B881,"AAMMDD")&amp;"-"&amp;TEXT(VALUE(SUBSTITUTE(A881,"MOV-","")),"000"))</f>
        <v/>
      </c>
    </row>
    <row r="882" spans="1:20">
      <c r="A882" s="20" t="s">
        <v>1241</v>
      </c>
      <c r="H882" s="20" t="str">
        <f>+T882</f>
        <v/>
      </c>
      <c r="J882" s="30"/>
      <c r="K882" s="22" t="str">
        <f>IF(I882="","",IF(I882="ENTRADA",ABS(J882),-ABS(J882)))</f>
        <v/>
      </c>
      <c r="R882" s="22" t="str">
        <f>IF(H882="","",H882&amp;I882)</f>
        <v/>
      </c>
      <c r="S882" s="22" t="str">
        <f>IF(C882="","",C882&amp;I882)</f>
        <v/>
      </c>
      <c r="T882" t="str">
        <f>IF(OR(C882="",I882&lt;&gt;"ENTRADA"),"",TEXT(B882,"AAMMDD")&amp;"-"&amp;TEXT(VALUE(SUBSTITUTE(A882,"MOV-","")),"000"))</f>
        <v/>
      </c>
    </row>
    <row r="883" spans="1:20">
      <c r="A883" s="20" t="s">
        <v>1242</v>
      </c>
      <c r="H883" s="20" t="str">
        <f>+T883</f>
        <v/>
      </c>
      <c r="J883" s="30"/>
      <c r="K883" s="22" t="str">
        <f>IF(I883="","",IF(I883="ENTRADA",ABS(J883),-ABS(J883)))</f>
        <v/>
      </c>
      <c r="R883" s="22" t="str">
        <f>IF(H883="","",H883&amp;I883)</f>
        <v/>
      </c>
      <c r="S883" s="22" t="str">
        <f>IF(C883="","",C883&amp;I883)</f>
        <v/>
      </c>
      <c r="T883" t="str">
        <f>IF(OR(C883="",I883&lt;&gt;"ENTRADA"),"",TEXT(B883,"AAMMDD")&amp;"-"&amp;TEXT(VALUE(SUBSTITUTE(A883,"MOV-","")),"000"))</f>
        <v/>
      </c>
    </row>
    <row r="884" spans="1:20">
      <c r="A884" s="20" t="s">
        <v>1243</v>
      </c>
      <c r="H884" s="20" t="str">
        <f>+T884</f>
        <v/>
      </c>
      <c r="J884" s="30"/>
      <c r="K884" s="22" t="str">
        <f>IF(I884="","",IF(I884="ENTRADA",ABS(J884),-ABS(J884)))</f>
        <v/>
      </c>
      <c r="R884" s="22" t="str">
        <f>IF(H884="","",H884&amp;I884)</f>
        <v/>
      </c>
      <c r="S884" s="22" t="str">
        <f>IF(C884="","",C884&amp;I884)</f>
        <v/>
      </c>
      <c r="T884" t="str">
        <f>IF(OR(C884="",I884&lt;&gt;"ENTRADA"),"",TEXT(B884,"AAMMDD")&amp;"-"&amp;TEXT(VALUE(SUBSTITUTE(A884,"MOV-","")),"000"))</f>
        <v/>
      </c>
    </row>
    <row r="885" spans="1:20">
      <c r="A885" s="20" t="s">
        <v>1244</v>
      </c>
      <c r="H885" s="20" t="str">
        <f>+T885</f>
        <v/>
      </c>
      <c r="J885" s="30"/>
      <c r="K885" s="22" t="str">
        <f>IF(I885="","",IF(I885="ENTRADA",ABS(J885),-ABS(J885)))</f>
        <v/>
      </c>
      <c r="R885" s="22" t="str">
        <f>IF(H885="","",H885&amp;I885)</f>
        <v/>
      </c>
      <c r="S885" s="22" t="str">
        <f>IF(C885="","",C885&amp;I885)</f>
        <v/>
      </c>
      <c r="T885" t="str">
        <f>IF(OR(C885="",I885&lt;&gt;"ENTRADA"),"",TEXT(B885,"AAMMDD")&amp;"-"&amp;TEXT(VALUE(SUBSTITUTE(A885,"MOV-","")),"000"))</f>
        <v/>
      </c>
    </row>
    <row r="886" spans="1:20">
      <c r="A886" s="20" t="s">
        <v>1245</v>
      </c>
      <c r="H886" s="20" t="str">
        <f>+T886</f>
        <v/>
      </c>
      <c r="J886" s="30"/>
      <c r="K886" s="22" t="str">
        <f>IF(I886="","",IF(I886="ENTRADA",ABS(J886),-ABS(J886)))</f>
        <v/>
      </c>
      <c r="R886" s="22" t="str">
        <f>IF(H886="","",H886&amp;I886)</f>
        <v/>
      </c>
      <c r="S886" s="22" t="str">
        <f>IF(C886="","",C886&amp;I886)</f>
        <v/>
      </c>
      <c r="T886" t="str">
        <f>IF(OR(C886="",I886&lt;&gt;"ENTRADA"),"",TEXT(B886,"AAMMDD")&amp;"-"&amp;TEXT(VALUE(SUBSTITUTE(A886,"MOV-","")),"000"))</f>
        <v/>
      </c>
    </row>
    <row r="887" spans="1:20">
      <c r="A887" s="20" t="s">
        <v>1246</v>
      </c>
      <c r="H887" s="20" t="str">
        <f>+T887</f>
        <v/>
      </c>
      <c r="J887" s="30"/>
      <c r="K887" s="22" t="str">
        <f>IF(I887="","",IF(I887="ENTRADA",ABS(J887),-ABS(J887)))</f>
        <v/>
      </c>
      <c r="R887" s="22" t="str">
        <f>IF(H887="","",H887&amp;I887)</f>
        <v/>
      </c>
      <c r="S887" s="22" t="str">
        <f>IF(C887="","",C887&amp;I887)</f>
        <v/>
      </c>
      <c r="T887" t="str">
        <f>IF(OR(C887="",I887&lt;&gt;"ENTRADA"),"",TEXT(B887,"AAMMDD")&amp;"-"&amp;TEXT(VALUE(SUBSTITUTE(A887,"MOV-","")),"000"))</f>
        <v/>
      </c>
    </row>
    <row r="888" spans="1:20">
      <c r="A888" s="20" t="s">
        <v>1247</v>
      </c>
      <c r="H888" s="20" t="str">
        <f>+T888</f>
        <v/>
      </c>
      <c r="J888" s="30"/>
      <c r="K888" s="22" t="str">
        <f>IF(I888="","",IF(I888="ENTRADA",ABS(J888),-ABS(J888)))</f>
        <v/>
      </c>
      <c r="R888" s="22" t="str">
        <f>IF(H888="","",H888&amp;I888)</f>
        <v/>
      </c>
      <c r="S888" s="22" t="str">
        <f>IF(C888="","",C888&amp;I888)</f>
        <v/>
      </c>
      <c r="T888" t="str">
        <f>IF(OR(C888="",I888&lt;&gt;"ENTRADA"),"",TEXT(B888,"AAMMDD")&amp;"-"&amp;TEXT(VALUE(SUBSTITUTE(A888,"MOV-","")),"000"))</f>
        <v/>
      </c>
    </row>
    <row r="889" spans="1:20">
      <c r="A889" s="20" t="s">
        <v>1248</v>
      </c>
      <c r="H889" s="20" t="str">
        <f>+T889</f>
        <v/>
      </c>
      <c r="J889" s="30"/>
      <c r="K889" s="22" t="str">
        <f>IF(I889="","",IF(I889="ENTRADA",ABS(J889),-ABS(J889)))</f>
        <v/>
      </c>
      <c r="R889" s="22" t="str">
        <f>IF(H889="","",H889&amp;I889)</f>
        <v/>
      </c>
      <c r="S889" s="22" t="str">
        <f>IF(C889="","",C889&amp;I889)</f>
        <v/>
      </c>
      <c r="T889" t="str">
        <f>IF(OR(C889="",I889&lt;&gt;"ENTRADA"),"",TEXT(B889,"AAMMDD")&amp;"-"&amp;TEXT(VALUE(SUBSTITUTE(A889,"MOV-","")),"000"))</f>
        <v/>
      </c>
    </row>
    <row r="890" spans="1:20">
      <c r="A890" s="20" t="s">
        <v>1249</v>
      </c>
      <c r="B890" s="34"/>
      <c r="C890" s="34"/>
      <c r="D890" s="34"/>
      <c r="E890" s="34"/>
      <c r="F890" s="34"/>
      <c r="G890" s="34"/>
      <c r="H890" s="20" t="str">
        <f>+T890</f>
        <v/>
      </c>
      <c r="I890" s="34"/>
      <c r="J890" s="36"/>
      <c r="K890" s="22" t="str">
        <f>IF(I890="","",IF(I890="ENTRADA",ABS(J890),-ABS(J890)))</f>
        <v/>
      </c>
      <c r="L890" s="34"/>
      <c r="M890" s="34"/>
      <c r="N890" s="34"/>
      <c r="O890" s="34"/>
      <c r="P890" s="34"/>
      <c r="Q890" s="35"/>
      <c r="R890" s="22" t="str">
        <f>IF(H890="","",H890&amp;I890)</f>
        <v/>
      </c>
      <c r="S890" s="22" t="str">
        <f>IF(C890="","",C890&amp;I890)</f>
        <v/>
      </c>
      <c r="T890" t="str">
        <f>IF(OR(C890="",I890&lt;&gt;"ENTRADA"),"",TEXT(B890,"AAMMDD")&amp;"-"&amp;TEXT(VALUE(SUBSTITUTE(A890,"MOV-","")),"000"))</f>
        <v/>
      </c>
    </row>
    <row r="891" spans="1:20">
      <c r="A891" s="20" t="s">
        <v>1250</v>
      </c>
      <c r="H891" s="20" t="str">
        <f>+T891</f>
        <v/>
      </c>
      <c r="J891" s="30"/>
      <c r="K891" s="22" t="str">
        <f>IF(I891="","",IF(I891="ENTRADA",ABS(J891),-ABS(J891)))</f>
        <v/>
      </c>
      <c r="R891" s="22" t="str">
        <f>IF(H891="","",H891&amp;I891)</f>
        <v/>
      </c>
      <c r="S891" s="22" t="str">
        <f>IF(C891="","",C891&amp;I891)</f>
        <v/>
      </c>
      <c r="T891" t="str">
        <f>IF(OR(C891="",I891&lt;&gt;"ENTRADA"),"",TEXT(B891,"AAMMDD")&amp;"-"&amp;TEXT(VALUE(SUBSTITUTE(A891,"MOV-","")),"000"))</f>
        <v/>
      </c>
    </row>
    <row r="892" spans="1:20">
      <c r="A892" s="20" t="s">
        <v>1251</v>
      </c>
      <c r="H892" s="20" t="str">
        <f>+T892</f>
        <v/>
      </c>
      <c r="J892" s="30"/>
      <c r="K892" s="22" t="str">
        <f>IF(I892="","",IF(I892="ENTRADA",ABS(J892),-ABS(J892)))</f>
        <v/>
      </c>
      <c r="R892" s="22" t="str">
        <f>IF(H892="","",H892&amp;I892)</f>
        <v/>
      </c>
      <c r="S892" s="22" t="str">
        <f>IF(C892="","",C892&amp;I892)</f>
        <v/>
      </c>
      <c r="T892" t="str">
        <f>IF(OR(C892="",I892&lt;&gt;"ENTRADA"),"",TEXT(B892,"AAMMDD")&amp;"-"&amp;TEXT(VALUE(SUBSTITUTE(A892,"MOV-","")),"000"))</f>
        <v/>
      </c>
    </row>
    <row r="893" spans="1:20">
      <c r="A893" s="20" t="s">
        <v>1252</v>
      </c>
      <c r="H893" s="20" t="str">
        <f>+T893</f>
        <v/>
      </c>
      <c r="J893" s="30"/>
      <c r="K893" s="22" t="str">
        <f>IF(I893="","",IF(I893="ENTRADA",ABS(J893),-ABS(J893)))</f>
        <v/>
      </c>
      <c r="R893" s="22" t="str">
        <f>IF(H893="","",H893&amp;I893)</f>
        <v/>
      </c>
      <c r="S893" s="22" t="str">
        <f>IF(C893="","",C893&amp;I893)</f>
        <v/>
      </c>
      <c r="T893" t="str">
        <f>IF(OR(C893="",I893&lt;&gt;"ENTRADA"),"",TEXT(B893,"AAMMDD")&amp;"-"&amp;TEXT(VALUE(SUBSTITUTE(A893,"MOV-","")),"000"))</f>
        <v/>
      </c>
    </row>
    <row r="894" spans="1:20">
      <c r="A894" s="20" t="s">
        <v>1253</v>
      </c>
      <c r="H894" s="20" t="str">
        <f>+T894</f>
        <v/>
      </c>
      <c r="J894" s="30"/>
      <c r="K894" s="22" t="str">
        <f>IF(I894="","",IF(I894="ENTRADA",ABS(J894),-ABS(J894)))</f>
        <v/>
      </c>
      <c r="R894" s="22" t="str">
        <f>IF(H894="","",H894&amp;I894)</f>
        <v/>
      </c>
      <c r="S894" s="22" t="str">
        <f>IF(C894="","",C894&amp;I894)</f>
        <v/>
      </c>
      <c r="T894" t="str">
        <f>IF(OR(C894="",I894&lt;&gt;"ENTRADA"),"",TEXT(B894,"AAMMDD")&amp;"-"&amp;TEXT(VALUE(SUBSTITUTE(A894,"MOV-","")),"000"))</f>
        <v/>
      </c>
    </row>
    <row r="895" spans="1:20">
      <c r="A895" s="20" t="s">
        <v>1254</v>
      </c>
      <c r="H895" s="20" t="str">
        <f>+T895</f>
        <v/>
      </c>
      <c r="J895" s="30"/>
      <c r="K895" s="22" t="str">
        <f>IF(I895="","",IF(I895="ENTRADA",ABS(J895),-ABS(J895)))</f>
        <v/>
      </c>
      <c r="R895" s="22" t="str">
        <f>IF(H895="","",H895&amp;I895)</f>
        <v/>
      </c>
      <c r="S895" s="22" t="str">
        <f>IF(C895="","",C895&amp;I895)</f>
        <v/>
      </c>
      <c r="T895" t="str">
        <f>IF(OR(C895="",I895&lt;&gt;"ENTRADA"),"",TEXT(B895,"AAMMDD")&amp;"-"&amp;TEXT(VALUE(SUBSTITUTE(A895,"MOV-","")),"000"))</f>
        <v/>
      </c>
    </row>
    <row r="896" spans="1:20">
      <c r="A896" s="20" t="s">
        <v>1255</v>
      </c>
      <c r="H896" s="20" t="str">
        <f>+T896</f>
        <v/>
      </c>
      <c r="J896" s="30"/>
      <c r="K896" s="22" t="str">
        <f>IF(I896="","",IF(I896="ENTRADA",ABS(J896),-ABS(J896)))</f>
        <v/>
      </c>
      <c r="R896" s="22" t="str">
        <f>IF(H896="","",H896&amp;I896)</f>
        <v/>
      </c>
      <c r="S896" s="22" t="str">
        <f>IF(C896="","",C896&amp;I896)</f>
        <v/>
      </c>
      <c r="T896" t="str">
        <f>IF(OR(C896="",I896&lt;&gt;"ENTRADA"),"",TEXT(B896,"AAMMDD")&amp;"-"&amp;TEXT(VALUE(SUBSTITUTE(A896,"MOV-","")),"000"))</f>
        <v/>
      </c>
    </row>
    <row r="897" spans="1:20">
      <c r="A897" s="20" t="s">
        <v>1256</v>
      </c>
      <c r="H897" s="20" t="str">
        <f>+T897</f>
        <v/>
      </c>
      <c r="J897" s="30"/>
      <c r="K897" s="22" t="str">
        <f>IF(I897="","",IF(I897="ENTRADA",ABS(J897),-ABS(J897)))</f>
        <v/>
      </c>
      <c r="R897" s="22" t="str">
        <f>IF(H897="","",H897&amp;I897)</f>
        <v/>
      </c>
      <c r="S897" s="22" t="str">
        <f>IF(C897="","",C897&amp;I897)</f>
        <v/>
      </c>
      <c r="T897" t="str">
        <f>IF(OR(C897="",I897&lt;&gt;"ENTRADA"),"",TEXT(B897,"AAMMDD")&amp;"-"&amp;TEXT(VALUE(SUBSTITUTE(A897,"MOV-","")),"000"))</f>
        <v/>
      </c>
    </row>
    <row r="898" spans="1:20">
      <c r="A898" s="20" t="s">
        <v>1257</v>
      </c>
      <c r="H898" s="20" t="str">
        <f>+T898</f>
        <v/>
      </c>
      <c r="J898" s="30"/>
      <c r="K898" s="22" t="str">
        <f>IF(I898="","",IF(I898="ENTRADA",ABS(J898),-ABS(J898)))</f>
        <v/>
      </c>
      <c r="R898" s="22" t="str">
        <f>IF(H898="","",H898&amp;I898)</f>
        <v/>
      </c>
      <c r="S898" s="22" t="str">
        <f>IF(C898="","",C898&amp;I898)</f>
        <v/>
      </c>
      <c r="T898" t="str">
        <f>IF(OR(C898="",I898&lt;&gt;"ENTRADA"),"",TEXT(B898,"AAMMDD")&amp;"-"&amp;TEXT(VALUE(SUBSTITUTE(A898,"MOV-","")),"000"))</f>
        <v/>
      </c>
    </row>
    <row r="899" spans="1:20">
      <c r="A899" s="20" t="s">
        <v>1258</v>
      </c>
      <c r="H899" s="20" t="str">
        <f>+T899</f>
        <v/>
      </c>
      <c r="J899" s="30"/>
      <c r="K899" s="22" t="str">
        <f>IF(I899="","",IF(I899="ENTRADA",ABS(J899),-ABS(J899)))</f>
        <v/>
      </c>
      <c r="R899" s="22" t="str">
        <f>IF(H899="","",H899&amp;I899)</f>
        <v/>
      </c>
      <c r="S899" s="22" t="str">
        <f>IF(C899="","",C899&amp;I899)</f>
        <v/>
      </c>
      <c r="T899" t="str">
        <f>IF(OR(C899="",I899&lt;&gt;"ENTRADA"),"",TEXT(B899,"AAMMDD")&amp;"-"&amp;TEXT(VALUE(SUBSTITUTE(A899,"MOV-","")),"000"))</f>
        <v/>
      </c>
    </row>
    <row r="900" spans="1:20">
      <c r="A900" s="20" t="s">
        <v>1259</v>
      </c>
      <c r="H900" s="20" t="str">
        <f>+T900</f>
        <v/>
      </c>
      <c r="J900" s="30"/>
      <c r="K900" s="22" t="str">
        <f>IF(I900="","",IF(I900="ENTRADA",ABS(J900),-ABS(J900)))</f>
        <v/>
      </c>
      <c r="R900" s="22" t="str">
        <f>IF(H900="","",H900&amp;I900)</f>
        <v/>
      </c>
      <c r="S900" s="22" t="str">
        <f>IF(C900="","",C900&amp;I900)</f>
        <v/>
      </c>
      <c r="T900" t="str">
        <f>IF(OR(C900="",I900&lt;&gt;"ENTRADA"),"",TEXT(B900,"AAMMDD")&amp;"-"&amp;TEXT(VALUE(SUBSTITUTE(A900,"MOV-","")),"000"))</f>
        <v/>
      </c>
    </row>
    <row r="901" spans="1:20">
      <c r="A901" s="20" t="s">
        <v>1260</v>
      </c>
      <c r="B901" s="34"/>
      <c r="C901" s="34"/>
      <c r="D901" s="34"/>
      <c r="E901" s="34"/>
      <c r="F901" s="34"/>
      <c r="G901" s="34"/>
      <c r="H901" s="20" t="str">
        <f>+T901</f>
        <v/>
      </c>
      <c r="I901" s="34"/>
      <c r="J901" s="36"/>
      <c r="K901" s="22" t="str">
        <f>IF(I901="","",IF(I901="ENTRADA",ABS(J901),-ABS(J901)))</f>
        <v/>
      </c>
      <c r="L901" s="34"/>
      <c r="M901" s="34"/>
      <c r="N901" s="34"/>
      <c r="O901" s="34"/>
      <c r="P901" s="34"/>
      <c r="Q901" s="35"/>
      <c r="R901" s="22" t="str">
        <f>IF(H901="","",H901&amp;I901)</f>
        <v/>
      </c>
      <c r="S901" s="22" t="str">
        <f>IF(C901="","",C901&amp;I901)</f>
        <v/>
      </c>
      <c r="T901" t="str">
        <f>IF(OR(C901="",I901&lt;&gt;"ENTRADA"),"",TEXT(B901,"AAMMDD")&amp;"-"&amp;TEXT(VALUE(SUBSTITUTE(A901,"MOV-","")),"000"))</f>
        <v/>
      </c>
    </row>
    <row r="902" spans="1:20">
      <c r="A902" s="20" t="s">
        <v>1261</v>
      </c>
      <c r="H902" s="20" t="str">
        <f>+T902</f>
        <v/>
      </c>
      <c r="J902" s="30"/>
      <c r="K902" s="22" t="str">
        <f>IF(I902="","",IF(I902="ENTRADA",ABS(J902),-ABS(J902)))</f>
        <v/>
      </c>
      <c r="R902" s="22" t="str">
        <f>IF(H902="","",H902&amp;I902)</f>
        <v/>
      </c>
      <c r="S902" s="22" t="str">
        <f>IF(C902="","",C902&amp;I902)</f>
        <v/>
      </c>
      <c r="T902" t="str">
        <f>IF(OR(C902="",I902&lt;&gt;"ENTRADA"),"",TEXT(B902,"AAMMDD")&amp;"-"&amp;TEXT(VALUE(SUBSTITUTE(A902,"MOV-","")),"000"))</f>
        <v/>
      </c>
    </row>
    <row r="903" spans="1:20">
      <c r="A903" s="20" t="s">
        <v>1262</v>
      </c>
      <c r="H903" s="20" t="str">
        <f>+T903</f>
        <v/>
      </c>
      <c r="J903" s="30"/>
      <c r="K903" s="22" t="str">
        <f>IF(I903="","",IF(I903="ENTRADA",ABS(J903),-ABS(J903)))</f>
        <v/>
      </c>
      <c r="R903" s="22" t="str">
        <f>IF(H903="","",H903&amp;I903)</f>
        <v/>
      </c>
      <c r="S903" s="22" t="str">
        <f>IF(C903="","",C903&amp;I903)</f>
        <v/>
      </c>
      <c r="T903" t="str">
        <f>IF(OR(C903="",I903&lt;&gt;"ENTRADA"),"",TEXT(B903,"AAMMDD")&amp;"-"&amp;TEXT(VALUE(SUBSTITUTE(A903,"MOV-","")),"000"))</f>
        <v/>
      </c>
    </row>
    <row r="904" spans="1:20">
      <c r="A904" s="20" t="s">
        <v>1263</v>
      </c>
      <c r="H904" s="20" t="str">
        <f>+T904</f>
        <v/>
      </c>
      <c r="J904" s="30"/>
      <c r="K904" s="22" t="str">
        <f>IF(I904="","",IF(I904="ENTRADA",ABS(J904),-ABS(J904)))</f>
        <v/>
      </c>
      <c r="R904" s="22" t="str">
        <f>IF(H904="","",H904&amp;I904)</f>
        <v/>
      </c>
      <c r="S904" s="22" t="str">
        <f>IF(C904="","",C904&amp;I904)</f>
        <v/>
      </c>
      <c r="T904" t="str">
        <f>IF(OR(C904="",I904&lt;&gt;"ENTRADA"),"",TEXT(B904,"AAMMDD")&amp;"-"&amp;TEXT(VALUE(SUBSTITUTE(A904,"MOV-","")),"000"))</f>
        <v/>
      </c>
    </row>
    <row r="905" spans="1:20">
      <c r="A905" s="20" t="s">
        <v>1264</v>
      </c>
      <c r="H905" s="20" t="str">
        <f>+T905</f>
        <v/>
      </c>
      <c r="J905" s="30"/>
      <c r="K905" s="22" t="str">
        <f>IF(I905="","",IF(I905="ENTRADA",ABS(J905),-ABS(J905)))</f>
        <v/>
      </c>
      <c r="R905" s="22" t="str">
        <f>IF(H905="","",H905&amp;I905)</f>
        <v/>
      </c>
      <c r="S905" s="22" t="str">
        <f>IF(C905="","",C905&amp;I905)</f>
        <v/>
      </c>
      <c r="T905" t="str">
        <f>IF(OR(C905="",I905&lt;&gt;"ENTRADA"),"",TEXT(B905,"AAMMDD")&amp;"-"&amp;TEXT(VALUE(SUBSTITUTE(A905,"MOV-","")),"000"))</f>
        <v/>
      </c>
    </row>
    <row r="906" spans="1:20">
      <c r="A906" s="20" t="s">
        <v>1265</v>
      </c>
      <c r="H906" s="20" t="str">
        <f>+T906</f>
        <v/>
      </c>
      <c r="J906" s="30"/>
      <c r="K906" s="22" t="str">
        <f>IF(I906="","",IF(I906="ENTRADA",ABS(J906),-ABS(J906)))</f>
        <v/>
      </c>
      <c r="R906" s="22" t="str">
        <f>IF(H906="","",H906&amp;I906)</f>
        <v/>
      </c>
      <c r="S906" s="22" t="str">
        <f>IF(C906="","",C906&amp;I906)</f>
        <v/>
      </c>
      <c r="T906" t="str">
        <f>IF(OR(C906="",I906&lt;&gt;"ENTRADA"),"",TEXT(B906,"AAMMDD")&amp;"-"&amp;TEXT(VALUE(SUBSTITUTE(A906,"MOV-","")),"000"))</f>
        <v/>
      </c>
    </row>
    <row r="907" spans="1:20">
      <c r="A907" s="20" t="s">
        <v>1266</v>
      </c>
      <c r="H907" s="20" t="str">
        <f>+T907</f>
        <v/>
      </c>
      <c r="J907" s="30"/>
      <c r="K907" s="22" t="str">
        <f>IF(I907="","",IF(I907="ENTRADA",ABS(J907),-ABS(J907)))</f>
        <v/>
      </c>
      <c r="R907" s="22" t="str">
        <f>IF(H907="","",H907&amp;I907)</f>
        <v/>
      </c>
      <c r="S907" s="22" t="str">
        <f>IF(C907="","",C907&amp;I907)</f>
        <v/>
      </c>
      <c r="T907" t="str">
        <f>IF(OR(C907="",I907&lt;&gt;"ENTRADA"),"",TEXT(B907,"AAMMDD")&amp;"-"&amp;TEXT(VALUE(SUBSTITUTE(A907,"MOV-","")),"000"))</f>
        <v/>
      </c>
    </row>
    <row r="908" spans="1:20">
      <c r="A908" s="20" t="s">
        <v>1267</v>
      </c>
      <c r="H908" s="20" t="str">
        <f>+T908</f>
        <v/>
      </c>
      <c r="J908" s="30"/>
      <c r="K908" s="22" t="str">
        <f>IF(I908="","",IF(I908="ENTRADA",ABS(J908),-ABS(J908)))</f>
        <v/>
      </c>
      <c r="R908" s="22" t="str">
        <f>IF(H908="","",H908&amp;I908)</f>
        <v/>
      </c>
      <c r="S908" s="22" t="str">
        <f>IF(C908="","",C908&amp;I908)</f>
        <v/>
      </c>
      <c r="T908" t="str">
        <f>IF(OR(C908="",I908&lt;&gt;"ENTRADA"),"",TEXT(B908,"AAMMDD")&amp;"-"&amp;TEXT(VALUE(SUBSTITUTE(A908,"MOV-","")),"000"))</f>
        <v/>
      </c>
    </row>
    <row r="909" spans="1:20">
      <c r="A909" s="20" t="s">
        <v>1268</v>
      </c>
      <c r="H909" s="20" t="str">
        <f>+T909</f>
        <v/>
      </c>
      <c r="J909" s="30"/>
      <c r="K909" s="22" t="str">
        <f>IF(I909="","",IF(I909="ENTRADA",ABS(J909),-ABS(J909)))</f>
        <v/>
      </c>
      <c r="R909" s="22" t="str">
        <f>IF(H909="","",H909&amp;I909)</f>
        <v/>
      </c>
      <c r="S909" s="22" t="str">
        <f>IF(C909="","",C909&amp;I909)</f>
        <v/>
      </c>
      <c r="T909" t="str">
        <f>IF(OR(C909="",I909&lt;&gt;"ENTRADA"),"",TEXT(B909,"AAMMDD")&amp;"-"&amp;TEXT(VALUE(SUBSTITUTE(A909,"MOV-","")),"000"))</f>
        <v/>
      </c>
    </row>
    <row r="910" spans="1:20">
      <c r="A910" s="20" t="s">
        <v>1269</v>
      </c>
      <c r="H910" s="20" t="str">
        <f>+T910</f>
        <v/>
      </c>
      <c r="J910" s="30"/>
      <c r="K910" s="22" t="str">
        <f>IF(I910="","",IF(I910="ENTRADA",ABS(J910),-ABS(J910)))</f>
        <v/>
      </c>
      <c r="R910" s="22" t="str">
        <f>IF(H910="","",H910&amp;I910)</f>
        <v/>
      </c>
      <c r="S910" s="22" t="str">
        <f>IF(C910="","",C910&amp;I910)</f>
        <v/>
      </c>
      <c r="T910" t="str">
        <f>IF(OR(C910="",I910&lt;&gt;"ENTRADA"),"",TEXT(B910,"AAMMDD")&amp;"-"&amp;TEXT(VALUE(SUBSTITUTE(A910,"MOV-","")),"000"))</f>
        <v/>
      </c>
    </row>
    <row r="911" spans="1:20">
      <c r="A911" s="20" t="s">
        <v>1270</v>
      </c>
      <c r="H911" s="20" t="str">
        <f>+T911</f>
        <v/>
      </c>
      <c r="J911" s="30"/>
      <c r="K911" s="22" t="str">
        <f>IF(I911="","",IF(I911="ENTRADA",ABS(J911),-ABS(J911)))</f>
        <v/>
      </c>
      <c r="R911" s="22" t="str">
        <f>IF(H911="","",H911&amp;I911)</f>
        <v/>
      </c>
      <c r="S911" s="22" t="str">
        <f>IF(C911="","",C911&amp;I911)</f>
        <v/>
      </c>
      <c r="T911" t="str">
        <f>IF(OR(C911="",I911&lt;&gt;"ENTRADA"),"",TEXT(B911,"AAMMDD")&amp;"-"&amp;TEXT(VALUE(SUBSTITUTE(A911,"MOV-","")),"000"))</f>
        <v/>
      </c>
    </row>
    <row r="912" spans="1:20">
      <c r="A912" s="20" t="s">
        <v>1271</v>
      </c>
      <c r="B912" s="34"/>
      <c r="C912" s="34"/>
      <c r="D912" s="34"/>
      <c r="E912" s="34"/>
      <c r="F912" s="34"/>
      <c r="G912" s="34"/>
      <c r="H912" s="20" t="str">
        <f>+T912</f>
        <v/>
      </c>
      <c r="I912" s="34"/>
      <c r="J912" s="36"/>
      <c r="K912" s="22" t="str">
        <f>IF(I912="","",IF(I912="ENTRADA",ABS(J912),-ABS(J912)))</f>
        <v/>
      </c>
      <c r="L912" s="34"/>
      <c r="M912" s="34"/>
      <c r="N912" s="34"/>
      <c r="O912" s="34"/>
      <c r="P912" s="34"/>
      <c r="Q912" s="35"/>
      <c r="R912" s="22" t="str">
        <f>IF(H912="","",H912&amp;I912)</f>
        <v/>
      </c>
      <c r="S912" s="22" t="str">
        <f>IF(C912="","",C912&amp;I912)</f>
        <v/>
      </c>
      <c r="T912" t="str">
        <f>IF(OR(C912="",I912&lt;&gt;"ENTRADA"),"",TEXT(B912,"AAMMDD")&amp;"-"&amp;TEXT(VALUE(SUBSTITUTE(A912,"MOV-","")),"000"))</f>
        <v/>
      </c>
    </row>
    <row r="913" spans="1:20">
      <c r="A913" s="20" t="s">
        <v>1272</v>
      </c>
      <c r="H913" s="20" t="str">
        <f>+T913</f>
        <v/>
      </c>
      <c r="J913" s="30"/>
      <c r="K913" s="22" t="str">
        <f>IF(I913="","",IF(I913="ENTRADA",ABS(J913),-ABS(J913)))</f>
        <v/>
      </c>
      <c r="R913" s="22" t="str">
        <f>IF(H913="","",H913&amp;I913)</f>
        <v/>
      </c>
      <c r="S913" s="22" t="str">
        <f>IF(C913="","",C913&amp;I913)</f>
        <v/>
      </c>
      <c r="T913" t="str">
        <f>IF(OR(C913="",I913&lt;&gt;"ENTRADA"),"",TEXT(B913,"AAMMDD")&amp;"-"&amp;TEXT(VALUE(SUBSTITUTE(A913,"MOV-","")),"000"))</f>
        <v/>
      </c>
    </row>
    <row r="914" spans="1:20">
      <c r="A914" s="20" t="s">
        <v>1273</v>
      </c>
      <c r="H914" s="20" t="str">
        <f>+T914</f>
        <v/>
      </c>
      <c r="J914" s="30"/>
      <c r="K914" s="22" t="str">
        <f>IF(I914="","",IF(I914="ENTRADA",ABS(J914),-ABS(J914)))</f>
        <v/>
      </c>
      <c r="R914" s="22" t="str">
        <f>IF(H914="","",H914&amp;I914)</f>
        <v/>
      </c>
      <c r="S914" s="22" t="str">
        <f>IF(C914="","",C914&amp;I914)</f>
        <v/>
      </c>
      <c r="T914" t="str">
        <f>IF(OR(C914="",I914&lt;&gt;"ENTRADA"),"",TEXT(B914,"AAMMDD")&amp;"-"&amp;TEXT(VALUE(SUBSTITUTE(A914,"MOV-","")),"000"))</f>
        <v/>
      </c>
    </row>
    <row r="915" spans="1:20">
      <c r="A915" s="20" t="s">
        <v>1274</v>
      </c>
      <c r="H915" s="20" t="str">
        <f>+T915</f>
        <v/>
      </c>
      <c r="J915" s="30"/>
      <c r="K915" s="22" t="str">
        <f>IF(I915="","",IF(I915="ENTRADA",ABS(J915),-ABS(J915)))</f>
        <v/>
      </c>
      <c r="R915" s="22" t="str">
        <f>IF(H915="","",H915&amp;I915)</f>
        <v/>
      </c>
      <c r="S915" s="22" t="str">
        <f>IF(C915="","",C915&amp;I915)</f>
        <v/>
      </c>
      <c r="T915" t="str">
        <f>IF(OR(C915="",I915&lt;&gt;"ENTRADA"),"",TEXT(B915,"AAMMDD")&amp;"-"&amp;TEXT(VALUE(SUBSTITUTE(A915,"MOV-","")),"000"))</f>
        <v/>
      </c>
    </row>
    <row r="916" spans="1:20">
      <c r="A916" s="20" t="s">
        <v>1275</v>
      </c>
      <c r="H916" s="20" t="str">
        <f>+T916</f>
        <v/>
      </c>
      <c r="J916" s="30"/>
      <c r="K916" s="22" t="str">
        <f>IF(I916="","",IF(I916="ENTRADA",ABS(J916),-ABS(J916)))</f>
        <v/>
      </c>
      <c r="R916" s="22" t="str">
        <f>IF(H916="","",H916&amp;I916)</f>
        <v/>
      </c>
      <c r="S916" s="22" t="str">
        <f>IF(C916="","",C916&amp;I916)</f>
        <v/>
      </c>
      <c r="T916" t="str">
        <f>IF(OR(C916="",I916&lt;&gt;"ENTRADA"),"",TEXT(B916,"AAMMDD")&amp;"-"&amp;TEXT(VALUE(SUBSTITUTE(A916,"MOV-","")),"000"))</f>
        <v/>
      </c>
    </row>
    <row r="917" spans="1:20">
      <c r="A917" s="20" t="s">
        <v>1276</v>
      </c>
      <c r="H917" s="20" t="str">
        <f>+T917</f>
        <v/>
      </c>
      <c r="J917" s="30"/>
      <c r="K917" s="22" t="str">
        <f>IF(I917="","",IF(I917="ENTRADA",ABS(J917),-ABS(J917)))</f>
        <v/>
      </c>
      <c r="R917" s="22" t="str">
        <f>IF(H917="","",H917&amp;I917)</f>
        <v/>
      </c>
      <c r="S917" s="22" t="str">
        <f>IF(C917="","",C917&amp;I917)</f>
        <v/>
      </c>
      <c r="T917" t="str">
        <f>IF(OR(C917="",I917&lt;&gt;"ENTRADA"),"",TEXT(B917,"AAMMDD")&amp;"-"&amp;TEXT(VALUE(SUBSTITUTE(A917,"MOV-","")),"000"))</f>
        <v/>
      </c>
    </row>
    <row r="918" spans="1:20">
      <c r="A918" s="20" t="s">
        <v>1277</v>
      </c>
      <c r="H918" s="20" t="str">
        <f>+T918</f>
        <v/>
      </c>
      <c r="J918" s="30"/>
      <c r="K918" s="22" t="str">
        <f>IF(I918="","",IF(I918="ENTRADA",ABS(J918),-ABS(J918)))</f>
        <v/>
      </c>
      <c r="R918" s="22" t="str">
        <f>IF(H918="","",H918&amp;I918)</f>
        <v/>
      </c>
      <c r="S918" s="22" t="str">
        <f>IF(C918="","",C918&amp;I918)</f>
        <v/>
      </c>
      <c r="T918" t="str">
        <f>IF(OR(C918="",I918&lt;&gt;"ENTRADA"),"",TEXT(B918,"AAMMDD")&amp;"-"&amp;TEXT(VALUE(SUBSTITUTE(A918,"MOV-","")),"000"))</f>
        <v/>
      </c>
    </row>
    <row r="919" spans="1:20">
      <c r="A919" s="20" t="s">
        <v>1278</v>
      </c>
      <c r="H919" s="20" t="str">
        <f>+T919</f>
        <v/>
      </c>
      <c r="J919" s="30"/>
      <c r="K919" s="22" t="str">
        <f>IF(I919="","",IF(I919="ENTRADA",ABS(J919),-ABS(J919)))</f>
        <v/>
      </c>
      <c r="R919" s="22" t="str">
        <f>IF(H919="","",H919&amp;I919)</f>
        <v/>
      </c>
      <c r="S919" s="22" t="str">
        <f>IF(C919="","",C919&amp;I919)</f>
        <v/>
      </c>
      <c r="T919" t="str">
        <f>IF(OR(C919="",I919&lt;&gt;"ENTRADA"),"",TEXT(B919,"AAMMDD")&amp;"-"&amp;TEXT(VALUE(SUBSTITUTE(A919,"MOV-","")),"000"))</f>
        <v/>
      </c>
    </row>
    <row r="920" spans="1:20">
      <c r="A920" s="20" t="s">
        <v>1279</v>
      </c>
      <c r="H920" s="20" t="str">
        <f>+T920</f>
        <v/>
      </c>
      <c r="J920" s="30"/>
      <c r="K920" s="22" t="str">
        <f>IF(I920="","",IF(I920="ENTRADA",ABS(J920),-ABS(J920)))</f>
        <v/>
      </c>
      <c r="R920" s="22" t="str">
        <f>IF(H920="","",H920&amp;I920)</f>
        <v/>
      </c>
      <c r="S920" s="22" t="str">
        <f>IF(C920="","",C920&amp;I920)</f>
        <v/>
      </c>
      <c r="T920" t="str">
        <f>IF(OR(C920="",I920&lt;&gt;"ENTRADA"),"",TEXT(B920,"AAMMDD")&amp;"-"&amp;TEXT(VALUE(SUBSTITUTE(A920,"MOV-","")),"000"))</f>
        <v/>
      </c>
    </row>
    <row r="921" spans="1:20">
      <c r="A921" s="20" t="s">
        <v>1280</v>
      </c>
      <c r="H921" s="20" t="str">
        <f>+T921</f>
        <v/>
      </c>
      <c r="J921" s="30"/>
      <c r="K921" s="22" t="str">
        <f>IF(I921="","",IF(I921="ENTRADA",ABS(J921),-ABS(J921)))</f>
        <v/>
      </c>
      <c r="R921" s="22" t="str">
        <f>IF(H921="","",H921&amp;I921)</f>
        <v/>
      </c>
      <c r="S921" s="22" t="str">
        <f>IF(C921="","",C921&amp;I921)</f>
        <v/>
      </c>
      <c r="T921" t="str">
        <f>IF(OR(C921="",I921&lt;&gt;"ENTRADA"),"",TEXT(B921,"AAMMDD")&amp;"-"&amp;TEXT(VALUE(SUBSTITUTE(A921,"MOV-","")),"000"))</f>
        <v/>
      </c>
    </row>
    <row r="922" spans="1:20">
      <c r="A922" s="20" t="s">
        <v>1281</v>
      </c>
      <c r="H922" s="20" t="str">
        <f>+T922</f>
        <v/>
      </c>
      <c r="J922" s="30"/>
      <c r="K922" s="22" t="str">
        <f>IF(I922="","",IF(I922="ENTRADA",ABS(J922),-ABS(J922)))</f>
        <v/>
      </c>
      <c r="R922" s="22" t="str">
        <f>IF(H922="","",H922&amp;I922)</f>
        <v/>
      </c>
      <c r="S922" s="22" t="str">
        <f>IF(C922="","",C922&amp;I922)</f>
        <v/>
      </c>
      <c r="T922" t="str">
        <f>IF(OR(C922="",I922&lt;&gt;"ENTRADA"),"",TEXT(B922,"AAMMDD")&amp;"-"&amp;TEXT(VALUE(SUBSTITUTE(A922,"MOV-","")),"000"))</f>
        <v/>
      </c>
    </row>
    <row r="923" spans="1:20">
      <c r="A923" s="20" t="s">
        <v>1282</v>
      </c>
      <c r="B923" s="34"/>
      <c r="C923" s="34"/>
      <c r="D923" s="34"/>
      <c r="E923" s="34"/>
      <c r="F923" s="34"/>
      <c r="G923" s="34"/>
      <c r="H923" s="20" t="str">
        <f>+T923</f>
        <v/>
      </c>
      <c r="I923" s="34"/>
      <c r="J923" s="36"/>
      <c r="K923" s="22" t="str">
        <f>IF(I923="","",IF(I923="ENTRADA",ABS(J923),-ABS(J923)))</f>
        <v/>
      </c>
      <c r="L923" s="34"/>
      <c r="M923" s="34"/>
      <c r="N923" s="34"/>
      <c r="O923" s="34"/>
      <c r="P923" s="34"/>
      <c r="Q923" s="35"/>
      <c r="R923" s="22" t="str">
        <f>IF(H923="","",H923&amp;I923)</f>
        <v/>
      </c>
      <c r="S923" s="22" t="str">
        <f>IF(C923="","",C923&amp;I923)</f>
        <v/>
      </c>
      <c r="T923" t="str">
        <f>IF(OR(C923="",I923&lt;&gt;"ENTRADA"),"",TEXT(B923,"AAMMDD")&amp;"-"&amp;TEXT(VALUE(SUBSTITUTE(A923,"MOV-","")),"000"))</f>
        <v/>
      </c>
    </row>
    <row r="924" spans="1:20">
      <c r="A924" s="20" t="s">
        <v>1283</v>
      </c>
      <c r="H924" s="20" t="str">
        <f>+T924</f>
        <v/>
      </c>
      <c r="J924" s="30"/>
      <c r="K924" s="22" t="str">
        <f>IF(I924="","",IF(I924="ENTRADA",ABS(J924),-ABS(J924)))</f>
        <v/>
      </c>
      <c r="R924" s="22" t="str">
        <f>IF(H924="","",H924&amp;I924)</f>
        <v/>
      </c>
      <c r="S924" s="22" t="str">
        <f>IF(C924="","",C924&amp;I924)</f>
        <v/>
      </c>
      <c r="T924" t="str">
        <f>IF(OR(C924="",I924&lt;&gt;"ENTRADA"),"",TEXT(B924,"AAMMDD")&amp;"-"&amp;TEXT(VALUE(SUBSTITUTE(A924,"MOV-","")),"000"))</f>
        <v/>
      </c>
    </row>
    <row r="925" spans="1:20">
      <c r="A925" s="20" t="s">
        <v>1284</v>
      </c>
      <c r="H925" s="20" t="str">
        <f>+T925</f>
        <v/>
      </c>
      <c r="J925" s="30"/>
      <c r="K925" s="22" t="str">
        <f>IF(I925="","",IF(I925="ENTRADA",ABS(J925),-ABS(J925)))</f>
        <v/>
      </c>
      <c r="R925" s="22" t="str">
        <f>IF(H925="","",H925&amp;I925)</f>
        <v/>
      </c>
      <c r="S925" s="22" t="str">
        <f>IF(C925="","",C925&amp;I925)</f>
        <v/>
      </c>
      <c r="T925" t="str">
        <f>IF(OR(C925="",I925&lt;&gt;"ENTRADA"),"",TEXT(B925,"AAMMDD")&amp;"-"&amp;TEXT(VALUE(SUBSTITUTE(A925,"MOV-","")),"000"))</f>
        <v/>
      </c>
    </row>
    <row r="926" spans="1:20">
      <c r="A926" s="20" t="s">
        <v>1285</v>
      </c>
      <c r="H926" s="20" t="str">
        <f>+T926</f>
        <v/>
      </c>
      <c r="J926" s="30"/>
      <c r="K926" s="22" t="str">
        <f>IF(I926="","",IF(I926="ENTRADA",ABS(J926),-ABS(J926)))</f>
        <v/>
      </c>
      <c r="R926" s="22" t="str">
        <f>IF(H926="","",H926&amp;I926)</f>
        <v/>
      </c>
      <c r="S926" s="22" t="str">
        <f>IF(C926="","",C926&amp;I926)</f>
        <v/>
      </c>
      <c r="T926" t="str">
        <f>IF(OR(C926="",I926&lt;&gt;"ENTRADA"),"",TEXT(B926,"AAMMDD")&amp;"-"&amp;TEXT(VALUE(SUBSTITUTE(A926,"MOV-","")),"000"))</f>
        <v/>
      </c>
    </row>
    <row r="927" spans="1:20">
      <c r="A927" s="20" t="s">
        <v>1286</v>
      </c>
      <c r="H927" s="20" t="str">
        <f>+T927</f>
        <v/>
      </c>
      <c r="J927" s="30"/>
      <c r="K927" s="22" t="str">
        <f>IF(I927="","",IF(I927="ENTRADA",ABS(J927),-ABS(J927)))</f>
        <v/>
      </c>
      <c r="R927" s="22" t="str">
        <f>IF(H927="","",H927&amp;I927)</f>
        <v/>
      </c>
      <c r="S927" s="22" t="str">
        <f>IF(C927="","",C927&amp;I927)</f>
        <v/>
      </c>
      <c r="T927" t="str">
        <f>IF(OR(C927="",I927&lt;&gt;"ENTRADA"),"",TEXT(B927,"AAMMDD")&amp;"-"&amp;TEXT(VALUE(SUBSTITUTE(A927,"MOV-","")),"000"))</f>
        <v/>
      </c>
    </row>
    <row r="928" spans="1:20">
      <c r="A928" s="20" t="s">
        <v>1287</v>
      </c>
      <c r="H928" s="20" t="str">
        <f>+T928</f>
        <v/>
      </c>
      <c r="J928" s="30"/>
      <c r="K928" s="22" t="str">
        <f>IF(I928="","",IF(I928="ENTRADA",ABS(J928),-ABS(J928)))</f>
        <v/>
      </c>
      <c r="R928" s="22" t="str">
        <f>IF(H928="","",H928&amp;I928)</f>
        <v/>
      </c>
      <c r="S928" s="22" t="str">
        <f>IF(C928="","",C928&amp;I928)</f>
        <v/>
      </c>
      <c r="T928" t="str">
        <f>IF(OR(C928="",I928&lt;&gt;"ENTRADA"),"",TEXT(B928,"AAMMDD")&amp;"-"&amp;TEXT(VALUE(SUBSTITUTE(A928,"MOV-","")),"000"))</f>
        <v/>
      </c>
    </row>
    <row r="929" spans="1:20">
      <c r="A929" s="20" t="s">
        <v>1288</v>
      </c>
      <c r="H929" s="20" t="str">
        <f>+T929</f>
        <v/>
      </c>
      <c r="J929" s="30"/>
      <c r="K929" s="22" t="str">
        <f>IF(I929="","",IF(I929="ENTRADA",ABS(J929),-ABS(J929)))</f>
        <v/>
      </c>
      <c r="R929" s="22" t="str">
        <f>IF(H929="","",H929&amp;I929)</f>
        <v/>
      </c>
      <c r="S929" s="22" t="str">
        <f>IF(C929="","",C929&amp;I929)</f>
        <v/>
      </c>
      <c r="T929" t="str">
        <f>IF(OR(C929="",I929&lt;&gt;"ENTRADA"),"",TEXT(B929,"AAMMDD")&amp;"-"&amp;TEXT(VALUE(SUBSTITUTE(A929,"MOV-","")),"000"))</f>
        <v/>
      </c>
    </row>
    <row r="930" spans="1:20">
      <c r="A930" s="20" t="s">
        <v>1289</v>
      </c>
      <c r="H930" s="20" t="str">
        <f>+T930</f>
        <v/>
      </c>
      <c r="J930" s="30"/>
      <c r="K930" s="22" t="str">
        <f>IF(I930="","",IF(I930="ENTRADA",ABS(J930),-ABS(J930)))</f>
        <v/>
      </c>
      <c r="R930" s="22" t="str">
        <f>IF(H930="","",H930&amp;I930)</f>
        <v/>
      </c>
      <c r="S930" s="22" t="str">
        <f>IF(C930="","",C930&amp;I930)</f>
        <v/>
      </c>
      <c r="T930" t="str">
        <f>IF(OR(C930="",I930&lt;&gt;"ENTRADA"),"",TEXT(B930,"AAMMDD")&amp;"-"&amp;TEXT(VALUE(SUBSTITUTE(A930,"MOV-","")),"000"))</f>
        <v/>
      </c>
    </row>
    <row r="931" spans="1:20">
      <c r="A931" s="20" t="s">
        <v>1290</v>
      </c>
      <c r="H931" s="20" t="str">
        <f>+T931</f>
        <v/>
      </c>
      <c r="J931" s="30"/>
      <c r="K931" s="22" t="str">
        <f>IF(I931="","",IF(I931="ENTRADA",ABS(J931),-ABS(J931)))</f>
        <v/>
      </c>
      <c r="R931" s="22" t="str">
        <f>IF(H931="","",H931&amp;I931)</f>
        <v/>
      </c>
      <c r="S931" s="22" t="str">
        <f>IF(C931="","",C931&amp;I931)</f>
        <v/>
      </c>
      <c r="T931" t="str">
        <f>IF(OR(C931="",I931&lt;&gt;"ENTRADA"),"",TEXT(B931,"AAMMDD")&amp;"-"&amp;TEXT(VALUE(SUBSTITUTE(A931,"MOV-","")),"000"))</f>
        <v/>
      </c>
    </row>
    <row r="932" spans="1:20">
      <c r="A932" s="20" t="s">
        <v>1291</v>
      </c>
      <c r="H932" s="20" t="str">
        <f>+T932</f>
        <v/>
      </c>
      <c r="J932" s="30"/>
      <c r="K932" s="22" t="str">
        <f>IF(I932="","",IF(I932="ENTRADA",ABS(J932),-ABS(J932)))</f>
        <v/>
      </c>
      <c r="R932" s="22" t="str">
        <f>IF(H932="","",H932&amp;I932)</f>
        <v/>
      </c>
      <c r="S932" s="22" t="str">
        <f>IF(C932="","",C932&amp;I932)</f>
        <v/>
      </c>
      <c r="T932" t="str">
        <f>IF(OR(C932="",I932&lt;&gt;"ENTRADA"),"",TEXT(B932,"AAMMDD")&amp;"-"&amp;TEXT(VALUE(SUBSTITUTE(A932,"MOV-","")),"000"))</f>
        <v/>
      </c>
    </row>
    <row r="933" spans="1:20">
      <c r="A933" s="20" t="s">
        <v>1292</v>
      </c>
      <c r="H933" s="20" t="str">
        <f>+T933</f>
        <v/>
      </c>
      <c r="J933" s="30"/>
      <c r="K933" s="22" t="str">
        <f>IF(I933="","",IF(I933="ENTRADA",ABS(J933),-ABS(J933)))</f>
        <v/>
      </c>
      <c r="R933" s="22" t="str">
        <f>IF(H933="","",H933&amp;I933)</f>
        <v/>
      </c>
      <c r="S933" s="22" t="str">
        <f>IF(C933="","",C933&amp;I933)</f>
        <v/>
      </c>
      <c r="T933" t="str">
        <f>IF(OR(C933="",I933&lt;&gt;"ENTRADA"),"",TEXT(B933,"AAMMDD")&amp;"-"&amp;TEXT(VALUE(SUBSTITUTE(A933,"MOV-","")),"000"))</f>
        <v/>
      </c>
    </row>
    <row r="934" spans="1:20">
      <c r="A934" s="20" t="s">
        <v>1293</v>
      </c>
      <c r="B934" s="34"/>
      <c r="C934" s="34"/>
      <c r="D934" s="34"/>
      <c r="E934" s="34"/>
      <c r="F934" s="34"/>
      <c r="G934" s="34"/>
      <c r="H934" s="20" t="str">
        <f>+T934</f>
        <v/>
      </c>
      <c r="I934" s="34"/>
      <c r="J934" s="36"/>
      <c r="K934" s="22" t="str">
        <f>IF(I934="","",IF(I934="ENTRADA",ABS(J934),-ABS(J934)))</f>
        <v/>
      </c>
      <c r="L934" s="34"/>
      <c r="M934" s="34"/>
      <c r="N934" s="34"/>
      <c r="O934" s="34"/>
      <c r="P934" s="34"/>
      <c r="Q934" s="35"/>
      <c r="R934" s="22" t="str">
        <f>IF(H934="","",H934&amp;I934)</f>
        <v/>
      </c>
      <c r="S934" s="22" t="str">
        <f>IF(C934="","",C934&amp;I934)</f>
        <v/>
      </c>
      <c r="T934" t="str">
        <f>IF(OR(C934="",I934&lt;&gt;"ENTRADA"),"",TEXT(B934,"AAMMDD")&amp;"-"&amp;TEXT(VALUE(SUBSTITUTE(A934,"MOV-","")),"000"))</f>
        <v/>
      </c>
    </row>
    <row r="935" spans="1:20">
      <c r="A935" s="20" t="s">
        <v>1294</v>
      </c>
      <c r="H935" s="20" t="str">
        <f>+T935</f>
        <v/>
      </c>
      <c r="J935" s="30"/>
      <c r="K935" s="22" t="str">
        <f>IF(I935="","",IF(I935="ENTRADA",ABS(J935),-ABS(J935)))</f>
        <v/>
      </c>
      <c r="R935" s="22" t="str">
        <f>IF(H935="","",H935&amp;I935)</f>
        <v/>
      </c>
      <c r="S935" s="22" t="str">
        <f>IF(C935="","",C935&amp;I935)</f>
        <v/>
      </c>
      <c r="T935" t="str">
        <f>IF(OR(C935="",I935&lt;&gt;"ENTRADA"),"",TEXT(B935,"AAMMDD")&amp;"-"&amp;TEXT(VALUE(SUBSTITUTE(A935,"MOV-","")),"000"))</f>
        <v/>
      </c>
    </row>
    <row r="936" spans="1:20">
      <c r="A936" s="20" t="s">
        <v>1295</v>
      </c>
      <c r="H936" s="20" t="str">
        <f>+T936</f>
        <v/>
      </c>
      <c r="J936" s="30"/>
      <c r="K936" s="22" t="str">
        <f>IF(I936="","",IF(I936="ENTRADA",ABS(J936),-ABS(J936)))</f>
        <v/>
      </c>
      <c r="R936" s="22" t="str">
        <f>IF(H936="","",H936&amp;I936)</f>
        <v/>
      </c>
      <c r="S936" s="22" t="str">
        <f>IF(C936="","",C936&amp;I936)</f>
        <v/>
      </c>
      <c r="T936" t="str">
        <f>IF(OR(C936="",I936&lt;&gt;"ENTRADA"),"",TEXT(B936,"AAMMDD")&amp;"-"&amp;TEXT(VALUE(SUBSTITUTE(A936,"MOV-","")),"000"))</f>
        <v/>
      </c>
    </row>
    <row r="937" spans="1:20">
      <c r="A937" s="20" t="s">
        <v>1296</v>
      </c>
      <c r="H937" s="20" t="str">
        <f>+T937</f>
        <v/>
      </c>
      <c r="J937" s="30"/>
      <c r="K937" s="22" t="str">
        <f>IF(I937="","",IF(I937="ENTRADA",ABS(J937),-ABS(J937)))</f>
        <v/>
      </c>
      <c r="R937" s="22" t="str">
        <f>IF(H937="","",H937&amp;I937)</f>
        <v/>
      </c>
      <c r="S937" s="22" t="str">
        <f>IF(C937="","",C937&amp;I937)</f>
        <v/>
      </c>
      <c r="T937" t="str">
        <f>IF(OR(C937="",I937&lt;&gt;"ENTRADA"),"",TEXT(B937,"AAMMDD")&amp;"-"&amp;TEXT(VALUE(SUBSTITUTE(A937,"MOV-","")),"000"))</f>
        <v/>
      </c>
    </row>
    <row r="938" spans="1:20">
      <c r="A938" s="20" t="s">
        <v>1297</v>
      </c>
      <c r="H938" s="20" t="str">
        <f>+T938</f>
        <v/>
      </c>
      <c r="J938" s="30"/>
      <c r="K938" s="22" t="str">
        <f>IF(I938="","",IF(I938="ENTRADA",ABS(J938),-ABS(J938)))</f>
        <v/>
      </c>
      <c r="R938" s="22" t="str">
        <f>IF(H938="","",H938&amp;I938)</f>
        <v/>
      </c>
      <c r="S938" s="22" t="str">
        <f>IF(C938="","",C938&amp;I938)</f>
        <v/>
      </c>
      <c r="T938" t="str">
        <f>IF(OR(C938="",I938&lt;&gt;"ENTRADA"),"",TEXT(B938,"AAMMDD")&amp;"-"&amp;TEXT(VALUE(SUBSTITUTE(A938,"MOV-","")),"000"))</f>
        <v/>
      </c>
    </row>
    <row r="939" spans="1:20">
      <c r="A939" s="20" t="s">
        <v>1298</v>
      </c>
      <c r="H939" s="20" t="str">
        <f>+T939</f>
        <v/>
      </c>
      <c r="J939" s="30"/>
      <c r="K939" s="22" t="str">
        <f>IF(I939="","",IF(I939="ENTRADA",ABS(J939),-ABS(J939)))</f>
        <v/>
      </c>
      <c r="R939" s="22" t="str">
        <f>IF(H939="","",H939&amp;I939)</f>
        <v/>
      </c>
      <c r="S939" s="22" t="str">
        <f>IF(C939="","",C939&amp;I939)</f>
        <v/>
      </c>
      <c r="T939" t="str">
        <f>IF(OR(C939="",I939&lt;&gt;"ENTRADA"),"",TEXT(B939,"AAMMDD")&amp;"-"&amp;TEXT(VALUE(SUBSTITUTE(A939,"MOV-","")),"000"))</f>
        <v/>
      </c>
    </row>
    <row r="940" spans="1:20">
      <c r="A940" s="20" t="s">
        <v>1299</v>
      </c>
      <c r="H940" s="20" t="str">
        <f>+T940</f>
        <v/>
      </c>
      <c r="J940" s="30"/>
      <c r="K940" s="22" t="str">
        <f>IF(I940="","",IF(I940="ENTRADA",ABS(J940),-ABS(J940)))</f>
        <v/>
      </c>
      <c r="R940" s="22" t="str">
        <f>IF(H940="","",H940&amp;I940)</f>
        <v/>
      </c>
      <c r="S940" s="22" t="str">
        <f>IF(C940="","",C940&amp;I940)</f>
        <v/>
      </c>
      <c r="T940" t="str">
        <f>IF(OR(C940="",I940&lt;&gt;"ENTRADA"),"",TEXT(B940,"AAMMDD")&amp;"-"&amp;TEXT(VALUE(SUBSTITUTE(A940,"MOV-","")),"000"))</f>
        <v/>
      </c>
    </row>
    <row r="941" spans="1:20">
      <c r="A941" s="20" t="s">
        <v>1300</v>
      </c>
      <c r="H941" s="20" t="str">
        <f>+T941</f>
        <v/>
      </c>
      <c r="J941" s="30"/>
      <c r="K941" s="22" t="str">
        <f>IF(I941="","",IF(I941="ENTRADA",ABS(J941),-ABS(J941)))</f>
        <v/>
      </c>
      <c r="R941" s="22" t="str">
        <f>IF(H941="","",H941&amp;I941)</f>
        <v/>
      </c>
      <c r="S941" s="22" t="str">
        <f>IF(C941="","",C941&amp;I941)</f>
        <v/>
      </c>
      <c r="T941" t="str">
        <f>IF(OR(C941="",I941&lt;&gt;"ENTRADA"),"",TEXT(B941,"AAMMDD")&amp;"-"&amp;TEXT(VALUE(SUBSTITUTE(A941,"MOV-","")),"000"))</f>
        <v/>
      </c>
    </row>
    <row r="942" spans="1:20">
      <c r="A942" s="20" t="s">
        <v>1301</v>
      </c>
      <c r="H942" s="20" t="str">
        <f>+T942</f>
        <v/>
      </c>
      <c r="J942" s="30"/>
      <c r="K942" s="22" t="str">
        <f>IF(I942="","",IF(I942="ENTRADA",ABS(J942),-ABS(J942)))</f>
        <v/>
      </c>
      <c r="R942" s="22" t="str">
        <f>IF(H942="","",H942&amp;I942)</f>
        <v/>
      </c>
      <c r="S942" s="22" t="str">
        <f>IF(C942="","",C942&amp;I942)</f>
        <v/>
      </c>
      <c r="T942" t="str">
        <f>IF(OR(C942="",I942&lt;&gt;"ENTRADA"),"",TEXT(B942,"AAMMDD")&amp;"-"&amp;TEXT(VALUE(SUBSTITUTE(A942,"MOV-","")),"000"))</f>
        <v/>
      </c>
    </row>
    <row r="943" spans="1:20">
      <c r="A943" s="20" t="s">
        <v>1302</v>
      </c>
      <c r="H943" s="20" t="str">
        <f>+T943</f>
        <v/>
      </c>
      <c r="J943" s="30"/>
      <c r="K943" s="22" t="str">
        <f>IF(I943="","",IF(I943="ENTRADA",ABS(J943),-ABS(J943)))</f>
        <v/>
      </c>
      <c r="R943" s="22" t="str">
        <f>IF(H943="","",H943&amp;I943)</f>
        <v/>
      </c>
      <c r="S943" s="22" t="str">
        <f>IF(C943="","",C943&amp;I943)</f>
        <v/>
      </c>
      <c r="T943" t="str">
        <f>IF(OR(C943="",I943&lt;&gt;"ENTRADA"),"",TEXT(B943,"AAMMDD")&amp;"-"&amp;TEXT(VALUE(SUBSTITUTE(A943,"MOV-","")),"000"))</f>
        <v/>
      </c>
    </row>
    <row r="944" spans="1:20">
      <c r="A944" s="20" t="s">
        <v>1303</v>
      </c>
      <c r="H944" s="20" t="str">
        <f>+T944</f>
        <v/>
      </c>
      <c r="J944" s="30"/>
      <c r="K944" s="22" t="str">
        <f>IF(I944="","",IF(I944="ENTRADA",ABS(J944),-ABS(J944)))</f>
        <v/>
      </c>
      <c r="R944" s="22" t="str">
        <f>IF(H944="","",H944&amp;I944)</f>
        <v/>
      </c>
      <c r="S944" s="22" t="str">
        <f>IF(C944="","",C944&amp;I944)</f>
        <v/>
      </c>
      <c r="T944" t="str">
        <f>IF(OR(C944="",I944&lt;&gt;"ENTRADA"),"",TEXT(B944,"AAMMDD")&amp;"-"&amp;TEXT(VALUE(SUBSTITUTE(A944,"MOV-","")),"000"))</f>
        <v/>
      </c>
    </row>
    <row r="945" spans="1:20">
      <c r="A945" s="20" t="s">
        <v>1304</v>
      </c>
      <c r="B945" s="34"/>
      <c r="C945" s="34"/>
      <c r="D945" s="34"/>
      <c r="E945" s="34"/>
      <c r="F945" s="34"/>
      <c r="G945" s="34"/>
      <c r="H945" s="20" t="str">
        <f>+T945</f>
        <v/>
      </c>
      <c r="I945" s="34"/>
      <c r="J945" s="36"/>
      <c r="K945" s="22" t="str">
        <f>IF(I945="","",IF(I945="ENTRADA",ABS(J945),-ABS(J945)))</f>
        <v/>
      </c>
      <c r="L945" s="34"/>
      <c r="M945" s="34"/>
      <c r="N945" s="34"/>
      <c r="O945" s="34"/>
      <c r="P945" s="34"/>
      <c r="Q945" s="35"/>
      <c r="R945" s="22" t="str">
        <f>IF(H945="","",H945&amp;I945)</f>
        <v/>
      </c>
      <c r="S945" s="22" t="str">
        <f>IF(C945="","",C945&amp;I945)</f>
        <v/>
      </c>
      <c r="T945" t="str">
        <f>IF(OR(C945="",I945&lt;&gt;"ENTRADA"),"",TEXT(B945,"AAMMDD")&amp;"-"&amp;TEXT(VALUE(SUBSTITUTE(A945,"MOV-","")),"000"))</f>
        <v/>
      </c>
    </row>
    <row r="946" spans="1:20">
      <c r="A946" s="20" t="s">
        <v>1305</v>
      </c>
      <c r="H946" s="20" t="str">
        <f>+T946</f>
        <v/>
      </c>
      <c r="J946" s="30"/>
      <c r="K946" s="22" t="str">
        <f>IF(I946="","",IF(I946="ENTRADA",ABS(J946),-ABS(J946)))</f>
        <v/>
      </c>
      <c r="R946" s="22" t="str">
        <f>IF(H946="","",H946&amp;I946)</f>
        <v/>
      </c>
      <c r="S946" s="22" t="str">
        <f>IF(C946="","",C946&amp;I946)</f>
        <v/>
      </c>
      <c r="T946" t="str">
        <f>IF(OR(C946="",I946&lt;&gt;"ENTRADA"),"",TEXT(B946,"AAMMDD")&amp;"-"&amp;TEXT(VALUE(SUBSTITUTE(A946,"MOV-","")),"000"))</f>
        <v/>
      </c>
    </row>
    <row r="947" spans="1:20">
      <c r="A947" s="20" t="s">
        <v>1306</v>
      </c>
      <c r="H947" s="20" t="str">
        <f>+T947</f>
        <v/>
      </c>
      <c r="J947" s="30"/>
      <c r="K947" s="22" t="str">
        <f>IF(I947="","",IF(I947="ENTRADA",ABS(J947),-ABS(J947)))</f>
        <v/>
      </c>
      <c r="R947" s="22" t="str">
        <f>IF(H947="","",H947&amp;I947)</f>
        <v/>
      </c>
      <c r="S947" s="22" t="str">
        <f>IF(C947="","",C947&amp;I947)</f>
        <v/>
      </c>
      <c r="T947" t="str">
        <f>IF(OR(C947="",I947&lt;&gt;"ENTRADA"),"",TEXT(B947,"AAMMDD")&amp;"-"&amp;TEXT(VALUE(SUBSTITUTE(A947,"MOV-","")),"000"))</f>
        <v/>
      </c>
    </row>
    <row r="948" spans="1:20">
      <c r="A948" s="20" t="s">
        <v>1307</v>
      </c>
      <c r="H948" s="20" t="str">
        <f>+T948</f>
        <v/>
      </c>
      <c r="J948" s="30"/>
      <c r="K948" s="22" t="str">
        <f>IF(I948="","",IF(I948="ENTRADA",ABS(J948),-ABS(J948)))</f>
        <v/>
      </c>
      <c r="R948" s="22" t="str">
        <f>IF(H948="","",H948&amp;I948)</f>
        <v/>
      </c>
      <c r="S948" s="22" t="str">
        <f>IF(C948="","",C948&amp;I948)</f>
        <v/>
      </c>
      <c r="T948" t="str">
        <f>IF(OR(C948="",I948&lt;&gt;"ENTRADA"),"",TEXT(B948,"AAMMDD")&amp;"-"&amp;TEXT(VALUE(SUBSTITUTE(A948,"MOV-","")),"000"))</f>
        <v/>
      </c>
    </row>
    <row r="949" spans="1:20">
      <c r="A949" s="20" t="s">
        <v>1308</v>
      </c>
      <c r="H949" s="20" t="str">
        <f>+T949</f>
        <v/>
      </c>
      <c r="J949" s="30"/>
      <c r="K949" s="22" t="str">
        <f>IF(I949="","",IF(I949="ENTRADA",ABS(J949),-ABS(J949)))</f>
        <v/>
      </c>
      <c r="R949" s="22" t="str">
        <f>IF(H949="","",H949&amp;I949)</f>
        <v/>
      </c>
      <c r="S949" s="22" t="str">
        <f>IF(C949="","",C949&amp;I949)</f>
        <v/>
      </c>
      <c r="T949" t="str">
        <f>IF(OR(C949="",I949&lt;&gt;"ENTRADA"),"",TEXT(B949,"AAMMDD")&amp;"-"&amp;TEXT(VALUE(SUBSTITUTE(A949,"MOV-","")),"000"))</f>
        <v/>
      </c>
    </row>
    <row r="950" spans="1:20">
      <c r="A950" s="20" t="s">
        <v>1309</v>
      </c>
      <c r="H950" s="20" t="str">
        <f>+T950</f>
        <v/>
      </c>
      <c r="J950" s="30"/>
      <c r="K950" s="22" t="str">
        <f>IF(I950="","",IF(I950="ENTRADA",ABS(J950),-ABS(J950)))</f>
        <v/>
      </c>
      <c r="R950" s="22" t="str">
        <f>IF(H950="","",H950&amp;I950)</f>
        <v/>
      </c>
      <c r="S950" s="22" t="str">
        <f>IF(C950="","",C950&amp;I950)</f>
        <v/>
      </c>
      <c r="T950" t="str">
        <f>IF(OR(C950="",I950&lt;&gt;"ENTRADA"),"",TEXT(B950,"AAMMDD")&amp;"-"&amp;TEXT(VALUE(SUBSTITUTE(A950,"MOV-","")),"000"))</f>
        <v/>
      </c>
    </row>
    <row r="951" spans="1:20">
      <c r="A951" s="20" t="s">
        <v>1310</v>
      </c>
      <c r="H951" s="20" t="str">
        <f>+T951</f>
        <v/>
      </c>
      <c r="J951" s="30"/>
      <c r="K951" s="22" t="str">
        <f>IF(I951="","",IF(I951="ENTRADA",ABS(J951),-ABS(J951)))</f>
        <v/>
      </c>
      <c r="R951" s="22" t="str">
        <f>IF(H951="","",H951&amp;I951)</f>
        <v/>
      </c>
      <c r="S951" s="22" t="str">
        <f>IF(C951="","",C951&amp;I951)</f>
        <v/>
      </c>
      <c r="T951" t="str">
        <f>IF(OR(C951="",I951&lt;&gt;"ENTRADA"),"",TEXT(B951,"AAMMDD")&amp;"-"&amp;TEXT(VALUE(SUBSTITUTE(A951,"MOV-","")),"000"))</f>
        <v/>
      </c>
    </row>
    <row r="952" spans="1:20">
      <c r="A952" s="20" t="s">
        <v>1311</v>
      </c>
      <c r="H952" s="20" t="str">
        <f>+T952</f>
        <v/>
      </c>
      <c r="J952" s="30"/>
      <c r="K952" s="22" t="str">
        <f>IF(I952="","",IF(I952="ENTRADA",ABS(J952),-ABS(J952)))</f>
        <v/>
      </c>
      <c r="R952" s="22" t="str">
        <f>IF(H952="","",H952&amp;I952)</f>
        <v/>
      </c>
      <c r="S952" s="22" t="str">
        <f>IF(C952="","",C952&amp;I952)</f>
        <v/>
      </c>
      <c r="T952" t="str">
        <f>IF(OR(C952="",I952&lt;&gt;"ENTRADA"),"",TEXT(B952,"AAMMDD")&amp;"-"&amp;TEXT(VALUE(SUBSTITUTE(A952,"MOV-","")),"000"))</f>
        <v/>
      </c>
    </row>
    <row r="953" spans="1:20">
      <c r="A953" s="20" t="s">
        <v>1312</v>
      </c>
      <c r="H953" s="20" t="str">
        <f>+T953</f>
        <v/>
      </c>
      <c r="J953" s="30"/>
      <c r="K953" s="22" t="str">
        <f>IF(I953="","",IF(I953="ENTRADA",ABS(J953),-ABS(J953)))</f>
        <v/>
      </c>
      <c r="R953" s="22" t="str">
        <f>IF(H953="","",H953&amp;I953)</f>
        <v/>
      </c>
      <c r="S953" s="22" t="str">
        <f>IF(C953="","",C953&amp;I953)</f>
        <v/>
      </c>
      <c r="T953" t="str">
        <f>IF(OR(C953="",I953&lt;&gt;"ENTRADA"),"",TEXT(B953,"AAMMDD")&amp;"-"&amp;TEXT(VALUE(SUBSTITUTE(A953,"MOV-","")),"000"))</f>
        <v/>
      </c>
    </row>
    <row r="954" spans="1:20">
      <c r="A954" s="20" t="s">
        <v>1313</v>
      </c>
      <c r="H954" s="20" t="str">
        <f>+T954</f>
        <v/>
      </c>
      <c r="J954" s="30"/>
      <c r="K954" s="22" t="str">
        <f>IF(I954="","",IF(I954="ENTRADA",ABS(J954),-ABS(J954)))</f>
        <v/>
      </c>
      <c r="R954" s="22" t="str">
        <f>IF(H954="","",H954&amp;I954)</f>
        <v/>
      </c>
      <c r="S954" s="22" t="str">
        <f>IF(C954="","",C954&amp;I954)</f>
        <v/>
      </c>
      <c r="T954" t="str">
        <f>IF(OR(C954="",I954&lt;&gt;"ENTRADA"),"",TEXT(B954,"AAMMDD")&amp;"-"&amp;TEXT(VALUE(SUBSTITUTE(A954,"MOV-","")),"000"))</f>
        <v/>
      </c>
    </row>
    <row r="955" spans="1:20">
      <c r="A955" s="20" t="s">
        <v>1314</v>
      </c>
      <c r="H955" s="20" t="str">
        <f>+T955</f>
        <v/>
      </c>
      <c r="J955" s="30"/>
      <c r="K955" s="22" t="str">
        <f>IF(I955="","",IF(I955="ENTRADA",ABS(J955),-ABS(J955)))</f>
        <v/>
      </c>
      <c r="R955" s="22" t="str">
        <f>IF(H955="","",H955&amp;I955)</f>
        <v/>
      </c>
      <c r="S955" s="22" t="str">
        <f>IF(C955="","",C955&amp;I955)</f>
        <v/>
      </c>
      <c r="T955" t="str">
        <f>IF(OR(C955="",I955&lt;&gt;"ENTRADA"),"",TEXT(B955,"AAMMDD")&amp;"-"&amp;TEXT(VALUE(SUBSTITUTE(A955,"MOV-","")),"000"))</f>
        <v/>
      </c>
    </row>
    <row r="956" spans="1:20">
      <c r="A956" s="20" t="s">
        <v>1315</v>
      </c>
      <c r="B956" s="34"/>
      <c r="C956" s="34"/>
      <c r="D956" s="34"/>
      <c r="E956" s="34"/>
      <c r="F956" s="34"/>
      <c r="G956" s="34"/>
      <c r="H956" s="20" t="str">
        <f>+T956</f>
        <v/>
      </c>
      <c r="I956" s="34"/>
      <c r="J956" s="36"/>
      <c r="K956" s="22" t="str">
        <f>IF(I956="","",IF(I956="ENTRADA",ABS(J956),-ABS(J956)))</f>
        <v/>
      </c>
      <c r="L956" s="34"/>
      <c r="M956" s="34"/>
      <c r="N956" s="34"/>
      <c r="O956" s="34"/>
      <c r="P956" s="34"/>
      <c r="Q956" s="35"/>
      <c r="R956" s="22" t="str">
        <f>IF(H956="","",H956&amp;I956)</f>
        <v/>
      </c>
      <c r="S956" s="22" t="str">
        <f>IF(C956="","",C956&amp;I956)</f>
        <v/>
      </c>
      <c r="T956" t="str">
        <f>IF(OR(C956="",I956&lt;&gt;"ENTRADA"),"",TEXT(B956,"AAMMDD")&amp;"-"&amp;TEXT(VALUE(SUBSTITUTE(A956,"MOV-","")),"000"))</f>
        <v/>
      </c>
    </row>
    <row r="957" spans="1:20">
      <c r="A957" s="20" t="s">
        <v>1316</v>
      </c>
      <c r="H957" s="20" t="str">
        <f>+T957</f>
        <v/>
      </c>
      <c r="J957" s="30"/>
      <c r="K957" s="22" t="str">
        <f>IF(I957="","",IF(I957="ENTRADA",ABS(J957),-ABS(J957)))</f>
        <v/>
      </c>
      <c r="R957" s="22" t="str">
        <f>IF(H957="","",H957&amp;I957)</f>
        <v/>
      </c>
      <c r="S957" s="22" t="str">
        <f>IF(C957="","",C957&amp;I957)</f>
        <v/>
      </c>
      <c r="T957" t="str">
        <f>IF(OR(C957="",I957&lt;&gt;"ENTRADA"),"",TEXT(B957,"AAMMDD")&amp;"-"&amp;TEXT(VALUE(SUBSTITUTE(A957,"MOV-","")),"000"))</f>
        <v/>
      </c>
    </row>
    <row r="958" spans="1:20">
      <c r="A958" s="20" t="s">
        <v>1317</v>
      </c>
      <c r="H958" s="20" t="str">
        <f>+T958</f>
        <v/>
      </c>
      <c r="J958" s="30"/>
      <c r="K958" s="22" t="str">
        <f>IF(I958="","",IF(I958="ENTRADA",ABS(J958),-ABS(J958)))</f>
        <v/>
      </c>
      <c r="R958" s="22" t="str">
        <f>IF(H958="","",H958&amp;I958)</f>
        <v/>
      </c>
      <c r="S958" s="22" t="str">
        <f>IF(C958="","",C958&amp;I958)</f>
        <v/>
      </c>
      <c r="T958" t="str">
        <f>IF(OR(C958="",I958&lt;&gt;"ENTRADA"),"",TEXT(B958,"AAMMDD")&amp;"-"&amp;TEXT(VALUE(SUBSTITUTE(A958,"MOV-","")),"000"))</f>
        <v/>
      </c>
    </row>
    <row r="959" spans="1:20">
      <c r="A959" s="20" t="s">
        <v>1318</v>
      </c>
      <c r="H959" s="20" t="str">
        <f>+T959</f>
        <v/>
      </c>
      <c r="J959" s="30"/>
      <c r="K959" s="22" t="str">
        <f>IF(I959="","",IF(I959="ENTRADA",ABS(J959),-ABS(J959)))</f>
        <v/>
      </c>
      <c r="R959" s="22" t="str">
        <f>IF(H959="","",H959&amp;I959)</f>
        <v/>
      </c>
      <c r="S959" s="22" t="str">
        <f>IF(C959="","",C959&amp;I959)</f>
        <v/>
      </c>
      <c r="T959" t="str">
        <f>IF(OR(C959="",I959&lt;&gt;"ENTRADA"),"",TEXT(B959,"AAMMDD")&amp;"-"&amp;TEXT(VALUE(SUBSTITUTE(A959,"MOV-","")),"000"))</f>
        <v/>
      </c>
    </row>
    <row r="960" spans="1:20">
      <c r="A960" s="20" t="s">
        <v>1319</v>
      </c>
      <c r="H960" s="20" t="str">
        <f>+T960</f>
        <v/>
      </c>
      <c r="J960" s="30"/>
      <c r="K960" s="22" t="str">
        <f>IF(I960="","",IF(I960="ENTRADA",ABS(J960),-ABS(J960)))</f>
        <v/>
      </c>
      <c r="R960" s="22" t="str">
        <f>IF(H960="","",H960&amp;I960)</f>
        <v/>
      </c>
      <c r="S960" s="22" t="str">
        <f>IF(C960="","",C960&amp;I960)</f>
        <v/>
      </c>
      <c r="T960" t="str">
        <f>IF(OR(C960="",I960&lt;&gt;"ENTRADA"),"",TEXT(B960,"AAMMDD")&amp;"-"&amp;TEXT(VALUE(SUBSTITUTE(A960,"MOV-","")),"000"))</f>
        <v/>
      </c>
    </row>
    <row r="961" spans="1:20">
      <c r="A961" s="20" t="s">
        <v>1320</v>
      </c>
      <c r="H961" s="20" t="str">
        <f>+T961</f>
        <v/>
      </c>
      <c r="J961" s="30"/>
      <c r="K961" s="22" t="str">
        <f>IF(I961="","",IF(I961="ENTRADA",ABS(J961),-ABS(J961)))</f>
        <v/>
      </c>
      <c r="R961" s="22" t="str">
        <f>IF(H961="","",H961&amp;I961)</f>
        <v/>
      </c>
      <c r="S961" s="22" t="str">
        <f>IF(C961="","",C961&amp;I961)</f>
        <v/>
      </c>
      <c r="T961" t="str">
        <f>IF(OR(C961="",I961&lt;&gt;"ENTRADA"),"",TEXT(B961,"AAMMDD")&amp;"-"&amp;TEXT(VALUE(SUBSTITUTE(A961,"MOV-","")),"000"))</f>
        <v/>
      </c>
    </row>
    <row r="962" spans="1:20">
      <c r="A962" s="20" t="s">
        <v>1321</v>
      </c>
      <c r="H962" s="20" t="str">
        <f>+T962</f>
        <v/>
      </c>
      <c r="J962" s="30"/>
      <c r="K962" s="22" t="str">
        <f>IF(I962="","",IF(I962="ENTRADA",ABS(J962),-ABS(J962)))</f>
        <v/>
      </c>
      <c r="R962" s="22" t="str">
        <f>IF(H962="","",H962&amp;I962)</f>
        <v/>
      </c>
      <c r="S962" s="22" t="str">
        <f>IF(C962="","",C962&amp;I962)</f>
        <v/>
      </c>
      <c r="T962" t="str">
        <f>IF(OR(C962="",I962&lt;&gt;"ENTRADA"),"",TEXT(B962,"AAMMDD")&amp;"-"&amp;TEXT(VALUE(SUBSTITUTE(A962,"MOV-","")),"000"))</f>
        <v/>
      </c>
    </row>
    <row r="963" spans="1:20">
      <c r="A963" s="20" t="s">
        <v>1322</v>
      </c>
      <c r="H963" s="20" t="str">
        <f>+T963</f>
        <v/>
      </c>
      <c r="J963" s="30"/>
      <c r="K963" s="22" t="str">
        <f>IF(I963="","",IF(I963="ENTRADA",ABS(J963),-ABS(J963)))</f>
        <v/>
      </c>
      <c r="R963" s="22" t="str">
        <f>IF(H963="","",H963&amp;I963)</f>
        <v/>
      </c>
      <c r="S963" s="22" t="str">
        <f>IF(C963="","",C963&amp;I963)</f>
        <v/>
      </c>
      <c r="T963" t="str">
        <f>IF(OR(C963="",I963&lt;&gt;"ENTRADA"),"",TEXT(B963,"AAMMDD")&amp;"-"&amp;TEXT(VALUE(SUBSTITUTE(A963,"MOV-","")),"000"))</f>
        <v/>
      </c>
    </row>
    <row r="964" spans="1:20">
      <c r="A964" s="20" t="s">
        <v>1323</v>
      </c>
      <c r="H964" s="20" t="str">
        <f>+T964</f>
        <v/>
      </c>
      <c r="J964" s="30"/>
      <c r="K964" s="22" t="str">
        <f>IF(I964="","",IF(I964="ENTRADA",ABS(J964),-ABS(J964)))</f>
        <v/>
      </c>
      <c r="R964" s="22" t="str">
        <f>IF(H964="","",H964&amp;I964)</f>
        <v/>
      </c>
      <c r="S964" s="22" t="str">
        <f>IF(C964="","",C964&amp;I964)</f>
        <v/>
      </c>
      <c r="T964" t="str">
        <f>IF(OR(C964="",I964&lt;&gt;"ENTRADA"),"",TEXT(B964,"AAMMDD")&amp;"-"&amp;TEXT(VALUE(SUBSTITUTE(A964,"MOV-","")),"000"))</f>
        <v/>
      </c>
    </row>
    <row r="965" spans="1:20">
      <c r="A965" s="20" t="s">
        <v>1324</v>
      </c>
      <c r="H965" s="20" t="str">
        <f>+T965</f>
        <v/>
      </c>
      <c r="J965" s="30"/>
      <c r="K965" s="22" t="str">
        <f>IF(I965="","",IF(I965="ENTRADA",ABS(J965),-ABS(J965)))</f>
        <v/>
      </c>
      <c r="R965" s="22" t="str">
        <f>IF(H965="","",H965&amp;I965)</f>
        <v/>
      </c>
      <c r="S965" s="22" t="str">
        <f>IF(C965="","",C965&amp;I965)</f>
        <v/>
      </c>
      <c r="T965" t="str">
        <f>IF(OR(C965="",I965&lt;&gt;"ENTRADA"),"",TEXT(B965,"AAMMDD")&amp;"-"&amp;TEXT(VALUE(SUBSTITUTE(A965,"MOV-","")),"000"))</f>
        <v/>
      </c>
    </row>
    <row r="966" spans="1:20">
      <c r="A966" s="20" t="s">
        <v>1325</v>
      </c>
      <c r="H966" s="20" t="str">
        <f>+T966</f>
        <v/>
      </c>
      <c r="J966" s="30"/>
      <c r="K966" s="22" t="str">
        <f>IF(I966="","",IF(I966="ENTRADA",ABS(J966),-ABS(J966)))</f>
        <v/>
      </c>
      <c r="R966" s="22" t="str">
        <f>IF(H966="","",H966&amp;I966)</f>
        <v/>
      </c>
      <c r="S966" s="22" t="str">
        <f>IF(C966="","",C966&amp;I966)</f>
        <v/>
      </c>
      <c r="T966" t="str">
        <f>IF(OR(C966="",I966&lt;&gt;"ENTRADA"),"",TEXT(B966,"AAMMDD")&amp;"-"&amp;TEXT(VALUE(SUBSTITUTE(A966,"MOV-","")),"000"))</f>
        <v/>
      </c>
    </row>
    <row r="967" spans="1:20">
      <c r="A967" s="20" t="s">
        <v>1326</v>
      </c>
      <c r="B967" s="34"/>
      <c r="C967" s="34"/>
      <c r="D967" s="34"/>
      <c r="E967" s="34"/>
      <c r="F967" s="34"/>
      <c r="G967" s="34"/>
      <c r="H967" s="20" t="str">
        <f>+T967</f>
        <v/>
      </c>
      <c r="I967" s="34"/>
      <c r="J967" s="36"/>
      <c r="K967" s="22" t="str">
        <f>IF(I967="","",IF(I967="ENTRADA",ABS(J967),-ABS(J967)))</f>
        <v/>
      </c>
      <c r="L967" s="34"/>
      <c r="M967" s="34"/>
      <c r="N967" s="34"/>
      <c r="O967" s="34"/>
      <c r="P967" s="34"/>
      <c r="Q967" s="35"/>
      <c r="R967" s="22" t="str">
        <f>IF(H967="","",H967&amp;I967)</f>
        <v/>
      </c>
      <c r="S967" s="22" t="str">
        <f>IF(C967="","",C967&amp;I967)</f>
        <v/>
      </c>
      <c r="T967" t="str">
        <f>IF(OR(C967="",I967&lt;&gt;"ENTRADA"),"",TEXT(B967,"AAMMDD")&amp;"-"&amp;TEXT(VALUE(SUBSTITUTE(A967,"MOV-","")),"000"))</f>
        <v/>
      </c>
    </row>
    <row r="968" spans="1:20">
      <c r="A968" s="20" t="s">
        <v>1327</v>
      </c>
      <c r="H968" s="20" t="str">
        <f>+T968</f>
        <v/>
      </c>
      <c r="J968" s="30"/>
      <c r="K968" s="22" t="str">
        <f>IF(I968="","",IF(I968="ENTRADA",ABS(J968),-ABS(J968)))</f>
        <v/>
      </c>
      <c r="R968" s="22" t="str">
        <f>IF(H968="","",H968&amp;I968)</f>
        <v/>
      </c>
      <c r="S968" s="22" t="str">
        <f>IF(C968="","",C968&amp;I968)</f>
        <v/>
      </c>
      <c r="T968" t="str">
        <f>IF(OR(C968="",I968&lt;&gt;"ENTRADA"),"",TEXT(B968,"AAMMDD")&amp;"-"&amp;TEXT(VALUE(SUBSTITUTE(A968,"MOV-","")),"000"))</f>
        <v/>
      </c>
    </row>
    <row r="969" spans="1:20">
      <c r="A969" s="20" t="s">
        <v>1328</v>
      </c>
      <c r="H969" s="20" t="str">
        <f>+T969</f>
        <v/>
      </c>
      <c r="J969" s="30"/>
      <c r="K969" s="22" t="str">
        <f>IF(I969="","",IF(I969="ENTRADA",ABS(J969),-ABS(J969)))</f>
        <v/>
      </c>
      <c r="R969" s="22" t="str">
        <f>IF(H969="","",H969&amp;I969)</f>
        <v/>
      </c>
      <c r="S969" s="22" t="str">
        <f>IF(C969="","",C969&amp;I969)</f>
        <v/>
      </c>
      <c r="T969" t="str">
        <f>IF(OR(C969="",I969&lt;&gt;"ENTRADA"),"",TEXT(B969,"AAMMDD")&amp;"-"&amp;TEXT(VALUE(SUBSTITUTE(A969,"MOV-","")),"000"))</f>
        <v/>
      </c>
    </row>
    <row r="970" spans="1:20">
      <c r="A970" s="20" t="s">
        <v>1329</v>
      </c>
      <c r="H970" s="20" t="str">
        <f>+T970</f>
        <v/>
      </c>
      <c r="J970" s="30"/>
      <c r="K970" s="22" t="str">
        <f>IF(I970="","",IF(I970="ENTRADA",ABS(J970),-ABS(J970)))</f>
        <v/>
      </c>
      <c r="R970" s="22" t="str">
        <f>IF(H970="","",H970&amp;I970)</f>
        <v/>
      </c>
      <c r="S970" s="22" t="str">
        <f>IF(C970="","",C970&amp;I970)</f>
        <v/>
      </c>
      <c r="T970" t="str">
        <f>IF(OR(C970="",I970&lt;&gt;"ENTRADA"),"",TEXT(B970,"AAMMDD")&amp;"-"&amp;TEXT(VALUE(SUBSTITUTE(A970,"MOV-","")),"000"))</f>
        <v/>
      </c>
    </row>
    <row r="971" spans="1:20">
      <c r="A971" s="20" t="s">
        <v>1330</v>
      </c>
      <c r="H971" s="20" t="str">
        <f>+T971</f>
        <v/>
      </c>
      <c r="J971" s="30"/>
      <c r="K971" s="22" t="str">
        <f>IF(I971="","",IF(I971="ENTRADA",ABS(J971),-ABS(J971)))</f>
        <v/>
      </c>
      <c r="R971" s="22" t="str">
        <f>IF(H971="","",H971&amp;I971)</f>
        <v/>
      </c>
      <c r="S971" s="22" t="str">
        <f>IF(C971="","",C971&amp;I971)</f>
        <v/>
      </c>
      <c r="T971" t="str">
        <f>IF(OR(C971="",I971&lt;&gt;"ENTRADA"),"",TEXT(B971,"AAMMDD")&amp;"-"&amp;TEXT(VALUE(SUBSTITUTE(A971,"MOV-","")),"000"))</f>
        <v/>
      </c>
    </row>
    <row r="972" spans="1:20">
      <c r="A972" s="20" t="s">
        <v>1331</v>
      </c>
      <c r="H972" s="20" t="str">
        <f>+T972</f>
        <v/>
      </c>
      <c r="J972" s="30"/>
      <c r="K972" s="22" t="str">
        <f>IF(I972="","",IF(I972="ENTRADA",ABS(J972),-ABS(J972)))</f>
        <v/>
      </c>
      <c r="R972" s="22" t="str">
        <f>IF(H972="","",H972&amp;I972)</f>
        <v/>
      </c>
      <c r="S972" s="22" t="str">
        <f>IF(C972="","",C972&amp;I972)</f>
        <v/>
      </c>
      <c r="T972" t="str">
        <f>IF(OR(C972="",I972&lt;&gt;"ENTRADA"),"",TEXT(B972,"AAMMDD")&amp;"-"&amp;TEXT(VALUE(SUBSTITUTE(A972,"MOV-","")),"000"))</f>
        <v/>
      </c>
    </row>
    <row r="973" spans="1:20">
      <c r="A973" s="20" t="s">
        <v>1332</v>
      </c>
      <c r="H973" s="20" t="str">
        <f>+T973</f>
        <v/>
      </c>
      <c r="J973" s="30"/>
      <c r="K973" s="22" t="str">
        <f>IF(I973="","",IF(I973="ENTRADA",ABS(J973),-ABS(J973)))</f>
        <v/>
      </c>
      <c r="R973" s="22" t="str">
        <f>IF(H973="","",H973&amp;I973)</f>
        <v/>
      </c>
      <c r="S973" s="22" t="str">
        <f>IF(C973="","",C973&amp;I973)</f>
        <v/>
      </c>
      <c r="T973" t="str">
        <f>IF(OR(C973="",I973&lt;&gt;"ENTRADA"),"",TEXT(B973,"AAMMDD")&amp;"-"&amp;TEXT(VALUE(SUBSTITUTE(A973,"MOV-","")),"000"))</f>
        <v/>
      </c>
    </row>
    <row r="974" spans="1:20">
      <c r="A974" s="20" t="s">
        <v>1333</v>
      </c>
      <c r="H974" s="20" t="str">
        <f>+T974</f>
        <v/>
      </c>
      <c r="J974" s="30"/>
      <c r="K974" s="22" t="str">
        <f>IF(I974="","",IF(I974="ENTRADA",ABS(J974),-ABS(J974)))</f>
        <v/>
      </c>
      <c r="R974" s="22" t="str">
        <f>IF(H974="","",H974&amp;I974)</f>
        <v/>
      </c>
      <c r="S974" s="22" t="str">
        <f>IF(C974="","",C974&amp;I974)</f>
        <v/>
      </c>
      <c r="T974" t="str">
        <f>IF(OR(C974="",I974&lt;&gt;"ENTRADA"),"",TEXT(B974,"AAMMDD")&amp;"-"&amp;TEXT(VALUE(SUBSTITUTE(A974,"MOV-","")),"000"))</f>
        <v/>
      </c>
    </row>
    <row r="975" spans="1:20">
      <c r="A975" s="20" t="s">
        <v>1334</v>
      </c>
      <c r="H975" s="20" t="str">
        <f>+T975</f>
        <v/>
      </c>
      <c r="J975" s="30"/>
      <c r="K975" s="22" t="str">
        <f>IF(I975="","",IF(I975="ENTRADA",ABS(J975),-ABS(J975)))</f>
        <v/>
      </c>
      <c r="R975" s="22" t="str">
        <f>IF(H975="","",H975&amp;I975)</f>
        <v/>
      </c>
      <c r="S975" s="22" t="str">
        <f>IF(C975="","",C975&amp;I975)</f>
        <v/>
      </c>
      <c r="T975" t="str">
        <f>IF(OR(C975="",I975&lt;&gt;"ENTRADA"),"",TEXT(B975,"AAMMDD")&amp;"-"&amp;TEXT(VALUE(SUBSTITUTE(A975,"MOV-","")),"000"))</f>
        <v/>
      </c>
    </row>
    <row r="976" spans="1:20">
      <c r="A976" s="20" t="s">
        <v>1335</v>
      </c>
      <c r="H976" s="20" t="str">
        <f>+T976</f>
        <v/>
      </c>
      <c r="J976" s="30"/>
      <c r="K976" s="22" t="str">
        <f>IF(I976="","",IF(I976="ENTRADA",ABS(J976),-ABS(J976)))</f>
        <v/>
      </c>
      <c r="R976" s="22" t="str">
        <f>IF(H976="","",H976&amp;I976)</f>
        <v/>
      </c>
      <c r="S976" s="22" t="str">
        <f>IF(C976="","",C976&amp;I976)</f>
        <v/>
      </c>
      <c r="T976" t="str">
        <f>IF(OR(C976="",I976&lt;&gt;"ENTRADA"),"",TEXT(B976,"AAMMDD")&amp;"-"&amp;TEXT(VALUE(SUBSTITUTE(A976,"MOV-","")),"000"))</f>
        <v/>
      </c>
    </row>
    <row r="977" spans="1:20">
      <c r="A977" s="20" t="s">
        <v>1336</v>
      </c>
      <c r="H977" s="20" t="str">
        <f>+T977</f>
        <v/>
      </c>
      <c r="J977" s="30"/>
      <c r="K977" s="22" t="str">
        <f>IF(I977="","",IF(I977="ENTRADA",ABS(J977),-ABS(J977)))</f>
        <v/>
      </c>
      <c r="R977" s="22" t="str">
        <f>IF(H977="","",H977&amp;I977)</f>
        <v/>
      </c>
      <c r="S977" s="22" t="str">
        <f>IF(C977="","",C977&amp;I977)</f>
        <v/>
      </c>
      <c r="T977" t="str">
        <f>IF(OR(C977="",I977&lt;&gt;"ENTRADA"),"",TEXT(B977,"AAMMDD")&amp;"-"&amp;TEXT(VALUE(SUBSTITUTE(A977,"MOV-","")),"000"))</f>
        <v/>
      </c>
    </row>
    <row r="978" spans="1:20">
      <c r="A978" s="20" t="s">
        <v>1337</v>
      </c>
      <c r="B978" s="34"/>
      <c r="C978" s="34"/>
      <c r="D978" s="34"/>
      <c r="E978" s="34"/>
      <c r="F978" s="34"/>
      <c r="G978" s="34"/>
      <c r="H978" s="20" t="str">
        <f>+T978</f>
        <v/>
      </c>
      <c r="I978" s="34"/>
      <c r="J978" s="36"/>
      <c r="K978" s="22" t="str">
        <f>IF(I978="","",IF(I978="ENTRADA",ABS(J978),-ABS(J978)))</f>
        <v/>
      </c>
      <c r="L978" s="34"/>
      <c r="M978" s="34"/>
      <c r="N978" s="34"/>
      <c r="O978" s="34"/>
      <c r="P978" s="34"/>
      <c r="Q978" s="35"/>
      <c r="R978" s="22" t="str">
        <f>IF(H978="","",H978&amp;I978)</f>
        <v/>
      </c>
      <c r="S978" s="22" t="str">
        <f>IF(C978="","",C978&amp;I978)</f>
        <v/>
      </c>
      <c r="T978" t="str">
        <f>IF(OR(C978="",I978&lt;&gt;"ENTRADA"),"",TEXT(B978,"AAMMDD")&amp;"-"&amp;TEXT(VALUE(SUBSTITUTE(A978,"MOV-","")),"000"))</f>
        <v/>
      </c>
    </row>
    <row r="979" spans="1:20">
      <c r="A979" s="20" t="s">
        <v>1338</v>
      </c>
      <c r="H979" s="20" t="str">
        <f>+T979</f>
        <v/>
      </c>
      <c r="J979" s="30"/>
      <c r="K979" s="22" t="str">
        <f>IF(I979="","",IF(I979="ENTRADA",ABS(J979),-ABS(J979)))</f>
        <v/>
      </c>
      <c r="R979" s="22" t="str">
        <f>IF(H979="","",H979&amp;I979)</f>
        <v/>
      </c>
      <c r="S979" s="22" t="str">
        <f>IF(C979="","",C979&amp;I979)</f>
        <v/>
      </c>
      <c r="T979" t="str">
        <f>IF(OR(C979="",I979&lt;&gt;"ENTRADA"),"",TEXT(B979,"AAMMDD")&amp;"-"&amp;TEXT(VALUE(SUBSTITUTE(A979,"MOV-","")),"000"))</f>
        <v/>
      </c>
    </row>
    <row r="980" spans="1:20">
      <c r="A980" s="20" t="s">
        <v>1339</v>
      </c>
      <c r="H980" s="20" t="str">
        <f>+T980</f>
        <v/>
      </c>
      <c r="J980" s="30"/>
      <c r="K980" s="22" t="str">
        <f>IF(I980="","",IF(I980="ENTRADA",ABS(J980),-ABS(J980)))</f>
        <v/>
      </c>
      <c r="R980" s="22" t="str">
        <f>IF(H980="","",H980&amp;I980)</f>
        <v/>
      </c>
      <c r="S980" s="22" t="str">
        <f>IF(C980="","",C980&amp;I980)</f>
        <v/>
      </c>
      <c r="T980" t="str">
        <f>IF(OR(C980="",I980&lt;&gt;"ENTRADA"),"",TEXT(B980,"AAMMDD")&amp;"-"&amp;TEXT(VALUE(SUBSTITUTE(A980,"MOV-","")),"000"))</f>
        <v/>
      </c>
    </row>
    <row r="981" spans="1:20">
      <c r="A981" s="20" t="s">
        <v>1340</v>
      </c>
      <c r="H981" s="20" t="str">
        <f>+T981</f>
        <v/>
      </c>
      <c r="J981" s="30"/>
      <c r="K981" s="22" t="str">
        <f>IF(I981="","",IF(I981="ENTRADA",ABS(J981),-ABS(J981)))</f>
        <v/>
      </c>
      <c r="R981" s="22" t="str">
        <f>IF(H981="","",H981&amp;I981)</f>
        <v/>
      </c>
      <c r="S981" s="22" t="str">
        <f>IF(C981="","",C981&amp;I981)</f>
        <v/>
      </c>
      <c r="T981" t="str">
        <f>IF(OR(C981="",I981&lt;&gt;"ENTRADA"),"",TEXT(B981,"AAMMDD")&amp;"-"&amp;TEXT(VALUE(SUBSTITUTE(A981,"MOV-","")),"000"))</f>
        <v/>
      </c>
    </row>
    <row r="982" spans="1:20">
      <c r="A982" s="20" t="s">
        <v>1341</v>
      </c>
      <c r="H982" s="20" t="str">
        <f>+T982</f>
        <v/>
      </c>
      <c r="J982" s="30"/>
      <c r="K982" s="22" t="str">
        <f>IF(I982="","",IF(I982="ENTRADA",ABS(J982),-ABS(J982)))</f>
        <v/>
      </c>
      <c r="R982" s="22" t="str">
        <f>IF(H982="","",H982&amp;I982)</f>
        <v/>
      </c>
      <c r="S982" s="22" t="str">
        <f>IF(C982="","",C982&amp;I982)</f>
        <v/>
      </c>
      <c r="T982" t="str">
        <f>IF(OR(C982="",I982&lt;&gt;"ENTRADA"),"",TEXT(B982,"AAMMDD")&amp;"-"&amp;TEXT(VALUE(SUBSTITUTE(A982,"MOV-","")),"000"))</f>
        <v/>
      </c>
    </row>
    <row r="983" spans="1:20">
      <c r="A983" s="20" t="s">
        <v>1342</v>
      </c>
      <c r="H983" s="20" t="str">
        <f>+T983</f>
        <v/>
      </c>
      <c r="J983" s="30"/>
      <c r="K983" s="22" t="str">
        <f>IF(I983="","",IF(I983="ENTRADA",ABS(J983),-ABS(J983)))</f>
        <v/>
      </c>
      <c r="R983" s="22" t="str">
        <f>IF(H983="","",H983&amp;I983)</f>
        <v/>
      </c>
      <c r="S983" s="22" t="str">
        <f>IF(C983="","",C983&amp;I983)</f>
        <v/>
      </c>
      <c r="T983" t="str">
        <f>IF(OR(C983="",I983&lt;&gt;"ENTRADA"),"",TEXT(B983,"AAMMDD")&amp;"-"&amp;TEXT(VALUE(SUBSTITUTE(A983,"MOV-","")),"000"))</f>
        <v/>
      </c>
    </row>
    <row r="984" spans="1:20">
      <c r="A984" s="20" t="s">
        <v>1343</v>
      </c>
      <c r="H984" s="20" t="str">
        <f>+T984</f>
        <v/>
      </c>
      <c r="J984" s="30"/>
      <c r="K984" s="22" t="str">
        <f>IF(I984="","",IF(I984="ENTRADA",ABS(J984),-ABS(J984)))</f>
        <v/>
      </c>
      <c r="R984" s="22" t="str">
        <f>IF(H984="","",H984&amp;I984)</f>
        <v/>
      </c>
      <c r="S984" s="22" t="str">
        <f>IF(C984="","",C984&amp;I984)</f>
        <v/>
      </c>
      <c r="T984" t="str">
        <f>IF(OR(C984="",I984&lt;&gt;"ENTRADA"),"",TEXT(B984,"AAMMDD")&amp;"-"&amp;TEXT(VALUE(SUBSTITUTE(A984,"MOV-","")),"000"))</f>
        <v/>
      </c>
    </row>
    <row r="985" spans="1:20">
      <c r="A985" s="20" t="s">
        <v>1344</v>
      </c>
      <c r="H985" s="20" t="str">
        <f>+T985</f>
        <v/>
      </c>
      <c r="J985" s="30"/>
      <c r="K985" s="22" t="str">
        <f>IF(I985="","",IF(I985="ENTRADA",ABS(J985),-ABS(J985)))</f>
        <v/>
      </c>
      <c r="R985" s="22" t="str">
        <f>IF(H985="","",H985&amp;I985)</f>
        <v/>
      </c>
      <c r="S985" s="22" t="str">
        <f>IF(C985="","",C985&amp;I985)</f>
        <v/>
      </c>
      <c r="T985" t="str">
        <f>IF(OR(C985="",I985&lt;&gt;"ENTRADA"),"",TEXT(B985,"AAMMDD")&amp;"-"&amp;TEXT(VALUE(SUBSTITUTE(A985,"MOV-","")),"000"))</f>
        <v/>
      </c>
    </row>
    <row r="986" spans="1:20">
      <c r="A986" s="20" t="s">
        <v>1345</v>
      </c>
      <c r="H986" s="20" t="str">
        <f>+T986</f>
        <v/>
      </c>
      <c r="J986" s="30"/>
      <c r="K986" s="22" t="str">
        <f>IF(I986="","",IF(I986="ENTRADA",ABS(J986),-ABS(J986)))</f>
        <v/>
      </c>
      <c r="R986" s="22" t="str">
        <f>IF(H986="","",H986&amp;I986)</f>
        <v/>
      </c>
      <c r="S986" s="22" t="str">
        <f>IF(C986="","",C986&amp;I986)</f>
        <v/>
      </c>
      <c r="T986" t="str">
        <f>IF(OR(C986="",I986&lt;&gt;"ENTRADA"),"",TEXT(B986,"AAMMDD")&amp;"-"&amp;TEXT(VALUE(SUBSTITUTE(A986,"MOV-","")),"000"))</f>
        <v/>
      </c>
    </row>
    <row r="987" spans="1:20">
      <c r="A987" s="20" t="s">
        <v>1346</v>
      </c>
      <c r="H987" s="20" t="str">
        <f>+T987</f>
        <v/>
      </c>
      <c r="J987" s="30"/>
      <c r="K987" s="22" t="str">
        <f>IF(I987="","",IF(I987="ENTRADA",ABS(J987),-ABS(J987)))</f>
        <v/>
      </c>
      <c r="R987" s="22" t="str">
        <f>IF(H987="","",H987&amp;I987)</f>
        <v/>
      </c>
      <c r="S987" s="22" t="str">
        <f>IF(C987="","",C987&amp;I987)</f>
        <v/>
      </c>
      <c r="T987" t="str">
        <f>IF(OR(C987="",I987&lt;&gt;"ENTRADA"),"",TEXT(B987,"AAMMDD")&amp;"-"&amp;TEXT(VALUE(SUBSTITUTE(A987,"MOV-","")),"000"))</f>
        <v/>
      </c>
    </row>
    <row r="988" spans="1:20">
      <c r="A988" s="20" t="s">
        <v>1347</v>
      </c>
      <c r="H988" s="20" t="str">
        <f>+T988</f>
        <v/>
      </c>
      <c r="J988" s="30"/>
      <c r="K988" s="22" t="str">
        <f>IF(I988="","",IF(I988="ENTRADA",ABS(J988),-ABS(J988)))</f>
        <v/>
      </c>
      <c r="R988" s="22" t="str">
        <f>IF(H988="","",H988&amp;I988)</f>
        <v/>
      </c>
      <c r="S988" s="22" t="str">
        <f>IF(C988="","",C988&amp;I988)</f>
        <v/>
      </c>
      <c r="T988" t="str">
        <f>IF(OR(C988="",I988&lt;&gt;"ENTRADA"),"",TEXT(B988,"AAMMDD")&amp;"-"&amp;TEXT(VALUE(SUBSTITUTE(A988,"MOV-","")),"000"))</f>
        <v/>
      </c>
    </row>
    <row r="989" spans="1:20">
      <c r="A989" s="20" t="s">
        <v>1348</v>
      </c>
      <c r="B989" s="34"/>
      <c r="C989" s="34"/>
      <c r="D989" s="34"/>
      <c r="E989" s="34"/>
      <c r="F989" s="34"/>
      <c r="G989" s="34"/>
      <c r="H989" s="20" t="str">
        <f>+T989</f>
        <v/>
      </c>
      <c r="I989" s="34"/>
      <c r="J989" s="36"/>
      <c r="K989" s="22" t="str">
        <f>IF(I989="","",IF(I989="ENTRADA",ABS(J989),-ABS(J989)))</f>
        <v/>
      </c>
      <c r="L989" s="34"/>
      <c r="M989" s="34"/>
      <c r="N989" s="34"/>
      <c r="O989" s="34"/>
      <c r="P989" s="34"/>
      <c r="Q989" s="35"/>
      <c r="R989" s="22" t="str">
        <f>IF(H989="","",H989&amp;I989)</f>
        <v/>
      </c>
      <c r="S989" s="22" t="str">
        <f>IF(C989="","",C989&amp;I989)</f>
        <v/>
      </c>
      <c r="T989" t="str">
        <f>IF(OR(C989="",I989&lt;&gt;"ENTRADA"),"",TEXT(B989,"AAMMDD")&amp;"-"&amp;TEXT(VALUE(SUBSTITUTE(A989,"MOV-","")),"000"))</f>
        <v/>
      </c>
    </row>
    <row r="990" spans="1:20">
      <c r="A990" s="20" t="s">
        <v>1349</v>
      </c>
      <c r="H990" s="20" t="str">
        <f>+T990</f>
        <v/>
      </c>
      <c r="J990" s="30"/>
      <c r="K990" s="22" t="str">
        <f>IF(I990="","",IF(I990="ENTRADA",ABS(J990),-ABS(J990)))</f>
        <v/>
      </c>
      <c r="R990" s="22" t="str">
        <f>IF(H990="","",H990&amp;I990)</f>
        <v/>
      </c>
      <c r="S990" s="22" t="str">
        <f>IF(C990="","",C990&amp;I990)</f>
        <v/>
      </c>
      <c r="T990" t="str">
        <f>IF(OR(C990="",I990&lt;&gt;"ENTRADA"),"",TEXT(B990,"AAMMDD")&amp;"-"&amp;TEXT(VALUE(SUBSTITUTE(A990,"MOV-","")),"000"))</f>
        <v/>
      </c>
    </row>
    <row r="991" spans="1:20">
      <c r="A991" s="20" t="s">
        <v>1350</v>
      </c>
      <c r="H991" s="20" t="str">
        <f>+T991</f>
        <v/>
      </c>
      <c r="J991" s="30"/>
      <c r="K991" s="22" t="str">
        <f>IF(I991="","",IF(I991="ENTRADA",ABS(J991),-ABS(J991)))</f>
        <v/>
      </c>
      <c r="R991" s="22" t="str">
        <f>IF(H991="","",H991&amp;I991)</f>
        <v/>
      </c>
      <c r="S991" s="22" t="str">
        <f>IF(C991="","",C991&amp;I991)</f>
        <v/>
      </c>
      <c r="T991" t="str">
        <f>IF(OR(C991="",I991&lt;&gt;"ENTRADA"),"",TEXT(B991,"AAMMDD")&amp;"-"&amp;TEXT(VALUE(SUBSTITUTE(A991,"MOV-","")),"000"))</f>
        <v/>
      </c>
    </row>
    <row r="992" spans="1:20">
      <c r="A992" s="20" t="s">
        <v>1351</v>
      </c>
      <c r="H992" s="20" t="str">
        <f>+T992</f>
        <v/>
      </c>
      <c r="J992" s="30"/>
      <c r="K992" s="22" t="str">
        <f>IF(I992="","",IF(I992="ENTRADA",ABS(J992),-ABS(J992)))</f>
        <v/>
      </c>
      <c r="R992" s="22" t="str">
        <f>IF(H992="","",H992&amp;I992)</f>
        <v/>
      </c>
      <c r="S992" s="22" t="str">
        <f>IF(C992="","",C992&amp;I992)</f>
        <v/>
      </c>
      <c r="T992" t="str">
        <f>IF(OR(C992="",I992&lt;&gt;"ENTRADA"),"",TEXT(B992,"AAMMDD")&amp;"-"&amp;TEXT(VALUE(SUBSTITUTE(A992,"MOV-","")),"000"))</f>
        <v/>
      </c>
    </row>
    <row r="993" spans="1:20">
      <c r="A993" s="20" t="s">
        <v>1352</v>
      </c>
      <c r="H993" s="20" t="str">
        <f>+T993</f>
        <v/>
      </c>
      <c r="J993" s="30"/>
      <c r="K993" s="22" t="str">
        <f>IF(I993="","",IF(I993="ENTRADA",ABS(J993),-ABS(J993)))</f>
        <v/>
      </c>
      <c r="R993" s="22" t="str">
        <f>IF(H993="","",H993&amp;I993)</f>
        <v/>
      </c>
      <c r="S993" s="22" t="str">
        <f>IF(C993="","",C993&amp;I993)</f>
        <v/>
      </c>
      <c r="T993" t="str">
        <f>IF(OR(C993="",I993&lt;&gt;"ENTRADA"),"",TEXT(B993,"AAMMDD")&amp;"-"&amp;TEXT(VALUE(SUBSTITUTE(A993,"MOV-","")),"000"))</f>
        <v/>
      </c>
    </row>
    <row r="994" spans="1:20">
      <c r="A994" s="20" t="s">
        <v>1353</v>
      </c>
      <c r="H994" s="20" t="str">
        <f>+T994</f>
        <v/>
      </c>
      <c r="J994" s="30"/>
      <c r="K994" s="22" t="str">
        <f>IF(I994="","",IF(I994="ENTRADA",ABS(J994),-ABS(J994)))</f>
        <v/>
      </c>
      <c r="R994" s="22" t="str">
        <f>IF(H994="","",H994&amp;I994)</f>
        <v/>
      </c>
      <c r="S994" s="22" t="str">
        <f>IF(C994="","",C994&amp;I994)</f>
        <v/>
      </c>
      <c r="T994" t="str">
        <f>IF(OR(C994="",I994&lt;&gt;"ENTRADA"),"",TEXT(B994,"AAMMDD")&amp;"-"&amp;TEXT(VALUE(SUBSTITUTE(A994,"MOV-","")),"000"))</f>
        <v/>
      </c>
    </row>
    <row r="995" spans="1:20">
      <c r="A995" s="20" t="s">
        <v>1354</v>
      </c>
      <c r="H995" s="20" t="str">
        <f>+T995</f>
        <v/>
      </c>
      <c r="J995" s="30"/>
      <c r="K995" s="22" t="str">
        <f>IF(I995="","",IF(I995="ENTRADA",ABS(J995),-ABS(J995)))</f>
        <v/>
      </c>
      <c r="R995" s="22" t="str">
        <f>IF(H995="","",H995&amp;I995)</f>
        <v/>
      </c>
      <c r="S995" s="22" t="str">
        <f>IF(C995="","",C995&amp;I995)</f>
        <v/>
      </c>
      <c r="T995" t="str">
        <f>IF(OR(C995="",I995&lt;&gt;"ENTRADA"),"",TEXT(B995,"AAMMDD")&amp;"-"&amp;TEXT(VALUE(SUBSTITUTE(A995,"MOV-","")),"000"))</f>
        <v/>
      </c>
    </row>
    <row r="996" spans="1:20">
      <c r="A996" s="20" t="s">
        <v>1355</v>
      </c>
      <c r="H996" s="20" t="str">
        <f>+T996</f>
        <v/>
      </c>
      <c r="J996" s="30"/>
      <c r="K996" s="22" t="str">
        <f>IF(I996="","",IF(I996="ENTRADA",ABS(J996),-ABS(J996)))</f>
        <v/>
      </c>
      <c r="R996" s="22" t="str">
        <f>IF(H996="","",H996&amp;I996)</f>
        <v/>
      </c>
      <c r="S996" s="22" t="str">
        <f>IF(C996="","",C996&amp;I996)</f>
        <v/>
      </c>
      <c r="T996" t="str">
        <f>IF(OR(C996="",I996&lt;&gt;"ENTRADA"),"",TEXT(B996,"AAMMDD")&amp;"-"&amp;TEXT(VALUE(SUBSTITUTE(A996,"MOV-","")),"000"))</f>
        <v/>
      </c>
    </row>
    <row r="997" spans="1:20">
      <c r="A997" s="20" t="s">
        <v>1356</v>
      </c>
      <c r="H997" s="20" t="str">
        <f>+T997</f>
        <v/>
      </c>
      <c r="J997" s="30"/>
      <c r="K997" s="22" t="str">
        <f>IF(I997="","",IF(I997="ENTRADA",ABS(J997),-ABS(J997)))</f>
        <v/>
      </c>
      <c r="R997" s="22" t="str">
        <f>IF(H997="","",H997&amp;I997)</f>
        <v/>
      </c>
      <c r="S997" s="22" t="str">
        <f>IF(C997="","",C997&amp;I997)</f>
        <v/>
      </c>
      <c r="T997" t="str">
        <f>IF(OR(C997="",I997&lt;&gt;"ENTRADA"),"",TEXT(B997,"AAMMDD")&amp;"-"&amp;TEXT(VALUE(SUBSTITUTE(A997,"MOV-","")),"000"))</f>
        <v/>
      </c>
    </row>
    <row r="998" spans="1:20">
      <c r="A998" s="20" t="s">
        <v>1357</v>
      </c>
      <c r="H998" s="20" t="str">
        <f>+T998</f>
        <v/>
      </c>
      <c r="J998" s="30"/>
      <c r="K998" s="22" t="str">
        <f>IF(I998="","",IF(I998="ENTRADA",ABS(J998),-ABS(J998)))</f>
        <v/>
      </c>
      <c r="R998" s="22" t="str">
        <f>IF(H998="","",H998&amp;I998)</f>
        <v/>
      </c>
      <c r="S998" s="22" t="str">
        <f>IF(C998="","",C998&amp;I998)</f>
        <v/>
      </c>
      <c r="T998" t="str">
        <f>IF(OR(C998="",I998&lt;&gt;"ENTRADA"),"",TEXT(B998,"AAMMDD")&amp;"-"&amp;TEXT(VALUE(SUBSTITUTE(A998,"MOV-","")),"000"))</f>
        <v/>
      </c>
    </row>
    <row r="999" spans="1:20">
      <c r="A999" s="20" t="s">
        <v>1358</v>
      </c>
      <c r="H999" s="20" t="str">
        <f>+T999</f>
        <v/>
      </c>
      <c r="J999" s="30"/>
      <c r="K999" s="22" t="str">
        <f>IF(I999="","",IF(I999="ENTRADA",ABS(J999),-ABS(J999)))</f>
        <v/>
      </c>
      <c r="R999" s="22" t="str">
        <f>IF(H999="","",H999&amp;I999)</f>
        <v/>
      </c>
      <c r="S999" s="22" t="str">
        <f>IF(C999="","",C999&amp;I999)</f>
        <v/>
      </c>
      <c r="T999" t="str">
        <f>IF(OR(C999="",I999&lt;&gt;"ENTRADA"),"",TEXT(B999,"AAMMDD")&amp;"-"&amp;TEXT(VALUE(SUBSTITUTE(A999,"MOV-","")),"000"))</f>
        <v/>
      </c>
    </row>
    <row r="1000" spans="1:20">
      <c r="A1000" s="20" t="s">
        <v>1359</v>
      </c>
      <c r="B1000" s="34"/>
      <c r="C1000" s="34"/>
      <c r="D1000" s="34"/>
      <c r="E1000" s="34"/>
      <c r="F1000" s="34"/>
      <c r="G1000" s="34"/>
      <c r="H1000" s="20" t="str">
        <f>+T1000</f>
        <v/>
      </c>
      <c r="I1000" s="34"/>
      <c r="J1000" s="36"/>
      <c r="K1000" s="22" t="str">
        <f>IF(I1000="","",IF(I1000="ENTRADA",ABS(J1000),-ABS(J1000)))</f>
        <v/>
      </c>
      <c r="L1000" s="34"/>
      <c r="M1000" s="34"/>
      <c r="N1000" s="34"/>
      <c r="O1000" s="34"/>
      <c r="P1000" s="34"/>
      <c r="Q1000" s="35"/>
      <c r="R1000" s="22" t="str">
        <f>IF(H1000="","",H1000&amp;I1000)</f>
        <v/>
      </c>
      <c r="S1000" s="22" t="str">
        <f>IF(C1000="","",C1000&amp;I1000)</f>
        <v/>
      </c>
      <c r="T1000" t="str">
        <f>IF(OR(C1000="",I1000&lt;&gt;"ENTRADA"),"",TEXT(B1000,"AAMMDD")&amp;"-"&amp;TEXT(VALUE(SUBSTITUTE(A1000,"MOV-","")),"000"))</f>
        <v/>
      </c>
    </row>
    <row r="1001" spans="1:20">
      <c r="A1001" s="20" t="s">
        <v>1360</v>
      </c>
      <c r="H1001" s="20" t="str">
        <f>+T1001</f>
        <v/>
      </c>
      <c r="J1001" s="30"/>
      <c r="K1001" s="22" t="str">
        <f>IF(I1001="","",IF(I1001="ENTRADA",ABS(J1001),-ABS(J1001)))</f>
        <v/>
      </c>
      <c r="R1001" s="22" t="str">
        <f>IF(H1001="","",H1001&amp;I1001)</f>
        <v/>
      </c>
      <c r="S1001" s="22" t="str">
        <f>IF(C1001="","",C1001&amp;I1001)</f>
        <v/>
      </c>
      <c r="T1001" t="str">
        <f>IF(OR(C1001="",I1001&lt;&gt;"ENTRADA"),"",TEXT(B1001,"AAMMDD")&amp;"-"&amp;TEXT(VALUE(SUBSTITUTE(A1001,"MOV-","")),"000"))</f>
        <v/>
      </c>
    </row>
    <row r="1002" spans="1:20">
      <c r="A1002" s="20" t="s">
        <v>1361</v>
      </c>
      <c r="H1002" s="20" t="str">
        <f>+T1002</f>
        <v/>
      </c>
      <c r="J1002" s="30"/>
      <c r="K1002" s="22" t="str">
        <f>IF(I1002="","",IF(I1002="ENTRADA",ABS(J1002),-ABS(J1002)))</f>
        <v/>
      </c>
      <c r="R1002" s="22" t="str">
        <f>IF(H1002="","",H1002&amp;I1002)</f>
        <v/>
      </c>
      <c r="S1002" s="22" t="str">
        <f>IF(C1002="","",C1002&amp;I1002)</f>
        <v/>
      </c>
      <c r="T1002" t="str">
        <f>IF(OR(C1002="",I1002&lt;&gt;"ENTRADA"),"",TEXT(B1002,"AAMMDD")&amp;"-"&amp;TEXT(VALUE(SUBSTITUTE(A1002,"MOV-","")),"000"))</f>
        <v/>
      </c>
    </row>
    <row r="1003" spans="1:20">
      <c r="A1003" s="20" t="s">
        <v>1362</v>
      </c>
      <c r="H1003" s="20" t="str">
        <f>+T1003</f>
        <v/>
      </c>
      <c r="J1003" s="30"/>
      <c r="K1003" s="22" t="str">
        <f>IF(I1003="","",IF(I1003="ENTRADA",ABS(J1003),-ABS(J1003)))</f>
        <v/>
      </c>
      <c r="R1003" s="22" t="str">
        <f>IF(H1003="","",H1003&amp;I1003)</f>
        <v/>
      </c>
      <c r="S1003" s="22" t="str">
        <f>IF(C1003="","",C1003&amp;I1003)</f>
        <v/>
      </c>
      <c r="T1003" t="str">
        <f>IF(OR(C1003="",I1003&lt;&gt;"ENTRADA"),"",TEXT(B1003,"AAMMDD")&amp;"-"&amp;TEXT(VALUE(SUBSTITUTE(A1003,"MOV-","")),"000"))</f>
        <v/>
      </c>
    </row>
    <row r="1004" spans="1:20">
      <c r="A1004" s="20" t="s">
        <v>1363</v>
      </c>
      <c r="H1004" s="20" t="str">
        <f>+T1004</f>
        <v/>
      </c>
      <c r="J1004" s="30"/>
      <c r="K1004" s="22" t="str">
        <f>IF(I1004="","",IF(I1004="ENTRADA",ABS(J1004),-ABS(J1004)))</f>
        <v/>
      </c>
      <c r="R1004" s="22" t="str">
        <f>IF(H1004="","",H1004&amp;I1004)</f>
        <v/>
      </c>
      <c r="S1004" s="22" t="str">
        <f>IF(C1004="","",C1004&amp;I1004)</f>
        <v/>
      </c>
      <c r="T1004" t="str">
        <f>IF(OR(C1004="",I1004&lt;&gt;"ENTRADA"),"",TEXT(B1004,"AAMMDD")&amp;"-"&amp;TEXT(VALUE(SUBSTITUTE(A1004,"MOV-","")),"000"))</f>
        <v/>
      </c>
    </row>
    <row r="1005" spans="1:20">
      <c r="A1005" s="20" t="s">
        <v>1364</v>
      </c>
      <c r="H1005" s="20" t="str">
        <f>+T1005</f>
        <v/>
      </c>
      <c r="J1005" s="30"/>
      <c r="K1005" s="22" t="str">
        <f>IF(I1005="","",IF(I1005="ENTRADA",ABS(J1005),-ABS(J1005)))</f>
        <v/>
      </c>
      <c r="R1005" s="22" t="str">
        <f>IF(H1005="","",H1005&amp;I1005)</f>
        <v/>
      </c>
      <c r="S1005" s="22" t="str">
        <f>IF(C1005="","",C1005&amp;I1005)</f>
        <v/>
      </c>
      <c r="T1005" t="str">
        <f>IF(OR(C1005="",I1005&lt;&gt;"ENTRADA"),"",TEXT(B1005,"AAMMDD")&amp;"-"&amp;TEXT(VALUE(SUBSTITUTE(A1005,"MOV-","")),"000"))</f>
        <v/>
      </c>
    </row>
    <row r="1006" spans="1:20">
      <c r="A1006" s="20" t="s">
        <v>1365</v>
      </c>
      <c r="H1006" s="20" t="str">
        <f>+T1006</f>
        <v/>
      </c>
      <c r="J1006" s="30"/>
      <c r="K1006" s="22" t="str">
        <f>IF(I1006="","",IF(I1006="ENTRADA",ABS(J1006),-ABS(J1006)))</f>
        <v/>
      </c>
      <c r="R1006" s="22" t="str">
        <f>IF(H1006="","",H1006&amp;I1006)</f>
        <v/>
      </c>
      <c r="S1006" s="22" t="str">
        <f>IF(C1006="","",C1006&amp;I1006)</f>
        <v/>
      </c>
      <c r="T1006" t="str">
        <f>IF(OR(C1006="",I1006&lt;&gt;"ENTRADA"),"",TEXT(B1006,"AAMMDD")&amp;"-"&amp;TEXT(VALUE(SUBSTITUTE(A1006,"MOV-","")),"000"))</f>
        <v/>
      </c>
    </row>
    <row r="1007" spans="1:20">
      <c r="A1007" s="20" t="s">
        <v>1366</v>
      </c>
      <c r="H1007" s="20" t="str">
        <f>+T1007</f>
        <v/>
      </c>
      <c r="J1007" s="30"/>
      <c r="K1007" s="22" t="str">
        <f>IF(I1007="","",IF(I1007="ENTRADA",ABS(J1007),-ABS(J1007)))</f>
        <v/>
      </c>
      <c r="R1007" s="22" t="str">
        <f>IF(H1007="","",H1007&amp;I1007)</f>
        <v/>
      </c>
      <c r="S1007" s="22" t="str">
        <f>IF(C1007="","",C1007&amp;I1007)</f>
        <v/>
      </c>
      <c r="T1007" t="str">
        <f>IF(OR(C1007="",I1007&lt;&gt;"ENTRADA"),"",TEXT(B1007,"AAMMDD")&amp;"-"&amp;TEXT(VALUE(SUBSTITUTE(A1007,"MOV-","")),"000"))</f>
        <v/>
      </c>
    </row>
    <row r="1008" spans="1:20">
      <c r="A1008" s="20" t="s">
        <v>1367</v>
      </c>
      <c r="H1008" s="20" t="str">
        <f>+T1008</f>
        <v/>
      </c>
      <c r="J1008" s="30"/>
      <c r="K1008" s="22" t="str">
        <f>IF(I1008="","",IF(I1008="ENTRADA",ABS(J1008),-ABS(J1008)))</f>
        <v/>
      </c>
      <c r="R1008" s="22" t="str">
        <f>IF(H1008="","",H1008&amp;I1008)</f>
        <v/>
      </c>
      <c r="S1008" s="22" t="str">
        <f>IF(C1008="","",C1008&amp;I1008)</f>
        <v/>
      </c>
      <c r="T1008" t="str">
        <f>IF(OR(C1008="",I1008&lt;&gt;"ENTRADA"),"",TEXT(B1008,"AAMMDD")&amp;"-"&amp;TEXT(VALUE(SUBSTITUTE(A1008,"MOV-","")),"000"))</f>
        <v/>
      </c>
    </row>
    <row r="1009" spans="1:20">
      <c r="A1009" s="20" t="s">
        <v>1368</v>
      </c>
      <c r="H1009" s="20" t="str">
        <f>+T1009</f>
        <v/>
      </c>
      <c r="J1009" s="30"/>
      <c r="K1009" s="22" t="str">
        <f>IF(I1009="","",IF(I1009="ENTRADA",ABS(J1009),-ABS(J1009)))</f>
        <v/>
      </c>
      <c r="R1009" s="22" t="str">
        <f>IF(H1009="","",H1009&amp;I1009)</f>
        <v/>
      </c>
      <c r="S1009" s="22" t="str">
        <f>IF(C1009="","",C1009&amp;I1009)</f>
        <v/>
      </c>
      <c r="T1009" t="str">
        <f>IF(OR(C1009="",I1009&lt;&gt;"ENTRADA"),"",TEXT(B1009,"AAMMDD")&amp;"-"&amp;TEXT(VALUE(SUBSTITUTE(A1009,"MOV-","")),"000"))</f>
        <v/>
      </c>
    </row>
    <row r="1010" spans="1:20">
      <c r="A1010" s="20" t="s">
        <v>1369</v>
      </c>
      <c r="H1010" s="20" t="str">
        <f>+T1010</f>
        <v/>
      </c>
      <c r="J1010" s="30"/>
      <c r="K1010" s="22" t="str">
        <f>IF(I1010="","",IF(I1010="ENTRADA",ABS(J1010),-ABS(J1010)))</f>
        <v/>
      </c>
      <c r="R1010" s="22" t="str">
        <f>IF(H1010="","",H1010&amp;I1010)</f>
        <v/>
      </c>
      <c r="S1010" s="22" t="str">
        <f>IF(C1010="","",C1010&amp;I1010)</f>
        <v/>
      </c>
      <c r="T1010" t="str">
        <f>IF(OR(C1010="",I1010&lt;&gt;"ENTRADA"),"",TEXT(B1010,"AAMMDD")&amp;"-"&amp;TEXT(VALUE(SUBSTITUTE(A1010,"MOV-","")),"000"))</f>
        <v/>
      </c>
    </row>
    <row r="1011" spans="1:20">
      <c r="A1011" s="20" t="s">
        <v>1370</v>
      </c>
      <c r="B1011" s="34"/>
      <c r="C1011" s="34"/>
      <c r="D1011" s="34"/>
      <c r="E1011" s="34"/>
      <c r="F1011" s="34"/>
      <c r="G1011" s="34"/>
      <c r="H1011" s="20" t="str">
        <f>+T1011</f>
        <v/>
      </c>
      <c r="I1011" s="34"/>
      <c r="J1011" s="36"/>
      <c r="K1011" s="22" t="str">
        <f>IF(I1011="","",IF(I1011="ENTRADA",ABS(J1011),-ABS(J1011)))</f>
        <v/>
      </c>
      <c r="L1011" s="34"/>
      <c r="M1011" s="34"/>
      <c r="N1011" s="34"/>
      <c r="O1011" s="34"/>
      <c r="P1011" s="34"/>
      <c r="Q1011" s="35"/>
      <c r="R1011" s="22" t="str">
        <f>IF(H1011="","",H1011&amp;I1011)</f>
        <v/>
      </c>
      <c r="S1011" s="22" t="str">
        <f>IF(C1011="","",C1011&amp;I1011)</f>
        <v/>
      </c>
      <c r="T1011" t="str">
        <f>IF(OR(C1011="",I1011&lt;&gt;"ENTRADA"),"",TEXT(B1011,"AAMMDD")&amp;"-"&amp;TEXT(VALUE(SUBSTITUTE(A1011,"MOV-","")),"000"))</f>
        <v/>
      </c>
    </row>
    <row r="1012" spans="1:20">
      <c r="A1012" s="20" t="s">
        <v>1371</v>
      </c>
      <c r="H1012" s="20" t="str">
        <f>+T1012</f>
        <v/>
      </c>
      <c r="J1012" s="30"/>
      <c r="K1012" s="22" t="str">
        <f>IF(I1012="","",IF(I1012="ENTRADA",ABS(J1012),-ABS(J1012)))</f>
        <v/>
      </c>
      <c r="R1012" s="22" t="str">
        <f>IF(H1012="","",H1012&amp;I1012)</f>
        <v/>
      </c>
      <c r="S1012" s="22" t="str">
        <f>IF(C1012="","",C1012&amp;I1012)</f>
        <v/>
      </c>
      <c r="T1012" t="str">
        <f>IF(OR(C1012="",I1012&lt;&gt;"ENTRADA"),"",TEXT(B1012,"AAMMDD")&amp;"-"&amp;TEXT(VALUE(SUBSTITUTE(A1012,"MOV-","")),"000"))</f>
        <v/>
      </c>
    </row>
    <row r="1013" spans="1:20">
      <c r="A1013" s="20" t="s">
        <v>1372</v>
      </c>
      <c r="H1013" s="20" t="str">
        <f>+T1013</f>
        <v/>
      </c>
      <c r="J1013" s="30"/>
      <c r="K1013" s="22" t="str">
        <f>IF(I1013="","",IF(I1013="ENTRADA",ABS(J1013),-ABS(J1013)))</f>
        <v/>
      </c>
      <c r="R1013" s="22" t="str">
        <f>IF(H1013="","",H1013&amp;I1013)</f>
        <v/>
      </c>
      <c r="S1013" s="22" t="str">
        <f>IF(C1013="","",C1013&amp;I1013)</f>
        <v/>
      </c>
      <c r="T1013" t="str">
        <f>IF(OR(C1013="",I1013&lt;&gt;"ENTRADA"),"",TEXT(B1013,"AAMMDD")&amp;"-"&amp;TEXT(VALUE(SUBSTITUTE(A1013,"MOV-","")),"000"))</f>
        <v/>
      </c>
    </row>
    <row r="1014" spans="1:20">
      <c r="A1014" s="20" t="s">
        <v>1373</v>
      </c>
      <c r="H1014" s="20" t="str">
        <f>+T1014</f>
        <v/>
      </c>
      <c r="J1014" s="30"/>
      <c r="K1014" s="22" t="str">
        <f>IF(I1014="","",IF(I1014="ENTRADA",ABS(J1014),-ABS(J1014)))</f>
        <v/>
      </c>
      <c r="R1014" s="22" t="str">
        <f>IF(H1014="","",H1014&amp;I1014)</f>
        <v/>
      </c>
      <c r="S1014" s="22" t="str">
        <f>IF(C1014="","",C1014&amp;I1014)</f>
        <v/>
      </c>
      <c r="T1014" t="str">
        <f>IF(OR(C1014="",I1014&lt;&gt;"ENTRADA"),"",TEXT(B1014,"AAMMDD")&amp;"-"&amp;TEXT(VALUE(SUBSTITUTE(A1014,"MOV-","")),"000"))</f>
        <v/>
      </c>
    </row>
    <row r="1015" spans="1:20">
      <c r="A1015" s="20" t="s">
        <v>1374</v>
      </c>
      <c r="H1015" s="20" t="str">
        <f>+T1015</f>
        <v/>
      </c>
      <c r="J1015" s="30"/>
      <c r="K1015" s="22" t="str">
        <f>IF(I1015="","",IF(I1015="ENTRADA",ABS(J1015),-ABS(J1015)))</f>
        <v/>
      </c>
      <c r="R1015" s="22" t="str">
        <f>IF(H1015="","",H1015&amp;I1015)</f>
        <v/>
      </c>
      <c r="S1015" s="22" t="str">
        <f>IF(C1015="","",C1015&amp;I1015)</f>
        <v/>
      </c>
      <c r="T1015" t="str">
        <f>IF(OR(C1015="",I1015&lt;&gt;"ENTRADA"),"",TEXT(B1015,"AAMMDD")&amp;"-"&amp;TEXT(VALUE(SUBSTITUTE(A1015,"MOV-","")),"000"))</f>
        <v/>
      </c>
    </row>
    <row r="1016" spans="1:20">
      <c r="A1016" s="20" t="s">
        <v>1375</v>
      </c>
      <c r="H1016" s="20" t="str">
        <f>+T1016</f>
        <v/>
      </c>
      <c r="J1016" s="30"/>
      <c r="K1016" s="22" t="str">
        <f>IF(I1016="","",IF(I1016="ENTRADA",ABS(J1016),-ABS(J1016)))</f>
        <v/>
      </c>
      <c r="R1016" s="22" t="str">
        <f>IF(H1016="","",H1016&amp;I1016)</f>
        <v/>
      </c>
      <c r="S1016" s="22" t="str">
        <f>IF(C1016="","",C1016&amp;I1016)</f>
        <v/>
      </c>
      <c r="T1016" t="str">
        <f>IF(OR(C1016="",I1016&lt;&gt;"ENTRADA"),"",TEXT(B1016,"AAMMDD")&amp;"-"&amp;TEXT(VALUE(SUBSTITUTE(A1016,"MOV-","")),"000"))</f>
        <v/>
      </c>
    </row>
    <row r="1017" spans="1:20">
      <c r="A1017" s="20" t="s">
        <v>1376</v>
      </c>
      <c r="H1017" s="20" t="str">
        <f>+T1017</f>
        <v/>
      </c>
      <c r="J1017" s="30"/>
      <c r="K1017" s="22" t="str">
        <f>IF(I1017="","",IF(I1017="ENTRADA",ABS(J1017),-ABS(J1017)))</f>
        <v/>
      </c>
      <c r="R1017" s="22" t="str">
        <f>IF(H1017="","",H1017&amp;I1017)</f>
        <v/>
      </c>
      <c r="S1017" s="22" t="str">
        <f>IF(C1017="","",C1017&amp;I1017)</f>
        <v/>
      </c>
      <c r="T1017" t="str">
        <f>IF(OR(C1017="",I1017&lt;&gt;"ENTRADA"),"",TEXT(B1017,"AAMMDD")&amp;"-"&amp;TEXT(VALUE(SUBSTITUTE(A1017,"MOV-","")),"000"))</f>
        <v/>
      </c>
    </row>
    <row r="1018" spans="1:20">
      <c r="A1018" s="20" t="s">
        <v>1377</v>
      </c>
      <c r="H1018" s="20" t="str">
        <f>+T1018</f>
        <v/>
      </c>
      <c r="J1018" s="30"/>
      <c r="K1018" s="22" t="str">
        <f>IF(I1018="","",IF(I1018="ENTRADA",ABS(J1018),-ABS(J1018)))</f>
        <v/>
      </c>
      <c r="R1018" s="22" t="str">
        <f>IF(H1018="","",H1018&amp;I1018)</f>
        <v/>
      </c>
      <c r="S1018" s="22" t="str">
        <f>IF(C1018="","",C1018&amp;I1018)</f>
        <v/>
      </c>
      <c r="T1018" t="str">
        <f>IF(OR(C1018="",I1018&lt;&gt;"ENTRADA"),"",TEXT(B1018,"AAMMDD")&amp;"-"&amp;TEXT(VALUE(SUBSTITUTE(A1018,"MOV-","")),"000"))</f>
        <v/>
      </c>
    </row>
    <row r="1019" spans="1:20">
      <c r="A1019" s="20" t="s">
        <v>1378</v>
      </c>
      <c r="H1019" s="20" t="str">
        <f>+T1019</f>
        <v/>
      </c>
      <c r="J1019" s="30"/>
      <c r="K1019" s="22" t="str">
        <f>IF(I1019="","",IF(I1019="ENTRADA",ABS(J1019),-ABS(J1019)))</f>
        <v/>
      </c>
      <c r="R1019" s="22" t="str">
        <f>IF(H1019="","",H1019&amp;I1019)</f>
        <v/>
      </c>
      <c r="S1019" s="22" t="str">
        <f>IF(C1019="","",C1019&amp;I1019)</f>
        <v/>
      </c>
      <c r="T1019" t="str">
        <f>IF(OR(C1019="",I1019&lt;&gt;"ENTRADA"),"",TEXT(B1019,"AAMMDD")&amp;"-"&amp;TEXT(VALUE(SUBSTITUTE(A1019,"MOV-","")),"000"))</f>
        <v/>
      </c>
    </row>
    <row r="1020" spans="1:20">
      <c r="A1020" s="20" t="s">
        <v>1379</v>
      </c>
      <c r="H1020" s="20" t="str">
        <f>+T1020</f>
        <v/>
      </c>
      <c r="J1020" s="30"/>
      <c r="K1020" s="22" t="str">
        <f>IF(I1020="","",IF(I1020="ENTRADA",ABS(J1020),-ABS(J1020)))</f>
        <v/>
      </c>
      <c r="R1020" s="22" t="str">
        <f>IF(H1020="","",H1020&amp;I1020)</f>
        <v/>
      </c>
      <c r="S1020" s="22" t="str">
        <f>IF(C1020="","",C1020&amp;I1020)</f>
        <v/>
      </c>
      <c r="T1020" t="str">
        <f>IF(OR(C1020="",I1020&lt;&gt;"ENTRADA"),"",TEXT(B1020,"AAMMDD")&amp;"-"&amp;TEXT(VALUE(SUBSTITUTE(A1020,"MOV-","")),"000"))</f>
        <v/>
      </c>
    </row>
    <row r="1021" spans="1:20">
      <c r="A1021" s="20" t="s">
        <v>1380</v>
      </c>
      <c r="H1021" s="20" t="str">
        <f>+T1021</f>
        <v/>
      </c>
      <c r="J1021" s="30"/>
      <c r="K1021" s="22" t="str">
        <f>IF(I1021="","",IF(I1021="ENTRADA",ABS(J1021),-ABS(J1021)))</f>
        <v/>
      </c>
      <c r="R1021" s="22" t="str">
        <f>IF(H1021="","",H1021&amp;I1021)</f>
        <v/>
      </c>
      <c r="S1021" s="22" t="str">
        <f>IF(C1021="","",C1021&amp;I1021)</f>
        <v/>
      </c>
      <c r="T1021" t="str">
        <f>IF(OR(C1021="",I1021&lt;&gt;"ENTRADA"),"",TEXT(B1021,"AAMMDD")&amp;"-"&amp;TEXT(VALUE(SUBSTITUTE(A1021,"MOV-","")),"000"))</f>
        <v/>
      </c>
    </row>
    <row r="1022" spans="1:20">
      <c r="A1022" s="20" t="s">
        <v>1381</v>
      </c>
      <c r="B1022" s="34"/>
      <c r="C1022" s="34"/>
      <c r="D1022" s="34"/>
      <c r="E1022" s="34"/>
      <c r="F1022" s="34"/>
      <c r="G1022" s="34"/>
      <c r="H1022" s="20" t="str">
        <f>+T1022</f>
        <v/>
      </c>
      <c r="I1022" s="34"/>
      <c r="J1022" s="36"/>
      <c r="K1022" s="22" t="str">
        <f>IF(I1022="","",IF(I1022="ENTRADA",ABS(J1022),-ABS(J1022)))</f>
        <v/>
      </c>
      <c r="L1022" s="34"/>
      <c r="M1022" s="34"/>
      <c r="N1022" s="34"/>
      <c r="O1022" s="34"/>
      <c r="P1022" s="34"/>
      <c r="Q1022" s="35"/>
      <c r="R1022" s="22" t="str">
        <f>IF(H1022="","",H1022&amp;I1022)</f>
        <v/>
      </c>
      <c r="S1022" s="22" t="str">
        <f>IF(C1022="","",C1022&amp;I1022)</f>
        <v/>
      </c>
      <c r="T1022" t="str">
        <f>IF(OR(C1022="",I1022&lt;&gt;"ENTRADA"),"",TEXT(B1022,"AAMMDD")&amp;"-"&amp;TEXT(VALUE(SUBSTITUTE(A1022,"MOV-","")),"000"))</f>
        <v/>
      </c>
    </row>
    <row r="1023" spans="1:20">
      <c r="A1023" s="20" t="s">
        <v>1382</v>
      </c>
      <c r="H1023" s="20" t="str">
        <f>+T1023</f>
        <v/>
      </c>
      <c r="J1023" s="30"/>
      <c r="K1023" s="22" t="str">
        <f>IF(I1023="","",IF(I1023="ENTRADA",ABS(J1023),-ABS(J1023)))</f>
        <v/>
      </c>
      <c r="R1023" s="22" t="str">
        <f>IF(H1023="","",H1023&amp;I1023)</f>
        <v/>
      </c>
      <c r="S1023" s="22" t="str">
        <f>IF(C1023="","",C1023&amp;I1023)</f>
        <v/>
      </c>
      <c r="T1023" t="str">
        <f>IF(OR(C1023="",I1023&lt;&gt;"ENTRADA"),"",TEXT(B1023,"AAMMDD")&amp;"-"&amp;TEXT(VALUE(SUBSTITUTE(A1023,"MOV-","")),"000"))</f>
        <v/>
      </c>
    </row>
    <row r="1024" spans="1:20">
      <c r="A1024" s="20" t="s">
        <v>1383</v>
      </c>
      <c r="H1024" s="20" t="str">
        <f>+T1024</f>
        <v/>
      </c>
      <c r="J1024" s="30"/>
      <c r="K1024" s="22" t="str">
        <f>IF(I1024="","",IF(I1024="ENTRADA",ABS(J1024),-ABS(J1024)))</f>
        <v/>
      </c>
      <c r="R1024" s="22" t="str">
        <f>IF(H1024="","",H1024&amp;I1024)</f>
        <v/>
      </c>
      <c r="S1024" s="22" t="str">
        <f>IF(C1024="","",C1024&amp;I1024)</f>
        <v/>
      </c>
      <c r="T1024" t="str">
        <f>IF(OR(C1024="",I1024&lt;&gt;"ENTRADA"),"",TEXT(B1024,"AAMMDD")&amp;"-"&amp;TEXT(VALUE(SUBSTITUTE(A1024,"MOV-","")),"000"))</f>
        <v/>
      </c>
    </row>
    <row r="1025" spans="1:20">
      <c r="A1025" s="20" t="s">
        <v>1384</v>
      </c>
      <c r="H1025" s="20" t="str">
        <f>+T1025</f>
        <v/>
      </c>
      <c r="J1025" s="30"/>
      <c r="K1025" s="22" t="str">
        <f>IF(I1025="","",IF(I1025="ENTRADA",ABS(J1025),-ABS(J1025)))</f>
        <v/>
      </c>
      <c r="R1025" s="22" t="str">
        <f>IF(H1025="","",H1025&amp;I1025)</f>
        <v/>
      </c>
      <c r="S1025" s="22" t="str">
        <f>IF(C1025="","",C1025&amp;I1025)</f>
        <v/>
      </c>
      <c r="T1025" t="str">
        <f>IF(OR(C1025="",I1025&lt;&gt;"ENTRADA"),"",TEXT(B1025,"AAMMDD")&amp;"-"&amp;TEXT(VALUE(SUBSTITUTE(A1025,"MOV-","")),"000"))</f>
        <v/>
      </c>
    </row>
    <row r="1026" spans="1:20">
      <c r="A1026" s="20" t="s">
        <v>1385</v>
      </c>
      <c r="H1026" s="20" t="str">
        <f>+T1026</f>
        <v/>
      </c>
      <c r="J1026" s="30"/>
      <c r="K1026" s="22" t="str">
        <f>IF(I1026="","",IF(I1026="ENTRADA",ABS(J1026),-ABS(J1026)))</f>
        <v/>
      </c>
      <c r="R1026" s="22" t="str">
        <f>IF(H1026="","",H1026&amp;I1026)</f>
        <v/>
      </c>
      <c r="S1026" s="22" t="str">
        <f>IF(C1026="","",C1026&amp;I1026)</f>
        <v/>
      </c>
      <c r="T1026" t="str">
        <f>IF(OR(C1026="",I1026&lt;&gt;"ENTRADA"),"",TEXT(B1026,"AAMMDD")&amp;"-"&amp;TEXT(VALUE(SUBSTITUTE(A1026,"MOV-","")),"000"))</f>
        <v/>
      </c>
    </row>
    <row r="1027" spans="1:20">
      <c r="A1027" s="20" t="s">
        <v>1386</v>
      </c>
      <c r="H1027" s="20" t="str">
        <f>+T1027</f>
        <v/>
      </c>
      <c r="J1027" s="30"/>
      <c r="K1027" s="22" t="str">
        <f>IF(I1027="","",IF(I1027="ENTRADA",ABS(J1027),-ABS(J1027)))</f>
        <v/>
      </c>
      <c r="R1027" s="22" t="str">
        <f>IF(H1027="","",H1027&amp;I1027)</f>
        <v/>
      </c>
      <c r="S1027" s="22" t="str">
        <f>IF(C1027="","",C1027&amp;I1027)</f>
        <v/>
      </c>
      <c r="T1027" t="str">
        <f>IF(OR(C1027="",I1027&lt;&gt;"ENTRADA"),"",TEXT(B1027,"AAMMDD")&amp;"-"&amp;TEXT(VALUE(SUBSTITUTE(A1027,"MOV-","")),"000"))</f>
        <v/>
      </c>
    </row>
    <row r="1028" spans="1:20">
      <c r="A1028" s="20" t="s">
        <v>1387</v>
      </c>
      <c r="H1028" s="20" t="str">
        <f>+T1028</f>
        <v/>
      </c>
      <c r="J1028" s="30"/>
      <c r="K1028" s="22" t="str">
        <f>IF(I1028="","",IF(I1028="ENTRADA",ABS(J1028),-ABS(J1028)))</f>
        <v/>
      </c>
      <c r="R1028" s="22" t="str">
        <f>IF(H1028="","",H1028&amp;I1028)</f>
        <v/>
      </c>
      <c r="S1028" s="22" t="str">
        <f>IF(C1028="","",C1028&amp;I1028)</f>
        <v/>
      </c>
      <c r="T1028" t="str">
        <f>IF(OR(C1028="",I1028&lt;&gt;"ENTRADA"),"",TEXT(B1028,"AAMMDD")&amp;"-"&amp;TEXT(VALUE(SUBSTITUTE(A1028,"MOV-","")),"000"))</f>
        <v/>
      </c>
    </row>
    <row r="1029" spans="1:20">
      <c r="A1029" s="20" t="s">
        <v>1388</v>
      </c>
      <c r="H1029" s="20" t="str">
        <f>+T1029</f>
        <v/>
      </c>
      <c r="J1029" s="30"/>
      <c r="K1029" s="22" t="str">
        <f>IF(I1029="","",IF(I1029="ENTRADA",ABS(J1029),-ABS(J1029)))</f>
        <v/>
      </c>
      <c r="R1029" s="22" t="str">
        <f>IF(H1029="","",H1029&amp;I1029)</f>
        <v/>
      </c>
      <c r="S1029" s="22" t="str">
        <f>IF(C1029="","",C1029&amp;I1029)</f>
        <v/>
      </c>
      <c r="T1029" t="str">
        <f>IF(OR(C1029="",I1029&lt;&gt;"ENTRADA"),"",TEXT(B1029,"AAMMDD")&amp;"-"&amp;TEXT(VALUE(SUBSTITUTE(A1029,"MOV-","")),"000"))</f>
        <v/>
      </c>
    </row>
    <row r="1030" spans="1:20">
      <c r="A1030" s="20" t="s">
        <v>1389</v>
      </c>
      <c r="H1030" s="20" t="str">
        <f>+T1030</f>
        <v/>
      </c>
      <c r="J1030" s="30"/>
      <c r="K1030" s="22" t="str">
        <f>IF(I1030="","",IF(I1030="ENTRADA",ABS(J1030),-ABS(J1030)))</f>
        <v/>
      </c>
      <c r="R1030" s="22" t="str">
        <f>IF(H1030="","",H1030&amp;I1030)</f>
        <v/>
      </c>
      <c r="S1030" s="22" t="str">
        <f>IF(C1030="","",C1030&amp;I1030)</f>
        <v/>
      </c>
      <c r="T1030" t="str">
        <f>IF(OR(C1030="",I1030&lt;&gt;"ENTRADA"),"",TEXT(B1030,"AAMMDD")&amp;"-"&amp;TEXT(VALUE(SUBSTITUTE(A1030,"MOV-","")),"000"))</f>
        <v/>
      </c>
    </row>
    <row r="1031" spans="1:20">
      <c r="A1031" s="20" t="s">
        <v>1390</v>
      </c>
      <c r="H1031" s="20" t="str">
        <f>+T1031</f>
        <v/>
      </c>
      <c r="J1031" s="30"/>
      <c r="K1031" s="22" t="str">
        <f>IF(I1031="","",IF(I1031="ENTRADA",ABS(J1031),-ABS(J1031)))</f>
        <v/>
      </c>
      <c r="R1031" s="22" t="str">
        <f>IF(H1031="","",H1031&amp;I1031)</f>
        <v/>
      </c>
      <c r="S1031" s="22" t="str">
        <f>IF(C1031="","",C1031&amp;I1031)</f>
        <v/>
      </c>
      <c r="T1031" t="str">
        <f>IF(OR(C1031="",I1031&lt;&gt;"ENTRADA"),"",TEXT(B1031,"AAMMDD")&amp;"-"&amp;TEXT(VALUE(SUBSTITUTE(A1031,"MOV-","")),"000"))</f>
        <v/>
      </c>
    </row>
    <row r="1032" spans="1:20">
      <c r="A1032" s="20" t="s">
        <v>1391</v>
      </c>
      <c r="H1032" s="20" t="str">
        <f>+T1032</f>
        <v/>
      </c>
      <c r="J1032" s="30"/>
      <c r="K1032" s="22" t="str">
        <f>IF(I1032="","",IF(I1032="ENTRADA",ABS(J1032),-ABS(J1032)))</f>
        <v/>
      </c>
      <c r="R1032" s="22" t="str">
        <f>IF(H1032="","",H1032&amp;I1032)</f>
        <v/>
      </c>
      <c r="S1032" s="22" t="str">
        <f>IF(C1032="","",C1032&amp;I1032)</f>
        <v/>
      </c>
      <c r="T1032" t="str">
        <f>IF(OR(C1032="",I1032&lt;&gt;"ENTRADA"),"",TEXT(B1032,"AAMMDD")&amp;"-"&amp;TEXT(VALUE(SUBSTITUTE(A1032,"MOV-","")),"000"))</f>
        <v/>
      </c>
    </row>
    <row r="1033" spans="1:20">
      <c r="A1033" s="20" t="s">
        <v>1392</v>
      </c>
      <c r="B1033" s="34"/>
      <c r="C1033" s="34"/>
      <c r="D1033" s="34"/>
      <c r="E1033" s="34"/>
      <c r="F1033" s="34"/>
      <c r="G1033" s="34"/>
      <c r="H1033" s="20" t="str">
        <f>+T1033</f>
        <v/>
      </c>
      <c r="I1033" s="34"/>
      <c r="J1033" s="36"/>
      <c r="K1033" s="22" t="str">
        <f>IF(I1033="","",IF(I1033="ENTRADA",ABS(J1033),-ABS(J1033)))</f>
        <v/>
      </c>
      <c r="L1033" s="34"/>
      <c r="M1033" s="34"/>
      <c r="N1033" s="34"/>
      <c r="O1033" s="34"/>
      <c r="P1033" s="34"/>
      <c r="Q1033" s="35"/>
      <c r="R1033" s="22" t="str">
        <f>IF(H1033="","",H1033&amp;I1033)</f>
        <v/>
      </c>
      <c r="S1033" s="22" t="str">
        <f>IF(C1033="","",C1033&amp;I1033)</f>
        <v/>
      </c>
      <c r="T1033" t="str">
        <f>IF(OR(C1033="",I1033&lt;&gt;"ENTRADA"),"",TEXT(B1033,"AAMMDD")&amp;"-"&amp;TEXT(VALUE(SUBSTITUTE(A1033,"MOV-","")),"000"))</f>
        <v/>
      </c>
    </row>
    <row r="1034" spans="1:20">
      <c r="A1034" s="20" t="s">
        <v>1393</v>
      </c>
      <c r="H1034" s="20" t="str">
        <f>+T1034</f>
        <v/>
      </c>
      <c r="J1034" s="30"/>
      <c r="K1034" s="22" t="str">
        <f>IF(I1034="","",IF(I1034="ENTRADA",ABS(J1034),-ABS(J1034)))</f>
        <v/>
      </c>
      <c r="R1034" s="22" t="str">
        <f>IF(H1034="","",H1034&amp;I1034)</f>
        <v/>
      </c>
      <c r="S1034" s="22" t="str">
        <f>IF(C1034="","",C1034&amp;I1034)</f>
        <v/>
      </c>
      <c r="T1034" t="str">
        <f>IF(OR(C1034="",I1034&lt;&gt;"ENTRADA"),"",TEXT(B1034,"AAMMDD")&amp;"-"&amp;TEXT(VALUE(SUBSTITUTE(A1034,"MOV-","")),"000"))</f>
        <v/>
      </c>
    </row>
    <row r="1035" spans="1:20">
      <c r="A1035" s="20" t="s">
        <v>1394</v>
      </c>
      <c r="H1035" s="20" t="str">
        <f>+T1035</f>
        <v/>
      </c>
      <c r="J1035" s="30"/>
      <c r="K1035" s="22" t="str">
        <f>IF(I1035="","",IF(I1035="ENTRADA",ABS(J1035),-ABS(J1035)))</f>
        <v/>
      </c>
      <c r="R1035" s="22" t="str">
        <f>IF(H1035="","",H1035&amp;I1035)</f>
        <v/>
      </c>
      <c r="S1035" s="22" t="str">
        <f>IF(C1035="","",C1035&amp;I1035)</f>
        <v/>
      </c>
      <c r="T1035" t="str">
        <f>IF(OR(C1035="",I1035&lt;&gt;"ENTRADA"),"",TEXT(B1035,"AAMMDD")&amp;"-"&amp;TEXT(VALUE(SUBSTITUTE(A1035,"MOV-","")),"000"))</f>
        <v/>
      </c>
    </row>
    <row r="1036" spans="1:20">
      <c r="A1036" s="20" t="s">
        <v>1395</v>
      </c>
      <c r="H1036" s="20" t="str">
        <f>+T1036</f>
        <v/>
      </c>
      <c r="J1036" s="30"/>
      <c r="K1036" s="22" t="str">
        <f>IF(I1036="","",IF(I1036="ENTRADA",ABS(J1036),-ABS(J1036)))</f>
        <v/>
      </c>
      <c r="R1036" s="22" t="str">
        <f>IF(H1036="","",H1036&amp;I1036)</f>
        <v/>
      </c>
      <c r="S1036" s="22" t="str">
        <f>IF(C1036="","",C1036&amp;I1036)</f>
        <v/>
      </c>
      <c r="T1036" t="str">
        <f>IF(OR(C1036="",I1036&lt;&gt;"ENTRADA"),"",TEXT(B1036,"AAMMDD")&amp;"-"&amp;TEXT(VALUE(SUBSTITUTE(A1036,"MOV-","")),"000"))</f>
        <v/>
      </c>
    </row>
    <row r="1037" spans="1:20">
      <c r="A1037" s="20" t="s">
        <v>1396</v>
      </c>
      <c r="H1037" s="20" t="str">
        <f>+T1037</f>
        <v/>
      </c>
      <c r="J1037" s="30"/>
      <c r="K1037" s="22" t="str">
        <f>IF(I1037="","",IF(I1037="ENTRADA",ABS(J1037),-ABS(J1037)))</f>
        <v/>
      </c>
      <c r="R1037" s="22" t="str">
        <f>IF(H1037="","",H1037&amp;I1037)</f>
        <v/>
      </c>
      <c r="S1037" s="22" t="str">
        <f>IF(C1037="","",C1037&amp;I1037)</f>
        <v/>
      </c>
      <c r="T1037" t="str">
        <f>IF(OR(C1037="",I1037&lt;&gt;"ENTRADA"),"",TEXT(B1037,"AAMMDD")&amp;"-"&amp;TEXT(VALUE(SUBSTITUTE(A1037,"MOV-","")),"000"))</f>
        <v/>
      </c>
    </row>
    <row r="1038" spans="1:20">
      <c r="A1038" s="20" t="s">
        <v>1397</v>
      </c>
      <c r="H1038" s="20" t="str">
        <f>+T1038</f>
        <v/>
      </c>
      <c r="J1038" s="30"/>
      <c r="K1038" s="22" t="str">
        <f>IF(I1038="","",IF(I1038="ENTRADA",ABS(J1038),-ABS(J1038)))</f>
        <v/>
      </c>
      <c r="R1038" s="22" t="str">
        <f>IF(H1038="","",H1038&amp;I1038)</f>
        <v/>
      </c>
      <c r="S1038" s="22" t="str">
        <f>IF(C1038="","",C1038&amp;I1038)</f>
        <v/>
      </c>
      <c r="T1038" t="str">
        <f>IF(OR(C1038="",I1038&lt;&gt;"ENTRADA"),"",TEXT(B1038,"AAMMDD")&amp;"-"&amp;TEXT(VALUE(SUBSTITUTE(A1038,"MOV-","")),"000"))</f>
        <v/>
      </c>
    </row>
    <row r="1039" spans="1:20">
      <c r="A1039" s="20" t="s">
        <v>1398</v>
      </c>
      <c r="H1039" s="20" t="str">
        <f>+T1039</f>
        <v/>
      </c>
      <c r="J1039" s="30"/>
      <c r="K1039" s="22" t="str">
        <f>IF(I1039="","",IF(I1039="ENTRADA",ABS(J1039),-ABS(J1039)))</f>
        <v/>
      </c>
      <c r="R1039" s="22" t="str">
        <f>IF(H1039="","",H1039&amp;I1039)</f>
        <v/>
      </c>
      <c r="S1039" s="22" t="str">
        <f>IF(C1039="","",C1039&amp;I1039)</f>
        <v/>
      </c>
      <c r="T1039" t="str">
        <f>IF(OR(C1039="",I1039&lt;&gt;"ENTRADA"),"",TEXT(B1039,"AAMMDD")&amp;"-"&amp;TEXT(VALUE(SUBSTITUTE(A1039,"MOV-","")),"000"))</f>
        <v/>
      </c>
    </row>
    <row r="1040" spans="1:20">
      <c r="A1040" s="20" t="s">
        <v>1399</v>
      </c>
      <c r="H1040" s="20" t="str">
        <f>+T1040</f>
        <v/>
      </c>
      <c r="J1040" s="30"/>
      <c r="K1040" s="22" t="str">
        <f>IF(I1040="","",IF(I1040="ENTRADA",ABS(J1040),-ABS(J1040)))</f>
        <v/>
      </c>
      <c r="R1040" s="22" t="str">
        <f>IF(H1040="","",H1040&amp;I1040)</f>
        <v/>
      </c>
      <c r="S1040" s="22" t="str">
        <f>IF(C1040="","",C1040&amp;I1040)</f>
        <v/>
      </c>
      <c r="T1040" t="str">
        <f>IF(OR(C1040="",I1040&lt;&gt;"ENTRADA"),"",TEXT(B1040,"AAMMDD")&amp;"-"&amp;TEXT(VALUE(SUBSTITUTE(A1040,"MOV-","")),"000"))</f>
        <v/>
      </c>
    </row>
    <row r="1041" spans="1:20">
      <c r="A1041" s="20" t="s">
        <v>1400</v>
      </c>
      <c r="H1041" s="20" t="str">
        <f>+T1041</f>
        <v/>
      </c>
      <c r="J1041" s="30"/>
      <c r="K1041" s="22" t="str">
        <f>IF(I1041="","",IF(I1041="ENTRADA",ABS(J1041),-ABS(J1041)))</f>
        <v/>
      </c>
      <c r="R1041" s="22" t="str">
        <f>IF(H1041="","",H1041&amp;I1041)</f>
        <v/>
      </c>
      <c r="S1041" s="22" t="str">
        <f>IF(C1041="","",C1041&amp;I1041)</f>
        <v/>
      </c>
      <c r="T1041" t="str">
        <f>IF(OR(C1041="",I1041&lt;&gt;"ENTRADA"),"",TEXT(B1041,"AAMMDD")&amp;"-"&amp;TEXT(VALUE(SUBSTITUTE(A1041,"MOV-","")),"000"))</f>
        <v/>
      </c>
    </row>
    <row r="1042" spans="1:20">
      <c r="A1042" s="20" t="s">
        <v>1401</v>
      </c>
      <c r="H1042" s="20" t="str">
        <f>+T1042</f>
        <v/>
      </c>
      <c r="J1042" s="30"/>
      <c r="K1042" s="22" t="str">
        <f>IF(I1042="","",IF(I1042="ENTRADA",ABS(J1042),-ABS(J1042)))</f>
        <v/>
      </c>
      <c r="R1042" s="22" t="str">
        <f>IF(H1042="","",H1042&amp;I1042)</f>
        <v/>
      </c>
      <c r="S1042" s="22" t="str">
        <f>IF(C1042="","",C1042&amp;I1042)</f>
        <v/>
      </c>
      <c r="T1042" t="str">
        <f>IF(OR(C1042="",I1042&lt;&gt;"ENTRADA"),"",TEXT(B1042,"AAMMDD")&amp;"-"&amp;TEXT(VALUE(SUBSTITUTE(A1042,"MOV-","")),"000"))</f>
        <v/>
      </c>
    </row>
    <row r="1043" spans="1:20">
      <c r="A1043" s="20" t="s">
        <v>1402</v>
      </c>
      <c r="H1043" s="20" t="str">
        <f>+T1043</f>
        <v/>
      </c>
      <c r="J1043" s="30"/>
      <c r="K1043" s="22" t="str">
        <f>IF(I1043="","",IF(I1043="ENTRADA",ABS(J1043),-ABS(J1043)))</f>
        <v/>
      </c>
      <c r="R1043" s="22" t="str">
        <f>IF(H1043="","",H1043&amp;I1043)</f>
        <v/>
      </c>
      <c r="S1043" s="22" t="str">
        <f>IF(C1043="","",C1043&amp;I1043)</f>
        <v/>
      </c>
      <c r="T1043" t="str">
        <f>IF(OR(C1043="",I1043&lt;&gt;"ENTRADA"),"",TEXT(B1043,"AAMMDD")&amp;"-"&amp;TEXT(VALUE(SUBSTITUTE(A1043,"MOV-","")),"000"))</f>
        <v/>
      </c>
    </row>
    <row r="1044" spans="1:20">
      <c r="A1044" s="20" t="s">
        <v>1403</v>
      </c>
      <c r="B1044" s="34"/>
      <c r="C1044" s="34"/>
      <c r="D1044" s="34"/>
      <c r="E1044" s="34"/>
      <c r="F1044" s="34"/>
      <c r="G1044" s="34"/>
      <c r="H1044" s="20" t="str">
        <f>+T1044</f>
        <v/>
      </c>
      <c r="I1044" s="34"/>
      <c r="J1044" s="36"/>
      <c r="K1044" s="22" t="str">
        <f>IF(I1044="","",IF(I1044="ENTRADA",ABS(J1044),-ABS(J1044)))</f>
        <v/>
      </c>
      <c r="L1044" s="34"/>
      <c r="M1044" s="34"/>
      <c r="N1044" s="34"/>
      <c r="O1044" s="34"/>
      <c r="P1044" s="34"/>
      <c r="Q1044" s="35"/>
      <c r="R1044" s="22" t="str">
        <f>IF(H1044="","",H1044&amp;I1044)</f>
        <v/>
      </c>
      <c r="S1044" s="22" t="str">
        <f>IF(C1044="","",C1044&amp;I1044)</f>
        <v/>
      </c>
      <c r="T1044" t="str">
        <f>IF(OR(C1044="",I1044&lt;&gt;"ENTRADA"),"",TEXT(B1044,"AAMMDD")&amp;"-"&amp;TEXT(VALUE(SUBSTITUTE(A1044,"MOV-","")),"000"))</f>
        <v/>
      </c>
    </row>
    <row r="1045" spans="1:20">
      <c r="A1045" s="20" t="s">
        <v>1404</v>
      </c>
      <c r="H1045" s="20" t="str">
        <f>+T1045</f>
        <v/>
      </c>
      <c r="J1045" s="30"/>
      <c r="K1045" s="22" t="str">
        <f>IF(I1045="","",IF(I1045="ENTRADA",ABS(J1045),-ABS(J1045)))</f>
        <v/>
      </c>
      <c r="R1045" s="22" t="str">
        <f>IF(H1045="","",H1045&amp;I1045)</f>
        <v/>
      </c>
      <c r="S1045" s="22" t="str">
        <f>IF(C1045="","",C1045&amp;I1045)</f>
        <v/>
      </c>
      <c r="T1045" t="str">
        <f>IF(OR(C1045="",I1045&lt;&gt;"ENTRADA"),"",TEXT(B1045,"AAMMDD")&amp;"-"&amp;TEXT(VALUE(SUBSTITUTE(A1045,"MOV-","")),"000"))</f>
        <v/>
      </c>
    </row>
    <row r="1046" spans="1:20">
      <c r="A1046" s="20" t="s">
        <v>1405</v>
      </c>
      <c r="H1046" s="20" t="str">
        <f>+T1046</f>
        <v/>
      </c>
      <c r="J1046" s="30"/>
      <c r="K1046" s="22" t="str">
        <f>IF(I1046="","",IF(I1046="ENTRADA",ABS(J1046),-ABS(J1046)))</f>
        <v/>
      </c>
      <c r="R1046" s="22" t="str">
        <f>IF(H1046="","",H1046&amp;I1046)</f>
        <v/>
      </c>
      <c r="S1046" s="22" t="str">
        <f>IF(C1046="","",C1046&amp;I1046)</f>
        <v/>
      </c>
      <c r="T1046" t="str">
        <f>IF(OR(C1046="",I1046&lt;&gt;"ENTRADA"),"",TEXT(B1046,"AAMMDD")&amp;"-"&amp;TEXT(VALUE(SUBSTITUTE(A1046,"MOV-","")),"000"))</f>
        <v/>
      </c>
    </row>
    <row r="1047" spans="1:20">
      <c r="A1047" s="20" t="s">
        <v>1406</v>
      </c>
      <c r="H1047" s="20" t="str">
        <f>+T1047</f>
        <v/>
      </c>
      <c r="J1047" s="30"/>
      <c r="K1047" s="22" t="str">
        <f>IF(I1047="","",IF(I1047="ENTRADA",ABS(J1047),-ABS(J1047)))</f>
        <v/>
      </c>
      <c r="R1047" s="22" t="str">
        <f>IF(H1047="","",H1047&amp;I1047)</f>
        <v/>
      </c>
      <c r="S1047" s="22" t="str">
        <f>IF(C1047="","",C1047&amp;I1047)</f>
        <v/>
      </c>
      <c r="T1047" t="str">
        <f>IF(OR(C1047="",I1047&lt;&gt;"ENTRADA"),"",TEXT(B1047,"AAMMDD")&amp;"-"&amp;TEXT(VALUE(SUBSTITUTE(A1047,"MOV-","")),"000"))</f>
        <v/>
      </c>
    </row>
    <row r="1048" spans="1:20">
      <c r="A1048" s="20" t="s">
        <v>1407</v>
      </c>
      <c r="H1048" s="20" t="str">
        <f>+T1048</f>
        <v/>
      </c>
      <c r="J1048" s="30"/>
      <c r="K1048" s="22" t="str">
        <f>IF(I1048="","",IF(I1048="ENTRADA",ABS(J1048),-ABS(J1048)))</f>
        <v/>
      </c>
      <c r="R1048" s="22" t="str">
        <f>IF(H1048="","",H1048&amp;I1048)</f>
        <v/>
      </c>
      <c r="S1048" s="22" t="str">
        <f>IF(C1048="","",C1048&amp;I1048)</f>
        <v/>
      </c>
      <c r="T1048" t="str">
        <f>IF(OR(C1048="",I1048&lt;&gt;"ENTRADA"),"",TEXT(B1048,"AAMMDD")&amp;"-"&amp;TEXT(VALUE(SUBSTITUTE(A1048,"MOV-","")),"000"))</f>
        <v/>
      </c>
    </row>
    <row r="1049" spans="1:20">
      <c r="A1049" s="20" t="s">
        <v>1408</v>
      </c>
      <c r="H1049" s="20" t="str">
        <f>+T1049</f>
        <v/>
      </c>
      <c r="J1049" s="30"/>
      <c r="K1049" s="22" t="str">
        <f>IF(I1049="","",IF(I1049="ENTRADA",ABS(J1049),-ABS(J1049)))</f>
        <v/>
      </c>
      <c r="R1049" s="22" t="str">
        <f>IF(H1049="","",H1049&amp;I1049)</f>
        <v/>
      </c>
      <c r="S1049" s="22" t="str">
        <f>IF(C1049="","",C1049&amp;I1049)</f>
        <v/>
      </c>
      <c r="T1049" t="str">
        <f>IF(OR(C1049="",I1049&lt;&gt;"ENTRADA"),"",TEXT(B1049,"AAMMDD")&amp;"-"&amp;TEXT(VALUE(SUBSTITUTE(A1049,"MOV-","")),"000"))</f>
        <v/>
      </c>
    </row>
    <row r="1050" spans="1:20">
      <c r="A1050" s="20" t="s">
        <v>1409</v>
      </c>
      <c r="H1050" s="20" t="str">
        <f>+T1050</f>
        <v/>
      </c>
      <c r="J1050" s="30"/>
      <c r="K1050" s="22" t="str">
        <f>IF(I1050="","",IF(I1050="ENTRADA",ABS(J1050),-ABS(J1050)))</f>
        <v/>
      </c>
      <c r="R1050" s="22" t="str">
        <f>IF(H1050="","",H1050&amp;I1050)</f>
        <v/>
      </c>
      <c r="S1050" s="22" t="str">
        <f>IF(C1050="","",C1050&amp;I1050)</f>
        <v/>
      </c>
      <c r="T1050" t="str">
        <f>IF(OR(C1050="",I1050&lt;&gt;"ENTRADA"),"",TEXT(B1050,"AAMMDD")&amp;"-"&amp;TEXT(VALUE(SUBSTITUTE(A1050,"MOV-","")),"000"))</f>
        <v/>
      </c>
    </row>
    <row r="1051" spans="1:20">
      <c r="A1051" s="20" t="s">
        <v>1410</v>
      </c>
      <c r="H1051" s="20" t="str">
        <f>+T1051</f>
        <v/>
      </c>
      <c r="J1051" s="30"/>
      <c r="K1051" s="22" t="str">
        <f>IF(I1051="","",IF(I1051="ENTRADA",ABS(J1051),-ABS(J1051)))</f>
        <v/>
      </c>
      <c r="R1051" s="22" t="str">
        <f>IF(H1051="","",H1051&amp;I1051)</f>
        <v/>
      </c>
      <c r="S1051" s="22" t="str">
        <f>IF(C1051="","",C1051&amp;I1051)</f>
        <v/>
      </c>
      <c r="T1051" t="str">
        <f>IF(OR(C1051="",I1051&lt;&gt;"ENTRADA"),"",TEXT(B1051,"AAMMDD")&amp;"-"&amp;TEXT(VALUE(SUBSTITUTE(A1051,"MOV-","")),"000"))</f>
        <v/>
      </c>
    </row>
    <row r="1052" spans="1:20">
      <c r="A1052" s="20" t="s">
        <v>1411</v>
      </c>
      <c r="H1052" s="20" t="str">
        <f>+T1052</f>
        <v/>
      </c>
      <c r="J1052" s="30"/>
      <c r="K1052" s="22" t="str">
        <f>IF(I1052="","",IF(I1052="ENTRADA",ABS(J1052),-ABS(J1052)))</f>
        <v/>
      </c>
      <c r="R1052" s="22" t="str">
        <f>IF(H1052="","",H1052&amp;I1052)</f>
        <v/>
      </c>
      <c r="S1052" s="22" t="str">
        <f>IF(C1052="","",C1052&amp;I1052)</f>
        <v/>
      </c>
      <c r="T1052" t="str">
        <f>IF(OR(C1052="",I1052&lt;&gt;"ENTRADA"),"",TEXT(B1052,"AAMMDD")&amp;"-"&amp;TEXT(VALUE(SUBSTITUTE(A1052,"MOV-","")),"000"))</f>
        <v/>
      </c>
    </row>
    <row r="1053" spans="1:20">
      <c r="A1053" s="20" t="s">
        <v>1412</v>
      </c>
      <c r="H1053" s="20" t="str">
        <f>+T1053</f>
        <v/>
      </c>
      <c r="J1053" s="30"/>
      <c r="K1053" s="22" t="str">
        <f>IF(I1053="","",IF(I1053="ENTRADA",ABS(J1053),-ABS(J1053)))</f>
        <v/>
      </c>
      <c r="R1053" s="22" t="str">
        <f>IF(H1053="","",H1053&amp;I1053)</f>
        <v/>
      </c>
      <c r="S1053" s="22" t="str">
        <f>IF(C1053="","",C1053&amp;I1053)</f>
        <v/>
      </c>
      <c r="T1053" t="str">
        <f>IF(OR(C1053="",I1053&lt;&gt;"ENTRADA"),"",TEXT(B1053,"AAMMDD")&amp;"-"&amp;TEXT(VALUE(SUBSTITUTE(A1053,"MOV-","")),"000"))</f>
        <v/>
      </c>
    </row>
    <row r="1054" spans="1:20">
      <c r="A1054" s="20" t="s">
        <v>1413</v>
      </c>
      <c r="H1054" s="20" t="str">
        <f>+T1054</f>
        <v/>
      </c>
      <c r="J1054" s="30"/>
      <c r="K1054" s="22" t="str">
        <f>IF(I1054="","",IF(I1054="ENTRADA",ABS(J1054),-ABS(J1054)))</f>
        <v/>
      </c>
      <c r="R1054" s="22" t="str">
        <f>IF(H1054="","",H1054&amp;I1054)</f>
        <v/>
      </c>
      <c r="S1054" s="22" t="str">
        <f>IF(C1054="","",C1054&amp;I1054)</f>
        <v/>
      </c>
      <c r="T1054" t="str">
        <f>IF(OR(C1054="",I1054&lt;&gt;"ENTRADA"),"",TEXT(B1054,"AAMMDD")&amp;"-"&amp;TEXT(VALUE(SUBSTITUTE(A1054,"MOV-","")),"000"))</f>
        <v/>
      </c>
    </row>
    <row r="1055" spans="1:20">
      <c r="A1055" s="20" t="s">
        <v>1414</v>
      </c>
      <c r="B1055" s="34"/>
      <c r="C1055" s="34"/>
      <c r="D1055" s="34"/>
      <c r="E1055" s="34"/>
      <c r="F1055" s="34"/>
      <c r="G1055" s="34"/>
      <c r="H1055" s="20" t="str">
        <f>+T1055</f>
        <v/>
      </c>
      <c r="I1055" s="34"/>
      <c r="J1055" s="36"/>
      <c r="K1055" s="22" t="str">
        <f>IF(I1055="","",IF(I1055="ENTRADA",ABS(J1055),-ABS(J1055)))</f>
        <v/>
      </c>
      <c r="L1055" s="34"/>
      <c r="M1055" s="34"/>
      <c r="N1055" s="34"/>
      <c r="O1055" s="34"/>
      <c r="P1055" s="34"/>
      <c r="Q1055" s="35"/>
      <c r="R1055" s="22" t="str">
        <f>IF(H1055="","",H1055&amp;I1055)</f>
        <v/>
      </c>
      <c r="S1055" s="22" t="str">
        <f>IF(C1055="","",C1055&amp;I1055)</f>
        <v/>
      </c>
      <c r="T1055" t="str">
        <f>IF(OR(C1055="",I1055&lt;&gt;"ENTRADA"),"",TEXT(B1055,"AAMMDD")&amp;"-"&amp;TEXT(VALUE(SUBSTITUTE(A1055,"MOV-","")),"000"))</f>
        <v/>
      </c>
    </row>
    <row r="1056" spans="1:20">
      <c r="A1056" s="20" t="s">
        <v>1415</v>
      </c>
      <c r="H1056" s="20" t="str">
        <f>+T1056</f>
        <v/>
      </c>
      <c r="J1056" s="30"/>
      <c r="K1056" s="22" t="str">
        <f>IF(I1056="","",IF(I1056="ENTRADA",ABS(J1056),-ABS(J1056)))</f>
        <v/>
      </c>
      <c r="R1056" s="22" t="str">
        <f>IF(H1056="","",H1056&amp;I1056)</f>
        <v/>
      </c>
      <c r="S1056" s="22" t="str">
        <f>IF(C1056="","",C1056&amp;I1056)</f>
        <v/>
      </c>
      <c r="T1056" t="str">
        <f>IF(OR(C1056="",I1056&lt;&gt;"ENTRADA"),"",TEXT(B1056,"AAMMDD")&amp;"-"&amp;TEXT(VALUE(SUBSTITUTE(A1056,"MOV-","")),"000"))</f>
        <v/>
      </c>
    </row>
    <row r="1057" spans="1:20">
      <c r="A1057" s="20" t="s">
        <v>1416</v>
      </c>
      <c r="H1057" s="20" t="str">
        <f>+T1057</f>
        <v/>
      </c>
      <c r="J1057" s="30"/>
      <c r="K1057" s="22" t="str">
        <f>IF(I1057="","",IF(I1057="ENTRADA",ABS(J1057),-ABS(J1057)))</f>
        <v/>
      </c>
      <c r="R1057" s="22" t="str">
        <f>IF(H1057="","",H1057&amp;I1057)</f>
        <v/>
      </c>
      <c r="S1057" s="22" t="str">
        <f>IF(C1057="","",C1057&amp;I1057)</f>
        <v/>
      </c>
      <c r="T1057" t="str">
        <f>IF(OR(C1057="",I1057&lt;&gt;"ENTRADA"),"",TEXT(B1057,"AAMMDD")&amp;"-"&amp;TEXT(VALUE(SUBSTITUTE(A1057,"MOV-","")),"000"))</f>
        <v/>
      </c>
    </row>
    <row r="1058" spans="1:20">
      <c r="A1058" s="20" t="s">
        <v>1417</v>
      </c>
      <c r="H1058" s="20" t="str">
        <f>+T1058</f>
        <v/>
      </c>
      <c r="J1058" s="30"/>
      <c r="K1058" s="22" t="str">
        <f>IF(I1058="","",IF(I1058="ENTRADA",ABS(J1058),-ABS(J1058)))</f>
        <v/>
      </c>
      <c r="R1058" s="22" t="str">
        <f>IF(H1058="","",H1058&amp;I1058)</f>
        <v/>
      </c>
      <c r="S1058" s="22" t="str">
        <f>IF(C1058="","",C1058&amp;I1058)</f>
        <v/>
      </c>
      <c r="T1058" t="str">
        <f>IF(OR(C1058="",I1058&lt;&gt;"ENTRADA"),"",TEXT(B1058,"AAMMDD")&amp;"-"&amp;TEXT(VALUE(SUBSTITUTE(A1058,"MOV-","")),"000"))</f>
        <v/>
      </c>
    </row>
    <row r="1059" spans="1:20">
      <c r="A1059" s="20" t="s">
        <v>1418</v>
      </c>
      <c r="H1059" s="20" t="str">
        <f>+T1059</f>
        <v/>
      </c>
      <c r="J1059" s="30"/>
      <c r="K1059" s="22" t="str">
        <f>IF(I1059="","",IF(I1059="ENTRADA",ABS(J1059),-ABS(J1059)))</f>
        <v/>
      </c>
      <c r="R1059" s="22" t="str">
        <f>IF(H1059="","",H1059&amp;I1059)</f>
        <v/>
      </c>
      <c r="S1059" s="22" t="str">
        <f>IF(C1059="","",C1059&amp;I1059)</f>
        <v/>
      </c>
      <c r="T1059" t="str">
        <f>IF(OR(C1059="",I1059&lt;&gt;"ENTRADA"),"",TEXT(B1059,"AAMMDD")&amp;"-"&amp;TEXT(VALUE(SUBSTITUTE(A1059,"MOV-","")),"000"))</f>
        <v/>
      </c>
    </row>
    <row r="1060" spans="1:20">
      <c r="A1060" s="20" t="s">
        <v>1419</v>
      </c>
      <c r="H1060" s="20" t="str">
        <f>+T1060</f>
        <v/>
      </c>
      <c r="J1060" s="30"/>
      <c r="K1060" s="22" t="str">
        <f>IF(I1060="","",IF(I1060="ENTRADA",ABS(J1060),-ABS(J1060)))</f>
        <v/>
      </c>
      <c r="R1060" s="22" t="str">
        <f>IF(H1060="","",H1060&amp;I1060)</f>
        <v/>
      </c>
      <c r="S1060" s="22" t="str">
        <f>IF(C1060="","",C1060&amp;I1060)</f>
        <v/>
      </c>
      <c r="T1060" t="str">
        <f>IF(OR(C1060="",I1060&lt;&gt;"ENTRADA"),"",TEXT(B1060,"AAMMDD")&amp;"-"&amp;TEXT(VALUE(SUBSTITUTE(A1060,"MOV-","")),"000"))</f>
        <v/>
      </c>
    </row>
    <row r="1061" spans="1:20">
      <c r="A1061" s="20" t="s">
        <v>1420</v>
      </c>
      <c r="H1061" s="20" t="str">
        <f>+T1061</f>
        <v/>
      </c>
      <c r="J1061" s="30"/>
      <c r="K1061" s="22" t="str">
        <f>IF(I1061="","",IF(I1061="ENTRADA",ABS(J1061),-ABS(J1061)))</f>
        <v/>
      </c>
      <c r="R1061" s="22" t="str">
        <f>IF(H1061="","",H1061&amp;I1061)</f>
        <v/>
      </c>
      <c r="S1061" s="22" t="str">
        <f>IF(C1061="","",C1061&amp;I1061)</f>
        <v/>
      </c>
      <c r="T1061" t="str">
        <f>IF(OR(C1061="",I1061&lt;&gt;"ENTRADA"),"",TEXT(B1061,"AAMMDD")&amp;"-"&amp;TEXT(VALUE(SUBSTITUTE(A1061,"MOV-","")),"000"))</f>
        <v/>
      </c>
    </row>
    <row r="1062" spans="1:20">
      <c r="A1062" s="20" t="s">
        <v>1421</v>
      </c>
      <c r="H1062" s="20" t="str">
        <f>+T1062</f>
        <v/>
      </c>
      <c r="J1062" s="30"/>
      <c r="K1062" s="22" t="str">
        <f>IF(I1062="","",IF(I1062="ENTRADA",ABS(J1062),-ABS(J1062)))</f>
        <v/>
      </c>
      <c r="R1062" s="22" t="str">
        <f>IF(H1062="","",H1062&amp;I1062)</f>
        <v/>
      </c>
      <c r="S1062" s="22" t="str">
        <f>IF(C1062="","",C1062&amp;I1062)</f>
        <v/>
      </c>
      <c r="T1062" t="str">
        <f>IF(OR(C1062="",I1062&lt;&gt;"ENTRADA"),"",TEXT(B1062,"AAMMDD")&amp;"-"&amp;TEXT(VALUE(SUBSTITUTE(A1062,"MOV-","")),"000"))</f>
        <v/>
      </c>
    </row>
    <row r="1063" spans="1:20">
      <c r="A1063" s="20" t="s">
        <v>1422</v>
      </c>
      <c r="H1063" s="20" t="str">
        <f>+T1063</f>
        <v/>
      </c>
      <c r="J1063" s="30"/>
      <c r="K1063" s="22" t="str">
        <f>IF(I1063="","",IF(I1063="ENTRADA",ABS(J1063),-ABS(J1063)))</f>
        <v/>
      </c>
      <c r="R1063" s="22" t="str">
        <f>IF(H1063="","",H1063&amp;I1063)</f>
        <v/>
      </c>
      <c r="S1063" s="22" t="str">
        <f>IF(C1063="","",C1063&amp;I1063)</f>
        <v/>
      </c>
      <c r="T1063" t="str">
        <f>IF(OR(C1063="",I1063&lt;&gt;"ENTRADA"),"",TEXT(B1063,"AAMMDD")&amp;"-"&amp;TEXT(VALUE(SUBSTITUTE(A1063,"MOV-","")),"000"))</f>
        <v/>
      </c>
    </row>
    <row r="1064" spans="1:20">
      <c r="A1064" s="20" t="s">
        <v>1423</v>
      </c>
      <c r="H1064" s="20" t="str">
        <f>+T1064</f>
        <v/>
      </c>
      <c r="J1064" s="30"/>
      <c r="K1064" s="22" t="str">
        <f>IF(I1064="","",IF(I1064="ENTRADA",ABS(J1064),-ABS(J1064)))</f>
        <v/>
      </c>
      <c r="R1064" s="22" t="str">
        <f>IF(H1064="","",H1064&amp;I1064)</f>
        <v/>
      </c>
      <c r="S1064" s="22" t="str">
        <f>IF(C1064="","",C1064&amp;I1064)</f>
        <v/>
      </c>
      <c r="T1064" t="str">
        <f>IF(OR(C1064="",I1064&lt;&gt;"ENTRADA"),"",TEXT(B1064,"AAMMDD")&amp;"-"&amp;TEXT(VALUE(SUBSTITUTE(A1064,"MOV-","")),"000"))</f>
        <v/>
      </c>
    </row>
    <row r="1065" spans="1:20">
      <c r="A1065" s="20" t="s">
        <v>1424</v>
      </c>
      <c r="H1065" s="20" t="str">
        <f>+T1065</f>
        <v/>
      </c>
      <c r="J1065" s="30"/>
      <c r="K1065" s="22" t="str">
        <f>IF(I1065="","",IF(I1065="ENTRADA",ABS(J1065),-ABS(J1065)))</f>
        <v/>
      </c>
      <c r="R1065" s="22" t="str">
        <f>IF(H1065="","",H1065&amp;I1065)</f>
        <v/>
      </c>
      <c r="S1065" s="22" t="str">
        <f>IF(C1065="","",C1065&amp;I1065)</f>
        <v/>
      </c>
      <c r="T1065" t="str">
        <f>IF(OR(C1065="",I1065&lt;&gt;"ENTRADA"),"",TEXT(B1065,"AAMMDD")&amp;"-"&amp;TEXT(VALUE(SUBSTITUTE(A1065,"MOV-","")),"000"))</f>
        <v/>
      </c>
    </row>
    <row r="1066" spans="1:20">
      <c r="A1066" s="20" t="s">
        <v>1425</v>
      </c>
      <c r="B1066" s="34"/>
      <c r="C1066" s="34"/>
      <c r="D1066" s="34"/>
      <c r="E1066" s="34"/>
      <c r="F1066" s="34"/>
      <c r="G1066" s="34"/>
      <c r="H1066" s="20" t="str">
        <f>+T1066</f>
        <v/>
      </c>
      <c r="I1066" s="34"/>
      <c r="J1066" s="36"/>
      <c r="K1066" s="22" t="str">
        <f>IF(I1066="","",IF(I1066="ENTRADA",ABS(J1066),-ABS(J1066)))</f>
        <v/>
      </c>
      <c r="L1066" s="34"/>
      <c r="M1066" s="34"/>
      <c r="N1066" s="34"/>
      <c r="O1066" s="34"/>
      <c r="P1066" s="34"/>
      <c r="Q1066" s="35"/>
      <c r="R1066" s="22" t="str">
        <f>IF(H1066="","",H1066&amp;I1066)</f>
        <v/>
      </c>
      <c r="S1066" s="22" t="str">
        <f>IF(C1066="","",C1066&amp;I1066)</f>
        <v/>
      </c>
      <c r="T1066" t="str">
        <f>IF(OR(C1066="",I1066&lt;&gt;"ENTRADA"),"",TEXT(B1066,"AAMMDD")&amp;"-"&amp;TEXT(VALUE(SUBSTITUTE(A1066,"MOV-","")),"000"))</f>
        <v/>
      </c>
    </row>
    <row r="1067" spans="1:20">
      <c r="A1067" s="20" t="s">
        <v>1426</v>
      </c>
      <c r="H1067" s="20" t="str">
        <f>+T1067</f>
        <v/>
      </c>
      <c r="J1067" s="30"/>
      <c r="K1067" s="22" t="str">
        <f>IF(I1067="","",IF(I1067="ENTRADA",ABS(J1067),-ABS(J1067)))</f>
        <v/>
      </c>
      <c r="R1067" s="22" t="str">
        <f>IF(H1067="","",H1067&amp;I1067)</f>
        <v/>
      </c>
      <c r="S1067" s="22" t="str">
        <f>IF(C1067="","",C1067&amp;I1067)</f>
        <v/>
      </c>
      <c r="T1067" t="str">
        <f>IF(OR(C1067="",I1067&lt;&gt;"ENTRADA"),"",TEXT(B1067,"AAMMDD")&amp;"-"&amp;TEXT(VALUE(SUBSTITUTE(A1067,"MOV-","")),"000"))</f>
        <v/>
      </c>
    </row>
    <row r="1068" spans="1:20">
      <c r="A1068" s="20" t="s">
        <v>1427</v>
      </c>
      <c r="H1068" s="20" t="str">
        <f>+T1068</f>
        <v/>
      </c>
      <c r="J1068" s="30"/>
      <c r="K1068" s="22" t="str">
        <f>IF(I1068="","",IF(I1068="ENTRADA",ABS(J1068),-ABS(J1068)))</f>
        <v/>
      </c>
      <c r="R1068" s="22" t="str">
        <f>IF(H1068="","",H1068&amp;I1068)</f>
        <v/>
      </c>
      <c r="S1068" s="22" t="str">
        <f>IF(C1068="","",C1068&amp;I1068)</f>
        <v/>
      </c>
      <c r="T1068" t="str">
        <f>IF(OR(C1068="",I1068&lt;&gt;"ENTRADA"),"",TEXT(B1068,"AAMMDD")&amp;"-"&amp;TEXT(VALUE(SUBSTITUTE(A1068,"MOV-","")),"000"))</f>
        <v/>
      </c>
    </row>
    <row r="1069" spans="1:20">
      <c r="A1069" s="20" t="s">
        <v>1428</v>
      </c>
      <c r="H1069" s="20" t="str">
        <f>+T1069</f>
        <v/>
      </c>
      <c r="J1069" s="30"/>
      <c r="K1069" s="22" t="str">
        <f>IF(I1069="","",IF(I1069="ENTRADA",ABS(J1069),-ABS(J1069)))</f>
        <v/>
      </c>
      <c r="R1069" s="22" t="str">
        <f>IF(H1069="","",H1069&amp;I1069)</f>
        <v/>
      </c>
      <c r="S1069" s="22" t="str">
        <f>IF(C1069="","",C1069&amp;I1069)</f>
        <v/>
      </c>
      <c r="T1069" t="str">
        <f>IF(OR(C1069="",I1069&lt;&gt;"ENTRADA"),"",TEXT(B1069,"AAMMDD")&amp;"-"&amp;TEXT(VALUE(SUBSTITUTE(A1069,"MOV-","")),"000"))</f>
        <v/>
      </c>
    </row>
    <row r="1070" spans="1:20">
      <c r="A1070" s="20" t="s">
        <v>1429</v>
      </c>
      <c r="H1070" s="20" t="str">
        <f>+T1070</f>
        <v/>
      </c>
      <c r="J1070" s="30"/>
      <c r="K1070" s="22" t="str">
        <f>IF(I1070="","",IF(I1070="ENTRADA",ABS(J1070),-ABS(J1070)))</f>
        <v/>
      </c>
      <c r="R1070" s="22" t="str">
        <f>IF(H1070="","",H1070&amp;I1070)</f>
        <v/>
      </c>
      <c r="S1070" s="22" t="str">
        <f>IF(C1070="","",C1070&amp;I1070)</f>
        <v/>
      </c>
      <c r="T1070" t="str">
        <f>IF(OR(C1070="",I1070&lt;&gt;"ENTRADA"),"",TEXT(B1070,"AAMMDD")&amp;"-"&amp;TEXT(VALUE(SUBSTITUTE(A1070,"MOV-","")),"000"))</f>
        <v/>
      </c>
    </row>
    <row r="1071" spans="1:20">
      <c r="A1071" s="20" t="s">
        <v>1430</v>
      </c>
      <c r="H1071" s="20" t="str">
        <f>+T1071</f>
        <v/>
      </c>
      <c r="J1071" s="30"/>
      <c r="K1071" s="22" t="str">
        <f>IF(I1071="","",IF(I1071="ENTRADA",ABS(J1071),-ABS(J1071)))</f>
        <v/>
      </c>
      <c r="R1071" s="22" t="str">
        <f>IF(H1071="","",H1071&amp;I1071)</f>
        <v/>
      </c>
      <c r="S1071" s="22" t="str">
        <f>IF(C1071="","",C1071&amp;I1071)</f>
        <v/>
      </c>
      <c r="T1071" t="str">
        <f>IF(OR(C1071="",I1071&lt;&gt;"ENTRADA"),"",TEXT(B1071,"AAMMDD")&amp;"-"&amp;TEXT(VALUE(SUBSTITUTE(A1071,"MOV-","")),"000"))</f>
        <v/>
      </c>
    </row>
    <row r="1072" spans="1:20">
      <c r="A1072" s="20" t="s">
        <v>1431</v>
      </c>
      <c r="H1072" s="20" t="str">
        <f>+T1072</f>
        <v/>
      </c>
      <c r="J1072" s="30"/>
      <c r="K1072" s="22" t="str">
        <f>IF(I1072="","",IF(I1072="ENTRADA",ABS(J1072),-ABS(J1072)))</f>
        <v/>
      </c>
      <c r="R1072" s="22" t="str">
        <f>IF(H1072="","",H1072&amp;I1072)</f>
        <v/>
      </c>
      <c r="S1072" s="22" t="str">
        <f>IF(C1072="","",C1072&amp;I1072)</f>
        <v/>
      </c>
      <c r="T1072" t="str">
        <f>IF(OR(C1072="",I1072&lt;&gt;"ENTRADA"),"",TEXT(B1072,"AAMMDD")&amp;"-"&amp;TEXT(VALUE(SUBSTITUTE(A1072,"MOV-","")),"000"))</f>
        <v/>
      </c>
    </row>
    <row r="1073" spans="1:20">
      <c r="A1073" s="20" t="s">
        <v>1432</v>
      </c>
      <c r="H1073" s="20" t="str">
        <f>+T1073</f>
        <v/>
      </c>
      <c r="J1073" s="30"/>
      <c r="K1073" s="22" t="str">
        <f>IF(I1073="","",IF(I1073="ENTRADA",ABS(J1073),-ABS(J1073)))</f>
        <v/>
      </c>
      <c r="R1073" s="22" t="str">
        <f>IF(H1073="","",H1073&amp;I1073)</f>
        <v/>
      </c>
      <c r="S1073" s="22" t="str">
        <f>IF(C1073="","",C1073&amp;I1073)</f>
        <v/>
      </c>
      <c r="T1073" t="str">
        <f>IF(OR(C1073="",I1073&lt;&gt;"ENTRADA"),"",TEXT(B1073,"AAMMDD")&amp;"-"&amp;TEXT(VALUE(SUBSTITUTE(A1073,"MOV-","")),"000"))</f>
        <v/>
      </c>
    </row>
    <row r="1074" spans="1:20">
      <c r="A1074" s="20" t="s">
        <v>1433</v>
      </c>
      <c r="H1074" s="20" t="str">
        <f>+T1074</f>
        <v/>
      </c>
      <c r="J1074" s="30"/>
      <c r="K1074" s="22" t="str">
        <f>IF(I1074="","",IF(I1074="ENTRADA",ABS(J1074),-ABS(J1074)))</f>
        <v/>
      </c>
      <c r="R1074" s="22" t="str">
        <f>IF(H1074="","",H1074&amp;I1074)</f>
        <v/>
      </c>
      <c r="S1074" s="22" t="str">
        <f>IF(C1074="","",C1074&amp;I1074)</f>
        <v/>
      </c>
      <c r="T1074" t="str">
        <f>IF(OR(C1074="",I1074&lt;&gt;"ENTRADA"),"",TEXT(B1074,"AAMMDD")&amp;"-"&amp;TEXT(VALUE(SUBSTITUTE(A1074,"MOV-","")),"000"))</f>
        <v/>
      </c>
    </row>
    <row r="1075" spans="1:20">
      <c r="A1075" s="20" t="s">
        <v>1434</v>
      </c>
      <c r="H1075" s="20" t="str">
        <f>+T1075</f>
        <v/>
      </c>
      <c r="J1075" s="30"/>
      <c r="K1075" s="22" t="str">
        <f>IF(I1075="","",IF(I1075="ENTRADA",ABS(J1075),-ABS(J1075)))</f>
        <v/>
      </c>
      <c r="R1075" s="22" t="str">
        <f>IF(H1075="","",H1075&amp;I1075)</f>
        <v/>
      </c>
      <c r="S1075" s="22" t="str">
        <f>IF(C1075="","",C1075&amp;I1075)</f>
        <v/>
      </c>
      <c r="T1075" t="str">
        <f>IF(OR(C1075="",I1075&lt;&gt;"ENTRADA"),"",TEXT(B1075,"AAMMDD")&amp;"-"&amp;TEXT(VALUE(SUBSTITUTE(A1075,"MOV-","")),"000"))</f>
        <v/>
      </c>
    </row>
    <row r="1076" spans="1:20">
      <c r="A1076" s="20" t="s">
        <v>1435</v>
      </c>
      <c r="H1076" s="20" t="str">
        <f>+T1076</f>
        <v/>
      </c>
      <c r="J1076" s="30"/>
      <c r="K1076" s="22" t="str">
        <f>IF(I1076="","",IF(I1076="ENTRADA",ABS(J1076),-ABS(J1076)))</f>
        <v/>
      </c>
      <c r="R1076" s="22" t="str">
        <f>IF(H1076="","",H1076&amp;I1076)</f>
        <v/>
      </c>
      <c r="S1076" s="22" t="str">
        <f>IF(C1076="","",C1076&amp;I1076)</f>
        <v/>
      </c>
      <c r="T1076" t="str">
        <f>IF(OR(C1076="",I1076&lt;&gt;"ENTRADA"),"",TEXT(B1076,"AAMMDD")&amp;"-"&amp;TEXT(VALUE(SUBSTITUTE(A1076,"MOV-","")),"000"))</f>
        <v/>
      </c>
    </row>
    <row r="1077" spans="1:20">
      <c r="A1077" s="20" t="s">
        <v>1436</v>
      </c>
      <c r="B1077" s="34"/>
      <c r="C1077" s="34"/>
      <c r="D1077" s="34"/>
      <c r="E1077" s="34"/>
      <c r="F1077" s="34"/>
      <c r="G1077" s="34"/>
      <c r="H1077" s="20" t="str">
        <f>+T1077</f>
        <v/>
      </c>
      <c r="I1077" s="34"/>
      <c r="J1077" s="36"/>
      <c r="K1077" s="22" t="str">
        <f>IF(I1077="","",IF(I1077="ENTRADA",ABS(J1077),-ABS(J1077)))</f>
        <v/>
      </c>
      <c r="L1077" s="34"/>
      <c r="M1077" s="34"/>
      <c r="N1077" s="34"/>
      <c r="O1077" s="34"/>
      <c r="P1077" s="34"/>
      <c r="Q1077" s="35"/>
      <c r="R1077" s="22" t="str">
        <f>IF(H1077="","",H1077&amp;I1077)</f>
        <v/>
      </c>
      <c r="S1077" s="22" t="str">
        <f>IF(C1077="","",C1077&amp;I1077)</f>
        <v/>
      </c>
      <c r="T1077" t="str">
        <f>IF(OR(C1077="",I1077&lt;&gt;"ENTRADA"),"",TEXT(B1077,"AAMMDD")&amp;"-"&amp;TEXT(VALUE(SUBSTITUTE(A1077,"MOV-","")),"000"))</f>
        <v/>
      </c>
    </row>
    <row r="1078" spans="1:20">
      <c r="A1078" s="20" t="s">
        <v>1437</v>
      </c>
      <c r="H1078" s="20" t="str">
        <f>+T1078</f>
        <v/>
      </c>
      <c r="J1078" s="30"/>
      <c r="K1078" s="22" t="str">
        <f>IF(I1078="","",IF(I1078="ENTRADA",ABS(J1078),-ABS(J1078)))</f>
        <v/>
      </c>
      <c r="R1078" s="22" t="str">
        <f>IF(H1078="","",H1078&amp;I1078)</f>
        <v/>
      </c>
      <c r="S1078" s="22" t="str">
        <f>IF(C1078="","",C1078&amp;I1078)</f>
        <v/>
      </c>
      <c r="T1078" t="str">
        <f>IF(OR(C1078="",I1078&lt;&gt;"ENTRADA"),"",TEXT(B1078,"AAMMDD")&amp;"-"&amp;TEXT(VALUE(SUBSTITUTE(A1078,"MOV-","")),"000"))</f>
        <v/>
      </c>
    </row>
    <row r="1079" spans="1:20">
      <c r="A1079" s="20" t="s">
        <v>1438</v>
      </c>
      <c r="H1079" s="20" t="str">
        <f>+T1079</f>
        <v/>
      </c>
      <c r="J1079" s="30"/>
      <c r="K1079" s="22" t="str">
        <f>IF(I1079="","",IF(I1079="ENTRADA",ABS(J1079),-ABS(J1079)))</f>
        <v/>
      </c>
      <c r="R1079" s="22" t="str">
        <f>IF(H1079="","",H1079&amp;I1079)</f>
        <v/>
      </c>
      <c r="S1079" s="22" t="str">
        <f>IF(C1079="","",C1079&amp;I1079)</f>
        <v/>
      </c>
      <c r="T1079" t="str">
        <f>IF(OR(C1079="",I1079&lt;&gt;"ENTRADA"),"",TEXT(B1079,"AAMMDD")&amp;"-"&amp;TEXT(VALUE(SUBSTITUTE(A1079,"MOV-","")),"000"))</f>
        <v/>
      </c>
    </row>
    <row r="1080" spans="1:20">
      <c r="A1080" s="20" t="s">
        <v>1439</v>
      </c>
      <c r="H1080" s="20" t="str">
        <f>+T1080</f>
        <v/>
      </c>
      <c r="J1080" s="30"/>
      <c r="K1080" s="22" t="str">
        <f>IF(I1080="","",IF(I1080="ENTRADA",ABS(J1080),-ABS(J1080)))</f>
        <v/>
      </c>
      <c r="R1080" s="22" t="str">
        <f>IF(H1080="","",H1080&amp;I1080)</f>
        <v/>
      </c>
      <c r="S1080" s="22" t="str">
        <f>IF(C1080="","",C1080&amp;I1080)</f>
        <v/>
      </c>
      <c r="T1080" t="str">
        <f>IF(OR(C1080="",I1080&lt;&gt;"ENTRADA"),"",TEXT(B1080,"AAMMDD")&amp;"-"&amp;TEXT(VALUE(SUBSTITUTE(A1080,"MOV-","")),"000"))</f>
        <v/>
      </c>
    </row>
    <row r="1081" spans="1:20">
      <c r="A1081" s="20" t="s">
        <v>1440</v>
      </c>
      <c r="H1081" s="20" t="str">
        <f>+T1081</f>
        <v/>
      </c>
      <c r="J1081" s="30"/>
      <c r="K1081" s="22" t="str">
        <f>IF(I1081="","",IF(I1081="ENTRADA",ABS(J1081),-ABS(J1081)))</f>
        <v/>
      </c>
      <c r="R1081" s="22" t="str">
        <f>IF(H1081="","",H1081&amp;I1081)</f>
        <v/>
      </c>
      <c r="S1081" s="22" t="str">
        <f>IF(C1081="","",C1081&amp;I1081)</f>
        <v/>
      </c>
      <c r="T1081" t="str">
        <f>IF(OR(C1081="",I1081&lt;&gt;"ENTRADA"),"",TEXT(B1081,"AAMMDD")&amp;"-"&amp;TEXT(VALUE(SUBSTITUTE(A1081,"MOV-","")),"000"))</f>
        <v/>
      </c>
    </row>
    <row r="1082" spans="1:20">
      <c r="A1082" s="20" t="s">
        <v>1441</v>
      </c>
      <c r="H1082" s="20" t="str">
        <f>+T1082</f>
        <v/>
      </c>
      <c r="J1082" s="30"/>
      <c r="K1082" s="22" t="str">
        <f>IF(I1082="","",IF(I1082="ENTRADA",ABS(J1082),-ABS(J1082)))</f>
        <v/>
      </c>
      <c r="R1082" s="22" t="str">
        <f>IF(H1082="","",H1082&amp;I1082)</f>
        <v/>
      </c>
      <c r="S1082" s="22" t="str">
        <f>IF(C1082="","",C1082&amp;I1082)</f>
        <v/>
      </c>
      <c r="T1082" t="str">
        <f>IF(OR(C1082="",I1082&lt;&gt;"ENTRADA"),"",TEXT(B1082,"AAMMDD")&amp;"-"&amp;TEXT(VALUE(SUBSTITUTE(A1082,"MOV-","")),"000"))</f>
        <v/>
      </c>
    </row>
    <row r="1083" spans="1:20">
      <c r="A1083" s="20" t="s">
        <v>1442</v>
      </c>
      <c r="H1083" s="20" t="str">
        <f>+T1083</f>
        <v/>
      </c>
      <c r="J1083" s="30"/>
      <c r="K1083" s="22" t="str">
        <f>IF(I1083="","",IF(I1083="ENTRADA",ABS(J1083),-ABS(J1083)))</f>
        <v/>
      </c>
      <c r="R1083" s="22" t="str">
        <f>IF(H1083="","",H1083&amp;I1083)</f>
        <v/>
      </c>
      <c r="S1083" s="22" t="str">
        <f>IF(C1083="","",C1083&amp;I1083)</f>
        <v/>
      </c>
      <c r="T1083" t="str">
        <f>IF(OR(C1083="",I1083&lt;&gt;"ENTRADA"),"",TEXT(B1083,"AAMMDD")&amp;"-"&amp;TEXT(VALUE(SUBSTITUTE(A1083,"MOV-","")),"000"))</f>
        <v/>
      </c>
    </row>
    <row r="1084" spans="1:20">
      <c r="A1084" s="20" t="s">
        <v>1443</v>
      </c>
      <c r="H1084" s="20" t="str">
        <f>+T1084</f>
        <v/>
      </c>
      <c r="J1084" s="30"/>
      <c r="K1084" s="22" t="str">
        <f>IF(I1084="","",IF(I1084="ENTRADA",ABS(J1084),-ABS(J1084)))</f>
        <v/>
      </c>
      <c r="R1084" s="22" t="str">
        <f>IF(H1084="","",H1084&amp;I1084)</f>
        <v/>
      </c>
      <c r="S1084" s="22" t="str">
        <f>IF(C1084="","",C1084&amp;I1084)</f>
        <v/>
      </c>
      <c r="T1084" t="str">
        <f>IF(OR(C1084="",I1084&lt;&gt;"ENTRADA"),"",TEXT(B1084,"AAMMDD")&amp;"-"&amp;TEXT(VALUE(SUBSTITUTE(A1084,"MOV-","")),"000"))</f>
        <v/>
      </c>
    </row>
    <row r="1085" spans="1:20">
      <c r="A1085" s="20" t="s">
        <v>1444</v>
      </c>
      <c r="H1085" s="20" t="str">
        <f>+T1085</f>
        <v/>
      </c>
      <c r="J1085" s="30"/>
      <c r="K1085" s="22" t="str">
        <f>IF(I1085="","",IF(I1085="ENTRADA",ABS(J1085),-ABS(J1085)))</f>
        <v/>
      </c>
      <c r="R1085" s="22" t="str">
        <f>IF(H1085="","",H1085&amp;I1085)</f>
        <v/>
      </c>
      <c r="S1085" s="22" t="str">
        <f>IF(C1085="","",C1085&amp;I1085)</f>
        <v/>
      </c>
      <c r="T1085" t="str">
        <f>IF(OR(C1085="",I1085&lt;&gt;"ENTRADA"),"",TEXT(B1085,"AAMMDD")&amp;"-"&amp;TEXT(VALUE(SUBSTITUTE(A1085,"MOV-","")),"000"))</f>
        <v/>
      </c>
    </row>
    <row r="1086" spans="1:20">
      <c r="A1086" s="20" t="s">
        <v>1445</v>
      </c>
      <c r="H1086" s="20" t="str">
        <f>+T1086</f>
        <v/>
      </c>
      <c r="J1086" s="30"/>
      <c r="K1086" s="22" t="str">
        <f>IF(I1086="","",IF(I1086="ENTRADA",ABS(J1086),-ABS(J1086)))</f>
        <v/>
      </c>
      <c r="R1086" s="22" t="str">
        <f>IF(H1086="","",H1086&amp;I1086)</f>
        <v/>
      </c>
      <c r="S1086" s="22" t="str">
        <f>IF(C1086="","",C1086&amp;I1086)</f>
        <v/>
      </c>
      <c r="T1086" t="str">
        <f>IF(OR(C1086="",I1086&lt;&gt;"ENTRADA"),"",TEXT(B1086,"AAMMDD")&amp;"-"&amp;TEXT(VALUE(SUBSTITUTE(A1086,"MOV-","")),"000"))</f>
        <v/>
      </c>
    </row>
    <row r="1087" spans="1:20">
      <c r="A1087" s="20" t="s">
        <v>1446</v>
      </c>
      <c r="H1087" s="20" t="str">
        <f>+T1087</f>
        <v/>
      </c>
      <c r="J1087" s="30"/>
      <c r="K1087" s="22" t="str">
        <f>IF(I1087="","",IF(I1087="ENTRADA",ABS(J1087),-ABS(J1087)))</f>
        <v/>
      </c>
      <c r="R1087" s="22" t="str">
        <f>IF(H1087="","",H1087&amp;I1087)</f>
        <v/>
      </c>
      <c r="S1087" s="22" t="str">
        <f>IF(C1087="","",C1087&amp;I1087)</f>
        <v/>
      </c>
      <c r="T1087" t="str">
        <f>IF(OR(C1087="",I1087&lt;&gt;"ENTRADA"),"",TEXT(B1087,"AAMMDD")&amp;"-"&amp;TEXT(VALUE(SUBSTITUTE(A1087,"MOV-","")),"000"))</f>
        <v/>
      </c>
    </row>
    <row r="1088" spans="1:20">
      <c r="A1088" s="20" t="s">
        <v>1447</v>
      </c>
      <c r="B1088" s="34"/>
      <c r="C1088" s="34"/>
      <c r="D1088" s="34"/>
      <c r="E1088" s="34"/>
      <c r="F1088" s="34"/>
      <c r="G1088" s="34"/>
      <c r="H1088" s="20" t="str">
        <f>+T1088</f>
        <v/>
      </c>
      <c r="I1088" s="34"/>
      <c r="J1088" s="36"/>
      <c r="K1088" s="22" t="str">
        <f>IF(I1088="","",IF(I1088="ENTRADA",ABS(J1088),-ABS(J1088)))</f>
        <v/>
      </c>
      <c r="L1088" s="34"/>
      <c r="M1088" s="34"/>
      <c r="N1088" s="34"/>
      <c r="O1088" s="34"/>
      <c r="P1088" s="34"/>
      <c r="Q1088" s="35"/>
      <c r="R1088" s="22" t="str">
        <f>IF(H1088="","",H1088&amp;I1088)</f>
        <v/>
      </c>
      <c r="S1088" s="22" t="str">
        <f>IF(C1088="","",C1088&amp;I1088)</f>
        <v/>
      </c>
      <c r="T1088" t="str">
        <f>IF(OR(C1088="",I1088&lt;&gt;"ENTRADA"),"",TEXT(B1088,"AAMMDD")&amp;"-"&amp;TEXT(VALUE(SUBSTITUTE(A1088,"MOV-","")),"000"))</f>
        <v/>
      </c>
    </row>
    <row r="1089" spans="1:20">
      <c r="A1089" s="20" t="s">
        <v>1448</v>
      </c>
      <c r="H1089" s="20" t="str">
        <f>+T1089</f>
        <v/>
      </c>
      <c r="J1089" s="30"/>
      <c r="K1089" s="22" t="str">
        <f>IF(I1089="","",IF(I1089="ENTRADA",ABS(J1089),-ABS(J1089)))</f>
        <v/>
      </c>
      <c r="R1089" s="22" t="str">
        <f>IF(H1089="","",H1089&amp;I1089)</f>
        <v/>
      </c>
      <c r="S1089" s="22" t="str">
        <f>IF(C1089="","",C1089&amp;I1089)</f>
        <v/>
      </c>
      <c r="T1089" t="str">
        <f>IF(OR(C1089="",I1089&lt;&gt;"ENTRADA"),"",TEXT(B1089,"AAMMDD")&amp;"-"&amp;TEXT(VALUE(SUBSTITUTE(A1089,"MOV-","")),"000"))</f>
        <v/>
      </c>
    </row>
    <row r="1090" spans="1:20">
      <c r="A1090" s="20" t="s">
        <v>1449</v>
      </c>
      <c r="H1090" s="20" t="str">
        <f>+T1090</f>
        <v/>
      </c>
      <c r="J1090" s="30"/>
      <c r="K1090" s="22" t="str">
        <f>IF(I1090="","",IF(I1090="ENTRADA",ABS(J1090),-ABS(J1090)))</f>
        <v/>
      </c>
      <c r="R1090" s="22" t="str">
        <f>IF(H1090="","",H1090&amp;I1090)</f>
        <v/>
      </c>
      <c r="S1090" s="22" t="str">
        <f>IF(C1090="","",C1090&amp;I1090)</f>
        <v/>
      </c>
      <c r="T1090" t="str">
        <f>IF(OR(C1090="",I1090&lt;&gt;"ENTRADA"),"",TEXT(B1090,"AAMMDD")&amp;"-"&amp;TEXT(VALUE(SUBSTITUTE(A1090,"MOV-","")),"000"))</f>
        <v/>
      </c>
    </row>
    <row r="1091" spans="1:20">
      <c r="A1091" s="20" t="s">
        <v>1450</v>
      </c>
      <c r="H1091" s="20" t="str">
        <f>+T1091</f>
        <v/>
      </c>
      <c r="J1091" s="30"/>
      <c r="K1091" s="22" t="str">
        <f>IF(I1091="","",IF(I1091="ENTRADA",ABS(J1091),-ABS(J1091)))</f>
        <v/>
      </c>
      <c r="R1091" s="22" t="str">
        <f>IF(H1091="","",H1091&amp;I1091)</f>
        <v/>
      </c>
      <c r="S1091" s="22" t="str">
        <f>IF(C1091="","",C1091&amp;I1091)</f>
        <v/>
      </c>
      <c r="T1091" t="str">
        <f>IF(OR(C1091="",I1091&lt;&gt;"ENTRADA"),"",TEXT(B1091,"AAMMDD")&amp;"-"&amp;TEXT(VALUE(SUBSTITUTE(A1091,"MOV-","")),"000"))</f>
        <v/>
      </c>
    </row>
    <row r="1092" spans="1:20">
      <c r="A1092" s="20" t="s">
        <v>1451</v>
      </c>
      <c r="H1092" s="20" t="str">
        <f>+T1092</f>
        <v/>
      </c>
      <c r="J1092" s="30"/>
      <c r="K1092" s="22" t="str">
        <f>IF(I1092="","",IF(I1092="ENTRADA",ABS(J1092),-ABS(J1092)))</f>
        <v/>
      </c>
      <c r="R1092" s="22" t="str">
        <f>IF(H1092="","",H1092&amp;I1092)</f>
        <v/>
      </c>
      <c r="S1092" s="22" t="str">
        <f>IF(C1092="","",C1092&amp;I1092)</f>
        <v/>
      </c>
      <c r="T1092" t="str">
        <f>IF(OR(C1092="",I1092&lt;&gt;"ENTRADA"),"",TEXT(B1092,"AAMMDD")&amp;"-"&amp;TEXT(VALUE(SUBSTITUTE(A1092,"MOV-","")),"000"))</f>
        <v/>
      </c>
    </row>
    <row r="1093" spans="1:20">
      <c r="A1093" s="20" t="s">
        <v>1452</v>
      </c>
      <c r="H1093" s="20" t="str">
        <f>+T1093</f>
        <v/>
      </c>
      <c r="J1093" s="30"/>
      <c r="K1093" s="22" t="str">
        <f>IF(I1093="","",IF(I1093="ENTRADA",ABS(J1093),-ABS(J1093)))</f>
        <v/>
      </c>
      <c r="R1093" s="22" t="str">
        <f>IF(H1093="","",H1093&amp;I1093)</f>
        <v/>
      </c>
      <c r="S1093" s="22" t="str">
        <f>IF(C1093="","",C1093&amp;I1093)</f>
        <v/>
      </c>
      <c r="T1093" t="str">
        <f>IF(OR(C1093="",I1093&lt;&gt;"ENTRADA"),"",TEXT(B1093,"AAMMDD")&amp;"-"&amp;TEXT(VALUE(SUBSTITUTE(A1093,"MOV-","")),"000"))</f>
        <v/>
      </c>
    </row>
    <row r="1094" spans="1:20">
      <c r="A1094" s="20" t="s">
        <v>1453</v>
      </c>
      <c r="H1094" s="20" t="str">
        <f>+T1094</f>
        <v/>
      </c>
      <c r="J1094" s="30"/>
      <c r="K1094" s="22" t="str">
        <f>IF(I1094="","",IF(I1094="ENTRADA",ABS(J1094),-ABS(J1094)))</f>
        <v/>
      </c>
      <c r="R1094" s="22" t="str">
        <f>IF(H1094="","",H1094&amp;I1094)</f>
        <v/>
      </c>
      <c r="S1094" s="22" t="str">
        <f>IF(C1094="","",C1094&amp;I1094)</f>
        <v/>
      </c>
      <c r="T1094" t="str">
        <f>IF(OR(C1094="",I1094&lt;&gt;"ENTRADA"),"",TEXT(B1094,"AAMMDD")&amp;"-"&amp;TEXT(VALUE(SUBSTITUTE(A1094,"MOV-","")),"000"))</f>
        <v/>
      </c>
    </row>
    <row r="1095" spans="1:20">
      <c r="A1095" s="20" t="s">
        <v>1454</v>
      </c>
      <c r="H1095" s="20" t="str">
        <f>+T1095</f>
        <v/>
      </c>
      <c r="J1095" s="30"/>
      <c r="K1095" s="22" t="str">
        <f>IF(I1095="","",IF(I1095="ENTRADA",ABS(J1095),-ABS(J1095)))</f>
        <v/>
      </c>
      <c r="R1095" s="22" t="str">
        <f>IF(H1095="","",H1095&amp;I1095)</f>
        <v/>
      </c>
      <c r="S1095" s="22" t="str">
        <f>IF(C1095="","",C1095&amp;I1095)</f>
        <v/>
      </c>
      <c r="T1095" t="str">
        <f>IF(OR(C1095="",I1095&lt;&gt;"ENTRADA"),"",TEXT(B1095,"AAMMDD")&amp;"-"&amp;TEXT(VALUE(SUBSTITUTE(A1095,"MOV-","")),"000"))</f>
        <v/>
      </c>
    </row>
    <row r="1096" spans="1:20">
      <c r="A1096" s="20" t="s">
        <v>1455</v>
      </c>
      <c r="H1096" s="20" t="str">
        <f>+T1096</f>
        <v/>
      </c>
      <c r="J1096" s="30"/>
      <c r="K1096" s="22" t="str">
        <f>IF(I1096="","",IF(I1096="ENTRADA",ABS(J1096),-ABS(J1096)))</f>
        <v/>
      </c>
      <c r="R1096" s="22" t="str">
        <f>IF(H1096="","",H1096&amp;I1096)</f>
        <v/>
      </c>
      <c r="S1096" s="22" t="str">
        <f>IF(C1096="","",C1096&amp;I1096)</f>
        <v/>
      </c>
      <c r="T1096" t="str">
        <f>IF(OR(C1096="",I1096&lt;&gt;"ENTRADA"),"",TEXT(B1096,"AAMMDD")&amp;"-"&amp;TEXT(VALUE(SUBSTITUTE(A1096,"MOV-","")),"000"))</f>
        <v/>
      </c>
    </row>
    <row r="1097" spans="1:20">
      <c r="A1097" s="20" t="s">
        <v>1456</v>
      </c>
      <c r="H1097" s="20" t="str">
        <f>+T1097</f>
        <v/>
      </c>
      <c r="J1097" s="30"/>
      <c r="K1097" s="22" t="str">
        <f>IF(I1097="","",IF(I1097="ENTRADA",ABS(J1097),-ABS(J1097)))</f>
        <v/>
      </c>
      <c r="R1097" s="22" t="str">
        <f>IF(H1097="","",H1097&amp;I1097)</f>
        <v/>
      </c>
      <c r="S1097" s="22" t="str">
        <f>IF(C1097="","",C1097&amp;I1097)</f>
        <v/>
      </c>
      <c r="T1097" t="str">
        <f>IF(OR(C1097="",I1097&lt;&gt;"ENTRADA"),"",TEXT(B1097,"AAMMDD")&amp;"-"&amp;TEXT(VALUE(SUBSTITUTE(A1097,"MOV-","")),"000"))</f>
        <v/>
      </c>
    </row>
    <row r="1098" spans="1:20">
      <c r="A1098" s="20" t="s">
        <v>1457</v>
      </c>
      <c r="H1098" s="20" t="str">
        <f>+T1098</f>
        <v/>
      </c>
      <c r="J1098" s="30"/>
      <c r="K1098" s="22" t="str">
        <f>IF(I1098="","",IF(I1098="ENTRADA",ABS(J1098),-ABS(J1098)))</f>
        <v/>
      </c>
      <c r="R1098" s="22" t="str">
        <f>IF(H1098="","",H1098&amp;I1098)</f>
        <v/>
      </c>
      <c r="S1098" s="22" t="str">
        <f>IF(C1098="","",C1098&amp;I1098)</f>
        <v/>
      </c>
      <c r="T1098" t="str">
        <f>IF(OR(C1098="",I1098&lt;&gt;"ENTRADA"),"",TEXT(B1098,"AAMMDD")&amp;"-"&amp;TEXT(VALUE(SUBSTITUTE(A1098,"MOV-","")),"000"))</f>
        <v/>
      </c>
    </row>
    <row r="1099" spans="1:20">
      <c r="A1099" s="20" t="s">
        <v>1458</v>
      </c>
      <c r="B1099" s="34"/>
      <c r="C1099" s="34"/>
      <c r="D1099" s="34"/>
      <c r="E1099" s="34"/>
      <c r="F1099" s="34"/>
      <c r="G1099" s="34"/>
      <c r="H1099" s="20" t="str">
        <f>+T1099</f>
        <v/>
      </c>
      <c r="I1099" s="34"/>
      <c r="J1099" s="36"/>
      <c r="K1099" s="22" t="str">
        <f>IF(I1099="","",IF(I1099="ENTRADA",ABS(J1099),-ABS(J1099)))</f>
        <v/>
      </c>
      <c r="L1099" s="34"/>
      <c r="M1099" s="34"/>
      <c r="N1099" s="34"/>
      <c r="O1099" s="34"/>
      <c r="P1099" s="34"/>
      <c r="Q1099" s="35"/>
      <c r="R1099" s="22" t="str">
        <f>IF(H1099="","",H1099&amp;I1099)</f>
        <v/>
      </c>
      <c r="S1099" s="22" t="str">
        <f>IF(C1099="","",C1099&amp;I1099)</f>
        <v/>
      </c>
      <c r="T1099" t="str">
        <f>IF(OR(C1099="",I1099&lt;&gt;"ENTRADA"),"",TEXT(B1099,"AAMMDD")&amp;"-"&amp;TEXT(VALUE(SUBSTITUTE(A1099,"MOV-","")),"000"))</f>
        <v/>
      </c>
    </row>
    <row r="1100" spans="1:20">
      <c r="A1100" s="20" t="s">
        <v>1459</v>
      </c>
      <c r="H1100" s="20" t="str">
        <f>+T1100</f>
        <v/>
      </c>
      <c r="J1100" s="30"/>
      <c r="K1100" s="22" t="str">
        <f>IF(I1100="","",IF(I1100="ENTRADA",ABS(J1100),-ABS(J1100)))</f>
        <v/>
      </c>
      <c r="R1100" s="22" t="str">
        <f>IF(H1100="","",H1100&amp;I1100)</f>
        <v/>
      </c>
      <c r="S1100" s="22" t="str">
        <f>IF(C1100="","",C1100&amp;I1100)</f>
        <v/>
      </c>
      <c r="T1100" t="str">
        <f>IF(OR(C1100="",I1100&lt;&gt;"ENTRADA"),"",TEXT(B1100,"AAMMDD")&amp;"-"&amp;TEXT(VALUE(SUBSTITUTE(A1100,"MOV-","")),"000"))</f>
        <v/>
      </c>
    </row>
    <row r="1101" spans="1:20">
      <c r="A1101" s="20" t="s">
        <v>1460</v>
      </c>
      <c r="H1101" s="20" t="str">
        <f>+T1101</f>
        <v/>
      </c>
      <c r="J1101" s="30"/>
      <c r="K1101" s="22" t="str">
        <f>IF(I1101="","",IF(I1101="ENTRADA",ABS(J1101),-ABS(J1101)))</f>
        <v/>
      </c>
      <c r="R1101" s="22" t="str">
        <f>IF(H1101="","",H1101&amp;I1101)</f>
        <v/>
      </c>
      <c r="S1101" s="22" t="str">
        <f>IF(C1101="","",C1101&amp;I1101)</f>
        <v/>
      </c>
      <c r="T1101" t="str">
        <f>IF(OR(C1101="",I1101&lt;&gt;"ENTRADA"),"",TEXT(B1101,"AAMMDD")&amp;"-"&amp;TEXT(VALUE(SUBSTITUTE(A1101,"MOV-","")),"000"))</f>
        <v/>
      </c>
    </row>
    <row r="1102" spans="1:20">
      <c r="A1102" s="20" t="s">
        <v>1461</v>
      </c>
      <c r="H1102" s="20" t="str">
        <f>+T1102</f>
        <v/>
      </c>
      <c r="J1102" s="30"/>
      <c r="K1102" s="22" t="str">
        <f>IF(I1102="","",IF(I1102="ENTRADA",ABS(J1102),-ABS(J1102)))</f>
        <v/>
      </c>
      <c r="R1102" s="22" t="str">
        <f>IF(H1102="","",H1102&amp;I1102)</f>
        <v/>
      </c>
      <c r="S1102" s="22" t="str">
        <f>IF(C1102="","",C1102&amp;I1102)</f>
        <v/>
      </c>
      <c r="T1102" t="str">
        <f>IF(OR(C1102="",I1102&lt;&gt;"ENTRADA"),"",TEXT(B1102,"AAMMDD")&amp;"-"&amp;TEXT(VALUE(SUBSTITUTE(A1102,"MOV-","")),"000"))</f>
        <v/>
      </c>
    </row>
    <row r="1103" spans="1:20">
      <c r="A1103" s="20" t="s">
        <v>1462</v>
      </c>
      <c r="H1103" s="20" t="str">
        <f>+T1103</f>
        <v/>
      </c>
      <c r="J1103" s="30"/>
      <c r="K1103" s="22" t="str">
        <f>IF(I1103="","",IF(I1103="ENTRADA",ABS(J1103),-ABS(J1103)))</f>
        <v/>
      </c>
      <c r="R1103" s="22" t="str">
        <f>IF(H1103="","",H1103&amp;I1103)</f>
        <v/>
      </c>
      <c r="S1103" s="22" t="str">
        <f>IF(C1103="","",C1103&amp;I1103)</f>
        <v/>
      </c>
      <c r="T1103" t="str">
        <f>IF(OR(C1103="",I1103&lt;&gt;"ENTRADA"),"",TEXT(B1103,"AAMMDD")&amp;"-"&amp;TEXT(VALUE(SUBSTITUTE(A1103,"MOV-","")),"000"))</f>
        <v/>
      </c>
    </row>
    <row r="1104" spans="1:20">
      <c r="A1104" s="20" t="s">
        <v>1463</v>
      </c>
      <c r="H1104" s="20" t="str">
        <f>+T1104</f>
        <v/>
      </c>
      <c r="J1104" s="30"/>
      <c r="K1104" s="22" t="str">
        <f>IF(I1104="","",IF(I1104="ENTRADA",ABS(J1104),-ABS(J1104)))</f>
        <v/>
      </c>
      <c r="R1104" s="22" t="str">
        <f>IF(H1104="","",H1104&amp;I1104)</f>
        <v/>
      </c>
      <c r="S1104" s="22" t="str">
        <f>IF(C1104="","",C1104&amp;I1104)</f>
        <v/>
      </c>
      <c r="T1104" t="str">
        <f>IF(OR(C1104="",I1104&lt;&gt;"ENTRADA"),"",TEXT(B1104,"AAMMDD")&amp;"-"&amp;TEXT(VALUE(SUBSTITUTE(A1104,"MOV-","")),"000"))</f>
        <v/>
      </c>
    </row>
    <row r="1105" spans="1:20">
      <c r="A1105" s="20" t="s">
        <v>1464</v>
      </c>
      <c r="H1105" s="20" t="str">
        <f>+T1105</f>
        <v/>
      </c>
      <c r="J1105" s="30"/>
      <c r="K1105" s="22" t="str">
        <f>IF(I1105="","",IF(I1105="ENTRADA",ABS(J1105),-ABS(J1105)))</f>
        <v/>
      </c>
      <c r="R1105" s="22" t="str">
        <f>IF(H1105="","",H1105&amp;I1105)</f>
        <v/>
      </c>
      <c r="S1105" s="22" t="str">
        <f>IF(C1105="","",C1105&amp;I1105)</f>
        <v/>
      </c>
      <c r="T1105" t="str">
        <f>IF(OR(C1105="",I1105&lt;&gt;"ENTRADA"),"",TEXT(B1105,"AAMMDD")&amp;"-"&amp;TEXT(VALUE(SUBSTITUTE(A1105,"MOV-","")),"000"))</f>
        <v/>
      </c>
    </row>
    <row r="1106" spans="1:20">
      <c r="A1106" s="20" t="s">
        <v>1465</v>
      </c>
      <c r="H1106" s="20" t="str">
        <f>+T1106</f>
        <v/>
      </c>
      <c r="J1106" s="30"/>
      <c r="K1106" s="22" t="str">
        <f>IF(I1106="","",IF(I1106="ENTRADA",ABS(J1106),-ABS(J1106)))</f>
        <v/>
      </c>
      <c r="R1106" s="22" t="str">
        <f>IF(H1106="","",H1106&amp;I1106)</f>
        <v/>
      </c>
      <c r="S1106" s="22" t="str">
        <f>IF(C1106="","",C1106&amp;I1106)</f>
        <v/>
      </c>
      <c r="T1106" t="str">
        <f>IF(OR(C1106="",I1106&lt;&gt;"ENTRADA"),"",TEXT(B1106,"AAMMDD")&amp;"-"&amp;TEXT(VALUE(SUBSTITUTE(A1106,"MOV-","")),"000"))</f>
        <v/>
      </c>
    </row>
    <row r="1107" spans="1:20">
      <c r="A1107" s="20" t="s">
        <v>1466</v>
      </c>
      <c r="H1107" s="20" t="str">
        <f>+T1107</f>
        <v/>
      </c>
      <c r="J1107" s="30"/>
      <c r="K1107" s="22" t="str">
        <f>IF(I1107="","",IF(I1107="ENTRADA",ABS(J1107),-ABS(J1107)))</f>
        <v/>
      </c>
      <c r="R1107" s="22" t="str">
        <f>IF(H1107="","",H1107&amp;I1107)</f>
        <v/>
      </c>
      <c r="S1107" s="22" t="str">
        <f>IF(C1107="","",C1107&amp;I1107)</f>
        <v/>
      </c>
      <c r="T1107" t="str">
        <f>IF(OR(C1107="",I1107&lt;&gt;"ENTRADA"),"",TEXT(B1107,"AAMMDD")&amp;"-"&amp;TEXT(VALUE(SUBSTITUTE(A1107,"MOV-","")),"000"))</f>
        <v/>
      </c>
    </row>
    <row r="1108" spans="1:20">
      <c r="A1108" s="20" t="s">
        <v>1467</v>
      </c>
      <c r="H1108" s="20" t="str">
        <f>+T1108</f>
        <v/>
      </c>
      <c r="J1108" s="30"/>
      <c r="K1108" s="22" t="str">
        <f>IF(I1108="","",IF(I1108="ENTRADA",ABS(J1108),-ABS(J1108)))</f>
        <v/>
      </c>
      <c r="R1108" s="22" t="str">
        <f>IF(H1108="","",H1108&amp;I1108)</f>
        <v/>
      </c>
      <c r="S1108" s="22" t="str">
        <f>IF(C1108="","",C1108&amp;I1108)</f>
        <v/>
      </c>
      <c r="T1108" t="str">
        <f>IF(OR(C1108="",I1108&lt;&gt;"ENTRADA"),"",TEXT(B1108,"AAMMDD")&amp;"-"&amp;TEXT(VALUE(SUBSTITUTE(A1108,"MOV-","")),"000"))</f>
        <v/>
      </c>
    </row>
    <row r="1109" spans="1:20">
      <c r="A1109" s="20" t="s">
        <v>1468</v>
      </c>
      <c r="H1109" s="20" t="str">
        <f>+T1109</f>
        <v/>
      </c>
      <c r="J1109" s="30"/>
      <c r="K1109" s="22" t="str">
        <f>IF(I1109="","",IF(I1109="ENTRADA",ABS(J1109),-ABS(J1109)))</f>
        <v/>
      </c>
      <c r="R1109" s="22" t="str">
        <f>IF(H1109="","",H1109&amp;I1109)</f>
        <v/>
      </c>
      <c r="S1109" s="22" t="str">
        <f>IF(C1109="","",C1109&amp;I1109)</f>
        <v/>
      </c>
      <c r="T1109" t="str">
        <f>IF(OR(C1109="",I1109&lt;&gt;"ENTRADA"),"",TEXT(B1109,"AAMMDD")&amp;"-"&amp;TEXT(VALUE(SUBSTITUTE(A1109,"MOV-","")),"000"))</f>
        <v/>
      </c>
    </row>
    <row r="1110" spans="1:20">
      <c r="A1110" s="20" t="s">
        <v>1469</v>
      </c>
      <c r="B1110" s="34"/>
      <c r="C1110" s="34"/>
      <c r="D1110" s="34"/>
      <c r="E1110" s="34"/>
      <c r="F1110" s="34"/>
      <c r="G1110" s="34"/>
      <c r="H1110" s="20" t="str">
        <f>+T1110</f>
        <v/>
      </c>
      <c r="I1110" s="34"/>
      <c r="J1110" s="36"/>
      <c r="K1110" s="22" t="str">
        <f>IF(I1110="","",IF(I1110="ENTRADA",ABS(J1110),-ABS(J1110)))</f>
        <v/>
      </c>
      <c r="L1110" s="34"/>
      <c r="M1110" s="34"/>
      <c r="N1110" s="34"/>
      <c r="O1110" s="34"/>
      <c r="P1110" s="34"/>
      <c r="Q1110" s="35"/>
      <c r="R1110" s="22" t="str">
        <f>IF(H1110="","",H1110&amp;I1110)</f>
        <v/>
      </c>
      <c r="S1110" s="22" t="str">
        <f>IF(C1110="","",C1110&amp;I1110)</f>
        <v/>
      </c>
      <c r="T1110" t="str">
        <f>IF(OR(C1110="",I1110&lt;&gt;"ENTRADA"),"",TEXT(B1110,"AAMMDD")&amp;"-"&amp;TEXT(VALUE(SUBSTITUTE(A1110,"MOV-","")),"000"))</f>
        <v/>
      </c>
    </row>
    <row r="1111" spans="1:20">
      <c r="A1111" s="20" t="s">
        <v>1470</v>
      </c>
      <c r="H1111" s="20" t="str">
        <f>+T1111</f>
        <v/>
      </c>
      <c r="J1111" s="30"/>
      <c r="K1111" s="22" t="str">
        <f>IF(I1111="","",IF(I1111="ENTRADA",ABS(J1111),-ABS(J1111)))</f>
        <v/>
      </c>
      <c r="R1111" s="22" t="str">
        <f>IF(H1111="","",H1111&amp;I1111)</f>
        <v/>
      </c>
      <c r="S1111" s="22" t="str">
        <f>IF(C1111="","",C1111&amp;I1111)</f>
        <v/>
      </c>
      <c r="T1111" t="str">
        <f>IF(OR(C1111="",I1111&lt;&gt;"ENTRADA"),"",TEXT(B1111,"AAMMDD")&amp;"-"&amp;TEXT(VALUE(SUBSTITUTE(A1111,"MOV-","")),"000"))</f>
        <v/>
      </c>
    </row>
    <row r="1112" spans="1:20">
      <c r="A1112" s="20" t="s">
        <v>1471</v>
      </c>
      <c r="H1112" s="20" t="str">
        <f>+T1112</f>
        <v/>
      </c>
      <c r="J1112" s="30"/>
      <c r="K1112" s="22" t="str">
        <f>IF(I1112="","",IF(I1112="ENTRADA",ABS(J1112),-ABS(J1112)))</f>
        <v/>
      </c>
      <c r="R1112" s="22" t="str">
        <f>IF(H1112="","",H1112&amp;I1112)</f>
        <v/>
      </c>
      <c r="S1112" s="22" t="str">
        <f>IF(C1112="","",C1112&amp;I1112)</f>
        <v/>
      </c>
      <c r="T1112" t="str">
        <f>IF(OR(C1112="",I1112&lt;&gt;"ENTRADA"),"",TEXT(B1112,"AAMMDD")&amp;"-"&amp;TEXT(VALUE(SUBSTITUTE(A1112,"MOV-","")),"000"))</f>
        <v/>
      </c>
    </row>
    <row r="1113" spans="1:20">
      <c r="A1113" s="20" t="s">
        <v>1472</v>
      </c>
      <c r="H1113" s="20" t="str">
        <f>+T1113</f>
        <v/>
      </c>
      <c r="J1113" s="30"/>
      <c r="K1113" s="22" t="str">
        <f>IF(I1113="","",IF(I1113="ENTRADA",ABS(J1113),-ABS(J1113)))</f>
        <v/>
      </c>
      <c r="R1113" s="22" t="str">
        <f>IF(H1113="","",H1113&amp;I1113)</f>
        <v/>
      </c>
      <c r="S1113" s="22" t="str">
        <f>IF(C1113="","",C1113&amp;I1113)</f>
        <v/>
      </c>
      <c r="T1113" t="str">
        <f>IF(OR(C1113="",I1113&lt;&gt;"ENTRADA"),"",TEXT(B1113,"AAMMDD")&amp;"-"&amp;TEXT(VALUE(SUBSTITUTE(A1113,"MOV-","")),"000"))</f>
        <v/>
      </c>
    </row>
    <row r="1114" spans="1:20">
      <c r="A1114" s="20" t="s">
        <v>1473</v>
      </c>
      <c r="H1114" s="20" t="str">
        <f>+T1114</f>
        <v/>
      </c>
      <c r="J1114" s="30"/>
      <c r="K1114" s="22" t="str">
        <f>IF(I1114="","",IF(I1114="ENTRADA",ABS(J1114),-ABS(J1114)))</f>
        <v/>
      </c>
      <c r="R1114" s="22" t="str">
        <f>IF(H1114="","",H1114&amp;I1114)</f>
        <v/>
      </c>
      <c r="S1114" s="22" t="str">
        <f>IF(C1114="","",C1114&amp;I1114)</f>
        <v/>
      </c>
      <c r="T1114" t="str">
        <f>IF(OR(C1114="",I1114&lt;&gt;"ENTRADA"),"",TEXT(B1114,"AAMMDD")&amp;"-"&amp;TEXT(VALUE(SUBSTITUTE(A1114,"MOV-","")),"000"))</f>
        <v/>
      </c>
    </row>
    <row r="1115" spans="1:20">
      <c r="A1115" s="20" t="s">
        <v>1474</v>
      </c>
      <c r="H1115" s="20" t="str">
        <f>+T1115</f>
        <v/>
      </c>
      <c r="J1115" s="30"/>
      <c r="K1115" s="22" t="str">
        <f>IF(I1115="","",IF(I1115="ENTRADA",ABS(J1115),-ABS(J1115)))</f>
        <v/>
      </c>
      <c r="R1115" s="22" t="str">
        <f>IF(H1115="","",H1115&amp;I1115)</f>
        <v/>
      </c>
      <c r="S1115" s="22" t="str">
        <f>IF(C1115="","",C1115&amp;I1115)</f>
        <v/>
      </c>
      <c r="T1115" t="str">
        <f>IF(OR(C1115="",I1115&lt;&gt;"ENTRADA"),"",TEXT(B1115,"AAMMDD")&amp;"-"&amp;TEXT(VALUE(SUBSTITUTE(A1115,"MOV-","")),"000"))</f>
        <v/>
      </c>
    </row>
    <row r="1116" spans="1:20">
      <c r="A1116" s="20" t="s">
        <v>1475</v>
      </c>
      <c r="H1116" s="20" t="str">
        <f>+T1116</f>
        <v/>
      </c>
      <c r="J1116" s="30"/>
      <c r="K1116" s="22" t="str">
        <f>IF(I1116="","",IF(I1116="ENTRADA",ABS(J1116),-ABS(J1116)))</f>
        <v/>
      </c>
      <c r="R1116" s="22" t="str">
        <f>IF(H1116="","",H1116&amp;I1116)</f>
        <v/>
      </c>
      <c r="S1116" s="22" t="str">
        <f>IF(C1116="","",C1116&amp;I1116)</f>
        <v/>
      </c>
      <c r="T1116" t="str">
        <f>IF(OR(C1116="",I1116&lt;&gt;"ENTRADA"),"",TEXT(B1116,"AAMMDD")&amp;"-"&amp;TEXT(VALUE(SUBSTITUTE(A1116,"MOV-","")),"000"))</f>
        <v/>
      </c>
    </row>
    <row r="1117" spans="1:20">
      <c r="A1117" s="20" t="s">
        <v>1476</v>
      </c>
      <c r="H1117" s="20" t="str">
        <f>+T1117</f>
        <v/>
      </c>
      <c r="J1117" s="30"/>
      <c r="K1117" s="22" t="str">
        <f>IF(I1117="","",IF(I1117="ENTRADA",ABS(J1117),-ABS(J1117)))</f>
        <v/>
      </c>
      <c r="R1117" s="22" t="str">
        <f>IF(H1117="","",H1117&amp;I1117)</f>
        <v/>
      </c>
      <c r="S1117" s="22" t="str">
        <f>IF(C1117="","",C1117&amp;I1117)</f>
        <v/>
      </c>
      <c r="T1117" t="str">
        <f>IF(OR(C1117="",I1117&lt;&gt;"ENTRADA"),"",TEXT(B1117,"AAMMDD")&amp;"-"&amp;TEXT(VALUE(SUBSTITUTE(A1117,"MOV-","")),"000"))</f>
        <v/>
      </c>
    </row>
    <row r="1118" spans="1:20">
      <c r="A1118" s="20" t="s">
        <v>1477</v>
      </c>
      <c r="H1118" s="20" t="str">
        <f>+T1118</f>
        <v/>
      </c>
      <c r="J1118" s="30"/>
      <c r="K1118" s="22" t="str">
        <f>IF(I1118="","",IF(I1118="ENTRADA",ABS(J1118),-ABS(J1118)))</f>
        <v/>
      </c>
      <c r="R1118" s="22" t="str">
        <f>IF(H1118="","",H1118&amp;I1118)</f>
        <v/>
      </c>
      <c r="S1118" s="22" t="str">
        <f>IF(C1118="","",C1118&amp;I1118)</f>
        <v/>
      </c>
      <c r="T1118" t="str">
        <f>IF(OR(C1118="",I1118&lt;&gt;"ENTRADA"),"",TEXT(B1118,"AAMMDD")&amp;"-"&amp;TEXT(VALUE(SUBSTITUTE(A1118,"MOV-","")),"000"))</f>
        <v/>
      </c>
    </row>
    <row r="1119" spans="1:20">
      <c r="A1119" s="20" t="s">
        <v>1478</v>
      </c>
      <c r="H1119" s="20" t="str">
        <f>+T1119</f>
        <v/>
      </c>
      <c r="J1119" s="30"/>
      <c r="K1119" s="22" t="str">
        <f>IF(I1119="","",IF(I1119="ENTRADA",ABS(J1119),-ABS(J1119)))</f>
        <v/>
      </c>
      <c r="R1119" s="22" t="str">
        <f>IF(H1119="","",H1119&amp;I1119)</f>
        <v/>
      </c>
      <c r="S1119" s="22" t="str">
        <f>IF(C1119="","",C1119&amp;I1119)</f>
        <v/>
      </c>
      <c r="T1119" t="str">
        <f>IF(OR(C1119="",I1119&lt;&gt;"ENTRADA"),"",TEXT(B1119,"AAMMDD")&amp;"-"&amp;TEXT(VALUE(SUBSTITUTE(A1119,"MOV-","")),"000"))</f>
        <v/>
      </c>
    </row>
    <row r="1120" spans="1:20">
      <c r="A1120" s="20" t="s">
        <v>1479</v>
      </c>
      <c r="H1120" s="20" t="str">
        <f>+T1120</f>
        <v/>
      </c>
      <c r="J1120" s="30"/>
      <c r="K1120" s="22" t="str">
        <f>IF(I1120="","",IF(I1120="ENTRADA",ABS(J1120),-ABS(J1120)))</f>
        <v/>
      </c>
      <c r="R1120" s="22" t="str">
        <f>IF(H1120="","",H1120&amp;I1120)</f>
        <v/>
      </c>
      <c r="S1120" s="22" t="str">
        <f>IF(C1120="","",C1120&amp;I1120)</f>
        <v/>
      </c>
      <c r="T1120" t="str">
        <f>IF(OR(C1120="",I1120&lt;&gt;"ENTRADA"),"",TEXT(B1120,"AAMMDD")&amp;"-"&amp;TEXT(VALUE(SUBSTITUTE(A1120,"MOV-","")),"000"))</f>
        <v/>
      </c>
    </row>
    <row r="1121" spans="1:20">
      <c r="A1121" s="20" t="s">
        <v>1480</v>
      </c>
      <c r="B1121" s="34"/>
      <c r="C1121" s="34"/>
      <c r="D1121" s="34"/>
      <c r="E1121" s="34"/>
      <c r="F1121" s="34"/>
      <c r="G1121" s="34"/>
      <c r="H1121" s="20" t="str">
        <f>+T1121</f>
        <v/>
      </c>
      <c r="I1121" s="34"/>
      <c r="J1121" s="36"/>
      <c r="K1121" s="22" t="str">
        <f>IF(I1121="","",IF(I1121="ENTRADA",ABS(J1121),-ABS(J1121)))</f>
        <v/>
      </c>
      <c r="L1121" s="34"/>
      <c r="M1121" s="34"/>
      <c r="N1121" s="34"/>
      <c r="O1121" s="34"/>
      <c r="P1121" s="34"/>
      <c r="Q1121" s="35"/>
      <c r="R1121" s="22" t="str">
        <f>IF(H1121="","",H1121&amp;I1121)</f>
        <v/>
      </c>
      <c r="S1121" s="22" t="str">
        <f>IF(C1121="","",C1121&amp;I1121)</f>
        <v/>
      </c>
      <c r="T1121" t="str">
        <f>IF(OR(C1121="",I1121&lt;&gt;"ENTRADA"),"",TEXT(B1121,"AAMMDD")&amp;"-"&amp;TEXT(VALUE(SUBSTITUTE(A1121,"MOV-","")),"000"))</f>
        <v/>
      </c>
    </row>
    <row r="1122" spans="1:20">
      <c r="A1122" s="20" t="s">
        <v>1481</v>
      </c>
      <c r="H1122" s="20" t="str">
        <f>+T1122</f>
        <v/>
      </c>
      <c r="J1122" s="30"/>
      <c r="K1122" s="22" t="str">
        <f>IF(I1122="","",IF(I1122="ENTRADA",ABS(J1122),-ABS(J1122)))</f>
        <v/>
      </c>
      <c r="R1122" s="22" t="str">
        <f>IF(H1122="","",H1122&amp;I1122)</f>
        <v/>
      </c>
      <c r="S1122" s="22" t="str">
        <f>IF(C1122="","",C1122&amp;I1122)</f>
        <v/>
      </c>
      <c r="T1122" t="str">
        <f>IF(OR(C1122="",I1122&lt;&gt;"ENTRADA"),"",TEXT(B1122,"AAMMDD")&amp;"-"&amp;TEXT(VALUE(SUBSTITUTE(A1122,"MOV-","")),"000"))</f>
        <v/>
      </c>
    </row>
    <row r="1123" spans="1:20">
      <c r="A1123" s="20" t="s">
        <v>1482</v>
      </c>
      <c r="H1123" s="20" t="str">
        <f>+T1123</f>
        <v/>
      </c>
      <c r="J1123" s="30"/>
      <c r="K1123" s="22" t="str">
        <f>IF(I1123="","",IF(I1123="ENTRADA",ABS(J1123),-ABS(J1123)))</f>
        <v/>
      </c>
      <c r="R1123" s="22" t="str">
        <f>IF(H1123="","",H1123&amp;I1123)</f>
        <v/>
      </c>
      <c r="S1123" s="22" t="str">
        <f>IF(C1123="","",C1123&amp;I1123)</f>
        <v/>
      </c>
      <c r="T1123" t="str">
        <f>IF(OR(C1123="",I1123&lt;&gt;"ENTRADA"),"",TEXT(B1123,"AAMMDD")&amp;"-"&amp;TEXT(VALUE(SUBSTITUTE(A1123,"MOV-","")),"000"))</f>
        <v/>
      </c>
    </row>
    <row r="1124" spans="1:20">
      <c r="A1124" s="20" t="s">
        <v>1483</v>
      </c>
      <c r="H1124" s="20" t="str">
        <f>+T1124</f>
        <v/>
      </c>
      <c r="J1124" s="30"/>
      <c r="K1124" s="22" t="str">
        <f>IF(I1124="","",IF(I1124="ENTRADA",ABS(J1124),-ABS(J1124)))</f>
        <v/>
      </c>
      <c r="R1124" s="22" t="str">
        <f>IF(H1124="","",H1124&amp;I1124)</f>
        <v/>
      </c>
      <c r="S1124" s="22" t="str">
        <f>IF(C1124="","",C1124&amp;I1124)</f>
        <v/>
      </c>
      <c r="T1124" t="str">
        <f>IF(OR(C1124="",I1124&lt;&gt;"ENTRADA"),"",TEXT(B1124,"AAMMDD")&amp;"-"&amp;TEXT(VALUE(SUBSTITUTE(A1124,"MOV-","")),"000"))</f>
        <v/>
      </c>
    </row>
    <row r="1125" spans="1:20">
      <c r="A1125" s="20" t="s">
        <v>1484</v>
      </c>
      <c r="H1125" s="20" t="str">
        <f>+T1125</f>
        <v/>
      </c>
      <c r="J1125" s="30"/>
      <c r="K1125" s="22" t="str">
        <f>IF(I1125="","",IF(I1125="ENTRADA",ABS(J1125),-ABS(J1125)))</f>
        <v/>
      </c>
      <c r="R1125" s="22" t="str">
        <f>IF(H1125="","",H1125&amp;I1125)</f>
        <v/>
      </c>
      <c r="S1125" s="22" t="str">
        <f>IF(C1125="","",C1125&amp;I1125)</f>
        <v/>
      </c>
      <c r="T1125" t="str">
        <f>IF(OR(C1125="",I1125&lt;&gt;"ENTRADA"),"",TEXT(B1125,"AAMMDD")&amp;"-"&amp;TEXT(VALUE(SUBSTITUTE(A1125,"MOV-","")),"000"))</f>
        <v/>
      </c>
    </row>
    <row r="1126" spans="1:20">
      <c r="A1126" s="20" t="s">
        <v>1485</v>
      </c>
      <c r="H1126" s="20" t="str">
        <f>+T1126</f>
        <v/>
      </c>
      <c r="J1126" s="30"/>
      <c r="K1126" s="22" t="str">
        <f>IF(I1126="","",IF(I1126="ENTRADA",ABS(J1126),-ABS(J1126)))</f>
        <v/>
      </c>
      <c r="R1126" s="22" t="str">
        <f>IF(H1126="","",H1126&amp;I1126)</f>
        <v/>
      </c>
      <c r="S1126" s="22" t="str">
        <f>IF(C1126="","",C1126&amp;I1126)</f>
        <v/>
      </c>
      <c r="T1126" t="str">
        <f>IF(OR(C1126="",I1126&lt;&gt;"ENTRADA"),"",TEXT(B1126,"AAMMDD")&amp;"-"&amp;TEXT(VALUE(SUBSTITUTE(A1126,"MOV-","")),"000"))</f>
        <v/>
      </c>
    </row>
    <row r="1127" spans="1:20">
      <c r="A1127" s="20" t="s">
        <v>1486</v>
      </c>
      <c r="H1127" s="20" t="str">
        <f>+T1127</f>
        <v/>
      </c>
      <c r="J1127" s="30"/>
      <c r="K1127" s="22" t="str">
        <f>IF(I1127="","",IF(I1127="ENTRADA",ABS(J1127),-ABS(J1127)))</f>
        <v/>
      </c>
      <c r="R1127" s="22" t="str">
        <f>IF(H1127="","",H1127&amp;I1127)</f>
        <v/>
      </c>
      <c r="S1127" s="22" t="str">
        <f>IF(C1127="","",C1127&amp;I1127)</f>
        <v/>
      </c>
      <c r="T1127" t="str">
        <f>IF(OR(C1127="",I1127&lt;&gt;"ENTRADA"),"",TEXT(B1127,"AAMMDD")&amp;"-"&amp;TEXT(VALUE(SUBSTITUTE(A1127,"MOV-","")),"000"))</f>
        <v/>
      </c>
    </row>
    <row r="1128" spans="1:20">
      <c r="A1128" s="20" t="s">
        <v>1487</v>
      </c>
      <c r="H1128" s="20" t="str">
        <f>+T1128</f>
        <v/>
      </c>
      <c r="J1128" s="30"/>
      <c r="K1128" s="22" t="str">
        <f>IF(I1128="","",IF(I1128="ENTRADA",ABS(J1128),-ABS(J1128)))</f>
        <v/>
      </c>
      <c r="R1128" s="22" t="str">
        <f>IF(H1128="","",H1128&amp;I1128)</f>
        <v/>
      </c>
      <c r="S1128" s="22" t="str">
        <f>IF(C1128="","",C1128&amp;I1128)</f>
        <v/>
      </c>
      <c r="T1128" t="str">
        <f>IF(OR(C1128="",I1128&lt;&gt;"ENTRADA"),"",TEXT(B1128,"AAMMDD")&amp;"-"&amp;TEXT(VALUE(SUBSTITUTE(A1128,"MOV-","")),"000"))</f>
        <v/>
      </c>
    </row>
    <row r="1129" spans="1:20">
      <c r="A1129" s="20" t="s">
        <v>1488</v>
      </c>
      <c r="H1129" s="20" t="str">
        <f>+T1129</f>
        <v/>
      </c>
      <c r="J1129" s="30"/>
      <c r="K1129" s="22" t="str">
        <f>IF(I1129="","",IF(I1129="ENTRADA",ABS(J1129),-ABS(J1129)))</f>
        <v/>
      </c>
      <c r="R1129" s="22" t="str">
        <f>IF(H1129="","",H1129&amp;I1129)</f>
        <v/>
      </c>
      <c r="S1129" s="22" t="str">
        <f>IF(C1129="","",C1129&amp;I1129)</f>
        <v/>
      </c>
      <c r="T1129" t="str">
        <f>IF(OR(C1129="",I1129&lt;&gt;"ENTRADA"),"",TEXT(B1129,"AAMMDD")&amp;"-"&amp;TEXT(VALUE(SUBSTITUTE(A1129,"MOV-","")),"000"))</f>
        <v/>
      </c>
    </row>
    <row r="1130" spans="1:20">
      <c r="A1130" s="20" t="s">
        <v>1489</v>
      </c>
      <c r="H1130" s="20" t="str">
        <f>+T1130</f>
        <v/>
      </c>
      <c r="J1130" s="30"/>
      <c r="K1130" s="22" t="str">
        <f>IF(I1130="","",IF(I1130="ENTRADA",ABS(J1130),-ABS(J1130)))</f>
        <v/>
      </c>
      <c r="R1130" s="22" t="str">
        <f>IF(H1130="","",H1130&amp;I1130)</f>
        <v/>
      </c>
      <c r="S1130" s="22" t="str">
        <f>IF(C1130="","",C1130&amp;I1130)</f>
        <v/>
      </c>
      <c r="T1130" t="str">
        <f>IF(OR(C1130="",I1130&lt;&gt;"ENTRADA"),"",TEXT(B1130,"AAMMDD")&amp;"-"&amp;TEXT(VALUE(SUBSTITUTE(A1130,"MOV-","")),"000"))</f>
        <v/>
      </c>
    </row>
    <row r="1131" spans="1:20">
      <c r="A1131" s="20" t="s">
        <v>1490</v>
      </c>
      <c r="H1131" s="20" t="str">
        <f>+T1131</f>
        <v/>
      </c>
      <c r="J1131" s="30"/>
      <c r="K1131" s="22" t="str">
        <f>IF(I1131="","",IF(I1131="ENTRADA",ABS(J1131),-ABS(J1131)))</f>
        <v/>
      </c>
      <c r="R1131" s="22" t="str">
        <f>IF(H1131="","",H1131&amp;I1131)</f>
        <v/>
      </c>
      <c r="S1131" s="22" t="str">
        <f>IF(C1131="","",C1131&amp;I1131)</f>
        <v/>
      </c>
      <c r="T1131" t="str">
        <f>IF(OR(C1131="",I1131&lt;&gt;"ENTRADA"),"",TEXT(B1131,"AAMMDD")&amp;"-"&amp;TEXT(VALUE(SUBSTITUTE(A1131,"MOV-","")),"000"))</f>
        <v/>
      </c>
    </row>
    <row r="1132" spans="1:20">
      <c r="A1132" s="20" t="s">
        <v>1491</v>
      </c>
      <c r="B1132" s="34"/>
      <c r="C1132" s="34"/>
      <c r="D1132" s="34"/>
      <c r="E1132" s="34"/>
      <c r="F1132" s="34"/>
      <c r="G1132" s="34"/>
      <c r="H1132" s="20" t="str">
        <f>+T1132</f>
        <v/>
      </c>
      <c r="I1132" s="34"/>
      <c r="J1132" s="36"/>
      <c r="K1132" s="22" t="str">
        <f>IF(I1132="","",IF(I1132="ENTRADA",ABS(J1132),-ABS(J1132)))</f>
        <v/>
      </c>
      <c r="L1132" s="34"/>
      <c r="M1132" s="34"/>
      <c r="N1132" s="34"/>
      <c r="O1132" s="34"/>
      <c r="P1132" s="34"/>
      <c r="Q1132" s="35"/>
      <c r="R1132" s="22" t="str">
        <f>IF(H1132="","",H1132&amp;I1132)</f>
        <v/>
      </c>
      <c r="S1132" s="22" t="str">
        <f>IF(C1132="","",C1132&amp;I1132)</f>
        <v/>
      </c>
      <c r="T1132" t="str">
        <f>IF(OR(C1132="",I1132&lt;&gt;"ENTRADA"),"",TEXT(B1132,"AAMMDD")&amp;"-"&amp;TEXT(VALUE(SUBSTITUTE(A1132,"MOV-","")),"000"))</f>
        <v/>
      </c>
    </row>
    <row r="1133" spans="1:20">
      <c r="A1133" s="20" t="s">
        <v>1492</v>
      </c>
      <c r="H1133" s="20" t="str">
        <f>+T1133</f>
        <v/>
      </c>
      <c r="J1133" s="30"/>
      <c r="K1133" s="22" t="str">
        <f>IF(I1133="","",IF(I1133="ENTRADA",ABS(J1133),-ABS(J1133)))</f>
        <v/>
      </c>
      <c r="R1133" s="22" t="str">
        <f>IF(H1133="","",H1133&amp;I1133)</f>
        <v/>
      </c>
      <c r="S1133" s="22" t="str">
        <f>IF(C1133="","",C1133&amp;I1133)</f>
        <v/>
      </c>
      <c r="T1133" t="str">
        <f>IF(OR(C1133="",I1133&lt;&gt;"ENTRADA"),"",TEXT(B1133,"AAMMDD")&amp;"-"&amp;TEXT(VALUE(SUBSTITUTE(A1133,"MOV-","")),"000"))</f>
        <v/>
      </c>
    </row>
    <row r="1134" spans="1:20">
      <c r="A1134" s="20" t="s">
        <v>1493</v>
      </c>
      <c r="H1134" s="20" t="str">
        <f>+T1134</f>
        <v/>
      </c>
      <c r="J1134" s="30"/>
      <c r="K1134" s="22" t="str">
        <f>IF(I1134="","",IF(I1134="ENTRADA",ABS(J1134),-ABS(J1134)))</f>
        <v/>
      </c>
      <c r="R1134" s="22" t="str">
        <f>IF(H1134="","",H1134&amp;I1134)</f>
        <v/>
      </c>
      <c r="S1134" s="22" t="str">
        <f>IF(C1134="","",C1134&amp;I1134)</f>
        <v/>
      </c>
      <c r="T1134" t="str">
        <f>IF(OR(C1134="",I1134&lt;&gt;"ENTRADA"),"",TEXT(B1134,"AAMMDD")&amp;"-"&amp;TEXT(VALUE(SUBSTITUTE(A1134,"MOV-","")),"000"))</f>
        <v/>
      </c>
    </row>
    <row r="1135" spans="1:20">
      <c r="A1135" s="20" t="s">
        <v>1494</v>
      </c>
      <c r="H1135" s="20" t="str">
        <f>+T1135</f>
        <v/>
      </c>
      <c r="J1135" s="30"/>
      <c r="K1135" s="22" t="str">
        <f>IF(I1135="","",IF(I1135="ENTRADA",ABS(J1135),-ABS(J1135)))</f>
        <v/>
      </c>
      <c r="R1135" s="22" t="str">
        <f>IF(H1135="","",H1135&amp;I1135)</f>
        <v/>
      </c>
      <c r="S1135" s="22" t="str">
        <f>IF(C1135="","",C1135&amp;I1135)</f>
        <v/>
      </c>
      <c r="T1135" t="str">
        <f>IF(OR(C1135="",I1135&lt;&gt;"ENTRADA"),"",TEXT(B1135,"AAMMDD")&amp;"-"&amp;TEXT(VALUE(SUBSTITUTE(A1135,"MOV-","")),"000"))</f>
        <v/>
      </c>
    </row>
    <row r="1136" spans="1:20">
      <c r="A1136" s="20" t="s">
        <v>1495</v>
      </c>
      <c r="H1136" s="20" t="str">
        <f>+T1136</f>
        <v/>
      </c>
      <c r="J1136" s="30"/>
      <c r="K1136" s="22" t="str">
        <f>IF(I1136="","",IF(I1136="ENTRADA",ABS(J1136),-ABS(J1136)))</f>
        <v/>
      </c>
      <c r="R1136" s="22" t="str">
        <f>IF(H1136="","",H1136&amp;I1136)</f>
        <v/>
      </c>
      <c r="S1136" s="22" t="str">
        <f>IF(C1136="","",C1136&amp;I1136)</f>
        <v/>
      </c>
      <c r="T1136" t="str">
        <f>IF(OR(C1136="",I1136&lt;&gt;"ENTRADA"),"",TEXT(B1136,"AAMMDD")&amp;"-"&amp;TEXT(VALUE(SUBSTITUTE(A1136,"MOV-","")),"000"))</f>
        <v/>
      </c>
    </row>
    <row r="1137" spans="1:20">
      <c r="A1137" s="20" t="s">
        <v>1496</v>
      </c>
      <c r="H1137" s="20" t="str">
        <f>+T1137</f>
        <v/>
      </c>
      <c r="J1137" s="30"/>
      <c r="K1137" s="22" t="str">
        <f>IF(I1137="","",IF(I1137="ENTRADA",ABS(J1137),-ABS(J1137)))</f>
        <v/>
      </c>
      <c r="R1137" s="22" t="str">
        <f>IF(H1137="","",H1137&amp;I1137)</f>
        <v/>
      </c>
      <c r="S1137" s="22" t="str">
        <f>IF(C1137="","",C1137&amp;I1137)</f>
        <v/>
      </c>
      <c r="T1137" t="str">
        <f>IF(OR(C1137="",I1137&lt;&gt;"ENTRADA"),"",TEXT(B1137,"AAMMDD")&amp;"-"&amp;TEXT(VALUE(SUBSTITUTE(A1137,"MOV-","")),"000"))</f>
        <v/>
      </c>
    </row>
    <row r="1138" spans="1:20">
      <c r="A1138" s="20" t="s">
        <v>1497</v>
      </c>
      <c r="H1138" s="20" t="str">
        <f>+T1138</f>
        <v/>
      </c>
      <c r="J1138" s="30"/>
      <c r="K1138" s="22" t="str">
        <f>IF(I1138="","",IF(I1138="ENTRADA",ABS(J1138),-ABS(J1138)))</f>
        <v/>
      </c>
      <c r="R1138" s="22" t="str">
        <f>IF(H1138="","",H1138&amp;I1138)</f>
        <v/>
      </c>
      <c r="S1138" s="22" t="str">
        <f>IF(C1138="","",C1138&amp;I1138)</f>
        <v/>
      </c>
      <c r="T1138" t="str">
        <f>IF(OR(C1138="",I1138&lt;&gt;"ENTRADA"),"",TEXT(B1138,"AAMMDD")&amp;"-"&amp;TEXT(VALUE(SUBSTITUTE(A1138,"MOV-","")),"000"))</f>
        <v/>
      </c>
    </row>
    <row r="1139" spans="1:20">
      <c r="A1139" s="20" t="s">
        <v>1498</v>
      </c>
      <c r="H1139" s="20" t="str">
        <f>+T1139</f>
        <v/>
      </c>
      <c r="J1139" s="30"/>
      <c r="K1139" s="22" t="str">
        <f>IF(I1139="","",IF(I1139="ENTRADA",ABS(J1139),-ABS(J1139)))</f>
        <v/>
      </c>
      <c r="R1139" s="22" t="str">
        <f>IF(H1139="","",H1139&amp;I1139)</f>
        <v/>
      </c>
      <c r="S1139" s="22" t="str">
        <f>IF(C1139="","",C1139&amp;I1139)</f>
        <v/>
      </c>
      <c r="T1139" t="str">
        <f>IF(OR(C1139="",I1139&lt;&gt;"ENTRADA"),"",TEXT(B1139,"AAMMDD")&amp;"-"&amp;TEXT(VALUE(SUBSTITUTE(A1139,"MOV-","")),"000"))</f>
        <v/>
      </c>
    </row>
    <row r="1140" spans="1:20">
      <c r="A1140" s="20" t="s">
        <v>1499</v>
      </c>
      <c r="H1140" s="20" t="str">
        <f>+T1140</f>
        <v/>
      </c>
      <c r="J1140" s="30"/>
      <c r="K1140" s="22" t="str">
        <f>IF(I1140="","",IF(I1140="ENTRADA",ABS(J1140),-ABS(J1140)))</f>
        <v/>
      </c>
      <c r="R1140" s="22" t="str">
        <f>IF(H1140="","",H1140&amp;I1140)</f>
        <v/>
      </c>
      <c r="S1140" s="22" t="str">
        <f>IF(C1140="","",C1140&amp;I1140)</f>
        <v/>
      </c>
      <c r="T1140" t="str">
        <f>IF(OR(C1140="",I1140&lt;&gt;"ENTRADA"),"",TEXT(B1140,"AAMMDD")&amp;"-"&amp;TEXT(VALUE(SUBSTITUTE(A1140,"MOV-","")),"000"))</f>
        <v/>
      </c>
    </row>
    <row r="1141" spans="1:20">
      <c r="A1141" s="20" t="s">
        <v>1500</v>
      </c>
      <c r="H1141" s="20" t="str">
        <f>+T1141</f>
        <v/>
      </c>
      <c r="J1141" s="30"/>
      <c r="K1141" s="22" t="str">
        <f>IF(I1141="","",IF(I1141="ENTRADA",ABS(J1141),-ABS(J1141)))</f>
        <v/>
      </c>
      <c r="R1141" s="22" t="str">
        <f>IF(H1141="","",H1141&amp;I1141)</f>
        <v/>
      </c>
      <c r="S1141" s="22" t="str">
        <f>IF(C1141="","",C1141&amp;I1141)</f>
        <v/>
      </c>
      <c r="T1141" t="str">
        <f>IF(OR(C1141="",I1141&lt;&gt;"ENTRADA"),"",TEXT(B1141,"AAMMDD")&amp;"-"&amp;TEXT(VALUE(SUBSTITUTE(A1141,"MOV-","")),"000"))</f>
        <v/>
      </c>
    </row>
    <row r="1142" spans="1:20">
      <c r="A1142" s="20" t="s">
        <v>1501</v>
      </c>
      <c r="H1142" s="20" t="str">
        <f>+T1142</f>
        <v/>
      </c>
      <c r="J1142" s="30"/>
      <c r="K1142" s="22" t="str">
        <f>IF(I1142="","",IF(I1142="ENTRADA",ABS(J1142),-ABS(J1142)))</f>
        <v/>
      </c>
      <c r="R1142" s="22" t="str">
        <f>IF(H1142="","",H1142&amp;I1142)</f>
        <v/>
      </c>
      <c r="S1142" s="22" t="str">
        <f>IF(C1142="","",C1142&amp;I1142)</f>
        <v/>
      </c>
      <c r="T1142" t="str">
        <f>IF(OR(C1142="",I1142&lt;&gt;"ENTRADA"),"",TEXT(B1142,"AAMMDD")&amp;"-"&amp;TEXT(VALUE(SUBSTITUTE(A1142,"MOV-","")),"000"))</f>
        <v/>
      </c>
    </row>
    <row r="1143" spans="1:20">
      <c r="A1143" s="20" t="s">
        <v>1502</v>
      </c>
      <c r="B1143" s="34"/>
      <c r="C1143" s="34"/>
      <c r="D1143" s="34"/>
      <c r="E1143" s="34"/>
      <c r="F1143" s="34"/>
      <c r="G1143" s="34"/>
      <c r="H1143" s="20" t="str">
        <f>+T1143</f>
        <v/>
      </c>
      <c r="I1143" s="34"/>
      <c r="J1143" s="36"/>
      <c r="K1143" s="22" t="str">
        <f>IF(I1143="","",IF(I1143="ENTRADA",ABS(J1143),-ABS(J1143)))</f>
        <v/>
      </c>
      <c r="L1143" s="34"/>
      <c r="M1143" s="34"/>
      <c r="N1143" s="34"/>
      <c r="O1143" s="34"/>
      <c r="P1143" s="34"/>
      <c r="Q1143" s="35"/>
      <c r="R1143" s="22" t="str">
        <f>IF(H1143="","",H1143&amp;I1143)</f>
        <v/>
      </c>
      <c r="S1143" s="22" t="str">
        <f>IF(C1143="","",C1143&amp;I1143)</f>
        <v/>
      </c>
      <c r="T1143" t="str">
        <f>IF(OR(C1143="",I1143&lt;&gt;"ENTRADA"),"",TEXT(B1143,"AAMMDD")&amp;"-"&amp;TEXT(VALUE(SUBSTITUTE(A1143,"MOV-","")),"000"))</f>
        <v/>
      </c>
    </row>
    <row r="1144" spans="1:20">
      <c r="A1144" s="20" t="s">
        <v>1503</v>
      </c>
      <c r="H1144" s="20" t="str">
        <f>+T1144</f>
        <v/>
      </c>
      <c r="J1144" s="30"/>
      <c r="K1144" s="22" t="str">
        <f>IF(I1144="","",IF(I1144="ENTRADA",ABS(J1144),-ABS(J1144)))</f>
        <v/>
      </c>
      <c r="R1144" s="22" t="str">
        <f>IF(H1144="","",H1144&amp;I1144)</f>
        <v/>
      </c>
      <c r="S1144" s="22" t="str">
        <f>IF(C1144="","",C1144&amp;I1144)</f>
        <v/>
      </c>
      <c r="T1144" t="str">
        <f>IF(OR(C1144="",I1144&lt;&gt;"ENTRADA"),"",TEXT(B1144,"AAMMDD")&amp;"-"&amp;TEXT(VALUE(SUBSTITUTE(A1144,"MOV-","")),"000"))</f>
        <v/>
      </c>
    </row>
    <row r="1145" spans="1:20">
      <c r="A1145" s="20" t="s">
        <v>1504</v>
      </c>
      <c r="H1145" s="20" t="str">
        <f>+T1145</f>
        <v/>
      </c>
      <c r="J1145" s="30"/>
      <c r="K1145" s="22" t="str">
        <f>IF(I1145="","",IF(I1145="ENTRADA",ABS(J1145),-ABS(J1145)))</f>
        <v/>
      </c>
      <c r="R1145" s="22" t="str">
        <f>IF(H1145="","",H1145&amp;I1145)</f>
        <v/>
      </c>
      <c r="S1145" s="22" t="str">
        <f>IF(C1145="","",C1145&amp;I1145)</f>
        <v/>
      </c>
      <c r="T1145" t="str">
        <f>IF(OR(C1145="",I1145&lt;&gt;"ENTRADA"),"",TEXT(B1145,"AAMMDD")&amp;"-"&amp;TEXT(VALUE(SUBSTITUTE(A1145,"MOV-","")),"000"))</f>
        <v/>
      </c>
    </row>
    <row r="1146" spans="1:20">
      <c r="A1146" s="20" t="s">
        <v>1505</v>
      </c>
      <c r="H1146" s="20" t="str">
        <f>+T1146</f>
        <v/>
      </c>
      <c r="J1146" s="30"/>
      <c r="K1146" s="22" t="str">
        <f>IF(I1146="","",IF(I1146="ENTRADA",ABS(J1146),-ABS(J1146)))</f>
        <v/>
      </c>
      <c r="R1146" s="22" t="str">
        <f>IF(H1146="","",H1146&amp;I1146)</f>
        <v/>
      </c>
      <c r="S1146" s="22" t="str">
        <f>IF(C1146="","",C1146&amp;I1146)</f>
        <v/>
      </c>
      <c r="T1146" t="str">
        <f>IF(OR(C1146="",I1146&lt;&gt;"ENTRADA"),"",TEXT(B1146,"AAMMDD")&amp;"-"&amp;TEXT(VALUE(SUBSTITUTE(A1146,"MOV-","")),"000"))</f>
        <v/>
      </c>
    </row>
    <row r="1147" spans="1:20">
      <c r="A1147" s="20" t="s">
        <v>1506</v>
      </c>
      <c r="H1147" s="20" t="str">
        <f>+T1147</f>
        <v/>
      </c>
      <c r="J1147" s="30"/>
      <c r="K1147" s="22" t="str">
        <f>IF(I1147="","",IF(I1147="ENTRADA",ABS(J1147),-ABS(J1147)))</f>
        <v/>
      </c>
      <c r="R1147" s="22" t="str">
        <f>IF(H1147="","",H1147&amp;I1147)</f>
        <v/>
      </c>
      <c r="S1147" s="22" t="str">
        <f>IF(C1147="","",C1147&amp;I1147)</f>
        <v/>
      </c>
      <c r="T1147" t="str">
        <f>IF(OR(C1147="",I1147&lt;&gt;"ENTRADA"),"",TEXT(B1147,"AAMMDD")&amp;"-"&amp;TEXT(VALUE(SUBSTITUTE(A1147,"MOV-","")),"000"))</f>
        <v/>
      </c>
    </row>
    <row r="1148" spans="1:20">
      <c r="A1148" s="20" t="s">
        <v>1507</v>
      </c>
      <c r="H1148" s="20" t="str">
        <f>+T1148</f>
        <v/>
      </c>
      <c r="J1148" s="30"/>
      <c r="K1148" s="22" t="str">
        <f>IF(I1148="","",IF(I1148="ENTRADA",ABS(J1148),-ABS(J1148)))</f>
        <v/>
      </c>
      <c r="R1148" s="22" t="str">
        <f>IF(H1148="","",H1148&amp;I1148)</f>
        <v/>
      </c>
      <c r="S1148" s="22" t="str">
        <f>IF(C1148="","",C1148&amp;I1148)</f>
        <v/>
      </c>
      <c r="T1148" t="str">
        <f>IF(OR(C1148="",I1148&lt;&gt;"ENTRADA"),"",TEXT(B1148,"AAMMDD")&amp;"-"&amp;TEXT(VALUE(SUBSTITUTE(A1148,"MOV-","")),"000"))</f>
        <v/>
      </c>
    </row>
    <row r="1149" spans="1:20">
      <c r="A1149" s="20" t="s">
        <v>1508</v>
      </c>
      <c r="H1149" s="20" t="str">
        <f>+T1149</f>
        <v/>
      </c>
      <c r="J1149" s="30"/>
      <c r="K1149" s="22" t="str">
        <f>IF(I1149="","",IF(I1149="ENTRADA",ABS(J1149),-ABS(J1149)))</f>
        <v/>
      </c>
      <c r="R1149" s="22" t="str">
        <f>IF(H1149="","",H1149&amp;I1149)</f>
        <v/>
      </c>
      <c r="S1149" s="22" t="str">
        <f>IF(C1149="","",C1149&amp;I1149)</f>
        <v/>
      </c>
      <c r="T1149" t="str">
        <f>IF(OR(C1149="",I1149&lt;&gt;"ENTRADA"),"",TEXT(B1149,"AAMMDD")&amp;"-"&amp;TEXT(VALUE(SUBSTITUTE(A1149,"MOV-","")),"000"))</f>
        <v/>
      </c>
    </row>
    <row r="1150" spans="1:20">
      <c r="A1150" s="20" t="s">
        <v>1509</v>
      </c>
      <c r="H1150" s="20" t="str">
        <f>+T1150</f>
        <v/>
      </c>
      <c r="J1150" s="30"/>
      <c r="K1150" s="22" t="str">
        <f>IF(I1150="","",IF(I1150="ENTRADA",ABS(J1150),-ABS(J1150)))</f>
        <v/>
      </c>
      <c r="R1150" s="22" t="str">
        <f>IF(H1150="","",H1150&amp;I1150)</f>
        <v/>
      </c>
      <c r="S1150" s="22" t="str">
        <f>IF(C1150="","",C1150&amp;I1150)</f>
        <v/>
      </c>
      <c r="T1150" t="str">
        <f>IF(OR(C1150="",I1150&lt;&gt;"ENTRADA"),"",TEXT(B1150,"AAMMDD")&amp;"-"&amp;TEXT(VALUE(SUBSTITUTE(A1150,"MOV-","")),"000"))</f>
        <v/>
      </c>
    </row>
    <row r="1151" spans="1:20">
      <c r="A1151" s="20" t="s">
        <v>1510</v>
      </c>
      <c r="H1151" s="20" t="str">
        <f>+T1151</f>
        <v/>
      </c>
      <c r="J1151" s="30"/>
      <c r="K1151" s="22" t="str">
        <f>IF(I1151="","",IF(I1151="ENTRADA",ABS(J1151),-ABS(J1151)))</f>
        <v/>
      </c>
      <c r="R1151" s="22" t="str">
        <f>IF(H1151="","",H1151&amp;I1151)</f>
        <v/>
      </c>
      <c r="S1151" s="22" t="str">
        <f>IF(C1151="","",C1151&amp;I1151)</f>
        <v/>
      </c>
      <c r="T1151" t="str">
        <f>IF(OR(C1151="",I1151&lt;&gt;"ENTRADA"),"",TEXT(B1151,"AAMMDD")&amp;"-"&amp;TEXT(VALUE(SUBSTITUTE(A1151,"MOV-","")),"000"))</f>
        <v/>
      </c>
    </row>
    <row r="1152" spans="1:20">
      <c r="A1152" s="20" t="s">
        <v>1511</v>
      </c>
      <c r="H1152" s="20" t="str">
        <f>+T1152</f>
        <v/>
      </c>
      <c r="J1152" s="30"/>
      <c r="K1152" s="22" t="str">
        <f>IF(I1152="","",IF(I1152="ENTRADA",ABS(J1152),-ABS(J1152)))</f>
        <v/>
      </c>
      <c r="R1152" s="22" t="str">
        <f>IF(H1152="","",H1152&amp;I1152)</f>
        <v/>
      </c>
      <c r="S1152" s="22" t="str">
        <f>IF(C1152="","",C1152&amp;I1152)</f>
        <v/>
      </c>
      <c r="T1152" t="str">
        <f>IF(OR(C1152="",I1152&lt;&gt;"ENTRADA"),"",TEXT(B1152,"AAMMDD")&amp;"-"&amp;TEXT(VALUE(SUBSTITUTE(A1152,"MOV-","")),"000"))</f>
        <v/>
      </c>
    </row>
    <row r="1153" spans="1:20">
      <c r="A1153" s="20" t="s">
        <v>1512</v>
      </c>
      <c r="H1153" s="20" t="str">
        <f>+T1153</f>
        <v/>
      </c>
      <c r="J1153" s="30"/>
      <c r="K1153" s="22" t="str">
        <f>IF(I1153="","",IF(I1153="ENTRADA",ABS(J1153),-ABS(J1153)))</f>
        <v/>
      </c>
      <c r="R1153" s="22" t="str">
        <f>IF(H1153="","",H1153&amp;I1153)</f>
        <v/>
      </c>
      <c r="S1153" s="22" t="str">
        <f>IF(C1153="","",C1153&amp;I1153)</f>
        <v/>
      </c>
      <c r="T1153" t="str">
        <f>IF(OR(C1153="",I1153&lt;&gt;"ENTRADA"),"",TEXT(B1153,"AAMMDD")&amp;"-"&amp;TEXT(VALUE(SUBSTITUTE(A1153,"MOV-","")),"000"))</f>
        <v/>
      </c>
    </row>
    <row r="1154" spans="1:20">
      <c r="A1154" s="20" t="s">
        <v>1513</v>
      </c>
      <c r="B1154" s="34"/>
      <c r="C1154" s="34"/>
      <c r="D1154" s="34"/>
      <c r="E1154" s="34"/>
      <c r="F1154" s="34"/>
      <c r="G1154" s="34"/>
      <c r="H1154" s="20" t="str">
        <f>+T1154</f>
        <v/>
      </c>
      <c r="I1154" s="34"/>
      <c r="J1154" s="36"/>
      <c r="K1154" s="22" t="str">
        <f>IF(I1154="","",IF(I1154="ENTRADA",ABS(J1154),-ABS(J1154)))</f>
        <v/>
      </c>
      <c r="L1154" s="34"/>
      <c r="M1154" s="34"/>
      <c r="N1154" s="34"/>
      <c r="O1154" s="34"/>
      <c r="P1154" s="34"/>
      <c r="Q1154" s="35"/>
      <c r="R1154" s="22" t="str">
        <f>IF(H1154="","",H1154&amp;I1154)</f>
        <v/>
      </c>
      <c r="S1154" s="22" t="str">
        <f>IF(C1154="","",C1154&amp;I1154)</f>
        <v/>
      </c>
      <c r="T1154" t="str">
        <f>IF(OR(C1154="",I1154&lt;&gt;"ENTRADA"),"",TEXT(B1154,"AAMMDD")&amp;"-"&amp;TEXT(VALUE(SUBSTITUTE(A1154,"MOV-","")),"000"))</f>
        <v/>
      </c>
    </row>
    <row r="1155" spans="1:20">
      <c r="A1155" s="20" t="s">
        <v>1514</v>
      </c>
      <c r="H1155" s="20" t="str">
        <f>+T1155</f>
        <v/>
      </c>
      <c r="J1155" s="30"/>
      <c r="K1155" s="22" t="str">
        <f>IF(I1155="","",IF(I1155="ENTRADA",ABS(J1155),-ABS(J1155)))</f>
        <v/>
      </c>
      <c r="R1155" s="22" t="str">
        <f>IF(H1155="","",H1155&amp;I1155)</f>
        <v/>
      </c>
      <c r="S1155" s="22" t="str">
        <f>IF(C1155="","",C1155&amp;I1155)</f>
        <v/>
      </c>
      <c r="T1155" t="str">
        <f>IF(OR(C1155="",I1155&lt;&gt;"ENTRADA"),"",TEXT(B1155,"AAMMDD")&amp;"-"&amp;TEXT(VALUE(SUBSTITUTE(A1155,"MOV-","")),"000"))</f>
        <v/>
      </c>
    </row>
    <row r="1156" spans="1:20">
      <c r="A1156" s="20" t="s">
        <v>1515</v>
      </c>
      <c r="H1156" s="20" t="str">
        <f>+T1156</f>
        <v/>
      </c>
      <c r="J1156" s="30"/>
      <c r="K1156" s="22" t="str">
        <f>IF(I1156="","",IF(I1156="ENTRADA",ABS(J1156),-ABS(J1156)))</f>
        <v/>
      </c>
      <c r="R1156" s="22" t="str">
        <f>IF(H1156="","",H1156&amp;I1156)</f>
        <v/>
      </c>
      <c r="S1156" s="22" t="str">
        <f>IF(C1156="","",C1156&amp;I1156)</f>
        <v/>
      </c>
      <c r="T1156" t="str">
        <f>IF(OR(C1156="",I1156&lt;&gt;"ENTRADA"),"",TEXT(B1156,"AAMMDD")&amp;"-"&amp;TEXT(VALUE(SUBSTITUTE(A1156,"MOV-","")),"000"))</f>
        <v/>
      </c>
    </row>
    <row r="1157" spans="1:20">
      <c r="A1157" s="20" t="s">
        <v>1516</v>
      </c>
      <c r="H1157" s="20" t="str">
        <f>+T1157</f>
        <v/>
      </c>
      <c r="J1157" s="30"/>
      <c r="K1157" s="22" t="str">
        <f>IF(I1157="","",IF(I1157="ENTRADA",ABS(J1157),-ABS(J1157)))</f>
        <v/>
      </c>
      <c r="R1157" s="22" t="str">
        <f>IF(H1157="","",H1157&amp;I1157)</f>
        <v/>
      </c>
      <c r="S1157" s="22" t="str">
        <f>IF(C1157="","",C1157&amp;I1157)</f>
        <v/>
      </c>
      <c r="T1157" t="str">
        <f>IF(OR(C1157="",I1157&lt;&gt;"ENTRADA"),"",TEXT(B1157,"AAMMDD")&amp;"-"&amp;TEXT(VALUE(SUBSTITUTE(A1157,"MOV-","")),"000"))</f>
        <v/>
      </c>
    </row>
    <row r="1158" spans="1:20">
      <c r="A1158" s="20" t="s">
        <v>1517</v>
      </c>
      <c r="H1158" s="20" t="str">
        <f>+T1158</f>
        <v/>
      </c>
      <c r="J1158" s="30"/>
      <c r="K1158" s="22" t="str">
        <f>IF(I1158="","",IF(I1158="ENTRADA",ABS(J1158),-ABS(J1158)))</f>
        <v/>
      </c>
      <c r="R1158" s="22" t="str">
        <f>IF(H1158="","",H1158&amp;I1158)</f>
        <v/>
      </c>
      <c r="S1158" s="22" t="str">
        <f>IF(C1158="","",C1158&amp;I1158)</f>
        <v/>
      </c>
      <c r="T1158" t="str">
        <f>IF(OR(C1158="",I1158&lt;&gt;"ENTRADA"),"",TEXT(B1158,"AAMMDD")&amp;"-"&amp;TEXT(VALUE(SUBSTITUTE(A1158,"MOV-","")),"000"))</f>
        <v/>
      </c>
    </row>
    <row r="1159" spans="1:20">
      <c r="A1159" s="20" t="s">
        <v>1518</v>
      </c>
      <c r="H1159" s="20" t="str">
        <f>+T1159</f>
        <v/>
      </c>
      <c r="J1159" s="30"/>
      <c r="K1159" s="22" t="str">
        <f>IF(I1159="","",IF(I1159="ENTRADA",ABS(J1159),-ABS(J1159)))</f>
        <v/>
      </c>
      <c r="R1159" s="22" t="str">
        <f>IF(H1159="","",H1159&amp;I1159)</f>
        <v/>
      </c>
      <c r="S1159" s="22" t="str">
        <f>IF(C1159="","",C1159&amp;I1159)</f>
        <v/>
      </c>
      <c r="T1159" t="str">
        <f>IF(OR(C1159="",I1159&lt;&gt;"ENTRADA"),"",TEXT(B1159,"AAMMDD")&amp;"-"&amp;TEXT(VALUE(SUBSTITUTE(A1159,"MOV-","")),"000"))</f>
        <v/>
      </c>
    </row>
    <row r="1160" spans="1:20">
      <c r="A1160" s="20" t="s">
        <v>1519</v>
      </c>
      <c r="H1160" s="20" t="str">
        <f>+T1160</f>
        <v/>
      </c>
      <c r="J1160" s="30"/>
      <c r="K1160" s="22" t="str">
        <f>IF(I1160="","",IF(I1160="ENTRADA",ABS(J1160),-ABS(J1160)))</f>
        <v/>
      </c>
      <c r="R1160" s="22" t="str">
        <f>IF(H1160="","",H1160&amp;I1160)</f>
        <v/>
      </c>
      <c r="S1160" s="22" t="str">
        <f>IF(C1160="","",C1160&amp;I1160)</f>
        <v/>
      </c>
      <c r="T1160" t="str">
        <f>IF(OR(C1160="",I1160&lt;&gt;"ENTRADA"),"",TEXT(B1160,"AAMMDD")&amp;"-"&amp;TEXT(VALUE(SUBSTITUTE(A1160,"MOV-","")),"000"))</f>
        <v/>
      </c>
    </row>
    <row r="1161" spans="1:20">
      <c r="A1161" s="20" t="s">
        <v>1520</v>
      </c>
      <c r="H1161" s="20" t="str">
        <f>+T1161</f>
        <v/>
      </c>
      <c r="J1161" s="30"/>
      <c r="K1161" s="22" t="str">
        <f>IF(I1161="","",IF(I1161="ENTRADA",ABS(J1161),-ABS(J1161)))</f>
        <v/>
      </c>
      <c r="R1161" s="22" t="str">
        <f>IF(H1161="","",H1161&amp;I1161)</f>
        <v/>
      </c>
      <c r="S1161" s="22" t="str">
        <f>IF(C1161="","",C1161&amp;I1161)</f>
        <v/>
      </c>
      <c r="T1161" t="str">
        <f>IF(OR(C1161="",I1161&lt;&gt;"ENTRADA"),"",TEXT(B1161,"AAMMDD")&amp;"-"&amp;TEXT(VALUE(SUBSTITUTE(A1161,"MOV-","")),"000"))</f>
        <v/>
      </c>
    </row>
    <row r="1162" spans="1:20">
      <c r="A1162" s="20" t="s">
        <v>1521</v>
      </c>
      <c r="H1162" s="20" t="str">
        <f>+T1162</f>
        <v/>
      </c>
      <c r="J1162" s="30"/>
      <c r="K1162" s="22" t="str">
        <f>IF(I1162="","",IF(I1162="ENTRADA",ABS(J1162),-ABS(J1162)))</f>
        <v/>
      </c>
      <c r="R1162" s="22" t="str">
        <f>IF(H1162="","",H1162&amp;I1162)</f>
        <v/>
      </c>
      <c r="S1162" s="22" t="str">
        <f>IF(C1162="","",C1162&amp;I1162)</f>
        <v/>
      </c>
      <c r="T1162" t="str">
        <f>IF(OR(C1162="",I1162&lt;&gt;"ENTRADA"),"",TEXT(B1162,"AAMMDD")&amp;"-"&amp;TEXT(VALUE(SUBSTITUTE(A1162,"MOV-","")),"000"))</f>
        <v/>
      </c>
    </row>
    <row r="1163" spans="1:20">
      <c r="A1163" s="20" t="s">
        <v>1522</v>
      </c>
      <c r="H1163" s="20" t="str">
        <f>+T1163</f>
        <v/>
      </c>
      <c r="J1163" s="30"/>
      <c r="K1163" s="22" t="str">
        <f>IF(I1163="","",IF(I1163="ENTRADA",ABS(J1163),-ABS(J1163)))</f>
        <v/>
      </c>
      <c r="R1163" s="22" t="str">
        <f>IF(H1163="","",H1163&amp;I1163)</f>
        <v/>
      </c>
      <c r="S1163" s="22" t="str">
        <f>IF(C1163="","",C1163&amp;I1163)</f>
        <v/>
      </c>
      <c r="T1163" t="str">
        <f>IF(OR(C1163="",I1163&lt;&gt;"ENTRADA"),"",TEXT(B1163,"AAMMDD")&amp;"-"&amp;TEXT(VALUE(SUBSTITUTE(A1163,"MOV-","")),"000"))</f>
        <v/>
      </c>
    </row>
    <row r="1164" spans="1:20">
      <c r="A1164" s="20" t="s">
        <v>1523</v>
      </c>
      <c r="H1164" s="20" t="str">
        <f>+T1164</f>
        <v/>
      </c>
      <c r="J1164" s="30"/>
      <c r="K1164" s="22" t="str">
        <f>IF(I1164="","",IF(I1164="ENTRADA",ABS(J1164),-ABS(J1164)))</f>
        <v/>
      </c>
      <c r="R1164" s="22" t="str">
        <f>IF(H1164="","",H1164&amp;I1164)</f>
        <v/>
      </c>
      <c r="S1164" s="22" t="str">
        <f>IF(C1164="","",C1164&amp;I1164)</f>
        <v/>
      </c>
      <c r="T1164" t="str">
        <f>IF(OR(C1164="",I1164&lt;&gt;"ENTRADA"),"",TEXT(B1164,"AAMMDD")&amp;"-"&amp;TEXT(VALUE(SUBSTITUTE(A1164,"MOV-","")),"000"))</f>
        <v/>
      </c>
    </row>
    <row r="1165" spans="1:20">
      <c r="A1165" s="20" t="s">
        <v>1524</v>
      </c>
      <c r="B1165" s="34"/>
      <c r="C1165" s="34"/>
      <c r="D1165" s="34"/>
      <c r="E1165" s="34"/>
      <c r="F1165" s="34"/>
      <c r="G1165" s="34"/>
      <c r="H1165" s="20" t="str">
        <f>+T1165</f>
        <v/>
      </c>
      <c r="I1165" s="34"/>
      <c r="J1165" s="36"/>
      <c r="K1165" s="22" t="str">
        <f>IF(I1165="","",IF(I1165="ENTRADA",ABS(J1165),-ABS(J1165)))</f>
        <v/>
      </c>
      <c r="L1165" s="34"/>
      <c r="M1165" s="34"/>
      <c r="N1165" s="34"/>
      <c r="O1165" s="34"/>
      <c r="P1165" s="34"/>
      <c r="Q1165" s="35"/>
      <c r="R1165" s="22" t="str">
        <f>IF(H1165="","",H1165&amp;I1165)</f>
        <v/>
      </c>
      <c r="S1165" s="22" t="str">
        <f>IF(C1165="","",C1165&amp;I1165)</f>
        <v/>
      </c>
      <c r="T1165" t="str">
        <f>IF(OR(C1165="",I1165&lt;&gt;"ENTRADA"),"",TEXT(B1165,"AAMMDD")&amp;"-"&amp;TEXT(VALUE(SUBSTITUTE(A1165,"MOV-","")),"000"))</f>
        <v/>
      </c>
    </row>
    <row r="1166" spans="1:20">
      <c r="A1166" s="20" t="s">
        <v>1525</v>
      </c>
      <c r="H1166" s="20" t="str">
        <f>+T1166</f>
        <v/>
      </c>
      <c r="J1166" s="30"/>
      <c r="K1166" s="22" t="str">
        <f>IF(I1166="","",IF(I1166="ENTRADA",ABS(J1166),-ABS(J1166)))</f>
        <v/>
      </c>
      <c r="R1166" s="22" t="str">
        <f>IF(H1166="","",H1166&amp;I1166)</f>
        <v/>
      </c>
      <c r="S1166" s="22" t="str">
        <f>IF(C1166="","",C1166&amp;I1166)</f>
        <v/>
      </c>
      <c r="T1166" t="str">
        <f>IF(OR(C1166="",I1166&lt;&gt;"ENTRADA"),"",TEXT(B1166,"AAMMDD")&amp;"-"&amp;TEXT(VALUE(SUBSTITUTE(A1166,"MOV-","")),"000"))</f>
        <v/>
      </c>
    </row>
    <row r="1167" spans="1:20">
      <c r="A1167" s="20" t="s">
        <v>1526</v>
      </c>
      <c r="H1167" s="20" t="str">
        <f>+T1167</f>
        <v/>
      </c>
      <c r="J1167" s="30"/>
      <c r="K1167" s="22" t="str">
        <f>IF(I1167="","",IF(I1167="ENTRADA",ABS(J1167),-ABS(J1167)))</f>
        <v/>
      </c>
      <c r="R1167" s="22" t="str">
        <f>IF(H1167="","",H1167&amp;I1167)</f>
        <v/>
      </c>
      <c r="S1167" s="22" t="str">
        <f>IF(C1167="","",C1167&amp;I1167)</f>
        <v/>
      </c>
      <c r="T1167" t="str">
        <f>IF(OR(C1167="",I1167&lt;&gt;"ENTRADA"),"",TEXT(B1167,"AAMMDD")&amp;"-"&amp;TEXT(VALUE(SUBSTITUTE(A1167,"MOV-","")),"000"))</f>
        <v/>
      </c>
    </row>
    <row r="1168" spans="1:20">
      <c r="A1168" s="20" t="s">
        <v>1527</v>
      </c>
      <c r="H1168" s="20" t="str">
        <f>+T1168</f>
        <v/>
      </c>
      <c r="J1168" s="30"/>
      <c r="K1168" s="22" t="str">
        <f>IF(I1168="","",IF(I1168="ENTRADA",ABS(J1168),-ABS(J1168)))</f>
        <v/>
      </c>
      <c r="R1168" s="22" t="str">
        <f>IF(H1168="","",H1168&amp;I1168)</f>
        <v/>
      </c>
      <c r="S1168" s="22" t="str">
        <f>IF(C1168="","",C1168&amp;I1168)</f>
        <v/>
      </c>
      <c r="T1168" t="str">
        <f>IF(OR(C1168="",I1168&lt;&gt;"ENTRADA"),"",TEXT(B1168,"AAMMDD")&amp;"-"&amp;TEXT(VALUE(SUBSTITUTE(A1168,"MOV-","")),"000"))</f>
        <v/>
      </c>
    </row>
    <row r="1169" spans="1:20">
      <c r="A1169" s="20" t="s">
        <v>1528</v>
      </c>
      <c r="H1169" s="20" t="str">
        <f>+T1169</f>
        <v/>
      </c>
      <c r="J1169" s="30"/>
      <c r="K1169" s="22" t="str">
        <f>IF(I1169="","",IF(I1169="ENTRADA",ABS(J1169),-ABS(J1169)))</f>
        <v/>
      </c>
      <c r="R1169" s="22" t="str">
        <f>IF(H1169="","",H1169&amp;I1169)</f>
        <v/>
      </c>
      <c r="S1169" s="22" t="str">
        <f>IF(C1169="","",C1169&amp;I1169)</f>
        <v/>
      </c>
      <c r="T1169" t="str">
        <f>IF(OR(C1169="",I1169&lt;&gt;"ENTRADA"),"",TEXT(B1169,"AAMMDD")&amp;"-"&amp;TEXT(VALUE(SUBSTITUTE(A1169,"MOV-","")),"000"))</f>
        <v/>
      </c>
    </row>
    <row r="1170" spans="1:20">
      <c r="A1170" s="20" t="s">
        <v>1529</v>
      </c>
      <c r="H1170" s="20" t="str">
        <f>+T1170</f>
        <v/>
      </c>
      <c r="J1170" s="30"/>
      <c r="K1170" s="22" t="str">
        <f>IF(I1170="","",IF(I1170="ENTRADA",ABS(J1170),-ABS(J1170)))</f>
        <v/>
      </c>
      <c r="R1170" s="22" t="str">
        <f>IF(H1170="","",H1170&amp;I1170)</f>
        <v/>
      </c>
      <c r="S1170" s="22" t="str">
        <f>IF(C1170="","",C1170&amp;I1170)</f>
        <v/>
      </c>
      <c r="T1170" t="str">
        <f>IF(OR(C1170="",I1170&lt;&gt;"ENTRADA"),"",TEXT(B1170,"AAMMDD")&amp;"-"&amp;TEXT(VALUE(SUBSTITUTE(A1170,"MOV-","")),"000"))</f>
        <v/>
      </c>
    </row>
    <row r="1171" spans="1:20">
      <c r="A1171" s="20" t="s">
        <v>1530</v>
      </c>
      <c r="H1171" s="20" t="str">
        <f>+T1171</f>
        <v/>
      </c>
      <c r="J1171" s="30"/>
      <c r="K1171" s="22" t="str">
        <f>IF(I1171="","",IF(I1171="ENTRADA",ABS(J1171),-ABS(J1171)))</f>
        <v/>
      </c>
      <c r="R1171" s="22" t="str">
        <f>IF(H1171="","",H1171&amp;I1171)</f>
        <v/>
      </c>
      <c r="S1171" s="22" t="str">
        <f>IF(C1171="","",C1171&amp;I1171)</f>
        <v/>
      </c>
      <c r="T1171" t="str">
        <f>IF(OR(C1171="",I1171&lt;&gt;"ENTRADA"),"",TEXT(B1171,"AAMMDD")&amp;"-"&amp;TEXT(VALUE(SUBSTITUTE(A1171,"MOV-","")),"000"))</f>
        <v/>
      </c>
    </row>
    <row r="1172" spans="1:20">
      <c r="A1172" s="20" t="s">
        <v>1531</v>
      </c>
      <c r="H1172" s="20" t="str">
        <f>+T1172</f>
        <v/>
      </c>
      <c r="J1172" s="30"/>
      <c r="K1172" s="22" t="str">
        <f>IF(I1172="","",IF(I1172="ENTRADA",ABS(J1172),-ABS(J1172)))</f>
        <v/>
      </c>
      <c r="R1172" s="22" t="str">
        <f>IF(H1172="","",H1172&amp;I1172)</f>
        <v/>
      </c>
      <c r="S1172" s="22" t="str">
        <f>IF(C1172="","",C1172&amp;I1172)</f>
        <v/>
      </c>
      <c r="T1172" t="str">
        <f>IF(OR(C1172="",I1172&lt;&gt;"ENTRADA"),"",TEXT(B1172,"AAMMDD")&amp;"-"&amp;TEXT(VALUE(SUBSTITUTE(A1172,"MOV-","")),"000"))</f>
        <v/>
      </c>
    </row>
    <row r="1173" spans="1:20">
      <c r="A1173" s="20" t="s">
        <v>1532</v>
      </c>
      <c r="H1173" s="20" t="str">
        <f>+T1173</f>
        <v/>
      </c>
      <c r="J1173" s="30"/>
      <c r="K1173" s="22" t="str">
        <f>IF(I1173="","",IF(I1173="ENTRADA",ABS(J1173),-ABS(J1173)))</f>
        <v/>
      </c>
      <c r="R1173" s="22" t="str">
        <f>IF(H1173="","",H1173&amp;I1173)</f>
        <v/>
      </c>
      <c r="S1173" s="22" t="str">
        <f>IF(C1173="","",C1173&amp;I1173)</f>
        <v/>
      </c>
      <c r="T1173" t="str">
        <f>IF(OR(C1173="",I1173&lt;&gt;"ENTRADA"),"",TEXT(B1173,"AAMMDD")&amp;"-"&amp;TEXT(VALUE(SUBSTITUTE(A1173,"MOV-","")),"000"))</f>
        <v/>
      </c>
    </row>
    <row r="1174" spans="1:20">
      <c r="A1174" s="20" t="s">
        <v>1533</v>
      </c>
      <c r="H1174" s="20" t="str">
        <f>+T1174</f>
        <v/>
      </c>
      <c r="J1174" s="30"/>
      <c r="K1174" s="22" t="str">
        <f>IF(I1174="","",IF(I1174="ENTRADA",ABS(J1174),-ABS(J1174)))</f>
        <v/>
      </c>
      <c r="R1174" s="22" t="str">
        <f>IF(H1174="","",H1174&amp;I1174)</f>
        <v/>
      </c>
      <c r="S1174" s="22" t="str">
        <f>IF(C1174="","",C1174&amp;I1174)</f>
        <v/>
      </c>
      <c r="T1174" t="str">
        <f>IF(OR(C1174="",I1174&lt;&gt;"ENTRADA"),"",TEXT(B1174,"AAMMDD")&amp;"-"&amp;TEXT(VALUE(SUBSTITUTE(A1174,"MOV-","")),"000"))</f>
        <v/>
      </c>
    </row>
    <row r="1175" spans="1:20">
      <c r="A1175" s="20" t="s">
        <v>1534</v>
      </c>
      <c r="H1175" s="20" t="str">
        <f>+T1175</f>
        <v/>
      </c>
      <c r="J1175" s="30"/>
      <c r="K1175" s="22" t="str">
        <f>IF(I1175="","",IF(I1175="ENTRADA",ABS(J1175),-ABS(J1175)))</f>
        <v/>
      </c>
      <c r="R1175" s="22" t="str">
        <f>IF(H1175="","",H1175&amp;I1175)</f>
        <v/>
      </c>
      <c r="S1175" s="22" t="str">
        <f>IF(C1175="","",C1175&amp;I1175)</f>
        <v/>
      </c>
      <c r="T1175" t="str">
        <f>IF(OR(C1175="",I1175&lt;&gt;"ENTRADA"),"",TEXT(B1175,"AAMMDD")&amp;"-"&amp;TEXT(VALUE(SUBSTITUTE(A1175,"MOV-","")),"000"))</f>
        <v/>
      </c>
    </row>
    <row r="1176" spans="1:20">
      <c r="A1176" s="20" t="s">
        <v>1535</v>
      </c>
      <c r="B1176" s="34"/>
      <c r="C1176" s="34"/>
      <c r="D1176" s="34"/>
      <c r="E1176" s="34"/>
      <c r="F1176" s="34"/>
      <c r="G1176" s="34"/>
      <c r="H1176" s="20" t="str">
        <f>+T1176</f>
        <v/>
      </c>
      <c r="I1176" s="34"/>
      <c r="J1176" s="36"/>
      <c r="K1176" s="22" t="str">
        <f>IF(I1176="","",IF(I1176="ENTRADA",ABS(J1176),-ABS(J1176)))</f>
        <v/>
      </c>
      <c r="L1176" s="34"/>
      <c r="M1176" s="34"/>
      <c r="N1176" s="34"/>
      <c r="O1176" s="34"/>
      <c r="P1176" s="34"/>
      <c r="Q1176" s="35"/>
      <c r="R1176" s="22" t="str">
        <f>IF(H1176="","",H1176&amp;I1176)</f>
        <v/>
      </c>
      <c r="S1176" s="22" t="str">
        <f>IF(C1176="","",C1176&amp;I1176)</f>
        <v/>
      </c>
      <c r="T1176" t="str">
        <f>IF(OR(C1176="",I1176&lt;&gt;"ENTRADA"),"",TEXT(B1176,"AAMMDD")&amp;"-"&amp;TEXT(VALUE(SUBSTITUTE(A1176,"MOV-","")),"000"))</f>
        <v/>
      </c>
    </row>
    <row r="1177" spans="1:20">
      <c r="A1177" s="20" t="s">
        <v>1536</v>
      </c>
      <c r="H1177" s="20" t="str">
        <f>+T1177</f>
        <v/>
      </c>
      <c r="J1177" s="30"/>
      <c r="K1177" s="22" t="str">
        <f>IF(I1177="","",IF(I1177="ENTRADA",ABS(J1177),-ABS(J1177)))</f>
        <v/>
      </c>
      <c r="R1177" s="22" t="str">
        <f>IF(H1177="","",H1177&amp;I1177)</f>
        <v/>
      </c>
      <c r="S1177" s="22" t="str">
        <f>IF(C1177="","",C1177&amp;I1177)</f>
        <v/>
      </c>
      <c r="T1177" t="str">
        <f>IF(OR(C1177="",I1177&lt;&gt;"ENTRADA"),"",TEXT(B1177,"AAMMDD")&amp;"-"&amp;TEXT(VALUE(SUBSTITUTE(A1177,"MOV-","")),"000"))</f>
        <v/>
      </c>
    </row>
    <row r="1178" spans="1:20">
      <c r="A1178" s="20" t="s">
        <v>1537</v>
      </c>
      <c r="H1178" s="20" t="str">
        <f>+T1178</f>
        <v/>
      </c>
      <c r="J1178" s="30"/>
      <c r="K1178" s="22" t="str">
        <f>IF(I1178="","",IF(I1178="ENTRADA",ABS(J1178),-ABS(J1178)))</f>
        <v/>
      </c>
      <c r="R1178" s="22" t="str">
        <f>IF(H1178="","",H1178&amp;I1178)</f>
        <v/>
      </c>
      <c r="S1178" s="22" t="str">
        <f>IF(C1178="","",C1178&amp;I1178)</f>
        <v/>
      </c>
      <c r="T1178" t="str">
        <f>IF(OR(C1178="",I1178&lt;&gt;"ENTRADA"),"",TEXT(B1178,"AAMMDD")&amp;"-"&amp;TEXT(VALUE(SUBSTITUTE(A1178,"MOV-","")),"000"))</f>
        <v/>
      </c>
    </row>
    <row r="1179" spans="1:20">
      <c r="A1179" s="20" t="s">
        <v>1538</v>
      </c>
      <c r="H1179" s="20" t="str">
        <f>+T1179</f>
        <v/>
      </c>
      <c r="J1179" s="30"/>
      <c r="K1179" s="22" t="str">
        <f>IF(I1179="","",IF(I1179="ENTRADA",ABS(J1179),-ABS(J1179)))</f>
        <v/>
      </c>
      <c r="R1179" s="22" t="str">
        <f>IF(H1179="","",H1179&amp;I1179)</f>
        <v/>
      </c>
      <c r="S1179" s="22" t="str">
        <f>IF(C1179="","",C1179&amp;I1179)</f>
        <v/>
      </c>
      <c r="T1179" t="str">
        <f>IF(OR(C1179="",I1179&lt;&gt;"ENTRADA"),"",TEXT(B1179,"AAMMDD")&amp;"-"&amp;TEXT(VALUE(SUBSTITUTE(A1179,"MOV-","")),"000"))</f>
        <v/>
      </c>
    </row>
    <row r="1180" spans="1:20">
      <c r="A1180" s="20" t="s">
        <v>1539</v>
      </c>
      <c r="H1180" s="20" t="str">
        <f>+T1180</f>
        <v/>
      </c>
      <c r="J1180" s="30"/>
      <c r="K1180" s="22" t="str">
        <f>IF(I1180="","",IF(I1180="ENTRADA",ABS(J1180),-ABS(J1180)))</f>
        <v/>
      </c>
      <c r="R1180" s="22" t="str">
        <f>IF(H1180="","",H1180&amp;I1180)</f>
        <v/>
      </c>
      <c r="S1180" s="22" t="str">
        <f>IF(C1180="","",C1180&amp;I1180)</f>
        <v/>
      </c>
      <c r="T1180" t="str">
        <f>IF(OR(C1180="",I1180&lt;&gt;"ENTRADA"),"",TEXT(B1180,"AAMMDD")&amp;"-"&amp;TEXT(VALUE(SUBSTITUTE(A1180,"MOV-","")),"000"))</f>
        <v/>
      </c>
    </row>
    <row r="1181" spans="1:20">
      <c r="A1181" s="20" t="s">
        <v>1540</v>
      </c>
      <c r="H1181" s="20" t="str">
        <f>+T1181</f>
        <v/>
      </c>
      <c r="J1181" s="30"/>
      <c r="K1181" s="22" t="str">
        <f>IF(I1181="","",IF(I1181="ENTRADA",ABS(J1181),-ABS(J1181)))</f>
        <v/>
      </c>
      <c r="R1181" s="22" t="str">
        <f>IF(H1181="","",H1181&amp;I1181)</f>
        <v/>
      </c>
      <c r="S1181" s="22" t="str">
        <f>IF(C1181="","",C1181&amp;I1181)</f>
        <v/>
      </c>
      <c r="T1181" t="str">
        <f>IF(OR(C1181="",I1181&lt;&gt;"ENTRADA"),"",TEXT(B1181,"AAMMDD")&amp;"-"&amp;TEXT(VALUE(SUBSTITUTE(A1181,"MOV-","")),"000"))</f>
        <v/>
      </c>
    </row>
    <row r="1182" spans="1:20">
      <c r="A1182" s="20" t="s">
        <v>1541</v>
      </c>
      <c r="H1182" s="20" t="str">
        <f>+T1182</f>
        <v/>
      </c>
      <c r="J1182" s="30"/>
      <c r="K1182" s="22" t="str">
        <f>IF(I1182="","",IF(I1182="ENTRADA",ABS(J1182),-ABS(J1182)))</f>
        <v/>
      </c>
      <c r="R1182" s="22" t="str">
        <f>IF(H1182="","",H1182&amp;I1182)</f>
        <v/>
      </c>
      <c r="S1182" s="22" t="str">
        <f>IF(C1182="","",C1182&amp;I1182)</f>
        <v/>
      </c>
      <c r="T1182" t="str">
        <f>IF(OR(C1182="",I1182&lt;&gt;"ENTRADA"),"",TEXT(B1182,"AAMMDD")&amp;"-"&amp;TEXT(VALUE(SUBSTITUTE(A1182,"MOV-","")),"000"))</f>
        <v/>
      </c>
    </row>
    <row r="1183" spans="1:20">
      <c r="A1183" s="20" t="s">
        <v>1542</v>
      </c>
      <c r="H1183" s="20" t="str">
        <f>+T1183</f>
        <v/>
      </c>
      <c r="J1183" s="30"/>
      <c r="K1183" s="22" t="str">
        <f>IF(I1183="","",IF(I1183="ENTRADA",ABS(J1183),-ABS(J1183)))</f>
        <v/>
      </c>
      <c r="R1183" s="22" t="str">
        <f>IF(H1183="","",H1183&amp;I1183)</f>
        <v/>
      </c>
      <c r="S1183" s="22" t="str">
        <f>IF(C1183="","",C1183&amp;I1183)</f>
        <v/>
      </c>
      <c r="T1183" t="str">
        <f>IF(OR(C1183="",I1183&lt;&gt;"ENTRADA"),"",TEXT(B1183,"AAMMDD")&amp;"-"&amp;TEXT(VALUE(SUBSTITUTE(A1183,"MOV-","")),"000"))</f>
        <v/>
      </c>
    </row>
    <row r="1184" spans="1:20">
      <c r="A1184" s="20" t="s">
        <v>1543</v>
      </c>
      <c r="H1184" s="20" t="str">
        <f>+T1184</f>
        <v/>
      </c>
      <c r="J1184" s="30"/>
      <c r="K1184" s="22" t="str">
        <f>IF(I1184="","",IF(I1184="ENTRADA",ABS(J1184),-ABS(J1184)))</f>
        <v/>
      </c>
      <c r="R1184" s="22" t="str">
        <f>IF(H1184="","",H1184&amp;I1184)</f>
        <v/>
      </c>
      <c r="S1184" s="22" t="str">
        <f>IF(C1184="","",C1184&amp;I1184)</f>
        <v/>
      </c>
      <c r="T1184" t="str">
        <f>IF(OR(C1184="",I1184&lt;&gt;"ENTRADA"),"",TEXT(B1184,"AAMMDD")&amp;"-"&amp;TEXT(VALUE(SUBSTITUTE(A1184,"MOV-","")),"000"))</f>
        <v/>
      </c>
    </row>
    <row r="1185" spans="1:20">
      <c r="A1185" s="20" t="s">
        <v>1544</v>
      </c>
      <c r="H1185" s="20" t="str">
        <f>+T1185</f>
        <v/>
      </c>
      <c r="J1185" s="30"/>
      <c r="K1185" s="22" t="str">
        <f>IF(I1185="","",IF(I1185="ENTRADA",ABS(J1185),-ABS(J1185)))</f>
        <v/>
      </c>
      <c r="R1185" s="22" t="str">
        <f>IF(H1185="","",H1185&amp;I1185)</f>
        <v/>
      </c>
      <c r="S1185" s="22" t="str">
        <f>IF(C1185="","",C1185&amp;I1185)</f>
        <v/>
      </c>
      <c r="T1185" t="str">
        <f>IF(OR(C1185="",I1185&lt;&gt;"ENTRADA"),"",TEXT(B1185,"AAMMDD")&amp;"-"&amp;TEXT(VALUE(SUBSTITUTE(A1185,"MOV-","")),"000"))</f>
        <v/>
      </c>
    </row>
    <row r="1186" spans="1:20">
      <c r="A1186" s="20" t="s">
        <v>1545</v>
      </c>
      <c r="H1186" s="20" t="str">
        <f>+T1186</f>
        <v/>
      </c>
      <c r="J1186" s="30"/>
      <c r="K1186" s="22" t="str">
        <f>IF(I1186="","",IF(I1186="ENTRADA",ABS(J1186),-ABS(J1186)))</f>
        <v/>
      </c>
      <c r="R1186" s="22" t="str">
        <f>IF(H1186="","",H1186&amp;I1186)</f>
        <v/>
      </c>
      <c r="S1186" s="22" t="str">
        <f>IF(C1186="","",C1186&amp;I1186)</f>
        <v/>
      </c>
      <c r="T1186" t="str">
        <f>IF(OR(C1186="",I1186&lt;&gt;"ENTRADA"),"",TEXT(B1186,"AAMMDD")&amp;"-"&amp;TEXT(VALUE(SUBSTITUTE(A1186,"MOV-","")),"000"))</f>
        <v/>
      </c>
    </row>
    <row r="1187" spans="1:20">
      <c r="A1187" s="20" t="s">
        <v>1546</v>
      </c>
      <c r="B1187" s="34"/>
      <c r="C1187" s="34"/>
      <c r="D1187" s="34"/>
      <c r="E1187" s="34"/>
      <c r="F1187" s="34"/>
      <c r="G1187" s="34"/>
      <c r="H1187" s="20" t="str">
        <f>+T1187</f>
        <v/>
      </c>
      <c r="I1187" s="34"/>
      <c r="J1187" s="36"/>
      <c r="K1187" s="22" t="str">
        <f>IF(I1187="","",IF(I1187="ENTRADA",ABS(J1187),-ABS(J1187)))</f>
        <v/>
      </c>
      <c r="L1187" s="34"/>
      <c r="M1187" s="34"/>
      <c r="N1187" s="34"/>
      <c r="O1187" s="34"/>
      <c r="P1187" s="34"/>
      <c r="Q1187" s="35"/>
      <c r="R1187" s="22" t="str">
        <f>IF(H1187="","",H1187&amp;I1187)</f>
        <v/>
      </c>
      <c r="S1187" s="22" t="str">
        <f>IF(C1187="","",C1187&amp;I1187)</f>
        <v/>
      </c>
      <c r="T1187" t="str">
        <f>IF(OR(C1187="",I1187&lt;&gt;"ENTRADA"),"",TEXT(B1187,"AAMMDD")&amp;"-"&amp;TEXT(VALUE(SUBSTITUTE(A1187,"MOV-","")),"000"))</f>
        <v/>
      </c>
    </row>
    <row r="1188" spans="1:20">
      <c r="A1188" s="20" t="s">
        <v>1547</v>
      </c>
      <c r="H1188" s="20" t="str">
        <f>+T1188</f>
        <v/>
      </c>
      <c r="J1188" s="30"/>
      <c r="K1188" s="22" t="str">
        <f>IF(I1188="","",IF(I1188="ENTRADA",ABS(J1188),-ABS(J1188)))</f>
        <v/>
      </c>
      <c r="R1188" s="22" t="str">
        <f>IF(H1188="","",H1188&amp;I1188)</f>
        <v/>
      </c>
      <c r="S1188" s="22" t="str">
        <f>IF(C1188="","",C1188&amp;I1188)</f>
        <v/>
      </c>
      <c r="T1188" t="str">
        <f>IF(OR(C1188="",I1188&lt;&gt;"ENTRADA"),"",TEXT(B1188,"AAMMDD")&amp;"-"&amp;TEXT(VALUE(SUBSTITUTE(A1188,"MOV-","")),"000"))</f>
        <v/>
      </c>
    </row>
    <row r="1189" spans="1:20">
      <c r="A1189" s="20" t="s">
        <v>1548</v>
      </c>
      <c r="H1189" s="20" t="str">
        <f>+T1189</f>
        <v/>
      </c>
      <c r="J1189" s="30"/>
      <c r="K1189" s="22" t="str">
        <f>IF(I1189="","",IF(I1189="ENTRADA",ABS(J1189),-ABS(J1189)))</f>
        <v/>
      </c>
      <c r="R1189" s="22" t="str">
        <f>IF(H1189="","",H1189&amp;I1189)</f>
        <v/>
      </c>
      <c r="S1189" s="22" t="str">
        <f>IF(C1189="","",C1189&amp;I1189)</f>
        <v/>
      </c>
      <c r="T1189" t="str">
        <f>IF(OR(C1189="",I1189&lt;&gt;"ENTRADA"),"",TEXT(B1189,"AAMMDD")&amp;"-"&amp;TEXT(VALUE(SUBSTITUTE(A1189,"MOV-","")),"000"))</f>
        <v/>
      </c>
    </row>
    <row r="1190" spans="1:20">
      <c r="A1190" s="20" t="s">
        <v>1549</v>
      </c>
      <c r="H1190" s="20" t="str">
        <f>+T1190</f>
        <v/>
      </c>
      <c r="J1190" s="30"/>
      <c r="K1190" s="22" t="str">
        <f>IF(I1190="","",IF(I1190="ENTRADA",ABS(J1190),-ABS(J1190)))</f>
        <v/>
      </c>
      <c r="R1190" s="22" t="str">
        <f>IF(H1190="","",H1190&amp;I1190)</f>
        <v/>
      </c>
      <c r="S1190" s="22" t="str">
        <f>IF(C1190="","",C1190&amp;I1190)</f>
        <v/>
      </c>
      <c r="T1190" t="str">
        <f>IF(OR(C1190="",I1190&lt;&gt;"ENTRADA"),"",TEXT(B1190,"AAMMDD")&amp;"-"&amp;TEXT(VALUE(SUBSTITUTE(A1190,"MOV-","")),"000"))</f>
        <v/>
      </c>
    </row>
    <row r="1191" spans="1:20">
      <c r="A1191" s="20" t="s">
        <v>1550</v>
      </c>
      <c r="H1191" s="20" t="str">
        <f>+T1191</f>
        <v/>
      </c>
      <c r="J1191" s="30"/>
      <c r="K1191" s="22" t="str">
        <f>IF(I1191="","",IF(I1191="ENTRADA",ABS(J1191),-ABS(J1191)))</f>
        <v/>
      </c>
      <c r="R1191" s="22" t="str">
        <f>IF(H1191="","",H1191&amp;I1191)</f>
        <v/>
      </c>
      <c r="S1191" s="22" t="str">
        <f>IF(C1191="","",C1191&amp;I1191)</f>
        <v/>
      </c>
      <c r="T1191" t="str">
        <f>IF(OR(C1191="",I1191&lt;&gt;"ENTRADA"),"",TEXT(B1191,"AAMMDD")&amp;"-"&amp;TEXT(VALUE(SUBSTITUTE(A1191,"MOV-","")),"000"))</f>
        <v/>
      </c>
    </row>
    <row r="1192" spans="1:20">
      <c r="A1192" s="20" t="s">
        <v>1551</v>
      </c>
      <c r="H1192" s="20" t="str">
        <f>+T1192</f>
        <v/>
      </c>
      <c r="J1192" s="30"/>
      <c r="K1192" s="22" t="str">
        <f>IF(I1192="","",IF(I1192="ENTRADA",ABS(J1192),-ABS(J1192)))</f>
        <v/>
      </c>
      <c r="R1192" s="22" t="str">
        <f>IF(H1192="","",H1192&amp;I1192)</f>
        <v/>
      </c>
      <c r="S1192" s="22" t="str">
        <f>IF(C1192="","",C1192&amp;I1192)</f>
        <v/>
      </c>
      <c r="T1192" t="str">
        <f>IF(OR(C1192="",I1192&lt;&gt;"ENTRADA"),"",TEXT(B1192,"AAMMDD")&amp;"-"&amp;TEXT(VALUE(SUBSTITUTE(A1192,"MOV-","")),"000"))</f>
        <v/>
      </c>
    </row>
    <row r="1193" spans="1:20">
      <c r="A1193" s="20" t="s">
        <v>1552</v>
      </c>
      <c r="H1193" s="20" t="str">
        <f>+T1193</f>
        <v/>
      </c>
      <c r="J1193" s="30"/>
      <c r="K1193" s="22" t="str">
        <f>IF(I1193="","",IF(I1193="ENTRADA",ABS(J1193),-ABS(J1193)))</f>
        <v/>
      </c>
      <c r="R1193" s="22" t="str">
        <f>IF(H1193="","",H1193&amp;I1193)</f>
        <v/>
      </c>
      <c r="S1193" s="22" t="str">
        <f>IF(C1193="","",C1193&amp;I1193)</f>
        <v/>
      </c>
      <c r="T1193" t="str">
        <f>IF(OR(C1193="",I1193&lt;&gt;"ENTRADA"),"",TEXT(B1193,"AAMMDD")&amp;"-"&amp;TEXT(VALUE(SUBSTITUTE(A1193,"MOV-","")),"000"))</f>
        <v/>
      </c>
    </row>
    <row r="1194" spans="1:20">
      <c r="A1194" s="20" t="s">
        <v>1553</v>
      </c>
      <c r="H1194" s="20" t="str">
        <f>+T1194</f>
        <v/>
      </c>
      <c r="J1194" s="30"/>
      <c r="K1194" s="22" t="str">
        <f>IF(I1194="","",IF(I1194="ENTRADA",ABS(J1194),-ABS(J1194)))</f>
        <v/>
      </c>
      <c r="R1194" s="22" t="str">
        <f>IF(H1194="","",H1194&amp;I1194)</f>
        <v/>
      </c>
      <c r="S1194" s="22" t="str">
        <f>IF(C1194="","",C1194&amp;I1194)</f>
        <v/>
      </c>
      <c r="T1194" t="str">
        <f>IF(OR(C1194="",I1194&lt;&gt;"ENTRADA"),"",TEXT(B1194,"AAMMDD")&amp;"-"&amp;TEXT(VALUE(SUBSTITUTE(A1194,"MOV-","")),"000"))</f>
        <v/>
      </c>
    </row>
    <row r="1195" spans="1:20">
      <c r="A1195" s="20" t="s">
        <v>1554</v>
      </c>
      <c r="H1195" s="33"/>
      <c r="K1195" s="22" t="str">
        <f>IF(I1195="","",IF(I1195="ENTRADA",ABS(J1195),-ABS(J1195)))</f>
        <v/>
      </c>
      <c r="R1195" s="22" t="str">
        <f>IF(H1195="","",H1195&amp;I1195)</f>
        <v/>
      </c>
      <c r="S1195" s="22" t="str">
        <f>IF(C1195="","",C1195&amp;I1195)</f>
        <v/>
      </c>
      <c r="T1195" t="str">
        <f>IF(OR(C1195="",I1195&lt;&gt;"ENTRADA"),"",TEXT(B1195,"AAMMDD")&amp;"-"&amp;TEXT(VALUE(SUBSTITUTE(A1195,"MOV-","")),"000"))</f>
        <v/>
      </c>
    </row>
    <row r="1196" spans="1:20">
      <c r="A1196" s="20" t="s">
        <v>1555</v>
      </c>
      <c r="H1196" s="33"/>
      <c r="K1196" s="22" t="str">
        <f>IF(I1196="","",IF(I1196="ENTRADA",ABS(J1196),-ABS(J1196)))</f>
        <v/>
      </c>
      <c r="R1196" s="22" t="str">
        <f>IF(H1196="","",H1196&amp;I1196)</f>
        <v/>
      </c>
      <c r="S1196" s="22" t="str">
        <f>IF(C1196="","",C1196&amp;I1196)</f>
        <v/>
      </c>
      <c r="T1196" t="str">
        <f>IF(OR(C1196="",I1196&lt;&gt;"ENTRADA"),"",TEXT(B1196,"AAMMDD")&amp;"-"&amp;TEXT(VALUE(SUBSTITUTE(A1196,"MOV-","")),"000"))</f>
        <v/>
      </c>
    </row>
    <row r="1197" spans="1:20">
      <c r="A1197" s="20" t="s">
        <v>1556</v>
      </c>
      <c r="H1197" s="33"/>
      <c r="K1197" s="22" t="str">
        <f>IF(I1197="","",IF(I1197="ENTRADA",ABS(J1197),-ABS(J1197)))</f>
        <v/>
      </c>
      <c r="R1197" s="22" t="str">
        <f>IF(H1197="","",H1197&amp;I1197)</f>
        <v/>
      </c>
      <c r="S1197" s="22" t="str">
        <f>IF(C1197="","",C1197&amp;I1197)</f>
        <v/>
      </c>
      <c r="T1197" t="str">
        <f>IF(OR(C1197="",I1197&lt;&gt;"ENTRADA"),"",TEXT(B1197,"AAMMDD")&amp;"-"&amp;TEXT(VALUE(SUBSTITUTE(A1197,"MOV-","")),"000"))</f>
        <v/>
      </c>
    </row>
    <row r="1198" spans="1:20">
      <c r="A1198" s="20" t="s">
        <v>1557</v>
      </c>
      <c r="B1198" s="34"/>
      <c r="C1198" s="34"/>
      <c r="D1198" s="34"/>
      <c r="E1198" s="34"/>
      <c r="F1198" s="34"/>
      <c r="G1198" s="34"/>
      <c r="H1198" s="20" t="str">
        <f>+T1198</f>
        <v/>
      </c>
      <c r="I1198" s="34"/>
      <c r="J1198" s="36"/>
      <c r="K1198" s="22" t="str">
        <f>IF(I1198="","",IF(I1198="ENTRADA",ABS(J1198),-ABS(J1198)))</f>
        <v/>
      </c>
      <c r="L1198" s="34"/>
      <c r="M1198" s="34"/>
      <c r="N1198" s="34"/>
      <c r="O1198" s="34"/>
      <c r="P1198" s="34"/>
      <c r="Q1198" s="35"/>
      <c r="R1198" s="22" t="str">
        <f>IF(H1198="","",H1198&amp;I1198)</f>
        <v/>
      </c>
      <c r="S1198" s="22" t="str">
        <f>IF(C1198="","",C1198&amp;I1198)</f>
        <v/>
      </c>
      <c r="T1198" t="str">
        <f>IF(OR(C1198="",I1198&lt;&gt;"ENTRADA"),"",TEXT(B1198,"AAMMDD")&amp;"-"&amp;TEXT(VALUE(SUBSTITUTE(A1198,"MOV-","")),"000"))</f>
        <v/>
      </c>
    </row>
    <row r="1199" spans="1:20">
      <c r="A1199" s="20" t="s">
        <v>1558</v>
      </c>
      <c r="H1199" s="33"/>
      <c r="K1199" s="22" t="str">
        <f>IF(I1199="","",IF(I1199="ENTRADA",ABS(J1199),-ABS(J1199)))</f>
        <v/>
      </c>
      <c r="R1199" s="22" t="str">
        <f>IF(H1199="","",H1199&amp;I1199)</f>
        <v/>
      </c>
      <c r="S1199" s="22" t="str">
        <f>IF(C1199="","",C1199&amp;I1199)</f>
        <v/>
      </c>
      <c r="T1199" t="str">
        <f>IF(OR(C1199="",I1199&lt;&gt;"ENTRADA"),"",TEXT(B1199,"AAMMDD")&amp;"-"&amp;TEXT(VALUE(SUBSTITUTE(A1199,"MOV-","")),"000"))</f>
        <v/>
      </c>
    </row>
    <row r="1200" spans="1:20">
      <c r="A1200" s="20" t="s">
        <v>1559</v>
      </c>
      <c r="H1200" s="20" t="str">
        <f>+T1200</f>
        <v/>
      </c>
      <c r="J1200" s="30"/>
      <c r="K1200" s="22" t="str">
        <f>IF(I1200="","",IF(I1200="ENTRADA",ABS(J1200),-ABS(J1200)))</f>
        <v/>
      </c>
      <c r="Q1200" s="35"/>
      <c r="R1200" s="22" t="str">
        <f>IF(H1200="","",H1200&amp;I1200)</f>
        <v/>
      </c>
      <c r="S1200" s="22" t="str">
        <f>IF(C1200="","",C1200&amp;I1200)</f>
        <v/>
      </c>
      <c r="T1200" t="str">
        <f>IF(OR(C1200="",I1200&lt;&gt;"ENTRADA"),"",TEXT(B1200,"AAMMDD")&amp;"-"&amp;TEXT(VALUE(SUBSTITUTE(A1200,"MOV-","")),"000"))</f>
        <v/>
      </c>
    </row>
    <row r="1201" spans="1:20">
      <c r="A1201" s="20" t="s">
        <v>1560</v>
      </c>
      <c r="H1201" s="20" t="str">
        <f>+T1201</f>
        <v/>
      </c>
      <c r="J1201" s="30"/>
      <c r="K1201" s="22" t="str">
        <f>IF(I1201="","",IF(I1201="ENTRADA",ABS(J1201),-ABS(J1201)))</f>
        <v/>
      </c>
      <c r="Q1201" s="35"/>
      <c r="R1201" s="22" t="str">
        <f>IF(H1201="","",H1201&amp;I1201)</f>
        <v/>
      </c>
      <c r="S1201" s="22" t="str">
        <f>IF(C1201="","",C1201&amp;I1201)</f>
        <v/>
      </c>
      <c r="T1201" t="str">
        <f>IF(OR(C1201="",I1201&lt;&gt;"ENTRADA"),"",TEXT(B1201,"AAMMDD")&amp;"-"&amp;TEXT(VALUE(SUBSTITUTE(A1201,"MOV-","")),"000"))</f>
        <v/>
      </c>
    </row>
    <row r="1202" spans="1:20">
      <c r="A1202" s="20" t="s">
        <v>1561</v>
      </c>
      <c r="H1202" s="20" t="str">
        <f>+T1202</f>
        <v/>
      </c>
      <c r="J1202" s="30"/>
      <c r="K1202" s="22" t="str">
        <f>IF(I1202="","",IF(I1202="ENTRADA",ABS(J1202),-ABS(J1202)))</f>
        <v/>
      </c>
      <c r="Q1202" s="35"/>
      <c r="R1202" s="22" t="str">
        <f>IF(H1202="","",H1202&amp;I1202)</f>
        <v/>
      </c>
      <c r="S1202" s="22" t="str">
        <f>IF(C1202="","",C1202&amp;I1202)</f>
        <v/>
      </c>
      <c r="T1202" t="str">
        <f>IF(OR(C1202="",I1202&lt;&gt;"ENTRADA"),"",TEXT(B1202,"AAMMDD")&amp;"-"&amp;TEXT(VALUE(SUBSTITUTE(A1202,"MOV-","")),"000"))</f>
        <v/>
      </c>
    </row>
    <row r="1203" spans="1:20">
      <c r="A1203" s="20" t="s">
        <v>1562</v>
      </c>
      <c r="H1203" s="20" t="str">
        <f>+T1203</f>
        <v/>
      </c>
      <c r="J1203" s="30"/>
      <c r="K1203" s="22" t="str">
        <f>IF(I1203="","",IF(I1203="ENTRADA",ABS(J1203),-ABS(J1203)))</f>
        <v/>
      </c>
      <c r="Q1203" s="35"/>
      <c r="R1203" s="22" t="str">
        <f>IF(H1203="","",H1203&amp;I1203)</f>
        <v/>
      </c>
      <c r="S1203" s="22" t="str">
        <f>IF(C1203="","",C1203&amp;I1203)</f>
        <v/>
      </c>
      <c r="T1203" t="str">
        <f>IF(OR(C1203="",I1203&lt;&gt;"ENTRADA"),"",TEXT(B1203,"AAMMDD")&amp;"-"&amp;TEXT(VALUE(SUBSTITUTE(A1203,"MOV-","")),"000"))</f>
        <v/>
      </c>
    </row>
    <row r="1204" spans="1:20">
      <c r="A1204" s="20" t="s">
        <v>1563</v>
      </c>
      <c r="H1204" s="20" t="str">
        <f>+T1204</f>
        <v/>
      </c>
      <c r="J1204" s="30"/>
      <c r="K1204" s="22" t="str">
        <f>IF(I1204="","",IF(I1204="ENTRADA",ABS(J1204),-ABS(J1204)))</f>
        <v/>
      </c>
      <c r="Q1204" s="35"/>
      <c r="R1204" s="22" t="str">
        <f>IF(H1204="","",H1204&amp;I1204)</f>
        <v/>
      </c>
      <c r="S1204" s="22" t="str">
        <f>IF(C1204="","",C1204&amp;I1204)</f>
        <v/>
      </c>
      <c r="T1204" t="str">
        <f>IF(OR(C1204="",I1204&lt;&gt;"ENTRADA"),"",TEXT(B1204,"AAMMDD")&amp;"-"&amp;TEXT(VALUE(SUBSTITUTE(A1204,"MOV-","")),"000"))</f>
        <v/>
      </c>
    </row>
    <row r="1205" spans="1:20">
      <c r="A1205" s="20" t="s">
        <v>1564</v>
      </c>
      <c r="H1205" s="20" t="str">
        <f>+T1205</f>
        <v/>
      </c>
      <c r="J1205" s="30"/>
      <c r="K1205" s="22" t="str">
        <f>IF(I1205="","",IF(I1205="ENTRADA",ABS(J1205),-ABS(J1205)))</f>
        <v/>
      </c>
      <c r="Q1205" s="35"/>
      <c r="R1205" s="22" t="str">
        <f>IF(H1205="","",H1205&amp;I1205)</f>
        <v/>
      </c>
      <c r="S1205" s="22" t="str">
        <f>IF(C1205="","",C1205&amp;I1205)</f>
        <v/>
      </c>
      <c r="T1205" t="str">
        <f>IF(OR(C1205="",I1205&lt;&gt;"ENTRADA"),"",TEXT(B1205,"AAMMDD")&amp;"-"&amp;TEXT(VALUE(SUBSTITUTE(A1205,"MOV-","")),"000"))</f>
        <v/>
      </c>
    </row>
    <row r="1206" spans="1:20">
      <c r="A1206" s="20" t="s">
        <v>1565</v>
      </c>
      <c r="H1206" s="20" t="str">
        <f>+T1206</f>
        <v/>
      </c>
      <c r="J1206" s="30"/>
      <c r="K1206" s="22" t="str">
        <f>IF(I1206="","",IF(I1206="ENTRADA",ABS(J1206),-ABS(J1206)))</f>
        <v/>
      </c>
      <c r="Q1206" s="35"/>
      <c r="R1206" s="22" t="str">
        <f>IF(H1206="","",H1206&amp;I1206)</f>
        <v/>
      </c>
      <c r="S1206" s="22" t="str">
        <f>IF(C1206="","",C1206&amp;I1206)</f>
        <v/>
      </c>
      <c r="T1206" t="str">
        <f>IF(OR(C1206="",I1206&lt;&gt;"ENTRADA"),"",TEXT(B1206,"AAMMDD")&amp;"-"&amp;TEXT(VALUE(SUBSTITUTE(A1206,"MOV-","")),"000"))</f>
        <v/>
      </c>
    </row>
    <row r="1207" spans="1:20">
      <c r="A1207" s="20" t="s">
        <v>1566</v>
      </c>
      <c r="H1207" s="20" t="str">
        <f>+T1207</f>
        <v/>
      </c>
      <c r="J1207" s="30"/>
      <c r="K1207" s="22" t="str">
        <f>IF(I1207="","",IF(I1207="ENTRADA",ABS(J1207),-ABS(J1207)))</f>
        <v/>
      </c>
      <c r="Q1207" s="35"/>
      <c r="R1207" s="22" t="str">
        <f>IF(H1207="","",H1207&amp;I1207)</f>
        <v/>
      </c>
      <c r="S1207" s="22" t="str">
        <f>IF(C1207="","",C1207&amp;I1207)</f>
        <v/>
      </c>
      <c r="T1207" t="str">
        <f>IF(OR(C1207="",I1207&lt;&gt;"ENTRADA"),"",TEXT(B1207,"AAMMDD")&amp;"-"&amp;TEXT(VALUE(SUBSTITUTE(A1207,"MOV-","")),"000"))</f>
        <v/>
      </c>
    </row>
    <row r="1208" spans="1:20">
      <c r="A1208" s="20" t="s">
        <v>1567</v>
      </c>
      <c r="H1208" s="20" t="str">
        <f>+T1208</f>
        <v/>
      </c>
      <c r="J1208" s="30"/>
      <c r="K1208" s="22" t="str">
        <f>IF(I1208="","",IF(I1208="ENTRADA",ABS(J1208),-ABS(J1208)))</f>
        <v/>
      </c>
      <c r="Q1208" s="35"/>
      <c r="R1208" s="22" t="str">
        <f>IF(H1208="","",H1208&amp;I1208)</f>
        <v/>
      </c>
      <c r="S1208" s="22" t="str">
        <f>IF(C1208="","",C1208&amp;I1208)</f>
        <v/>
      </c>
      <c r="T1208" t="str">
        <f>IF(OR(C1208="",I1208&lt;&gt;"ENTRADA"),"",TEXT(B1208,"AAMMDD")&amp;"-"&amp;TEXT(VALUE(SUBSTITUTE(A1208,"MOV-","")),"000"))</f>
        <v/>
      </c>
    </row>
    <row r="1209" spans="1:20">
      <c r="A1209" s="20" t="s">
        <v>1568</v>
      </c>
      <c r="H1209" s="20" t="str">
        <f>+T1209</f>
        <v/>
      </c>
      <c r="J1209" s="30"/>
      <c r="K1209" s="22" t="str">
        <f>IF(I1209="","",IF(I1209="ENTRADA",ABS(J1209),-ABS(J1209)))</f>
        <v/>
      </c>
      <c r="Q1209" s="35"/>
      <c r="R1209" s="22" t="str">
        <f>IF(H1209="","",H1209&amp;I1209)</f>
        <v/>
      </c>
      <c r="S1209" s="22" t="str">
        <f>IF(C1209="","",C1209&amp;I1209)</f>
        <v/>
      </c>
      <c r="T1209" t="str">
        <f>IF(OR(C1209="",I1209&lt;&gt;"ENTRADA"),"",TEXT(B1209,"AAMMDD")&amp;"-"&amp;TEXT(VALUE(SUBSTITUTE(A1209,"MOV-","")),"000"))</f>
        <v/>
      </c>
    </row>
    <row r="1210" spans="1:20">
      <c r="A1210" s="20" t="s">
        <v>1569</v>
      </c>
      <c r="H1210" s="20" t="str">
        <f>+T1210</f>
        <v/>
      </c>
      <c r="J1210" s="30"/>
      <c r="K1210" s="22" t="str">
        <f>IF(I1210="","",IF(I1210="ENTRADA",ABS(J1210),-ABS(J1210)))</f>
        <v/>
      </c>
      <c r="Q1210" s="35"/>
      <c r="R1210" s="22" t="str">
        <f>IF(H1210="","",H1210&amp;I1210)</f>
        <v/>
      </c>
      <c r="S1210" s="22" t="str">
        <f>IF(C1210="","",C1210&amp;I1210)</f>
        <v/>
      </c>
      <c r="T1210" t="str">
        <f>IF(OR(C1210="",I1210&lt;&gt;"ENTRADA"),"",TEXT(B1210,"AAMMDD")&amp;"-"&amp;TEXT(VALUE(SUBSTITUTE(A1210,"MOV-","")),"000"))</f>
        <v/>
      </c>
    </row>
    <row r="1211" spans="1:20">
      <c r="A1211" s="20" t="s">
        <v>1570</v>
      </c>
      <c r="H1211" s="20" t="str">
        <f>+T1211</f>
        <v/>
      </c>
      <c r="J1211" s="30"/>
      <c r="K1211" s="22" t="str">
        <f>IF(I1211="","",IF(I1211="ENTRADA",ABS(J1211),-ABS(J1211)))</f>
        <v/>
      </c>
      <c r="Q1211" s="35"/>
      <c r="R1211" s="22" t="str">
        <f>IF(H1211="","",H1211&amp;I1211)</f>
        <v/>
      </c>
      <c r="S1211" s="22" t="str">
        <f>IF(C1211="","",C1211&amp;I1211)</f>
        <v/>
      </c>
      <c r="T1211" t="str">
        <f>IF(OR(C1211="",I1211&lt;&gt;"ENTRADA"),"",TEXT(B1211,"AAMMDD")&amp;"-"&amp;TEXT(VALUE(SUBSTITUTE(A1211,"MOV-","")),"000"))</f>
        <v/>
      </c>
    </row>
    <row r="1212" spans="1:20">
      <c r="A1212" s="20" t="s">
        <v>1571</v>
      </c>
      <c r="H1212" s="20" t="str">
        <f>+T1212</f>
        <v/>
      </c>
      <c r="J1212" s="30"/>
      <c r="K1212" s="22" t="str">
        <f>IF(I1212="","",IF(I1212="ENTRADA",ABS(J1212),-ABS(J1212)))</f>
        <v/>
      </c>
      <c r="Q1212" s="35"/>
      <c r="R1212" s="22" t="str">
        <f>IF(H1212="","",H1212&amp;I1212)</f>
        <v/>
      </c>
      <c r="S1212" s="22" t="str">
        <f>IF(C1212="","",C1212&amp;I1212)</f>
        <v/>
      </c>
      <c r="T1212" t="str">
        <f>IF(OR(C1212="",I1212&lt;&gt;"ENTRADA"),"",TEXT(B1212,"AAMMDD")&amp;"-"&amp;TEXT(VALUE(SUBSTITUTE(A1212,"MOV-","")),"000"))</f>
        <v/>
      </c>
    </row>
    <row r="1213" spans="1:20">
      <c r="A1213" s="20" t="s">
        <v>1572</v>
      </c>
      <c r="H1213" s="20" t="str">
        <f>+T1213</f>
        <v/>
      </c>
      <c r="J1213" s="30"/>
      <c r="K1213" s="22" t="str">
        <f>IF(I1213="","",IF(I1213="ENTRADA",ABS(J1213),-ABS(J1213)))</f>
        <v/>
      </c>
      <c r="Q1213" s="35"/>
      <c r="R1213" s="22" t="str">
        <f>IF(H1213="","",H1213&amp;I1213)</f>
        <v/>
      </c>
      <c r="S1213" s="22" t="str">
        <f>IF(C1213="","",C1213&amp;I1213)</f>
        <v/>
      </c>
      <c r="T1213" t="str">
        <f>IF(OR(C1213="",I1213&lt;&gt;"ENTRADA"),"",TEXT(B1213,"AAMMDD")&amp;"-"&amp;TEXT(VALUE(SUBSTITUTE(A1213,"MOV-","")),"000"))</f>
        <v/>
      </c>
    </row>
    <row r="1214" spans="1:20">
      <c r="A1214" s="20" t="s">
        <v>1573</v>
      </c>
      <c r="H1214" s="20" t="str">
        <f>+T1214</f>
        <v/>
      </c>
      <c r="J1214" s="30"/>
      <c r="K1214" s="22" t="str">
        <f>IF(I1214="","",IF(I1214="ENTRADA",ABS(J1214),-ABS(J1214)))</f>
        <v/>
      </c>
      <c r="Q1214" s="35"/>
      <c r="R1214" s="22" t="str">
        <f>IF(H1214="","",H1214&amp;I1214)</f>
        <v/>
      </c>
      <c r="S1214" s="22" t="str">
        <f>IF(C1214="","",C1214&amp;I1214)</f>
        <v/>
      </c>
      <c r="T1214" t="str">
        <f>IF(OR(C1214="",I1214&lt;&gt;"ENTRADA"),"",TEXT(B1214,"AAMMDD")&amp;"-"&amp;TEXT(VALUE(SUBSTITUTE(A1214,"MOV-","")),"000"))</f>
        <v/>
      </c>
    </row>
    <row r="1215" spans="1:20">
      <c r="A1215" s="20" t="s">
        <v>1574</v>
      </c>
      <c r="H1215" s="20" t="str">
        <f>+T1215</f>
        <v/>
      </c>
      <c r="J1215" s="30"/>
      <c r="K1215" s="22" t="str">
        <f>IF(I1215="","",IF(I1215="ENTRADA",ABS(J1215),-ABS(J1215)))</f>
        <v/>
      </c>
      <c r="Q1215" s="35"/>
      <c r="R1215" s="22" t="str">
        <f>IF(H1215="","",H1215&amp;I1215)</f>
        <v/>
      </c>
      <c r="S1215" s="22" t="str">
        <f>IF(C1215="","",C1215&amp;I1215)</f>
        <v/>
      </c>
      <c r="T1215" t="str">
        <f>IF(OR(C1215="",I1215&lt;&gt;"ENTRADA"),"",TEXT(B1215,"AAMMDD")&amp;"-"&amp;TEXT(VALUE(SUBSTITUTE(A1215,"MOV-","")),"000"))</f>
        <v/>
      </c>
    </row>
    <row r="1216" spans="1:20">
      <c r="A1216" s="20" t="s">
        <v>1575</v>
      </c>
      <c r="H1216" s="20" t="str">
        <f>+T1216</f>
        <v/>
      </c>
      <c r="J1216" s="30"/>
      <c r="K1216" s="22" t="str">
        <f>IF(I1216="","",IF(I1216="ENTRADA",ABS(J1216),-ABS(J1216)))</f>
        <v/>
      </c>
      <c r="Q1216" s="35"/>
      <c r="R1216" s="22" t="str">
        <f>IF(H1216="","",H1216&amp;I1216)</f>
        <v/>
      </c>
      <c r="S1216" s="22" t="str">
        <f>IF(C1216="","",C1216&amp;I1216)</f>
        <v/>
      </c>
      <c r="T1216" t="str">
        <f>IF(OR(C1216="",I1216&lt;&gt;"ENTRADA"),"",TEXT(B1216,"AAMMDD")&amp;"-"&amp;TEXT(VALUE(SUBSTITUTE(A1216,"MOV-","")),"000"))</f>
        <v/>
      </c>
    </row>
    <row r="1217" spans="1:20">
      <c r="A1217" s="20" t="s">
        <v>1576</v>
      </c>
      <c r="H1217" s="20" t="str">
        <f>+T1217</f>
        <v/>
      </c>
      <c r="J1217" s="30"/>
      <c r="K1217" s="22" t="str">
        <f>IF(I1217="","",IF(I1217="ENTRADA",ABS(J1217),-ABS(J1217)))</f>
        <v/>
      </c>
      <c r="Q1217" s="35"/>
      <c r="R1217" s="22" t="str">
        <f>IF(H1217="","",H1217&amp;I1217)</f>
        <v/>
      </c>
      <c r="S1217" s="22" t="str">
        <f>IF(C1217="","",C1217&amp;I1217)</f>
        <v/>
      </c>
      <c r="T1217" t="str">
        <f>IF(OR(C1217="",I1217&lt;&gt;"ENTRADA"),"",TEXT(B1217,"AAMMDD")&amp;"-"&amp;TEXT(VALUE(SUBSTITUTE(A1217,"MOV-","")),"000"))</f>
        <v/>
      </c>
    </row>
    <row r="1218" spans="1:20">
      <c r="A1218" s="20" t="s">
        <v>1577</v>
      </c>
      <c r="H1218" s="20" t="str">
        <f>+T1218</f>
        <v/>
      </c>
      <c r="J1218" s="30"/>
      <c r="K1218" s="22" t="str">
        <f>IF(I1218="","",IF(I1218="ENTRADA",ABS(J1218),-ABS(J1218)))</f>
        <v/>
      </c>
      <c r="Q1218" s="35"/>
      <c r="R1218" s="22" t="str">
        <f>IF(H1218="","",H1218&amp;I1218)</f>
        <v/>
      </c>
      <c r="S1218" s="22" t="str">
        <f>IF(C1218="","",C1218&amp;I1218)</f>
        <v/>
      </c>
      <c r="T1218" t="str">
        <f>IF(OR(C1218="",I1218&lt;&gt;"ENTRADA"),"",TEXT(B1218,"AAMMDD")&amp;"-"&amp;TEXT(VALUE(SUBSTITUTE(A1218,"MOV-","")),"000"))</f>
        <v/>
      </c>
    </row>
    <row r="1219" spans="1:20">
      <c r="A1219" s="20" t="s">
        <v>1578</v>
      </c>
      <c r="H1219" s="20" t="str">
        <f>+T1219</f>
        <v/>
      </c>
      <c r="J1219" s="30"/>
      <c r="K1219" s="22" t="str">
        <f>IF(I1219="","",IF(I1219="ENTRADA",ABS(J1219),-ABS(J1219)))</f>
        <v/>
      </c>
      <c r="Q1219" s="35"/>
      <c r="R1219" s="22" t="str">
        <f>IF(H1219="","",H1219&amp;I1219)</f>
        <v/>
      </c>
      <c r="S1219" s="22" t="str">
        <f>IF(C1219="","",C1219&amp;I1219)</f>
        <v/>
      </c>
      <c r="T1219" t="str">
        <f>IF(OR(C1219="",I1219&lt;&gt;"ENTRADA"),"",TEXT(B1219,"AAMMDD")&amp;"-"&amp;TEXT(VALUE(SUBSTITUTE(A1219,"MOV-","")),"000"))</f>
        <v/>
      </c>
    </row>
    <row r="1220" spans="1:20">
      <c r="A1220" s="20" t="s">
        <v>1579</v>
      </c>
      <c r="H1220" s="20" t="str">
        <f>+T1220</f>
        <v/>
      </c>
      <c r="J1220" s="30"/>
      <c r="K1220" s="22" t="str">
        <f>IF(I1220="","",IF(I1220="ENTRADA",ABS(J1220),-ABS(J1220)))</f>
        <v/>
      </c>
      <c r="Q1220" s="35"/>
      <c r="R1220" s="22" t="str">
        <f>IF(H1220="","",H1220&amp;I1220)</f>
        <v/>
      </c>
      <c r="S1220" s="22" t="str">
        <f>IF(C1220="","",C1220&amp;I1220)</f>
        <v/>
      </c>
      <c r="T1220" t="str">
        <f>IF(OR(C1220="",I1220&lt;&gt;"ENTRADA"),"",TEXT(B1220,"AAMMDD")&amp;"-"&amp;TEXT(VALUE(SUBSTITUTE(A1220,"MOV-","")),"000"))</f>
        <v/>
      </c>
    </row>
    <row r="1221" spans="1:20">
      <c r="A1221" s="20" t="s">
        <v>1580</v>
      </c>
      <c r="H1221" s="20" t="str">
        <f>+T1221</f>
        <v/>
      </c>
      <c r="J1221" s="30"/>
      <c r="K1221" s="22" t="str">
        <f>IF(I1221="","",IF(I1221="ENTRADA",ABS(J1221),-ABS(J1221)))</f>
        <v/>
      </c>
      <c r="Q1221" s="35"/>
      <c r="R1221" s="22" t="str">
        <f>IF(H1221="","",H1221&amp;I1221)</f>
        <v/>
      </c>
      <c r="S1221" s="22" t="str">
        <f>IF(C1221="","",C1221&amp;I1221)</f>
        <v/>
      </c>
      <c r="T1221" t="str">
        <f>IF(OR(C1221="",I1221&lt;&gt;"ENTRADA"),"",TEXT(B1221,"AAMMDD")&amp;"-"&amp;TEXT(VALUE(SUBSTITUTE(A1221,"MOV-","")),"000"))</f>
        <v/>
      </c>
    </row>
    <row r="1222" spans="1:20">
      <c r="A1222" s="20" t="s">
        <v>1581</v>
      </c>
      <c r="H1222" s="20" t="str">
        <f>+T1222</f>
        <v/>
      </c>
      <c r="J1222" s="30"/>
      <c r="K1222" s="22" t="str">
        <f>IF(I1222="","",IF(I1222="ENTRADA",ABS(J1222),-ABS(J1222)))</f>
        <v/>
      </c>
      <c r="Q1222" s="35"/>
      <c r="R1222" s="22" t="str">
        <f>IF(H1222="","",H1222&amp;I1222)</f>
        <v/>
      </c>
      <c r="S1222" s="22" t="str">
        <f>IF(C1222="","",C1222&amp;I1222)</f>
        <v/>
      </c>
      <c r="T1222" t="str">
        <f>IF(OR(C1222="",I1222&lt;&gt;"ENTRADA"),"",TEXT(B1222,"AAMMDD")&amp;"-"&amp;TEXT(VALUE(SUBSTITUTE(A1222,"MOV-","")),"000"))</f>
        <v/>
      </c>
    </row>
    <row r="1223" spans="1:20">
      <c r="A1223" s="20" t="s">
        <v>1582</v>
      </c>
      <c r="H1223" s="20" t="str">
        <f>+T1223</f>
        <v/>
      </c>
      <c r="J1223" s="30"/>
      <c r="K1223" s="22" t="str">
        <f>IF(I1223="","",IF(I1223="ENTRADA",ABS(J1223),-ABS(J1223)))</f>
        <v/>
      </c>
      <c r="Q1223" s="35"/>
      <c r="R1223" s="22" t="str">
        <f>IF(H1223="","",H1223&amp;I1223)</f>
        <v/>
      </c>
      <c r="S1223" s="22" t="str">
        <f>IF(C1223="","",C1223&amp;I1223)</f>
        <v/>
      </c>
      <c r="T1223" t="str">
        <f>IF(OR(C1223="",I1223&lt;&gt;"ENTRADA"),"",TEXT(B1223,"AAMMDD")&amp;"-"&amp;TEXT(VALUE(SUBSTITUTE(A1223,"MOV-","")),"000"))</f>
        <v/>
      </c>
    </row>
    <row r="1224" spans="1:20">
      <c r="A1224" s="20" t="s">
        <v>1583</v>
      </c>
      <c r="H1224" s="20" t="str">
        <f>+T1224</f>
        <v/>
      </c>
      <c r="J1224" s="30"/>
      <c r="K1224" s="22" t="str">
        <f>IF(I1224="","",IF(I1224="ENTRADA",ABS(J1224),-ABS(J1224)))</f>
        <v/>
      </c>
      <c r="Q1224" s="35"/>
      <c r="R1224" s="22" t="str">
        <f>IF(H1224="","",H1224&amp;I1224)</f>
        <v/>
      </c>
      <c r="S1224" s="22" t="str">
        <f>IF(C1224="","",C1224&amp;I1224)</f>
        <v/>
      </c>
      <c r="T1224" t="str">
        <f>IF(OR(C1224="",I1224&lt;&gt;"ENTRADA"),"",TEXT(B1224,"AAMMDD")&amp;"-"&amp;TEXT(VALUE(SUBSTITUTE(A1224,"MOV-","")),"000"))</f>
        <v/>
      </c>
    </row>
    <row r="1225" spans="1:20">
      <c r="A1225" s="20" t="s">
        <v>1584</v>
      </c>
      <c r="H1225" s="20" t="str">
        <f>+T1225</f>
        <v/>
      </c>
      <c r="J1225" s="30"/>
      <c r="K1225" s="22" t="str">
        <f>IF(I1225="","",IF(I1225="ENTRADA",ABS(J1225),-ABS(J1225)))</f>
        <v/>
      </c>
      <c r="Q1225" s="35"/>
      <c r="R1225" s="22" t="str">
        <f>IF(H1225="","",H1225&amp;I1225)</f>
        <v/>
      </c>
      <c r="S1225" s="22" t="str">
        <f>IF(C1225="","",C1225&amp;I1225)</f>
        <v/>
      </c>
      <c r="T1225" t="str">
        <f>IF(OR(C1225="",I1225&lt;&gt;"ENTRADA"),"",TEXT(B1225,"AAMMDD")&amp;"-"&amp;TEXT(VALUE(SUBSTITUTE(A1225,"MOV-","")),"000"))</f>
        <v/>
      </c>
    </row>
    <row r="1226" spans="1:20">
      <c r="A1226" s="20" t="s">
        <v>1585</v>
      </c>
      <c r="H1226" s="20" t="str">
        <f>+T1226</f>
        <v/>
      </c>
      <c r="J1226" s="30"/>
      <c r="K1226" s="22" t="str">
        <f>IF(I1226="","",IF(I1226="ENTRADA",ABS(J1226),-ABS(J1226)))</f>
        <v/>
      </c>
      <c r="Q1226" s="35"/>
      <c r="R1226" s="22" t="str">
        <f>IF(H1226="","",H1226&amp;I1226)</f>
        <v/>
      </c>
      <c r="S1226" s="22" t="str">
        <f>IF(C1226="","",C1226&amp;I1226)</f>
        <v/>
      </c>
      <c r="T1226" t="str">
        <f>IF(OR(C1226="",I1226&lt;&gt;"ENTRADA"),"",TEXT(B1226,"AAMMDD")&amp;"-"&amp;TEXT(VALUE(SUBSTITUTE(A1226,"MOV-","")),"000"))</f>
        <v/>
      </c>
    </row>
    <row r="1227" spans="1:20">
      <c r="A1227" s="20" t="s">
        <v>1586</v>
      </c>
      <c r="H1227" s="20" t="str">
        <f>+T1227</f>
        <v/>
      </c>
      <c r="J1227" s="30"/>
      <c r="K1227" s="22" t="str">
        <f>IF(I1227="","",IF(I1227="ENTRADA",ABS(J1227),-ABS(J1227)))</f>
        <v/>
      </c>
      <c r="Q1227" s="35"/>
      <c r="R1227" s="22" t="str">
        <f>IF(H1227="","",H1227&amp;I1227)</f>
        <v/>
      </c>
      <c r="S1227" s="22" t="str">
        <f>IF(C1227="","",C1227&amp;I1227)</f>
        <v/>
      </c>
      <c r="T1227" t="str">
        <f>IF(OR(C1227="",I1227&lt;&gt;"ENTRADA"),"",TEXT(B1227,"AAMMDD")&amp;"-"&amp;TEXT(VALUE(SUBSTITUTE(A1227,"MOV-","")),"000"))</f>
        <v/>
      </c>
    </row>
    <row r="1228" spans="1:20">
      <c r="A1228" s="20" t="s">
        <v>1587</v>
      </c>
      <c r="H1228" s="20" t="str">
        <f>+T1228</f>
        <v/>
      </c>
      <c r="J1228" s="30"/>
      <c r="K1228" s="22" t="str">
        <f>IF(I1228="","",IF(I1228="ENTRADA",ABS(J1228),-ABS(J1228)))</f>
        <v/>
      </c>
      <c r="Q1228" s="35"/>
      <c r="R1228" s="22" t="str">
        <f>IF(H1228="","",H1228&amp;I1228)</f>
        <v/>
      </c>
      <c r="S1228" s="22" t="str">
        <f>IF(C1228="","",C1228&amp;I1228)</f>
        <v/>
      </c>
      <c r="T1228" t="str">
        <f>IF(OR(C1228="",I1228&lt;&gt;"ENTRADA"),"",TEXT(B1228,"AAMMDD")&amp;"-"&amp;TEXT(VALUE(SUBSTITUTE(A1228,"MOV-","")),"000"))</f>
        <v/>
      </c>
    </row>
    <row r="1229" spans="1:20">
      <c r="A1229" s="20" t="s">
        <v>1588</v>
      </c>
      <c r="H1229" s="20" t="str">
        <f>+T1229</f>
        <v/>
      </c>
      <c r="J1229" s="30"/>
      <c r="K1229" s="22" t="str">
        <f>IF(I1229="","",IF(I1229="ENTRADA",ABS(J1229),-ABS(J1229)))</f>
        <v/>
      </c>
      <c r="Q1229" s="35"/>
      <c r="R1229" s="22" t="str">
        <f>IF(H1229="","",H1229&amp;I1229)</f>
        <v/>
      </c>
      <c r="S1229" s="22" t="str">
        <f>IF(C1229="","",C1229&amp;I1229)</f>
        <v/>
      </c>
      <c r="T1229" t="str">
        <f>IF(OR(C1229="",I1229&lt;&gt;"ENTRADA"),"",TEXT(B1229,"AAMMDD")&amp;"-"&amp;TEXT(VALUE(SUBSTITUTE(A1229,"MOV-","")),"000"))</f>
        <v/>
      </c>
    </row>
    <row r="1230" spans="1:20">
      <c r="A1230" s="20" t="s">
        <v>1589</v>
      </c>
      <c r="H1230" s="20" t="str">
        <f>+T1230</f>
        <v/>
      </c>
      <c r="J1230" s="30"/>
      <c r="K1230" s="22" t="str">
        <f>IF(I1230="","",IF(I1230="ENTRADA",ABS(J1230),-ABS(J1230)))</f>
        <v/>
      </c>
      <c r="Q1230" s="35"/>
      <c r="R1230" s="22" t="str">
        <f>IF(H1230="","",H1230&amp;I1230)</f>
        <v/>
      </c>
      <c r="S1230" s="22" t="str">
        <f>IF(C1230="","",C1230&amp;I1230)</f>
        <v/>
      </c>
      <c r="T1230" t="str">
        <f>IF(OR(C1230="",I1230&lt;&gt;"ENTRADA"),"",TEXT(B1230,"AAMMDD")&amp;"-"&amp;TEXT(VALUE(SUBSTITUTE(A1230,"MOV-","")),"000"))</f>
        <v/>
      </c>
    </row>
    <row r="1231" spans="1:20">
      <c r="A1231" s="20" t="s">
        <v>1590</v>
      </c>
      <c r="H1231" s="20" t="str">
        <f>+T1231</f>
        <v/>
      </c>
      <c r="J1231" s="30"/>
      <c r="K1231" s="22" t="str">
        <f>IF(I1231="","",IF(I1231="ENTRADA",ABS(J1231),-ABS(J1231)))</f>
        <v/>
      </c>
      <c r="Q1231" s="35"/>
      <c r="R1231" s="22" t="str">
        <f>IF(H1231="","",H1231&amp;I1231)</f>
        <v/>
      </c>
      <c r="S1231" s="22" t="str">
        <f>IF(C1231="","",C1231&amp;I1231)</f>
        <v/>
      </c>
      <c r="T1231" t="str">
        <f>IF(OR(C1231="",I1231&lt;&gt;"ENTRADA"),"",TEXT(B1231,"AAMMDD")&amp;"-"&amp;TEXT(VALUE(SUBSTITUTE(A1231,"MOV-","")),"000"))</f>
        <v/>
      </c>
    </row>
    <row r="1232" spans="1:20">
      <c r="A1232" s="20" t="s">
        <v>1591</v>
      </c>
      <c r="H1232" s="20" t="str">
        <f>+T1232</f>
        <v/>
      </c>
      <c r="J1232" s="30"/>
      <c r="K1232" s="22" t="str">
        <f>IF(I1232="","",IF(I1232="ENTRADA",ABS(J1232),-ABS(J1232)))</f>
        <v/>
      </c>
      <c r="Q1232" s="35"/>
      <c r="R1232" s="22" t="str">
        <f>IF(H1232="","",H1232&amp;I1232)</f>
        <v/>
      </c>
      <c r="S1232" s="22" t="str">
        <f>IF(C1232="","",C1232&amp;I1232)</f>
        <v/>
      </c>
      <c r="T1232" t="str">
        <f>IF(OR(C1232="",I1232&lt;&gt;"ENTRADA"),"",TEXT(B1232,"AAMMDD")&amp;"-"&amp;TEXT(VALUE(SUBSTITUTE(A1232,"MOV-","")),"000"))</f>
        <v/>
      </c>
    </row>
    <row r="1233" spans="1:20">
      <c r="A1233" s="20" t="s">
        <v>1592</v>
      </c>
      <c r="H1233" s="20" t="str">
        <f>+T1233</f>
        <v/>
      </c>
      <c r="J1233" s="30"/>
      <c r="K1233" s="22" t="str">
        <f>IF(I1233="","",IF(I1233="ENTRADA",ABS(J1233),-ABS(J1233)))</f>
        <v/>
      </c>
      <c r="Q1233" s="35"/>
      <c r="R1233" s="22" t="str">
        <f>IF(H1233="","",H1233&amp;I1233)</f>
        <v/>
      </c>
      <c r="S1233" s="22" t="str">
        <f>IF(C1233="","",C1233&amp;I1233)</f>
        <v/>
      </c>
      <c r="T1233" t="str">
        <f>IF(OR(C1233="",I1233&lt;&gt;"ENTRADA"),"",TEXT(B1233,"AAMMDD")&amp;"-"&amp;TEXT(VALUE(SUBSTITUTE(A1233,"MOV-","")),"000"))</f>
        <v/>
      </c>
    </row>
    <row r="1234" spans="1:20">
      <c r="A1234" s="20" t="s">
        <v>1593</v>
      </c>
      <c r="H1234" s="20" t="str">
        <f>+T1234</f>
        <v/>
      </c>
      <c r="J1234" s="30"/>
      <c r="K1234" s="22" t="str">
        <f>IF(I1234="","",IF(I1234="ENTRADA",ABS(J1234),-ABS(J1234)))</f>
        <v/>
      </c>
      <c r="Q1234" s="35"/>
      <c r="R1234" s="22" t="str">
        <f>IF(H1234="","",H1234&amp;I1234)</f>
        <v/>
      </c>
      <c r="S1234" s="22" t="str">
        <f>IF(C1234="","",C1234&amp;I1234)</f>
        <v/>
      </c>
      <c r="T1234" t="str">
        <f>IF(OR(C1234="",I1234&lt;&gt;"ENTRADA"),"",TEXT(B1234,"AAMMDD")&amp;"-"&amp;TEXT(VALUE(SUBSTITUTE(A1234,"MOV-","")),"000"))</f>
        <v/>
      </c>
    </row>
    <row r="1235" spans="1:20">
      <c r="A1235" s="20" t="s">
        <v>1594</v>
      </c>
      <c r="H1235" s="20" t="str">
        <f>+T1235</f>
        <v/>
      </c>
      <c r="J1235" s="30"/>
      <c r="K1235" s="22" t="str">
        <f>IF(I1235="","",IF(I1235="ENTRADA",ABS(J1235),-ABS(J1235)))</f>
        <v/>
      </c>
      <c r="Q1235" s="35"/>
      <c r="R1235" s="22" t="str">
        <f>IF(H1235="","",H1235&amp;I1235)</f>
        <v/>
      </c>
      <c r="S1235" s="22" t="str">
        <f>IF(C1235="","",C1235&amp;I1235)</f>
        <v/>
      </c>
      <c r="T1235" t="str">
        <f>IF(OR(C1235="",I1235&lt;&gt;"ENTRADA"),"",TEXT(B1235,"AAMMDD")&amp;"-"&amp;TEXT(VALUE(SUBSTITUTE(A1235,"MOV-","")),"000"))</f>
        <v/>
      </c>
    </row>
    <row r="1236" spans="1:20">
      <c r="A1236" s="20" t="s">
        <v>1595</v>
      </c>
      <c r="H1236" s="20" t="str">
        <f>+T1236</f>
        <v/>
      </c>
      <c r="J1236" s="30"/>
      <c r="K1236" s="22" t="str">
        <f>IF(I1236="","",IF(I1236="ENTRADA",ABS(J1236),-ABS(J1236)))</f>
        <v/>
      </c>
      <c r="Q1236" s="35"/>
      <c r="R1236" s="22" t="str">
        <f>IF(H1236="","",H1236&amp;I1236)</f>
        <v/>
      </c>
      <c r="S1236" s="22" t="str">
        <f>IF(C1236="","",C1236&amp;I1236)</f>
        <v/>
      </c>
      <c r="T1236" t="str">
        <f>IF(OR(C1236="",I1236&lt;&gt;"ENTRADA"),"",TEXT(B1236,"AAMMDD")&amp;"-"&amp;TEXT(VALUE(SUBSTITUTE(A1236,"MOV-","")),"000"))</f>
        <v/>
      </c>
    </row>
    <row r="1237" spans="1:20">
      <c r="A1237" s="20" t="s">
        <v>1596</v>
      </c>
      <c r="H1237" s="20" t="str">
        <f>+T1237</f>
        <v/>
      </c>
      <c r="J1237" s="30"/>
      <c r="K1237" s="22" t="str">
        <f>IF(I1237="","",IF(I1237="ENTRADA",ABS(J1237),-ABS(J1237)))</f>
        <v/>
      </c>
      <c r="Q1237" s="35"/>
      <c r="R1237" s="22" t="str">
        <f>IF(H1237="","",H1237&amp;I1237)</f>
        <v/>
      </c>
      <c r="S1237" s="22" t="str">
        <f>IF(C1237="","",C1237&amp;I1237)</f>
        <v/>
      </c>
      <c r="T1237" t="str">
        <f>IF(OR(C1237="",I1237&lt;&gt;"ENTRADA"),"",TEXT(B1237,"AAMMDD")&amp;"-"&amp;TEXT(VALUE(SUBSTITUTE(A1237,"MOV-","")),"000"))</f>
        <v/>
      </c>
    </row>
    <row r="1238" spans="1:20">
      <c r="A1238" s="20" t="s">
        <v>1597</v>
      </c>
      <c r="H1238" s="20" t="str">
        <f>+T1238</f>
        <v/>
      </c>
      <c r="J1238" s="30"/>
      <c r="K1238" s="22" t="str">
        <f>IF(I1238="","",IF(I1238="ENTRADA",ABS(J1238),-ABS(J1238)))</f>
        <v/>
      </c>
      <c r="Q1238" s="35"/>
      <c r="R1238" s="22" t="str">
        <f>IF(H1238="","",H1238&amp;I1238)</f>
        <v/>
      </c>
      <c r="S1238" s="22" t="str">
        <f>IF(C1238="","",C1238&amp;I1238)</f>
        <v/>
      </c>
      <c r="T1238" t="str">
        <f>IF(OR(C1238="",I1238&lt;&gt;"ENTRADA"),"",TEXT(B1238,"AAMMDD")&amp;"-"&amp;TEXT(VALUE(SUBSTITUTE(A1238,"MOV-","")),"000"))</f>
        <v/>
      </c>
    </row>
    <row r="1239" spans="1:20">
      <c r="A1239" s="20" t="s">
        <v>1598</v>
      </c>
      <c r="H1239" s="20" t="str">
        <f>+T1239</f>
        <v/>
      </c>
      <c r="J1239" s="30"/>
      <c r="K1239" s="22" t="str">
        <f>IF(I1239="","",IF(I1239="ENTRADA",ABS(J1239),-ABS(J1239)))</f>
        <v/>
      </c>
      <c r="Q1239" s="35"/>
      <c r="R1239" s="22" t="str">
        <f>IF(H1239="","",H1239&amp;I1239)</f>
        <v/>
      </c>
      <c r="S1239" s="22" t="str">
        <f>IF(C1239="","",C1239&amp;I1239)</f>
        <v/>
      </c>
      <c r="T1239" t="str">
        <f>IF(OR(C1239="",I1239&lt;&gt;"ENTRADA"),"",TEXT(B1239,"AAMMDD")&amp;"-"&amp;TEXT(VALUE(SUBSTITUTE(A1239,"MOV-","")),"000"))</f>
        <v/>
      </c>
    </row>
    <row r="1240" spans="1:20">
      <c r="A1240" s="20" t="s">
        <v>1599</v>
      </c>
      <c r="H1240" s="20" t="str">
        <f>+T1240</f>
        <v/>
      </c>
      <c r="J1240" s="30"/>
      <c r="K1240" s="22" t="str">
        <f>IF(I1240="","",IF(I1240="ENTRADA",ABS(J1240),-ABS(J1240)))</f>
        <v/>
      </c>
      <c r="Q1240" s="35"/>
      <c r="R1240" s="22" t="str">
        <f>IF(H1240="","",H1240&amp;I1240)</f>
        <v/>
      </c>
      <c r="S1240" s="22" t="str">
        <f>IF(C1240="","",C1240&amp;I1240)</f>
        <v/>
      </c>
      <c r="T1240" t="str">
        <f>IF(OR(C1240="",I1240&lt;&gt;"ENTRADA"),"",TEXT(B1240,"AAMMDD")&amp;"-"&amp;TEXT(VALUE(SUBSTITUTE(A1240,"MOV-","")),"000"))</f>
        <v/>
      </c>
    </row>
    <row r="1241" spans="1:20">
      <c r="A1241" s="20" t="s">
        <v>1600</v>
      </c>
      <c r="H1241" s="20" t="str">
        <f>+T1241</f>
        <v/>
      </c>
      <c r="J1241" s="30"/>
      <c r="K1241" s="22" t="str">
        <f>IF(I1241="","",IF(I1241="ENTRADA",ABS(J1241),-ABS(J1241)))</f>
        <v/>
      </c>
      <c r="Q1241" s="35"/>
      <c r="R1241" s="22" t="str">
        <f>IF(H1241="","",H1241&amp;I1241)</f>
        <v/>
      </c>
      <c r="S1241" s="22" t="str">
        <f>IF(C1241="","",C1241&amp;I1241)</f>
        <v/>
      </c>
      <c r="T1241" t="str">
        <f>IF(OR(C1241="",I1241&lt;&gt;"ENTRADA"),"",TEXT(B1241,"AAMMDD")&amp;"-"&amp;TEXT(VALUE(SUBSTITUTE(A1241,"MOV-","")),"000"))</f>
        <v/>
      </c>
    </row>
    <row r="1242" spans="1:20">
      <c r="A1242" s="20" t="s">
        <v>1601</v>
      </c>
      <c r="H1242" s="20" t="str">
        <f>+T1242</f>
        <v/>
      </c>
      <c r="J1242" s="30"/>
      <c r="K1242" s="22" t="str">
        <f>IF(I1242="","",IF(I1242="ENTRADA",ABS(J1242),-ABS(J1242)))</f>
        <v/>
      </c>
      <c r="Q1242" s="35"/>
      <c r="R1242" s="22" t="str">
        <f>IF(H1242="","",H1242&amp;I1242)</f>
        <v/>
      </c>
      <c r="S1242" s="22" t="str">
        <f>IF(C1242="","",C1242&amp;I1242)</f>
        <v/>
      </c>
      <c r="T1242" t="str">
        <f>IF(OR(C1242="",I1242&lt;&gt;"ENTRADA"),"",TEXT(B1242,"AAMMDD")&amp;"-"&amp;TEXT(VALUE(SUBSTITUTE(A1242,"MOV-","")),"000"))</f>
        <v/>
      </c>
    </row>
    <row r="1243" spans="1:20">
      <c r="A1243" s="20" t="s">
        <v>1602</v>
      </c>
      <c r="H1243" s="20" t="str">
        <f>+T1243</f>
        <v/>
      </c>
      <c r="J1243" s="30"/>
      <c r="K1243" s="22" t="str">
        <f>IF(I1243="","",IF(I1243="ENTRADA",ABS(J1243),-ABS(J1243)))</f>
        <v/>
      </c>
      <c r="Q1243" s="35"/>
      <c r="R1243" s="22" t="str">
        <f>IF(H1243="","",H1243&amp;I1243)</f>
        <v/>
      </c>
      <c r="S1243" s="22" t="str">
        <f>IF(C1243="","",C1243&amp;I1243)</f>
        <v/>
      </c>
      <c r="T1243" t="str">
        <f>IF(OR(C1243="",I1243&lt;&gt;"ENTRADA"),"",TEXT(B1243,"AAMMDD")&amp;"-"&amp;TEXT(VALUE(SUBSTITUTE(A1243,"MOV-","")),"000"))</f>
        <v/>
      </c>
    </row>
    <row r="1244" spans="1:20">
      <c r="A1244" s="20" t="s">
        <v>1603</v>
      </c>
      <c r="H1244" s="20" t="str">
        <f>+T1244</f>
        <v/>
      </c>
      <c r="J1244" s="30"/>
      <c r="K1244" s="22" t="str">
        <f>IF(I1244="","",IF(I1244="ENTRADA",ABS(J1244),-ABS(J1244)))</f>
        <v/>
      </c>
      <c r="Q1244" s="35"/>
      <c r="R1244" s="22" t="str">
        <f>IF(H1244="","",H1244&amp;I1244)</f>
        <v/>
      </c>
      <c r="S1244" s="22" t="str">
        <f>IF(C1244="","",C1244&amp;I1244)</f>
        <v/>
      </c>
      <c r="T1244" t="str">
        <f>IF(OR(C1244="",I1244&lt;&gt;"ENTRADA"),"",TEXT(B1244,"AAMMDD")&amp;"-"&amp;TEXT(VALUE(SUBSTITUTE(A1244,"MOV-","")),"000"))</f>
        <v/>
      </c>
    </row>
    <row r="1245" spans="1:20">
      <c r="A1245" s="20" t="s">
        <v>1604</v>
      </c>
      <c r="H1245" s="20" t="str">
        <f>+T1245</f>
        <v/>
      </c>
      <c r="J1245" s="30"/>
      <c r="K1245" s="22" t="str">
        <f>IF(I1245="","",IF(I1245="ENTRADA",ABS(J1245),-ABS(J1245)))</f>
        <v/>
      </c>
      <c r="Q1245" s="35"/>
      <c r="R1245" s="22" t="str">
        <f>IF(H1245="","",H1245&amp;I1245)</f>
        <v/>
      </c>
      <c r="S1245" s="22" t="str">
        <f>IF(C1245="","",C1245&amp;I1245)</f>
        <v/>
      </c>
      <c r="T1245" t="str">
        <f>IF(OR(C1245="",I1245&lt;&gt;"ENTRADA"),"",TEXT(B1245,"AAMMDD")&amp;"-"&amp;TEXT(VALUE(SUBSTITUTE(A1245,"MOV-","")),"000"))</f>
        <v/>
      </c>
    </row>
    <row r="1246" spans="1:20">
      <c r="A1246" s="20" t="s">
        <v>1605</v>
      </c>
      <c r="H1246" s="20" t="str">
        <f>+T1246</f>
        <v/>
      </c>
      <c r="J1246" s="30"/>
      <c r="K1246" s="22" t="str">
        <f>IF(I1246="","",IF(I1246="ENTRADA",ABS(J1246),-ABS(J1246)))</f>
        <v/>
      </c>
      <c r="Q1246" s="35"/>
      <c r="R1246" s="22" t="str">
        <f>IF(H1246="","",H1246&amp;I1246)</f>
        <v/>
      </c>
      <c r="S1246" s="22" t="str">
        <f>IF(C1246="","",C1246&amp;I1246)</f>
        <v/>
      </c>
      <c r="T1246" t="str">
        <f>IF(OR(C1246="",I1246&lt;&gt;"ENTRADA"),"",TEXT(B1246,"AAMMDD")&amp;"-"&amp;TEXT(VALUE(SUBSTITUTE(A1246,"MOV-","")),"000"))</f>
        <v/>
      </c>
    </row>
    <row r="1247" spans="1:20">
      <c r="A1247" s="20" t="s">
        <v>1606</v>
      </c>
      <c r="H1247" s="20" t="str">
        <f>+T1247</f>
        <v/>
      </c>
      <c r="J1247" s="30"/>
      <c r="K1247" s="22" t="str">
        <f>IF(I1247="","",IF(I1247="ENTRADA",ABS(J1247),-ABS(J1247)))</f>
        <v/>
      </c>
      <c r="Q1247" s="35"/>
      <c r="R1247" s="22" t="str">
        <f>IF(H1247="","",H1247&amp;I1247)</f>
        <v/>
      </c>
      <c r="S1247" s="22" t="str">
        <f>IF(C1247="","",C1247&amp;I1247)</f>
        <v/>
      </c>
      <c r="T1247" t="str">
        <f>IF(OR(C1247="",I1247&lt;&gt;"ENTRADA"),"",TEXT(B1247,"AAMMDD")&amp;"-"&amp;TEXT(VALUE(SUBSTITUTE(A1247,"MOV-","")),"000"))</f>
        <v/>
      </c>
    </row>
    <row r="1248" spans="1:20">
      <c r="A1248" s="20" t="s">
        <v>1607</v>
      </c>
      <c r="H1248" s="20" t="str">
        <f>+T1248</f>
        <v/>
      </c>
      <c r="J1248" s="30"/>
      <c r="K1248" s="22" t="str">
        <f>IF(I1248="","",IF(I1248="ENTRADA",ABS(J1248),-ABS(J1248)))</f>
        <v/>
      </c>
      <c r="Q1248" s="35"/>
      <c r="R1248" s="22" t="str">
        <f>IF(H1248="","",H1248&amp;I1248)</f>
        <v/>
      </c>
      <c r="S1248" s="22" t="str">
        <f>IF(C1248="","",C1248&amp;I1248)</f>
        <v/>
      </c>
      <c r="T1248" t="str">
        <f>IF(OR(C1248="",I1248&lt;&gt;"ENTRADA"),"",TEXT(B1248,"AAMMDD")&amp;"-"&amp;TEXT(VALUE(SUBSTITUTE(A1248,"MOV-","")),"000"))</f>
        <v/>
      </c>
    </row>
    <row r="1249" spans="1:20">
      <c r="A1249" s="20" t="s">
        <v>1608</v>
      </c>
      <c r="H1249" s="20" t="str">
        <f>+T1249</f>
        <v/>
      </c>
      <c r="J1249" s="30"/>
      <c r="K1249" s="22" t="str">
        <f>IF(I1249="","",IF(I1249="ENTRADA",ABS(J1249),-ABS(J1249)))</f>
        <v/>
      </c>
      <c r="Q1249" s="35"/>
      <c r="R1249" s="22" t="str">
        <f>IF(H1249="","",H1249&amp;I1249)</f>
        <v/>
      </c>
      <c r="S1249" s="22" t="str">
        <f>IF(C1249="","",C1249&amp;I1249)</f>
        <v/>
      </c>
      <c r="T1249" t="str">
        <f>IF(OR(C1249="",I1249&lt;&gt;"ENTRADA"),"",TEXT(B1249,"AAMMDD")&amp;"-"&amp;TEXT(VALUE(SUBSTITUTE(A1249,"MOV-","")),"000"))</f>
        <v/>
      </c>
    </row>
    <row r="1250" spans="1:20">
      <c r="A1250" s="20" t="s">
        <v>1609</v>
      </c>
      <c r="H1250" s="20" t="str">
        <f>+T1250</f>
        <v/>
      </c>
      <c r="J1250" s="30"/>
      <c r="K1250" s="22" t="str">
        <f>IF(I1250="","",IF(I1250="ENTRADA",ABS(J1250),-ABS(J1250)))</f>
        <v/>
      </c>
      <c r="Q1250" s="35"/>
      <c r="R1250" s="22" t="str">
        <f>IF(H1250="","",H1250&amp;I1250)</f>
        <v/>
      </c>
      <c r="S1250" s="22" t="str">
        <f>IF(C1250="","",C1250&amp;I1250)</f>
        <v/>
      </c>
      <c r="T1250" t="str">
        <f>IF(OR(C1250="",I1250&lt;&gt;"ENTRADA"),"",TEXT(B1250,"AAMMDD")&amp;"-"&amp;TEXT(VALUE(SUBSTITUTE(A1250,"MOV-","")),"000"))</f>
        <v/>
      </c>
    </row>
    <row r="1251" spans="1:20">
      <c r="A1251" s="20" t="s">
        <v>1610</v>
      </c>
      <c r="H1251" s="20" t="str">
        <f>+T1251</f>
        <v/>
      </c>
      <c r="J1251" s="30"/>
      <c r="K1251" s="22" t="str">
        <f>IF(I1251="","",IF(I1251="ENTRADA",ABS(J1251),-ABS(J1251)))</f>
        <v/>
      </c>
      <c r="Q1251" s="35"/>
      <c r="R1251" s="22" t="str">
        <f>IF(H1251="","",H1251&amp;I1251)</f>
        <v/>
      </c>
      <c r="S1251" s="22" t="str">
        <f>IF(C1251="","",C1251&amp;I1251)</f>
        <v/>
      </c>
      <c r="T1251" t="str">
        <f>IF(OR(C1251="",I1251&lt;&gt;"ENTRADA"),"",TEXT(B1251,"AAMMDD")&amp;"-"&amp;TEXT(VALUE(SUBSTITUTE(A1251,"MOV-","")),"000"))</f>
        <v/>
      </c>
    </row>
    <row r="1252" spans="1:20">
      <c r="A1252" s="20" t="s">
        <v>1611</v>
      </c>
      <c r="H1252" s="20" t="str">
        <f>+T1252</f>
        <v/>
      </c>
      <c r="J1252" s="30"/>
      <c r="K1252" s="22" t="str">
        <f>IF(I1252="","",IF(I1252="ENTRADA",ABS(J1252),-ABS(J1252)))</f>
        <v/>
      </c>
      <c r="Q1252" s="35"/>
      <c r="R1252" s="22" t="str">
        <f>IF(H1252="","",H1252&amp;I1252)</f>
        <v/>
      </c>
      <c r="S1252" s="22" t="str">
        <f>IF(C1252="","",C1252&amp;I1252)</f>
        <v/>
      </c>
      <c r="T1252" t="str">
        <f>IF(OR(C1252="",I1252&lt;&gt;"ENTRADA"),"",TEXT(B1252,"AAMMDD")&amp;"-"&amp;TEXT(VALUE(SUBSTITUTE(A1252,"MOV-","")),"000"))</f>
        <v/>
      </c>
    </row>
    <row r="1253" spans="1:20">
      <c r="A1253" s="20" t="s">
        <v>1612</v>
      </c>
      <c r="H1253" s="20" t="str">
        <f>+T1253</f>
        <v/>
      </c>
      <c r="J1253" s="30"/>
      <c r="K1253" s="22" t="str">
        <f>IF(I1253="","",IF(I1253="ENTRADA",ABS(J1253),-ABS(J1253)))</f>
        <v/>
      </c>
      <c r="Q1253" s="35"/>
      <c r="R1253" s="22" t="str">
        <f>IF(H1253="","",H1253&amp;I1253)</f>
        <v/>
      </c>
      <c r="S1253" s="22" t="str">
        <f>IF(C1253="","",C1253&amp;I1253)</f>
        <v/>
      </c>
      <c r="T1253" t="str">
        <f>IF(OR(C1253="",I1253&lt;&gt;"ENTRADA"),"",TEXT(B1253,"AAMMDD")&amp;"-"&amp;TEXT(VALUE(SUBSTITUTE(A1253,"MOV-","")),"000"))</f>
        <v/>
      </c>
    </row>
    <row r="1254" spans="1:20">
      <c r="A1254" s="20" t="s">
        <v>1613</v>
      </c>
      <c r="H1254" s="20" t="str">
        <f>+T1254</f>
        <v/>
      </c>
      <c r="J1254" s="30"/>
      <c r="K1254" s="22" t="str">
        <f>IF(I1254="","",IF(I1254="ENTRADA",ABS(J1254),-ABS(J1254)))</f>
        <v/>
      </c>
      <c r="Q1254" s="35"/>
      <c r="R1254" s="22" t="str">
        <f>IF(H1254="","",H1254&amp;I1254)</f>
        <v/>
      </c>
      <c r="S1254" s="22" t="str">
        <f>IF(C1254="","",C1254&amp;I1254)</f>
        <v/>
      </c>
      <c r="T1254" t="str">
        <f>IF(OR(C1254="",I1254&lt;&gt;"ENTRADA"),"",TEXT(B1254,"AAMMDD")&amp;"-"&amp;TEXT(VALUE(SUBSTITUTE(A1254,"MOV-","")),"000"))</f>
        <v/>
      </c>
    </row>
    <row r="1255" spans="1:20">
      <c r="A1255" s="20" t="s">
        <v>1614</v>
      </c>
      <c r="H1255" s="20" t="str">
        <f>+T1255</f>
        <v/>
      </c>
      <c r="J1255" s="30"/>
      <c r="K1255" s="22" t="str">
        <f>IF(I1255="","",IF(I1255="ENTRADA",ABS(J1255),-ABS(J1255)))</f>
        <v/>
      </c>
      <c r="Q1255" s="35"/>
      <c r="R1255" s="22" t="str">
        <f>IF(H1255="","",H1255&amp;I1255)</f>
        <v/>
      </c>
      <c r="S1255" s="22" t="str">
        <f>IF(C1255="","",C1255&amp;I1255)</f>
        <v/>
      </c>
      <c r="T1255" t="str">
        <f>IF(OR(C1255="",I1255&lt;&gt;"ENTRADA"),"",TEXT(B1255,"AAMMDD")&amp;"-"&amp;TEXT(VALUE(SUBSTITUTE(A1255,"MOV-","")),"000"))</f>
        <v/>
      </c>
    </row>
    <row r="1256" spans="1:20">
      <c r="A1256" s="20" t="s">
        <v>1615</v>
      </c>
      <c r="H1256" s="20" t="str">
        <f>+T1256</f>
        <v/>
      </c>
      <c r="J1256" s="30"/>
      <c r="K1256" s="22" t="str">
        <f>IF(I1256="","",IF(I1256="ENTRADA",ABS(J1256),-ABS(J1256)))</f>
        <v/>
      </c>
      <c r="Q1256" s="35"/>
      <c r="R1256" s="22" t="str">
        <f>IF(H1256="","",H1256&amp;I1256)</f>
        <v/>
      </c>
      <c r="S1256" s="22" t="str">
        <f>IF(C1256="","",C1256&amp;I1256)</f>
        <v/>
      </c>
      <c r="T1256" t="str">
        <f>IF(OR(C1256="",I1256&lt;&gt;"ENTRADA"),"",TEXT(B1256,"AAMMDD")&amp;"-"&amp;TEXT(VALUE(SUBSTITUTE(A1256,"MOV-","")),"000"))</f>
        <v/>
      </c>
    </row>
    <row r="1257" spans="1:20">
      <c r="A1257" s="20" t="s">
        <v>1616</v>
      </c>
      <c r="H1257" s="20" t="str">
        <f>+T1257</f>
        <v/>
      </c>
      <c r="J1257" s="30"/>
      <c r="K1257" s="22" t="str">
        <f>IF(I1257="","",IF(I1257="ENTRADA",ABS(J1257),-ABS(J1257)))</f>
        <v/>
      </c>
      <c r="Q1257" s="35"/>
      <c r="R1257" s="22" t="str">
        <f>IF(H1257="","",H1257&amp;I1257)</f>
        <v/>
      </c>
      <c r="S1257" s="22" t="str">
        <f>IF(C1257="","",C1257&amp;I1257)</f>
        <v/>
      </c>
      <c r="T1257" t="str">
        <f>IF(OR(C1257="",I1257&lt;&gt;"ENTRADA"),"",TEXT(B1257,"AAMMDD")&amp;"-"&amp;TEXT(VALUE(SUBSTITUTE(A1257,"MOV-","")),"000"))</f>
        <v/>
      </c>
    </row>
    <row r="1258" spans="1:20">
      <c r="A1258" s="20" t="s">
        <v>1617</v>
      </c>
      <c r="H1258" s="20" t="str">
        <f>+T1258</f>
        <v/>
      </c>
      <c r="J1258" s="30"/>
      <c r="K1258" s="22" t="str">
        <f>IF(I1258="","",IF(I1258="ENTRADA",ABS(J1258),-ABS(J1258)))</f>
        <v/>
      </c>
      <c r="Q1258" s="35"/>
      <c r="R1258" s="22" t="str">
        <f>IF(H1258="","",H1258&amp;I1258)</f>
        <v/>
      </c>
      <c r="S1258" s="22" t="str">
        <f>IF(C1258="","",C1258&amp;I1258)</f>
        <v/>
      </c>
      <c r="T1258" t="str">
        <f>IF(OR(C1258="",I1258&lt;&gt;"ENTRADA"),"",TEXT(B1258,"AAMMDD")&amp;"-"&amp;TEXT(VALUE(SUBSTITUTE(A1258,"MOV-","")),"000"))</f>
        <v/>
      </c>
    </row>
    <row r="1259" spans="1:20">
      <c r="A1259" s="20" t="s">
        <v>1618</v>
      </c>
      <c r="H1259" s="20" t="str">
        <f>+T1259</f>
        <v/>
      </c>
      <c r="J1259" s="30"/>
      <c r="K1259" s="22" t="str">
        <f>IF(I1259="","",IF(I1259="ENTRADA",ABS(J1259),-ABS(J1259)))</f>
        <v/>
      </c>
      <c r="Q1259" s="35"/>
      <c r="R1259" s="22" t="str">
        <f>IF(H1259="","",H1259&amp;I1259)</f>
        <v/>
      </c>
      <c r="S1259" s="22" t="str">
        <f>IF(C1259="","",C1259&amp;I1259)</f>
        <v/>
      </c>
      <c r="T1259" t="str">
        <f>IF(OR(C1259="",I1259&lt;&gt;"ENTRADA"),"",TEXT(B1259,"AAMMDD")&amp;"-"&amp;TEXT(VALUE(SUBSTITUTE(A1259,"MOV-","")),"000"))</f>
        <v/>
      </c>
    </row>
    <row r="1260" spans="1:20">
      <c r="A1260" s="20" t="s">
        <v>1619</v>
      </c>
      <c r="H1260" s="20" t="str">
        <f>+T1260</f>
        <v/>
      </c>
      <c r="J1260" s="30"/>
      <c r="K1260" s="22" t="str">
        <f>IF(I1260="","",IF(I1260="ENTRADA",ABS(J1260),-ABS(J1260)))</f>
        <v/>
      </c>
      <c r="Q1260" s="35"/>
      <c r="R1260" s="22" t="str">
        <f>IF(H1260="","",H1260&amp;I1260)</f>
        <v/>
      </c>
      <c r="S1260" s="22" t="str">
        <f>IF(C1260="","",C1260&amp;I1260)</f>
        <v/>
      </c>
      <c r="T1260" t="str">
        <f>IF(OR(C1260="",I1260&lt;&gt;"ENTRADA"),"",TEXT(B1260,"AAMMDD")&amp;"-"&amp;TEXT(VALUE(SUBSTITUTE(A1260,"MOV-","")),"000"))</f>
        <v/>
      </c>
    </row>
    <row r="1261" spans="1:20">
      <c r="A1261" s="20" t="s">
        <v>1620</v>
      </c>
      <c r="H1261" s="20" t="str">
        <f>+T1261</f>
        <v/>
      </c>
      <c r="J1261" s="30"/>
      <c r="K1261" s="22" t="str">
        <f>IF(I1261="","",IF(I1261="ENTRADA",ABS(J1261),-ABS(J1261)))</f>
        <v/>
      </c>
      <c r="Q1261" s="35"/>
      <c r="R1261" s="22" t="str">
        <f>IF(H1261="","",H1261&amp;I1261)</f>
        <v/>
      </c>
      <c r="S1261" s="22" t="str">
        <f>IF(C1261="","",C1261&amp;I1261)</f>
        <v/>
      </c>
      <c r="T1261" t="str">
        <f>IF(OR(C1261="",I1261&lt;&gt;"ENTRADA"),"",TEXT(B1261,"AAMMDD")&amp;"-"&amp;TEXT(VALUE(SUBSTITUTE(A1261,"MOV-","")),"000"))</f>
        <v/>
      </c>
    </row>
    <row r="1262" spans="1:20">
      <c r="A1262" s="20" t="s">
        <v>1621</v>
      </c>
      <c r="H1262" s="20" t="str">
        <f>+T1262</f>
        <v/>
      </c>
      <c r="J1262" s="30"/>
      <c r="K1262" s="22" t="str">
        <f>IF(I1262="","",IF(I1262="ENTRADA",ABS(J1262),-ABS(J1262)))</f>
        <v/>
      </c>
      <c r="Q1262" s="35"/>
      <c r="R1262" s="22" t="str">
        <f>IF(H1262="","",H1262&amp;I1262)</f>
        <v/>
      </c>
      <c r="S1262" s="22" t="str">
        <f>IF(C1262="","",C1262&amp;I1262)</f>
        <v/>
      </c>
      <c r="T1262" t="str">
        <f>IF(OR(C1262="",I1262&lt;&gt;"ENTRADA"),"",TEXT(B1262,"AAMMDD")&amp;"-"&amp;TEXT(VALUE(SUBSTITUTE(A1262,"MOV-","")),"000"))</f>
        <v/>
      </c>
    </row>
    <row r="1263" spans="1:20">
      <c r="A1263" s="20" t="s">
        <v>1622</v>
      </c>
      <c r="H1263" s="20" t="str">
        <f>+T1263</f>
        <v/>
      </c>
      <c r="J1263" s="30"/>
      <c r="K1263" s="22" t="str">
        <f>IF(I1263="","",IF(I1263="ENTRADA",ABS(J1263),-ABS(J1263)))</f>
        <v/>
      </c>
      <c r="Q1263" s="35"/>
      <c r="R1263" s="22" t="str">
        <f>IF(H1263="","",H1263&amp;I1263)</f>
        <v/>
      </c>
      <c r="S1263" s="22" t="str">
        <f>IF(C1263="","",C1263&amp;I1263)</f>
        <v/>
      </c>
      <c r="T1263" t="str">
        <f>IF(OR(C1263="",I1263&lt;&gt;"ENTRADA"),"",TEXT(B1263,"AAMMDD")&amp;"-"&amp;TEXT(VALUE(SUBSTITUTE(A1263,"MOV-","")),"000"))</f>
        <v/>
      </c>
    </row>
    <row r="1264" spans="1:20">
      <c r="A1264" s="20" t="s">
        <v>1623</v>
      </c>
      <c r="H1264" s="20" t="str">
        <f>+T1264</f>
        <v/>
      </c>
      <c r="J1264" s="30"/>
      <c r="K1264" s="22" t="str">
        <f>IF(I1264="","",IF(I1264="ENTRADA",ABS(J1264),-ABS(J1264)))</f>
        <v/>
      </c>
      <c r="Q1264" s="35"/>
      <c r="R1264" s="22" t="str">
        <f>IF(H1264="","",H1264&amp;I1264)</f>
        <v/>
      </c>
      <c r="S1264" s="22" t="str">
        <f>IF(C1264="","",C1264&amp;I1264)</f>
        <v/>
      </c>
      <c r="T1264" t="str">
        <f>IF(OR(C1264="",I1264&lt;&gt;"ENTRADA"),"",TEXT(B1264,"AAMMDD")&amp;"-"&amp;TEXT(VALUE(SUBSTITUTE(A1264,"MOV-","")),"000"))</f>
        <v/>
      </c>
    </row>
    <row r="1265" spans="1:20">
      <c r="A1265" s="20" t="s">
        <v>1624</v>
      </c>
      <c r="H1265" s="20" t="str">
        <f>+T1265</f>
        <v/>
      </c>
      <c r="J1265" s="30"/>
      <c r="K1265" s="22" t="str">
        <f>IF(I1265="","",IF(I1265="ENTRADA",ABS(J1265),-ABS(J1265)))</f>
        <v/>
      </c>
      <c r="Q1265" s="35"/>
      <c r="R1265" s="22" t="str">
        <f>IF(H1265="","",H1265&amp;I1265)</f>
        <v/>
      </c>
      <c r="S1265" s="22" t="str">
        <f>IF(C1265="","",C1265&amp;I1265)</f>
        <v/>
      </c>
      <c r="T1265" t="str">
        <f>IF(OR(C1265="",I1265&lt;&gt;"ENTRADA"),"",TEXT(B1265,"AAMMDD")&amp;"-"&amp;TEXT(VALUE(SUBSTITUTE(A1265,"MOV-","")),"000"))</f>
        <v/>
      </c>
    </row>
    <row r="1266" spans="1:20">
      <c r="A1266" s="20" t="s">
        <v>1625</v>
      </c>
      <c r="H1266" s="20" t="str">
        <f>+T1266</f>
        <v/>
      </c>
      <c r="J1266" s="30"/>
      <c r="K1266" s="22" t="str">
        <f>IF(I1266="","",IF(I1266="ENTRADA",ABS(J1266),-ABS(J1266)))</f>
        <v/>
      </c>
      <c r="Q1266" s="35"/>
      <c r="R1266" s="22" t="str">
        <f>IF(H1266="","",H1266&amp;I1266)</f>
        <v/>
      </c>
      <c r="S1266" s="22" t="str">
        <f>IF(C1266="","",C1266&amp;I1266)</f>
        <v/>
      </c>
      <c r="T1266" t="str">
        <f>IF(OR(C1266="",I1266&lt;&gt;"ENTRADA"),"",TEXT(B1266,"AAMMDD")&amp;"-"&amp;TEXT(VALUE(SUBSTITUTE(A1266,"MOV-","")),"000"))</f>
        <v/>
      </c>
    </row>
    <row r="1267" spans="1:20">
      <c r="A1267" s="20" t="s">
        <v>1626</v>
      </c>
      <c r="H1267" s="20" t="str">
        <f>+T1267</f>
        <v/>
      </c>
      <c r="J1267" s="30"/>
      <c r="K1267" s="22" t="str">
        <f>IF(I1267="","",IF(I1267="ENTRADA",ABS(J1267),-ABS(J1267)))</f>
        <v/>
      </c>
      <c r="Q1267" s="35"/>
      <c r="R1267" s="22" t="str">
        <f>IF(H1267="","",H1267&amp;I1267)</f>
        <v/>
      </c>
      <c r="S1267" s="22" t="str">
        <f>IF(C1267="","",C1267&amp;I1267)</f>
        <v/>
      </c>
      <c r="T1267" t="str">
        <f>IF(OR(C1267="",I1267&lt;&gt;"ENTRADA"),"",TEXT(B1267,"AAMMDD")&amp;"-"&amp;TEXT(VALUE(SUBSTITUTE(A1267,"MOV-","")),"000"))</f>
        <v/>
      </c>
    </row>
    <row r="1268" spans="1:20">
      <c r="A1268" s="20" t="s">
        <v>1627</v>
      </c>
      <c r="H1268" s="20" t="str">
        <f>+T1268</f>
        <v/>
      </c>
      <c r="J1268" s="30"/>
      <c r="K1268" s="22" t="str">
        <f>IF(I1268="","",IF(I1268="ENTRADA",ABS(J1268),-ABS(J1268)))</f>
        <v/>
      </c>
      <c r="Q1268" s="35"/>
      <c r="R1268" s="22" t="str">
        <f>IF(H1268="","",H1268&amp;I1268)</f>
        <v/>
      </c>
      <c r="S1268" s="22" t="str">
        <f>IF(C1268="","",C1268&amp;I1268)</f>
        <v/>
      </c>
      <c r="T1268" t="str">
        <f>IF(OR(C1268="",I1268&lt;&gt;"ENTRADA"),"",TEXT(B1268,"AAMMDD")&amp;"-"&amp;TEXT(VALUE(SUBSTITUTE(A1268,"MOV-","")),"000"))</f>
        <v/>
      </c>
    </row>
    <row r="1269" spans="1:20">
      <c r="A1269" s="20" t="s">
        <v>1628</v>
      </c>
      <c r="H1269" s="20" t="str">
        <f>+T1269</f>
        <v/>
      </c>
      <c r="J1269" s="30"/>
      <c r="K1269" s="22" t="str">
        <f>IF(I1269="","",IF(I1269="ENTRADA",ABS(J1269),-ABS(J1269)))</f>
        <v/>
      </c>
      <c r="Q1269" s="35"/>
      <c r="R1269" s="22" t="str">
        <f>IF(H1269="","",H1269&amp;I1269)</f>
        <v/>
      </c>
      <c r="S1269" s="22" t="str">
        <f>IF(C1269="","",C1269&amp;I1269)</f>
        <v/>
      </c>
      <c r="T1269" t="str">
        <f>IF(OR(C1269="",I1269&lt;&gt;"ENTRADA"),"",TEXT(B1269,"AAMMDD")&amp;"-"&amp;TEXT(VALUE(SUBSTITUTE(A1269,"MOV-","")),"000"))</f>
        <v/>
      </c>
    </row>
    <row r="1270" spans="1:20">
      <c r="A1270" s="20" t="s">
        <v>1629</v>
      </c>
      <c r="H1270" s="20" t="str">
        <f>+T1270</f>
        <v/>
      </c>
      <c r="J1270" s="30"/>
      <c r="K1270" s="22" t="str">
        <f>IF(I1270="","",IF(I1270="ENTRADA",ABS(J1270),-ABS(J1270)))</f>
        <v/>
      </c>
      <c r="Q1270" s="35"/>
      <c r="R1270" s="22" t="str">
        <f>IF(H1270="","",H1270&amp;I1270)</f>
        <v/>
      </c>
      <c r="S1270" s="22" t="str">
        <f>IF(C1270="","",C1270&amp;I1270)</f>
        <v/>
      </c>
      <c r="T1270" t="str">
        <f>IF(OR(C1270="",I1270&lt;&gt;"ENTRADA"),"",TEXT(B1270,"AAMMDD")&amp;"-"&amp;TEXT(VALUE(SUBSTITUTE(A1270,"MOV-","")),"000"))</f>
        <v/>
      </c>
    </row>
    <row r="1271" spans="1:20">
      <c r="A1271" s="20" t="s">
        <v>1630</v>
      </c>
      <c r="H1271" s="20" t="str">
        <f>+T1271</f>
        <v/>
      </c>
      <c r="J1271" s="30"/>
      <c r="K1271" s="22" t="str">
        <f>IF(I1271="","",IF(I1271="ENTRADA",ABS(J1271),-ABS(J1271)))</f>
        <v/>
      </c>
      <c r="Q1271" s="35"/>
      <c r="R1271" s="22" t="str">
        <f>IF(H1271="","",H1271&amp;I1271)</f>
        <v/>
      </c>
      <c r="S1271" s="22" t="str">
        <f>IF(C1271="","",C1271&amp;I1271)</f>
        <v/>
      </c>
      <c r="T1271" t="str">
        <f>IF(OR(C1271="",I1271&lt;&gt;"ENTRADA"),"",TEXT(B1271,"AAMMDD")&amp;"-"&amp;TEXT(VALUE(SUBSTITUTE(A1271,"MOV-","")),"000"))</f>
        <v/>
      </c>
    </row>
    <row r="1272" spans="1:20">
      <c r="A1272" s="20" t="s">
        <v>1631</v>
      </c>
      <c r="H1272" s="20" t="str">
        <f>+T1272</f>
        <v/>
      </c>
      <c r="J1272" s="30"/>
      <c r="K1272" s="22" t="str">
        <f>IF(I1272="","",IF(I1272="ENTRADA",ABS(J1272),-ABS(J1272)))</f>
        <v/>
      </c>
      <c r="Q1272" s="35"/>
      <c r="R1272" s="22" t="str">
        <f>IF(H1272="","",H1272&amp;I1272)</f>
        <v/>
      </c>
      <c r="S1272" s="22" t="str">
        <f>IF(C1272="","",C1272&amp;I1272)</f>
        <v/>
      </c>
      <c r="T1272" t="str">
        <f>IF(OR(C1272="",I1272&lt;&gt;"ENTRADA"),"",TEXT(B1272,"AAMMDD")&amp;"-"&amp;TEXT(VALUE(SUBSTITUTE(A1272,"MOV-","")),"000"))</f>
        <v/>
      </c>
    </row>
    <row r="1273" spans="1:20">
      <c r="A1273" s="20" t="s">
        <v>1632</v>
      </c>
      <c r="H1273" s="20" t="str">
        <f>+T1273</f>
        <v/>
      </c>
      <c r="J1273" s="30"/>
      <c r="K1273" s="22" t="str">
        <f>IF(I1273="","",IF(I1273="ENTRADA",ABS(J1273),-ABS(J1273)))</f>
        <v/>
      </c>
      <c r="Q1273" s="35"/>
      <c r="R1273" s="22" t="str">
        <f>IF(H1273="","",H1273&amp;I1273)</f>
        <v/>
      </c>
      <c r="S1273" s="22" t="str">
        <f>IF(C1273="","",C1273&amp;I1273)</f>
        <v/>
      </c>
      <c r="T1273" t="str">
        <f>IF(OR(C1273="",I1273&lt;&gt;"ENTRADA"),"",TEXT(B1273,"AAMMDD")&amp;"-"&amp;TEXT(VALUE(SUBSTITUTE(A1273,"MOV-","")),"000"))</f>
        <v/>
      </c>
    </row>
    <row r="1274" spans="1:20">
      <c r="A1274" s="20" t="s">
        <v>1633</v>
      </c>
      <c r="H1274" s="20" t="str">
        <f>+T1274</f>
        <v/>
      </c>
      <c r="J1274" s="30"/>
      <c r="K1274" s="22" t="str">
        <f>IF(I1274="","",IF(I1274="ENTRADA",ABS(J1274),-ABS(J1274)))</f>
        <v/>
      </c>
      <c r="Q1274" s="35"/>
      <c r="R1274" s="22" t="str">
        <f>IF(H1274="","",H1274&amp;I1274)</f>
        <v/>
      </c>
      <c r="S1274" s="22" t="str">
        <f>IF(C1274="","",C1274&amp;I1274)</f>
        <v/>
      </c>
      <c r="T1274" t="str">
        <f>IF(OR(C1274="",I1274&lt;&gt;"ENTRADA"),"",TEXT(B1274,"AAMMDD")&amp;"-"&amp;TEXT(VALUE(SUBSTITUTE(A1274,"MOV-","")),"000"))</f>
        <v/>
      </c>
    </row>
    <row r="1275" spans="1:20">
      <c r="A1275" s="20" t="s">
        <v>1634</v>
      </c>
      <c r="H1275" s="20" t="str">
        <f>+T1275</f>
        <v/>
      </c>
      <c r="J1275" s="30"/>
      <c r="K1275" s="22" t="str">
        <f>IF(I1275="","",IF(I1275="ENTRADA",ABS(J1275),-ABS(J1275)))</f>
        <v/>
      </c>
      <c r="Q1275" s="35"/>
      <c r="R1275" s="22" t="str">
        <f>IF(H1275="","",H1275&amp;I1275)</f>
        <v/>
      </c>
      <c r="S1275" s="22" t="str">
        <f>IF(C1275="","",C1275&amp;I1275)</f>
        <v/>
      </c>
      <c r="T1275" t="str">
        <f>IF(OR(C1275="",I1275&lt;&gt;"ENTRADA"),"",TEXT(B1275,"AAMMDD")&amp;"-"&amp;TEXT(VALUE(SUBSTITUTE(A1275,"MOV-","")),"000"))</f>
        <v/>
      </c>
    </row>
    <row r="1276" spans="1:20">
      <c r="A1276" s="20" t="s">
        <v>1635</v>
      </c>
      <c r="H1276" s="20" t="str">
        <f>+T1276</f>
        <v/>
      </c>
      <c r="J1276" s="30"/>
      <c r="K1276" s="22" t="str">
        <f>IF(I1276="","",IF(I1276="ENTRADA",ABS(J1276),-ABS(J1276)))</f>
        <v/>
      </c>
      <c r="Q1276" s="35"/>
      <c r="R1276" s="22" t="str">
        <f>IF(H1276="","",H1276&amp;I1276)</f>
        <v/>
      </c>
      <c r="S1276" s="22" t="str">
        <f>IF(C1276="","",C1276&amp;I1276)</f>
        <v/>
      </c>
      <c r="T1276" t="str">
        <f>IF(OR(C1276="",I1276&lt;&gt;"ENTRADA"),"",TEXT(B1276,"AAMMDD")&amp;"-"&amp;TEXT(VALUE(SUBSTITUTE(A1276,"MOV-","")),"000"))</f>
        <v/>
      </c>
    </row>
    <row r="1277" spans="1:20">
      <c r="A1277" s="20" t="s">
        <v>1636</v>
      </c>
      <c r="H1277" s="20" t="str">
        <f>+T1277</f>
        <v/>
      </c>
      <c r="J1277" s="30"/>
      <c r="K1277" s="22" t="str">
        <f>IF(I1277="","",IF(I1277="ENTRADA",ABS(J1277),-ABS(J1277)))</f>
        <v/>
      </c>
      <c r="Q1277" s="35"/>
      <c r="R1277" s="22" t="str">
        <f>IF(H1277="","",H1277&amp;I1277)</f>
        <v/>
      </c>
      <c r="S1277" s="22" t="str">
        <f>IF(C1277="","",C1277&amp;I1277)</f>
        <v/>
      </c>
      <c r="T1277" t="str">
        <f>IF(OR(C1277="",I1277&lt;&gt;"ENTRADA"),"",TEXT(B1277,"AAMMDD")&amp;"-"&amp;TEXT(VALUE(SUBSTITUTE(A1277,"MOV-","")),"000"))</f>
        <v/>
      </c>
    </row>
    <row r="1278" spans="1:20">
      <c r="A1278" s="20" t="s">
        <v>1637</v>
      </c>
      <c r="H1278" s="20" t="str">
        <f>+T1278</f>
        <v/>
      </c>
      <c r="J1278" s="30"/>
      <c r="K1278" s="22" t="str">
        <f>IF(I1278="","",IF(I1278="ENTRADA",ABS(J1278),-ABS(J1278)))</f>
        <v/>
      </c>
      <c r="Q1278" s="35"/>
      <c r="R1278" s="22" t="str">
        <f>IF(H1278="","",H1278&amp;I1278)</f>
        <v/>
      </c>
      <c r="S1278" s="22" t="str">
        <f>IF(C1278="","",C1278&amp;I1278)</f>
        <v/>
      </c>
      <c r="T1278" t="str">
        <f>IF(OR(C1278="",I1278&lt;&gt;"ENTRADA"),"",TEXT(B1278,"AAMMDD")&amp;"-"&amp;TEXT(VALUE(SUBSTITUTE(A1278,"MOV-","")),"000"))</f>
        <v/>
      </c>
    </row>
    <row r="1279" spans="1:20">
      <c r="A1279" s="20" t="s">
        <v>1638</v>
      </c>
      <c r="H1279" s="20" t="str">
        <f>+T1279</f>
        <v/>
      </c>
      <c r="J1279" s="30"/>
      <c r="K1279" s="22" t="str">
        <f>IF(I1279="","",IF(I1279="ENTRADA",ABS(J1279),-ABS(J1279)))</f>
        <v/>
      </c>
      <c r="Q1279" s="35"/>
      <c r="R1279" s="22" t="str">
        <f>IF(H1279="","",H1279&amp;I1279)</f>
        <v/>
      </c>
      <c r="S1279" s="22" t="str">
        <f>IF(C1279="","",C1279&amp;I1279)</f>
        <v/>
      </c>
      <c r="T1279" t="str">
        <f>IF(OR(C1279="",I1279&lt;&gt;"ENTRADA"),"",TEXT(B1279,"AAMMDD")&amp;"-"&amp;TEXT(VALUE(SUBSTITUTE(A1279,"MOV-","")),"000"))</f>
        <v/>
      </c>
    </row>
    <row r="1280" spans="1:20">
      <c r="A1280" s="20" t="s">
        <v>1639</v>
      </c>
      <c r="H1280" s="20" t="str">
        <f>+T1280</f>
        <v/>
      </c>
      <c r="J1280" s="30"/>
      <c r="K1280" s="22" t="str">
        <f>IF(I1280="","",IF(I1280="ENTRADA",ABS(J1280),-ABS(J1280)))</f>
        <v/>
      </c>
      <c r="Q1280" s="35"/>
      <c r="R1280" s="22" t="str">
        <f>IF(H1280="","",H1280&amp;I1280)</f>
        <v/>
      </c>
      <c r="S1280" s="22" t="str">
        <f>IF(C1280="","",C1280&amp;I1280)</f>
        <v/>
      </c>
      <c r="T1280" t="str">
        <f>IF(OR(C1280="",I1280&lt;&gt;"ENTRADA"),"",TEXT(B1280,"AAMMDD")&amp;"-"&amp;TEXT(VALUE(SUBSTITUTE(A1280,"MOV-","")),"000"))</f>
        <v/>
      </c>
    </row>
    <row r="1281" spans="1:20">
      <c r="A1281" s="20" t="s">
        <v>1640</v>
      </c>
      <c r="H1281" s="20" t="str">
        <f>+T1281</f>
        <v/>
      </c>
      <c r="J1281" s="30"/>
      <c r="K1281" s="22" t="str">
        <f>IF(I1281="","",IF(I1281="ENTRADA",ABS(J1281),-ABS(J1281)))</f>
        <v/>
      </c>
      <c r="Q1281" s="35"/>
      <c r="R1281" s="22" t="str">
        <f>IF(H1281="","",H1281&amp;I1281)</f>
        <v/>
      </c>
      <c r="S1281" s="22" t="str">
        <f>IF(C1281="","",C1281&amp;I1281)</f>
        <v/>
      </c>
      <c r="T1281" t="str">
        <f>IF(OR(C1281="",I1281&lt;&gt;"ENTRADA"),"",TEXT(B1281,"AAMMDD")&amp;"-"&amp;TEXT(VALUE(SUBSTITUTE(A1281,"MOV-","")),"000"))</f>
        <v/>
      </c>
    </row>
    <row r="1282" spans="1:20">
      <c r="A1282" s="20" t="s">
        <v>1641</v>
      </c>
      <c r="H1282" s="20" t="str">
        <f>+T1282</f>
        <v/>
      </c>
      <c r="J1282" s="30"/>
      <c r="K1282" s="22" t="str">
        <f>IF(I1282="","",IF(I1282="ENTRADA",ABS(J1282),-ABS(J1282)))</f>
        <v/>
      </c>
      <c r="Q1282" s="35"/>
      <c r="R1282" s="22" t="str">
        <f>IF(H1282="","",H1282&amp;I1282)</f>
        <v/>
      </c>
      <c r="S1282" s="22" t="str">
        <f>IF(C1282="","",C1282&amp;I1282)</f>
        <v/>
      </c>
      <c r="T1282" t="str">
        <f>IF(OR(C1282="",I1282&lt;&gt;"ENTRADA"),"",TEXT(B1282,"AAMMDD")&amp;"-"&amp;TEXT(VALUE(SUBSTITUTE(A1282,"MOV-","")),"000"))</f>
        <v/>
      </c>
    </row>
    <row r="1283" spans="1:20">
      <c r="A1283" s="20" t="s">
        <v>1642</v>
      </c>
      <c r="H1283" s="20" t="str">
        <f>+T1283</f>
        <v/>
      </c>
      <c r="J1283" s="30"/>
      <c r="K1283" s="22" t="str">
        <f>IF(I1283="","",IF(I1283="ENTRADA",ABS(J1283),-ABS(J1283)))</f>
        <v/>
      </c>
      <c r="Q1283" s="35"/>
      <c r="R1283" s="22" t="str">
        <f>IF(H1283="","",H1283&amp;I1283)</f>
        <v/>
      </c>
      <c r="S1283" s="22" t="str">
        <f>IF(C1283="","",C1283&amp;I1283)</f>
        <v/>
      </c>
      <c r="T1283" t="str">
        <f>IF(OR(C1283="",I1283&lt;&gt;"ENTRADA"),"",TEXT(B1283,"AAMMDD")&amp;"-"&amp;TEXT(VALUE(SUBSTITUTE(A1283,"MOV-","")),"000"))</f>
        <v/>
      </c>
    </row>
    <row r="1284" spans="1:20">
      <c r="A1284" s="20" t="s">
        <v>1643</v>
      </c>
      <c r="H1284" s="20" t="str">
        <f>+T1284</f>
        <v/>
      </c>
      <c r="J1284" s="30"/>
      <c r="K1284" s="22" t="str">
        <f>IF(I1284="","",IF(I1284="ENTRADA",ABS(J1284),-ABS(J1284)))</f>
        <v/>
      </c>
      <c r="Q1284" s="35"/>
      <c r="R1284" s="22" t="str">
        <f>IF(H1284="","",H1284&amp;I1284)</f>
        <v/>
      </c>
      <c r="S1284" s="22" t="str">
        <f>IF(C1284="","",C1284&amp;I1284)</f>
        <v/>
      </c>
      <c r="T1284" t="str">
        <f>IF(OR(C1284="",I1284&lt;&gt;"ENTRADA"),"",TEXT(B1284,"AAMMDD")&amp;"-"&amp;TEXT(VALUE(SUBSTITUTE(A1284,"MOV-","")),"000"))</f>
        <v/>
      </c>
    </row>
    <row r="1285" spans="1:20">
      <c r="A1285" s="20" t="s">
        <v>1644</v>
      </c>
      <c r="H1285" s="20" t="str">
        <f>+T1285</f>
        <v/>
      </c>
      <c r="J1285" s="30"/>
      <c r="K1285" s="22" t="str">
        <f>IF(I1285="","",IF(I1285="ENTRADA",ABS(J1285),-ABS(J1285)))</f>
        <v/>
      </c>
      <c r="Q1285" s="35"/>
      <c r="R1285" s="22" t="str">
        <f>IF(H1285="","",H1285&amp;I1285)</f>
        <v/>
      </c>
      <c r="S1285" s="22" t="str">
        <f>IF(C1285="","",C1285&amp;I1285)</f>
        <v/>
      </c>
      <c r="T1285" t="str">
        <f>IF(OR(C1285="",I1285&lt;&gt;"ENTRADA"),"",TEXT(B1285,"AAMMDD")&amp;"-"&amp;TEXT(VALUE(SUBSTITUTE(A1285,"MOV-","")),"000"))</f>
        <v/>
      </c>
    </row>
    <row r="1286" spans="1:20">
      <c r="A1286" s="20" t="s">
        <v>1645</v>
      </c>
      <c r="H1286" s="20" t="str">
        <f>+T1286</f>
        <v/>
      </c>
      <c r="J1286" s="30"/>
      <c r="K1286" s="22" t="str">
        <f>IF(I1286="","",IF(I1286="ENTRADA",ABS(J1286),-ABS(J1286)))</f>
        <v/>
      </c>
      <c r="Q1286" s="35"/>
      <c r="R1286" s="22" t="str">
        <f>IF(H1286="","",H1286&amp;I1286)</f>
        <v/>
      </c>
      <c r="S1286" s="22" t="str">
        <f>IF(C1286="","",C1286&amp;I1286)</f>
        <v/>
      </c>
      <c r="T1286" t="str">
        <f>IF(OR(C1286="",I1286&lt;&gt;"ENTRADA"),"",TEXT(B1286,"AAMMDD")&amp;"-"&amp;TEXT(VALUE(SUBSTITUTE(A1286,"MOV-","")),"000"))</f>
        <v/>
      </c>
    </row>
    <row r="1287" spans="1:20">
      <c r="A1287" s="20" t="s">
        <v>1646</v>
      </c>
      <c r="H1287" s="20" t="str">
        <f>+T1287</f>
        <v/>
      </c>
      <c r="J1287" s="30"/>
      <c r="K1287" s="22" t="str">
        <f>IF(I1287="","",IF(I1287="ENTRADA",ABS(J1287),-ABS(J1287)))</f>
        <v/>
      </c>
      <c r="Q1287" s="35"/>
      <c r="R1287" s="22" t="str">
        <f>IF(H1287="","",H1287&amp;I1287)</f>
        <v/>
      </c>
      <c r="S1287" s="22" t="str">
        <f>IF(C1287="","",C1287&amp;I1287)</f>
        <v/>
      </c>
      <c r="T1287" t="str">
        <f>IF(OR(C1287="",I1287&lt;&gt;"ENTRADA"),"",TEXT(B1287,"AAMMDD")&amp;"-"&amp;TEXT(VALUE(SUBSTITUTE(A1287,"MOV-","")),"000"))</f>
        <v/>
      </c>
    </row>
    <row r="1288" spans="1:20">
      <c r="A1288" s="20" t="s">
        <v>1647</v>
      </c>
      <c r="H1288" s="20" t="str">
        <f>+T1288</f>
        <v/>
      </c>
      <c r="J1288" s="30"/>
      <c r="K1288" s="22" t="str">
        <f>IF(I1288="","",IF(I1288="ENTRADA",ABS(J1288),-ABS(J1288)))</f>
        <v/>
      </c>
      <c r="Q1288" s="35"/>
      <c r="R1288" s="22" t="str">
        <f>IF(H1288="","",H1288&amp;I1288)</f>
        <v/>
      </c>
      <c r="S1288" s="22" t="str">
        <f>IF(C1288="","",C1288&amp;I1288)</f>
        <v/>
      </c>
      <c r="T1288" t="str">
        <f>IF(OR(C1288="",I1288&lt;&gt;"ENTRADA"),"",TEXT(B1288,"AAMMDD")&amp;"-"&amp;TEXT(VALUE(SUBSTITUTE(A1288,"MOV-","")),"000"))</f>
        <v/>
      </c>
    </row>
    <row r="1289" spans="1:20">
      <c r="A1289" s="20" t="s">
        <v>1648</v>
      </c>
      <c r="H1289" s="20" t="str">
        <f>+T1289</f>
        <v/>
      </c>
      <c r="J1289" s="30"/>
      <c r="K1289" s="22" t="str">
        <f>IF(I1289="","",IF(I1289="ENTRADA",ABS(J1289),-ABS(J1289)))</f>
        <v/>
      </c>
      <c r="Q1289" s="35"/>
      <c r="R1289" s="22" t="str">
        <f>IF(H1289="","",H1289&amp;I1289)</f>
        <v/>
      </c>
      <c r="S1289" s="22" t="str">
        <f>IF(C1289="","",C1289&amp;I1289)</f>
        <v/>
      </c>
      <c r="T1289" t="str">
        <f>IF(OR(C1289="",I1289&lt;&gt;"ENTRADA"),"",TEXT(B1289,"AAMMDD")&amp;"-"&amp;TEXT(VALUE(SUBSTITUTE(A1289,"MOV-","")),"000"))</f>
        <v/>
      </c>
    </row>
    <row r="1290" spans="1:20">
      <c r="A1290" s="20" t="s">
        <v>1649</v>
      </c>
      <c r="H1290" s="20" t="str">
        <f>+T1290</f>
        <v/>
      </c>
      <c r="J1290" s="30"/>
      <c r="K1290" s="22" t="str">
        <f>IF(I1290="","",IF(I1290="ENTRADA",ABS(J1290),-ABS(J1290)))</f>
        <v/>
      </c>
      <c r="Q1290" s="35"/>
      <c r="R1290" s="22" t="str">
        <f>IF(H1290="","",H1290&amp;I1290)</f>
        <v/>
      </c>
      <c r="S1290" s="22" t="str">
        <f>IF(C1290="","",C1290&amp;I1290)</f>
        <v/>
      </c>
      <c r="T1290" t="str">
        <f>IF(OR(C1290="",I1290&lt;&gt;"ENTRADA"),"",TEXT(B1290,"AAMMDD")&amp;"-"&amp;TEXT(VALUE(SUBSTITUTE(A1290,"MOV-","")),"000"))</f>
        <v/>
      </c>
    </row>
    <row r="1291" spans="1:20">
      <c r="A1291" s="20" t="s">
        <v>1650</v>
      </c>
      <c r="H1291" s="20" t="str">
        <f>+T1291</f>
        <v/>
      </c>
      <c r="J1291" s="30"/>
      <c r="K1291" s="22" t="str">
        <f>IF(I1291="","",IF(I1291="ENTRADA",ABS(J1291),-ABS(J1291)))</f>
        <v/>
      </c>
      <c r="Q1291" s="35"/>
      <c r="R1291" s="22" t="str">
        <f>IF(H1291="","",H1291&amp;I1291)</f>
        <v/>
      </c>
      <c r="S1291" s="22" t="str">
        <f>IF(C1291="","",C1291&amp;I1291)</f>
        <v/>
      </c>
      <c r="T1291" t="str">
        <f>IF(OR(C1291="",I1291&lt;&gt;"ENTRADA"),"",TEXT(B1291,"AAMMDD")&amp;"-"&amp;TEXT(VALUE(SUBSTITUTE(A1291,"MOV-","")),"000"))</f>
        <v/>
      </c>
    </row>
    <row r="1292" spans="1:20">
      <c r="A1292" s="20" t="s">
        <v>1651</v>
      </c>
      <c r="H1292" s="20" t="str">
        <f>+T1292</f>
        <v/>
      </c>
      <c r="J1292" s="30"/>
      <c r="K1292" s="22" t="str">
        <f>IF(I1292="","",IF(I1292="ENTRADA",ABS(J1292),-ABS(J1292)))</f>
        <v/>
      </c>
      <c r="Q1292" s="35"/>
      <c r="R1292" s="22" t="str">
        <f>IF(H1292="","",H1292&amp;I1292)</f>
        <v/>
      </c>
      <c r="S1292" s="22" t="str">
        <f>IF(C1292="","",C1292&amp;I1292)</f>
        <v/>
      </c>
      <c r="T1292" t="str">
        <f>IF(OR(C1292="",I1292&lt;&gt;"ENTRADA"),"",TEXT(B1292,"AAMMDD")&amp;"-"&amp;TEXT(VALUE(SUBSTITUTE(A1292,"MOV-","")),"000"))</f>
        <v/>
      </c>
    </row>
    <row r="1293" spans="1:20">
      <c r="A1293" s="20" t="s">
        <v>1652</v>
      </c>
      <c r="H1293" s="20" t="str">
        <f>+T1293</f>
        <v/>
      </c>
      <c r="J1293" s="30"/>
      <c r="K1293" s="22" t="str">
        <f>IF(I1293="","",IF(I1293="ENTRADA",ABS(J1293),-ABS(J1293)))</f>
        <v/>
      </c>
      <c r="Q1293" s="35"/>
      <c r="R1293" s="22" t="str">
        <f>IF(H1293="","",H1293&amp;I1293)</f>
        <v/>
      </c>
      <c r="S1293" s="22" t="str">
        <f>IF(C1293="","",C1293&amp;I1293)</f>
        <v/>
      </c>
      <c r="T1293" t="str">
        <f>IF(OR(C1293="",I1293&lt;&gt;"ENTRADA"),"",TEXT(B1293,"AAMMDD")&amp;"-"&amp;TEXT(VALUE(SUBSTITUTE(A1293,"MOV-","")),"000"))</f>
        <v/>
      </c>
    </row>
    <row r="1294" spans="1:20">
      <c r="A1294" s="20" t="s">
        <v>1653</v>
      </c>
      <c r="H1294" s="20" t="str">
        <f>+T1294</f>
        <v/>
      </c>
      <c r="J1294" s="30"/>
      <c r="K1294" s="22" t="str">
        <f>IF(I1294="","",IF(I1294="ENTRADA",ABS(J1294),-ABS(J1294)))</f>
        <v/>
      </c>
      <c r="Q1294" s="35"/>
      <c r="R1294" s="22" t="str">
        <f>IF(H1294="","",H1294&amp;I1294)</f>
        <v/>
      </c>
      <c r="S1294" s="22" t="str">
        <f>IF(C1294="","",C1294&amp;I1294)</f>
        <v/>
      </c>
      <c r="T1294" t="str">
        <f>IF(OR(C1294="",I1294&lt;&gt;"ENTRADA"),"",TEXT(B1294,"AAMMDD")&amp;"-"&amp;TEXT(VALUE(SUBSTITUTE(A1294,"MOV-","")),"000"))</f>
        <v/>
      </c>
    </row>
    <row r="1295" spans="1:20">
      <c r="A1295" s="20" t="s">
        <v>1654</v>
      </c>
      <c r="H1295" s="20" t="str">
        <f>+T1295</f>
        <v/>
      </c>
      <c r="J1295" s="30"/>
      <c r="K1295" s="22" t="str">
        <f>IF(I1295="","",IF(I1295="ENTRADA",ABS(J1295),-ABS(J1295)))</f>
        <v/>
      </c>
      <c r="Q1295" s="35"/>
      <c r="R1295" s="22" t="str">
        <f>IF(H1295="","",H1295&amp;I1295)</f>
        <v/>
      </c>
      <c r="S1295" s="22" t="str">
        <f>IF(C1295="","",C1295&amp;I1295)</f>
        <v/>
      </c>
      <c r="T1295" t="str">
        <f>IF(OR(C1295="",I1295&lt;&gt;"ENTRADA"),"",TEXT(B1295,"AAMMDD")&amp;"-"&amp;TEXT(VALUE(SUBSTITUTE(A1295,"MOV-","")),"000"))</f>
        <v/>
      </c>
    </row>
    <row r="1296" spans="1:20">
      <c r="A1296" s="20" t="s">
        <v>1655</v>
      </c>
      <c r="H1296" s="20" t="str">
        <f>+T1296</f>
        <v/>
      </c>
      <c r="J1296" s="30"/>
      <c r="K1296" s="22" t="str">
        <f>IF(I1296="","",IF(I1296="ENTRADA",ABS(J1296),-ABS(J1296)))</f>
        <v/>
      </c>
      <c r="Q1296" s="35"/>
      <c r="R1296" s="22" t="str">
        <f>IF(H1296="","",H1296&amp;I1296)</f>
        <v/>
      </c>
      <c r="S1296" s="22" t="str">
        <f>IF(C1296="","",C1296&amp;I1296)</f>
        <v/>
      </c>
      <c r="T1296" t="str">
        <f>IF(OR(C1296="",I1296&lt;&gt;"ENTRADA"),"",TEXT(B1296,"AAMMDD")&amp;"-"&amp;TEXT(VALUE(SUBSTITUTE(A1296,"MOV-","")),"000"))</f>
        <v/>
      </c>
    </row>
    <row r="1297" spans="1:20">
      <c r="A1297" s="20" t="s">
        <v>1656</v>
      </c>
      <c r="H1297" s="20" t="str">
        <f>+T1297</f>
        <v/>
      </c>
      <c r="J1297" s="30"/>
      <c r="K1297" s="22" t="str">
        <f>IF(I1297="","",IF(I1297="ENTRADA",ABS(J1297),-ABS(J1297)))</f>
        <v/>
      </c>
      <c r="Q1297" s="35"/>
      <c r="R1297" s="22" t="str">
        <f>IF(H1297="","",H1297&amp;I1297)</f>
        <v/>
      </c>
      <c r="S1297" s="22" t="str">
        <f>IF(C1297="","",C1297&amp;I1297)</f>
        <v/>
      </c>
      <c r="T1297" t="str">
        <f>IF(OR(C1297="",I1297&lt;&gt;"ENTRADA"),"",TEXT(B1297,"AAMMDD")&amp;"-"&amp;TEXT(VALUE(SUBSTITUTE(A1297,"MOV-","")),"000"))</f>
        <v/>
      </c>
    </row>
    <row r="1298" spans="1:20">
      <c r="A1298" s="20" t="s">
        <v>1657</v>
      </c>
      <c r="H1298" s="20" t="str">
        <f>+T1298</f>
        <v/>
      </c>
      <c r="J1298" s="30"/>
      <c r="K1298" s="22" t="str">
        <f>IF(I1298="","",IF(I1298="ENTRADA",ABS(J1298),-ABS(J1298)))</f>
        <v/>
      </c>
      <c r="Q1298" s="35"/>
      <c r="R1298" s="22" t="str">
        <f>IF(H1298="","",H1298&amp;I1298)</f>
        <v/>
      </c>
      <c r="S1298" s="22" t="str">
        <f>IF(C1298="","",C1298&amp;I1298)</f>
        <v/>
      </c>
      <c r="T1298" t="str">
        <f>IF(OR(C1298="",I1298&lt;&gt;"ENTRADA"),"",TEXT(B1298,"AAMMDD")&amp;"-"&amp;TEXT(VALUE(SUBSTITUTE(A1298,"MOV-","")),"000"))</f>
        <v/>
      </c>
    </row>
    <row r="1299" spans="1:20">
      <c r="A1299" s="20" t="s">
        <v>1658</v>
      </c>
      <c r="H1299" s="20" t="str">
        <f>+T1299</f>
        <v/>
      </c>
      <c r="J1299" s="30"/>
      <c r="K1299" s="22" t="str">
        <f>IF(I1299="","",IF(I1299="ENTRADA",ABS(J1299),-ABS(J1299)))</f>
        <v/>
      </c>
      <c r="Q1299" s="35"/>
      <c r="R1299" s="22" t="str">
        <f>IF(H1299="","",H1299&amp;I1299)</f>
        <v/>
      </c>
      <c r="S1299" s="22" t="str">
        <f>IF(C1299="","",C1299&amp;I1299)</f>
        <v/>
      </c>
      <c r="T1299" t="str">
        <f>IF(OR(C1299="",I1299&lt;&gt;"ENTRADA"),"",TEXT(B1299,"AAMMDD")&amp;"-"&amp;TEXT(VALUE(SUBSTITUTE(A1299,"MOV-","")),"000"))</f>
        <v/>
      </c>
    </row>
    <row r="1300" spans="1:20">
      <c r="A1300" s="20" t="s">
        <v>1659</v>
      </c>
      <c r="H1300" s="20" t="str">
        <f>+T1300</f>
        <v/>
      </c>
      <c r="J1300" s="30"/>
      <c r="K1300" s="22" t="str">
        <f>IF(I1300="","",IF(I1300="ENTRADA",ABS(J1300),-ABS(J1300)))</f>
        <v/>
      </c>
      <c r="Q1300" s="35"/>
      <c r="R1300" s="22" t="str">
        <f>IF(H1300="","",H1300&amp;I1300)</f>
        <v/>
      </c>
      <c r="S1300" s="22" t="str">
        <f>IF(C1300="","",C1300&amp;I1300)</f>
        <v/>
      </c>
      <c r="T1300" t="str">
        <f>IF(OR(C1300="",I1300&lt;&gt;"ENTRADA"),"",TEXT(B1300,"AAMMDD")&amp;"-"&amp;TEXT(VALUE(SUBSTITUTE(A1300,"MOV-","")),"000"))</f>
        <v/>
      </c>
    </row>
    <row r="1301" spans="1:20">
      <c r="A1301" s="20" t="s">
        <v>1660</v>
      </c>
      <c r="H1301" s="20" t="str">
        <f>+T1301</f>
        <v/>
      </c>
      <c r="J1301" s="30"/>
      <c r="K1301" s="22" t="str">
        <f>IF(I1301="","",IF(I1301="ENTRADA",ABS(J1301),-ABS(J1301)))</f>
        <v/>
      </c>
      <c r="Q1301" s="35"/>
      <c r="R1301" s="22" t="str">
        <f>IF(H1301="","",H1301&amp;I1301)</f>
        <v/>
      </c>
      <c r="S1301" s="22" t="str">
        <f>IF(C1301="","",C1301&amp;I1301)</f>
        <v/>
      </c>
      <c r="T1301" t="str">
        <f>IF(OR(C1301="",I1301&lt;&gt;"ENTRADA"),"",TEXT(B1301,"AAMMDD")&amp;"-"&amp;TEXT(VALUE(SUBSTITUTE(A1301,"MOV-","")),"000"))</f>
        <v/>
      </c>
    </row>
    <row r="1302" spans="1:20">
      <c r="A1302" s="20" t="s">
        <v>1661</v>
      </c>
      <c r="H1302" s="20" t="str">
        <f>+T1302</f>
        <v/>
      </c>
      <c r="J1302" s="30"/>
      <c r="K1302" s="22" t="str">
        <f>IF(I1302="","",IF(I1302="ENTRADA",ABS(J1302),-ABS(J1302)))</f>
        <v/>
      </c>
      <c r="Q1302" s="35"/>
      <c r="R1302" s="22" t="str">
        <f>IF(H1302="","",H1302&amp;I1302)</f>
        <v/>
      </c>
      <c r="S1302" s="22" t="str">
        <f>IF(C1302="","",C1302&amp;I1302)</f>
        <v/>
      </c>
      <c r="T1302" t="str">
        <f>IF(OR(C1302="",I1302&lt;&gt;"ENTRADA"),"",TEXT(B1302,"AAMMDD")&amp;"-"&amp;TEXT(VALUE(SUBSTITUTE(A1302,"MOV-","")),"000"))</f>
        <v/>
      </c>
    </row>
    <row r="1303" spans="1:20">
      <c r="A1303" s="20" t="s">
        <v>1662</v>
      </c>
      <c r="H1303" s="20" t="str">
        <f>+T1303</f>
        <v/>
      </c>
      <c r="J1303" s="30"/>
      <c r="K1303" s="22" t="str">
        <f>IF(I1303="","",IF(I1303="ENTRADA",ABS(J1303),-ABS(J1303)))</f>
        <v/>
      </c>
      <c r="Q1303" s="35"/>
      <c r="R1303" s="22" t="str">
        <f>IF(H1303="","",H1303&amp;I1303)</f>
        <v/>
      </c>
      <c r="S1303" s="22" t="str">
        <f>IF(C1303="","",C1303&amp;I1303)</f>
        <v/>
      </c>
      <c r="T1303" t="str">
        <f>IF(OR(C1303="",I1303&lt;&gt;"ENTRADA"),"",TEXT(B1303,"AAMMDD")&amp;"-"&amp;TEXT(VALUE(SUBSTITUTE(A1303,"MOV-","")),"000"))</f>
        <v/>
      </c>
    </row>
    <row r="1304" spans="1:20">
      <c r="A1304" s="20" t="s">
        <v>1663</v>
      </c>
      <c r="H1304" s="20" t="str">
        <f>+T1304</f>
        <v/>
      </c>
      <c r="J1304" s="30"/>
      <c r="K1304" s="22" t="str">
        <f>IF(I1304="","",IF(I1304="ENTRADA",ABS(J1304),-ABS(J1304)))</f>
        <v/>
      </c>
      <c r="Q1304" s="35"/>
      <c r="R1304" s="22" t="str">
        <f>IF(H1304="","",H1304&amp;I1304)</f>
        <v/>
      </c>
      <c r="S1304" s="22" t="str">
        <f>IF(C1304="","",C1304&amp;I1304)</f>
        <v/>
      </c>
      <c r="T1304" t="str">
        <f>IF(OR(C1304="",I1304&lt;&gt;"ENTRADA"),"",TEXT(B1304,"AAMMDD")&amp;"-"&amp;TEXT(VALUE(SUBSTITUTE(A1304,"MOV-","")),"000"))</f>
        <v/>
      </c>
    </row>
    <row r="1305" spans="1:20">
      <c r="A1305" s="20" t="s">
        <v>1664</v>
      </c>
      <c r="H1305" s="20" t="str">
        <f>+T1305</f>
        <v/>
      </c>
      <c r="J1305" s="30"/>
      <c r="K1305" s="22" t="str">
        <f>IF(I1305="","",IF(I1305="ENTRADA",ABS(J1305),-ABS(J1305)))</f>
        <v/>
      </c>
      <c r="Q1305" s="35"/>
      <c r="R1305" s="22" t="str">
        <f>IF(H1305="","",H1305&amp;I1305)</f>
        <v/>
      </c>
      <c r="S1305" s="22" t="str">
        <f>IF(C1305="","",C1305&amp;I1305)</f>
        <v/>
      </c>
      <c r="T1305" t="str">
        <f>IF(OR(C1305="",I1305&lt;&gt;"ENTRADA"),"",TEXT(B1305,"AAMMDD")&amp;"-"&amp;TEXT(VALUE(SUBSTITUTE(A1305,"MOV-","")),"000"))</f>
        <v/>
      </c>
    </row>
    <row r="1306" spans="1:20">
      <c r="A1306" s="20" t="s">
        <v>1665</v>
      </c>
      <c r="H1306" s="20" t="str">
        <f>+T1306</f>
        <v/>
      </c>
      <c r="J1306" s="30"/>
      <c r="K1306" s="22" t="str">
        <f>IF(I1306="","",IF(I1306="ENTRADA",ABS(J1306),-ABS(J1306)))</f>
        <v/>
      </c>
      <c r="Q1306" s="35"/>
      <c r="R1306" s="22" t="str">
        <f>IF(H1306="","",H1306&amp;I1306)</f>
        <v/>
      </c>
      <c r="S1306" s="22" t="str">
        <f>IF(C1306="","",C1306&amp;I1306)</f>
        <v/>
      </c>
      <c r="T1306" t="str">
        <f>IF(OR(C1306="",I1306&lt;&gt;"ENTRADA"),"",TEXT(B1306,"AAMMDD")&amp;"-"&amp;TEXT(VALUE(SUBSTITUTE(A1306,"MOV-","")),"000"))</f>
        <v/>
      </c>
    </row>
    <row r="1307" spans="1:20">
      <c r="A1307" s="20" t="s">
        <v>1666</v>
      </c>
      <c r="H1307" s="20" t="str">
        <f>+T1307</f>
        <v/>
      </c>
      <c r="J1307" s="30"/>
      <c r="K1307" s="22" t="str">
        <f>IF(I1307="","",IF(I1307="ENTRADA",ABS(J1307),-ABS(J1307)))</f>
        <v/>
      </c>
      <c r="Q1307" s="35"/>
      <c r="R1307" s="22" t="str">
        <f>IF(H1307="","",H1307&amp;I1307)</f>
        <v/>
      </c>
      <c r="S1307" s="22" t="str">
        <f>IF(C1307="","",C1307&amp;I1307)</f>
        <v/>
      </c>
      <c r="T1307" t="str">
        <f>IF(OR(C1307="",I1307&lt;&gt;"ENTRADA"),"",TEXT(B1307,"AAMMDD")&amp;"-"&amp;TEXT(VALUE(SUBSTITUTE(A1307,"MOV-","")),"000"))</f>
        <v/>
      </c>
    </row>
    <row r="1308" spans="1:20">
      <c r="A1308" s="20" t="s">
        <v>1667</v>
      </c>
      <c r="H1308" s="20" t="str">
        <f>+T1308</f>
        <v/>
      </c>
      <c r="J1308" s="30"/>
      <c r="K1308" s="22" t="str">
        <f>IF(I1308="","",IF(I1308="ENTRADA",ABS(J1308),-ABS(J1308)))</f>
        <v/>
      </c>
      <c r="Q1308" s="35"/>
      <c r="R1308" s="22" t="str">
        <f>IF(H1308="","",H1308&amp;I1308)</f>
        <v/>
      </c>
      <c r="S1308" s="22" t="str">
        <f>IF(C1308="","",C1308&amp;I1308)</f>
        <v/>
      </c>
      <c r="T1308" t="str">
        <f>IF(OR(C1308="",I1308&lt;&gt;"ENTRADA"),"",TEXT(B1308,"AAMMDD")&amp;"-"&amp;TEXT(VALUE(SUBSTITUTE(A1308,"MOV-","")),"000"))</f>
        <v/>
      </c>
    </row>
    <row r="1309" spans="1:20">
      <c r="A1309" s="20" t="s">
        <v>1668</v>
      </c>
      <c r="H1309" s="20" t="str">
        <f>+T1309</f>
        <v/>
      </c>
      <c r="J1309" s="30"/>
      <c r="K1309" s="22" t="str">
        <f>IF(I1309="","",IF(I1309="ENTRADA",ABS(J1309),-ABS(J1309)))</f>
        <v/>
      </c>
      <c r="Q1309" s="35"/>
      <c r="R1309" s="22" t="str">
        <f>IF(H1309="","",H1309&amp;I1309)</f>
        <v/>
      </c>
      <c r="S1309" s="22" t="str">
        <f>IF(C1309="","",C1309&amp;I1309)</f>
        <v/>
      </c>
      <c r="T1309" t="str">
        <f>IF(OR(C1309="",I1309&lt;&gt;"ENTRADA"),"",TEXT(B1309,"AAMMDD")&amp;"-"&amp;TEXT(VALUE(SUBSTITUTE(A1309,"MOV-","")),"000"))</f>
        <v/>
      </c>
    </row>
    <row r="1310" spans="1:20">
      <c r="A1310" s="20" t="s">
        <v>1669</v>
      </c>
      <c r="H1310" s="20" t="str">
        <f>+T1310</f>
        <v/>
      </c>
      <c r="J1310" s="30"/>
      <c r="K1310" s="22" t="str">
        <f>IF(I1310="","",IF(I1310="ENTRADA",ABS(J1310),-ABS(J1310)))</f>
        <v/>
      </c>
      <c r="Q1310" s="35"/>
      <c r="R1310" s="22" t="str">
        <f>IF(H1310="","",H1310&amp;I1310)</f>
        <v/>
      </c>
      <c r="S1310" s="22" t="str">
        <f>IF(C1310="","",C1310&amp;I1310)</f>
        <v/>
      </c>
      <c r="T1310" t="str">
        <f>IF(OR(C1310="",I1310&lt;&gt;"ENTRADA"),"",TEXT(B1310,"AAMMDD")&amp;"-"&amp;TEXT(VALUE(SUBSTITUTE(A1310,"MOV-","")),"000"))</f>
        <v/>
      </c>
    </row>
    <row r="1311" spans="1:20">
      <c r="A1311" s="20" t="s">
        <v>1670</v>
      </c>
      <c r="H1311" s="20" t="str">
        <f>+T1311</f>
        <v/>
      </c>
      <c r="J1311" s="30"/>
      <c r="K1311" s="22" t="str">
        <f>IF(I1311="","",IF(I1311="ENTRADA",ABS(J1311),-ABS(J1311)))</f>
        <v/>
      </c>
      <c r="Q1311" s="35"/>
      <c r="R1311" s="22" t="str">
        <f>IF(H1311="","",H1311&amp;I1311)</f>
        <v/>
      </c>
      <c r="S1311" s="22" t="str">
        <f>IF(C1311="","",C1311&amp;I1311)</f>
        <v/>
      </c>
      <c r="T1311" t="str">
        <f>IF(OR(C1311="",I1311&lt;&gt;"ENTRADA"),"",TEXT(B1311,"AAMMDD")&amp;"-"&amp;TEXT(VALUE(SUBSTITUTE(A1311,"MOV-","")),"000"))</f>
        <v/>
      </c>
    </row>
    <row r="1312" spans="1:20">
      <c r="A1312" s="20" t="s">
        <v>1671</v>
      </c>
      <c r="H1312" s="20" t="str">
        <f>+T1312</f>
        <v/>
      </c>
      <c r="J1312" s="30"/>
      <c r="K1312" s="22" t="str">
        <f>IF(I1312="","",IF(I1312="ENTRADA",ABS(J1312),-ABS(J1312)))</f>
        <v/>
      </c>
      <c r="Q1312" s="35"/>
      <c r="R1312" s="22" t="str">
        <f>IF(H1312="","",H1312&amp;I1312)</f>
        <v/>
      </c>
      <c r="S1312" s="22" t="str">
        <f>IF(C1312="","",C1312&amp;I1312)</f>
        <v/>
      </c>
      <c r="T1312" t="str">
        <f>IF(OR(C1312="",I1312&lt;&gt;"ENTRADA"),"",TEXT(B1312,"AAMMDD")&amp;"-"&amp;TEXT(VALUE(SUBSTITUTE(A1312,"MOV-","")),"000"))</f>
        <v/>
      </c>
    </row>
    <row r="1313" spans="1:20">
      <c r="A1313" s="20" t="s">
        <v>1672</v>
      </c>
      <c r="H1313" s="20" t="str">
        <f>+T1313</f>
        <v/>
      </c>
      <c r="J1313" s="30"/>
      <c r="K1313" s="22" t="str">
        <f>IF(I1313="","",IF(I1313="ENTRADA",ABS(J1313),-ABS(J1313)))</f>
        <v/>
      </c>
      <c r="Q1313" s="35"/>
      <c r="R1313" s="22" t="str">
        <f>IF(H1313="","",H1313&amp;I1313)</f>
        <v/>
      </c>
      <c r="S1313" s="22" t="str">
        <f>IF(C1313="","",C1313&amp;I1313)</f>
        <v/>
      </c>
      <c r="T1313" t="str">
        <f>IF(OR(C1313="",I1313&lt;&gt;"ENTRADA"),"",TEXT(B1313,"AAMMDD")&amp;"-"&amp;TEXT(VALUE(SUBSTITUTE(A1313,"MOV-","")),"000"))</f>
        <v/>
      </c>
    </row>
    <row r="1314" spans="1:20">
      <c r="A1314" s="20" t="s">
        <v>1673</v>
      </c>
      <c r="H1314" s="20" t="str">
        <f>+T1314</f>
        <v/>
      </c>
      <c r="J1314" s="30"/>
      <c r="K1314" s="22" t="str">
        <f>IF(I1314="","",IF(I1314="ENTRADA",ABS(J1314),-ABS(J1314)))</f>
        <v/>
      </c>
      <c r="Q1314" s="35"/>
      <c r="R1314" s="22" t="str">
        <f>IF(H1314="","",H1314&amp;I1314)</f>
        <v/>
      </c>
      <c r="S1314" s="22" t="str">
        <f>IF(C1314="","",C1314&amp;I1314)</f>
        <v/>
      </c>
      <c r="T1314" t="str">
        <f>IF(OR(C1314="",I1314&lt;&gt;"ENTRADA"),"",TEXT(B1314,"AAMMDD")&amp;"-"&amp;TEXT(VALUE(SUBSTITUTE(A1314,"MOV-","")),"000"))</f>
        <v/>
      </c>
    </row>
    <row r="1315" spans="1:20">
      <c r="A1315" s="20" t="s">
        <v>1674</v>
      </c>
      <c r="H1315" s="20" t="str">
        <f>+T1315</f>
        <v/>
      </c>
      <c r="J1315" s="30"/>
      <c r="K1315" s="22" t="str">
        <f>IF(I1315="","",IF(I1315="ENTRADA",ABS(J1315),-ABS(J1315)))</f>
        <v/>
      </c>
      <c r="Q1315" s="35"/>
      <c r="R1315" s="22" t="str">
        <f>IF(H1315="","",H1315&amp;I1315)</f>
        <v/>
      </c>
      <c r="S1315" s="22" t="str">
        <f>IF(C1315="","",C1315&amp;I1315)</f>
        <v/>
      </c>
      <c r="T1315" t="str">
        <f>IF(OR(C1315="",I1315&lt;&gt;"ENTRADA"),"",TEXT(B1315,"AAMMDD")&amp;"-"&amp;TEXT(VALUE(SUBSTITUTE(A1315,"MOV-","")),"000"))</f>
        <v/>
      </c>
    </row>
    <row r="1316" spans="1:20">
      <c r="A1316" s="20" t="s">
        <v>1675</v>
      </c>
      <c r="H1316" s="20" t="str">
        <f>+T1316</f>
        <v/>
      </c>
      <c r="J1316" s="30"/>
      <c r="K1316" s="22" t="str">
        <f>IF(I1316="","",IF(I1316="ENTRADA",ABS(J1316),-ABS(J1316)))</f>
        <v/>
      </c>
      <c r="Q1316" s="35"/>
      <c r="R1316" s="22" t="str">
        <f>IF(H1316="","",H1316&amp;I1316)</f>
        <v/>
      </c>
      <c r="S1316" s="22" t="str">
        <f>IF(C1316="","",C1316&amp;I1316)</f>
        <v/>
      </c>
      <c r="T1316" t="str">
        <f>IF(OR(C1316="",I1316&lt;&gt;"ENTRADA"),"",TEXT(B1316,"AAMMDD")&amp;"-"&amp;TEXT(VALUE(SUBSTITUTE(A1316,"MOV-","")),"000"))</f>
        <v/>
      </c>
    </row>
    <row r="1317" spans="1:20">
      <c r="A1317" s="20" t="s">
        <v>1676</v>
      </c>
      <c r="H1317" s="20" t="str">
        <f>+T1317</f>
        <v/>
      </c>
      <c r="J1317" s="30"/>
      <c r="K1317" s="22" t="str">
        <f>IF(I1317="","",IF(I1317="ENTRADA",ABS(J1317),-ABS(J1317)))</f>
        <v/>
      </c>
      <c r="Q1317" s="35"/>
      <c r="R1317" s="22" t="str">
        <f>IF(H1317="","",H1317&amp;I1317)</f>
        <v/>
      </c>
      <c r="S1317" s="22" t="str">
        <f>IF(C1317="","",C1317&amp;I1317)</f>
        <v/>
      </c>
      <c r="T1317" t="str">
        <f>IF(OR(C1317="",I1317&lt;&gt;"ENTRADA"),"",TEXT(B1317,"AAMMDD")&amp;"-"&amp;TEXT(VALUE(SUBSTITUTE(A1317,"MOV-","")),"000"))</f>
        <v/>
      </c>
    </row>
    <row r="1318" spans="1:20">
      <c r="A1318" s="20" t="s">
        <v>1677</v>
      </c>
      <c r="H1318" s="20" t="str">
        <f>+T1318</f>
        <v/>
      </c>
      <c r="J1318" s="30"/>
      <c r="K1318" s="22" t="str">
        <f>IF(I1318="","",IF(I1318="ENTRADA",ABS(J1318),-ABS(J1318)))</f>
        <v/>
      </c>
      <c r="Q1318" s="35"/>
      <c r="R1318" s="22" t="str">
        <f>IF(H1318="","",H1318&amp;I1318)</f>
        <v/>
      </c>
      <c r="S1318" s="22" t="str">
        <f>IF(C1318="","",C1318&amp;I1318)</f>
        <v/>
      </c>
      <c r="T1318" t="str">
        <f>IF(OR(C1318="",I1318&lt;&gt;"ENTRADA"),"",TEXT(B1318,"AAMMDD")&amp;"-"&amp;TEXT(VALUE(SUBSTITUTE(A1318,"MOV-","")),"000"))</f>
        <v/>
      </c>
    </row>
    <row r="1319" spans="1:20">
      <c r="A1319" s="20" t="s">
        <v>1678</v>
      </c>
      <c r="H1319" s="20" t="str">
        <f>+T1319</f>
        <v/>
      </c>
      <c r="J1319" s="30"/>
      <c r="K1319" s="22" t="str">
        <f>IF(I1319="","",IF(I1319="ENTRADA",ABS(J1319),-ABS(J1319)))</f>
        <v/>
      </c>
      <c r="Q1319" s="35"/>
      <c r="R1319" s="22" t="str">
        <f>IF(H1319="","",H1319&amp;I1319)</f>
        <v/>
      </c>
      <c r="S1319" s="22" t="str">
        <f>IF(C1319="","",C1319&amp;I1319)</f>
        <v/>
      </c>
      <c r="T1319" t="str">
        <f>IF(OR(C1319="",I1319&lt;&gt;"ENTRADA"),"",TEXT(B1319,"AAMMDD")&amp;"-"&amp;TEXT(VALUE(SUBSTITUTE(A1319,"MOV-","")),"000"))</f>
        <v/>
      </c>
    </row>
    <row r="1320" spans="1:20">
      <c r="A1320" s="20" t="s">
        <v>1679</v>
      </c>
      <c r="H1320" s="20" t="str">
        <f>+T1320</f>
        <v/>
      </c>
      <c r="J1320" s="30"/>
      <c r="K1320" s="22" t="str">
        <f>IF(I1320="","",IF(I1320="ENTRADA",ABS(J1320),-ABS(J1320)))</f>
        <v/>
      </c>
      <c r="Q1320" s="35"/>
      <c r="R1320" s="22" t="str">
        <f>IF(H1320="","",H1320&amp;I1320)</f>
        <v/>
      </c>
      <c r="S1320" s="22" t="str">
        <f>IF(C1320="","",C1320&amp;I1320)</f>
        <v/>
      </c>
      <c r="T1320" t="str">
        <f>IF(OR(C1320="",I1320&lt;&gt;"ENTRADA"),"",TEXT(B1320,"AAMMDD")&amp;"-"&amp;TEXT(VALUE(SUBSTITUTE(A1320,"MOV-","")),"000"))</f>
        <v/>
      </c>
    </row>
    <row r="1321" spans="1:20">
      <c r="A1321" s="20" t="s">
        <v>1680</v>
      </c>
      <c r="H1321" s="20" t="str">
        <f>+T1321</f>
        <v/>
      </c>
      <c r="J1321" s="30"/>
      <c r="K1321" s="22" t="str">
        <f>IF(I1321="","",IF(I1321="ENTRADA",ABS(J1321),-ABS(J1321)))</f>
        <v/>
      </c>
      <c r="Q1321" s="35"/>
      <c r="R1321" s="22" t="str">
        <f>IF(H1321="","",H1321&amp;I1321)</f>
        <v/>
      </c>
      <c r="S1321" s="22" t="str">
        <f>IF(C1321="","",C1321&amp;I1321)</f>
        <v/>
      </c>
      <c r="T1321" t="str">
        <f>IF(OR(C1321="",I1321&lt;&gt;"ENTRADA"),"",TEXT(B1321,"AAMMDD")&amp;"-"&amp;TEXT(VALUE(SUBSTITUTE(A1321,"MOV-","")),"000"))</f>
        <v/>
      </c>
    </row>
    <row r="1322" spans="1:20">
      <c r="A1322" s="20" t="s">
        <v>1681</v>
      </c>
      <c r="H1322" s="20" t="str">
        <f>+T1322</f>
        <v/>
      </c>
      <c r="J1322" s="30"/>
      <c r="K1322" s="22" t="str">
        <f>IF(I1322="","",IF(I1322="ENTRADA",ABS(J1322),-ABS(J1322)))</f>
        <v/>
      </c>
      <c r="Q1322" s="35"/>
      <c r="R1322" s="22" t="str">
        <f>IF(H1322="","",H1322&amp;I1322)</f>
        <v/>
      </c>
      <c r="S1322" s="22" t="str">
        <f>IF(C1322="","",C1322&amp;I1322)</f>
        <v/>
      </c>
      <c r="T1322" t="str">
        <f>IF(OR(C1322="",I1322&lt;&gt;"ENTRADA"),"",TEXT(B1322,"AAMMDD")&amp;"-"&amp;TEXT(VALUE(SUBSTITUTE(A1322,"MOV-","")),"000"))</f>
        <v/>
      </c>
    </row>
    <row r="1323" spans="1:20">
      <c r="A1323" s="20" t="s">
        <v>1682</v>
      </c>
      <c r="H1323" s="20" t="str">
        <f>+T1323</f>
        <v/>
      </c>
      <c r="J1323" s="30"/>
      <c r="K1323" s="22" t="str">
        <f>IF(I1323="","",IF(I1323="ENTRADA",ABS(J1323),-ABS(J1323)))</f>
        <v/>
      </c>
      <c r="Q1323" s="35"/>
      <c r="R1323" s="22" t="str">
        <f>IF(H1323="","",H1323&amp;I1323)</f>
        <v/>
      </c>
      <c r="S1323" s="22" t="str">
        <f>IF(C1323="","",C1323&amp;I1323)</f>
        <v/>
      </c>
      <c r="T1323" t="str">
        <f>IF(OR(C1323="",I1323&lt;&gt;"ENTRADA"),"",TEXT(B1323,"AAMMDD")&amp;"-"&amp;TEXT(VALUE(SUBSTITUTE(A1323,"MOV-","")),"000"))</f>
        <v/>
      </c>
    </row>
    <row r="1324" spans="1:20">
      <c r="A1324" s="20" t="s">
        <v>1683</v>
      </c>
      <c r="H1324" s="20" t="str">
        <f>+T1324</f>
        <v/>
      </c>
      <c r="J1324" s="30"/>
      <c r="K1324" s="22" t="str">
        <f>IF(I1324="","",IF(I1324="ENTRADA",ABS(J1324),-ABS(J1324)))</f>
        <v/>
      </c>
      <c r="Q1324" s="35"/>
      <c r="R1324" s="22" t="str">
        <f>IF(H1324="","",H1324&amp;I1324)</f>
        <v/>
      </c>
      <c r="S1324" s="22" t="str">
        <f>IF(C1324="","",C1324&amp;I1324)</f>
        <v/>
      </c>
      <c r="T1324" t="str">
        <f>IF(OR(C1324="",I1324&lt;&gt;"ENTRADA"),"",TEXT(B1324,"AAMMDD")&amp;"-"&amp;TEXT(VALUE(SUBSTITUTE(A1324,"MOV-","")),"000"))</f>
        <v/>
      </c>
    </row>
    <row r="1325" spans="1:20">
      <c r="A1325" s="20" t="s">
        <v>1684</v>
      </c>
      <c r="H1325" s="20" t="str">
        <f>+T1325</f>
        <v/>
      </c>
      <c r="J1325" s="30"/>
      <c r="K1325" s="22" t="str">
        <f>IF(I1325="","",IF(I1325="ENTRADA",ABS(J1325),-ABS(J1325)))</f>
        <v/>
      </c>
      <c r="Q1325" s="35"/>
      <c r="R1325" s="22" t="str">
        <f>IF(H1325="","",H1325&amp;I1325)</f>
        <v/>
      </c>
      <c r="S1325" s="22" t="str">
        <f>IF(C1325="","",C1325&amp;I1325)</f>
        <v/>
      </c>
      <c r="T1325" t="str">
        <f>IF(OR(C1325="",I1325&lt;&gt;"ENTRADA"),"",TEXT(B1325,"AAMMDD")&amp;"-"&amp;TEXT(VALUE(SUBSTITUTE(A1325,"MOV-","")),"000"))</f>
        <v/>
      </c>
    </row>
    <row r="1326" spans="1:20">
      <c r="A1326" s="20" t="s">
        <v>1685</v>
      </c>
      <c r="H1326" s="20" t="str">
        <f>+T1326</f>
        <v/>
      </c>
      <c r="J1326" s="30"/>
      <c r="K1326" s="22" t="str">
        <f>IF(I1326="","",IF(I1326="ENTRADA",ABS(J1326),-ABS(J1326)))</f>
        <v/>
      </c>
      <c r="Q1326" s="35"/>
      <c r="R1326" s="22" t="str">
        <f>IF(H1326="","",H1326&amp;I1326)</f>
        <v/>
      </c>
      <c r="S1326" s="22" t="str">
        <f>IF(C1326="","",C1326&amp;I1326)</f>
        <v/>
      </c>
      <c r="T1326" t="str">
        <f>IF(OR(C1326="",I1326&lt;&gt;"ENTRADA"),"",TEXT(B1326,"AAMMDD")&amp;"-"&amp;TEXT(VALUE(SUBSTITUTE(A1326,"MOV-","")),"000"))</f>
        <v/>
      </c>
    </row>
    <row r="1327" spans="1:20">
      <c r="A1327" s="20" t="s">
        <v>1686</v>
      </c>
      <c r="H1327" s="20" t="str">
        <f>+T1327</f>
        <v/>
      </c>
      <c r="J1327" s="30"/>
      <c r="K1327" s="22" t="str">
        <f>IF(I1327="","",IF(I1327="ENTRADA",ABS(J1327),-ABS(J1327)))</f>
        <v/>
      </c>
      <c r="Q1327" s="35"/>
      <c r="R1327" s="22" t="str">
        <f>IF(H1327="","",H1327&amp;I1327)</f>
        <v/>
      </c>
      <c r="S1327" s="22" t="str">
        <f>IF(C1327="","",C1327&amp;I1327)</f>
        <v/>
      </c>
      <c r="T1327" t="str">
        <f>IF(OR(C1327="",I1327&lt;&gt;"ENTRADA"),"",TEXT(B1327,"AAMMDD")&amp;"-"&amp;TEXT(VALUE(SUBSTITUTE(A1327,"MOV-","")),"000"))</f>
        <v/>
      </c>
    </row>
    <row r="1328" spans="1:20">
      <c r="A1328" s="20" t="s">
        <v>1687</v>
      </c>
      <c r="H1328" s="20" t="str">
        <f>+T1328</f>
        <v/>
      </c>
      <c r="J1328" s="30"/>
      <c r="K1328" s="22" t="str">
        <f>IF(I1328="","",IF(I1328="ENTRADA",ABS(J1328),-ABS(J1328)))</f>
        <v/>
      </c>
      <c r="Q1328" s="35"/>
      <c r="R1328" s="22" t="str">
        <f>IF(H1328="","",H1328&amp;I1328)</f>
        <v/>
      </c>
      <c r="S1328" s="22" t="str">
        <f>IF(C1328="","",C1328&amp;I1328)</f>
        <v/>
      </c>
      <c r="T1328" t="str">
        <f>IF(OR(C1328="",I1328&lt;&gt;"ENTRADA"),"",TEXT(B1328,"AAMMDD")&amp;"-"&amp;TEXT(VALUE(SUBSTITUTE(A1328,"MOV-","")),"000"))</f>
        <v/>
      </c>
    </row>
    <row r="1329" spans="1:20">
      <c r="A1329" s="20" t="s">
        <v>1688</v>
      </c>
      <c r="H1329" s="20" t="str">
        <f>+T1329</f>
        <v/>
      </c>
      <c r="J1329" s="30"/>
      <c r="K1329" s="22" t="str">
        <f>IF(I1329="","",IF(I1329="ENTRADA",ABS(J1329),-ABS(J1329)))</f>
        <v/>
      </c>
      <c r="Q1329" s="35"/>
      <c r="R1329" s="22" t="str">
        <f>IF(H1329="","",H1329&amp;I1329)</f>
        <v/>
      </c>
      <c r="S1329" s="22" t="str">
        <f>IF(C1329="","",C1329&amp;I1329)</f>
        <v/>
      </c>
      <c r="T1329" t="str">
        <f>IF(OR(C1329="",I1329&lt;&gt;"ENTRADA"),"",TEXT(B1329,"AAMMDD")&amp;"-"&amp;TEXT(VALUE(SUBSTITUTE(A1329,"MOV-","")),"000"))</f>
        <v/>
      </c>
    </row>
    <row r="1330" spans="1:20">
      <c r="A1330" s="20" t="s">
        <v>1689</v>
      </c>
      <c r="H1330" s="20" t="str">
        <f>+T1330</f>
        <v/>
      </c>
      <c r="J1330" s="30"/>
      <c r="K1330" s="22" t="str">
        <f>IF(I1330="","",IF(I1330="ENTRADA",ABS(J1330),-ABS(J1330)))</f>
        <v/>
      </c>
      <c r="Q1330" s="35"/>
      <c r="R1330" s="22" t="str">
        <f>IF(H1330="","",H1330&amp;I1330)</f>
        <v/>
      </c>
      <c r="S1330" s="22" t="str">
        <f>IF(C1330="","",C1330&amp;I1330)</f>
        <v/>
      </c>
      <c r="T1330" t="str">
        <f>IF(OR(C1330="",I1330&lt;&gt;"ENTRADA"),"",TEXT(B1330,"AAMMDD")&amp;"-"&amp;TEXT(VALUE(SUBSTITUTE(A1330,"MOV-","")),"000"))</f>
        <v/>
      </c>
    </row>
    <row r="1331" spans="1:20">
      <c r="A1331" s="20" t="s">
        <v>1690</v>
      </c>
      <c r="H1331" s="20" t="str">
        <f>+T1331</f>
        <v/>
      </c>
      <c r="J1331" s="30"/>
      <c r="K1331" s="22" t="str">
        <f>IF(I1331="","",IF(I1331="ENTRADA",ABS(J1331),-ABS(J1331)))</f>
        <v/>
      </c>
      <c r="Q1331" s="35"/>
      <c r="R1331" s="22" t="str">
        <f>IF(H1331="","",H1331&amp;I1331)</f>
        <v/>
      </c>
      <c r="S1331" s="22" t="str">
        <f>IF(C1331="","",C1331&amp;I1331)</f>
        <v/>
      </c>
      <c r="T1331" t="str">
        <f>IF(OR(C1331="",I1331&lt;&gt;"ENTRADA"),"",TEXT(B1331,"AAMMDD")&amp;"-"&amp;TEXT(VALUE(SUBSTITUTE(A1331,"MOV-","")),"000"))</f>
        <v/>
      </c>
    </row>
    <row r="1332" spans="1:20">
      <c r="A1332" s="20" t="s">
        <v>1691</v>
      </c>
      <c r="H1332" s="20" t="str">
        <f>+T1332</f>
        <v/>
      </c>
      <c r="J1332" s="30"/>
      <c r="K1332" s="22" t="str">
        <f>IF(I1332="","",IF(I1332="ENTRADA",ABS(J1332),-ABS(J1332)))</f>
        <v/>
      </c>
      <c r="Q1332" s="35"/>
      <c r="R1332" s="22" t="str">
        <f>IF(H1332="","",H1332&amp;I1332)</f>
        <v/>
      </c>
      <c r="S1332" s="22" t="str">
        <f>IF(C1332="","",C1332&amp;I1332)</f>
        <v/>
      </c>
      <c r="T1332" t="str">
        <f>IF(OR(C1332="",I1332&lt;&gt;"ENTRADA"),"",TEXT(B1332,"AAMMDD")&amp;"-"&amp;TEXT(VALUE(SUBSTITUTE(A1332,"MOV-","")),"000"))</f>
        <v/>
      </c>
    </row>
    <row r="1333" spans="1:20">
      <c r="A1333" s="20" t="s">
        <v>1692</v>
      </c>
      <c r="H1333" s="20" t="str">
        <f>+T1333</f>
        <v/>
      </c>
      <c r="J1333" s="30"/>
      <c r="K1333" s="22" t="str">
        <f>IF(I1333="","",IF(I1333="ENTRADA",ABS(J1333),-ABS(J1333)))</f>
        <v/>
      </c>
      <c r="Q1333" s="35"/>
      <c r="R1333" s="22" t="str">
        <f>IF(H1333="","",H1333&amp;I1333)</f>
        <v/>
      </c>
      <c r="S1333" s="22" t="str">
        <f>IF(C1333="","",C1333&amp;I1333)</f>
        <v/>
      </c>
      <c r="T1333" t="str">
        <f>IF(OR(C1333="",I1333&lt;&gt;"ENTRADA"),"",TEXT(B1333,"AAMMDD")&amp;"-"&amp;TEXT(VALUE(SUBSTITUTE(A1333,"MOV-","")),"000"))</f>
        <v/>
      </c>
    </row>
    <row r="1334" spans="1:20">
      <c r="A1334" s="20" t="s">
        <v>1693</v>
      </c>
      <c r="H1334" s="20" t="str">
        <f>+T1334</f>
        <v/>
      </c>
      <c r="J1334" s="30"/>
      <c r="K1334" s="22" t="str">
        <f>IF(I1334="","",IF(I1334="ENTRADA",ABS(J1334),-ABS(J1334)))</f>
        <v/>
      </c>
      <c r="Q1334" s="35"/>
      <c r="R1334" s="22" t="str">
        <f>IF(H1334="","",H1334&amp;I1334)</f>
        <v/>
      </c>
      <c r="S1334" s="22" t="str">
        <f>IF(C1334="","",C1334&amp;I1334)</f>
        <v/>
      </c>
      <c r="T1334" t="str">
        <f>IF(OR(C1334="",I1334&lt;&gt;"ENTRADA"),"",TEXT(B1334,"AAMMDD")&amp;"-"&amp;TEXT(VALUE(SUBSTITUTE(A1334,"MOV-","")),"000"))</f>
        <v/>
      </c>
    </row>
    <row r="1335" spans="1:20">
      <c r="A1335" s="20" t="s">
        <v>1694</v>
      </c>
      <c r="H1335" s="20" t="str">
        <f>+T1335</f>
        <v/>
      </c>
      <c r="J1335" s="30"/>
      <c r="K1335" s="22" t="str">
        <f>IF(I1335="","",IF(I1335="ENTRADA",ABS(J1335),-ABS(J1335)))</f>
        <v/>
      </c>
      <c r="Q1335" s="35"/>
      <c r="R1335" s="22" t="str">
        <f>IF(H1335="","",H1335&amp;I1335)</f>
        <v/>
      </c>
      <c r="S1335" s="22" t="str">
        <f>IF(C1335="","",C1335&amp;I1335)</f>
        <v/>
      </c>
      <c r="T1335" t="str">
        <f>IF(OR(C1335="",I1335&lt;&gt;"ENTRADA"),"",TEXT(B1335,"AAMMDD")&amp;"-"&amp;TEXT(VALUE(SUBSTITUTE(A1335,"MOV-","")),"000"))</f>
        <v/>
      </c>
    </row>
    <row r="1336" spans="1:20">
      <c r="A1336" s="20" t="s">
        <v>1695</v>
      </c>
      <c r="H1336" s="20" t="str">
        <f>+T1336</f>
        <v/>
      </c>
      <c r="J1336" s="30"/>
      <c r="K1336" s="22" t="str">
        <f>IF(I1336="","",IF(I1336="ENTRADA",ABS(J1336),-ABS(J1336)))</f>
        <v/>
      </c>
      <c r="Q1336" s="35"/>
      <c r="R1336" s="22" t="str">
        <f>IF(H1336="","",H1336&amp;I1336)</f>
        <v/>
      </c>
      <c r="S1336" s="22" t="str">
        <f>IF(C1336="","",C1336&amp;I1336)</f>
        <v/>
      </c>
      <c r="T1336" t="str">
        <f>IF(OR(C1336="",I1336&lt;&gt;"ENTRADA"),"",TEXT(B1336,"AAMMDD")&amp;"-"&amp;TEXT(VALUE(SUBSTITUTE(A1336,"MOV-","")),"000"))</f>
        <v/>
      </c>
    </row>
    <row r="1337" spans="1:20">
      <c r="A1337" s="20" t="s">
        <v>1696</v>
      </c>
      <c r="H1337" s="20" t="str">
        <f>+T1337</f>
        <v/>
      </c>
      <c r="J1337" s="30"/>
      <c r="K1337" s="22" t="str">
        <f>IF(I1337="","",IF(I1337="ENTRADA",ABS(J1337),-ABS(J1337)))</f>
        <v/>
      </c>
      <c r="Q1337" s="35"/>
      <c r="R1337" s="22" t="str">
        <f>IF(H1337="","",H1337&amp;I1337)</f>
        <v/>
      </c>
      <c r="S1337" s="22" t="str">
        <f>IF(C1337="","",C1337&amp;I1337)</f>
        <v/>
      </c>
      <c r="T1337" t="str">
        <f>IF(OR(C1337="",I1337&lt;&gt;"ENTRADA"),"",TEXT(B1337,"AAMMDD")&amp;"-"&amp;TEXT(VALUE(SUBSTITUTE(A1337,"MOV-","")),"000"))</f>
        <v/>
      </c>
    </row>
    <row r="1338" spans="1:20">
      <c r="A1338" s="20" t="s">
        <v>1697</v>
      </c>
      <c r="H1338" s="20" t="str">
        <f>+T1338</f>
        <v/>
      </c>
      <c r="J1338" s="30"/>
      <c r="K1338" s="22" t="str">
        <f>IF(I1338="","",IF(I1338="ENTRADA",ABS(J1338),-ABS(J1338)))</f>
        <v/>
      </c>
      <c r="Q1338" s="35"/>
      <c r="R1338" s="22" t="str">
        <f>IF(H1338="","",H1338&amp;I1338)</f>
        <v/>
      </c>
      <c r="S1338" s="22" t="str">
        <f>IF(C1338="","",C1338&amp;I1338)</f>
        <v/>
      </c>
      <c r="T1338" t="str">
        <f>IF(OR(C1338="",I1338&lt;&gt;"ENTRADA"),"",TEXT(B1338,"AAMMDD")&amp;"-"&amp;TEXT(VALUE(SUBSTITUTE(A1338,"MOV-","")),"000"))</f>
        <v/>
      </c>
    </row>
    <row r="1339" spans="1:20">
      <c r="A1339" s="20" t="s">
        <v>1698</v>
      </c>
      <c r="H1339" s="20" t="str">
        <f>+T1339</f>
        <v/>
      </c>
      <c r="J1339" s="30"/>
      <c r="K1339" s="22" t="str">
        <f>IF(I1339="","",IF(I1339="ENTRADA",ABS(J1339),-ABS(J1339)))</f>
        <v/>
      </c>
      <c r="Q1339" s="35"/>
      <c r="R1339" s="22" t="str">
        <f>IF(H1339="","",H1339&amp;I1339)</f>
        <v/>
      </c>
      <c r="S1339" s="22" t="str">
        <f>IF(C1339="","",C1339&amp;I1339)</f>
        <v/>
      </c>
      <c r="T1339" t="str">
        <f>IF(OR(C1339="",I1339&lt;&gt;"ENTRADA"),"",TEXT(B1339,"AAMMDD")&amp;"-"&amp;TEXT(VALUE(SUBSTITUTE(A1339,"MOV-","")),"000"))</f>
        <v/>
      </c>
    </row>
    <row r="1340" spans="1:20">
      <c r="A1340" s="20" t="s">
        <v>1699</v>
      </c>
      <c r="H1340" s="20" t="str">
        <f>+T1340</f>
        <v/>
      </c>
      <c r="J1340" s="30"/>
      <c r="K1340" s="22" t="str">
        <f>IF(I1340="","",IF(I1340="ENTRADA",ABS(J1340),-ABS(J1340)))</f>
        <v/>
      </c>
      <c r="Q1340" s="35"/>
      <c r="R1340" s="22" t="str">
        <f>IF(H1340="","",H1340&amp;I1340)</f>
        <v/>
      </c>
      <c r="S1340" s="22" t="str">
        <f>IF(C1340="","",C1340&amp;I1340)</f>
        <v/>
      </c>
      <c r="T1340" t="str">
        <f>IF(OR(C1340="",I1340&lt;&gt;"ENTRADA"),"",TEXT(B1340,"AAMMDD")&amp;"-"&amp;TEXT(VALUE(SUBSTITUTE(A1340,"MOV-","")),"000"))</f>
        <v/>
      </c>
    </row>
    <row r="1341" spans="1:20">
      <c r="A1341" s="20" t="s">
        <v>1700</v>
      </c>
      <c r="H1341" s="20" t="str">
        <f>+T1341</f>
        <v/>
      </c>
      <c r="J1341" s="30"/>
      <c r="K1341" s="22" t="str">
        <f>IF(I1341="","",IF(I1341="ENTRADA",ABS(J1341),-ABS(J1341)))</f>
        <v/>
      </c>
      <c r="Q1341" s="35"/>
      <c r="R1341" s="22" t="str">
        <f>IF(H1341="","",H1341&amp;I1341)</f>
        <v/>
      </c>
      <c r="S1341" s="22" t="str">
        <f>IF(C1341="","",C1341&amp;I1341)</f>
        <v/>
      </c>
      <c r="T1341" t="str">
        <f>IF(OR(C1341="",I1341&lt;&gt;"ENTRADA"),"",TEXT(B1341,"AAMMDD")&amp;"-"&amp;TEXT(VALUE(SUBSTITUTE(A1341,"MOV-","")),"000"))</f>
        <v/>
      </c>
    </row>
    <row r="1342" spans="1:20">
      <c r="A1342" s="20" t="s">
        <v>1701</v>
      </c>
      <c r="H1342" s="20" t="str">
        <f>+T1342</f>
        <v/>
      </c>
      <c r="J1342" s="30"/>
      <c r="K1342" s="22" t="str">
        <f>IF(I1342="","",IF(I1342="ENTRADA",ABS(J1342),-ABS(J1342)))</f>
        <v/>
      </c>
      <c r="Q1342" s="35"/>
      <c r="R1342" s="22" t="str">
        <f>IF(H1342="","",H1342&amp;I1342)</f>
        <v/>
      </c>
      <c r="S1342" s="22" t="str">
        <f>IF(C1342="","",C1342&amp;I1342)</f>
        <v/>
      </c>
      <c r="T1342" t="str">
        <f>IF(OR(C1342="",I1342&lt;&gt;"ENTRADA"),"",TEXT(B1342,"AAMMDD")&amp;"-"&amp;TEXT(VALUE(SUBSTITUTE(A1342,"MOV-","")),"000"))</f>
        <v/>
      </c>
    </row>
    <row r="1343" spans="1:20">
      <c r="A1343" s="20" t="s">
        <v>1702</v>
      </c>
      <c r="H1343" s="20" t="str">
        <f>+T1343</f>
        <v/>
      </c>
      <c r="J1343" s="30"/>
      <c r="K1343" s="22" t="str">
        <f>IF(I1343="","",IF(I1343="ENTRADA",ABS(J1343),-ABS(J1343)))</f>
        <v/>
      </c>
      <c r="Q1343" s="35"/>
      <c r="R1343" s="22" t="str">
        <f>IF(H1343="","",H1343&amp;I1343)</f>
        <v/>
      </c>
      <c r="S1343" s="22" t="str">
        <f>IF(C1343="","",C1343&amp;I1343)</f>
        <v/>
      </c>
      <c r="T1343" t="str">
        <f>IF(OR(C1343="",I1343&lt;&gt;"ENTRADA"),"",TEXT(B1343,"AAMMDD")&amp;"-"&amp;TEXT(VALUE(SUBSTITUTE(A1343,"MOV-","")),"000"))</f>
        <v/>
      </c>
    </row>
    <row r="1344" spans="1:20">
      <c r="A1344" s="20" t="s">
        <v>1703</v>
      </c>
      <c r="H1344" s="20" t="str">
        <f>+T1344</f>
        <v/>
      </c>
      <c r="J1344" s="30"/>
      <c r="K1344" s="22" t="str">
        <f>IF(I1344="","",IF(I1344="ENTRADA",ABS(J1344),-ABS(J1344)))</f>
        <v/>
      </c>
      <c r="Q1344" s="35"/>
      <c r="R1344" s="22" t="str">
        <f>IF(H1344="","",H1344&amp;I1344)</f>
        <v/>
      </c>
      <c r="S1344" s="22" t="str">
        <f>IF(C1344="","",C1344&amp;I1344)</f>
        <v/>
      </c>
      <c r="T1344" t="str">
        <f>IF(OR(C1344="",I1344&lt;&gt;"ENTRADA"),"",TEXT(B1344,"AAMMDD")&amp;"-"&amp;TEXT(VALUE(SUBSTITUTE(A1344,"MOV-","")),"000"))</f>
        <v/>
      </c>
    </row>
    <row r="1345" spans="1:20">
      <c r="A1345" s="20" t="s">
        <v>1704</v>
      </c>
      <c r="H1345" s="20" t="str">
        <f>+T1345</f>
        <v/>
      </c>
      <c r="J1345" s="30"/>
      <c r="K1345" s="22" t="str">
        <f>IF(I1345="","",IF(I1345="ENTRADA",ABS(J1345),-ABS(J1345)))</f>
        <v/>
      </c>
      <c r="Q1345" s="35"/>
      <c r="R1345" s="22" t="str">
        <f>IF(H1345="","",H1345&amp;I1345)</f>
        <v/>
      </c>
      <c r="S1345" s="22" t="str">
        <f>IF(C1345="","",C1345&amp;I1345)</f>
        <v/>
      </c>
      <c r="T1345" t="str">
        <f>IF(OR(C1345="",I1345&lt;&gt;"ENTRADA"),"",TEXT(B1345,"AAMMDD")&amp;"-"&amp;TEXT(VALUE(SUBSTITUTE(A1345,"MOV-","")),"000"))</f>
        <v/>
      </c>
    </row>
    <row r="1346" spans="1:20">
      <c r="A1346" s="20" t="s">
        <v>1705</v>
      </c>
      <c r="H1346" s="20" t="str">
        <f>+T1346</f>
        <v/>
      </c>
      <c r="J1346" s="30"/>
      <c r="K1346" s="22" t="str">
        <f>IF(I1346="","",IF(I1346="ENTRADA",ABS(J1346),-ABS(J1346)))</f>
        <v/>
      </c>
      <c r="Q1346" s="35"/>
      <c r="R1346" s="22" t="str">
        <f>IF(H1346="","",H1346&amp;I1346)</f>
        <v/>
      </c>
      <c r="S1346" s="22" t="str">
        <f>IF(C1346="","",C1346&amp;I1346)</f>
        <v/>
      </c>
      <c r="T1346" t="str">
        <f>IF(OR(C1346="",I1346&lt;&gt;"ENTRADA"),"",TEXT(B1346,"AAMMDD")&amp;"-"&amp;TEXT(VALUE(SUBSTITUTE(A1346,"MOV-","")),"000"))</f>
        <v/>
      </c>
    </row>
    <row r="1347" spans="1:20">
      <c r="A1347" s="20" t="s">
        <v>1706</v>
      </c>
      <c r="H1347" s="20" t="str">
        <f>+T1347</f>
        <v/>
      </c>
      <c r="J1347" s="30"/>
      <c r="K1347" s="22" t="str">
        <f>IF(I1347="","",IF(I1347="ENTRADA",ABS(J1347),-ABS(J1347)))</f>
        <v/>
      </c>
      <c r="Q1347" s="35"/>
      <c r="R1347" s="22" t="str">
        <f>IF(H1347="","",H1347&amp;I1347)</f>
        <v/>
      </c>
      <c r="S1347" s="22" t="str">
        <f>IF(C1347="","",C1347&amp;I1347)</f>
        <v/>
      </c>
      <c r="T1347" t="str">
        <f>IF(OR(C1347="",I1347&lt;&gt;"ENTRADA"),"",TEXT(B1347,"AAMMDD")&amp;"-"&amp;TEXT(VALUE(SUBSTITUTE(A1347,"MOV-","")),"000"))</f>
        <v/>
      </c>
    </row>
    <row r="1348" spans="1:20">
      <c r="A1348" s="20" t="s">
        <v>1707</v>
      </c>
      <c r="H1348" s="20" t="str">
        <f>+T1348</f>
        <v/>
      </c>
      <c r="J1348" s="30"/>
      <c r="K1348" s="22" t="str">
        <f>IF(I1348="","",IF(I1348="ENTRADA",ABS(J1348),-ABS(J1348)))</f>
        <v/>
      </c>
      <c r="Q1348" s="35"/>
      <c r="R1348" s="22" t="str">
        <f>IF(H1348="","",H1348&amp;I1348)</f>
        <v/>
      </c>
      <c r="S1348" s="22" t="str">
        <f>IF(C1348="","",C1348&amp;I1348)</f>
        <v/>
      </c>
      <c r="T1348" t="str">
        <f>IF(OR(C1348="",I1348&lt;&gt;"ENTRADA"),"",TEXT(B1348,"AAMMDD")&amp;"-"&amp;TEXT(VALUE(SUBSTITUTE(A1348,"MOV-","")),"000"))</f>
        <v/>
      </c>
    </row>
    <row r="1349" spans="1:20">
      <c r="A1349" s="20" t="s">
        <v>1708</v>
      </c>
      <c r="H1349" s="20" t="str">
        <f>+T1349</f>
        <v/>
      </c>
      <c r="J1349" s="30"/>
      <c r="K1349" s="22" t="str">
        <f>IF(I1349="","",IF(I1349="ENTRADA",ABS(J1349),-ABS(J1349)))</f>
        <v/>
      </c>
      <c r="Q1349" s="35"/>
      <c r="R1349" s="22" t="str">
        <f>IF(H1349="","",H1349&amp;I1349)</f>
        <v/>
      </c>
      <c r="S1349" s="22" t="str">
        <f>IF(C1349="","",C1349&amp;I1349)</f>
        <v/>
      </c>
      <c r="T1349" t="str">
        <f>IF(OR(C1349="",I1349&lt;&gt;"ENTRADA"),"",TEXT(B1349,"AAMMDD")&amp;"-"&amp;TEXT(VALUE(SUBSTITUTE(A1349,"MOV-","")),"000"))</f>
        <v/>
      </c>
    </row>
    <row r="1350" spans="1:20">
      <c r="A1350" s="20" t="s">
        <v>1709</v>
      </c>
      <c r="H1350" s="20" t="str">
        <f>+T1350</f>
        <v/>
      </c>
      <c r="J1350" s="30"/>
      <c r="K1350" s="22" t="str">
        <f>IF(I1350="","",IF(I1350="ENTRADA",ABS(J1350),-ABS(J1350)))</f>
        <v/>
      </c>
      <c r="Q1350" s="35"/>
      <c r="R1350" s="22" t="str">
        <f>IF(H1350="","",H1350&amp;I1350)</f>
        <v/>
      </c>
      <c r="S1350" s="22" t="str">
        <f>IF(C1350="","",C1350&amp;I1350)</f>
        <v/>
      </c>
      <c r="T1350" t="str">
        <f>IF(OR(C1350="",I1350&lt;&gt;"ENTRADA"),"",TEXT(B1350,"AAMMDD")&amp;"-"&amp;TEXT(VALUE(SUBSTITUTE(A1350,"MOV-","")),"000"))</f>
        <v/>
      </c>
    </row>
    <row r="1351" spans="1:20">
      <c r="A1351" s="20" t="s">
        <v>1710</v>
      </c>
      <c r="H1351" s="20" t="str">
        <f>+T1351</f>
        <v/>
      </c>
      <c r="J1351" s="30"/>
      <c r="K1351" s="22" t="str">
        <f>IF(I1351="","",IF(I1351="ENTRADA",ABS(J1351),-ABS(J1351)))</f>
        <v/>
      </c>
      <c r="Q1351" s="35"/>
      <c r="R1351" s="22" t="str">
        <f>IF(H1351="","",H1351&amp;I1351)</f>
        <v/>
      </c>
      <c r="S1351" s="22" t="str">
        <f>IF(C1351="","",C1351&amp;I1351)</f>
        <v/>
      </c>
      <c r="T1351" t="str">
        <f>IF(OR(C1351="",I1351&lt;&gt;"ENTRADA"),"",TEXT(B1351,"AAMMDD")&amp;"-"&amp;TEXT(VALUE(SUBSTITUTE(A1351,"MOV-","")),"000"))</f>
        <v/>
      </c>
    </row>
    <row r="1352" spans="1:20">
      <c r="A1352" s="20" t="s">
        <v>1711</v>
      </c>
      <c r="H1352" s="20" t="str">
        <f>+T1352</f>
        <v/>
      </c>
      <c r="J1352" s="30"/>
      <c r="K1352" s="22" t="str">
        <f>IF(I1352="","",IF(I1352="ENTRADA",ABS(J1352),-ABS(J1352)))</f>
        <v/>
      </c>
      <c r="Q1352" s="35"/>
      <c r="R1352" s="22" t="str">
        <f>IF(H1352="","",H1352&amp;I1352)</f>
        <v/>
      </c>
      <c r="S1352" s="22" t="str">
        <f>IF(C1352="","",C1352&amp;I1352)</f>
        <v/>
      </c>
      <c r="T1352" t="str">
        <f>IF(OR(C1352="",I1352&lt;&gt;"ENTRADA"),"",TEXT(B1352,"AAMMDD")&amp;"-"&amp;TEXT(VALUE(SUBSTITUTE(A1352,"MOV-","")),"000"))</f>
        <v/>
      </c>
    </row>
    <row r="1353" spans="1:20">
      <c r="A1353" s="20" t="s">
        <v>1712</v>
      </c>
      <c r="H1353" s="20" t="str">
        <f>+T1353</f>
        <v/>
      </c>
      <c r="J1353" s="30"/>
      <c r="K1353" s="22" t="str">
        <f>IF(I1353="","",IF(I1353="ENTRADA",ABS(J1353),-ABS(J1353)))</f>
        <v/>
      </c>
      <c r="Q1353" s="35"/>
      <c r="R1353" s="22" t="str">
        <f>IF(H1353="","",H1353&amp;I1353)</f>
        <v/>
      </c>
      <c r="S1353" s="22" t="str">
        <f>IF(C1353="","",C1353&amp;I1353)</f>
        <v/>
      </c>
      <c r="T1353" t="str">
        <f>IF(OR(C1353="",I1353&lt;&gt;"ENTRADA"),"",TEXT(B1353,"AAMMDD")&amp;"-"&amp;TEXT(VALUE(SUBSTITUTE(A1353,"MOV-","")),"000"))</f>
        <v/>
      </c>
    </row>
    <row r="1354" spans="1:20">
      <c r="A1354" s="20" t="s">
        <v>1713</v>
      </c>
      <c r="H1354" s="20" t="str">
        <f>+T1354</f>
        <v/>
      </c>
      <c r="J1354" s="30"/>
      <c r="K1354" s="22" t="str">
        <f>IF(I1354="","",IF(I1354="ENTRADA",ABS(J1354),-ABS(J1354)))</f>
        <v/>
      </c>
      <c r="Q1354" s="35"/>
      <c r="R1354" s="22" t="str">
        <f>IF(H1354="","",H1354&amp;I1354)</f>
        <v/>
      </c>
      <c r="S1354" s="22" t="str">
        <f>IF(C1354="","",C1354&amp;I1354)</f>
        <v/>
      </c>
      <c r="T1354" t="str">
        <f>IF(OR(C1354="",I1354&lt;&gt;"ENTRADA"),"",TEXT(B1354,"AAMMDD")&amp;"-"&amp;TEXT(VALUE(SUBSTITUTE(A1354,"MOV-","")),"000"))</f>
        <v/>
      </c>
    </row>
    <row r="1355" spans="1:20">
      <c r="A1355" s="20" t="s">
        <v>1714</v>
      </c>
      <c r="H1355" s="20" t="str">
        <f>+T1355</f>
        <v/>
      </c>
      <c r="J1355" s="30"/>
      <c r="K1355" s="22" t="str">
        <f>IF(I1355="","",IF(I1355="ENTRADA",ABS(J1355),-ABS(J1355)))</f>
        <v/>
      </c>
      <c r="Q1355" s="35"/>
      <c r="R1355" s="22" t="str">
        <f>IF(H1355="","",H1355&amp;I1355)</f>
        <v/>
      </c>
      <c r="S1355" s="22" t="str">
        <f>IF(C1355="","",C1355&amp;I1355)</f>
        <v/>
      </c>
      <c r="T1355" t="str">
        <f>IF(OR(C1355="",I1355&lt;&gt;"ENTRADA"),"",TEXT(B1355,"AAMMDD")&amp;"-"&amp;TEXT(VALUE(SUBSTITUTE(A1355,"MOV-","")),"000"))</f>
        <v/>
      </c>
    </row>
    <row r="1356" spans="1:20">
      <c r="A1356" s="20" t="s">
        <v>1715</v>
      </c>
      <c r="H1356" s="20" t="str">
        <f>+T1356</f>
        <v/>
      </c>
      <c r="J1356" s="30"/>
      <c r="K1356" s="22" t="str">
        <f>IF(I1356="","",IF(I1356="ENTRADA",ABS(J1356),-ABS(J1356)))</f>
        <v/>
      </c>
      <c r="Q1356" s="35"/>
      <c r="R1356" s="22" t="str">
        <f>IF(H1356="","",H1356&amp;I1356)</f>
        <v/>
      </c>
      <c r="S1356" s="22" t="str">
        <f>IF(C1356="","",C1356&amp;I1356)</f>
        <v/>
      </c>
      <c r="T1356" t="str">
        <f>IF(OR(C1356="",I1356&lt;&gt;"ENTRADA"),"",TEXT(B1356,"AAMMDD")&amp;"-"&amp;TEXT(VALUE(SUBSTITUTE(A1356,"MOV-","")),"000"))</f>
        <v/>
      </c>
    </row>
    <row r="1357" spans="1:20">
      <c r="A1357" s="20" t="s">
        <v>1716</v>
      </c>
      <c r="H1357" s="20" t="str">
        <f>+T1357</f>
        <v/>
      </c>
      <c r="J1357" s="30"/>
      <c r="K1357" s="22" t="str">
        <f>IF(I1357="","",IF(I1357="ENTRADA",ABS(J1357),-ABS(J1357)))</f>
        <v/>
      </c>
      <c r="Q1357" s="35"/>
      <c r="R1357" s="22" t="str">
        <f>IF(H1357="","",H1357&amp;I1357)</f>
        <v/>
      </c>
      <c r="S1357" s="22" t="str">
        <f>IF(C1357="","",C1357&amp;I1357)</f>
        <v/>
      </c>
      <c r="T1357" t="str">
        <f>IF(OR(C1357="",I1357&lt;&gt;"ENTRADA"),"",TEXT(B1357,"AAMMDD")&amp;"-"&amp;TEXT(VALUE(SUBSTITUTE(A1357,"MOV-","")),"000"))</f>
        <v/>
      </c>
    </row>
    <row r="1358" spans="1:20">
      <c r="A1358" s="20" t="s">
        <v>1717</v>
      </c>
      <c r="H1358" s="20" t="str">
        <f>+T1358</f>
        <v/>
      </c>
      <c r="J1358" s="30"/>
      <c r="K1358" s="22" t="str">
        <f>IF(I1358="","",IF(I1358="ENTRADA",ABS(J1358),-ABS(J1358)))</f>
        <v/>
      </c>
      <c r="Q1358" s="35"/>
      <c r="R1358" s="22" t="str">
        <f>IF(H1358="","",H1358&amp;I1358)</f>
        <v/>
      </c>
      <c r="S1358" s="22" t="str">
        <f>IF(C1358="","",C1358&amp;I1358)</f>
        <v/>
      </c>
      <c r="T1358" t="str">
        <f>IF(OR(C1358="",I1358&lt;&gt;"ENTRADA"),"",TEXT(B1358,"AAMMDD")&amp;"-"&amp;TEXT(VALUE(SUBSTITUTE(A1358,"MOV-","")),"000"))</f>
        <v/>
      </c>
    </row>
    <row r="1359" spans="1:20">
      <c r="A1359" s="20" t="s">
        <v>1718</v>
      </c>
      <c r="H1359" s="20" t="str">
        <f>+T1359</f>
        <v/>
      </c>
      <c r="J1359" s="30"/>
      <c r="K1359" s="22" t="str">
        <f>IF(I1359="","",IF(I1359="ENTRADA",ABS(J1359),-ABS(J1359)))</f>
        <v/>
      </c>
      <c r="Q1359" s="35"/>
      <c r="R1359" s="22" t="str">
        <f>IF(H1359="","",H1359&amp;I1359)</f>
        <v/>
      </c>
      <c r="S1359" s="22" t="str">
        <f>IF(C1359="","",C1359&amp;I1359)</f>
        <v/>
      </c>
      <c r="T1359" t="str">
        <f>IF(OR(C1359="",I1359&lt;&gt;"ENTRADA"),"",TEXT(B1359,"AAMMDD")&amp;"-"&amp;TEXT(VALUE(SUBSTITUTE(A1359,"MOV-","")),"000"))</f>
        <v/>
      </c>
    </row>
    <row r="1360" spans="1:20">
      <c r="A1360" s="20" t="s">
        <v>1719</v>
      </c>
      <c r="H1360" s="20" t="str">
        <f>+T1360</f>
        <v/>
      </c>
      <c r="J1360" s="30"/>
      <c r="K1360" s="22" t="str">
        <f>IF(I1360="","",IF(I1360="ENTRADA",ABS(J1360),-ABS(J1360)))</f>
        <v/>
      </c>
      <c r="Q1360" s="35"/>
      <c r="R1360" s="22" t="str">
        <f>IF(H1360="","",H1360&amp;I1360)</f>
        <v/>
      </c>
      <c r="S1360" s="22" t="str">
        <f>IF(C1360="","",C1360&amp;I1360)</f>
        <v/>
      </c>
      <c r="T1360" t="str">
        <f>IF(OR(C1360="",I1360&lt;&gt;"ENTRADA"),"",TEXT(B1360,"AAMMDD")&amp;"-"&amp;TEXT(VALUE(SUBSTITUTE(A1360,"MOV-","")),"000"))</f>
        <v/>
      </c>
    </row>
    <row r="1361" spans="1:20">
      <c r="A1361" s="20" t="s">
        <v>1720</v>
      </c>
      <c r="H1361" s="20" t="str">
        <f>+T1361</f>
        <v/>
      </c>
      <c r="J1361" s="30"/>
      <c r="K1361" s="22" t="str">
        <f>IF(I1361="","",IF(I1361="ENTRADA",ABS(J1361),-ABS(J1361)))</f>
        <v/>
      </c>
      <c r="Q1361" s="35"/>
      <c r="R1361" s="22" t="str">
        <f>IF(H1361="","",H1361&amp;I1361)</f>
        <v/>
      </c>
      <c r="S1361" s="22" t="str">
        <f>IF(C1361="","",C1361&amp;I1361)</f>
        <v/>
      </c>
      <c r="T1361" t="str">
        <f>IF(OR(C1361="",I1361&lt;&gt;"ENTRADA"),"",TEXT(B1361,"AAMMDD")&amp;"-"&amp;TEXT(VALUE(SUBSTITUTE(A1361,"MOV-","")),"000"))</f>
        <v/>
      </c>
    </row>
    <row r="1362" spans="1:20">
      <c r="A1362" s="20" t="s">
        <v>1721</v>
      </c>
      <c r="H1362" s="20" t="str">
        <f>+T1362</f>
        <v/>
      </c>
      <c r="J1362" s="30"/>
      <c r="K1362" s="22" t="str">
        <f>IF(I1362="","",IF(I1362="ENTRADA",ABS(J1362),-ABS(J1362)))</f>
        <v/>
      </c>
      <c r="Q1362" s="35"/>
      <c r="R1362" s="22" t="str">
        <f>IF(H1362="","",H1362&amp;I1362)</f>
        <v/>
      </c>
      <c r="S1362" s="22" t="str">
        <f>IF(C1362="","",C1362&amp;I1362)</f>
        <v/>
      </c>
      <c r="T1362" t="str">
        <f>IF(OR(C1362="",I1362&lt;&gt;"ENTRADA"),"",TEXT(B1362,"AAMMDD")&amp;"-"&amp;TEXT(VALUE(SUBSTITUTE(A1362,"MOV-","")),"000"))</f>
        <v/>
      </c>
    </row>
    <row r="1363" spans="1:20">
      <c r="A1363" s="20" t="s">
        <v>1722</v>
      </c>
      <c r="H1363" s="20" t="str">
        <f>+T1363</f>
        <v/>
      </c>
      <c r="J1363" s="30"/>
      <c r="K1363" s="22" t="str">
        <f>IF(I1363="","",IF(I1363="ENTRADA",ABS(J1363),-ABS(J1363)))</f>
        <v/>
      </c>
      <c r="Q1363" s="35"/>
      <c r="R1363" s="22" t="str">
        <f>IF(H1363="","",H1363&amp;I1363)</f>
        <v/>
      </c>
      <c r="S1363" s="22" t="str">
        <f>IF(C1363="","",C1363&amp;I1363)</f>
        <v/>
      </c>
      <c r="T1363" t="str">
        <f>IF(OR(C1363="",I1363&lt;&gt;"ENTRADA"),"",TEXT(B1363,"AAMMDD")&amp;"-"&amp;TEXT(VALUE(SUBSTITUTE(A1363,"MOV-","")),"000"))</f>
        <v/>
      </c>
    </row>
    <row r="1364" spans="1:20">
      <c r="A1364" s="20" t="s">
        <v>1723</v>
      </c>
      <c r="H1364" s="20" t="str">
        <f>+T1364</f>
        <v/>
      </c>
      <c r="J1364" s="30"/>
      <c r="K1364" s="22" t="str">
        <f>IF(I1364="","",IF(I1364="ENTRADA",ABS(J1364),-ABS(J1364)))</f>
        <v/>
      </c>
      <c r="Q1364" s="35"/>
      <c r="R1364" s="22" t="str">
        <f>IF(H1364="","",H1364&amp;I1364)</f>
        <v/>
      </c>
      <c r="S1364" s="22" t="str">
        <f>IF(C1364="","",C1364&amp;I1364)</f>
        <v/>
      </c>
      <c r="T1364" t="str">
        <f>IF(OR(C1364="",I1364&lt;&gt;"ENTRADA"),"",TEXT(B1364,"AAMMDD")&amp;"-"&amp;TEXT(VALUE(SUBSTITUTE(A1364,"MOV-","")),"000"))</f>
        <v/>
      </c>
    </row>
    <row r="1365" spans="1:20">
      <c r="A1365" s="20" t="s">
        <v>1724</v>
      </c>
      <c r="H1365" s="20" t="str">
        <f>+T1365</f>
        <v/>
      </c>
      <c r="J1365" s="30"/>
      <c r="K1365" s="22" t="str">
        <f>IF(I1365="","",IF(I1365="ENTRADA",ABS(J1365),-ABS(J1365)))</f>
        <v/>
      </c>
      <c r="Q1365" s="35"/>
      <c r="R1365" s="22" t="str">
        <f>IF(H1365="","",H1365&amp;I1365)</f>
        <v/>
      </c>
      <c r="S1365" s="22" t="str">
        <f>IF(C1365="","",C1365&amp;I1365)</f>
        <v/>
      </c>
      <c r="T1365" t="str">
        <f>IF(OR(C1365="",I1365&lt;&gt;"ENTRADA"),"",TEXT(B1365,"AAMMDD")&amp;"-"&amp;TEXT(VALUE(SUBSTITUTE(A1365,"MOV-","")),"000"))</f>
        <v/>
      </c>
    </row>
    <row r="1366" spans="1:20">
      <c r="A1366" s="20" t="s">
        <v>1725</v>
      </c>
      <c r="H1366" s="20" t="str">
        <f>+T1366</f>
        <v/>
      </c>
      <c r="J1366" s="30"/>
      <c r="K1366" s="22" t="str">
        <f>IF(I1366="","",IF(I1366="ENTRADA",ABS(J1366),-ABS(J1366)))</f>
        <v/>
      </c>
      <c r="Q1366" s="35"/>
      <c r="R1366" s="22" t="str">
        <f>IF(H1366="","",H1366&amp;I1366)</f>
        <v/>
      </c>
      <c r="S1366" s="22" t="str">
        <f>IF(C1366="","",C1366&amp;I1366)</f>
        <v/>
      </c>
      <c r="T1366" t="str">
        <f>IF(OR(C1366="",I1366&lt;&gt;"ENTRADA"),"",TEXT(B1366,"AAMMDD")&amp;"-"&amp;TEXT(VALUE(SUBSTITUTE(A1366,"MOV-","")),"000"))</f>
        <v/>
      </c>
    </row>
    <row r="1367" spans="1:20">
      <c r="A1367" s="20" t="s">
        <v>1726</v>
      </c>
      <c r="H1367" s="20" t="str">
        <f>+T1367</f>
        <v/>
      </c>
      <c r="J1367" s="30"/>
      <c r="K1367" s="22" t="str">
        <f>IF(I1367="","",IF(I1367="ENTRADA",ABS(J1367),-ABS(J1367)))</f>
        <v/>
      </c>
      <c r="Q1367" s="35"/>
      <c r="R1367" s="22" t="str">
        <f>IF(H1367="","",H1367&amp;I1367)</f>
        <v/>
      </c>
      <c r="S1367" s="22" t="str">
        <f>IF(C1367="","",C1367&amp;I1367)</f>
        <v/>
      </c>
      <c r="T1367" t="str">
        <f>IF(OR(C1367="",I1367&lt;&gt;"ENTRADA"),"",TEXT(B1367,"AAMMDD")&amp;"-"&amp;TEXT(VALUE(SUBSTITUTE(A1367,"MOV-","")),"000"))</f>
        <v/>
      </c>
    </row>
    <row r="1368" spans="1:20">
      <c r="A1368" s="20" t="s">
        <v>1727</v>
      </c>
      <c r="H1368" s="20" t="str">
        <f>+T1368</f>
        <v/>
      </c>
      <c r="J1368" s="30"/>
      <c r="K1368" s="22" t="str">
        <f>IF(I1368="","",IF(I1368="ENTRADA",ABS(J1368),-ABS(J1368)))</f>
        <v/>
      </c>
      <c r="Q1368" s="35"/>
      <c r="R1368" s="22" t="str">
        <f>IF(H1368="","",H1368&amp;I1368)</f>
        <v/>
      </c>
      <c r="S1368" s="22" t="str">
        <f>IF(C1368="","",C1368&amp;I1368)</f>
        <v/>
      </c>
      <c r="T1368" t="str">
        <f>IF(OR(C1368="",I1368&lt;&gt;"ENTRADA"),"",TEXT(B1368,"AAMMDD")&amp;"-"&amp;TEXT(VALUE(SUBSTITUTE(A1368,"MOV-","")),"000"))</f>
        <v/>
      </c>
    </row>
    <row r="1369" spans="1:20">
      <c r="A1369" s="20" t="s">
        <v>1728</v>
      </c>
      <c r="H1369" s="20" t="str">
        <f>+T1369</f>
        <v/>
      </c>
      <c r="J1369" s="30"/>
      <c r="K1369" s="22" t="str">
        <f>IF(I1369="","",IF(I1369="ENTRADA",ABS(J1369),-ABS(J1369)))</f>
        <v/>
      </c>
      <c r="Q1369" s="35"/>
      <c r="R1369" s="22" t="str">
        <f>IF(H1369="","",H1369&amp;I1369)</f>
        <v/>
      </c>
      <c r="S1369" s="22" t="str">
        <f>IF(C1369="","",C1369&amp;I1369)</f>
        <v/>
      </c>
      <c r="T1369" t="str">
        <f>IF(OR(C1369="",I1369&lt;&gt;"ENTRADA"),"",TEXT(B1369,"AAMMDD")&amp;"-"&amp;TEXT(VALUE(SUBSTITUTE(A1369,"MOV-","")),"000"))</f>
        <v/>
      </c>
    </row>
    <row r="1370" spans="1:20">
      <c r="A1370" s="20" t="s">
        <v>1729</v>
      </c>
      <c r="H1370" s="20" t="str">
        <f>+T1370</f>
        <v/>
      </c>
      <c r="J1370" s="30"/>
      <c r="K1370" s="22" t="str">
        <f>IF(I1370="","",IF(I1370="ENTRADA",ABS(J1370),-ABS(J1370)))</f>
        <v/>
      </c>
      <c r="Q1370" s="35"/>
      <c r="R1370" s="22" t="str">
        <f>IF(H1370="","",H1370&amp;I1370)</f>
        <v/>
      </c>
      <c r="S1370" s="22" t="str">
        <f>IF(C1370="","",C1370&amp;I1370)</f>
        <v/>
      </c>
      <c r="T1370" t="str">
        <f>IF(OR(C1370="",I1370&lt;&gt;"ENTRADA"),"",TEXT(B1370,"AAMMDD")&amp;"-"&amp;TEXT(VALUE(SUBSTITUTE(A1370,"MOV-","")),"000"))</f>
        <v/>
      </c>
    </row>
    <row r="1371" spans="1:20">
      <c r="A1371" s="20" t="s">
        <v>1730</v>
      </c>
      <c r="H1371" s="20" t="str">
        <f>+T1371</f>
        <v/>
      </c>
      <c r="J1371" s="30"/>
      <c r="K1371" s="22" t="str">
        <f>IF(I1371="","",IF(I1371="ENTRADA",ABS(J1371),-ABS(J1371)))</f>
        <v/>
      </c>
      <c r="Q1371" s="35"/>
      <c r="R1371" s="22" t="str">
        <f>IF(H1371="","",H1371&amp;I1371)</f>
        <v/>
      </c>
      <c r="S1371" s="22" t="str">
        <f>IF(C1371="","",C1371&amp;I1371)</f>
        <v/>
      </c>
      <c r="T1371" t="str">
        <f>IF(OR(C1371="",I1371&lt;&gt;"ENTRADA"),"",TEXT(B1371,"AAMMDD")&amp;"-"&amp;TEXT(VALUE(SUBSTITUTE(A1371,"MOV-","")),"000"))</f>
        <v/>
      </c>
    </row>
    <row r="1372" spans="1:20">
      <c r="A1372" s="20" t="s">
        <v>1731</v>
      </c>
      <c r="H1372" s="20" t="str">
        <f>+T1372</f>
        <v/>
      </c>
      <c r="J1372" s="30"/>
      <c r="K1372" s="22" t="str">
        <f>IF(I1372="","",IF(I1372="ENTRADA",ABS(J1372),-ABS(J1372)))</f>
        <v/>
      </c>
      <c r="Q1372" s="35"/>
      <c r="R1372" s="22" t="str">
        <f>IF(H1372="","",H1372&amp;I1372)</f>
        <v/>
      </c>
      <c r="S1372" s="22" t="str">
        <f>IF(C1372="","",C1372&amp;I1372)</f>
        <v/>
      </c>
      <c r="T1372" t="str">
        <f>IF(OR(C1372="",I1372&lt;&gt;"ENTRADA"),"",TEXT(B1372,"AAMMDD")&amp;"-"&amp;TEXT(VALUE(SUBSTITUTE(A1372,"MOV-","")),"000"))</f>
        <v/>
      </c>
    </row>
    <row r="1373" spans="1:20">
      <c r="A1373" s="20" t="s">
        <v>1732</v>
      </c>
      <c r="H1373" s="20" t="str">
        <f>+T1373</f>
        <v/>
      </c>
      <c r="J1373" s="30"/>
      <c r="K1373" s="22" t="str">
        <f>IF(I1373="","",IF(I1373="ENTRADA",ABS(J1373),-ABS(J1373)))</f>
        <v/>
      </c>
      <c r="Q1373" s="35"/>
      <c r="R1373" s="22" t="str">
        <f>IF(H1373="","",H1373&amp;I1373)</f>
        <v/>
      </c>
      <c r="S1373" s="22" t="str">
        <f>IF(C1373="","",C1373&amp;I1373)</f>
        <v/>
      </c>
      <c r="T1373" t="str">
        <f>IF(OR(C1373="",I1373&lt;&gt;"ENTRADA"),"",TEXT(B1373,"AAMMDD")&amp;"-"&amp;TEXT(VALUE(SUBSTITUTE(A1373,"MOV-","")),"000"))</f>
        <v/>
      </c>
    </row>
    <row r="1374" spans="1:20">
      <c r="A1374" s="20" t="s">
        <v>1733</v>
      </c>
      <c r="H1374" s="20" t="str">
        <f>+T1374</f>
        <v/>
      </c>
      <c r="J1374" s="30"/>
      <c r="K1374" s="22" t="str">
        <f>IF(I1374="","",IF(I1374="ENTRADA",ABS(J1374),-ABS(J1374)))</f>
        <v/>
      </c>
      <c r="Q1374" s="35"/>
      <c r="R1374" s="22" t="str">
        <f>IF(H1374="","",H1374&amp;I1374)</f>
        <v/>
      </c>
      <c r="S1374" s="22" t="str">
        <f>IF(C1374="","",C1374&amp;I1374)</f>
        <v/>
      </c>
      <c r="T1374" t="str">
        <f>IF(OR(C1374="",I1374&lt;&gt;"ENTRADA"),"",TEXT(B1374,"AAMMDD")&amp;"-"&amp;TEXT(VALUE(SUBSTITUTE(A1374,"MOV-","")),"000"))</f>
        <v/>
      </c>
    </row>
    <row r="1375" spans="1:20">
      <c r="A1375" s="20" t="s">
        <v>1734</v>
      </c>
      <c r="H1375" s="20" t="str">
        <f>+T1375</f>
        <v/>
      </c>
      <c r="J1375" s="30"/>
      <c r="K1375" s="22" t="str">
        <f>IF(I1375="","",IF(I1375="ENTRADA",ABS(J1375),-ABS(J1375)))</f>
        <v/>
      </c>
      <c r="Q1375" s="35"/>
      <c r="R1375" s="22" t="str">
        <f>IF(H1375="","",H1375&amp;I1375)</f>
        <v/>
      </c>
      <c r="S1375" s="22" t="str">
        <f>IF(C1375="","",C1375&amp;I1375)</f>
        <v/>
      </c>
      <c r="T1375" t="str">
        <f>IF(OR(C1375="",I1375&lt;&gt;"ENTRADA"),"",TEXT(B1375,"AAMMDD")&amp;"-"&amp;TEXT(VALUE(SUBSTITUTE(A1375,"MOV-","")),"000"))</f>
        <v/>
      </c>
    </row>
    <row r="1376" spans="1:20">
      <c r="A1376" s="20" t="s">
        <v>1735</v>
      </c>
      <c r="H1376" s="20" t="str">
        <f>+T1376</f>
        <v/>
      </c>
      <c r="J1376" s="30"/>
      <c r="K1376" s="22" t="str">
        <f>IF(I1376="","",IF(I1376="ENTRADA",ABS(J1376),-ABS(J1376)))</f>
        <v/>
      </c>
      <c r="Q1376" s="35"/>
      <c r="R1376" s="22" t="str">
        <f>IF(H1376="","",H1376&amp;I1376)</f>
        <v/>
      </c>
      <c r="S1376" s="22" t="str">
        <f>IF(C1376="","",C1376&amp;I1376)</f>
        <v/>
      </c>
      <c r="T1376" t="str">
        <f>IF(OR(C1376="",I1376&lt;&gt;"ENTRADA"),"",TEXT(B1376,"AAMMDD")&amp;"-"&amp;TEXT(VALUE(SUBSTITUTE(A1376,"MOV-","")),"000"))</f>
        <v/>
      </c>
    </row>
    <row r="1377" spans="1:20">
      <c r="A1377" s="20" t="s">
        <v>1736</v>
      </c>
      <c r="H1377" s="20" t="str">
        <f>+T1377</f>
        <v/>
      </c>
      <c r="J1377" s="30"/>
      <c r="K1377" s="22" t="str">
        <f>IF(I1377="","",IF(I1377="ENTRADA",ABS(J1377),-ABS(J1377)))</f>
        <v/>
      </c>
      <c r="Q1377" s="35"/>
      <c r="R1377" s="22" t="str">
        <f>IF(H1377="","",H1377&amp;I1377)</f>
        <v/>
      </c>
      <c r="S1377" s="22" t="str">
        <f>IF(C1377="","",C1377&amp;I1377)</f>
        <v/>
      </c>
      <c r="T1377" t="str">
        <f>IF(OR(C1377="",I1377&lt;&gt;"ENTRADA"),"",TEXT(B1377,"AAMMDD")&amp;"-"&amp;TEXT(VALUE(SUBSTITUTE(A1377,"MOV-","")),"000"))</f>
        <v/>
      </c>
    </row>
    <row r="1378" spans="1:20">
      <c r="A1378" s="20" t="s">
        <v>1737</v>
      </c>
      <c r="H1378" s="20" t="str">
        <f>+T1378</f>
        <v/>
      </c>
      <c r="J1378" s="30"/>
      <c r="K1378" s="22" t="str">
        <f>IF(I1378="","",IF(I1378="ENTRADA",ABS(J1378),-ABS(J1378)))</f>
        <v/>
      </c>
      <c r="Q1378" s="35"/>
      <c r="R1378" s="22" t="str">
        <f>IF(H1378="","",H1378&amp;I1378)</f>
        <v/>
      </c>
      <c r="S1378" s="22" t="str">
        <f>IF(C1378="","",C1378&amp;I1378)</f>
        <v/>
      </c>
      <c r="T1378" t="str">
        <f>IF(OR(C1378="",I1378&lt;&gt;"ENTRADA"),"",TEXT(B1378,"AAMMDD")&amp;"-"&amp;TEXT(VALUE(SUBSTITUTE(A1378,"MOV-","")),"000"))</f>
        <v/>
      </c>
    </row>
    <row r="1379" spans="1:20">
      <c r="A1379" s="20" t="s">
        <v>1738</v>
      </c>
      <c r="H1379" s="20" t="str">
        <f>+T1379</f>
        <v/>
      </c>
      <c r="J1379" s="30"/>
      <c r="K1379" s="22" t="str">
        <f>IF(I1379="","",IF(I1379="ENTRADA",ABS(J1379),-ABS(J1379)))</f>
        <v/>
      </c>
      <c r="Q1379" s="35"/>
      <c r="R1379" s="22" t="str">
        <f>IF(H1379="","",H1379&amp;I1379)</f>
        <v/>
      </c>
      <c r="S1379" s="22" t="str">
        <f>IF(C1379="","",C1379&amp;I1379)</f>
        <v/>
      </c>
      <c r="T1379" t="str">
        <f>IF(OR(C1379="",I1379&lt;&gt;"ENTRADA"),"",TEXT(B1379,"AAMMDD")&amp;"-"&amp;TEXT(VALUE(SUBSTITUTE(A1379,"MOV-","")),"000"))</f>
        <v/>
      </c>
    </row>
    <row r="1380" spans="1:20">
      <c r="A1380" s="20" t="s">
        <v>1739</v>
      </c>
      <c r="H1380" s="20" t="str">
        <f>+T1380</f>
        <v/>
      </c>
      <c r="J1380" s="30"/>
      <c r="K1380" s="22" t="str">
        <f>IF(I1380="","",IF(I1380="ENTRADA",ABS(J1380),-ABS(J1380)))</f>
        <v/>
      </c>
      <c r="Q1380" s="35"/>
      <c r="R1380" s="22" t="str">
        <f>IF(H1380="","",H1380&amp;I1380)</f>
        <v/>
      </c>
      <c r="S1380" s="22" t="str">
        <f>IF(C1380="","",C1380&amp;I1380)</f>
        <v/>
      </c>
      <c r="T1380" t="str">
        <f>IF(OR(C1380="",I1380&lt;&gt;"ENTRADA"),"",TEXT(B1380,"AAMMDD")&amp;"-"&amp;TEXT(VALUE(SUBSTITUTE(A1380,"MOV-","")),"000"))</f>
        <v/>
      </c>
    </row>
    <row r="1381" spans="1:20">
      <c r="A1381" s="20" t="s">
        <v>1740</v>
      </c>
      <c r="H1381" s="20" t="str">
        <f>+T1381</f>
        <v/>
      </c>
      <c r="J1381" s="30"/>
      <c r="K1381" s="22" t="str">
        <f>IF(I1381="","",IF(I1381="ENTRADA",ABS(J1381),-ABS(J1381)))</f>
        <v/>
      </c>
      <c r="Q1381" s="35"/>
      <c r="R1381" s="22" t="str">
        <f>IF(H1381="","",H1381&amp;I1381)</f>
        <v/>
      </c>
      <c r="S1381" s="22" t="str">
        <f>IF(C1381="","",C1381&amp;I1381)</f>
        <v/>
      </c>
      <c r="T1381" t="str">
        <f>IF(OR(C1381="",I1381&lt;&gt;"ENTRADA"),"",TEXT(B1381,"AAMMDD")&amp;"-"&amp;TEXT(VALUE(SUBSTITUTE(A1381,"MOV-","")),"000"))</f>
        <v/>
      </c>
    </row>
    <row r="1382" spans="1:20">
      <c r="A1382" s="20" t="s">
        <v>1741</v>
      </c>
      <c r="H1382" s="20" t="str">
        <f>+T1382</f>
        <v/>
      </c>
      <c r="J1382" s="30"/>
      <c r="K1382" s="22" t="str">
        <f>IF(I1382="","",IF(I1382="ENTRADA",ABS(J1382),-ABS(J1382)))</f>
        <v/>
      </c>
      <c r="Q1382" s="35"/>
      <c r="R1382" s="22" t="str">
        <f>IF(H1382="","",H1382&amp;I1382)</f>
        <v/>
      </c>
      <c r="S1382" s="22" t="str">
        <f>IF(C1382="","",C1382&amp;I1382)</f>
        <v/>
      </c>
      <c r="T1382" t="str">
        <f>IF(OR(C1382="",I1382&lt;&gt;"ENTRADA"),"",TEXT(B1382,"AAMMDD")&amp;"-"&amp;TEXT(VALUE(SUBSTITUTE(A1382,"MOV-","")),"000"))</f>
        <v/>
      </c>
    </row>
    <row r="1383" spans="1:20">
      <c r="A1383" s="20" t="s">
        <v>1742</v>
      </c>
      <c r="H1383" s="20" t="str">
        <f>+T1383</f>
        <v/>
      </c>
      <c r="J1383" s="30"/>
      <c r="K1383" s="22" t="str">
        <f>IF(I1383="","",IF(I1383="ENTRADA",ABS(J1383),-ABS(J1383)))</f>
        <v/>
      </c>
      <c r="Q1383" s="35"/>
      <c r="R1383" s="22" t="str">
        <f>IF(H1383="","",H1383&amp;I1383)</f>
        <v/>
      </c>
      <c r="S1383" s="22" t="str">
        <f>IF(C1383="","",C1383&amp;I1383)</f>
        <v/>
      </c>
      <c r="T1383" t="str">
        <f>IF(OR(C1383="",I1383&lt;&gt;"ENTRADA"),"",TEXT(B1383,"AAMMDD")&amp;"-"&amp;TEXT(VALUE(SUBSTITUTE(A1383,"MOV-","")),"000"))</f>
        <v/>
      </c>
    </row>
    <row r="1384" spans="1:20">
      <c r="A1384" s="20" t="s">
        <v>1743</v>
      </c>
      <c r="H1384" s="20" t="str">
        <f>+T1384</f>
        <v/>
      </c>
      <c r="J1384" s="30"/>
      <c r="K1384" s="22" t="str">
        <f>IF(I1384="","",IF(I1384="ENTRADA",ABS(J1384),-ABS(J1384)))</f>
        <v/>
      </c>
      <c r="Q1384" s="35"/>
      <c r="R1384" s="22" t="str">
        <f>IF(H1384="","",H1384&amp;I1384)</f>
        <v/>
      </c>
      <c r="S1384" s="22" t="str">
        <f>IF(C1384="","",C1384&amp;I1384)</f>
        <v/>
      </c>
      <c r="T1384" t="str">
        <f>IF(OR(C1384="",I1384&lt;&gt;"ENTRADA"),"",TEXT(B1384,"AAMMDD")&amp;"-"&amp;TEXT(VALUE(SUBSTITUTE(A1384,"MOV-","")),"000"))</f>
        <v/>
      </c>
    </row>
    <row r="1385" spans="1:20">
      <c r="A1385" s="20" t="s">
        <v>1744</v>
      </c>
      <c r="H1385" s="20" t="str">
        <f>+T1385</f>
        <v/>
      </c>
      <c r="J1385" s="30"/>
      <c r="K1385" s="22" t="str">
        <f>IF(I1385="","",IF(I1385="ENTRADA",ABS(J1385),-ABS(J1385)))</f>
        <v/>
      </c>
      <c r="Q1385" s="35"/>
      <c r="R1385" s="22" t="str">
        <f>IF(H1385="","",H1385&amp;I1385)</f>
        <v/>
      </c>
      <c r="S1385" s="22" t="str">
        <f>IF(C1385="","",C1385&amp;I1385)</f>
        <v/>
      </c>
      <c r="T1385" t="str">
        <f>IF(OR(C1385="",I1385&lt;&gt;"ENTRADA"),"",TEXT(B1385,"AAMMDD")&amp;"-"&amp;TEXT(VALUE(SUBSTITUTE(A1385,"MOV-","")),"000"))</f>
        <v/>
      </c>
    </row>
    <row r="1386" spans="1:20">
      <c r="A1386" s="20" t="s">
        <v>1745</v>
      </c>
      <c r="H1386" s="20" t="str">
        <f>+T1386</f>
        <v/>
      </c>
      <c r="J1386" s="30"/>
      <c r="K1386" s="22" t="str">
        <f>IF(I1386="","",IF(I1386="ENTRADA",ABS(J1386),-ABS(J1386)))</f>
        <v/>
      </c>
      <c r="Q1386" s="35"/>
      <c r="R1386" s="22" t="str">
        <f>IF(H1386="","",H1386&amp;I1386)</f>
        <v/>
      </c>
      <c r="S1386" s="22" t="str">
        <f>IF(C1386="","",C1386&amp;I1386)</f>
        <v/>
      </c>
      <c r="T1386" t="str">
        <f>IF(OR(C1386="",I1386&lt;&gt;"ENTRADA"),"",TEXT(B1386,"AAMMDD")&amp;"-"&amp;TEXT(VALUE(SUBSTITUTE(A1386,"MOV-","")),"000"))</f>
        <v/>
      </c>
    </row>
    <row r="1387" spans="1:20">
      <c r="A1387" s="20" t="s">
        <v>1746</v>
      </c>
      <c r="H1387" s="20" t="str">
        <f>+T1387</f>
        <v/>
      </c>
      <c r="J1387" s="30"/>
      <c r="K1387" s="22" t="str">
        <f>IF(I1387="","",IF(I1387="ENTRADA",ABS(J1387),-ABS(J1387)))</f>
        <v/>
      </c>
      <c r="Q1387" s="35"/>
      <c r="R1387" s="22" t="str">
        <f>IF(H1387="","",H1387&amp;I1387)</f>
        <v/>
      </c>
      <c r="S1387" s="22" t="str">
        <f>IF(C1387="","",C1387&amp;I1387)</f>
        <v/>
      </c>
      <c r="T1387" t="str">
        <f>IF(OR(C1387="",I1387&lt;&gt;"ENTRADA"),"",TEXT(B1387,"AAMMDD")&amp;"-"&amp;TEXT(VALUE(SUBSTITUTE(A1387,"MOV-","")),"000"))</f>
        <v/>
      </c>
    </row>
    <row r="1388" spans="1:20">
      <c r="A1388" s="20" t="s">
        <v>1747</v>
      </c>
      <c r="H1388" s="20" t="str">
        <f>+T1388</f>
        <v/>
      </c>
      <c r="J1388" s="30"/>
      <c r="K1388" s="22" t="str">
        <f>IF(I1388="","",IF(I1388="ENTRADA",ABS(J1388),-ABS(J1388)))</f>
        <v/>
      </c>
      <c r="Q1388" s="35"/>
      <c r="R1388" s="22" t="str">
        <f>IF(H1388="","",H1388&amp;I1388)</f>
        <v/>
      </c>
      <c r="S1388" s="22" t="str">
        <f>IF(C1388="","",C1388&amp;I1388)</f>
        <v/>
      </c>
      <c r="T1388" t="str">
        <f>IF(OR(C1388="",I1388&lt;&gt;"ENTRADA"),"",TEXT(B1388,"AAMMDD")&amp;"-"&amp;TEXT(VALUE(SUBSTITUTE(A1388,"MOV-","")),"000"))</f>
        <v/>
      </c>
    </row>
    <row r="1389" spans="1:20">
      <c r="A1389" s="20" t="s">
        <v>1748</v>
      </c>
      <c r="H1389" s="20" t="str">
        <f>+T1389</f>
        <v/>
      </c>
      <c r="J1389" s="30"/>
      <c r="K1389" s="22" t="str">
        <f>IF(I1389="","",IF(I1389="ENTRADA",ABS(J1389),-ABS(J1389)))</f>
        <v/>
      </c>
      <c r="Q1389" s="35"/>
      <c r="R1389" s="22" t="str">
        <f>IF(H1389="","",H1389&amp;I1389)</f>
        <v/>
      </c>
      <c r="S1389" s="22" t="str">
        <f>IF(C1389="","",C1389&amp;I1389)</f>
        <v/>
      </c>
      <c r="T1389" t="str">
        <f>IF(OR(C1389="",I1389&lt;&gt;"ENTRADA"),"",TEXT(B1389,"AAMMDD")&amp;"-"&amp;TEXT(VALUE(SUBSTITUTE(A1389,"MOV-","")),"000"))</f>
        <v/>
      </c>
    </row>
    <row r="1390" spans="1:20">
      <c r="A1390" s="20" t="s">
        <v>1749</v>
      </c>
      <c r="H1390" s="20" t="str">
        <f>+T1390</f>
        <v/>
      </c>
      <c r="J1390" s="30"/>
      <c r="K1390" s="22" t="str">
        <f>IF(I1390="","",IF(I1390="ENTRADA",ABS(J1390),-ABS(J1390)))</f>
        <v/>
      </c>
      <c r="Q1390" s="35"/>
      <c r="R1390" s="22" t="str">
        <f>IF(H1390="","",H1390&amp;I1390)</f>
        <v/>
      </c>
      <c r="S1390" s="22" t="str">
        <f>IF(C1390="","",C1390&amp;I1390)</f>
        <v/>
      </c>
      <c r="T1390" t="str">
        <f>IF(OR(C1390="",I1390&lt;&gt;"ENTRADA"),"",TEXT(B1390,"AAMMDD")&amp;"-"&amp;TEXT(VALUE(SUBSTITUTE(A1390,"MOV-","")),"000"))</f>
        <v/>
      </c>
    </row>
    <row r="1391" spans="1:20">
      <c r="A1391" s="20" t="s">
        <v>1750</v>
      </c>
      <c r="H1391" s="20" t="str">
        <f>+T1391</f>
        <v/>
      </c>
      <c r="J1391" s="30"/>
      <c r="K1391" s="22" t="str">
        <f>IF(I1391="","",IF(I1391="ENTRADA",ABS(J1391),-ABS(J1391)))</f>
        <v/>
      </c>
      <c r="Q1391" s="35"/>
      <c r="R1391" s="22" t="str">
        <f>IF(H1391="","",H1391&amp;I1391)</f>
        <v/>
      </c>
      <c r="S1391" s="22" t="str">
        <f>IF(C1391="","",C1391&amp;I1391)</f>
        <v/>
      </c>
      <c r="T1391" t="str">
        <f>IF(OR(C1391="",I1391&lt;&gt;"ENTRADA"),"",TEXT(B1391,"AAMMDD")&amp;"-"&amp;TEXT(VALUE(SUBSTITUTE(A1391,"MOV-","")),"000"))</f>
        <v/>
      </c>
    </row>
    <row r="1392" spans="1:20">
      <c r="A1392" s="20" t="s">
        <v>1751</v>
      </c>
      <c r="H1392" s="20" t="str">
        <f>+T1392</f>
        <v/>
      </c>
      <c r="J1392" s="30"/>
      <c r="K1392" s="22" t="str">
        <f>IF(I1392="","",IF(I1392="ENTRADA",ABS(J1392),-ABS(J1392)))</f>
        <v/>
      </c>
      <c r="Q1392" s="35"/>
      <c r="R1392" s="22" t="str">
        <f>IF(H1392="","",H1392&amp;I1392)</f>
        <v/>
      </c>
      <c r="S1392" s="22" t="str">
        <f>IF(C1392="","",C1392&amp;I1392)</f>
        <v/>
      </c>
      <c r="T1392" t="str">
        <f>IF(OR(C1392="",I1392&lt;&gt;"ENTRADA"),"",TEXT(B1392,"AAMMDD")&amp;"-"&amp;TEXT(VALUE(SUBSTITUTE(A1392,"MOV-","")),"000"))</f>
        <v/>
      </c>
    </row>
    <row r="1393" spans="1:20">
      <c r="A1393" s="20" t="s">
        <v>1752</v>
      </c>
      <c r="H1393" s="20" t="str">
        <f>+T1393</f>
        <v/>
      </c>
      <c r="J1393" s="30"/>
      <c r="K1393" s="22" t="str">
        <f>IF(I1393="","",IF(I1393="ENTRADA",ABS(J1393),-ABS(J1393)))</f>
        <v/>
      </c>
      <c r="Q1393" s="35"/>
      <c r="R1393" s="22" t="str">
        <f>IF(H1393="","",H1393&amp;I1393)</f>
        <v/>
      </c>
      <c r="S1393" s="22" t="str">
        <f>IF(C1393="","",C1393&amp;I1393)</f>
        <v/>
      </c>
      <c r="T1393" t="str">
        <f>IF(OR(C1393="",I1393&lt;&gt;"ENTRADA"),"",TEXT(B1393,"AAMMDD")&amp;"-"&amp;TEXT(VALUE(SUBSTITUTE(A1393,"MOV-","")),"000"))</f>
        <v/>
      </c>
    </row>
    <row r="1394" spans="1:20">
      <c r="A1394" s="20" t="s">
        <v>1753</v>
      </c>
      <c r="H1394" s="20" t="str">
        <f>+T1394</f>
        <v/>
      </c>
      <c r="J1394" s="30"/>
      <c r="K1394" s="22" t="str">
        <f>IF(I1394="","",IF(I1394="ENTRADA",ABS(J1394),-ABS(J1394)))</f>
        <v/>
      </c>
      <c r="Q1394" s="35"/>
      <c r="R1394" s="22" t="str">
        <f>IF(H1394="","",H1394&amp;I1394)</f>
        <v/>
      </c>
      <c r="S1394" s="22" t="str">
        <f>IF(C1394="","",C1394&amp;I1394)</f>
        <v/>
      </c>
      <c r="T1394" t="str">
        <f>IF(OR(C1394="",I1394&lt;&gt;"ENTRADA"),"",TEXT(B1394,"AAMMDD")&amp;"-"&amp;TEXT(VALUE(SUBSTITUTE(A1394,"MOV-","")),"000"))</f>
        <v/>
      </c>
    </row>
    <row r="1395" spans="1:20">
      <c r="A1395" s="20" t="s">
        <v>1754</v>
      </c>
      <c r="H1395" s="20" t="str">
        <f>+T1395</f>
        <v/>
      </c>
      <c r="J1395" s="30"/>
      <c r="K1395" s="22" t="str">
        <f>IF(I1395="","",IF(I1395="ENTRADA",ABS(J1395),-ABS(J1395)))</f>
        <v/>
      </c>
      <c r="Q1395" s="35"/>
      <c r="R1395" s="22" t="str">
        <f>IF(H1395="","",H1395&amp;I1395)</f>
        <v/>
      </c>
      <c r="S1395" s="22" t="str">
        <f>IF(C1395="","",C1395&amp;I1395)</f>
        <v/>
      </c>
      <c r="T1395" t="str">
        <f>IF(OR(C1395="",I1395&lt;&gt;"ENTRADA"),"",TEXT(B1395,"AAMMDD")&amp;"-"&amp;TEXT(VALUE(SUBSTITUTE(A1395,"MOV-","")),"000"))</f>
        <v/>
      </c>
    </row>
    <row r="1396" spans="1:20">
      <c r="A1396" s="20" t="s">
        <v>1755</v>
      </c>
      <c r="H1396" s="20" t="str">
        <f>+T1396</f>
        <v/>
      </c>
      <c r="J1396" s="30"/>
      <c r="K1396" s="22" t="str">
        <f>IF(I1396="","",IF(I1396="ENTRADA",ABS(J1396),-ABS(J1396)))</f>
        <v/>
      </c>
      <c r="Q1396" s="35"/>
      <c r="R1396" s="22" t="str">
        <f>IF(H1396="","",H1396&amp;I1396)</f>
        <v/>
      </c>
      <c r="S1396" s="22" t="str">
        <f>IF(C1396="","",C1396&amp;I1396)</f>
        <v/>
      </c>
      <c r="T1396" t="str">
        <f>IF(OR(C1396="",I1396&lt;&gt;"ENTRADA"),"",TEXT(B1396,"AAMMDD")&amp;"-"&amp;TEXT(VALUE(SUBSTITUTE(A1396,"MOV-","")),"000"))</f>
        <v/>
      </c>
    </row>
    <row r="1397" spans="1:20">
      <c r="A1397" s="20" t="s">
        <v>1756</v>
      </c>
      <c r="H1397" s="20" t="str">
        <f>+T1397</f>
        <v/>
      </c>
      <c r="J1397" s="30"/>
      <c r="K1397" s="22" t="str">
        <f>IF(I1397="","",IF(I1397="ENTRADA",ABS(J1397),-ABS(J1397)))</f>
        <v/>
      </c>
      <c r="Q1397" s="35"/>
      <c r="R1397" s="22" t="str">
        <f>IF(H1397="","",H1397&amp;I1397)</f>
        <v/>
      </c>
      <c r="S1397" s="22" t="str">
        <f>IF(C1397="","",C1397&amp;I1397)</f>
        <v/>
      </c>
      <c r="T1397" t="str">
        <f>IF(OR(C1397="",I1397&lt;&gt;"ENTRADA"),"",TEXT(B1397,"AAMMDD")&amp;"-"&amp;TEXT(VALUE(SUBSTITUTE(A1397,"MOV-","")),"000"))</f>
        <v/>
      </c>
    </row>
    <row r="1398" spans="1:20">
      <c r="A1398" s="20" t="s">
        <v>1757</v>
      </c>
      <c r="H1398" s="20" t="str">
        <f>+T1398</f>
        <v/>
      </c>
      <c r="J1398" s="30"/>
      <c r="K1398" s="22" t="str">
        <f>IF(I1398="","",IF(I1398="ENTRADA",ABS(J1398),-ABS(J1398)))</f>
        <v/>
      </c>
      <c r="Q1398" s="35"/>
      <c r="R1398" s="22" t="str">
        <f>IF(H1398="","",H1398&amp;I1398)</f>
        <v/>
      </c>
      <c r="S1398" s="22" t="str">
        <f>IF(C1398="","",C1398&amp;I1398)</f>
        <v/>
      </c>
      <c r="T1398" t="str">
        <f>IF(OR(C1398="",I1398&lt;&gt;"ENTRADA"),"",TEXT(B1398,"AAMMDD")&amp;"-"&amp;TEXT(VALUE(SUBSTITUTE(A1398,"MOV-","")),"000"))</f>
        <v/>
      </c>
    </row>
    <row r="1399" spans="1:20">
      <c r="A1399" s="20" t="s">
        <v>1758</v>
      </c>
      <c r="H1399" s="20" t="str">
        <f>+T1399</f>
        <v/>
      </c>
      <c r="J1399" s="30"/>
      <c r="K1399" s="22" t="str">
        <f>IF(I1399="","",IF(I1399="ENTRADA",ABS(J1399),-ABS(J1399)))</f>
        <v/>
      </c>
      <c r="Q1399" s="35"/>
      <c r="R1399" s="22" t="str">
        <f>IF(H1399="","",H1399&amp;I1399)</f>
        <v/>
      </c>
      <c r="S1399" s="22" t="str">
        <f>IF(C1399="","",C1399&amp;I1399)</f>
        <v/>
      </c>
      <c r="T1399" t="str">
        <f>IF(OR(C1399="",I1399&lt;&gt;"ENTRADA"),"",TEXT(B1399,"AAMMDD")&amp;"-"&amp;TEXT(VALUE(SUBSTITUTE(A1399,"MOV-","")),"000"))</f>
        <v/>
      </c>
    </row>
    <row r="1400" spans="1:20">
      <c r="A1400" s="20" t="s">
        <v>1759</v>
      </c>
      <c r="H1400" s="20" t="str">
        <f>+T1400</f>
        <v/>
      </c>
      <c r="J1400" s="30"/>
      <c r="K1400" s="22" t="str">
        <f>IF(I1400="","",IF(I1400="ENTRADA",ABS(J1400),-ABS(J1400)))</f>
        <v/>
      </c>
      <c r="Q1400" s="35"/>
      <c r="R1400" s="22" t="str">
        <f>IF(H1400="","",H1400&amp;I1400)</f>
        <v/>
      </c>
      <c r="S1400" s="22" t="str">
        <f>IF(C1400="","",C1400&amp;I1400)</f>
        <v/>
      </c>
      <c r="T1400" t="str">
        <f>IF(OR(C1400="",I1400&lt;&gt;"ENTRADA"),"",TEXT(B1400,"AAMMDD")&amp;"-"&amp;TEXT(VALUE(SUBSTITUTE(A1400,"MOV-","")),"000"))</f>
        <v/>
      </c>
    </row>
    <row r="1401" spans="1:20">
      <c r="A1401" s="20" t="s">
        <v>1760</v>
      </c>
      <c r="H1401" s="20" t="str">
        <f>+T1401</f>
        <v/>
      </c>
      <c r="J1401" s="30"/>
      <c r="K1401" s="22" t="str">
        <f>IF(I1401="","",IF(I1401="ENTRADA",ABS(J1401),-ABS(J1401)))</f>
        <v/>
      </c>
      <c r="Q1401" s="35"/>
      <c r="R1401" s="22" t="str">
        <f>IF(H1401="","",H1401&amp;I1401)</f>
        <v/>
      </c>
      <c r="S1401" s="22" t="str">
        <f>IF(C1401="","",C1401&amp;I1401)</f>
        <v/>
      </c>
      <c r="T1401" t="str">
        <f>IF(OR(C1401="",I1401&lt;&gt;"ENTRADA"),"",TEXT(B1401,"AAMMDD")&amp;"-"&amp;TEXT(VALUE(SUBSTITUTE(A1401,"MOV-","")),"000"))</f>
        <v/>
      </c>
    </row>
    <row r="1402" spans="1:20">
      <c r="A1402" s="20" t="s">
        <v>1761</v>
      </c>
      <c r="H1402" s="20" t="str">
        <f>+T1402</f>
        <v/>
      </c>
      <c r="J1402" s="30"/>
      <c r="K1402" s="22" t="str">
        <f>IF(I1402="","",IF(I1402="ENTRADA",ABS(J1402),-ABS(J1402)))</f>
        <v/>
      </c>
      <c r="Q1402" s="35"/>
      <c r="R1402" s="22" t="str">
        <f>IF(H1402="","",H1402&amp;I1402)</f>
        <v/>
      </c>
      <c r="S1402" s="22" t="str">
        <f>IF(C1402="","",C1402&amp;I1402)</f>
        <v/>
      </c>
      <c r="T1402" t="str">
        <f>IF(OR(C1402="",I1402&lt;&gt;"ENTRADA"),"",TEXT(B1402,"AAMMDD")&amp;"-"&amp;TEXT(VALUE(SUBSTITUTE(A1402,"MOV-","")),"000"))</f>
        <v/>
      </c>
    </row>
    <row r="1403" spans="1:20">
      <c r="A1403" s="20" t="s">
        <v>1762</v>
      </c>
      <c r="H1403" s="20" t="str">
        <f>+T1403</f>
        <v/>
      </c>
      <c r="J1403" s="30"/>
      <c r="K1403" s="22" t="str">
        <f>IF(I1403="","",IF(I1403="ENTRADA",ABS(J1403),-ABS(J1403)))</f>
        <v/>
      </c>
      <c r="Q1403" s="35"/>
      <c r="R1403" s="22" t="str">
        <f>IF(H1403="","",H1403&amp;I1403)</f>
        <v/>
      </c>
      <c r="S1403" s="22" t="str">
        <f>IF(C1403="","",C1403&amp;I1403)</f>
        <v/>
      </c>
      <c r="T1403" t="str">
        <f>IF(OR(C1403="",I1403&lt;&gt;"ENTRADA"),"",TEXT(B1403,"AAMMDD")&amp;"-"&amp;TEXT(VALUE(SUBSTITUTE(A1403,"MOV-","")),"000"))</f>
        <v/>
      </c>
    </row>
    <row r="1404" spans="1:20">
      <c r="A1404" s="20" t="s">
        <v>1763</v>
      </c>
      <c r="H1404" s="20" t="str">
        <f>+T1404</f>
        <v/>
      </c>
      <c r="J1404" s="30"/>
      <c r="K1404" s="22" t="str">
        <f>IF(I1404="","",IF(I1404="ENTRADA",ABS(J1404),-ABS(J1404)))</f>
        <v/>
      </c>
      <c r="Q1404" s="35"/>
      <c r="R1404" s="22" t="str">
        <f>IF(H1404="","",H1404&amp;I1404)</f>
        <v/>
      </c>
      <c r="S1404" s="22" t="str">
        <f>IF(C1404="","",C1404&amp;I1404)</f>
        <v/>
      </c>
      <c r="T1404" t="str">
        <f>IF(OR(C1404="",I1404&lt;&gt;"ENTRADA"),"",TEXT(B1404,"AAMMDD")&amp;"-"&amp;TEXT(VALUE(SUBSTITUTE(A1404,"MOV-","")),"000"))</f>
        <v/>
      </c>
    </row>
    <row r="1405" spans="1:20">
      <c r="A1405" s="20" t="s">
        <v>1764</v>
      </c>
      <c r="H1405" s="20" t="str">
        <f>+T1405</f>
        <v/>
      </c>
      <c r="J1405" s="30"/>
      <c r="K1405" s="22" t="str">
        <f>IF(I1405="","",IF(I1405="ENTRADA",ABS(J1405),-ABS(J1405)))</f>
        <v/>
      </c>
      <c r="Q1405" s="35"/>
      <c r="R1405" s="22" t="str">
        <f>IF(H1405="","",H1405&amp;I1405)</f>
        <v/>
      </c>
      <c r="S1405" s="22" t="str">
        <f>IF(C1405="","",C1405&amp;I1405)</f>
        <v/>
      </c>
      <c r="T1405" t="str">
        <f>IF(OR(C1405="",I1405&lt;&gt;"ENTRADA"),"",TEXT(B1405,"AAMMDD")&amp;"-"&amp;TEXT(VALUE(SUBSTITUTE(A1405,"MOV-","")),"000"))</f>
        <v/>
      </c>
    </row>
    <row r="1406" spans="1:20">
      <c r="A1406" s="20" t="s">
        <v>1765</v>
      </c>
      <c r="H1406" s="20" t="str">
        <f>+T1406</f>
        <v/>
      </c>
      <c r="J1406" s="30"/>
      <c r="K1406" s="22" t="str">
        <f>IF(I1406="","",IF(I1406="ENTRADA",ABS(J1406),-ABS(J1406)))</f>
        <v/>
      </c>
      <c r="Q1406" s="35"/>
      <c r="R1406" s="22" t="str">
        <f>IF(H1406="","",H1406&amp;I1406)</f>
        <v/>
      </c>
      <c r="S1406" s="22" t="str">
        <f>IF(C1406="","",C1406&amp;I1406)</f>
        <v/>
      </c>
      <c r="T1406" t="str">
        <f>IF(OR(C1406="",I1406&lt;&gt;"ENTRADA"),"",TEXT(B1406,"AAMMDD")&amp;"-"&amp;TEXT(VALUE(SUBSTITUTE(A1406,"MOV-","")),"000"))</f>
        <v/>
      </c>
    </row>
    <row r="1407" spans="1:20">
      <c r="A1407" s="20" t="s">
        <v>1766</v>
      </c>
      <c r="H1407" s="20" t="str">
        <f>+T1407</f>
        <v/>
      </c>
      <c r="J1407" s="30"/>
      <c r="K1407" s="22" t="str">
        <f>IF(I1407="","",IF(I1407="ENTRADA",ABS(J1407),-ABS(J1407)))</f>
        <v/>
      </c>
      <c r="Q1407" s="35"/>
      <c r="R1407" s="22" t="str">
        <f>IF(H1407="","",H1407&amp;I1407)</f>
        <v/>
      </c>
      <c r="S1407" s="22" t="str">
        <f>IF(C1407="","",C1407&amp;I1407)</f>
        <v/>
      </c>
      <c r="T1407" t="str">
        <f>IF(OR(C1407="",I1407&lt;&gt;"ENTRADA"),"",TEXT(B1407,"AAMMDD")&amp;"-"&amp;TEXT(VALUE(SUBSTITUTE(A1407,"MOV-","")),"000"))</f>
        <v/>
      </c>
    </row>
    <row r="1408" spans="1:20">
      <c r="A1408" s="20" t="s">
        <v>1767</v>
      </c>
      <c r="H1408" s="20" t="str">
        <f>+T1408</f>
        <v/>
      </c>
      <c r="J1408" s="30"/>
      <c r="K1408" s="22" t="str">
        <f>IF(I1408="","",IF(I1408="ENTRADA",ABS(J1408),-ABS(J1408)))</f>
        <v/>
      </c>
      <c r="Q1408" s="35"/>
      <c r="R1408" s="22" t="str">
        <f>IF(H1408="","",H1408&amp;I1408)</f>
        <v/>
      </c>
      <c r="S1408" s="22" t="str">
        <f>IF(C1408="","",C1408&amp;I1408)</f>
        <v/>
      </c>
      <c r="T1408" t="str">
        <f>IF(OR(C1408="",I1408&lt;&gt;"ENTRADA"),"",TEXT(B1408,"AAMMDD")&amp;"-"&amp;TEXT(VALUE(SUBSTITUTE(A1408,"MOV-","")),"000"))</f>
        <v/>
      </c>
    </row>
    <row r="1409" spans="1:20">
      <c r="A1409" s="20" t="s">
        <v>1768</v>
      </c>
      <c r="H1409" s="20" t="str">
        <f>+T1409</f>
        <v/>
      </c>
      <c r="J1409" s="30"/>
      <c r="K1409" s="22" t="str">
        <f>IF(I1409="","",IF(I1409="ENTRADA",ABS(J1409),-ABS(J1409)))</f>
        <v/>
      </c>
      <c r="Q1409" s="35"/>
      <c r="R1409" s="22" t="str">
        <f>IF(H1409="","",H1409&amp;I1409)</f>
        <v/>
      </c>
      <c r="S1409" s="22" t="str">
        <f>IF(C1409="","",C1409&amp;I1409)</f>
        <v/>
      </c>
      <c r="T1409" t="str">
        <f>IF(OR(C1409="",I1409&lt;&gt;"ENTRADA"),"",TEXT(B1409,"AAMMDD")&amp;"-"&amp;TEXT(VALUE(SUBSTITUTE(A1409,"MOV-","")),"000"))</f>
        <v/>
      </c>
    </row>
    <row r="1410" spans="1:20">
      <c r="A1410" s="20" t="s">
        <v>1769</v>
      </c>
      <c r="H1410" s="20" t="str">
        <f>+T1410</f>
        <v/>
      </c>
      <c r="J1410" s="30"/>
      <c r="K1410" s="22" t="str">
        <f>IF(I1410="","",IF(I1410="ENTRADA",ABS(J1410),-ABS(J1410)))</f>
        <v/>
      </c>
      <c r="Q1410" s="35"/>
      <c r="R1410" s="22" t="str">
        <f>IF(H1410="","",H1410&amp;I1410)</f>
        <v/>
      </c>
      <c r="S1410" s="22" t="str">
        <f>IF(C1410="","",C1410&amp;I1410)</f>
        <v/>
      </c>
      <c r="T1410" t="str">
        <f>IF(OR(C1410="",I1410&lt;&gt;"ENTRADA"),"",TEXT(B1410,"AAMMDD")&amp;"-"&amp;TEXT(VALUE(SUBSTITUTE(A1410,"MOV-","")),"000"))</f>
        <v/>
      </c>
    </row>
    <row r="1411" spans="1:20">
      <c r="A1411" s="20" t="s">
        <v>1770</v>
      </c>
      <c r="H1411" s="20" t="str">
        <f>+T1411</f>
        <v/>
      </c>
      <c r="J1411" s="30"/>
      <c r="K1411" s="22" t="str">
        <f>IF(I1411="","",IF(I1411="ENTRADA",ABS(J1411),-ABS(J1411)))</f>
        <v/>
      </c>
      <c r="Q1411" s="35"/>
      <c r="R1411" s="22" t="str">
        <f>IF(H1411="","",H1411&amp;I1411)</f>
        <v/>
      </c>
      <c r="S1411" s="22" t="str">
        <f>IF(C1411="","",C1411&amp;I1411)</f>
        <v/>
      </c>
      <c r="T1411" t="str">
        <f>IF(OR(C1411="",I1411&lt;&gt;"ENTRADA"),"",TEXT(B1411,"AAMMDD")&amp;"-"&amp;TEXT(VALUE(SUBSTITUTE(A1411,"MOV-","")),"000"))</f>
        <v/>
      </c>
    </row>
    <row r="1412" spans="1:20">
      <c r="A1412" s="20" t="s">
        <v>1771</v>
      </c>
      <c r="H1412" s="20" t="str">
        <f>+T1412</f>
        <v/>
      </c>
      <c r="J1412" s="30"/>
      <c r="K1412" s="22" t="str">
        <f>IF(I1412="","",IF(I1412="ENTRADA",ABS(J1412),-ABS(J1412)))</f>
        <v/>
      </c>
      <c r="Q1412" s="35"/>
      <c r="R1412" s="22" t="str">
        <f>IF(H1412="","",H1412&amp;I1412)</f>
        <v/>
      </c>
      <c r="S1412" s="22" t="str">
        <f>IF(C1412="","",C1412&amp;I1412)</f>
        <v/>
      </c>
      <c r="T1412" t="str">
        <f>IF(OR(C1412="",I1412&lt;&gt;"ENTRADA"),"",TEXT(B1412,"AAMMDD")&amp;"-"&amp;TEXT(VALUE(SUBSTITUTE(A1412,"MOV-","")),"000"))</f>
        <v/>
      </c>
    </row>
    <row r="1413" spans="1:20">
      <c r="A1413" s="20" t="s">
        <v>1772</v>
      </c>
      <c r="H1413" s="20" t="str">
        <f>+T1413</f>
        <v/>
      </c>
      <c r="J1413" s="30"/>
      <c r="K1413" s="22" t="str">
        <f>IF(I1413="","",IF(I1413="ENTRADA",ABS(J1413),-ABS(J1413)))</f>
        <v/>
      </c>
      <c r="Q1413" s="35"/>
      <c r="R1413" s="22" t="str">
        <f>IF(H1413="","",H1413&amp;I1413)</f>
        <v/>
      </c>
      <c r="S1413" s="22" t="str">
        <f>IF(C1413="","",C1413&amp;I1413)</f>
        <v/>
      </c>
      <c r="T1413" t="str">
        <f>IF(OR(C1413="",I1413&lt;&gt;"ENTRADA"),"",TEXT(B1413,"AAMMDD")&amp;"-"&amp;TEXT(VALUE(SUBSTITUTE(A1413,"MOV-","")),"000"))</f>
        <v/>
      </c>
    </row>
    <row r="1414" spans="1:20">
      <c r="A1414" s="20" t="s">
        <v>1773</v>
      </c>
      <c r="H1414" s="20" t="str">
        <f>+T1414</f>
        <v/>
      </c>
      <c r="J1414" s="30"/>
      <c r="K1414" s="22" t="str">
        <f>IF(I1414="","",IF(I1414="ENTRADA",ABS(J1414),-ABS(J1414)))</f>
        <v/>
      </c>
      <c r="Q1414" s="35"/>
      <c r="R1414" s="22" t="str">
        <f>IF(H1414="","",H1414&amp;I1414)</f>
        <v/>
      </c>
      <c r="S1414" s="22" t="str">
        <f>IF(C1414="","",C1414&amp;I1414)</f>
        <v/>
      </c>
      <c r="T1414" t="str">
        <f>IF(OR(C1414="",I1414&lt;&gt;"ENTRADA"),"",TEXT(B1414,"AAMMDD")&amp;"-"&amp;TEXT(VALUE(SUBSTITUTE(A1414,"MOV-","")),"000"))</f>
        <v/>
      </c>
    </row>
    <row r="1415" spans="1:20">
      <c r="A1415" s="20" t="s">
        <v>1774</v>
      </c>
      <c r="H1415" s="20" t="str">
        <f>+T1415</f>
        <v/>
      </c>
      <c r="J1415" s="30"/>
      <c r="K1415" s="22" t="str">
        <f>IF(I1415="","",IF(I1415="ENTRADA",ABS(J1415),-ABS(J1415)))</f>
        <v/>
      </c>
      <c r="Q1415" s="35"/>
      <c r="R1415" s="22" t="str">
        <f>IF(H1415="","",H1415&amp;I1415)</f>
        <v/>
      </c>
      <c r="S1415" s="22" t="str">
        <f>IF(C1415="","",C1415&amp;I1415)</f>
        <v/>
      </c>
      <c r="T1415" t="str">
        <f>IF(OR(C1415="",I1415&lt;&gt;"ENTRADA"),"",TEXT(B1415,"AAMMDD")&amp;"-"&amp;TEXT(VALUE(SUBSTITUTE(A1415,"MOV-","")),"000"))</f>
        <v/>
      </c>
    </row>
    <row r="1416" spans="1:20">
      <c r="A1416" s="20" t="s">
        <v>1775</v>
      </c>
      <c r="H1416" s="20" t="str">
        <f>+T1416</f>
        <v/>
      </c>
      <c r="J1416" s="30"/>
      <c r="K1416" s="22" t="str">
        <f>IF(I1416="","",IF(I1416="ENTRADA",ABS(J1416),-ABS(J1416)))</f>
        <v/>
      </c>
      <c r="Q1416" s="35"/>
      <c r="R1416" s="22" t="str">
        <f>IF(H1416="","",H1416&amp;I1416)</f>
        <v/>
      </c>
      <c r="S1416" s="22" t="str">
        <f>IF(C1416="","",C1416&amp;I1416)</f>
        <v/>
      </c>
      <c r="T1416" t="str">
        <f>IF(OR(C1416="",I1416&lt;&gt;"ENTRADA"),"",TEXT(B1416,"AAMMDD")&amp;"-"&amp;TEXT(VALUE(SUBSTITUTE(A1416,"MOV-","")),"000"))</f>
        <v/>
      </c>
    </row>
    <row r="1417" spans="1:20">
      <c r="A1417" s="20" t="s">
        <v>1776</v>
      </c>
      <c r="H1417" s="20" t="str">
        <f>+T1417</f>
        <v/>
      </c>
      <c r="J1417" s="30"/>
      <c r="K1417" s="22" t="str">
        <f>IF(I1417="","",IF(I1417="ENTRADA",ABS(J1417),-ABS(J1417)))</f>
        <v/>
      </c>
      <c r="Q1417" s="35"/>
      <c r="R1417" s="22" t="str">
        <f>IF(H1417="","",H1417&amp;I1417)</f>
        <v/>
      </c>
      <c r="S1417" s="22" t="str">
        <f>IF(C1417="","",C1417&amp;I1417)</f>
        <v/>
      </c>
      <c r="T1417" t="str">
        <f>IF(OR(C1417="",I1417&lt;&gt;"ENTRADA"),"",TEXT(B1417,"AAMMDD")&amp;"-"&amp;TEXT(VALUE(SUBSTITUTE(A1417,"MOV-","")),"000"))</f>
        <v/>
      </c>
    </row>
    <row r="1418" spans="1:20">
      <c r="A1418" s="20" t="s">
        <v>1777</v>
      </c>
      <c r="H1418" s="20" t="str">
        <f>+T1418</f>
        <v/>
      </c>
      <c r="J1418" s="30"/>
      <c r="K1418" s="22" t="str">
        <f>IF(I1418="","",IF(I1418="ENTRADA",ABS(J1418),-ABS(J1418)))</f>
        <v/>
      </c>
      <c r="Q1418" s="35"/>
      <c r="R1418" s="22" t="str">
        <f>IF(H1418="","",H1418&amp;I1418)</f>
        <v/>
      </c>
      <c r="S1418" s="22" t="str">
        <f>IF(C1418="","",C1418&amp;I1418)</f>
        <v/>
      </c>
      <c r="T1418" t="str">
        <f>IF(OR(C1418="",I1418&lt;&gt;"ENTRADA"),"",TEXT(B1418,"AAMMDD")&amp;"-"&amp;TEXT(VALUE(SUBSTITUTE(A1418,"MOV-","")),"000"))</f>
        <v/>
      </c>
    </row>
    <row r="1419" spans="1:20">
      <c r="A1419" s="20" t="s">
        <v>1778</v>
      </c>
      <c r="H1419" s="20" t="str">
        <f>+T1419</f>
        <v/>
      </c>
      <c r="J1419" s="30"/>
      <c r="K1419" s="22" t="str">
        <f>IF(I1419="","",IF(I1419="ENTRADA",ABS(J1419),-ABS(J1419)))</f>
        <v/>
      </c>
      <c r="Q1419" s="35"/>
      <c r="R1419" s="22" t="str">
        <f>IF(H1419="","",H1419&amp;I1419)</f>
        <v/>
      </c>
      <c r="S1419" s="22" t="str">
        <f>IF(C1419="","",C1419&amp;I1419)</f>
        <v/>
      </c>
      <c r="T1419" t="str">
        <f>IF(OR(C1419="",I1419&lt;&gt;"ENTRADA"),"",TEXT(B1419,"AAMMDD")&amp;"-"&amp;TEXT(VALUE(SUBSTITUTE(A1419,"MOV-","")),"000"))</f>
        <v/>
      </c>
    </row>
    <row r="1420" spans="1:20">
      <c r="A1420" s="20" t="s">
        <v>1779</v>
      </c>
      <c r="H1420" s="20" t="str">
        <f>+T1420</f>
        <v/>
      </c>
      <c r="J1420" s="30"/>
      <c r="K1420" s="22" t="str">
        <f>IF(I1420="","",IF(I1420="ENTRADA",ABS(J1420),-ABS(J1420)))</f>
        <v/>
      </c>
      <c r="Q1420" s="35"/>
      <c r="R1420" s="22" t="str">
        <f>IF(H1420="","",H1420&amp;I1420)</f>
        <v/>
      </c>
      <c r="S1420" s="22" t="str">
        <f>IF(C1420="","",C1420&amp;I1420)</f>
        <v/>
      </c>
      <c r="T1420" t="str">
        <f>IF(OR(C1420="",I1420&lt;&gt;"ENTRADA"),"",TEXT(B1420,"AAMMDD")&amp;"-"&amp;TEXT(VALUE(SUBSTITUTE(A1420,"MOV-","")),"000"))</f>
        <v/>
      </c>
    </row>
    <row r="1421" spans="1:20">
      <c r="A1421" s="20" t="s">
        <v>1780</v>
      </c>
      <c r="H1421" s="20" t="str">
        <f>+T1421</f>
        <v/>
      </c>
      <c r="J1421" s="30"/>
      <c r="K1421" s="22" t="str">
        <f>IF(I1421="","",IF(I1421="ENTRADA",ABS(J1421),-ABS(J1421)))</f>
        <v/>
      </c>
      <c r="Q1421" s="35"/>
      <c r="R1421" s="22" t="str">
        <f>IF(H1421="","",H1421&amp;I1421)</f>
        <v/>
      </c>
      <c r="S1421" s="22" t="str">
        <f>IF(C1421="","",C1421&amp;I1421)</f>
        <v/>
      </c>
      <c r="T1421" t="str">
        <f>IF(OR(C1421="",I1421&lt;&gt;"ENTRADA"),"",TEXT(B1421,"AAMMDD")&amp;"-"&amp;TEXT(VALUE(SUBSTITUTE(A1421,"MOV-","")),"000"))</f>
        <v/>
      </c>
    </row>
    <row r="1422" spans="1:20">
      <c r="A1422" s="20" t="s">
        <v>1781</v>
      </c>
      <c r="H1422" s="20" t="str">
        <f>+T1422</f>
        <v/>
      </c>
      <c r="J1422" s="30"/>
      <c r="K1422" s="22" t="str">
        <f>IF(I1422="","",IF(I1422="ENTRADA",ABS(J1422),-ABS(J1422)))</f>
        <v/>
      </c>
      <c r="Q1422" s="35"/>
      <c r="R1422" s="22" t="str">
        <f>IF(H1422="","",H1422&amp;I1422)</f>
        <v/>
      </c>
      <c r="S1422" s="22" t="str">
        <f>IF(C1422="","",C1422&amp;I1422)</f>
        <v/>
      </c>
      <c r="T1422" t="str">
        <f>IF(OR(C1422="",I1422&lt;&gt;"ENTRADA"),"",TEXT(B1422,"AAMMDD")&amp;"-"&amp;TEXT(VALUE(SUBSTITUTE(A1422,"MOV-","")),"000"))</f>
        <v/>
      </c>
    </row>
    <row r="1423" spans="1:20">
      <c r="A1423" s="20" t="s">
        <v>1782</v>
      </c>
      <c r="H1423" s="20" t="str">
        <f>+T1423</f>
        <v/>
      </c>
      <c r="J1423" s="30"/>
      <c r="K1423" s="22" t="str">
        <f>IF(I1423="","",IF(I1423="ENTRADA",ABS(J1423),-ABS(J1423)))</f>
        <v/>
      </c>
      <c r="Q1423" s="35"/>
      <c r="R1423" s="22" t="str">
        <f>IF(H1423="","",H1423&amp;I1423)</f>
        <v/>
      </c>
      <c r="S1423" s="22" t="str">
        <f>IF(C1423="","",C1423&amp;I1423)</f>
        <v/>
      </c>
      <c r="T1423" t="str">
        <f>IF(OR(C1423="",I1423&lt;&gt;"ENTRADA"),"",TEXT(B1423,"AAMMDD")&amp;"-"&amp;TEXT(VALUE(SUBSTITUTE(A1423,"MOV-","")),"000"))</f>
        <v/>
      </c>
    </row>
    <row r="1424" spans="1:20">
      <c r="A1424" s="20" t="s">
        <v>1783</v>
      </c>
      <c r="H1424" s="20" t="str">
        <f>+T1424</f>
        <v/>
      </c>
      <c r="J1424" s="30"/>
      <c r="K1424" s="22" t="str">
        <f>IF(I1424="","",IF(I1424="ENTRADA",ABS(J1424),-ABS(J1424)))</f>
        <v/>
      </c>
      <c r="Q1424" s="35"/>
      <c r="R1424" s="22" t="str">
        <f>IF(H1424="","",H1424&amp;I1424)</f>
        <v/>
      </c>
      <c r="S1424" s="22" t="str">
        <f>IF(C1424="","",C1424&amp;I1424)</f>
        <v/>
      </c>
      <c r="T1424" t="str">
        <f>IF(OR(C1424="",I1424&lt;&gt;"ENTRADA"),"",TEXT(B1424,"AAMMDD")&amp;"-"&amp;TEXT(VALUE(SUBSTITUTE(A1424,"MOV-","")),"000"))</f>
        <v/>
      </c>
    </row>
    <row r="1425" spans="1:20">
      <c r="A1425" s="20" t="s">
        <v>1784</v>
      </c>
      <c r="H1425" s="20" t="str">
        <f>+T1425</f>
        <v/>
      </c>
      <c r="J1425" s="30"/>
      <c r="K1425" s="22" t="str">
        <f>IF(I1425="","",IF(I1425="ENTRADA",ABS(J1425),-ABS(J1425)))</f>
        <v/>
      </c>
      <c r="Q1425" s="35"/>
      <c r="R1425" s="22" t="str">
        <f>IF(H1425="","",H1425&amp;I1425)</f>
        <v/>
      </c>
      <c r="S1425" s="22" t="str">
        <f>IF(C1425="","",C1425&amp;I1425)</f>
        <v/>
      </c>
      <c r="T1425" t="str">
        <f>IF(OR(C1425="",I1425&lt;&gt;"ENTRADA"),"",TEXT(B1425,"AAMMDD")&amp;"-"&amp;TEXT(VALUE(SUBSTITUTE(A1425,"MOV-","")),"000"))</f>
        <v/>
      </c>
    </row>
    <row r="1426" spans="1:20">
      <c r="A1426" s="20" t="s">
        <v>1785</v>
      </c>
      <c r="H1426" s="20" t="str">
        <f>+T1426</f>
        <v/>
      </c>
      <c r="J1426" s="30"/>
      <c r="K1426" s="22" t="str">
        <f>IF(I1426="","",IF(I1426="ENTRADA",ABS(J1426),-ABS(J1426)))</f>
        <v/>
      </c>
      <c r="Q1426" s="35"/>
      <c r="R1426" s="22" t="str">
        <f>IF(H1426="","",H1426&amp;I1426)</f>
        <v/>
      </c>
      <c r="S1426" s="22" t="str">
        <f>IF(C1426="","",C1426&amp;I1426)</f>
        <v/>
      </c>
      <c r="T1426" t="str">
        <f>IF(OR(C1426="",I1426&lt;&gt;"ENTRADA"),"",TEXT(B1426,"AAMMDD")&amp;"-"&amp;TEXT(VALUE(SUBSTITUTE(A1426,"MOV-","")),"000"))</f>
        <v/>
      </c>
    </row>
    <row r="1427" spans="1:20">
      <c r="A1427" s="20" t="s">
        <v>1786</v>
      </c>
      <c r="H1427" s="20" t="str">
        <f>+T1427</f>
        <v/>
      </c>
      <c r="J1427" s="30"/>
      <c r="K1427" s="22" t="str">
        <f>IF(I1427="","",IF(I1427="ENTRADA",ABS(J1427),-ABS(J1427)))</f>
        <v/>
      </c>
      <c r="Q1427" s="35"/>
      <c r="R1427" s="22" t="str">
        <f>IF(H1427="","",H1427&amp;I1427)</f>
        <v/>
      </c>
      <c r="S1427" s="22" t="str">
        <f>IF(C1427="","",C1427&amp;I1427)</f>
        <v/>
      </c>
      <c r="T1427" t="str">
        <f>IF(OR(C1427="",I1427&lt;&gt;"ENTRADA"),"",TEXT(B1427,"AAMMDD")&amp;"-"&amp;TEXT(VALUE(SUBSTITUTE(A1427,"MOV-","")),"000"))</f>
        <v/>
      </c>
    </row>
    <row r="1428" spans="1:20">
      <c r="A1428" s="20" t="s">
        <v>1787</v>
      </c>
      <c r="H1428" s="20" t="str">
        <f>+T1428</f>
        <v/>
      </c>
      <c r="J1428" s="30"/>
      <c r="K1428" s="22" t="str">
        <f>IF(I1428="","",IF(I1428="ENTRADA",ABS(J1428),-ABS(J1428)))</f>
        <v/>
      </c>
      <c r="Q1428" s="35"/>
      <c r="R1428" s="22" t="str">
        <f>IF(H1428="","",H1428&amp;I1428)</f>
        <v/>
      </c>
      <c r="S1428" s="22" t="str">
        <f>IF(C1428="","",C1428&amp;I1428)</f>
        <v/>
      </c>
      <c r="T1428" t="str">
        <f>IF(OR(C1428="",I1428&lt;&gt;"ENTRADA"),"",TEXT(B1428,"AAMMDD")&amp;"-"&amp;TEXT(VALUE(SUBSTITUTE(A1428,"MOV-","")),"000"))</f>
        <v/>
      </c>
    </row>
    <row r="1429" spans="1:20">
      <c r="A1429" s="20" t="s">
        <v>1788</v>
      </c>
      <c r="H1429" s="20" t="str">
        <f>+T1429</f>
        <v/>
      </c>
      <c r="J1429" s="30"/>
      <c r="K1429" s="22" t="str">
        <f>IF(I1429="","",IF(I1429="ENTRADA",ABS(J1429),-ABS(J1429)))</f>
        <v/>
      </c>
      <c r="Q1429" s="35"/>
      <c r="R1429" s="22" t="str">
        <f>IF(H1429="","",H1429&amp;I1429)</f>
        <v/>
      </c>
      <c r="S1429" s="22" t="str">
        <f>IF(C1429="","",C1429&amp;I1429)</f>
        <v/>
      </c>
      <c r="T1429" t="str">
        <f>IF(OR(C1429="",I1429&lt;&gt;"ENTRADA"),"",TEXT(B1429,"AAMMDD")&amp;"-"&amp;TEXT(VALUE(SUBSTITUTE(A1429,"MOV-","")),"000"))</f>
        <v/>
      </c>
    </row>
    <row r="1430" spans="1:20">
      <c r="A1430" s="20" t="s">
        <v>1789</v>
      </c>
      <c r="H1430" s="20" t="str">
        <f>+T1430</f>
        <v/>
      </c>
      <c r="J1430" s="30"/>
      <c r="K1430" s="22" t="str">
        <f>IF(I1430="","",IF(I1430="ENTRADA",ABS(J1430),-ABS(J1430)))</f>
        <v/>
      </c>
      <c r="Q1430" s="35"/>
      <c r="R1430" s="22" t="str">
        <f>IF(H1430="","",H1430&amp;I1430)</f>
        <v/>
      </c>
      <c r="S1430" s="22" t="str">
        <f>IF(C1430="","",C1430&amp;I1430)</f>
        <v/>
      </c>
      <c r="T1430" t="str">
        <f>IF(OR(C1430="",I1430&lt;&gt;"ENTRADA"),"",TEXT(B1430,"AAMMDD")&amp;"-"&amp;TEXT(VALUE(SUBSTITUTE(A1430,"MOV-","")),"000"))</f>
        <v/>
      </c>
    </row>
    <row r="1431" spans="1:20">
      <c r="A1431" s="20" t="s">
        <v>1790</v>
      </c>
      <c r="H1431" s="20" t="str">
        <f>+T1431</f>
        <v/>
      </c>
      <c r="J1431" s="30"/>
      <c r="K1431" s="22" t="str">
        <f>IF(I1431="","",IF(I1431="ENTRADA",ABS(J1431),-ABS(J1431)))</f>
        <v/>
      </c>
      <c r="Q1431" s="35"/>
      <c r="R1431" s="22" t="str">
        <f>IF(H1431="","",H1431&amp;I1431)</f>
        <v/>
      </c>
      <c r="S1431" s="22" t="str">
        <f>IF(C1431="","",C1431&amp;I1431)</f>
        <v/>
      </c>
      <c r="T1431" t="str">
        <f>IF(OR(C1431="",I1431&lt;&gt;"ENTRADA"),"",TEXT(B1431,"AAMMDD")&amp;"-"&amp;TEXT(VALUE(SUBSTITUTE(A1431,"MOV-","")),"000"))</f>
        <v/>
      </c>
    </row>
    <row r="1432" spans="1:20">
      <c r="A1432" s="20" t="s">
        <v>1791</v>
      </c>
      <c r="H1432" s="20" t="str">
        <f>+T1432</f>
        <v/>
      </c>
      <c r="J1432" s="30"/>
      <c r="K1432" s="22" t="str">
        <f>IF(I1432="","",IF(I1432="ENTRADA",ABS(J1432),-ABS(J1432)))</f>
        <v/>
      </c>
      <c r="Q1432" s="35"/>
      <c r="R1432" s="22" t="str">
        <f>IF(H1432="","",H1432&amp;I1432)</f>
        <v/>
      </c>
      <c r="S1432" s="22" t="str">
        <f>IF(C1432="","",C1432&amp;I1432)</f>
        <v/>
      </c>
      <c r="T1432" t="str">
        <f>IF(OR(C1432="",I1432&lt;&gt;"ENTRADA"),"",TEXT(B1432,"AAMMDD")&amp;"-"&amp;TEXT(VALUE(SUBSTITUTE(A1432,"MOV-","")),"000"))</f>
        <v/>
      </c>
    </row>
    <row r="1433" spans="1:20">
      <c r="A1433" s="20" t="s">
        <v>1792</v>
      </c>
      <c r="H1433" s="20" t="str">
        <f>+T1433</f>
        <v/>
      </c>
      <c r="J1433" s="30"/>
      <c r="K1433" s="22" t="str">
        <f>IF(I1433="","",IF(I1433="ENTRADA",ABS(J1433),-ABS(J1433)))</f>
        <v/>
      </c>
      <c r="Q1433" s="35"/>
      <c r="R1433" s="22" t="str">
        <f>IF(H1433="","",H1433&amp;I1433)</f>
        <v/>
      </c>
      <c r="S1433" s="22" t="str">
        <f>IF(C1433="","",C1433&amp;I1433)</f>
        <v/>
      </c>
      <c r="T1433" t="str">
        <f>IF(OR(C1433="",I1433&lt;&gt;"ENTRADA"),"",TEXT(B1433,"AAMMDD")&amp;"-"&amp;TEXT(VALUE(SUBSTITUTE(A1433,"MOV-","")),"000"))</f>
        <v/>
      </c>
    </row>
    <row r="1434" spans="1:20">
      <c r="A1434" s="20" t="s">
        <v>1793</v>
      </c>
      <c r="H1434" s="20" t="str">
        <f>+T1434</f>
        <v/>
      </c>
      <c r="J1434" s="30"/>
      <c r="K1434" s="22" t="str">
        <f>IF(I1434="","",IF(I1434="ENTRADA",ABS(J1434),-ABS(J1434)))</f>
        <v/>
      </c>
      <c r="Q1434" s="35"/>
      <c r="R1434" s="22" t="str">
        <f>IF(H1434="","",H1434&amp;I1434)</f>
        <v/>
      </c>
      <c r="S1434" s="22" t="str">
        <f>IF(C1434="","",C1434&amp;I1434)</f>
        <v/>
      </c>
      <c r="T1434" t="str">
        <f>IF(OR(C1434="",I1434&lt;&gt;"ENTRADA"),"",TEXT(B1434,"AAMMDD")&amp;"-"&amp;TEXT(VALUE(SUBSTITUTE(A1434,"MOV-","")),"000"))</f>
        <v/>
      </c>
    </row>
    <row r="1435" spans="1:20">
      <c r="A1435" s="20" t="s">
        <v>1794</v>
      </c>
      <c r="H1435" s="20" t="str">
        <f>+T1435</f>
        <v/>
      </c>
      <c r="J1435" s="30"/>
      <c r="K1435" s="22" t="str">
        <f>IF(I1435="","",IF(I1435="ENTRADA",ABS(J1435),-ABS(J1435)))</f>
        <v/>
      </c>
      <c r="Q1435" s="35"/>
      <c r="R1435" s="22" t="str">
        <f>IF(H1435="","",H1435&amp;I1435)</f>
        <v/>
      </c>
      <c r="S1435" s="22" t="str">
        <f>IF(C1435="","",C1435&amp;I1435)</f>
        <v/>
      </c>
      <c r="T1435" t="str">
        <f>IF(OR(C1435="",I1435&lt;&gt;"ENTRADA"),"",TEXT(B1435,"AAMMDD")&amp;"-"&amp;TEXT(VALUE(SUBSTITUTE(A1435,"MOV-","")),"000"))</f>
        <v/>
      </c>
    </row>
    <row r="1436" spans="1:20">
      <c r="A1436" s="20" t="s">
        <v>1795</v>
      </c>
      <c r="H1436" s="20" t="str">
        <f>+T1436</f>
        <v/>
      </c>
      <c r="J1436" s="30"/>
      <c r="K1436" s="22" t="str">
        <f>IF(I1436="","",IF(I1436="ENTRADA",ABS(J1436),-ABS(J1436)))</f>
        <v/>
      </c>
      <c r="Q1436" s="35"/>
      <c r="R1436" s="22" t="str">
        <f>IF(H1436="","",H1436&amp;I1436)</f>
        <v/>
      </c>
      <c r="S1436" s="22" t="str">
        <f>IF(C1436="","",C1436&amp;I1436)</f>
        <v/>
      </c>
      <c r="T1436" t="str">
        <f>IF(OR(C1436="",I1436&lt;&gt;"ENTRADA"),"",TEXT(B1436,"AAMMDD")&amp;"-"&amp;TEXT(VALUE(SUBSTITUTE(A1436,"MOV-","")),"000"))</f>
        <v/>
      </c>
    </row>
    <row r="1437" spans="1:20">
      <c r="A1437" s="20" t="s">
        <v>1796</v>
      </c>
      <c r="H1437" s="20" t="str">
        <f>+T1437</f>
        <v/>
      </c>
      <c r="J1437" s="30"/>
      <c r="K1437" s="22" t="str">
        <f>IF(I1437="","",IF(I1437="ENTRADA",ABS(J1437),-ABS(J1437)))</f>
        <v/>
      </c>
      <c r="Q1437" s="35"/>
      <c r="R1437" s="22" t="str">
        <f>IF(H1437="","",H1437&amp;I1437)</f>
        <v/>
      </c>
      <c r="S1437" s="22" t="str">
        <f>IF(C1437="","",C1437&amp;I1437)</f>
        <v/>
      </c>
      <c r="T1437" t="str">
        <f>IF(OR(C1437="",I1437&lt;&gt;"ENTRADA"),"",TEXT(B1437,"AAMMDD")&amp;"-"&amp;TEXT(VALUE(SUBSTITUTE(A1437,"MOV-","")),"000"))</f>
        <v/>
      </c>
    </row>
    <row r="1438" spans="1:20">
      <c r="A1438" s="20" t="s">
        <v>1797</v>
      </c>
      <c r="H1438" s="20" t="str">
        <f>+T1438</f>
        <v/>
      </c>
      <c r="J1438" s="30"/>
      <c r="K1438" s="22" t="str">
        <f>IF(I1438="","",IF(I1438="ENTRADA",ABS(J1438),-ABS(J1438)))</f>
        <v/>
      </c>
      <c r="Q1438" s="35"/>
      <c r="R1438" s="22" t="str">
        <f>IF(H1438="","",H1438&amp;I1438)</f>
        <v/>
      </c>
      <c r="S1438" s="22" t="str">
        <f>IF(C1438="","",C1438&amp;I1438)</f>
        <v/>
      </c>
      <c r="T1438" t="str">
        <f>IF(OR(C1438="",I1438&lt;&gt;"ENTRADA"),"",TEXT(B1438,"AAMMDD")&amp;"-"&amp;TEXT(VALUE(SUBSTITUTE(A1438,"MOV-","")),"000"))</f>
        <v/>
      </c>
    </row>
    <row r="1439" spans="1:20">
      <c r="A1439" s="20" t="s">
        <v>1798</v>
      </c>
      <c r="H1439" s="20" t="str">
        <f>+T1439</f>
        <v/>
      </c>
      <c r="J1439" s="30"/>
      <c r="K1439" s="22" t="str">
        <f>IF(I1439="","",IF(I1439="ENTRADA",ABS(J1439),-ABS(J1439)))</f>
        <v/>
      </c>
      <c r="Q1439" s="35"/>
      <c r="R1439" s="22" t="str">
        <f>IF(H1439="","",H1439&amp;I1439)</f>
        <v/>
      </c>
      <c r="S1439" s="22" t="str">
        <f>IF(C1439="","",C1439&amp;I1439)</f>
        <v/>
      </c>
      <c r="T1439" t="str">
        <f>IF(OR(C1439="",I1439&lt;&gt;"ENTRADA"),"",TEXT(B1439,"AAMMDD")&amp;"-"&amp;TEXT(VALUE(SUBSTITUTE(A1439,"MOV-","")),"000"))</f>
        <v/>
      </c>
    </row>
    <row r="1440" spans="1:20">
      <c r="A1440" s="20" t="s">
        <v>1799</v>
      </c>
      <c r="H1440" s="20" t="str">
        <f>+T1440</f>
        <v/>
      </c>
      <c r="J1440" s="30"/>
      <c r="K1440" s="22" t="str">
        <f>IF(I1440="","",IF(I1440="ENTRADA",ABS(J1440),-ABS(J1440)))</f>
        <v/>
      </c>
      <c r="Q1440" s="35"/>
      <c r="R1440" s="22" t="str">
        <f>IF(H1440="","",H1440&amp;I1440)</f>
        <v/>
      </c>
      <c r="S1440" s="22" t="str">
        <f>IF(C1440="","",C1440&amp;I1440)</f>
        <v/>
      </c>
      <c r="T1440" t="str">
        <f>IF(OR(C1440="",I1440&lt;&gt;"ENTRADA"),"",TEXT(B1440,"AAMMDD")&amp;"-"&amp;TEXT(VALUE(SUBSTITUTE(A1440,"MOV-","")),"000"))</f>
        <v/>
      </c>
    </row>
    <row r="1441" spans="1:20">
      <c r="A1441" s="20" t="s">
        <v>1800</v>
      </c>
      <c r="H1441" s="20" t="str">
        <f>+T1441</f>
        <v/>
      </c>
      <c r="J1441" s="30"/>
      <c r="K1441" s="22" t="str">
        <f>IF(I1441="","",IF(I1441="ENTRADA",ABS(J1441),-ABS(J1441)))</f>
        <v/>
      </c>
      <c r="Q1441" s="35"/>
      <c r="R1441" s="22" t="str">
        <f>IF(H1441="","",H1441&amp;I1441)</f>
        <v/>
      </c>
      <c r="S1441" s="22" t="str">
        <f>IF(C1441="","",C1441&amp;I1441)</f>
        <v/>
      </c>
      <c r="T1441" t="str">
        <f>IF(OR(C1441="",I1441&lt;&gt;"ENTRADA"),"",TEXT(B1441,"AAMMDD")&amp;"-"&amp;TEXT(VALUE(SUBSTITUTE(A1441,"MOV-","")),"000"))</f>
        <v/>
      </c>
    </row>
    <row r="1442" spans="1:20">
      <c r="A1442" s="20" t="s">
        <v>1801</v>
      </c>
      <c r="H1442" s="20" t="str">
        <f>+T1442</f>
        <v/>
      </c>
      <c r="J1442" s="30"/>
      <c r="K1442" s="22" t="str">
        <f>IF(I1442="","",IF(I1442="ENTRADA",ABS(J1442),-ABS(J1442)))</f>
        <v/>
      </c>
      <c r="Q1442" s="35"/>
      <c r="R1442" s="22" t="str">
        <f>IF(H1442="","",H1442&amp;I1442)</f>
        <v/>
      </c>
      <c r="S1442" s="22" t="str">
        <f>IF(C1442="","",C1442&amp;I1442)</f>
        <v/>
      </c>
      <c r="T1442" t="str">
        <f>IF(OR(C1442="",I1442&lt;&gt;"ENTRADA"),"",TEXT(B1442,"AAMMDD")&amp;"-"&amp;TEXT(VALUE(SUBSTITUTE(A1442,"MOV-","")),"000"))</f>
        <v/>
      </c>
    </row>
    <row r="1443" spans="1:20">
      <c r="A1443" s="20" t="s">
        <v>1802</v>
      </c>
      <c r="H1443" s="20" t="str">
        <f>+T1443</f>
        <v/>
      </c>
      <c r="J1443" s="30"/>
      <c r="K1443" s="22" t="str">
        <f>IF(I1443="","",IF(I1443="ENTRADA",ABS(J1443),-ABS(J1443)))</f>
        <v/>
      </c>
      <c r="Q1443" s="35"/>
      <c r="R1443" s="22" t="str">
        <f>IF(H1443="","",H1443&amp;I1443)</f>
        <v/>
      </c>
      <c r="S1443" s="22" t="str">
        <f>IF(C1443="","",C1443&amp;I1443)</f>
        <v/>
      </c>
      <c r="T1443" t="str">
        <f>IF(OR(C1443="",I1443&lt;&gt;"ENTRADA"),"",TEXT(B1443,"AAMMDD")&amp;"-"&amp;TEXT(VALUE(SUBSTITUTE(A1443,"MOV-","")),"000"))</f>
        <v/>
      </c>
    </row>
    <row r="1444" spans="1:20">
      <c r="A1444" s="20" t="s">
        <v>1803</v>
      </c>
      <c r="H1444" s="20" t="str">
        <f>+T1444</f>
        <v/>
      </c>
      <c r="J1444" s="30"/>
      <c r="K1444" s="22" t="str">
        <f>IF(I1444="","",IF(I1444="ENTRADA",ABS(J1444),-ABS(J1444)))</f>
        <v/>
      </c>
      <c r="Q1444" s="35"/>
      <c r="R1444" s="22" t="str">
        <f>IF(H1444="","",H1444&amp;I1444)</f>
        <v/>
      </c>
      <c r="S1444" s="22" t="str">
        <f>IF(C1444="","",C1444&amp;I1444)</f>
        <v/>
      </c>
      <c r="T1444" t="str">
        <f>IF(OR(C1444="",I1444&lt;&gt;"ENTRADA"),"",TEXT(B1444,"AAMMDD")&amp;"-"&amp;TEXT(VALUE(SUBSTITUTE(A1444,"MOV-","")),"000"))</f>
        <v/>
      </c>
    </row>
    <row r="1445" spans="1:20">
      <c r="A1445" s="20" t="s">
        <v>1804</v>
      </c>
      <c r="H1445" s="20" t="str">
        <f>+T1445</f>
        <v/>
      </c>
      <c r="J1445" s="30"/>
      <c r="K1445" s="22" t="str">
        <f>IF(I1445="","",IF(I1445="ENTRADA",ABS(J1445),-ABS(J1445)))</f>
        <v/>
      </c>
      <c r="Q1445" s="35"/>
      <c r="R1445" s="22" t="str">
        <f>IF(H1445="","",H1445&amp;I1445)</f>
        <v/>
      </c>
      <c r="S1445" s="22" t="str">
        <f>IF(C1445="","",C1445&amp;I1445)</f>
        <v/>
      </c>
      <c r="T1445" t="str">
        <f>IF(OR(C1445="",I1445&lt;&gt;"ENTRADA"),"",TEXT(B1445,"AAMMDD")&amp;"-"&amp;TEXT(VALUE(SUBSTITUTE(A1445,"MOV-","")),"000"))</f>
        <v/>
      </c>
    </row>
    <row r="1446" spans="1:20">
      <c r="A1446" s="20" t="s">
        <v>1805</v>
      </c>
      <c r="H1446" s="20" t="str">
        <f>+T1446</f>
        <v/>
      </c>
      <c r="J1446" s="30"/>
      <c r="K1446" s="22" t="str">
        <f>IF(I1446="","",IF(I1446="ENTRADA",ABS(J1446),-ABS(J1446)))</f>
        <v/>
      </c>
      <c r="Q1446" s="35"/>
      <c r="R1446" s="22" t="str">
        <f>IF(H1446="","",H1446&amp;I1446)</f>
        <v/>
      </c>
      <c r="S1446" s="22" t="str">
        <f>IF(C1446="","",C1446&amp;I1446)</f>
        <v/>
      </c>
      <c r="T1446" t="str">
        <f>IF(OR(C1446="",I1446&lt;&gt;"ENTRADA"),"",TEXT(B1446,"AAMMDD")&amp;"-"&amp;TEXT(VALUE(SUBSTITUTE(A1446,"MOV-","")),"000"))</f>
        <v/>
      </c>
    </row>
    <row r="1447" spans="1:20">
      <c r="A1447" s="20" t="s">
        <v>1806</v>
      </c>
      <c r="H1447" s="20" t="str">
        <f>+T1447</f>
        <v/>
      </c>
      <c r="J1447" s="30"/>
      <c r="K1447" s="22" t="str">
        <f>IF(I1447="","",IF(I1447="ENTRADA",ABS(J1447),-ABS(J1447)))</f>
        <v/>
      </c>
      <c r="Q1447" s="35"/>
      <c r="R1447" s="22" t="str">
        <f>IF(H1447="","",H1447&amp;I1447)</f>
        <v/>
      </c>
      <c r="S1447" s="22" t="str">
        <f>IF(C1447="","",C1447&amp;I1447)</f>
        <v/>
      </c>
      <c r="T1447" t="str">
        <f>IF(OR(C1447="",I1447&lt;&gt;"ENTRADA"),"",TEXT(B1447,"AAMMDD")&amp;"-"&amp;TEXT(VALUE(SUBSTITUTE(A1447,"MOV-","")),"000"))</f>
        <v/>
      </c>
    </row>
    <row r="1448" spans="1:20">
      <c r="A1448" s="20" t="s">
        <v>1807</v>
      </c>
      <c r="H1448" s="20" t="str">
        <f>+T1448</f>
        <v/>
      </c>
      <c r="J1448" s="30"/>
      <c r="K1448" s="22" t="str">
        <f>IF(I1448="","",IF(I1448="ENTRADA",ABS(J1448),-ABS(J1448)))</f>
        <v/>
      </c>
      <c r="Q1448" s="35"/>
      <c r="R1448" s="22" t="str">
        <f>IF(H1448="","",H1448&amp;I1448)</f>
        <v/>
      </c>
      <c r="S1448" s="22" t="str">
        <f>IF(C1448="","",C1448&amp;I1448)</f>
        <v/>
      </c>
      <c r="T1448" t="str">
        <f>IF(OR(C1448="",I1448&lt;&gt;"ENTRADA"),"",TEXT(B1448,"AAMMDD")&amp;"-"&amp;TEXT(VALUE(SUBSTITUTE(A1448,"MOV-","")),"000"))</f>
        <v/>
      </c>
    </row>
    <row r="1449" spans="1:20">
      <c r="A1449" s="20" t="s">
        <v>1808</v>
      </c>
      <c r="H1449" s="20" t="str">
        <f>+T1449</f>
        <v/>
      </c>
      <c r="J1449" s="30"/>
      <c r="K1449" s="22" t="str">
        <f>IF(I1449="","",IF(I1449="ENTRADA",ABS(J1449),-ABS(J1449)))</f>
        <v/>
      </c>
      <c r="Q1449" s="35"/>
      <c r="R1449" s="22" t="str">
        <f>IF(H1449="","",H1449&amp;I1449)</f>
        <v/>
      </c>
      <c r="S1449" s="22" t="str">
        <f>IF(C1449="","",C1449&amp;I1449)</f>
        <v/>
      </c>
      <c r="T1449" t="str">
        <f>IF(OR(C1449="",I1449&lt;&gt;"ENTRADA"),"",TEXT(B1449,"AAMMDD")&amp;"-"&amp;TEXT(VALUE(SUBSTITUTE(A1449,"MOV-","")),"000"))</f>
        <v/>
      </c>
    </row>
    <row r="1450" spans="1:20">
      <c r="A1450" s="20" t="s">
        <v>1809</v>
      </c>
      <c r="H1450" s="20" t="str">
        <f>+T1450</f>
        <v/>
      </c>
      <c r="J1450" s="30"/>
      <c r="K1450" s="22" t="str">
        <f>IF(I1450="","",IF(I1450="ENTRADA",ABS(J1450),-ABS(J1450)))</f>
        <v/>
      </c>
      <c r="Q1450" s="35"/>
      <c r="R1450" s="22" t="str">
        <f>IF(H1450="","",H1450&amp;I1450)</f>
        <v/>
      </c>
      <c r="S1450" s="22" t="str">
        <f>IF(C1450="","",C1450&amp;I1450)</f>
        <v/>
      </c>
      <c r="T1450" t="str">
        <f>IF(OR(C1450="",I1450&lt;&gt;"ENTRADA"),"",TEXT(B1450,"AAMMDD")&amp;"-"&amp;TEXT(VALUE(SUBSTITUTE(A1450,"MOV-","")),"000"))</f>
        <v/>
      </c>
    </row>
    <row r="1451" spans="1:20">
      <c r="A1451" s="20" t="s">
        <v>1810</v>
      </c>
      <c r="H1451" s="20" t="str">
        <f>+T1451</f>
        <v/>
      </c>
      <c r="J1451" s="30"/>
      <c r="K1451" s="22" t="str">
        <f>IF(I1451="","",IF(I1451="ENTRADA",ABS(J1451),-ABS(J1451)))</f>
        <v/>
      </c>
      <c r="Q1451" s="35"/>
      <c r="R1451" s="22" t="str">
        <f>IF(H1451="","",H1451&amp;I1451)</f>
        <v/>
      </c>
      <c r="S1451" s="22" t="str">
        <f>IF(C1451="","",C1451&amp;I1451)</f>
        <v/>
      </c>
      <c r="T1451" t="str">
        <f>IF(OR(C1451="",I1451&lt;&gt;"ENTRADA"),"",TEXT(B1451,"AAMMDD")&amp;"-"&amp;TEXT(VALUE(SUBSTITUTE(A1451,"MOV-","")),"000"))</f>
        <v/>
      </c>
    </row>
    <row r="1452" spans="1:20">
      <c r="A1452" s="20" t="s">
        <v>1811</v>
      </c>
      <c r="H1452" s="20" t="str">
        <f>+T1452</f>
        <v/>
      </c>
      <c r="J1452" s="30"/>
      <c r="K1452" s="22" t="str">
        <f>IF(I1452="","",IF(I1452="ENTRADA",ABS(J1452),-ABS(J1452)))</f>
        <v/>
      </c>
      <c r="Q1452" s="35"/>
      <c r="R1452" s="22" t="str">
        <f>IF(H1452="","",H1452&amp;I1452)</f>
        <v/>
      </c>
      <c r="S1452" s="22" t="str">
        <f>IF(C1452="","",C1452&amp;I1452)</f>
        <v/>
      </c>
      <c r="T1452" t="str">
        <f>IF(OR(C1452="",I1452&lt;&gt;"ENTRADA"),"",TEXT(B1452,"AAMMDD")&amp;"-"&amp;TEXT(VALUE(SUBSTITUTE(A1452,"MOV-","")),"000"))</f>
        <v/>
      </c>
    </row>
    <row r="1453" spans="1:20">
      <c r="A1453" s="20" t="s">
        <v>1812</v>
      </c>
      <c r="H1453" s="20" t="str">
        <f>+T1453</f>
        <v/>
      </c>
      <c r="J1453" s="30"/>
      <c r="K1453" s="22" t="str">
        <f>IF(I1453="","",IF(I1453="ENTRADA",ABS(J1453),-ABS(J1453)))</f>
        <v/>
      </c>
      <c r="Q1453" s="35"/>
      <c r="R1453" s="22" t="str">
        <f>IF(H1453="","",H1453&amp;I1453)</f>
        <v/>
      </c>
      <c r="S1453" s="22" t="str">
        <f>IF(C1453="","",C1453&amp;I1453)</f>
        <v/>
      </c>
      <c r="T1453" t="str">
        <f>IF(OR(C1453="",I1453&lt;&gt;"ENTRADA"),"",TEXT(B1453,"AAMMDD")&amp;"-"&amp;TEXT(VALUE(SUBSTITUTE(A1453,"MOV-","")),"000"))</f>
        <v/>
      </c>
    </row>
    <row r="1454" spans="1:20">
      <c r="A1454" s="20" t="s">
        <v>1813</v>
      </c>
      <c r="H1454" s="20" t="str">
        <f>+T1454</f>
        <v/>
      </c>
      <c r="J1454" s="30"/>
      <c r="K1454" s="22" t="str">
        <f>IF(I1454="","",IF(I1454="ENTRADA",ABS(J1454),-ABS(J1454)))</f>
        <v/>
      </c>
      <c r="Q1454" s="35"/>
      <c r="R1454" s="22" t="str">
        <f>IF(H1454="","",H1454&amp;I1454)</f>
        <v/>
      </c>
      <c r="S1454" s="22" t="str">
        <f>IF(C1454="","",C1454&amp;I1454)</f>
        <v/>
      </c>
      <c r="T1454" t="str">
        <f>IF(OR(C1454="",I1454&lt;&gt;"ENTRADA"),"",TEXT(B1454,"AAMMDD")&amp;"-"&amp;TEXT(VALUE(SUBSTITUTE(A1454,"MOV-","")),"000"))</f>
        <v/>
      </c>
    </row>
    <row r="1455" spans="1:20">
      <c r="A1455" s="20" t="s">
        <v>1814</v>
      </c>
      <c r="H1455" s="20" t="str">
        <f>+T1455</f>
        <v/>
      </c>
      <c r="J1455" s="30"/>
      <c r="K1455" s="22" t="str">
        <f>IF(I1455="","",IF(I1455="ENTRADA",ABS(J1455),-ABS(J1455)))</f>
        <v/>
      </c>
      <c r="Q1455" s="35"/>
      <c r="R1455" s="22" t="str">
        <f>IF(H1455="","",H1455&amp;I1455)</f>
        <v/>
      </c>
      <c r="S1455" s="22" t="str">
        <f>IF(C1455="","",C1455&amp;I1455)</f>
        <v/>
      </c>
      <c r="T1455" t="str">
        <f>IF(OR(C1455="",I1455&lt;&gt;"ENTRADA"),"",TEXT(B1455,"AAMMDD")&amp;"-"&amp;TEXT(VALUE(SUBSTITUTE(A1455,"MOV-","")),"000"))</f>
        <v/>
      </c>
    </row>
    <row r="1456" spans="1:20">
      <c r="A1456" s="20" t="s">
        <v>1815</v>
      </c>
      <c r="H1456" s="20" t="str">
        <f>+T1456</f>
        <v/>
      </c>
      <c r="J1456" s="30"/>
      <c r="K1456" s="22" t="str">
        <f>IF(I1456="","",IF(I1456="ENTRADA",ABS(J1456),-ABS(J1456)))</f>
        <v/>
      </c>
      <c r="Q1456" s="35"/>
      <c r="R1456" s="22" t="str">
        <f>IF(H1456="","",H1456&amp;I1456)</f>
        <v/>
      </c>
      <c r="S1456" s="22" t="str">
        <f>IF(C1456="","",C1456&amp;I1456)</f>
        <v/>
      </c>
      <c r="T1456" t="str">
        <f>IF(OR(C1456="",I1456&lt;&gt;"ENTRADA"),"",TEXT(B1456,"AAMMDD")&amp;"-"&amp;TEXT(VALUE(SUBSTITUTE(A1456,"MOV-","")),"000"))</f>
        <v/>
      </c>
    </row>
    <row r="1457" spans="1:20">
      <c r="A1457" s="20" t="s">
        <v>1816</v>
      </c>
      <c r="H1457" s="20" t="str">
        <f>+T1457</f>
        <v/>
      </c>
      <c r="J1457" s="30"/>
      <c r="K1457" s="22" t="str">
        <f>IF(I1457="","",IF(I1457="ENTRADA",ABS(J1457),-ABS(J1457)))</f>
        <v/>
      </c>
      <c r="Q1457" s="35"/>
      <c r="R1457" s="22" t="str">
        <f>IF(H1457="","",H1457&amp;I1457)</f>
        <v/>
      </c>
      <c r="S1457" s="22" t="str">
        <f>IF(C1457="","",C1457&amp;I1457)</f>
        <v/>
      </c>
      <c r="T1457" t="str">
        <f>IF(OR(C1457="",I1457&lt;&gt;"ENTRADA"),"",TEXT(B1457,"AAMMDD")&amp;"-"&amp;TEXT(VALUE(SUBSTITUTE(A1457,"MOV-","")),"000"))</f>
        <v/>
      </c>
    </row>
    <row r="1458" spans="1:20">
      <c r="A1458" s="20" t="s">
        <v>1817</v>
      </c>
      <c r="H1458" s="20" t="str">
        <f>+T1458</f>
        <v/>
      </c>
      <c r="J1458" s="30"/>
      <c r="K1458" s="22" t="str">
        <f>IF(I1458="","",IF(I1458="ENTRADA",ABS(J1458),-ABS(J1458)))</f>
        <v/>
      </c>
      <c r="Q1458" s="35"/>
      <c r="R1458" s="22" t="str">
        <f>IF(H1458="","",H1458&amp;I1458)</f>
        <v/>
      </c>
      <c r="S1458" s="22" t="str">
        <f>IF(C1458="","",C1458&amp;I1458)</f>
        <v/>
      </c>
      <c r="T1458" t="str">
        <f>IF(OR(C1458="",I1458&lt;&gt;"ENTRADA"),"",TEXT(B1458,"AAMMDD")&amp;"-"&amp;TEXT(VALUE(SUBSTITUTE(A1458,"MOV-","")),"000"))</f>
        <v/>
      </c>
    </row>
    <row r="1459" spans="1:20">
      <c r="A1459" s="20" t="s">
        <v>1818</v>
      </c>
      <c r="H1459" s="20" t="str">
        <f>+T1459</f>
        <v/>
      </c>
      <c r="J1459" s="30"/>
      <c r="K1459" s="22" t="str">
        <f>IF(I1459="","",IF(I1459="ENTRADA",ABS(J1459),-ABS(J1459)))</f>
        <v/>
      </c>
      <c r="Q1459" s="35"/>
      <c r="R1459" s="22" t="str">
        <f>IF(H1459="","",H1459&amp;I1459)</f>
        <v/>
      </c>
      <c r="S1459" s="22" t="str">
        <f>IF(C1459="","",C1459&amp;I1459)</f>
        <v/>
      </c>
      <c r="T1459" t="str">
        <f>IF(OR(C1459="",I1459&lt;&gt;"ENTRADA"),"",TEXT(B1459,"AAMMDD")&amp;"-"&amp;TEXT(VALUE(SUBSTITUTE(A1459,"MOV-","")),"000"))</f>
        <v/>
      </c>
    </row>
    <row r="1460" spans="1:20">
      <c r="A1460" s="20" t="s">
        <v>1819</v>
      </c>
      <c r="H1460" s="20" t="str">
        <f>+T1460</f>
        <v/>
      </c>
      <c r="J1460" s="30"/>
      <c r="K1460" s="22" t="str">
        <f>IF(I1460="","",IF(I1460="ENTRADA",ABS(J1460),-ABS(J1460)))</f>
        <v/>
      </c>
      <c r="Q1460" s="35"/>
      <c r="R1460" s="22" t="str">
        <f>IF(H1460="","",H1460&amp;I1460)</f>
        <v/>
      </c>
      <c r="S1460" s="22" t="str">
        <f>IF(C1460="","",C1460&amp;I1460)</f>
        <v/>
      </c>
      <c r="T1460" t="str">
        <f>IF(OR(C1460="",I1460&lt;&gt;"ENTRADA"),"",TEXT(B1460,"AAMMDD")&amp;"-"&amp;TEXT(VALUE(SUBSTITUTE(A1460,"MOV-","")),"000"))</f>
        <v/>
      </c>
    </row>
    <row r="1461" spans="1:20">
      <c r="A1461" s="20" t="s">
        <v>1820</v>
      </c>
      <c r="H1461" s="20" t="str">
        <f>+T1461</f>
        <v/>
      </c>
      <c r="J1461" s="30"/>
      <c r="K1461" s="22" t="str">
        <f>IF(I1461="","",IF(I1461="ENTRADA",ABS(J1461),-ABS(J1461)))</f>
        <v/>
      </c>
      <c r="Q1461" s="35"/>
      <c r="R1461" s="22" t="str">
        <f>IF(H1461="","",H1461&amp;I1461)</f>
        <v/>
      </c>
      <c r="S1461" s="22" t="str">
        <f>IF(C1461="","",C1461&amp;I1461)</f>
        <v/>
      </c>
      <c r="T1461" t="str">
        <f>IF(OR(C1461="",I1461&lt;&gt;"ENTRADA"),"",TEXT(B1461,"AAMMDD")&amp;"-"&amp;TEXT(VALUE(SUBSTITUTE(A1461,"MOV-","")),"000"))</f>
        <v/>
      </c>
    </row>
    <row r="1462" spans="1:20">
      <c r="A1462" s="20" t="s">
        <v>1821</v>
      </c>
      <c r="H1462" s="20" t="str">
        <f>+T1462</f>
        <v/>
      </c>
      <c r="J1462" s="30"/>
      <c r="K1462" s="22" t="str">
        <f>IF(I1462="","",IF(I1462="ENTRADA",ABS(J1462),-ABS(J1462)))</f>
        <v/>
      </c>
      <c r="Q1462" s="35"/>
      <c r="R1462" s="22" t="str">
        <f>IF(H1462="","",H1462&amp;I1462)</f>
        <v/>
      </c>
      <c r="S1462" s="22" t="str">
        <f>IF(C1462="","",C1462&amp;I1462)</f>
        <v/>
      </c>
      <c r="T1462" t="str">
        <f>IF(OR(C1462="",I1462&lt;&gt;"ENTRADA"),"",TEXT(B1462,"AAMMDD")&amp;"-"&amp;TEXT(VALUE(SUBSTITUTE(A1462,"MOV-","")),"000"))</f>
        <v/>
      </c>
    </row>
    <row r="1463" spans="1:20">
      <c r="A1463" s="20" t="s">
        <v>1822</v>
      </c>
      <c r="H1463" s="20" t="str">
        <f>+T1463</f>
        <v/>
      </c>
      <c r="J1463" s="30"/>
      <c r="K1463" s="22" t="str">
        <f>IF(I1463="","",IF(I1463="ENTRADA",ABS(J1463),-ABS(J1463)))</f>
        <v/>
      </c>
      <c r="Q1463" s="35"/>
      <c r="R1463" s="22" t="str">
        <f>IF(H1463="","",H1463&amp;I1463)</f>
        <v/>
      </c>
      <c r="S1463" s="22" t="str">
        <f>IF(C1463="","",C1463&amp;I1463)</f>
        <v/>
      </c>
      <c r="T1463" t="str">
        <f>IF(OR(C1463="",I1463&lt;&gt;"ENTRADA"),"",TEXT(B1463,"AAMMDD")&amp;"-"&amp;TEXT(VALUE(SUBSTITUTE(A1463,"MOV-","")),"000"))</f>
        <v/>
      </c>
    </row>
    <row r="1464" spans="1:20">
      <c r="A1464" s="20" t="s">
        <v>1823</v>
      </c>
      <c r="H1464" s="20" t="str">
        <f>+T1464</f>
        <v/>
      </c>
      <c r="J1464" s="30"/>
      <c r="K1464" s="22" t="str">
        <f>IF(I1464="","",IF(I1464="ENTRADA",ABS(J1464),-ABS(J1464)))</f>
        <v/>
      </c>
      <c r="Q1464" s="35"/>
      <c r="R1464" s="22" t="str">
        <f>IF(H1464="","",H1464&amp;I1464)</f>
        <v/>
      </c>
      <c r="S1464" s="22" t="str">
        <f>IF(C1464="","",C1464&amp;I1464)</f>
        <v/>
      </c>
      <c r="T1464" t="str">
        <f>IF(OR(C1464="",I1464&lt;&gt;"ENTRADA"),"",TEXT(B1464,"AAMMDD")&amp;"-"&amp;TEXT(VALUE(SUBSTITUTE(A1464,"MOV-","")),"000"))</f>
        <v/>
      </c>
    </row>
    <row r="1465" spans="1:20">
      <c r="A1465" s="20" t="s">
        <v>1824</v>
      </c>
      <c r="H1465" s="20" t="str">
        <f>+T1465</f>
        <v/>
      </c>
      <c r="J1465" s="30"/>
      <c r="K1465" s="22" t="str">
        <f>IF(I1465="","",IF(I1465="ENTRADA",ABS(J1465),-ABS(J1465)))</f>
        <v/>
      </c>
      <c r="Q1465" s="35"/>
      <c r="R1465" s="22" t="str">
        <f>IF(H1465="","",H1465&amp;I1465)</f>
        <v/>
      </c>
      <c r="S1465" s="22" t="str">
        <f>IF(C1465="","",C1465&amp;I1465)</f>
        <v/>
      </c>
      <c r="T1465" t="str">
        <f>IF(OR(C1465="",I1465&lt;&gt;"ENTRADA"),"",TEXT(B1465,"AAMMDD")&amp;"-"&amp;TEXT(VALUE(SUBSTITUTE(A1465,"MOV-","")),"000"))</f>
        <v/>
      </c>
    </row>
    <row r="1466" spans="1:20">
      <c r="A1466" s="20" t="s">
        <v>1825</v>
      </c>
      <c r="H1466" s="20" t="str">
        <f>+T1466</f>
        <v/>
      </c>
      <c r="J1466" s="30"/>
      <c r="K1466" s="22" t="str">
        <f>IF(I1466="","",IF(I1466="ENTRADA",ABS(J1466),-ABS(J1466)))</f>
        <v/>
      </c>
      <c r="Q1466" s="35"/>
      <c r="R1466" s="22" t="str">
        <f>IF(H1466="","",H1466&amp;I1466)</f>
        <v/>
      </c>
      <c r="S1466" s="22" t="str">
        <f>IF(C1466="","",C1466&amp;I1466)</f>
        <v/>
      </c>
      <c r="T1466" t="str">
        <f>IF(OR(C1466="",I1466&lt;&gt;"ENTRADA"),"",TEXT(B1466,"AAMMDD")&amp;"-"&amp;TEXT(VALUE(SUBSTITUTE(A1466,"MOV-","")),"000"))</f>
        <v/>
      </c>
    </row>
    <row r="1467" spans="1:20">
      <c r="A1467" s="20" t="s">
        <v>1826</v>
      </c>
      <c r="H1467" s="20" t="str">
        <f>+T1467</f>
        <v/>
      </c>
      <c r="J1467" s="30"/>
      <c r="K1467" s="22" t="str">
        <f>IF(I1467="","",IF(I1467="ENTRADA",ABS(J1467),-ABS(J1467)))</f>
        <v/>
      </c>
      <c r="Q1467" s="35"/>
      <c r="R1467" s="22" t="str">
        <f>IF(H1467="","",H1467&amp;I1467)</f>
        <v/>
      </c>
      <c r="S1467" s="22" t="str">
        <f>IF(C1467="","",C1467&amp;I1467)</f>
        <v/>
      </c>
      <c r="T1467" t="str">
        <f>IF(OR(C1467="",I1467&lt;&gt;"ENTRADA"),"",TEXT(B1467,"AAMMDD")&amp;"-"&amp;TEXT(VALUE(SUBSTITUTE(A1467,"MOV-","")),"000"))</f>
        <v/>
      </c>
    </row>
    <row r="1468" spans="1:20">
      <c r="A1468" s="20" t="s">
        <v>1827</v>
      </c>
      <c r="H1468" s="20" t="str">
        <f>+T1468</f>
        <v/>
      </c>
      <c r="J1468" s="30"/>
      <c r="K1468" s="22" t="str">
        <f>IF(I1468="","",IF(I1468="ENTRADA",ABS(J1468),-ABS(J1468)))</f>
        <v/>
      </c>
      <c r="Q1468" s="35"/>
      <c r="R1468" s="22" t="str">
        <f>IF(H1468="","",H1468&amp;I1468)</f>
        <v/>
      </c>
      <c r="S1468" s="22" t="str">
        <f>IF(C1468="","",C1468&amp;I1468)</f>
        <v/>
      </c>
      <c r="T1468" t="str">
        <f>IF(OR(C1468="",I1468&lt;&gt;"ENTRADA"),"",TEXT(B1468,"AAMMDD")&amp;"-"&amp;TEXT(VALUE(SUBSTITUTE(A1468,"MOV-","")),"000"))</f>
        <v/>
      </c>
    </row>
    <row r="1469" spans="1:20">
      <c r="A1469" s="20" t="s">
        <v>1828</v>
      </c>
      <c r="H1469" s="20" t="str">
        <f>+T1469</f>
        <v/>
      </c>
      <c r="J1469" s="30"/>
      <c r="K1469" s="22" t="str">
        <f>IF(I1469="","",IF(I1469="ENTRADA",ABS(J1469),-ABS(J1469)))</f>
        <v/>
      </c>
      <c r="Q1469" s="35"/>
      <c r="R1469" s="22" t="str">
        <f>IF(H1469="","",H1469&amp;I1469)</f>
        <v/>
      </c>
      <c r="S1469" s="22" t="str">
        <f>IF(C1469="","",C1469&amp;I1469)</f>
        <v/>
      </c>
      <c r="T1469" t="str">
        <f>IF(OR(C1469="",I1469&lt;&gt;"ENTRADA"),"",TEXT(B1469,"AAMMDD")&amp;"-"&amp;TEXT(VALUE(SUBSTITUTE(A1469,"MOV-","")),"000"))</f>
        <v/>
      </c>
    </row>
    <row r="1470" spans="1:20">
      <c r="A1470" s="20" t="s">
        <v>1829</v>
      </c>
      <c r="H1470" s="20" t="str">
        <f>+T1470</f>
        <v/>
      </c>
      <c r="J1470" s="30"/>
      <c r="K1470" s="22" t="str">
        <f>IF(I1470="","",IF(I1470="ENTRADA",ABS(J1470),-ABS(J1470)))</f>
        <v/>
      </c>
      <c r="Q1470" s="35"/>
      <c r="R1470" s="22" t="str">
        <f>IF(H1470="","",H1470&amp;I1470)</f>
        <v/>
      </c>
      <c r="S1470" s="22" t="str">
        <f>IF(C1470="","",C1470&amp;I1470)</f>
        <v/>
      </c>
      <c r="T1470" t="str">
        <f>IF(OR(C1470="",I1470&lt;&gt;"ENTRADA"),"",TEXT(B1470,"AAMMDD")&amp;"-"&amp;TEXT(VALUE(SUBSTITUTE(A1470,"MOV-","")),"000"))</f>
        <v/>
      </c>
    </row>
    <row r="1471" spans="1:20">
      <c r="A1471" s="20" t="s">
        <v>1830</v>
      </c>
      <c r="H1471" s="20" t="str">
        <f>+T1471</f>
        <v/>
      </c>
      <c r="J1471" s="30"/>
      <c r="K1471" s="22" t="str">
        <f>IF(I1471="","",IF(I1471="ENTRADA",ABS(J1471),-ABS(J1471)))</f>
        <v/>
      </c>
      <c r="Q1471" s="35"/>
      <c r="R1471" s="22" t="str">
        <f>IF(H1471="","",H1471&amp;I1471)</f>
        <v/>
      </c>
      <c r="S1471" s="22" t="str">
        <f>IF(C1471="","",C1471&amp;I1471)</f>
        <v/>
      </c>
      <c r="T1471" t="str">
        <f>IF(OR(C1471="",I1471&lt;&gt;"ENTRADA"),"",TEXT(B1471,"AAMMDD")&amp;"-"&amp;TEXT(VALUE(SUBSTITUTE(A1471,"MOV-","")),"000"))</f>
        <v/>
      </c>
    </row>
    <row r="1472" spans="1:20">
      <c r="A1472" s="20" t="s">
        <v>1831</v>
      </c>
      <c r="H1472" s="20" t="str">
        <f>+T1472</f>
        <v/>
      </c>
      <c r="J1472" s="30"/>
      <c r="K1472" s="22" t="str">
        <f>IF(I1472="","",IF(I1472="ENTRADA",ABS(J1472),-ABS(J1472)))</f>
        <v/>
      </c>
      <c r="Q1472" s="35"/>
      <c r="R1472" s="22" t="str">
        <f>IF(H1472="","",H1472&amp;I1472)</f>
        <v/>
      </c>
      <c r="S1472" s="22" t="str">
        <f>IF(C1472="","",C1472&amp;I1472)</f>
        <v/>
      </c>
      <c r="T1472" t="str">
        <f>IF(OR(C1472="",I1472&lt;&gt;"ENTRADA"),"",TEXT(B1472,"AAMMDD")&amp;"-"&amp;TEXT(VALUE(SUBSTITUTE(A1472,"MOV-","")),"000"))</f>
        <v/>
      </c>
    </row>
    <row r="1473" spans="1:20">
      <c r="A1473" s="20" t="s">
        <v>1832</v>
      </c>
      <c r="H1473" s="20" t="str">
        <f>+T1473</f>
        <v/>
      </c>
      <c r="J1473" s="30"/>
      <c r="K1473" s="22" t="str">
        <f>IF(I1473="","",IF(I1473="ENTRADA",ABS(J1473),-ABS(J1473)))</f>
        <v/>
      </c>
      <c r="Q1473" s="35"/>
      <c r="R1473" s="22" t="str">
        <f>IF(H1473="","",H1473&amp;I1473)</f>
        <v/>
      </c>
      <c r="S1473" s="22" t="str">
        <f>IF(C1473="","",C1473&amp;I1473)</f>
        <v/>
      </c>
      <c r="T1473" t="str">
        <f>IF(OR(C1473="",I1473&lt;&gt;"ENTRADA"),"",TEXT(B1473,"AAMMDD")&amp;"-"&amp;TEXT(VALUE(SUBSTITUTE(A1473,"MOV-","")),"000"))</f>
        <v/>
      </c>
    </row>
    <row r="1474" spans="1:20">
      <c r="A1474" s="20" t="s">
        <v>1833</v>
      </c>
      <c r="H1474" s="20" t="str">
        <f>+T1474</f>
        <v/>
      </c>
      <c r="J1474" s="30"/>
      <c r="K1474" s="22" t="str">
        <f>IF(I1474="","",IF(I1474="ENTRADA",ABS(J1474),-ABS(J1474)))</f>
        <v/>
      </c>
      <c r="Q1474" s="35"/>
      <c r="R1474" s="22" t="str">
        <f>IF(H1474="","",H1474&amp;I1474)</f>
        <v/>
      </c>
      <c r="S1474" s="22" t="str">
        <f>IF(C1474="","",C1474&amp;I1474)</f>
        <v/>
      </c>
      <c r="T1474" t="str">
        <f>IF(OR(C1474="",I1474&lt;&gt;"ENTRADA"),"",TEXT(B1474,"AAMMDD")&amp;"-"&amp;TEXT(VALUE(SUBSTITUTE(A1474,"MOV-","")),"000"))</f>
        <v/>
      </c>
    </row>
    <row r="1475" spans="1:20">
      <c r="A1475" s="20" t="s">
        <v>1834</v>
      </c>
      <c r="H1475" s="20" t="str">
        <f>+T1475</f>
        <v/>
      </c>
      <c r="J1475" s="30"/>
      <c r="K1475" s="22" t="str">
        <f>IF(I1475="","",IF(I1475="ENTRADA",ABS(J1475),-ABS(J1475)))</f>
        <v/>
      </c>
      <c r="Q1475" s="35"/>
      <c r="R1475" s="22" t="str">
        <f>IF(H1475="","",H1475&amp;I1475)</f>
        <v/>
      </c>
      <c r="S1475" s="22" t="str">
        <f>IF(C1475="","",C1475&amp;I1475)</f>
        <v/>
      </c>
      <c r="T1475" t="str">
        <f>IF(OR(C1475="",I1475&lt;&gt;"ENTRADA"),"",TEXT(B1475,"AAMMDD")&amp;"-"&amp;TEXT(VALUE(SUBSTITUTE(A1475,"MOV-","")),"000"))</f>
        <v/>
      </c>
    </row>
    <row r="1476" spans="1:20">
      <c r="A1476" s="20" t="s">
        <v>1835</v>
      </c>
      <c r="H1476" s="20" t="str">
        <f>+T1476</f>
        <v/>
      </c>
      <c r="J1476" s="30"/>
      <c r="K1476" s="22" t="str">
        <f>IF(I1476="","",IF(I1476="ENTRADA",ABS(J1476),-ABS(J1476)))</f>
        <v/>
      </c>
      <c r="Q1476" s="35"/>
      <c r="R1476" s="22" t="str">
        <f>IF(H1476="","",H1476&amp;I1476)</f>
        <v/>
      </c>
      <c r="S1476" s="22" t="str">
        <f>IF(C1476="","",C1476&amp;I1476)</f>
        <v/>
      </c>
      <c r="T1476" t="str">
        <f>IF(OR(C1476="",I1476&lt;&gt;"ENTRADA"),"",TEXT(B1476,"AAMMDD")&amp;"-"&amp;TEXT(VALUE(SUBSTITUTE(A1476,"MOV-","")),"000"))</f>
        <v/>
      </c>
    </row>
    <row r="1477" spans="1:20">
      <c r="A1477" s="20" t="s">
        <v>1836</v>
      </c>
      <c r="H1477" s="20" t="str">
        <f>+T1477</f>
        <v/>
      </c>
      <c r="J1477" s="30"/>
      <c r="K1477" s="22" t="str">
        <f>IF(I1477="","",IF(I1477="ENTRADA",ABS(J1477),-ABS(J1477)))</f>
        <v/>
      </c>
      <c r="Q1477" s="35"/>
      <c r="R1477" s="22" t="str">
        <f>IF(H1477="","",H1477&amp;I1477)</f>
        <v/>
      </c>
      <c r="S1477" s="22" t="str">
        <f>IF(C1477="","",C1477&amp;I1477)</f>
        <v/>
      </c>
      <c r="T1477" t="str">
        <f>IF(OR(C1477="",I1477&lt;&gt;"ENTRADA"),"",TEXT(B1477,"AAMMDD")&amp;"-"&amp;TEXT(VALUE(SUBSTITUTE(A1477,"MOV-","")),"000"))</f>
        <v/>
      </c>
    </row>
    <row r="1478" spans="1:20">
      <c r="A1478" s="20" t="s">
        <v>1837</v>
      </c>
      <c r="H1478" s="20" t="str">
        <f>+T1478</f>
        <v/>
      </c>
      <c r="J1478" s="30"/>
      <c r="K1478" s="22" t="str">
        <f>IF(I1478="","",IF(I1478="ENTRADA",ABS(J1478),-ABS(J1478)))</f>
        <v/>
      </c>
      <c r="Q1478" s="35"/>
      <c r="R1478" s="22" t="str">
        <f>IF(H1478="","",H1478&amp;I1478)</f>
        <v/>
      </c>
      <c r="S1478" s="22" t="str">
        <f>IF(C1478="","",C1478&amp;I1478)</f>
        <v/>
      </c>
      <c r="T1478" t="str">
        <f>IF(OR(C1478="",I1478&lt;&gt;"ENTRADA"),"",TEXT(B1478,"AAMMDD")&amp;"-"&amp;TEXT(VALUE(SUBSTITUTE(A1478,"MOV-","")),"000"))</f>
        <v/>
      </c>
    </row>
    <row r="1479" spans="1:20">
      <c r="A1479" s="20" t="s">
        <v>1838</v>
      </c>
      <c r="H1479" s="20" t="str">
        <f>+T1479</f>
        <v/>
      </c>
      <c r="J1479" s="30"/>
      <c r="K1479" s="22" t="str">
        <f>IF(I1479="","",IF(I1479="ENTRADA",ABS(J1479),-ABS(J1479)))</f>
        <v/>
      </c>
      <c r="Q1479" s="35"/>
      <c r="R1479" s="22" t="str">
        <f>IF(H1479="","",H1479&amp;I1479)</f>
        <v/>
      </c>
      <c r="S1479" s="22" t="str">
        <f>IF(C1479="","",C1479&amp;I1479)</f>
        <v/>
      </c>
      <c r="T1479" t="str">
        <f>IF(OR(C1479="",I1479&lt;&gt;"ENTRADA"),"",TEXT(B1479,"AAMMDD")&amp;"-"&amp;TEXT(VALUE(SUBSTITUTE(A1479,"MOV-","")),"000"))</f>
        <v/>
      </c>
    </row>
    <row r="1480" spans="1:20">
      <c r="A1480" s="20" t="s">
        <v>1839</v>
      </c>
      <c r="H1480" s="20" t="str">
        <f>+T1480</f>
        <v/>
      </c>
      <c r="J1480" s="30"/>
      <c r="K1480" s="22" t="str">
        <f>IF(I1480="","",IF(I1480="ENTRADA",ABS(J1480),-ABS(J1480)))</f>
        <v/>
      </c>
      <c r="Q1480" s="35"/>
      <c r="R1480" s="22" t="str">
        <f>IF(H1480="","",H1480&amp;I1480)</f>
        <v/>
      </c>
      <c r="S1480" s="22" t="str">
        <f>IF(C1480="","",C1480&amp;I1480)</f>
        <v/>
      </c>
      <c r="T1480" t="str">
        <f>IF(OR(C1480="",I1480&lt;&gt;"ENTRADA"),"",TEXT(B1480,"AAMMDD")&amp;"-"&amp;TEXT(VALUE(SUBSTITUTE(A1480,"MOV-","")),"000"))</f>
        <v/>
      </c>
    </row>
    <row r="1481" spans="1:20">
      <c r="A1481" s="20" t="s">
        <v>1840</v>
      </c>
      <c r="H1481" s="20" t="str">
        <f>+T1481</f>
        <v/>
      </c>
      <c r="J1481" s="30"/>
      <c r="K1481" s="22" t="str">
        <f>IF(I1481="","",IF(I1481="ENTRADA",ABS(J1481),-ABS(J1481)))</f>
        <v/>
      </c>
      <c r="Q1481" s="35"/>
      <c r="R1481" s="22" t="str">
        <f>IF(H1481="","",H1481&amp;I1481)</f>
        <v/>
      </c>
      <c r="S1481" s="22" t="str">
        <f>IF(C1481="","",C1481&amp;I1481)</f>
        <v/>
      </c>
      <c r="T1481" t="str">
        <f>IF(OR(C1481="",I1481&lt;&gt;"ENTRADA"),"",TEXT(B1481,"AAMMDD")&amp;"-"&amp;TEXT(VALUE(SUBSTITUTE(A1481,"MOV-","")),"000"))</f>
        <v/>
      </c>
    </row>
    <row r="1482" spans="1:20">
      <c r="A1482" s="20" t="s">
        <v>1841</v>
      </c>
      <c r="H1482" s="20" t="str">
        <f>+T1482</f>
        <v/>
      </c>
      <c r="J1482" s="30"/>
      <c r="K1482" s="22" t="str">
        <f>IF(I1482="","",IF(I1482="ENTRADA",ABS(J1482),-ABS(J1482)))</f>
        <v/>
      </c>
      <c r="Q1482" s="35"/>
      <c r="R1482" s="22" t="str">
        <f>IF(H1482="","",H1482&amp;I1482)</f>
        <v/>
      </c>
      <c r="S1482" s="22" t="str">
        <f>IF(C1482="","",C1482&amp;I1482)</f>
        <v/>
      </c>
      <c r="T1482" t="str">
        <f>IF(OR(C1482="",I1482&lt;&gt;"ENTRADA"),"",TEXT(B1482,"AAMMDD")&amp;"-"&amp;TEXT(VALUE(SUBSTITUTE(A1482,"MOV-","")),"000"))</f>
        <v/>
      </c>
    </row>
    <row r="1483" spans="1:20">
      <c r="A1483" s="20" t="s">
        <v>1842</v>
      </c>
      <c r="H1483" s="20" t="str">
        <f>+T1483</f>
        <v/>
      </c>
      <c r="J1483" s="30"/>
      <c r="K1483" s="22" t="str">
        <f>IF(I1483="","",IF(I1483="ENTRADA",ABS(J1483),-ABS(J1483)))</f>
        <v/>
      </c>
      <c r="Q1483" s="35"/>
      <c r="R1483" s="22" t="str">
        <f>IF(H1483="","",H1483&amp;I1483)</f>
        <v/>
      </c>
      <c r="S1483" s="22" t="str">
        <f>IF(C1483="","",C1483&amp;I1483)</f>
        <v/>
      </c>
      <c r="T1483" t="str">
        <f>IF(OR(C1483="",I1483&lt;&gt;"ENTRADA"),"",TEXT(B1483,"AAMMDD")&amp;"-"&amp;TEXT(VALUE(SUBSTITUTE(A1483,"MOV-","")),"000"))</f>
        <v/>
      </c>
    </row>
    <row r="1484" spans="1:20">
      <c r="A1484" s="20" t="s">
        <v>1843</v>
      </c>
      <c r="H1484" s="20" t="str">
        <f>+T1484</f>
        <v/>
      </c>
      <c r="J1484" s="30"/>
      <c r="K1484" s="22" t="str">
        <f>IF(I1484="","",IF(I1484="ENTRADA",ABS(J1484),-ABS(J1484)))</f>
        <v/>
      </c>
      <c r="Q1484" s="35"/>
      <c r="R1484" s="22" t="str">
        <f>IF(H1484="","",H1484&amp;I1484)</f>
        <v/>
      </c>
      <c r="S1484" s="22" t="str">
        <f>IF(C1484="","",C1484&amp;I1484)</f>
        <v/>
      </c>
      <c r="T1484" t="str">
        <f>IF(OR(C1484="",I1484&lt;&gt;"ENTRADA"),"",TEXT(B1484,"AAMMDD")&amp;"-"&amp;TEXT(VALUE(SUBSTITUTE(A1484,"MOV-","")),"000"))</f>
        <v/>
      </c>
    </row>
    <row r="1485" spans="1:20">
      <c r="A1485" s="20" t="s">
        <v>1844</v>
      </c>
      <c r="H1485" s="20" t="str">
        <f>+T1485</f>
        <v/>
      </c>
      <c r="J1485" s="30"/>
      <c r="K1485" s="22" t="str">
        <f>IF(I1485="","",IF(I1485="ENTRADA",ABS(J1485),-ABS(J1485)))</f>
        <v/>
      </c>
      <c r="Q1485" s="35"/>
      <c r="R1485" s="22" t="str">
        <f>IF(H1485="","",H1485&amp;I1485)</f>
        <v/>
      </c>
      <c r="S1485" s="22" t="str">
        <f>IF(C1485="","",C1485&amp;I1485)</f>
        <v/>
      </c>
      <c r="T1485" t="str">
        <f>IF(OR(C1485="",I1485&lt;&gt;"ENTRADA"),"",TEXT(B1485,"AAMMDD")&amp;"-"&amp;TEXT(VALUE(SUBSTITUTE(A1485,"MOV-","")),"000"))</f>
        <v/>
      </c>
    </row>
    <row r="1486" spans="1:20">
      <c r="A1486" s="20" t="s">
        <v>1845</v>
      </c>
      <c r="H1486" s="20" t="str">
        <f>+T1486</f>
        <v/>
      </c>
      <c r="J1486" s="30"/>
      <c r="K1486" s="22" t="str">
        <f>IF(I1486="","",IF(I1486="ENTRADA",ABS(J1486),-ABS(J1486)))</f>
        <v/>
      </c>
      <c r="Q1486" s="35"/>
      <c r="R1486" s="22" t="str">
        <f>IF(H1486="","",H1486&amp;I1486)</f>
        <v/>
      </c>
      <c r="S1486" s="22" t="str">
        <f>IF(C1486="","",C1486&amp;I1486)</f>
        <v/>
      </c>
      <c r="T1486" t="str">
        <f>IF(OR(C1486="",I1486&lt;&gt;"ENTRADA"),"",TEXT(B1486,"AAMMDD")&amp;"-"&amp;TEXT(VALUE(SUBSTITUTE(A1486,"MOV-","")),"000"))</f>
        <v/>
      </c>
    </row>
    <row r="1487" spans="1:20">
      <c r="A1487" s="20" t="s">
        <v>1846</v>
      </c>
      <c r="H1487" s="20" t="str">
        <f>+T1487</f>
        <v/>
      </c>
      <c r="J1487" s="30"/>
      <c r="K1487" s="22" t="str">
        <f>IF(I1487="","",IF(I1487="ENTRADA",ABS(J1487),-ABS(J1487)))</f>
        <v/>
      </c>
      <c r="Q1487" s="35"/>
      <c r="R1487" s="22" t="str">
        <f>IF(H1487="","",H1487&amp;I1487)</f>
        <v/>
      </c>
      <c r="S1487" s="22" t="str">
        <f>IF(C1487="","",C1487&amp;I1487)</f>
        <v/>
      </c>
      <c r="T1487" t="str">
        <f>IF(OR(C1487="",I1487&lt;&gt;"ENTRADA"),"",TEXT(B1487,"AAMMDD")&amp;"-"&amp;TEXT(VALUE(SUBSTITUTE(A1487,"MOV-","")),"000"))</f>
        <v/>
      </c>
    </row>
    <row r="1488" spans="1:20">
      <c r="A1488" s="20" t="s">
        <v>1847</v>
      </c>
      <c r="H1488" s="20" t="str">
        <f>+T1488</f>
        <v/>
      </c>
      <c r="J1488" s="30"/>
      <c r="K1488" s="22" t="str">
        <f>IF(I1488="","",IF(I1488="ENTRADA",ABS(J1488),-ABS(J1488)))</f>
        <v/>
      </c>
      <c r="Q1488" s="35"/>
      <c r="R1488" s="22" t="str">
        <f>IF(H1488="","",H1488&amp;I1488)</f>
        <v/>
      </c>
      <c r="S1488" s="22" t="str">
        <f>IF(C1488="","",C1488&amp;I1488)</f>
        <v/>
      </c>
      <c r="T1488" t="str">
        <f>IF(OR(C1488="",I1488&lt;&gt;"ENTRADA"),"",TEXT(B1488,"AAMMDD")&amp;"-"&amp;TEXT(VALUE(SUBSTITUTE(A1488,"MOV-","")),"000"))</f>
        <v/>
      </c>
    </row>
    <row r="1489" spans="1:20">
      <c r="A1489" s="20" t="s">
        <v>1848</v>
      </c>
      <c r="H1489" s="20" t="str">
        <f>+T1489</f>
        <v/>
      </c>
      <c r="J1489" s="30"/>
      <c r="K1489" s="22" t="str">
        <f>IF(I1489="","",IF(I1489="ENTRADA",ABS(J1489),-ABS(J1489)))</f>
        <v/>
      </c>
      <c r="Q1489" s="35"/>
      <c r="R1489" s="22" t="str">
        <f>IF(H1489="","",H1489&amp;I1489)</f>
        <v/>
      </c>
      <c r="S1489" s="22" t="str">
        <f>IF(C1489="","",C1489&amp;I1489)</f>
        <v/>
      </c>
      <c r="T1489" t="str">
        <f>IF(OR(C1489="",I1489&lt;&gt;"ENTRADA"),"",TEXT(B1489,"AAMMDD")&amp;"-"&amp;TEXT(VALUE(SUBSTITUTE(A1489,"MOV-","")),"000"))</f>
        <v/>
      </c>
    </row>
    <row r="1490" spans="1:20">
      <c r="A1490" s="20" t="s">
        <v>1849</v>
      </c>
      <c r="H1490" s="20" t="str">
        <f>+T1490</f>
        <v/>
      </c>
      <c r="J1490" s="30"/>
      <c r="K1490" s="22" t="str">
        <f>IF(I1490="","",IF(I1490="ENTRADA",ABS(J1490),-ABS(J1490)))</f>
        <v/>
      </c>
      <c r="Q1490" s="35"/>
      <c r="R1490" s="22" t="str">
        <f>IF(H1490="","",H1490&amp;I1490)</f>
        <v/>
      </c>
      <c r="S1490" s="22" t="str">
        <f>IF(C1490="","",C1490&amp;I1490)</f>
        <v/>
      </c>
      <c r="T1490" t="str">
        <f>IF(OR(C1490="",I1490&lt;&gt;"ENTRADA"),"",TEXT(B1490,"AAMMDD")&amp;"-"&amp;TEXT(VALUE(SUBSTITUTE(A1490,"MOV-","")),"000"))</f>
        <v/>
      </c>
    </row>
    <row r="1491" spans="1:20">
      <c r="A1491" s="20" t="s">
        <v>1850</v>
      </c>
      <c r="H1491" s="20" t="str">
        <f>+T1491</f>
        <v/>
      </c>
      <c r="J1491" s="30"/>
      <c r="K1491" s="22" t="str">
        <f>IF(I1491="","",IF(I1491="ENTRADA",ABS(J1491),-ABS(J1491)))</f>
        <v/>
      </c>
      <c r="Q1491" s="35"/>
      <c r="R1491" s="22" t="str">
        <f>IF(H1491="","",H1491&amp;I1491)</f>
        <v/>
      </c>
      <c r="S1491" s="22" t="str">
        <f>IF(C1491="","",C1491&amp;I1491)</f>
        <v/>
      </c>
      <c r="T1491" t="str">
        <f>IF(OR(C1491="",I1491&lt;&gt;"ENTRADA"),"",TEXT(B1491,"AAMMDD")&amp;"-"&amp;TEXT(VALUE(SUBSTITUTE(A1491,"MOV-","")),"000"))</f>
        <v/>
      </c>
    </row>
    <row r="1492" spans="1:20">
      <c r="A1492" s="20" t="s">
        <v>1851</v>
      </c>
      <c r="H1492" s="20" t="str">
        <f>+T1492</f>
        <v/>
      </c>
      <c r="J1492" s="30"/>
      <c r="K1492" s="22" t="str">
        <f>IF(I1492="","",IF(I1492="ENTRADA",ABS(J1492),-ABS(J1492)))</f>
        <v/>
      </c>
      <c r="Q1492" s="35"/>
      <c r="R1492" s="22" t="str">
        <f>IF(H1492="","",H1492&amp;I1492)</f>
        <v/>
      </c>
      <c r="S1492" s="22" t="str">
        <f>IF(C1492="","",C1492&amp;I1492)</f>
        <v/>
      </c>
      <c r="T1492" t="str">
        <f>IF(OR(C1492="",I1492&lt;&gt;"ENTRADA"),"",TEXT(B1492,"AAMMDD")&amp;"-"&amp;TEXT(VALUE(SUBSTITUTE(A1492,"MOV-","")),"000"))</f>
        <v/>
      </c>
    </row>
    <row r="1493" spans="1:20">
      <c r="A1493" s="20" t="s">
        <v>1852</v>
      </c>
      <c r="H1493" s="20" t="str">
        <f>+T1493</f>
        <v/>
      </c>
      <c r="J1493" s="30"/>
      <c r="K1493" s="22" t="str">
        <f>IF(I1493="","",IF(I1493="ENTRADA",ABS(J1493),-ABS(J1493)))</f>
        <v/>
      </c>
      <c r="Q1493" s="35"/>
      <c r="R1493" s="22" t="str">
        <f>IF(H1493="","",H1493&amp;I1493)</f>
        <v/>
      </c>
      <c r="S1493" s="22" t="str">
        <f>IF(C1493="","",C1493&amp;I1493)</f>
        <v/>
      </c>
      <c r="T1493" t="str">
        <f>IF(OR(C1493="",I1493&lt;&gt;"ENTRADA"),"",TEXT(B1493,"AAMMDD")&amp;"-"&amp;TEXT(VALUE(SUBSTITUTE(A1493,"MOV-","")),"000"))</f>
        <v/>
      </c>
    </row>
    <row r="1494" spans="1:20">
      <c r="A1494" s="20" t="s">
        <v>1853</v>
      </c>
      <c r="H1494" s="20" t="str">
        <f>+T1494</f>
        <v/>
      </c>
      <c r="J1494" s="30"/>
      <c r="K1494" s="22" t="str">
        <f>IF(I1494="","",IF(I1494="ENTRADA",ABS(J1494),-ABS(J1494)))</f>
        <v/>
      </c>
      <c r="Q1494" s="35"/>
      <c r="R1494" s="22" t="str">
        <f>IF(H1494="","",H1494&amp;I1494)</f>
        <v/>
      </c>
      <c r="S1494" s="22" t="str">
        <f>IF(C1494="","",C1494&amp;I1494)</f>
        <v/>
      </c>
      <c r="T1494" t="str">
        <f>IF(OR(C1494="",I1494&lt;&gt;"ENTRADA"),"",TEXT(B1494,"AAMMDD")&amp;"-"&amp;TEXT(VALUE(SUBSTITUTE(A1494,"MOV-","")),"000"))</f>
        <v/>
      </c>
    </row>
    <row r="1495" spans="1:20">
      <c r="A1495" s="20" t="s">
        <v>1854</v>
      </c>
      <c r="H1495" s="20" t="str">
        <f>+T1495</f>
        <v/>
      </c>
      <c r="J1495" s="30"/>
      <c r="K1495" s="22" t="str">
        <f>IF(I1495="","",IF(I1495="ENTRADA",ABS(J1495),-ABS(J1495)))</f>
        <v/>
      </c>
      <c r="Q1495" s="35"/>
      <c r="R1495" s="22" t="str">
        <f>IF(H1495="","",H1495&amp;I1495)</f>
        <v/>
      </c>
      <c r="S1495" s="22" t="str">
        <f>IF(C1495="","",C1495&amp;I1495)</f>
        <v/>
      </c>
      <c r="T1495" t="str">
        <f>IF(OR(C1495="",I1495&lt;&gt;"ENTRADA"),"",TEXT(B1495,"AAMMDD")&amp;"-"&amp;TEXT(VALUE(SUBSTITUTE(A1495,"MOV-","")),"000"))</f>
        <v/>
      </c>
    </row>
    <row r="1496" spans="1:20">
      <c r="A1496" s="20" t="s">
        <v>1855</v>
      </c>
      <c r="H1496" s="20" t="str">
        <f>+T1496</f>
        <v/>
      </c>
      <c r="J1496" s="30"/>
      <c r="K1496" s="22" t="str">
        <f>IF(I1496="","",IF(I1496="ENTRADA",ABS(J1496),-ABS(J1496)))</f>
        <v/>
      </c>
      <c r="Q1496" s="35"/>
      <c r="R1496" s="22" t="str">
        <f>IF(H1496="","",H1496&amp;I1496)</f>
        <v/>
      </c>
      <c r="S1496" s="22" t="str">
        <f>IF(C1496="","",C1496&amp;I1496)</f>
        <v/>
      </c>
      <c r="T1496" t="str">
        <f>IF(OR(C1496="",I1496&lt;&gt;"ENTRADA"),"",TEXT(B1496,"AAMMDD")&amp;"-"&amp;TEXT(VALUE(SUBSTITUTE(A1496,"MOV-","")),"000"))</f>
        <v/>
      </c>
    </row>
    <row r="1497" spans="1:20">
      <c r="A1497" s="20" t="s">
        <v>1856</v>
      </c>
      <c r="H1497" s="20" t="str">
        <f>+T1497</f>
        <v/>
      </c>
      <c r="J1497" s="30"/>
      <c r="K1497" s="22" t="str">
        <f>IF(I1497="","",IF(I1497="ENTRADA",ABS(J1497),-ABS(J1497)))</f>
        <v/>
      </c>
      <c r="Q1497" s="35"/>
      <c r="R1497" s="22" t="str">
        <f>IF(H1497="","",H1497&amp;I1497)</f>
        <v/>
      </c>
      <c r="S1497" s="22" t="str">
        <f>IF(C1497="","",C1497&amp;I1497)</f>
        <v/>
      </c>
      <c r="T1497" t="str">
        <f>IF(OR(C1497="",I1497&lt;&gt;"ENTRADA"),"",TEXT(B1497,"AAMMDD")&amp;"-"&amp;TEXT(VALUE(SUBSTITUTE(A1497,"MOV-","")),"000"))</f>
        <v/>
      </c>
    </row>
    <row r="1498" spans="1:20">
      <c r="A1498" s="20" t="s">
        <v>1857</v>
      </c>
      <c r="H1498" s="20" t="str">
        <f>+T1498</f>
        <v/>
      </c>
      <c r="J1498" s="30"/>
      <c r="K1498" s="22" t="str">
        <f>IF(I1498="","",IF(I1498="ENTRADA",ABS(J1498),-ABS(J1498)))</f>
        <v/>
      </c>
      <c r="Q1498" s="35"/>
      <c r="R1498" s="22" t="str">
        <f>IF(H1498="","",H1498&amp;I1498)</f>
        <v/>
      </c>
      <c r="S1498" s="22" t="str">
        <f>IF(C1498="","",C1498&amp;I1498)</f>
        <v/>
      </c>
      <c r="T1498" t="str">
        <f>IF(OR(C1498="",I1498&lt;&gt;"ENTRADA"),"",TEXT(B1498,"AAMMDD")&amp;"-"&amp;TEXT(VALUE(SUBSTITUTE(A1498,"MOV-","")),"000"))</f>
        <v/>
      </c>
    </row>
    <row r="1499" spans="1:20">
      <c r="A1499" s="20" t="s">
        <v>1858</v>
      </c>
      <c r="H1499" s="20" t="str">
        <f>+T1499</f>
        <v/>
      </c>
      <c r="J1499" s="30"/>
      <c r="K1499" s="22" t="str">
        <f>IF(I1499="","",IF(I1499="ENTRADA",ABS(J1499),-ABS(J1499)))</f>
        <v/>
      </c>
      <c r="Q1499" s="35"/>
      <c r="R1499" s="22" t="str">
        <f>IF(H1499="","",H1499&amp;I1499)</f>
        <v/>
      </c>
      <c r="S1499" s="22" t="str">
        <f>IF(C1499="","",C1499&amp;I1499)</f>
        <v/>
      </c>
      <c r="T1499" t="str">
        <f>IF(OR(C1499="",I1499&lt;&gt;"ENTRADA"),"",TEXT(B1499,"AAMMDD")&amp;"-"&amp;TEXT(VALUE(SUBSTITUTE(A1499,"MOV-","")),"000"))</f>
        <v/>
      </c>
    </row>
    <row r="1500" spans="1:20">
      <c r="A1500" s="20" t="s">
        <v>1859</v>
      </c>
      <c r="H1500" s="20" t="str">
        <f>+T1500</f>
        <v/>
      </c>
      <c r="J1500" s="30"/>
      <c r="K1500" s="22" t="str">
        <f>IF(I1500="","",IF(I1500="ENTRADA",ABS(J1500),-ABS(J1500)))</f>
        <v/>
      </c>
      <c r="R1500" s="22" t="str">
        <f>IF(H1500="","",H1500&amp;I1500)</f>
        <v/>
      </c>
      <c r="S1500" s="22" t="str">
        <f>IF(C1500="","",C1500&amp;I1500)</f>
        <v/>
      </c>
      <c r="T1500" t="str">
        <f>IF(OR(C1500="",I1500&lt;&gt;"ENTRADA"),"",TEXT(B1500,"AAMMDD")&amp;"-"&amp;TEXT(VALUE(SUBSTITUTE(A1500,"MOV-","")),"000"))</f>
        <v/>
      </c>
    </row>
    <row r="1501" spans="1:20">
      <c r="A1501" s="20" t="s">
        <v>1860</v>
      </c>
      <c r="H1501" s="20" t="str">
        <f>+T1501</f>
        <v/>
      </c>
      <c r="J1501" s="30"/>
      <c r="K1501" s="22" t="str">
        <f>IF(I1501="","",IF(I1501="ENTRADA",ABS(J1501),-ABS(J1501)))</f>
        <v/>
      </c>
      <c r="R1501" s="22" t="str">
        <f>IF(H1501="","",H1501&amp;I1501)</f>
        <v/>
      </c>
      <c r="S1501" s="22" t="str">
        <f>IF(C1501="","",C1501&amp;I1501)</f>
        <v/>
      </c>
      <c r="T1501" t="str">
        <f>IF(OR(C1501="",I1501&lt;&gt;"ENTRADA"),"",TEXT(B1501,"AAMMDD")&amp;"-"&amp;TEXT(VALUE(SUBSTITUTE(A1501,"MOV-","")),"000"))</f>
        <v/>
      </c>
    </row>
    <row r="1502" spans="1:20">
      <c r="A1502" s="20" t="s">
        <v>1861</v>
      </c>
      <c r="H1502" s="20" t="str">
        <f>+T1502</f>
        <v/>
      </c>
      <c r="J1502" s="30"/>
      <c r="K1502" s="22" t="str">
        <f>IF(I1502="","",IF(I1502="ENTRADA",ABS(J1502),-ABS(J1502)))</f>
        <v/>
      </c>
      <c r="R1502" s="22" t="str">
        <f>IF(H1502="","",H1502&amp;I1502)</f>
        <v/>
      </c>
      <c r="S1502" s="22" t="str">
        <f>IF(C1502="","",C1502&amp;I1502)</f>
        <v/>
      </c>
      <c r="T1502" t="str">
        <f>IF(OR(C1502="",I1502&lt;&gt;"ENTRADA"),"",TEXT(B1502,"AAMMDD")&amp;"-"&amp;TEXT(VALUE(SUBSTITUTE(A1502,"MOV-","")),"000"))</f>
        <v/>
      </c>
    </row>
    <row r="1503" spans="1:20">
      <c r="A1503" s="20" t="s">
        <v>1862</v>
      </c>
      <c r="H1503" s="20" t="str">
        <f>+T1503</f>
        <v/>
      </c>
      <c r="J1503" s="30"/>
      <c r="K1503" s="22" t="str">
        <f>IF(I1503="","",IF(I1503="ENTRADA",ABS(J1503),-ABS(J1503)))</f>
        <v/>
      </c>
      <c r="R1503" s="22" t="str">
        <f>IF(H1503="","",H1503&amp;I1503)</f>
        <v/>
      </c>
      <c r="S1503" s="22" t="str">
        <f>IF(C1503="","",C1503&amp;I1503)</f>
        <v/>
      </c>
      <c r="T1503" t="str">
        <f>IF(OR(C1503="",I1503&lt;&gt;"ENTRADA"),"",TEXT(B1503,"AAMMDD")&amp;"-"&amp;TEXT(VALUE(SUBSTITUTE(A1503,"MOV-","")),"000"))</f>
        <v/>
      </c>
    </row>
    <row r="1504" spans="1:20">
      <c r="A1504" s="20" t="s">
        <v>1863</v>
      </c>
      <c r="H1504" s="20" t="str">
        <f>+T1504</f>
        <v/>
      </c>
      <c r="J1504" s="30"/>
      <c r="K1504" s="22" t="str">
        <f>IF(I1504="","",IF(I1504="ENTRADA",ABS(J1504),-ABS(J1504)))</f>
        <v/>
      </c>
      <c r="R1504" s="22" t="str">
        <f>IF(H1504="","",H1504&amp;I1504)</f>
        <v/>
      </c>
      <c r="S1504" s="22" t="str">
        <f>IF(C1504="","",C1504&amp;I1504)</f>
        <v/>
      </c>
      <c r="T1504" t="str">
        <f>IF(OR(C1504="",I1504&lt;&gt;"ENTRADA"),"",TEXT(B1504,"AAMMDD")&amp;"-"&amp;TEXT(VALUE(SUBSTITUTE(A1504,"MOV-","")),"000"))</f>
        <v/>
      </c>
    </row>
    <row r="1505" spans="1:20">
      <c r="A1505" s="20" t="s">
        <v>1864</v>
      </c>
      <c r="H1505" s="20" t="str">
        <f>+T1505</f>
        <v/>
      </c>
      <c r="J1505" s="30"/>
      <c r="K1505" s="22" t="str">
        <f>IF(I1505="","",IF(I1505="ENTRADA",ABS(J1505),-ABS(J1505)))</f>
        <v/>
      </c>
      <c r="R1505" s="22" t="str">
        <f>IF(H1505="","",H1505&amp;I1505)</f>
        <v/>
      </c>
      <c r="S1505" s="22" t="str">
        <f>IF(C1505="","",C1505&amp;I1505)</f>
        <v/>
      </c>
      <c r="T1505" t="str">
        <f>IF(OR(C1505="",I1505&lt;&gt;"ENTRADA"),"",TEXT(B1505,"AAMMDD")&amp;"-"&amp;TEXT(VALUE(SUBSTITUTE(A1505,"MOV-","")),"000"))</f>
        <v/>
      </c>
    </row>
    <row r="1506" spans="1:20">
      <c r="A1506" s="20" t="s">
        <v>1865</v>
      </c>
      <c r="H1506" s="20" t="str">
        <f>+T1506</f>
        <v/>
      </c>
      <c r="J1506" s="30"/>
      <c r="K1506" s="22" t="str">
        <f>IF(I1506="","",IF(I1506="ENTRADA",ABS(J1506),-ABS(J1506)))</f>
        <v/>
      </c>
      <c r="R1506" s="22" t="str">
        <f>IF(H1506="","",H1506&amp;I1506)</f>
        <v/>
      </c>
      <c r="S1506" s="22" t="str">
        <f>IF(C1506="","",C1506&amp;I1506)</f>
        <v/>
      </c>
      <c r="T1506" t="str">
        <f>IF(OR(C1506="",I1506&lt;&gt;"ENTRADA"),"",TEXT(B1506,"AAMMDD")&amp;"-"&amp;TEXT(VALUE(SUBSTITUTE(A1506,"MOV-","")),"000"))</f>
        <v/>
      </c>
    </row>
    <row r="1507" spans="1:20">
      <c r="A1507" s="20" t="s">
        <v>1866</v>
      </c>
      <c r="H1507" s="20" t="str">
        <f>+T1507</f>
        <v/>
      </c>
      <c r="J1507" s="30"/>
      <c r="K1507" s="22" t="str">
        <f>IF(I1507="","",IF(I1507="ENTRADA",ABS(J1507),-ABS(J1507)))</f>
        <v/>
      </c>
      <c r="R1507" s="22" t="str">
        <f>IF(H1507="","",H1507&amp;I1507)</f>
        <v/>
      </c>
      <c r="S1507" s="22" t="str">
        <f>IF(C1507="","",C1507&amp;I1507)</f>
        <v/>
      </c>
      <c r="T1507" t="str">
        <f>IF(OR(C1507="",I1507&lt;&gt;"ENTRADA"),"",TEXT(B1507,"AAMMDD")&amp;"-"&amp;TEXT(VALUE(SUBSTITUTE(A1507,"MOV-","")),"000"))</f>
        <v/>
      </c>
    </row>
    <row r="1508" spans="1:20">
      <c r="A1508" s="20" t="s">
        <v>1867</v>
      </c>
      <c r="H1508" s="20" t="str">
        <f>+T1508</f>
        <v/>
      </c>
      <c r="J1508" s="30"/>
      <c r="K1508" s="22" t="str">
        <f>IF(I1508="","",IF(I1508="ENTRADA",ABS(J1508),-ABS(J1508)))</f>
        <v/>
      </c>
      <c r="R1508" s="22" t="str">
        <f>IF(H1508="","",H1508&amp;I1508)</f>
        <v/>
      </c>
      <c r="S1508" s="22" t="str">
        <f>IF(C1508="","",C1508&amp;I1508)</f>
        <v/>
      </c>
      <c r="T1508" t="str">
        <f>IF(OR(C1508="",I1508&lt;&gt;"ENTRADA"),"",TEXT(B1508,"AAMMDD")&amp;"-"&amp;TEXT(VALUE(SUBSTITUTE(A1508,"MOV-","")),"000"))</f>
        <v/>
      </c>
    </row>
    <row r="1509" spans="1:20">
      <c r="A1509" s="20" t="s">
        <v>1868</v>
      </c>
      <c r="H1509" s="20" t="str">
        <f>+T1509</f>
        <v/>
      </c>
      <c r="J1509" s="30"/>
      <c r="K1509" s="22" t="str">
        <f>IF(I1509="","",IF(I1509="ENTRADA",ABS(J1509),-ABS(J1509)))</f>
        <v/>
      </c>
      <c r="R1509" s="22" t="str">
        <f>IF(H1509="","",H1509&amp;I1509)</f>
        <v/>
      </c>
      <c r="S1509" s="22" t="str">
        <f>IF(C1509="","",C1509&amp;I1509)</f>
        <v/>
      </c>
      <c r="T1509" t="str">
        <f>IF(OR(C1509="",I1509&lt;&gt;"ENTRADA"),"",TEXT(B1509,"AAMMDD")&amp;"-"&amp;TEXT(VALUE(SUBSTITUTE(A1509,"MOV-","")),"000"))</f>
        <v/>
      </c>
    </row>
    <row r="1510" spans="1:20">
      <c r="A1510" s="20" t="s">
        <v>1869</v>
      </c>
      <c r="H1510" s="20" t="str">
        <f>+T1510</f>
        <v/>
      </c>
      <c r="J1510" s="30"/>
      <c r="K1510" s="22" t="str">
        <f>IF(I1510="","",IF(I1510="ENTRADA",ABS(J1510),-ABS(J1510)))</f>
        <v/>
      </c>
      <c r="R1510" s="22" t="str">
        <f>IF(H1510="","",H1510&amp;I1510)</f>
        <v/>
      </c>
      <c r="S1510" s="22" t="str">
        <f>IF(C1510="","",C1510&amp;I1510)</f>
        <v/>
      </c>
      <c r="T1510" t="str">
        <f>IF(OR(C1510="",I1510&lt;&gt;"ENTRADA"),"",TEXT(B1510,"AAMMDD")&amp;"-"&amp;TEXT(VALUE(SUBSTITUTE(A1510,"MOV-","")),"000"))</f>
        <v/>
      </c>
    </row>
    <row r="1511" spans="1:20">
      <c r="A1511" s="20" t="s">
        <v>1870</v>
      </c>
      <c r="H1511" s="20" t="str">
        <f>+T1511</f>
        <v/>
      </c>
      <c r="J1511" s="30"/>
      <c r="K1511" s="22" t="str">
        <f>IF(I1511="","",IF(I1511="ENTRADA",ABS(J1511),-ABS(J1511)))</f>
        <v/>
      </c>
      <c r="R1511" s="22" t="str">
        <f>IF(H1511="","",H1511&amp;I1511)</f>
        <v/>
      </c>
      <c r="S1511" s="22" t="str">
        <f>IF(C1511="","",C1511&amp;I1511)</f>
        <v/>
      </c>
      <c r="T1511" t="str">
        <f>IF(OR(C1511="",I1511&lt;&gt;"ENTRADA"),"",TEXT(B1511,"AAMMDD")&amp;"-"&amp;TEXT(VALUE(SUBSTITUTE(A1511,"MOV-","")),"000"))</f>
        <v/>
      </c>
    </row>
    <row r="1512" spans="1:20">
      <c r="A1512" s="20" t="s">
        <v>1871</v>
      </c>
      <c r="H1512" s="20" t="str">
        <f>+T1512</f>
        <v/>
      </c>
      <c r="J1512" s="30"/>
      <c r="K1512" s="22" t="str">
        <f>IF(I1512="","",IF(I1512="ENTRADA",ABS(J1512),-ABS(J1512)))</f>
        <v/>
      </c>
      <c r="R1512" s="22" t="str">
        <f>IF(H1512="","",H1512&amp;I1512)</f>
        <v/>
      </c>
      <c r="S1512" s="22" t="str">
        <f>IF(C1512="","",C1512&amp;I1512)</f>
        <v/>
      </c>
      <c r="T1512" t="str">
        <f>IF(OR(C1512="",I1512&lt;&gt;"ENTRADA"),"",TEXT(B1512,"AAMMDD")&amp;"-"&amp;TEXT(VALUE(SUBSTITUTE(A1512,"MOV-","")),"000"))</f>
        <v/>
      </c>
    </row>
    <row r="1513" spans="1:20">
      <c r="A1513" s="20" t="s">
        <v>1872</v>
      </c>
      <c r="H1513" s="20" t="str">
        <f>+T1513</f>
        <v/>
      </c>
      <c r="J1513" s="30"/>
      <c r="K1513" s="22" t="str">
        <f>IF(I1513="","",IF(I1513="ENTRADA",ABS(J1513),-ABS(J1513)))</f>
        <v/>
      </c>
      <c r="R1513" s="22" t="str">
        <f>IF(H1513="","",H1513&amp;I1513)</f>
        <v/>
      </c>
      <c r="S1513" s="22" t="str">
        <f>IF(C1513="","",C1513&amp;I1513)</f>
        <v/>
      </c>
      <c r="T1513" t="str">
        <f>IF(OR(C1513="",I1513&lt;&gt;"ENTRADA"),"",TEXT(B1513,"AAMMDD")&amp;"-"&amp;TEXT(VALUE(SUBSTITUTE(A1513,"MOV-","")),"000"))</f>
        <v/>
      </c>
    </row>
    <row r="1514" spans="1:20">
      <c r="A1514" s="20" t="s">
        <v>1873</v>
      </c>
      <c r="H1514" s="20" t="str">
        <f>+T1514</f>
        <v/>
      </c>
      <c r="J1514" s="30"/>
      <c r="K1514" s="22" t="str">
        <f>IF(I1514="","",IF(I1514="ENTRADA",ABS(J1514),-ABS(J1514)))</f>
        <v/>
      </c>
      <c r="R1514" s="22" t="str">
        <f>IF(H1514="","",H1514&amp;I1514)</f>
        <v/>
      </c>
      <c r="S1514" s="22" t="str">
        <f>IF(C1514="","",C1514&amp;I1514)</f>
        <v/>
      </c>
      <c r="T1514" t="str">
        <f>IF(OR(C1514="",I1514&lt;&gt;"ENTRADA"),"",TEXT(B1514,"AAMMDD")&amp;"-"&amp;TEXT(VALUE(SUBSTITUTE(A1514,"MOV-","")),"000"))</f>
        <v/>
      </c>
    </row>
    <row r="1515" spans="1:20">
      <c r="A1515" s="20" t="s">
        <v>1874</v>
      </c>
      <c r="H1515" s="20" t="str">
        <f>+T1515</f>
        <v/>
      </c>
      <c r="J1515" s="30"/>
      <c r="K1515" s="22" t="str">
        <f>IF(I1515="","",IF(I1515="ENTRADA",ABS(J1515),-ABS(J1515)))</f>
        <v/>
      </c>
      <c r="R1515" s="22" t="str">
        <f>IF(H1515="","",H1515&amp;I1515)</f>
        <v/>
      </c>
      <c r="S1515" s="22" t="str">
        <f>IF(C1515="","",C1515&amp;I1515)</f>
        <v/>
      </c>
      <c r="T1515" t="str">
        <f>IF(OR(C1515="",I1515&lt;&gt;"ENTRADA"),"",TEXT(B1515,"AAMMDD")&amp;"-"&amp;TEXT(VALUE(SUBSTITUTE(A1515,"MOV-","")),"000"))</f>
        <v/>
      </c>
    </row>
    <row r="1516" spans="1:20">
      <c r="A1516" s="20" t="s">
        <v>1875</v>
      </c>
      <c r="H1516" s="20" t="str">
        <f>+T1516</f>
        <v/>
      </c>
      <c r="J1516" s="30"/>
      <c r="K1516" s="22" t="str">
        <f>IF(I1516="","",IF(I1516="ENTRADA",ABS(J1516),-ABS(J1516)))</f>
        <v/>
      </c>
      <c r="R1516" s="22" t="str">
        <f>IF(H1516="","",H1516&amp;I1516)</f>
        <v/>
      </c>
      <c r="S1516" s="22" t="str">
        <f>IF(C1516="","",C1516&amp;I1516)</f>
        <v/>
      </c>
      <c r="T1516" t="str">
        <f>IF(OR(C1516="",I1516&lt;&gt;"ENTRADA"),"",TEXT(B1516,"AAMMDD")&amp;"-"&amp;TEXT(VALUE(SUBSTITUTE(A1516,"MOV-","")),"000"))</f>
        <v/>
      </c>
    </row>
    <row r="1517" spans="1:20">
      <c r="A1517" s="20" t="s">
        <v>1876</v>
      </c>
      <c r="H1517" s="20" t="str">
        <f>+T1517</f>
        <v/>
      </c>
      <c r="J1517" s="30"/>
      <c r="K1517" s="22" t="str">
        <f>IF(I1517="","",IF(I1517="ENTRADA",ABS(J1517),-ABS(J1517)))</f>
        <v/>
      </c>
      <c r="R1517" s="22" t="str">
        <f>IF(H1517="","",H1517&amp;I1517)</f>
        <v/>
      </c>
      <c r="S1517" s="22" t="str">
        <f>IF(C1517="","",C1517&amp;I1517)</f>
        <v/>
      </c>
      <c r="T1517" t="str">
        <f>IF(OR(C1517="",I1517&lt;&gt;"ENTRADA"),"",TEXT(B1517,"AAMMDD")&amp;"-"&amp;TEXT(VALUE(SUBSTITUTE(A1517,"MOV-","")),"000"))</f>
        <v/>
      </c>
    </row>
    <row r="1518" spans="1:20">
      <c r="A1518" s="20" t="s">
        <v>1877</v>
      </c>
      <c r="H1518" s="20" t="str">
        <f>+T1518</f>
        <v/>
      </c>
      <c r="J1518" s="30"/>
      <c r="K1518" s="22" t="str">
        <f>IF(I1518="","",IF(I1518="ENTRADA",ABS(J1518),-ABS(J1518)))</f>
        <v/>
      </c>
      <c r="R1518" s="22" t="str">
        <f>IF(H1518="","",H1518&amp;I1518)</f>
        <v/>
      </c>
      <c r="S1518" s="22" t="str">
        <f>IF(C1518="","",C1518&amp;I1518)</f>
        <v/>
      </c>
      <c r="T1518" t="str">
        <f>IF(OR(C1518="",I1518&lt;&gt;"ENTRADA"),"",TEXT(B1518,"AAMMDD")&amp;"-"&amp;TEXT(VALUE(SUBSTITUTE(A1518,"MOV-","")),"000"))</f>
        <v/>
      </c>
    </row>
    <row r="1519" spans="1:20">
      <c r="A1519" s="20" t="s">
        <v>1878</v>
      </c>
      <c r="H1519" s="20" t="str">
        <f>+T1519</f>
        <v/>
      </c>
      <c r="J1519" s="30"/>
      <c r="K1519" s="22" t="str">
        <f>IF(I1519="","",IF(I1519="ENTRADA",ABS(J1519),-ABS(J1519)))</f>
        <v/>
      </c>
      <c r="R1519" s="22" t="str">
        <f>IF(H1519="","",H1519&amp;I1519)</f>
        <v/>
      </c>
      <c r="S1519" s="22" t="str">
        <f>IF(C1519="","",C1519&amp;I1519)</f>
        <v/>
      </c>
      <c r="T1519" t="str">
        <f>IF(OR(C1519="",I1519&lt;&gt;"ENTRADA"),"",TEXT(B1519,"AAMMDD")&amp;"-"&amp;TEXT(VALUE(SUBSTITUTE(A1519,"MOV-","")),"000"))</f>
        <v/>
      </c>
    </row>
    <row r="1520" spans="1:20">
      <c r="A1520" s="20" t="s">
        <v>1879</v>
      </c>
      <c r="H1520" s="20" t="str">
        <f>+T1520</f>
        <v/>
      </c>
      <c r="J1520" s="30"/>
      <c r="K1520" s="22" t="str">
        <f>IF(I1520="","",IF(I1520="ENTRADA",ABS(J1520),-ABS(J1520)))</f>
        <v/>
      </c>
      <c r="R1520" s="22" t="str">
        <f>IF(H1520="","",H1520&amp;I1520)</f>
        <v/>
      </c>
      <c r="S1520" s="22" t="str">
        <f>IF(C1520="","",C1520&amp;I1520)</f>
        <v/>
      </c>
      <c r="T1520" t="str">
        <f>IF(OR(C1520="",I1520&lt;&gt;"ENTRADA"),"",TEXT(B1520,"AAMMDD")&amp;"-"&amp;TEXT(VALUE(SUBSTITUTE(A1520,"MOV-","")),"000"))</f>
        <v/>
      </c>
    </row>
    <row r="1521" spans="1:20">
      <c r="A1521" s="20" t="s">
        <v>1880</v>
      </c>
      <c r="H1521" s="20" t="str">
        <f>+T1521</f>
        <v/>
      </c>
      <c r="J1521" s="30"/>
      <c r="K1521" s="22" t="str">
        <f>IF(I1521="","",IF(I1521="ENTRADA",ABS(J1521),-ABS(J1521)))</f>
        <v/>
      </c>
      <c r="R1521" s="22" t="str">
        <f>IF(H1521="","",H1521&amp;I1521)</f>
        <v/>
      </c>
      <c r="S1521" s="22" t="str">
        <f>IF(C1521="","",C1521&amp;I1521)</f>
        <v/>
      </c>
      <c r="T1521" t="str">
        <f>IF(OR(C1521="",I1521&lt;&gt;"ENTRADA"),"",TEXT(B1521,"AAMMDD")&amp;"-"&amp;TEXT(VALUE(SUBSTITUTE(A1521,"MOV-","")),"000"))</f>
        <v/>
      </c>
    </row>
    <row r="1522" spans="1:20">
      <c r="A1522" s="20" t="s">
        <v>1881</v>
      </c>
      <c r="H1522" s="20" t="str">
        <f>+T1522</f>
        <v/>
      </c>
      <c r="J1522" s="30"/>
      <c r="K1522" s="22" t="str">
        <f>IF(I1522="","",IF(I1522="ENTRADA",ABS(J1522),-ABS(J1522)))</f>
        <v/>
      </c>
      <c r="R1522" s="22" t="str">
        <f>IF(H1522="","",H1522&amp;I1522)</f>
        <v/>
      </c>
      <c r="S1522" s="22" t="str">
        <f>IF(C1522="","",C1522&amp;I1522)</f>
        <v/>
      </c>
      <c r="T1522" t="str">
        <f>IF(OR(C1522="",I1522&lt;&gt;"ENTRADA"),"",TEXT(B1522,"AAMMDD")&amp;"-"&amp;TEXT(VALUE(SUBSTITUTE(A1522,"MOV-","")),"000"))</f>
        <v/>
      </c>
    </row>
    <row r="1523" spans="1:20">
      <c r="A1523" s="20" t="s">
        <v>1882</v>
      </c>
      <c r="H1523" s="20" t="str">
        <f>+T1523</f>
        <v/>
      </c>
      <c r="J1523" s="30"/>
      <c r="K1523" s="22" t="str">
        <f>IF(I1523="","",IF(I1523="ENTRADA",ABS(J1523),-ABS(J1523)))</f>
        <v/>
      </c>
      <c r="R1523" s="22" t="str">
        <f>IF(H1523="","",H1523&amp;I1523)</f>
        <v/>
      </c>
      <c r="S1523" s="22" t="str">
        <f>IF(C1523="","",C1523&amp;I1523)</f>
        <v/>
      </c>
      <c r="T1523" t="str">
        <f>IF(OR(C1523="",I1523&lt;&gt;"ENTRADA"),"",TEXT(B1523,"AAMMDD")&amp;"-"&amp;TEXT(VALUE(SUBSTITUTE(A1523,"MOV-","")),"000"))</f>
        <v/>
      </c>
    </row>
    <row r="1524" spans="1:20">
      <c r="A1524" s="20" t="s">
        <v>1883</v>
      </c>
      <c r="H1524" s="20" t="str">
        <f>+T1524</f>
        <v/>
      </c>
      <c r="J1524" s="30"/>
      <c r="K1524" s="22" t="str">
        <f>IF(I1524="","",IF(I1524="ENTRADA",ABS(J1524),-ABS(J1524)))</f>
        <v/>
      </c>
      <c r="R1524" s="22" t="str">
        <f>IF(H1524="","",H1524&amp;I1524)</f>
        <v/>
      </c>
      <c r="S1524" s="22" t="str">
        <f>IF(C1524="","",C1524&amp;I1524)</f>
        <v/>
      </c>
      <c r="T1524" t="str">
        <f>IF(OR(C1524="",I1524&lt;&gt;"ENTRADA"),"",TEXT(B1524,"AAMMDD")&amp;"-"&amp;TEXT(VALUE(SUBSTITUTE(A1524,"MOV-","")),"000"))</f>
        <v/>
      </c>
    </row>
    <row r="1525" spans="1:20">
      <c r="A1525" s="20" t="s">
        <v>1884</v>
      </c>
      <c r="H1525" s="20" t="str">
        <f>+T1525</f>
        <v/>
      </c>
      <c r="J1525" s="30"/>
      <c r="K1525" s="22" t="str">
        <f>IF(I1525="","",IF(I1525="ENTRADA",ABS(J1525),-ABS(J1525)))</f>
        <v/>
      </c>
      <c r="R1525" s="22" t="str">
        <f>IF(H1525="","",H1525&amp;I1525)</f>
        <v/>
      </c>
      <c r="S1525" s="22" t="str">
        <f>IF(C1525="","",C1525&amp;I1525)</f>
        <v/>
      </c>
      <c r="T1525" t="str">
        <f>IF(OR(C1525="",I1525&lt;&gt;"ENTRADA"),"",TEXT(B1525,"AAMMDD")&amp;"-"&amp;TEXT(VALUE(SUBSTITUTE(A1525,"MOV-","")),"000"))</f>
        <v/>
      </c>
    </row>
    <row r="1526" spans="1:20">
      <c r="A1526" s="20" t="s">
        <v>1885</v>
      </c>
      <c r="H1526" s="20" t="str">
        <f>+T1526</f>
        <v/>
      </c>
      <c r="J1526" s="30"/>
      <c r="K1526" s="22" t="str">
        <f>IF(I1526="","",IF(I1526="ENTRADA",ABS(J1526),-ABS(J1526)))</f>
        <v/>
      </c>
      <c r="R1526" s="22" t="str">
        <f>IF(H1526="","",H1526&amp;I1526)</f>
        <v/>
      </c>
      <c r="S1526" s="22" t="str">
        <f>IF(C1526="","",C1526&amp;I1526)</f>
        <v/>
      </c>
      <c r="T1526" t="str">
        <f>IF(OR(C1526="",I1526&lt;&gt;"ENTRADA"),"",TEXT(B1526,"AAMMDD")&amp;"-"&amp;TEXT(VALUE(SUBSTITUTE(A1526,"MOV-","")),"000"))</f>
        <v/>
      </c>
    </row>
    <row r="1527" spans="1:20">
      <c r="A1527" s="20" t="s">
        <v>1886</v>
      </c>
      <c r="H1527" s="20" t="str">
        <f>+T1527</f>
        <v/>
      </c>
      <c r="J1527" s="30"/>
      <c r="K1527" s="22" t="str">
        <f>IF(I1527="","",IF(I1527="ENTRADA",ABS(J1527),-ABS(J1527)))</f>
        <v/>
      </c>
      <c r="R1527" s="22" t="str">
        <f>IF(H1527="","",H1527&amp;I1527)</f>
        <v/>
      </c>
      <c r="S1527" s="22" t="str">
        <f>IF(C1527="","",C1527&amp;I1527)</f>
        <v/>
      </c>
      <c r="T1527" t="str">
        <f>IF(OR(C1527="",I1527&lt;&gt;"ENTRADA"),"",TEXT(B1527,"AAMMDD")&amp;"-"&amp;TEXT(VALUE(SUBSTITUTE(A1527,"MOV-","")),"000"))</f>
        <v/>
      </c>
    </row>
    <row r="1528" spans="1:20">
      <c r="A1528" s="20" t="s">
        <v>1887</v>
      </c>
      <c r="H1528" s="20" t="str">
        <f>+T1528</f>
        <v/>
      </c>
      <c r="J1528" s="30"/>
      <c r="K1528" s="22" t="str">
        <f>IF(I1528="","",IF(I1528="ENTRADA",ABS(J1528),-ABS(J1528)))</f>
        <v/>
      </c>
      <c r="R1528" s="22" t="str">
        <f>IF(H1528="","",H1528&amp;I1528)</f>
        <v/>
      </c>
      <c r="S1528" s="22" t="str">
        <f>IF(C1528="","",C1528&amp;I1528)</f>
        <v/>
      </c>
      <c r="T1528" t="str">
        <f>IF(OR(C1528="",I1528&lt;&gt;"ENTRADA"),"",TEXT(B1528,"AAMMDD")&amp;"-"&amp;TEXT(VALUE(SUBSTITUTE(A1528,"MOV-","")),"000"))</f>
        <v/>
      </c>
    </row>
    <row r="1529" spans="1:20">
      <c r="A1529" s="20" t="s">
        <v>1888</v>
      </c>
      <c r="H1529" s="20" t="str">
        <f>+T1529</f>
        <v/>
      </c>
      <c r="J1529" s="30"/>
      <c r="K1529" s="22" t="str">
        <f>IF(I1529="","",IF(I1529="ENTRADA",ABS(J1529),-ABS(J1529)))</f>
        <v/>
      </c>
      <c r="R1529" s="22" t="str">
        <f>IF(H1529="","",H1529&amp;I1529)</f>
        <v/>
      </c>
      <c r="S1529" s="22" t="str">
        <f>IF(C1529="","",C1529&amp;I1529)</f>
        <v/>
      </c>
      <c r="T1529" t="str">
        <f>IF(OR(C1529="",I1529&lt;&gt;"ENTRADA"),"",TEXT(B1529,"AAMMDD")&amp;"-"&amp;TEXT(VALUE(SUBSTITUTE(A1529,"MOV-","")),"000"))</f>
        <v/>
      </c>
    </row>
    <row r="1530" spans="1:20">
      <c r="A1530" s="20" t="s">
        <v>1889</v>
      </c>
      <c r="H1530" s="20" t="str">
        <f>+T1530</f>
        <v/>
      </c>
      <c r="J1530" s="30"/>
      <c r="K1530" s="22" t="str">
        <f>IF(I1530="","",IF(I1530="ENTRADA",ABS(J1530),-ABS(J1530)))</f>
        <v/>
      </c>
      <c r="R1530" s="22" t="str">
        <f>IF(H1530="","",H1530&amp;I1530)</f>
        <v/>
      </c>
      <c r="S1530" s="22" t="str">
        <f>IF(C1530="","",C1530&amp;I1530)</f>
        <v/>
      </c>
      <c r="T1530" t="str">
        <f>IF(OR(C1530="",I1530&lt;&gt;"ENTRADA"),"",TEXT(B1530,"AAMMDD")&amp;"-"&amp;TEXT(VALUE(SUBSTITUTE(A1530,"MOV-","")),"000"))</f>
        <v/>
      </c>
    </row>
    <row r="1531" spans="1:20">
      <c r="A1531" s="20" t="s">
        <v>1890</v>
      </c>
      <c r="H1531" s="20" t="str">
        <f>+T1531</f>
        <v/>
      </c>
      <c r="J1531" s="30"/>
      <c r="K1531" s="22" t="str">
        <f>IF(I1531="","",IF(I1531="ENTRADA",ABS(J1531),-ABS(J1531)))</f>
        <v/>
      </c>
      <c r="R1531" s="22" t="str">
        <f>IF(H1531="","",H1531&amp;I1531)</f>
        <v/>
      </c>
      <c r="S1531" s="22" t="str">
        <f>IF(C1531="","",C1531&amp;I1531)</f>
        <v/>
      </c>
      <c r="T1531" t="str">
        <f>IF(OR(C1531="",I1531&lt;&gt;"ENTRADA"),"",TEXT(B1531,"AAMMDD")&amp;"-"&amp;TEXT(VALUE(SUBSTITUTE(A1531,"MOV-","")),"000"))</f>
        <v/>
      </c>
    </row>
    <row r="1532" spans="1:20">
      <c r="A1532" s="20" t="s">
        <v>1891</v>
      </c>
      <c r="H1532" s="20" t="str">
        <f>+T1532</f>
        <v/>
      </c>
      <c r="J1532" s="30"/>
      <c r="K1532" s="22" t="str">
        <f>IF(I1532="","",IF(I1532="ENTRADA",ABS(J1532),-ABS(J1532)))</f>
        <v/>
      </c>
      <c r="R1532" s="22" t="str">
        <f>IF(H1532="","",H1532&amp;I1532)</f>
        <v/>
      </c>
      <c r="S1532" s="22" t="str">
        <f>IF(C1532="","",C1532&amp;I1532)</f>
        <v/>
      </c>
      <c r="T1532" t="str">
        <f>IF(OR(C1532="",I1532&lt;&gt;"ENTRADA"),"",TEXT(B1532,"AAMMDD")&amp;"-"&amp;TEXT(VALUE(SUBSTITUTE(A1532,"MOV-","")),"000"))</f>
        <v/>
      </c>
    </row>
    <row r="1533" spans="1:20">
      <c r="A1533" s="20" t="s">
        <v>1892</v>
      </c>
      <c r="H1533" s="20" t="str">
        <f>+T1533</f>
        <v/>
      </c>
      <c r="J1533" s="30"/>
      <c r="K1533" s="22" t="str">
        <f>IF(I1533="","",IF(I1533="ENTRADA",ABS(J1533),-ABS(J1533)))</f>
        <v/>
      </c>
      <c r="R1533" s="22" t="str">
        <f>IF(H1533="","",H1533&amp;I1533)</f>
        <v/>
      </c>
      <c r="S1533" s="22" t="str">
        <f>IF(C1533="","",C1533&amp;I1533)</f>
        <v/>
      </c>
      <c r="T1533" t="str">
        <f>IF(OR(C1533="",I1533&lt;&gt;"ENTRADA"),"",TEXT(B1533,"AAMMDD")&amp;"-"&amp;TEXT(VALUE(SUBSTITUTE(A1533,"MOV-","")),"000"))</f>
        <v/>
      </c>
    </row>
    <row r="1534" spans="1:20">
      <c r="A1534" s="20" t="s">
        <v>1893</v>
      </c>
      <c r="H1534" s="20" t="str">
        <f>+T1534</f>
        <v/>
      </c>
      <c r="J1534" s="30"/>
      <c r="K1534" s="22" t="str">
        <f>IF(I1534="","",IF(I1534="ENTRADA",ABS(J1534),-ABS(J1534)))</f>
        <v/>
      </c>
      <c r="R1534" s="22" t="str">
        <f>IF(H1534="","",H1534&amp;I1534)</f>
        <v/>
      </c>
      <c r="S1534" s="22" t="str">
        <f>IF(C1534="","",C1534&amp;I1534)</f>
        <v/>
      </c>
      <c r="T1534" t="str">
        <f>IF(OR(C1534="",I1534&lt;&gt;"ENTRADA"),"",TEXT(B1534,"AAMMDD")&amp;"-"&amp;TEXT(VALUE(SUBSTITUTE(A1534,"MOV-","")),"000"))</f>
        <v/>
      </c>
    </row>
    <row r="1535" spans="1:20">
      <c r="A1535" s="20" t="s">
        <v>1894</v>
      </c>
      <c r="H1535" s="20" t="str">
        <f>+T1535</f>
        <v/>
      </c>
      <c r="J1535" s="30"/>
      <c r="K1535" s="22" t="str">
        <f>IF(I1535="","",IF(I1535="ENTRADA",ABS(J1535),-ABS(J1535)))</f>
        <v/>
      </c>
      <c r="R1535" s="22" t="str">
        <f>IF(H1535="","",H1535&amp;I1535)</f>
        <v/>
      </c>
      <c r="S1535" s="22" t="str">
        <f>IF(C1535="","",C1535&amp;I1535)</f>
        <v/>
      </c>
      <c r="T1535" t="str">
        <f>IF(OR(C1535="",I1535&lt;&gt;"ENTRADA"),"",TEXT(B1535,"AAMMDD")&amp;"-"&amp;TEXT(VALUE(SUBSTITUTE(A1535,"MOV-","")),"000"))</f>
        <v/>
      </c>
    </row>
    <row r="1536" spans="1:20">
      <c r="A1536" s="20" t="s">
        <v>1895</v>
      </c>
      <c r="H1536" s="20" t="str">
        <f>+T1536</f>
        <v/>
      </c>
      <c r="J1536" s="30"/>
      <c r="K1536" s="22" t="str">
        <f>IF(I1536="","",IF(I1536="ENTRADA",ABS(J1536),-ABS(J1536)))</f>
        <v/>
      </c>
      <c r="R1536" s="22" t="str">
        <f>IF(H1536="","",H1536&amp;I1536)</f>
        <v/>
      </c>
      <c r="S1536" s="22" t="str">
        <f>IF(C1536="","",C1536&amp;I1536)</f>
        <v/>
      </c>
      <c r="T1536" t="str">
        <f>IF(OR(C1536="",I1536&lt;&gt;"ENTRADA"),"",TEXT(B1536,"AAMMDD")&amp;"-"&amp;TEXT(VALUE(SUBSTITUTE(A1536,"MOV-","")),"000"))</f>
        <v/>
      </c>
    </row>
    <row r="1537" spans="1:20">
      <c r="A1537" s="20" t="s">
        <v>1896</v>
      </c>
      <c r="H1537" s="20" t="str">
        <f>+T1537</f>
        <v/>
      </c>
      <c r="J1537" s="30"/>
      <c r="K1537" s="22" t="str">
        <f>IF(I1537="","",IF(I1537="ENTRADA",ABS(J1537),-ABS(J1537)))</f>
        <v/>
      </c>
      <c r="R1537" s="22" t="str">
        <f>IF(H1537="","",H1537&amp;I1537)</f>
        <v/>
      </c>
      <c r="S1537" s="22" t="str">
        <f>IF(C1537="","",C1537&amp;I1537)</f>
        <v/>
      </c>
      <c r="T1537" t="str">
        <f>IF(OR(C1537="",I1537&lt;&gt;"ENTRADA"),"",TEXT(B1537,"AAMMDD")&amp;"-"&amp;TEXT(VALUE(SUBSTITUTE(A1537,"MOV-","")),"000"))</f>
        <v/>
      </c>
    </row>
    <row r="1538" spans="1:20">
      <c r="A1538" s="20" t="s">
        <v>1897</v>
      </c>
      <c r="H1538" s="20" t="str">
        <f>+T1538</f>
        <v/>
      </c>
      <c r="J1538" s="30"/>
      <c r="K1538" s="22" t="str">
        <f>IF(I1538="","",IF(I1538="ENTRADA",ABS(J1538),-ABS(J1538)))</f>
        <v/>
      </c>
      <c r="R1538" s="22" t="str">
        <f>IF(H1538="","",H1538&amp;I1538)</f>
        <v/>
      </c>
      <c r="S1538" s="22" t="str">
        <f>IF(C1538="","",C1538&amp;I1538)</f>
        <v/>
      </c>
      <c r="T1538" t="str">
        <f>IF(OR(C1538="",I1538&lt;&gt;"ENTRADA"),"",TEXT(B1538,"AAMMDD")&amp;"-"&amp;TEXT(VALUE(SUBSTITUTE(A1538,"MOV-","")),"000"))</f>
        <v/>
      </c>
    </row>
    <row r="1539" spans="1:20">
      <c r="A1539" s="20" t="s">
        <v>1898</v>
      </c>
      <c r="H1539" s="20" t="str">
        <f>+T1539</f>
        <v/>
      </c>
      <c r="J1539" s="30"/>
      <c r="K1539" s="22" t="str">
        <f>IF(I1539="","",IF(I1539="ENTRADA",ABS(J1539),-ABS(J1539)))</f>
        <v/>
      </c>
      <c r="R1539" s="22" t="str">
        <f>IF(H1539="","",H1539&amp;I1539)</f>
        <v/>
      </c>
      <c r="S1539" s="22" t="str">
        <f>IF(C1539="","",C1539&amp;I1539)</f>
        <v/>
      </c>
      <c r="T1539" t="str">
        <f>IF(OR(C1539="",I1539&lt;&gt;"ENTRADA"),"",TEXT(B1539,"AAMMDD")&amp;"-"&amp;TEXT(VALUE(SUBSTITUTE(A1539,"MOV-","")),"000"))</f>
        <v/>
      </c>
    </row>
    <row r="1540" spans="1:20">
      <c r="A1540" s="20" t="s">
        <v>1899</v>
      </c>
      <c r="H1540" s="20" t="str">
        <f>+T1540</f>
        <v/>
      </c>
      <c r="J1540" s="30"/>
      <c r="K1540" s="22" t="str">
        <f>IF(I1540="","",IF(I1540="ENTRADA",ABS(J1540),-ABS(J1540)))</f>
        <v/>
      </c>
      <c r="R1540" s="22" t="str">
        <f>IF(H1540="","",H1540&amp;I1540)</f>
        <v/>
      </c>
      <c r="S1540" s="22" t="str">
        <f>IF(C1540="","",C1540&amp;I1540)</f>
        <v/>
      </c>
      <c r="T1540" t="str">
        <f>IF(OR(C1540="",I1540&lt;&gt;"ENTRADA"),"",TEXT(B1540,"AAMMDD")&amp;"-"&amp;TEXT(VALUE(SUBSTITUTE(A1540,"MOV-","")),"000"))</f>
        <v/>
      </c>
    </row>
    <row r="1541" spans="1:20">
      <c r="A1541" s="20" t="s">
        <v>1900</v>
      </c>
      <c r="H1541" s="20" t="str">
        <f>+T1541</f>
        <v/>
      </c>
      <c r="J1541" s="30"/>
      <c r="K1541" s="22" t="str">
        <f>IF(I1541="","",IF(I1541="ENTRADA",ABS(J1541),-ABS(J1541)))</f>
        <v/>
      </c>
      <c r="R1541" s="22" t="str">
        <f>IF(H1541="","",H1541&amp;I1541)</f>
        <v/>
      </c>
      <c r="S1541" s="22" t="str">
        <f>IF(C1541="","",C1541&amp;I1541)</f>
        <v/>
      </c>
      <c r="T1541" t="str">
        <f>IF(OR(C1541="",I1541&lt;&gt;"ENTRADA"),"",TEXT(B1541,"AAMMDD")&amp;"-"&amp;TEXT(VALUE(SUBSTITUTE(A1541,"MOV-","")),"000"))</f>
        <v/>
      </c>
    </row>
    <row r="1542" spans="1:20">
      <c r="A1542" s="20" t="s">
        <v>1901</v>
      </c>
      <c r="H1542" s="20" t="str">
        <f>+T1542</f>
        <v/>
      </c>
      <c r="J1542" s="30"/>
      <c r="K1542" s="22" t="str">
        <f>IF(I1542="","",IF(I1542="ENTRADA",ABS(J1542),-ABS(J1542)))</f>
        <v/>
      </c>
      <c r="R1542" s="22" t="str">
        <f>IF(H1542="","",H1542&amp;I1542)</f>
        <v/>
      </c>
      <c r="S1542" s="22" t="str">
        <f>IF(C1542="","",C1542&amp;I1542)</f>
        <v/>
      </c>
      <c r="T1542" t="str">
        <f>IF(OR(C1542="",I1542&lt;&gt;"ENTRADA"),"",TEXT(B1542,"AAMMDD")&amp;"-"&amp;TEXT(VALUE(SUBSTITUTE(A1542,"MOV-","")),"000"))</f>
        <v/>
      </c>
    </row>
    <row r="1543" spans="1:20">
      <c r="A1543" s="20" t="s">
        <v>1902</v>
      </c>
      <c r="H1543" s="20" t="str">
        <f>+T1543</f>
        <v/>
      </c>
      <c r="J1543" s="30"/>
      <c r="K1543" s="22" t="str">
        <f>IF(I1543="","",IF(I1543="ENTRADA",ABS(J1543),-ABS(J1543)))</f>
        <v/>
      </c>
      <c r="R1543" s="22" t="str">
        <f>IF(H1543="","",H1543&amp;I1543)</f>
        <v/>
      </c>
      <c r="S1543" s="22" t="str">
        <f>IF(C1543="","",C1543&amp;I1543)</f>
        <v/>
      </c>
      <c r="T1543" t="str">
        <f>IF(OR(C1543="",I1543&lt;&gt;"ENTRADA"),"",TEXT(B1543,"AAMMDD")&amp;"-"&amp;TEXT(VALUE(SUBSTITUTE(A1543,"MOV-","")),"000"))</f>
        <v/>
      </c>
    </row>
    <row r="1544" spans="1:20">
      <c r="A1544" s="20" t="s">
        <v>1903</v>
      </c>
      <c r="H1544" s="20" t="str">
        <f>+T1544</f>
        <v/>
      </c>
      <c r="J1544" s="30"/>
      <c r="K1544" s="22" t="str">
        <f>IF(I1544="","",IF(I1544="ENTRADA",ABS(J1544),-ABS(J1544)))</f>
        <v/>
      </c>
      <c r="R1544" s="22" t="str">
        <f>IF(H1544="","",H1544&amp;I1544)</f>
        <v/>
      </c>
      <c r="S1544" s="22" t="str">
        <f>IF(C1544="","",C1544&amp;I1544)</f>
        <v/>
      </c>
      <c r="T1544" t="str">
        <f>IF(OR(C1544="",I1544&lt;&gt;"ENTRADA"),"",TEXT(B1544,"AAMMDD")&amp;"-"&amp;TEXT(VALUE(SUBSTITUTE(A1544,"MOV-","")),"000"))</f>
        <v/>
      </c>
    </row>
    <row r="1545" spans="1:20">
      <c r="A1545" s="20" t="s">
        <v>1904</v>
      </c>
      <c r="H1545" s="20" t="str">
        <f>+T1545</f>
        <v/>
      </c>
      <c r="J1545" s="30"/>
      <c r="K1545" s="22" t="str">
        <f>IF(I1545="","",IF(I1545="ENTRADA",ABS(J1545),-ABS(J1545)))</f>
        <v/>
      </c>
      <c r="R1545" s="22" t="str">
        <f>IF(H1545="","",H1545&amp;I1545)</f>
        <v/>
      </c>
      <c r="S1545" s="22" t="str">
        <f>IF(C1545="","",C1545&amp;I1545)</f>
        <v/>
      </c>
      <c r="T1545" t="str">
        <f>IF(OR(C1545="",I1545&lt;&gt;"ENTRADA"),"",TEXT(B1545,"AAMMDD")&amp;"-"&amp;TEXT(VALUE(SUBSTITUTE(A1545,"MOV-","")),"000"))</f>
        <v/>
      </c>
    </row>
    <row r="1546" spans="1:20">
      <c r="A1546" s="20" t="s">
        <v>1905</v>
      </c>
      <c r="H1546" s="20" t="str">
        <f>+T1546</f>
        <v/>
      </c>
      <c r="J1546" s="30"/>
      <c r="K1546" s="22" t="str">
        <f>IF(I1546="","",IF(I1546="ENTRADA",ABS(J1546),-ABS(J1546)))</f>
        <v/>
      </c>
      <c r="R1546" s="22" t="str">
        <f>IF(H1546="","",H1546&amp;I1546)</f>
        <v/>
      </c>
      <c r="S1546" s="22" t="str">
        <f>IF(C1546="","",C1546&amp;I1546)</f>
        <v/>
      </c>
      <c r="T1546" t="str">
        <f>IF(OR(C1546="",I1546&lt;&gt;"ENTRADA"),"",TEXT(B1546,"AAMMDD")&amp;"-"&amp;TEXT(VALUE(SUBSTITUTE(A1546,"MOV-","")),"000"))</f>
        <v/>
      </c>
    </row>
    <row r="1547" spans="1:20">
      <c r="A1547" s="20" t="s">
        <v>1906</v>
      </c>
      <c r="H1547" s="20" t="str">
        <f>+T1547</f>
        <v/>
      </c>
      <c r="J1547" s="30"/>
      <c r="K1547" s="22" t="str">
        <f>IF(I1547="","",IF(I1547="ENTRADA",ABS(J1547),-ABS(J1547)))</f>
        <v/>
      </c>
      <c r="R1547" s="22" t="str">
        <f>IF(H1547="","",H1547&amp;I1547)</f>
        <v/>
      </c>
      <c r="S1547" s="22" t="str">
        <f>IF(C1547="","",C1547&amp;I1547)</f>
        <v/>
      </c>
      <c r="T1547" t="str">
        <f>IF(OR(C1547="",I1547&lt;&gt;"ENTRADA"),"",TEXT(B1547,"AAMMDD")&amp;"-"&amp;TEXT(VALUE(SUBSTITUTE(A1547,"MOV-","")),"000"))</f>
        <v/>
      </c>
    </row>
    <row r="1548" spans="1:20">
      <c r="A1548" s="20" t="s">
        <v>1907</v>
      </c>
      <c r="H1548" s="20" t="str">
        <f>+T1548</f>
        <v/>
      </c>
      <c r="J1548" s="30"/>
      <c r="K1548" s="22" t="str">
        <f>IF(I1548="","",IF(I1548="ENTRADA",ABS(J1548),-ABS(J1548)))</f>
        <v/>
      </c>
      <c r="R1548" s="22" t="str">
        <f>IF(H1548="","",H1548&amp;I1548)</f>
        <v/>
      </c>
      <c r="S1548" s="22" t="str">
        <f>IF(C1548="","",C1548&amp;I1548)</f>
        <v/>
      </c>
      <c r="T1548" t="str">
        <f>IF(OR(C1548="",I1548&lt;&gt;"ENTRADA"),"",TEXT(B1548,"AAMMDD")&amp;"-"&amp;TEXT(VALUE(SUBSTITUTE(A1548,"MOV-","")),"000"))</f>
        <v/>
      </c>
    </row>
    <row r="1549" spans="1:20">
      <c r="A1549" s="20" t="s">
        <v>1908</v>
      </c>
      <c r="H1549" s="20" t="str">
        <f>+T1549</f>
        <v/>
      </c>
      <c r="J1549" s="30"/>
      <c r="K1549" s="22" t="str">
        <f>IF(I1549="","",IF(I1549="ENTRADA",ABS(J1549),-ABS(J1549)))</f>
        <v/>
      </c>
      <c r="R1549" s="22" t="str">
        <f>IF(H1549="","",H1549&amp;I1549)</f>
        <v/>
      </c>
      <c r="S1549" s="22" t="str">
        <f>IF(C1549="","",C1549&amp;I1549)</f>
        <v/>
      </c>
      <c r="T1549" t="str">
        <f>IF(OR(C1549="",I1549&lt;&gt;"ENTRADA"),"",TEXT(B1549,"AAMMDD")&amp;"-"&amp;TEXT(VALUE(SUBSTITUTE(A1549,"MOV-","")),"000"))</f>
        <v/>
      </c>
    </row>
    <row r="1550" spans="1:20">
      <c r="A1550" s="20" t="s">
        <v>1909</v>
      </c>
      <c r="H1550" s="20" t="str">
        <f>+T1550</f>
        <v/>
      </c>
      <c r="J1550" s="30"/>
      <c r="K1550" s="22" t="str">
        <f>IF(I1550="","",IF(I1550="ENTRADA",ABS(J1550),-ABS(J1550)))</f>
        <v/>
      </c>
      <c r="R1550" s="22" t="str">
        <f>IF(H1550="","",H1550&amp;I1550)</f>
        <v/>
      </c>
      <c r="S1550" s="22" t="str">
        <f>IF(C1550="","",C1550&amp;I1550)</f>
        <v/>
      </c>
      <c r="T1550" t="str">
        <f>IF(OR(C1550="",I1550&lt;&gt;"ENTRADA"),"",TEXT(B1550,"AAMMDD")&amp;"-"&amp;TEXT(VALUE(SUBSTITUTE(A1550,"MOV-","")),"000"))</f>
        <v/>
      </c>
    </row>
    <row r="1551" spans="1:20">
      <c r="A1551" s="20" t="s">
        <v>1910</v>
      </c>
      <c r="H1551" s="20" t="str">
        <f>+T1551</f>
        <v/>
      </c>
      <c r="J1551" s="30"/>
      <c r="K1551" s="22" t="str">
        <f>IF(I1551="","",IF(I1551="ENTRADA",ABS(J1551),-ABS(J1551)))</f>
        <v/>
      </c>
      <c r="R1551" s="22" t="str">
        <f>IF(H1551="","",H1551&amp;I1551)</f>
        <v/>
      </c>
      <c r="S1551" s="22" t="str">
        <f>IF(C1551="","",C1551&amp;I1551)</f>
        <v/>
      </c>
      <c r="T1551" t="str">
        <f>IF(OR(C1551="",I1551&lt;&gt;"ENTRADA"),"",TEXT(B1551,"AAMMDD")&amp;"-"&amp;TEXT(VALUE(SUBSTITUTE(A1551,"MOV-","")),"000"))</f>
        <v/>
      </c>
    </row>
    <row r="1552" spans="1:20">
      <c r="A1552" s="20" t="s">
        <v>1911</v>
      </c>
      <c r="H1552" s="20" t="str">
        <f>+T1552</f>
        <v/>
      </c>
      <c r="J1552" s="30"/>
      <c r="K1552" s="22" t="str">
        <f>IF(I1552="","",IF(I1552="ENTRADA",ABS(J1552),-ABS(J1552)))</f>
        <v/>
      </c>
      <c r="R1552" s="22" t="str">
        <f>IF(H1552="","",H1552&amp;I1552)</f>
        <v/>
      </c>
      <c r="S1552" s="22" t="str">
        <f>IF(C1552="","",C1552&amp;I1552)</f>
        <v/>
      </c>
      <c r="T1552" t="str">
        <f>IF(OR(C1552="",I1552&lt;&gt;"ENTRADA"),"",TEXT(B1552,"AAMMDD")&amp;"-"&amp;TEXT(VALUE(SUBSTITUTE(A1552,"MOV-","")),"000"))</f>
        <v/>
      </c>
    </row>
    <row r="1553" spans="1:20">
      <c r="A1553" s="20" t="s">
        <v>1912</v>
      </c>
      <c r="H1553" s="20" t="str">
        <f>+T1553</f>
        <v/>
      </c>
      <c r="J1553" s="30"/>
      <c r="K1553" s="22" t="str">
        <f>IF(I1553="","",IF(I1553="ENTRADA",ABS(J1553),-ABS(J1553)))</f>
        <v/>
      </c>
      <c r="R1553" s="22" t="str">
        <f>IF(H1553="","",H1553&amp;I1553)</f>
        <v/>
      </c>
      <c r="S1553" s="22" t="str">
        <f>IF(C1553="","",C1553&amp;I1553)</f>
        <v/>
      </c>
      <c r="T1553" t="str">
        <f>IF(OR(C1553="",I1553&lt;&gt;"ENTRADA"),"",TEXT(B1553,"AAMMDD")&amp;"-"&amp;TEXT(VALUE(SUBSTITUTE(A1553,"MOV-","")),"000"))</f>
        <v/>
      </c>
    </row>
    <row r="1554" spans="1:20">
      <c r="A1554" s="20" t="s">
        <v>1913</v>
      </c>
      <c r="H1554" s="20" t="str">
        <f>+T1554</f>
        <v/>
      </c>
      <c r="J1554" s="30"/>
      <c r="K1554" s="22" t="str">
        <f>IF(I1554="","",IF(I1554="ENTRADA",ABS(J1554),-ABS(J1554)))</f>
        <v/>
      </c>
      <c r="R1554" s="22" t="str">
        <f>IF(H1554="","",H1554&amp;I1554)</f>
        <v/>
      </c>
      <c r="S1554" s="22" t="str">
        <f>IF(C1554="","",C1554&amp;I1554)</f>
        <v/>
      </c>
      <c r="T1554" t="str">
        <f>IF(OR(C1554="",I1554&lt;&gt;"ENTRADA"),"",TEXT(B1554,"AAMMDD")&amp;"-"&amp;TEXT(VALUE(SUBSTITUTE(A1554,"MOV-","")),"000"))</f>
        <v/>
      </c>
    </row>
    <row r="1555" spans="1:20">
      <c r="A1555" s="20" t="s">
        <v>1914</v>
      </c>
      <c r="H1555" s="20" t="str">
        <f>+T1555</f>
        <v/>
      </c>
      <c r="J1555" s="30"/>
      <c r="K1555" s="22" t="str">
        <f>IF(I1555="","",IF(I1555="ENTRADA",ABS(J1555),-ABS(J1555)))</f>
        <v/>
      </c>
      <c r="R1555" s="22" t="str">
        <f>IF(H1555="","",H1555&amp;I1555)</f>
        <v/>
      </c>
      <c r="S1555" s="22" t="str">
        <f>IF(C1555="","",C1555&amp;I1555)</f>
        <v/>
      </c>
      <c r="T1555" t="str">
        <f>IF(OR(C1555="",I1555&lt;&gt;"ENTRADA"),"",TEXT(B1555,"AAMMDD")&amp;"-"&amp;TEXT(VALUE(SUBSTITUTE(A1555,"MOV-","")),"000"))</f>
        <v/>
      </c>
    </row>
    <row r="1556" spans="1:20">
      <c r="A1556" s="20" t="s">
        <v>1915</v>
      </c>
      <c r="H1556" s="20" t="str">
        <f>+T1556</f>
        <v/>
      </c>
      <c r="J1556" s="30"/>
      <c r="K1556" s="22" t="str">
        <f>IF(I1556="","",IF(I1556="ENTRADA",ABS(J1556),-ABS(J1556)))</f>
        <v/>
      </c>
      <c r="R1556" s="22" t="str">
        <f>IF(H1556="","",H1556&amp;I1556)</f>
        <v/>
      </c>
      <c r="S1556" s="22" t="str">
        <f>IF(C1556="","",C1556&amp;I1556)</f>
        <v/>
      </c>
      <c r="T1556" t="str">
        <f>IF(OR(C1556="",I1556&lt;&gt;"ENTRADA"),"",TEXT(B1556,"AAMMDD")&amp;"-"&amp;TEXT(VALUE(SUBSTITUTE(A1556,"MOV-","")),"000"))</f>
        <v/>
      </c>
    </row>
    <row r="1557" spans="1:20">
      <c r="A1557" s="20" t="s">
        <v>1916</v>
      </c>
      <c r="H1557" s="20" t="str">
        <f>+T1557</f>
        <v/>
      </c>
      <c r="J1557" s="30"/>
      <c r="K1557" s="22" t="str">
        <f>IF(I1557="","",IF(I1557="ENTRADA",ABS(J1557),-ABS(J1557)))</f>
        <v/>
      </c>
      <c r="R1557" s="22" t="str">
        <f>IF(H1557="","",H1557&amp;I1557)</f>
        <v/>
      </c>
      <c r="S1557" s="22" t="str">
        <f>IF(C1557="","",C1557&amp;I1557)</f>
        <v/>
      </c>
      <c r="T1557" t="str">
        <f>IF(OR(C1557="",I1557&lt;&gt;"ENTRADA"),"",TEXT(B1557,"AAMMDD")&amp;"-"&amp;TEXT(VALUE(SUBSTITUTE(A1557,"MOV-","")),"000"))</f>
        <v/>
      </c>
    </row>
    <row r="1558" spans="1:20">
      <c r="A1558" s="20" t="s">
        <v>1917</v>
      </c>
      <c r="H1558" s="20" t="str">
        <f>+T1558</f>
        <v/>
      </c>
      <c r="J1558" s="30"/>
      <c r="K1558" s="22" t="str">
        <f>IF(I1558="","",IF(I1558="ENTRADA",ABS(J1558),-ABS(J1558)))</f>
        <v/>
      </c>
      <c r="R1558" s="22" t="str">
        <f>IF(H1558="","",H1558&amp;I1558)</f>
        <v/>
      </c>
      <c r="S1558" s="22" t="str">
        <f>IF(C1558="","",C1558&amp;I1558)</f>
        <v/>
      </c>
      <c r="T1558" t="str">
        <f>IF(OR(C1558="",I1558&lt;&gt;"ENTRADA"),"",TEXT(B1558,"AAMMDD")&amp;"-"&amp;TEXT(VALUE(SUBSTITUTE(A1558,"MOV-","")),"000"))</f>
        <v/>
      </c>
    </row>
    <row r="1559" spans="1:20">
      <c r="A1559" s="20" t="s">
        <v>1918</v>
      </c>
      <c r="H1559" s="20" t="str">
        <f>+T1559</f>
        <v/>
      </c>
      <c r="J1559" s="30"/>
      <c r="K1559" s="22" t="str">
        <f>IF(I1559="","",IF(I1559="ENTRADA",ABS(J1559),-ABS(J1559)))</f>
        <v/>
      </c>
      <c r="R1559" s="22" t="str">
        <f>IF(H1559="","",H1559&amp;I1559)</f>
        <v/>
      </c>
      <c r="S1559" s="22" t="str">
        <f>IF(C1559="","",C1559&amp;I1559)</f>
        <v/>
      </c>
      <c r="T1559" t="str">
        <f>IF(OR(C1559="",I1559&lt;&gt;"ENTRADA"),"",TEXT(B1559,"AAMMDD")&amp;"-"&amp;TEXT(VALUE(SUBSTITUTE(A1559,"MOV-","")),"000"))</f>
        <v/>
      </c>
    </row>
    <row r="1560" spans="1:20">
      <c r="A1560" s="20" t="s">
        <v>1919</v>
      </c>
      <c r="H1560" s="20" t="str">
        <f>+T1560</f>
        <v/>
      </c>
      <c r="J1560" s="30"/>
      <c r="K1560" s="22" t="str">
        <f>IF(I1560="","",IF(I1560="ENTRADA",ABS(J1560),-ABS(J1560)))</f>
        <v/>
      </c>
      <c r="R1560" s="22" t="str">
        <f>IF(H1560="","",H1560&amp;I1560)</f>
        <v/>
      </c>
      <c r="S1560" s="22" t="str">
        <f>IF(C1560="","",C1560&amp;I1560)</f>
        <v/>
      </c>
      <c r="T1560" t="str">
        <f>IF(OR(C1560="",I1560&lt;&gt;"ENTRADA"),"",TEXT(B1560,"AAMMDD")&amp;"-"&amp;TEXT(VALUE(SUBSTITUTE(A1560,"MOV-","")),"000"))</f>
        <v/>
      </c>
    </row>
    <row r="1561" spans="1:20">
      <c r="A1561" s="20" t="s">
        <v>1920</v>
      </c>
      <c r="H1561" s="20" t="str">
        <f>+T1561</f>
        <v/>
      </c>
      <c r="J1561" s="30"/>
      <c r="K1561" s="22" t="str">
        <f>IF(I1561="","",IF(I1561="ENTRADA",ABS(J1561),-ABS(J1561)))</f>
        <v/>
      </c>
      <c r="R1561" s="22" t="str">
        <f>IF(H1561="","",H1561&amp;I1561)</f>
        <v/>
      </c>
      <c r="S1561" s="22" t="str">
        <f>IF(C1561="","",C1561&amp;I1561)</f>
        <v/>
      </c>
      <c r="T1561" t="str">
        <f>IF(OR(C1561="",I1561&lt;&gt;"ENTRADA"),"",TEXT(B1561,"AAMMDD")&amp;"-"&amp;TEXT(VALUE(SUBSTITUTE(A1561,"MOV-","")),"000"))</f>
        <v/>
      </c>
    </row>
    <row r="1562" spans="1:20">
      <c r="A1562" s="20" t="s">
        <v>1921</v>
      </c>
      <c r="H1562" s="20" t="str">
        <f>+T1562</f>
        <v/>
      </c>
      <c r="J1562" s="30"/>
      <c r="K1562" s="22" t="str">
        <f>IF(I1562="","",IF(I1562="ENTRADA",ABS(J1562),-ABS(J1562)))</f>
        <v/>
      </c>
      <c r="R1562" s="22" t="str">
        <f>IF(H1562="","",H1562&amp;I1562)</f>
        <v/>
      </c>
      <c r="S1562" s="22" t="str">
        <f>IF(C1562="","",C1562&amp;I1562)</f>
        <v/>
      </c>
      <c r="T1562" t="str">
        <f>IF(OR(C1562="",I1562&lt;&gt;"ENTRADA"),"",TEXT(B1562,"AAMMDD")&amp;"-"&amp;TEXT(VALUE(SUBSTITUTE(A1562,"MOV-","")),"000"))</f>
        <v/>
      </c>
    </row>
    <row r="1563" spans="1:20">
      <c r="A1563" s="20" t="s">
        <v>1922</v>
      </c>
      <c r="H1563" s="20" t="str">
        <f>+T1563</f>
        <v/>
      </c>
      <c r="J1563" s="30"/>
      <c r="K1563" s="22" t="str">
        <f>IF(I1563="","",IF(I1563="ENTRADA",ABS(J1563),-ABS(J1563)))</f>
        <v/>
      </c>
      <c r="R1563" s="22" t="str">
        <f>IF(H1563="","",H1563&amp;I1563)</f>
        <v/>
      </c>
      <c r="S1563" s="22" t="str">
        <f>IF(C1563="","",C1563&amp;I1563)</f>
        <v/>
      </c>
      <c r="T1563" t="str">
        <f>IF(OR(C1563="",I1563&lt;&gt;"ENTRADA"),"",TEXT(B1563,"AAMMDD")&amp;"-"&amp;TEXT(VALUE(SUBSTITUTE(A1563,"MOV-","")),"000"))</f>
        <v/>
      </c>
    </row>
    <row r="1564" spans="1:20">
      <c r="A1564" s="20" t="s">
        <v>1923</v>
      </c>
      <c r="H1564" s="20" t="str">
        <f>+T1564</f>
        <v/>
      </c>
      <c r="J1564" s="30"/>
      <c r="K1564" s="22" t="str">
        <f>IF(I1564="","",IF(I1564="ENTRADA",ABS(J1564),-ABS(J1564)))</f>
        <v/>
      </c>
      <c r="R1564" s="22" t="str">
        <f>IF(H1564="","",H1564&amp;I1564)</f>
        <v/>
      </c>
      <c r="S1564" s="22" t="str">
        <f>IF(C1564="","",C1564&amp;I1564)</f>
        <v/>
      </c>
      <c r="T1564" t="str">
        <f>IF(OR(C1564="",I1564&lt;&gt;"ENTRADA"),"",TEXT(B1564,"AAMMDD")&amp;"-"&amp;TEXT(VALUE(SUBSTITUTE(A1564,"MOV-","")),"000"))</f>
        <v/>
      </c>
    </row>
    <row r="1565" spans="1:20">
      <c r="A1565" s="20" t="s">
        <v>1924</v>
      </c>
      <c r="H1565" s="20" t="str">
        <f>+T1565</f>
        <v/>
      </c>
      <c r="J1565" s="30"/>
      <c r="K1565" s="22" t="str">
        <f>IF(I1565="","",IF(I1565="ENTRADA",ABS(J1565),-ABS(J1565)))</f>
        <v/>
      </c>
      <c r="R1565" s="22" t="str">
        <f>IF(H1565="","",H1565&amp;I1565)</f>
        <v/>
      </c>
      <c r="S1565" s="22" t="str">
        <f>IF(C1565="","",C1565&amp;I1565)</f>
        <v/>
      </c>
      <c r="T1565" t="str">
        <f>IF(OR(C1565="",I1565&lt;&gt;"ENTRADA"),"",TEXT(B1565,"AAMMDD")&amp;"-"&amp;TEXT(VALUE(SUBSTITUTE(A1565,"MOV-","")),"000"))</f>
        <v/>
      </c>
    </row>
    <row r="1566" spans="1:20">
      <c r="A1566" s="20" t="s">
        <v>1925</v>
      </c>
      <c r="H1566" s="20" t="str">
        <f>+T1566</f>
        <v/>
      </c>
      <c r="J1566" s="30"/>
      <c r="K1566" s="22" t="str">
        <f>IF(I1566="","",IF(I1566="ENTRADA",ABS(J1566),-ABS(J1566)))</f>
        <v/>
      </c>
      <c r="R1566" s="22" t="str">
        <f>IF(H1566="","",H1566&amp;I1566)</f>
        <v/>
      </c>
      <c r="S1566" s="22" t="str">
        <f>IF(C1566="","",C1566&amp;I1566)</f>
        <v/>
      </c>
      <c r="T1566" t="str">
        <f>IF(OR(C1566="",I1566&lt;&gt;"ENTRADA"),"",TEXT(B1566,"AAMMDD")&amp;"-"&amp;TEXT(VALUE(SUBSTITUTE(A1566,"MOV-","")),"000"))</f>
        <v/>
      </c>
    </row>
    <row r="1567" spans="1:20">
      <c r="A1567" s="20" t="s">
        <v>1926</v>
      </c>
      <c r="H1567" s="20" t="str">
        <f>+T1567</f>
        <v/>
      </c>
      <c r="J1567" s="30"/>
      <c r="K1567" s="22" t="str">
        <f>IF(I1567="","",IF(I1567="ENTRADA",ABS(J1567),-ABS(J1567)))</f>
        <v/>
      </c>
      <c r="R1567" s="22" t="str">
        <f>IF(H1567="","",H1567&amp;I1567)</f>
        <v/>
      </c>
      <c r="S1567" s="22" t="str">
        <f>IF(C1567="","",C1567&amp;I1567)</f>
        <v/>
      </c>
      <c r="T1567" t="str">
        <f>IF(OR(C1567="",I1567&lt;&gt;"ENTRADA"),"",TEXT(B1567,"AAMMDD")&amp;"-"&amp;TEXT(VALUE(SUBSTITUTE(A1567,"MOV-","")),"000"))</f>
        <v/>
      </c>
    </row>
    <row r="1568" spans="1:20">
      <c r="A1568" s="20" t="s">
        <v>1927</v>
      </c>
      <c r="H1568" s="20" t="str">
        <f>+T1568</f>
        <v/>
      </c>
      <c r="J1568" s="30"/>
      <c r="K1568" s="22" t="str">
        <f>IF(I1568="","",IF(I1568="ENTRADA",ABS(J1568),-ABS(J1568)))</f>
        <v/>
      </c>
      <c r="R1568" s="22" t="str">
        <f>IF(H1568="","",H1568&amp;I1568)</f>
        <v/>
      </c>
      <c r="S1568" s="22" t="str">
        <f>IF(C1568="","",C1568&amp;I1568)</f>
        <v/>
      </c>
      <c r="T1568" t="str">
        <f>IF(OR(C1568="",I1568&lt;&gt;"ENTRADA"),"",TEXT(B1568,"AAMMDD")&amp;"-"&amp;TEXT(VALUE(SUBSTITUTE(A1568,"MOV-","")),"000"))</f>
        <v/>
      </c>
    </row>
    <row r="1569" spans="1:20">
      <c r="A1569" s="20" t="s">
        <v>1928</v>
      </c>
      <c r="H1569" s="20" t="str">
        <f>+T1569</f>
        <v/>
      </c>
      <c r="J1569" s="30"/>
      <c r="K1569" s="22" t="str">
        <f>IF(I1569="","",IF(I1569="ENTRADA",ABS(J1569),-ABS(J1569)))</f>
        <v/>
      </c>
      <c r="R1569" s="22" t="str">
        <f>IF(H1569="","",H1569&amp;I1569)</f>
        <v/>
      </c>
      <c r="S1569" s="22" t="str">
        <f>IF(C1569="","",C1569&amp;I1569)</f>
        <v/>
      </c>
      <c r="T1569" t="str">
        <f>IF(OR(C1569="",I1569&lt;&gt;"ENTRADA"),"",TEXT(B1569,"AAMMDD")&amp;"-"&amp;TEXT(VALUE(SUBSTITUTE(A1569,"MOV-","")),"000"))</f>
        <v/>
      </c>
    </row>
    <row r="1570" spans="1:20">
      <c r="A1570" s="20" t="s">
        <v>1929</v>
      </c>
      <c r="H1570" s="20" t="str">
        <f>+T1570</f>
        <v/>
      </c>
      <c r="J1570" s="30"/>
      <c r="K1570" s="22" t="str">
        <f>IF(I1570="","",IF(I1570="ENTRADA",ABS(J1570),-ABS(J1570)))</f>
        <v/>
      </c>
      <c r="R1570" s="22" t="str">
        <f>IF(H1570="","",H1570&amp;I1570)</f>
        <v/>
      </c>
      <c r="S1570" s="22" t="str">
        <f>IF(C1570="","",C1570&amp;I1570)</f>
        <v/>
      </c>
      <c r="T1570" t="str">
        <f>IF(OR(C1570="",I1570&lt;&gt;"ENTRADA"),"",TEXT(B1570,"AAMMDD")&amp;"-"&amp;TEXT(VALUE(SUBSTITUTE(A1570,"MOV-","")),"000"))</f>
        <v/>
      </c>
    </row>
    <row r="1571" spans="1:20">
      <c r="A1571" s="20" t="s">
        <v>1930</v>
      </c>
      <c r="H1571" s="20" t="str">
        <f>+T1571</f>
        <v/>
      </c>
      <c r="J1571" s="30"/>
      <c r="K1571" s="22" t="str">
        <f>IF(I1571="","",IF(I1571="ENTRADA",ABS(J1571),-ABS(J1571)))</f>
        <v/>
      </c>
      <c r="R1571" s="22" t="str">
        <f>IF(H1571="","",H1571&amp;I1571)</f>
        <v/>
      </c>
      <c r="S1571" s="22" t="str">
        <f>IF(C1571="","",C1571&amp;I1571)</f>
        <v/>
      </c>
      <c r="T1571" t="str">
        <f>IF(OR(C1571="",I1571&lt;&gt;"ENTRADA"),"",TEXT(B1571,"AAMMDD")&amp;"-"&amp;TEXT(VALUE(SUBSTITUTE(A1571,"MOV-","")),"000"))</f>
        <v/>
      </c>
    </row>
    <row r="1572" spans="1:20">
      <c r="A1572" s="20" t="s">
        <v>1931</v>
      </c>
      <c r="H1572" s="20" t="str">
        <f>+T1572</f>
        <v/>
      </c>
      <c r="J1572" s="30"/>
      <c r="K1572" s="22" t="str">
        <f>IF(I1572="","",IF(I1572="ENTRADA",ABS(J1572),-ABS(J1572)))</f>
        <v/>
      </c>
      <c r="R1572" s="22" t="str">
        <f>IF(H1572="","",H1572&amp;I1572)</f>
        <v/>
      </c>
      <c r="S1572" s="22" t="str">
        <f>IF(C1572="","",C1572&amp;I1572)</f>
        <v/>
      </c>
      <c r="T1572" t="str">
        <f>IF(OR(C1572="",I1572&lt;&gt;"ENTRADA"),"",TEXT(B1572,"AAMMDD")&amp;"-"&amp;TEXT(VALUE(SUBSTITUTE(A1572,"MOV-","")),"000"))</f>
        <v/>
      </c>
    </row>
    <row r="1573" spans="1:20">
      <c r="A1573" s="20" t="s">
        <v>1932</v>
      </c>
      <c r="H1573" s="20" t="str">
        <f>+T1573</f>
        <v/>
      </c>
      <c r="J1573" s="30"/>
      <c r="K1573" s="22" t="str">
        <f>IF(I1573="","",IF(I1573="ENTRADA",ABS(J1573),-ABS(J1573)))</f>
        <v/>
      </c>
      <c r="R1573" s="22" t="str">
        <f>IF(H1573="","",H1573&amp;I1573)</f>
        <v/>
      </c>
      <c r="S1573" s="22" t="str">
        <f>IF(C1573="","",C1573&amp;I1573)</f>
        <v/>
      </c>
      <c r="T1573" t="str">
        <f>IF(OR(C1573="",I1573&lt;&gt;"ENTRADA"),"",TEXT(B1573,"AAMMDD")&amp;"-"&amp;TEXT(VALUE(SUBSTITUTE(A1573,"MOV-","")),"000"))</f>
        <v/>
      </c>
    </row>
    <row r="1574" spans="1:20">
      <c r="A1574" s="20" t="s">
        <v>1933</v>
      </c>
      <c r="H1574" s="20" t="str">
        <f>+T1574</f>
        <v/>
      </c>
      <c r="J1574" s="30"/>
      <c r="K1574" s="22" t="str">
        <f>IF(I1574="","",IF(I1574="ENTRADA",ABS(J1574),-ABS(J1574)))</f>
        <v/>
      </c>
      <c r="R1574" s="22" t="str">
        <f>IF(H1574="","",H1574&amp;I1574)</f>
        <v/>
      </c>
      <c r="S1574" s="22" t="str">
        <f>IF(C1574="","",C1574&amp;I1574)</f>
        <v/>
      </c>
      <c r="T1574" t="str">
        <f>IF(OR(C1574="",I1574&lt;&gt;"ENTRADA"),"",TEXT(B1574,"AAMMDD")&amp;"-"&amp;TEXT(VALUE(SUBSTITUTE(A1574,"MOV-","")),"000"))</f>
        <v/>
      </c>
    </row>
    <row r="1575" spans="1:20">
      <c r="A1575" s="20" t="s">
        <v>1934</v>
      </c>
      <c r="H1575" s="20" t="str">
        <f>+T1575</f>
        <v/>
      </c>
      <c r="J1575" s="30"/>
      <c r="K1575" s="22" t="str">
        <f>IF(I1575="","",IF(I1575="ENTRADA",ABS(J1575),-ABS(J1575)))</f>
        <v/>
      </c>
      <c r="R1575" s="22" t="str">
        <f>IF(H1575="","",H1575&amp;I1575)</f>
        <v/>
      </c>
      <c r="S1575" s="22" t="str">
        <f>IF(C1575="","",C1575&amp;I1575)</f>
        <v/>
      </c>
      <c r="T1575" t="str">
        <f>IF(OR(C1575="",I1575&lt;&gt;"ENTRADA"),"",TEXT(B1575,"AAMMDD")&amp;"-"&amp;TEXT(VALUE(SUBSTITUTE(A1575,"MOV-","")),"000"))</f>
        <v/>
      </c>
    </row>
    <row r="1576" spans="1:20">
      <c r="A1576" s="20" t="s">
        <v>1935</v>
      </c>
      <c r="H1576" s="20" t="str">
        <f>+T1576</f>
        <v/>
      </c>
      <c r="J1576" s="30"/>
      <c r="K1576" s="22" t="str">
        <f>IF(I1576="","",IF(I1576="ENTRADA",ABS(J1576),-ABS(J1576)))</f>
        <v/>
      </c>
      <c r="R1576" s="22" t="str">
        <f>IF(H1576="","",H1576&amp;I1576)</f>
        <v/>
      </c>
      <c r="S1576" s="22" t="str">
        <f>IF(C1576="","",C1576&amp;I1576)</f>
        <v/>
      </c>
      <c r="T1576" t="str">
        <f>IF(OR(C1576="",I1576&lt;&gt;"ENTRADA"),"",TEXT(B1576,"AAMMDD")&amp;"-"&amp;TEXT(VALUE(SUBSTITUTE(A1576,"MOV-","")),"000"))</f>
        <v/>
      </c>
    </row>
    <row r="1577" spans="1:20">
      <c r="A1577" s="20" t="s">
        <v>1936</v>
      </c>
      <c r="H1577" s="20" t="str">
        <f>+T1577</f>
        <v/>
      </c>
      <c r="J1577" s="30"/>
      <c r="K1577" s="22" t="str">
        <f>IF(I1577="","",IF(I1577="ENTRADA",ABS(J1577),-ABS(J1577)))</f>
        <v/>
      </c>
      <c r="R1577" s="22" t="str">
        <f>IF(H1577="","",H1577&amp;I1577)</f>
        <v/>
      </c>
      <c r="S1577" s="22" t="str">
        <f>IF(C1577="","",C1577&amp;I1577)</f>
        <v/>
      </c>
      <c r="T1577" t="str">
        <f>IF(OR(C1577="",I1577&lt;&gt;"ENTRADA"),"",TEXT(B1577,"AAMMDD")&amp;"-"&amp;TEXT(VALUE(SUBSTITUTE(A1577,"MOV-","")),"000"))</f>
        <v/>
      </c>
    </row>
    <row r="1578" spans="1:20">
      <c r="A1578" s="20" t="s">
        <v>1937</v>
      </c>
      <c r="H1578" s="20" t="str">
        <f>+T1578</f>
        <v/>
      </c>
      <c r="J1578" s="30"/>
      <c r="K1578" s="22" t="str">
        <f>IF(I1578="","",IF(I1578="ENTRADA",ABS(J1578),-ABS(J1578)))</f>
        <v/>
      </c>
      <c r="R1578" s="22" t="str">
        <f>IF(H1578="","",H1578&amp;I1578)</f>
        <v/>
      </c>
      <c r="S1578" s="22" t="str">
        <f>IF(C1578="","",C1578&amp;I1578)</f>
        <v/>
      </c>
      <c r="T1578" t="str">
        <f>IF(OR(C1578="",I1578&lt;&gt;"ENTRADA"),"",TEXT(B1578,"AAMMDD")&amp;"-"&amp;TEXT(VALUE(SUBSTITUTE(A1578,"MOV-","")),"000"))</f>
        <v/>
      </c>
    </row>
    <row r="1579" spans="1:20">
      <c r="A1579" s="20" t="s">
        <v>1938</v>
      </c>
      <c r="H1579" s="20" t="str">
        <f>+T1579</f>
        <v/>
      </c>
      <c r="J1579" s="30"/>
      <c r="K1579" s="22" t="str">
        <f>IF(I1579="","",IF(I1579="ENTRADA",ABS(J1579),-ABS(J1579)))</f>
        <v/>
      </c>
      <c r="R1579" s="22" t="str">
        <f>IF(H1579="","",H1579&amp;I1579)</f>
        <v/>
      </c>
      <c r="S1579" s="22" t="str">
        <f>IF(C1579="","",C1579&amp;I1579)</f>
        <v/>
      </c>
      <c r="T1579" t="str">
        <f>IF(OR(C1579="",I1579&lt;&gt;"ENTRADA"),"",TEXT(B1579,"AAMMDD")&amp;"-"&amp;TEXT(VALUE(SUBSTITUTE(A1579,"MOV-","")),"000"))</f>
        <v/>
      </c>
    </row>
    <row r="1580" spans="1:20">
      <c r="A1580" s="20" t="s">
        <v>1939</v>
      </c>
      <c r="H1580" s="20" t="str">
        <f>+T1580</f>
        <v/>
      </c>
      <c r="J1580" s="30"/>
      <c r="K1580" s="22" t="str">
        <f>IF(I1580="","",IF(I1580="ENTRADA",ABS(J1580),-ABS(J1580)))</f>
        <v/>
      </c>
      <c r="R1580" s="22" t="str">
        <f>IF(H1580="","",H1580&amp;I1580)</f>
        <v/>
      </c>
      <c r="S1580" s="22" t="str">
        <f>IF(C1580="","",C1580&amp;I1580)</f>
        <v/>
      </c>
      <c r="T1580" t="str">
        <f>IF(OR(C1580="",I1580&lt;&gt;"ENTRADA"),"",TEXT(B1580,"AAMMDD")&amp;"-"&amp;TEXT(VALUE(SUBSTITUTE(A1580,"MOV-","")),"000"))</f>
        <v/>
      </c>
    </row>
    <row r="1581" spans="1:20">
      <c r="A1581" s="20" t="s">
        <v>1940</v>
      </c>
      <c r="H1581" s="20" t="str">
        <f>+T1581</f>
        <v/>
      </c>
      <c r="J1581" s="30"/>
      <c r="K1581" s="22" t="str">
        <f>IF(I1581="","",IF(I1581="ENTRADA",ABS(J1581),-ABS(J1581)))</f>
        <v/>
      </c>
      <c r="R1581" s="22" t="str">
        <f>IF(H1581="","",H1581&amp;I1581)</f>
        <v/>
      </c>
      <c r="S1581" s="22" t="str">
        <f>IF(C1581="","",C1581&amp;I1581)</f>
        <v/>
      </c>
      <c r="T1581" t="str">
        <f>IF(OR(C1581="",I1581&lt;&gt;"ENTRADA"),"",TEXT(B1581,"AAMMDD")&amp;"-"&amp;TEXT(VALUE(SUBSTITUTE(A1581,"MOV-","")),"000"))</f>
        <v/>
      </c>
    </row>
    <row r="1582" spans="1:20">
      <c r="A1582" s="20" t="s">
        <v>1941</v>
      </c>
      <c r="H1582" s="20" t="str">
        <f>+T1582</f>
        <v/>
      </c>
      <c r="J1582" s="30"/>
      <c r="K1582" s="22" t="str">
        <f>IF(I1582="","",IF(I1582="ENTRADA",ABS(J1582),-ABS(J1582)))</f>
        <v/>
      </c>
      <c r="R1582" s="22" t="str">
        <f>IF(H1582="","",H1582&amp;I1582)</f>
        <v/>
      </c>
      <c r="S1582" s="22" t="str">
        <f>IF(C1582="","",C1582&amp;I1582)</f>
        <v/>
      </c>
      <c r="T1582" t="str">
        <f>IF(OR(C1582="",I1582&lt;&gt;"ENTRADA"),"",TEXT(B1582,"AAMMDD")&amp;"-"&amp;TEXT(VALUE(SUBSTITUTE(A1582,"MOV-","")),"000"))</f>
        <v/>
      </c>
    </row>
    <row r="1583" spans="1:20">
      <c r="A1583" s="20" t="s">
        <v>1942</v>
      </c>
      <c r="H1583" s="20" t="str">
        <f>+T1583</f>
        <v/>
      </c>
      <c r="J1583" s="30"/>
      <c r="K1583" s="22" t="str">
        <f>IF(I1583="","",IF(I1583="ENTRADA",ABS(J1583),-ABS(J1583)))</f>
        <v/>
      </c>
      <c r="R1583" s="22" t="str">
        <f>IF(H1583="","",H1583&amp;I1583)</f>
        <v/>
      </c>
      <c r="S1583" s="22" t="str">
        <f>IF(C1583="","",C1583&amp;I1583)</f>
        <v/>
      </c>
      <c r="T1583" t="str">
        <f>IF(OR(C1583="",I1583&lt;&gt;"ENTRADA"),"",TEXT(B1583,"AAMMDD")&amp;"-"&amp;TEXT(VALUE(SUBSTITUTE(A1583,"MOV-","")),"000"))</f>
        <v/>
      </c>
    </row>
    <row r="1584" spans="1:20">
      <c r="A1584" s="20" t="s">
        <v>1943</v>
      </c>
      <c r="H1584" s="20" t="str">
        <f>+T1584</f>
        <v/>
      </c>
      <c r="J1584" s="30"/>
      <c r="K1584" s="22" t="str">
        <f>IF(I1584="","",IF(I1584="ENTRADA",ABS(J1584),-ABS(J1584)))</f>
        <v/>
      </c>
      <c r="R1584" s="22" t="str">
        <f>IF(H1584="","",H1584&amp;I1584)</f>
        <v/>
      </c>
      <c r="S1584" s="22" t="str">
        <f>IF(C1584="","",C1584&amp;I1584)</f>
        <v/>
      </c>
      <c r="T1584" t="str">
        <f>IF(OR(C1584="",I1584&lt;&gt;"ENTRADA"),"",TEXT(B1584,"AAMMDD")&amp;"-"&amp;TEXT(VALUE(SUBSTITUTE(A1584,"MOV-","")),"000"))</f>
        <v/>
      </c>
    </row>
    <row r="1585" spans="1:20">
      <c r="A1585" s="20" t="s">
        <v>1944</v>
      </c>
      <c r="H1585" s="20" t="str">
        <f>+T1585</f>
        <v/>
      </c>
      <c r="J1585" s="30"/>
      <c r="K1585" s="22" t="str">
        <f>IF(I1585="","",IF(I1585="ENTRADA",ABS(J1585),-ABS(J1585)))</f>
        <v/>
      </c>
      <c r="R1585" s="22" t="str">
        <f>IF(H1585="","",H1585&amp;I1585)</f>
        <v/>
      </c>
      <c r="S1585" s="22" t="str">
        <f>IF(C1585="","",C1585&amp;I1585)</f>
        <v/>
      </c>
      <c r="T1585" t="str">
        <f>IF(OR(C1585="",I1585&lt;&gt;"ENTRADA"),"",TEXT(B1585,"AAMMDD")&amp;"-"&amp;TEXT(VALUE(SUBSTITUTE(A1585,"MOV-","")),"000"))</f>
        <v/>
      </c>
    </row>
    <row r="1586" spans="1:20">
      <c r="A1586" s="20" t="s">
        <v>1945</v>
      </c>
      <c r="H1586" s="20" t="str">
        <f>+T1586</f>
        <v/>
      </c>
      <c r="J1586" s="30"/>
      <c r="K1586" s="22" t="str">
        <f>IF(I1586="","",IF(I1586="ENTRADA",ABS(J1586),-ABS(J1586)))</f>
        <v/>
      </c>
      <c r="R1586" s="22" t="str">
        <f>IF(H1586="","",H1586&amp;I1586)</f>
        <v/>
      </c>
      <c r="S1586" s="22" t="str">
        <f>IF(C1586="","",C1586&amp;I1586)</f>
        <v/>
      </c>
      <c r="T1586" t="str">
        <f>IF(OR(C1586="",I1586&lt;&gt;"ENTRADA"),"",TEXT(B1586,"AAMMDD")&amp;"-"&amp;TEXT(VALUE(SUBSTITUTE(A1586,"MOV-","")),"000"))</f>
        <v/>
      </c>
    </row>
    <row r="1587" spans="1:20">
      <c r="A1587" s="20" t="s">
        <v>1946</v>
      </c>
      <c r="H1587" s="20" t="str">
        <f>+T1587</f>
        <v/>
      </c>
      <c r="J1587" s="30"/>
      <c r="K1587" s="22" t="str">
        <f>IF(I1587="","",IF(I1587="ENTRADA",ABS(J1587),-ABS(J1587)))</f>
        <v/>
      </c>
      <c r="R1587" s="22" t="str">
        <f>IF(H1587="","",H1587&amp;I1587)</f>
        <v/>
      </c>
      <c r="S1587" s="22" t="str">
        <f>IF(C1587="","",C1587&amp;I1587)</f>
        <v/>
      </c>
      <c r="T1587" t="str">
        <f>IF(OR(C1587="",I1587&lt;&gt;"ENTRADA"),"",TEXT(B1587,"AAMMDD")&amp;"-"&amp;TEXT(VALUE(SUBSTITUTE(A1587,"MOV-","")),"000"))</f>
        <v/>
      </c>
    </row>
    <row r="1588" spans="1:20">
      <c r="A1588" s="20" t="s">
        <v>1947</v>
      </c>
      <c r="H1588" s="20" t="str">
        <f>+T1588</f>
        <v/>
      </c>
      <c r="J1588" s="30"/>
      <c r="K1588" s="22" t="str">
        <f>IF(I1588="","",IF(I1588="ENTRADA",ABS(J1588),-ABS(J1588)))</f>
        <v/>
      </c>
      <c r="R1588" s="22" t="str">
        <f>IF(H1588="","",H1588&amp;I1588)</f>
        <v/>
      </c>
      <c r="S1588" s="22" t="str">
        <f>IF(C1588="","",C1588&amp;I1588)</f>
        <v/>
      </c>
      <c r="T1588" t="str">
        <f>IF(OR(C1588="",I1588&lt;&gt;"ENTRADA"),"",TEXT(B1588,"AAMMDD")&amp;"-"&amp;TEXT(VALUE(SUBSTITUTE(A1588,"MOV-","")),"000"))</f>
        <v/>
      </c>
    </row>
    <row r="1589" spans="1:20">
      <c r="A1589" s="20" t="s">
        <v>1948</v>
      </c>
      <c r="H1589" s="20" t="str">
        <f>+T1589</f>
        <v/>
      </c>
      <c r="J1589" s="30"/>
      <c r="K1589" s="22" t="str">
        <f>IF(I1589="","",IF(I1589="ENTRADA",ABS(J1589),-ABS(J1589)))</f>
        <v/>
      </c>
      <c r="R1589" s="22" t="str">
        <f>IF(H1589="","",H1589&amp;I1589)</f>
        <v/>
      </c>
      <c r="S1589" s="22" t="str">
        <f>IF(C1589="","",C1589&amp;I1589)</f>
        <v/>
      </c>
      <c r="T1589" t="str">
        <f>IF(OR(C1589="",I1589&lt;&gt;"ENTRADA"),"",TEXT(B1589,"AAMMDD")&amp;"-"&amp;TEXT(VALUE(SUBSTITUTE(A1589,"MOV-","")),"000"))</f>
        <v/>
      </c>
    </row>
    <row r="1590" spans="1:20">
      <c r="A1590" s="20" t="s">
        <v>1949</v>
      </c>
      <c r="H1590" s="20" t="str">
        <f>+T1590</f>
        <v/>
      </c>
      <c r="J1590" s="30"/>
      <c r="K1590" s="22" t="str">
        <f>IF(I1590="","",IF(I1590="ENTRADA",ABS(J1590),-ABS(J1590)))</f>
        <v/>
      </c>
      <c r="R1590" s="22" t="str">
        <f>IF(H1590="","",H1590&amp;I1590)</f>
        <v/>
      </c>
      <c r="S1590" s="22" t="str">
        <f>IF(C1590="","",C1590&amp;I1590)</f>
        <v/>
      </c>
      <c r="T1590" t="str">
        <f>IF(OR(C1590="",I1590&lt;&gt;"ENTRADA"),"",TEXT(B1590,"AAMMDD")&amp;"-"&amp;TEXT(VALUE(SUBSTITUTE(A1590,"MOV-","")),"000"))</f>
        <v/>
      </c>
    </row>
    <row r="1591" spans="1:20">
      <c r="A1591" s="20" t="s">
        <v>1950</v>
      </c>
      <c r="H1591" s="20" t="str">
        <f>+T1591</f>
        <v/>
      </c>
      <c r="J1591" s="30"/>
      <c r="K1591" s="22" t="str">
        <f>IF(I1591="","",IF(I1591="ENTRADA",ABS(J1591),-ABS(J1591)))</f>
        <v/>
      </c>
      <c r="R1591" s="22" t="str">
        <f>IF(H1591="","",H1591&amp;I1591)</f>
        <v/>
      </c>
      <c r="S1591" s="22" t="str">
        <f>IF(C1591="","",C1591&amp;I1591)</f>
        <v/>
      </c>
      <c r="T1591" t="str">
        <f>IF(OR(C1591="",I1591&lt;&gt;"ENTRADA"),"",TEXT(B1591,"AAMMDD")&amp;"-"&amp;TEXT(VALUE(SUBSTITUTE(A1591,"MOV-","")),"000"))</f>
        <v/>
      </c>
    </row>
    <row r="1592" spans="1:20">
      <c r="A1592" s="20" t="s">
        <v>1951</v>
      </c>
      <c r="H1592" s="20" t="str">
        <f>+T1592</f>
        <v/>
      </c>
      <c r="J1592" s="30"/>
      <c r="K1592" s="22" t="str">
        <f>IF(I1592="","",IF(I1592="ENTRADA",ABS(J1592),-ABS(J1592)))</f>
        <v/>
      </c>
      <c r="R1592" s="22" t="str">
        <f>IF(H1592="","",H1592&amp;I1592)</f>
        <v/>
      </c>
      <c r="S1592" s="22" t="str">
        <f>IF(C1592="","",C1592&amp;I1592)</f>
        <v/>
      </c>
      <c r="T1592" t="str">
        <f>IF(OR(C1592="",I1592&lt;&gt;"ENTRADA"),"",TEXT(B1592,"AAMMDD")&amp;"-"&amp;TEXT(VALUE(SUBSTITUTE(A1592,"MOV-","")),"000"))</f>
        <v/>
      </c>
    </row>
    <row r="1593" spans="1:20">
      <c r="A1593" s="20" t="s">
        <v>1952</v>
      </c>
      <c r="H1593" s="20" t="str">
        <f>+T1593</f>
        <v/>
      </c>
      <c r="J1593" s="30"/>
      <c r="K1593" s="22" t="str">
        <f>IF(I1593="","",IF(I1593="ENTRADA",ABS(J1593),-ABS(J1593)))</f>
        <v/>
      </c>
      <c r="R1593" s="22" t="str">
        <f>IF(H1593="","",H1593&amp;I1593)</f>
        <v/>
      </c>
      <c r="S1593" s="22" t="str">
        <f>IF(C1593="","",C1593&amp;I1593)</f>
        <v/>
      </c>
      <c r="T1593" t="str">
        <f>IF(OR(C1593="",I1593&lt;&gt;"ENTRADA"),"",TEXT(B1593,"AAMMDD")&amp;"-"&amp;TEXT(VALUE(SUBSTITUTE(A1593,"MOV-","")),"000"))</f>
        <v/>
      </c>
    </row>
    <row r="1594" spans="1:20">
      <c r="A1594" s="20" t="s">
        <v>1953</v>
      </c>
      <c r="H1594" s="20" t="str">
        <f>+T1594</f>
        <v/>
      </c>
      <c r="J1594" s="30"/>
      <c r="K1594" s="22" t="str">
        <f>IF(I1594="","",IF(I1594="ENTRADA",ABS(J1594),-ABS(J1594)))</f>
        <v/>
      </c>
      <c r="R1594" s="22" t="str">
        <f>IF(H1594="","",H1594&amp;I1594)</f>
        <v/>
      </c>
      <c r="S1594" s="22" t="str">
        <f>IF(C1594="","",C1594&amp;I1594)</f>
        <v/>
      </c>
      <c r="T1594" t="str">
        <f>IF(OR(C1594="",I1594&lt;&gt;"ENTRADA"),"",TEXT(B1594,"AAMMDD")&amp;"-"&amp;TEXT(VALUE(SUBSTITUTE(A1594,"MOV-","")),"000"))</f>
        <v/>
      </c>
    </row>
    <row r="1595" spans="1:20">
      <c r="A1595" s="20" t="s">
        <v>1954</v>
      </c>
      <c r="H1595" s="20" t="str">
        <f>+T1595</f>
        <v/>
      </c>
      <c r="J1595" s="30"/>
      <c r="K1595" s="22" t="str">
        <f>IF(I1595="","",IF(I1595="ENTRADA",ABS(J1595),-ABS(J1595)))</f>
        <v/>
      </c>
      <c r="R1595" s="22" t="str">
        <f>IF(H1595="","",H1595&amp;I1595)</f>
        <v/>
      </c>
      <c r="S1595" s="22" t="str">
        <f>IF(C1595="","",C1595&amp;I1595)</f>
        <v/>
      </c>
      <c r="T1595" t="str">
        <f>IF(OR(C1595="",I1595&lt;&gt;"ENTRADA"),"",TEXT(B1595,"AAMMDD")&amp;"-"&amp;TEXT(VALUE(SUBSTITUTE(A1595,"MOV-","")),"000"))</f>
        <v/>
      </c>
    </row>
    <row r="1596" spans="1:20">
      <c r="A1596" s="20" t="s">
        <v>1955</v>
      </c>
      <c r="H1596" s="20" t="str">
        <f>+T1596</f>
        <v/>
      </c>
      <c r="J1596" s="30"/>
      <c r="K1596" s="22" t="str">
        <f>IF(I1596="","",IF(I1596="ENTRADA",ABS(J1596),-ABS(J1596)))</f>
        <v/>
      </c>
      <c r="R1596" s="22" t="str">
        <f>IF(H1596="","",H1596&amp;I1596)</f>
        <v/>
      </c>
      <c r="S1596" s="22" t="str">
        <f>IF(C1596="","",C1596&amp;I1596)</f>
        <v/>
      </c>
      <c r="T1596" t="str">
        <f>IF(OR(C1596="",I1596&lt;&gt;"ENTRADA"),"",TEXT(B1596,"AAMMDD")&amp;"-"&amp;TEXT(VALUE(SUBSTITUTE(A1596,"MOV-","")),"000"))</f>
        <v/>
      </c>
    </row>
    <row r="1597" spans="1:20">
      <c r="A1597" s="20" t="s">
        <v>1956</v>
      </c>
      <c r="H1597" s="20" t="str">
        <f>+T1597</f>
        <v/>
      </c>
      <c r="J1597" s="30"/>
      <c r="K1597" s="22" t="str">
        <f>IF(I1597="","",IF(I1597="ENTRADA",ABS(J1597),-ABS(J1597)))</f>
        <v/>
      </c>
      <c r="R1597" s="22" t="str">
        <f>IF(H1597="","",H1597&amp;I1597)</f>
        <v/>
      </c>
      <c r="S1597" s="22" t="str">
        <f>IF(C1597="","",C1597&amp;I1597)</f>
        <v/>
      </c>
      <c r="T1597" t="str">
        <f>IF(OR(C1597="",I1597&lt;&gt;"ENTRADA"),"",TEXT(B1597,"AAMMDD")&amp;"-"&amp;TEXT(VALUE(SUBSTITUTE(A1597,"MOV-","")),"000"))</f>
        <v/>
      </c>
    </row>
    <row r="1598" spans="1:20">
      <c r="A1598" s="20" t="s">
        <v>1957</v>
      </c>
      <c r="H1598" s="20" t="str">
        <f>+T1598</f>
        <v/>
      </c>
      <c r="J1598" s="30"/>
      <c r="K1598" s="22" t="str">
        <f>IF(I1598="","",IF(I1598="ENTRADA",ABS(J1598),-ABS(J1598)))</f>
        <v/>
      </c>
      <c r="R1598" s="22" t="str">
        <f>IF(H1598="","",H1598&amp;I1598)</f>
        <v/>
      </c>
      <c r="S1598" s="22" t="str">
        <f>IF(C1598="","",C1598&amp;I1598)</f>
        <v/>
      </c>
      <c r="T1598" t="str">
        <f>IF(OR(C1598="",I1598&lt;&gt;"ENTRADA"),"",TEXT(B1598,"AAMMDD")&amp;"-"&amp;TEXT(VALUE(SUBSTITUTE(A1598,"MOV-","")),"000"))</f>
        <v/>
      </c>
    </row>
    <row r="1599" spans="1:20">
      <c r="A1599" s="20" t="s">
        <v>1958</v>
      </c>
      <c r="H1599" s="20" t="str">
        <f>+T1599</f>
        <v/>
      </c>
      <c r="J1599" s="30"/>
      <c r="K1599" s="22" t="str">
        <f>IF(I1599="","",IF(I1599="ENTRADA",ABS(J1599),-ABS(J1599)))</f>
        <v/>
      </c>
      <c r="R1599" s="22" t="str">
        <f>IF(H1599="","",H1599&amp;I1599)</f>
        <v/>
      </c>
      <c r="S1599" s="22" t="str">
        <f>IF(C1599="","",C1599&amp;I1599)</f>
        <v/>
      </c>
      <c r="T1599" t="str">
        <f>IF(OR(C1599="",I1599&lt;&gt;"ENTRADA"),"",TEXT(B1599,"AAMMDD")&amp;"-"&amp;TEXT(VALUE(SUBSTITUTE(A1599,"MOV-","")),"000"))</f>
        <v/>
      </c>
    </row>
    <row r="1600" spans="1:20">
      <c r="A1600" s="20" t="s">
        <v>1959</v>
      </c>
      <c r="H1600" s="20" t="str">
        <f>+T1600</f>
        <v/>
      </c>
      <c r="J1600" s="30"/>
      <c r="K1600" s="22" t="str">
        <f>IF(I1600="","",IF(I1600="ENTRADA",ABS(J1600),-ABS(J1600)))</f>
        <v/>
      </c>
      <c r="R1600" s="22" t="str">
        <f>IF(H1600="","",H1600&amp;I1600)</f>
        <v/>
      </c>
      <c r="S1600" s="22" t="str">
        <f>IF(C1600="","",C1600&amp;I1600)</f>
        <v/>
      </c>
      <c r="T1600" t="str">
        <f>IF(OR(C1600="",I1600&lt;&gt;"ENTRADA"),"",TEXT(B1600,"AAMMDD")&amp;"-"&amp;TEXT(VALUE(SUBSTITUTE(A1600,"MOV-","")),"000"))</f>
        <v/>
      </c>
    </row>
    <row r="1601" spans="1:20">
      <c r="A1601" s="20" t="s">
        <v>1960</v>
      </c>
      <c r="H1601" s="20" t="str">
        <f>+T1601</f>
        <v/>
      </c>
      <c r="J1601" s="30"/>
      <c r="K1601" s="22" t="str">
        <f>IF(I1601="","",IF(I1601="ENTRADA",ABS(J1601),-ABS(J1601)))</f>
        <v/>
      </c>
      <c r="R1601" s="22" t="str">
        <f>IF(H1601="","",H1601&amp;I1601)</f>
        <v/>
      </c>
      <c r="S1601" s="22" t="str">
        <f>IF(C1601="","",C1601&amp;I1601)</f>
        <v/>
      </c>
      <c r="T1601" t="str">
        <f>IF(OR(C1601="",I1601&lt;&gt;"ENTRADA"),"",TEXT(B1601,"AAMMDD")&amp;"-"&amp;TEXT(VALUE(SUBSTITUTE(A1601,"MOV-","")),"000"))</f>
        <v/>
      </c>
    </row>
    <row r="1602" spans="1:20">
      <c r="A1602" s="20" t="s">
        <v>1961</v>
      </c>
      <c r="H1602" s="20" t="str">
        <f>+T1602</f>
        <v/>
      </c>
      <c r="J1602" s="30"/>
      <c r="K1602" s="22" t="str">
        <f>IF(I1602="","",IF(I1602="ENTRADA",ABS(J1602),-ABS(J1602)))</f>
        <v/>
      </c>
      <c r="R1602" s="22" t="str">
        <f>IF(H1602="","",H1602&amp;I1602)</f>
        <v/>
      </c>
      <c r="S1602" s="22" t="str">
        <f>IF(C1602="","",C1602&amp;I1602)</f>
        <v/>
      </c>
      <c r="T1602" t="str">
        <f>IF(OR(C1602="",I1602&lt;&gt;"ENTRADA"),"",TEXT(B1602,"AAMMDD")&amp;"-"&amp;TEXT(VALUE(SUBSTITUTE(A1602,"MOV-","")),"000"))</f>
        <v/>
      </c>
    </row>
    <row r="1603" spans="1:20">
      <c r="A1603" s="20" t="s">
        <v>1962</v>
      </c>
      <c r="H1603" s="20" t="str">
        <f>+T1603</f>
        <v/>
      </c>
      <c r="J1603" s="30"/>
      <c r="K1603" s="22" t="str">
        <f>IF(I1603="","",IF(I1603="ENTRADA",ABS(J1603),-ABS(J1603)))</f>
        <v/>
      </c>
      <c r="R1603" s="22" t="str">
        <f>IF(H1603="","",H1603&amp;I1603)</f>
        <v/>
      </c>
      <c r="S1603" s="22" t="str">
        <f>IF(C1603="","",C1603&amp;I1603)</f>
        <v/>
      </c>
      <c r="T1603" t="str">
        <f>IF(OR(C1603="",I1603&lt;&gt;"ENTRADA"),"",TEXT(B1603,"AAMMDD")&amp;"-"&amp;TEXT(VALUE(SUBSTITUTE(A1603,"MOV-","")),"000"))</f>
        <v/>
      </c>
    </row>
    <row r="1604" spans="1:20">
      <c r="A1604" s="20" t="s">
        <v>1963</v>
      </c>
      <c r="H1604" s="20" t="str">
        <f>+T1604</f>
        <v/>
      </c>
      <c r="J1604" s="30"/>
      <c r="K1604" s="22" t="str">
        <f>IF(I1604="","",IF(I1604="ENTRADA",ABS(J1604),-ABS(J1604)))</f>
        <v/>
      </c>
      <c r="R1604" s="22" t="str">
        <f>IF(H1604="","",H1604&amp;I1604)</f>
        <v/>
      </c>
      <c r="S1604" s="22" t="str">
        <f>IF(C1604="","",C1604&amp;I1604)</f>
        <v/>
      </c>
      <c r="T1604" t="str">
        <f>IF(OR(C1604="",I1604&lt;&gt;"ENTRADA"),"",TEXT(B1604,"AAMMDD")&amp;"-"&amp;TEXT(VALUE(SUBSTITUTE(A1604,"MOV-","")),"000"))</f>
        <v/>
      </c>
    </row>
    <row r="1605" spans="1:20">
      <c r="A1605" s="20" t="s">
        <v>1964</v>
      </c>
      <c r="H1605" s="20" t="str">
        <f>+T1605</f>
        <v/>
      </c>
      <c r="J1605" s="30"/>
      <c r="K1605" s="22" t="str">
        <f>IF(I1605="","",IF(I1605="ENTRADA",ABS(J1605),-ABS(J1605)))</f>
        <v/>
      </c>
      <c r="R1605" s="22" t="str">
        <f>IF(H1605="","",H1605&amp;I1605)</f>
        <v/>
      </c>
      <c r="S1605" s="22" t="str">
        <f>IF(C1605="","",C1605&amp;I1605)</f>
        <v/>
      </c>
      <c r="T1605" t="str">
        <f>IF(OR(C1605="",I1605&lt;&gt;"ENTRADA"),"",TEXT(B1605,"AAMMDD")&amp;"-"&amp;TEXT(VALUE(SUBSTITUTE(A1605,"MOV-","")),"000"))</f>
        <v/>
      </c>
    </row>
    <row r="1606" spans="1:20">
      <c r="A1606" s="20" t="s">
        <v>1965</v>
      </c>
      <c r="H1606" s="20" t="str">
        <f>+T1606</f>
        <v/>
      </c>
      <c r="J1606" s="30"/>
      <c r="K1606" s="22" t="str">
        <f>IF(I1606="","",IF(I1606="ENTRADA",ABS(J1606),-ABS(J1606)))</f>
        <v/>
      </c>
      <c r="R1606" s="22" t="str">
        <f>IF(H1606="","",H1606&amp;I1606)</f>
        <v/>
      </c>
      <c r="S1606" s="22" t="str">
        <f>IF(C1606="","",C1606&amp;I1606)</f>
        <v/>
      </c>
      <c r="T1606" t="str">
        <f>IF(OR(C1606="",I1606&lt;&gt;"ENTRADA"),"",TEXT(B1606,"AAMMDD")&amp;"-"&amp;TEXT(VALUE(SUBSTITUTE(A1606,"MOV-","")),"000"))</f>
        <v/>
      </c>
    </row>
    <row r="1607" spans="1:20">
      <c r="A1607" s="20" t="s">
        <v>1966</v>
      </c>
      <c r="H1607" s="20" t="str">
        <f>+T1607</f>
        <v/>
      </c>
      <c r="J1607" s="30"/>
      <c r="K1607" s="22" t="str">
        <f>IF(I1607="","",IF(I1607="ENTRADA",ABS(J1607),-ABS(J1607)))</f>
        <v/>
      </c>
      <c r="R1607" s="22" t="str">
        <f>IF(H1607="","",H1607&amp;I1607)</f>
        <v/>
      </c>
      <c r="S1607" s="22" t="str">
        <f>IF(C1607="","",C1607&amp;I1607)</f>
        <v/>
      </c>
      <c r="T1607" t="str">
        <f>IF(OR(C1607="",I1607&lt;&gt;"ENTRADA"),"",TEXT(B1607,"AAMMDD")&amp;"-"&amp;TEXT(VALUE(SUBSTITUTE(A1607,"MOV-","")),"000"))</f>
        <v/>
      </c>
    </row>
    <row r="1608" spans="1:20">
      <c r="A1608" s="20" t="s">
        <v>1967</v>
      </c>
      <c r="H1608" s="20" t="str">
        <f>+T1608</f>
        <v/>
      </c>
      <c r="J1608" s="30"/>
      <c r="K1608" s="22" t="str">
        <f>IF(I1608="","",IF(I1608="ENTRADA",ABS(J1608),-ABS(J1608)))</f>
        <v/>
      </c>
      <c r="R1608" s="22" t="str">
        <f>IF(H1608="","",H1608&amp;I1608)</f>
        <v/>
      </c>
      <c r="S1608" s="22" t="str">
        <f>IF(C1608="","",C1608&amp;I1608)</f>
        <v/>
      </c>
      <c r="T1608" t="str">
        <f>IF(OR(C1608="",I1608&lt;&gt;"ENTRADA"),"",TEXT(B1608,"AAMMDD")&amp;"-"&amp;TEXT(VALUE(SUBSTITUTE(A1608,"MOV-","")),"000"))</f>
        <v/>
      </c>
    </row>
    <row r="1609" spans="1:20">
      <c r="A1609" s="20" t="s">
        <v>1968</v>
      </c>
      <c r="H1609" s="20" t="str">
        <f>+T1609</f>
        <v/>
      </c>
      <c r="J1609" s="30"/>
      <c r="K1609" s="22" t="str">
        <f>IF(I1609="","",IF(I1609="ENTRADA",ABS(J1609),-ABS(J1609)))</f>
        <v/>
      </c>
      <c r="R1609" s="22" t="str">
        <f>IF(H1609="","",H1609&amp;I1609)</f>
        <v/>
      </c>
      <c r="S1609" s="22" t="str">
        <f>IF(C1609="","",C1609&amp;I1609)</f>
        <v/>
      </c>
      <c r="T1609" t="str">
        <f>IF(OR(C1609="",I1609&lt;&gt;"ENTRADA"),"",TEXT(B1609,"AAMMDD")&amp;"-"&amp;TEXT(VALUE(SUBSTITUTE(A1609,"MOV-","")),"000"))</f>
        <v/>
      </c>
    </row>
    <row r="1610" spans="1:20">
      <c r="A1610" s="20" t="s">
        <v>1969</v>
      </c>
      <c r="H1610" s="20" t="str">
        <f>+T1610</f>
        <v/>
      </c>
      <c r="J1610" s="30"/>
      <c r="K1610" s="22" t="str">
        <f>IF(I1610="","",IF(I1610="ENTRADA",ABS(J1610),-ABS(J1610)))</f>
        <v/>
      </c>
      <c r="R1610" s="22" t="str">
        <f>IF(H1610="","",H1610&amp;I1610)</f>
        <v/>
      </c>
      <c r="S1610" s="22" t="str">
        <f>IF(C1610="","",C1610&amp;I1610)</f>
        <v/>
      </c>
      <c r="T1610" t="str">
        <f>IF(OR(C1610="",I1610&lt;&gt;"ENTRADA"),"",TEXT(B1610,"AAMMDD")&amp;"-"&amp;TEXT(VALUE(SUBSTITUTE(A1610,"MOV-","")),"000"))</f>
        <v/>
      </c>
    </row>
    <row r="1611" spans="1:20">
      <c r="A1611" s="20" t="s">
        <v>1970</v>
      </c>
      <c r="H1611" s="20" t="str">
        <f>+T1611</f>
        <v/>
      </c>
      <c r="J1611" s="30"/>
      <c r="K1611" s="22" t="str">
        <f>IF(I1611="","",IF(I1611="ENTRADA",ABS(J1611),-ABS(J1611)))</f>
        <v/>
      </c>
      <c r="R1611" s="22" t="str">
        <f>IF(H1611="","",H1611&amp;I1611)</f>
        <v/>
      </c>
      <c r="S1611" s="22" t="str">
        <f>IF(C1611="","",C1611&amp;I1611)</f>
        <v/>
      </c>
      <c r="T1611" t="str">
        <f>IF(OR(C1611="",I1611&lt;&gt;"ENTRADA"),"",TEXT(B1611,"AAMMDD")&amp;"-"&amp;TEXT(VALUE(SUBSTITUTE(A1611,"MOV-","")),"000"))</f>
        <v/>
      </c>
    </row>
    <row r="1612" spans="1:20">
      <c r="A1612" s="20" t="s">
        <v>1971</v>
      </c>
      <c r="H1612" s="20" t="str">
        <f>+T1612</f>
        <v/>
      </c>
      <c r="J1612" s="30"/>
      <c r="K1612" s="22" t="str">
        <f>IF(I1612="","",IF(I1612="ENTRADA",ABS(J1612),-ABS(J1612)))</f>
        <v/>
      </c>
      <c r="R1612" s="22" t="str">
        <f>IF(H1612="","",H1612&amp;I1612)</f>
        <v/>
      </c>
      <c r="S1612" s="22" t="str">
        <f>IF(C1612="","",C1612&amp;I1612)</f>
        <v/>
      </c>
      <c r="T1612" t="str">
        <f>IF(OR(C1612="",I1612&lt;&gt;"ENTRADA"),"",TEXT(B1612,"AAMMDD")&amp;"-"&amp;TEXT(VALUE(SUBSTITUTE(A1612,"MOV-","")),"000"))</f>
        <v/>
      </c>
    </row>
    <row r="1613" spans="1:20">
      <c r="A1613" s="20" t="s">
        <v>1972</v>
      </c>
      <c r="H1613" s="20" t="str">
        <f>+T1613</f>
        <v/>
      </c>
      <c r="J1613" s="30"/>
      <c r="K1613" s="22" t="str">
        <f>IF(I1613="","",IF(I1613="ENTRADA",ABS(J1613),-ABS(J1613)))</f>
        <v/>
      </c>
      <c r="R1613" s="22" t="str">
        <f>IF(H1613="","",H1613&amp;I1613)</f>
        <v/>
      </c>
      <c r="S1613" s="22" t="str">
        <f>IF(C1613="","",C1613&amp;I1613)</f>
        <v/>
      </c>
      <c r="T1613" t="str">
        <f>IF(OR(C1613="",I1613&lt;&gt;"ENTRADA"),"",TEXT(B1613,"AAMMDD")&amp;"-"&amp;TEXT(VALUE(SUBSTITUTE(A1613,"MOV-","")),"000"))</f>
        <v/>
      </c>
    </row>
    <row r="1614" spans="1:20">
      <c r="A1614" s="20" t="s">
        <v>1973</v>
      </c>
      <c r="H1614" s="20" t="str">
        <f>+T1614</f>
        <v/>
      </c>
      <c r="J1614" s="30"/>
      <c r="K1614" s="22" t="str">
        <f>IF(I1614="","",IF(I1614="ENTRADA",ABS(J1614),-ABS(J1614)))</f>
        <v/>
      </c>
      <c r="R1614" s="22" t="str">
        <f>IF(H1614="","",H1614&amp;I1614)</f>
        <v/>
      </c>
      <c r="S1614" s="22" t="str">
        <f>IF(C1614="","",C1614&amp;I1614)</f>
        <v/>
      </c>
      <c r="T1614" t="str">
        <f>IF(OR(C1614="",I1614&lt;&gt;"ENTRADA"),"",TEXT(B1614,"AAMMDD")&amp;"-"&amp;TEXT(VALUE(SUBSTITUTE(A1614,"MOV-","")),"000"))</f>
        <v/>
      </c>
    </row>
    <row r="1615" spans="1:20">
      <c r="A1615" s="20" t="s">
        <v>1974</v>
      </c>
      <c r="H1615" s="20" t="str">
        <f>+T1615</f>
        <v/>
      </c>
      <c r="J1615" s="30"/>
      <c r="K1615" s="22" t="str">
        <f>IF(I1615="","",IF(I1615="ENTRADA",ABS(J1615),-ABS(J1615)))</f>
        <v/>
      </c>
      <c r="R1615" s="22" t="str">
        <f>IF(H1615="","",H1615&amp;I1615)</f>
        <v/>
      </c>
      <c r="S1615" s="22" t="str">
        <f>IF(C1615="","",C1615&amp;I1615)</f>
        <v/>
      </c>
      <c r="T1615" t="str">
        <f>IF(OR(C1615="",I1615&lt;&gt;"ENTRADA"),"",TEXT(B1615,"AAMMDD")&amp;"-"&amp;TEXT(VALUE(SUBSTITUTE(A1615,"MOV-","")),"000"))</f>
        <v/>
      </c>
    </row>
    <row r="1616" spans="1:20">
      <c r="A1616" s="20" t="s">
        <v>1975</v>
      </c>
      <c r="H1616" s="20" t="str">
        <f>+T1616</f>
        <v/>
      </c>
      <c r="J1616" s="30"/>
      <c r="K1616" s="22" t="str">
        <f>IF(I1616="","",IF(I1616="ENTRADA",ABS(J1616),-ABS(J1616)))</f>
        <v/>
      </c>
      <c r="R1616" s="22" t="str">
        <f>IF(H1616="","",H1616&amp;I1616)</f>
        <v/>
      </c>
      <c r="S1616" s="22" t="str">
        <f>IF(C1616="","",C1616&amp;I1616)</f>
        <v/>
      </c>
      <c r="T1616" t="str">
        <f>IF(OR(C1616="",I1616&lt;&gt;"ENTRADA"),"",TEXT(B1616,"AAMMDD")&amp;"-"&amp;TEXT(VALUE(SUBSTITUTE(A1616,"MOV-","")),"000"))</f>
        <v/>
      </c>
    </row>
    <row r="1617" spans="1:20">
      <c r="A1617" s="20" t="s">
        <v>1976</v>
      </c>
      <c r="H1617" s="20" t="str">
        <f>+T1617</f>
        <v/>
      </c>
      <c r="J1617" s="30"/>
      <c r="K1617" s="22" t="str">
        <f>IF(I1617="","",IF(I1617="ENTRADA",ABS(J1617),-ABS(J1617)))</f>
        <v/>
      </c>
      <c r="R1617" s="22" t="str">
        <f>IF(H1617="","",H1617&amp;I1617)</f>
        <v/>
      </c>
      <c r="S1617" s="22" t="str">
        <f>IF(C1617="","",C1617&amp;I1617)</f>
        <v/>
      </c>
      <c r="T1617" t="str">
        <f>IF(OR(C1617="",I1617&lt;&gt;"ENTRADA"),"",TEXT(B1617,"AAMMDD")&amp;"-"&amp;TEXT(VALUE(SUBSTITUTE(A1617,"MOV-","")),"000"))</f>
        <v/>
      </c>
    </row>
    <row r="1618" spans="1:20">
      <c r="A1618" s="20" t="s">
        <v>1977</v>
      </c>
      <c r="H1618" s="20" t="str">
        <f>+T1618</f>
        <v/>
      </c>
      <c r="J1618" s="30"/>
      <c r="K1618" s="22" t="str">
        <f>IF(I1618="","",IF(I1618="ENTRADA",ABS(J1618),-ABS(J1618)))</f>
        <v/>
      </c>
      <c r="R1618" s="22" t="str">
        <f>IF(H1618="","",H1618&amp;I1618)</f>
        <v/>
      </c>
      <c r="S1618" s="22" t="str">
        <f>IF(C1618="","",C1618&amp;I1618)</f>
        <v/>
      </c>
      <c r="T1618" t="str">
        <f>IF(OR(C1618="",I1618&lt;&gt;"ENTRADA"),"",TEXT(B1618,"AAMMDD")&amp;"-"&amp;TEXT(VALUE(SUBSTITUTE(A1618,"MOV-","")),"000"))</f>
        <v/>
      </c>
    </row>
    <row r="1619" spans="1:20">
      <c r="A1619" s="20" t="s">
        <v>1978</v>
      </c>
      <c r="H1619" s="20" t="str">
        <f>+T1619</f>
        <v/>
      </c>
      <c r="J1619" s="30"/>
      <c r="K1619" s="22" t="str">
        <f>IF(I1619="","",IF(I1619="ENTRADA",ABS(J1619),-ABS(J1619)))</f>
        <v/>
      </c>
      <c r="R1619" s="22" t="str">
        <f>IF(H1619="","",H1619&amp;I1619)</f>
        <v/>
      </c>
      <c r="S1619" s="22" t="str">
        <f>IF(C1619="","",C1619&amp;I1619)</f>
        <v/>
      </c>
      <c r="T1619" t="str">
        <f>IF(OR(C1619="",I1619&lt;&gt;"ENTRADA"),"",TEXT(B1619,"AAMMDD")&amp;"-"&amp;TEXT(VALUE(SUBSTITUTE(A1619,"MOV-","")),"000"))</f>
        <v/>
      </c>
    </row>
    <row r="1620" spans="1:20">
      <c r="A1620" s="20" t="s">
        <v>1979</v>
      </c>
      <c r="H1620" s="20" t="str">
        <f>+T1620</f>
        <v/>
      </c>
      <c r="J1620" s="30"/>
      <c r="K1620" s="22" t="str">
        <f>IF(I1620="","",IF(I1620="ENTRADA",ABS(J1620),-ABS(J1620)))</f>
        <v/>
      </c>
      <c r="R1620" s="22" t="str">
        <f>IF(H1620="","",H1620&amp;I1620)</f>
        <v/>
      </c>
      <c r="S1620" s="22" t="str">
        <f>IF(C1620="","",C1620&amp;I1620)</f>
        <v/>
      </c>
      <c r="T1620" t="str">
        <f>IF(OR(C1620="",I1620&lt;&gt;"ENTRADA"),"",TEXT(B1620,"AAMMDD")&amp;"-"&amp;TEXT(VALUE(SUBSTITUTE(A1620,"MOV-","")),"000"))</f>
        <v/>
      </c>
    </row>
    <row r="1621" spans="1:20">
      <c r="A1621" s="20" t="s">
        <v>1980</v>
      </c>
      <c r="H1621" s="20" t="str">
        <f>+T1621</f>
        <v/>
      </c>
      <c r="J1621" s="30"/>
      <c r="K1621" s="22" t="str">
        <f>IF(I1621="","",IF(I1621="ENTRADA",ABS(J1621),-ABS(J1621)))</f>
        <v/>
      </c>
      <c r="R1621" s="22" t="str">
        <f>IF(H1621="","",H1621&amp;I1621)</f>
        <v/>
      </c>
      <c r="S1621" s="22" t="str">
        <f>IF(C1621="","",C1621&amp;I1621)</f>
        <v/>
      </c>
      <c r="T1621" t="str">
        <f>IF(OR(C1621="",I1621&lt;&gt;"ENTRADA"),"",TEXT(B1621,"AAMMDD")&amp;"-"&amp;TEXT(VALUE(SUBSTITUTE(A1621,"MOV-","")),"000"))</f>
        <v/>
      </c>
    </row>
    <row r="1622" spans="1:20">
      <c r="A1622" s="20" t="s">
        <v>1981</v>
      </c>
      <c r="H1622" s="20" t="str">
        <f>+T1622</f>
        <v/>
      </c>
      <c r="J1622" s="30"/>
      <c r="K1622" s="22" t="str">
        <f>IF(I1622="","",IF(I1622="ENTRADA",ABS(J1622),-ABS(J1622)))</f>
        <v/>
      </c>
      <c r="R1622" s="22" t="str">
        <f>IF(H1622="","",H1622&amp;I1622)</f>
        <v/>
      </c>
      <c r="S1622" s="22" t="str">
        <f>IF(C1622="","",C1622&amp;I1622)</f>
        <v/>
      </c>
      <c r="T1622" t="str">
        <f>IF(OR(C1622="",I1622&lt;&gt;"ENTRADA"),"",TEXT(B1622,"AAMMDD")&amp;"-"&amp;TEXT(VALUE(SUBSTITUTE(A1622,"MOV-","")),"000"))</f>
        <v/>
      </c>
    </row>
    <row r="1623" spans="1:20">
      <c r="A1623" s="20" t="s">
        <v>1982</v>
      </c>
      <c r="H1623" s="20" t="str">
        <f>+T1623</f>
        <v/>
      </c>
      <c r="J1623" s="30"/>
      <c r="K1623" s="22" t="str">
        <f>IF(I1623="","",IF(I1623="ENTRADA",ABS(J1623),-ABS(J1623)))</f>
        <v/>
      </c>
      <c r="R1623" s="22" t="str">
        <f>IF(H1623="","",H1623&amp;I1623)</f>
        <v/>
      </c>
      <c r="S1623" s="22" t="str">
        <f>IF(C1623="","",C1623&amp;I1623)</f>
        <v/>
      </c>
      <c r="T1623" t="str">
        <f>IF(OR(C1623="",I1623&lt;&gt;"ENTRADA"),"",TEXT(B1623,"AAMMDD")&amp;"-"&amp;TEXT(VALUE(SUBSTITUTE(A1623,"MOV-","")),"000"))</f>
        <v/>
      </c>
    </row>
    <row r="1624" spans="1:20">
      <c r="A1624" s="20" t="s">
        <v>1983</v>
      </c>
      <c r="H1624" s="20" t="str">
        <f>+T1624</f>
        <v/>
      </c>
      <c r="J1624" s="30"/>
      <c r="K1624" s="22" t="str">
        <f>IF(I1624="","",IF(I1624="ENTRADA",ABS(J1624),-ABS(J1624)))</f>
        <v/>
      </c>
      <c r="R1624" s="22" t="str">
        <f>IF(H1624="","",H1624&amp;I1624)</f>
        <v/>
      </c>
      <c r="S1624" s="22" t="str">
        <f>IF(C1624="","",C1624&amp;I1624)</f>
        <v/>
      </c>
      <c r="T1624" t="str">
        <f>IF(OR(C1624="",I1624&lt;&gt;"ENTRADA"),"",TEXT(B1624,"AAMMDD")&amp;"-"&amp;TEXT(VALUE(SUBSTITUTE(A1624,"MOV-","")),"000"))</f>
        <v/>
      </c>
    </row>
    <row r="1625" spans="1:20">
      <c r="A1625" s="20" t="s">
        <v>1984</v>
      </c>
      <c r="H1625" s="20" t="str">
        <f>+T1625</f>
        <v/>
      </c>
      <c r="J1625" s="30"/>
      <c r="K1625" s="22" t="str">
        <f>IF(I1625="","",IF(I1625="ENTRADA",ABS(J1625),-ABS(J1625)))</f>
        <v/>
      </c>
      <c r="R1625" s="22" t="str">
        <f>IF(H1625="","",H1625&amp;I1625)</f>
        <v/>
      </c>
      <c r="S1625" s="22" t="str">
        <f>IF(C1625="","",C1625&amp;I1625)</f>
        <v/>
      </c>
      <c r="T1625" t="str">
        <f>IF(OR(C1625="",I1625&lt;&gt;"ENTRADA"),"",TEXT(B1625,"AAMMDD")&amp;"-"&amp;TEXT(VALUE(SUBSTITUTE(A1625,"MOV-","")),"000"))</f>
        <v/>
      </c>
    </row>
    <row r="1626" spans="1:20">
      <c r="A1626" s="20" t="s">
        <v>1985</v>
      </c>
      <c r="H1626" s="20" t="str">
        <f>+T1626</f>
        <v/>
      </c>
      <c r="J1626" s="30"/>
      <c r="K1626" s="22" t="str">
        <f>IF(I1626="","",IF(I1626="ENTRADA",ABS(J1626),-ABS(J1626)))</f>
        <v/>
      </c>
      <c r="R1626" s="22" t="str">
        <f>IF(H1626="","",H1626&amp;I1626)</f>
        <v/>
      </c>
      <c r="S1626" s="22" t="str">
        <f>IF(C1626="","",C1626&amp;I1626)</f>
        <v/>
      </c>
      <c r="T1626" t="str">
        <f>IF(OR(C1626="",I1626&lt;&gt;"ENTRADA"),"",TEXT(B1626,"AAMMDD")&amp;"-"&amp;TEXT(VALUE(SUBSTITUTE(A1626,"MOV-","")),"000"))</f>
        <v/>
      </c>
    </row>
    <row r="1627" spans="1:20">
      <c r="A1627" s="20" t="s">
        <v>1986</v>
      </c>
      <c r="H1627" s="20" t="str">
        <f>+T1627</f>
        <v/>
      </c>
      <c r="J1627" s="30"/>
      <c r="K1627" s="22" t="str">
        <f>IF(I1627="","",IF(I1627="ENTRADA",ABS(J1627),-ABS(J1627)))</f>
        <v/>
      </c>
      <c r="R1627" s="22" t="str">
        <f>IF(H1627="","",H1627&amp;I1627)</f>
        <v/>
      </c>
      <c r="S1627" s="22" t="str">
        <f>IF(C1627="","",C1627&amp;I1627)</f>
        <v/>
      </c>
      <c r="T1627" t="str">
        <f>IF(OR(C1627="",I1627&lt;&gt;"ENTRADA"),"",TEXT(B1627,"AAMMDD")&amp;"-"&amp;TEXT(VALUE(SUBSTITUTE(A1627,"MOV-","")),"000"))</f>
        <v/>
      </c>
    </row>
    <row r="1628" spans="1:20">
      <c r="A1628" s="20" t="s">
        <v>1987</v>
      </c>
      <c r="H1628" s="20" t="str">
        <f>+T1628</f>
        <v/>
      </c>
      <c r="J1628" s="30"/>
      <c r="K1628" s="22" t="str">
        <f>IF(I1628="","",IF(I1628="ENTRADA",ABS(J1628),-ABS(J1628)))</f>
        <v/>
      </c>
      <c r="R1628" s="22" t="str">
        <f>IF(H1628="","",H1628&amp;I1628)</f>
        <v/>
      </c>
      <c r="S1628" s="22" t="str">
        <f>IF(C1628="","",C1628&amp;I1628)</f>
        <v/>
      </c>
      <c r="T1628" t="str">
        <f>IF(OR(C1628="",I1628&lt;&gt;"ENTRADA"),"",TEXT(B1628,"AAMMDD")&amp;"-"&amp;TEXT(VALUE(SUBSTITUTE(A1628,"MOV-","")),"000"))</f>
        <v/>
      </c>
    </row>
    <row r="1629" spans="1:20">
      <c r="A1629" s="20" t="s">
        <v>1988</v>
      </c>
      <c r="H1629" s="20" t="str">
        <f>+T1629</f>
        <v/>
      </c>
      <c r="J1629" s="30"/>
      <c r="K1629" s="22" t="str">
        <f>IF(I1629="","",IF(I1629="ENTRADA",ABS(J1629),-ABS(J1629)))</f>
        <v/>
      </c>
      <c r="R1629" s="22" t="str">
        <f>IF(H1629="","",H1629&amp;I1629)</f>
        <v/>
      </c>
      <c r="S1629" s="22" t="str">
        <f>IF(C1629="","",C1629&amp;I1629)</f>
        <v/>
      </c>
      <c r="T1629" t="str">
        <f>IF(OR(C1629="",I1629&lt;&gt;"ENTRADA"),"",TEXT(B1629,"AAMMDD")&amp;"-"&amp;TEXT(VALUE(SUBSTITUTE(A1629,"MOV-","")),"000"))</f>
        <v/>
      </c>
    </row>
    <row r="1630" spans="1:20">
      <c r="A1630" s="20" t="s">
        <v>1989</v>
      </c>
      <c r="H1630" s="20" t="str">
        <f>+T1630</f>
        <v/>
      </c>
      <c r="J1630" s="30"/>
      <c r="K1630" s="22" t="str">
        <f>IF(I1630="","",IF(I1630="ENTRADA",ABS(J1630),-ABS(J1630)))</f>
        <v/>
      </c>
      <c r="R1630" s="22" t="str">
        <f>IF(H1630="","",H1630&amp;I1630)</f>
        <v/>
      </c>
      <c r="S1630" s="22" t="str">
        <f>IF(C1630="","",C1630&amp;I1630)</f>
        <v/>
      </c>
      <c r="T1630" t="str">
        <f>IF(OR(C1630="",I1630&lt;&gt;"ENTRADA"),"",TEXT(B1630,"AAMMDD")&amp;"-"&amp;TEXT(VALUE(SUBSTITUTE(A1630,"MOV-","")),"000"))</f>
        <v/>
      </c>
    </row>
    <row r="1631" spans="1:20">
      <c r="A1631" s="20" t="s">
        <v>1990</v>
      </c>
      <c r="H1631" s="20" t="str">
        <f>+T1631</f>
        <v/>
      </c>
      <c r="J1631" s="30"/>
      <c r="K1631" s="22" t="str">
        <f>IF(I1631="","",IF(I1631="ENTRADA",ABS(J1631),-ABS(J1631)))</f>
        <v/>
      </c>
      <c r="R1631" s="22" t="str">
        <f>IF(H1631="","",H1631&amp;I1631)</f>
        <v/>
      </c>
      <c r="S1631" s="22" t="str">
        <f>IF(C1631="","",C1631&amp;I1631)</f>
        <v/>
      </c>
      <c r="T1631" t="str">
        <f>IF(OR(C1631="",I1631&lt;&gt;"ENTRADA"),"",TEXT(B1631,"AAMMDD")&amp;"-"&amp;TEXT(VALUE(SUBSTITUTE(A1631,"MOV-","")),"000"))</f>
        <v/>
      </c>
    </row>
    <row r="1632" spans="1:20">
      <c r="A1632" s="20" t="s">
        <v>1991</v>
      </c>
      <c r="H1632" s="20" t="str">
        <f>+T1632</f>
        <v/>
      </c>
      <c r="J1632" s="30"/>
      <c r="K1632" s="22" t="str">
        <f>IF(I1632="","",IF(I1632="ENTRADA",ABS(J1632),-ABS(J1632)))</f>
        <v/>
      </c>
      <c r="R1632" s="22" t="str">
        <f>IF(H1632="","",H1632&amp;I1632)</f>
        <v/>
      </c>
      <c r="S1632" s="22" t="str">
        <f>IF(C1632="","",C1632&amp;I1632)</f>
        <v/>
      </c>
      <c r="T1632" t="str">
        <f>IF(OR(C1632="",I1632&lt;&gt;"ENTRADA"),"",TEXT(B1632,"AAMMDD")&amp;"-"&amp;TEXT(VALUE(SUBSTITUTE(A1632,"MOV-","")),"000"))</f>
        <v/>
      </c>
    </row>
    <row r="1633" spans="1:20">
      <c r="A1633" s="20" t="s">
        <v>1992</v>
      </c>
      <c r="H1633" s="20" t="str">
        <f>+T1633</f>
        <v/>
      </c>
      <c r="J1633" s="30"/>
      <c r="K1633" s="22" t="str">
        <f>IF(I1633="","",IF(I1633="ENTRADA",ABS(J1633),-ABS(J1633)))</f>
        <v/>
      </c>
      <c r="R1633" s="22" t="str">
        <f>IF(H1633="","",H1633&amp;I1633)</f>
        <v/>
      </c>
      <c r="S1633" s="22" t="str">
        <f>IF(C1633="","",C1633&amp;I1633)</f>
        <v/>
      </c>
      <c r="T1633" t="str">
        <f>IF(OR(C1633="",I1633&lt;&gt;"ENTRADA"),"",TEXT(B1633,"AAMMDD")&amp;"-"&amp;TEXT(VALUE(SUBSTITUTE(A1633,"MOV-","")),"000"))</f>
        <v/>
      </c>
    </row>
    <row r="1634" spans="1:20">
      <c r="A1634" s="20" t="s">
        <v>1993</v>
      </c>
      <c r="H1634" s="20" t="str">
        <f>+T1634</f>
        <v/>
      </c>
      <c r="J1634" s="30"/>
      <c r="K1634" s="22" t="str">
        <f>IF(I1634="","",IF(I1634="ENTRADA",ABS(J1634),-ABS(J1634)))</f>
        <v/>
      </c>
      <c r="R1634" s="22" t="str">
        <f>IF(H1634="","",H1634&amp;I1634)</f>
        <v/>
      </c>
      <c r="S1634" s="22" t="str">
        <f>IF(C1634="","",C1634&amp;I1634)</f>
        <v/>
      </c>
      <c r="T1634" t="str">
        <f>IF(OR(C1634="",I1634&lt;&gt;"ENTRADA"),"",TEXT(B1634,"AAMMDD")&amp;"-"&amp;TEXT(VALUE(SUBSTITUTE(A1634,"MOV-","")),"000"))</f>
        <v/>
      </c>
    </row>
    <row r="1635" spans="1:20">
      <c r="A1635" s="20" t="s">
        <v>1994</v>
      </c>
      <c r="H1635" s="20" t="str">
        <f>+T1635</f>
        <v/>
      </c>
      <c r="J1635" s="30"/>
      <c r="K1635" s="22" t="str">
        <f>IF(I1635="","",IF(I1635="ENTRADA",ABS(J1635),-ABS(J1635)))</f>
        <v/>
      </c>
      <c r="R1635" s="22" t="str">
        <f>IF(H1635="","",H1635&amp;I1635)</f>
        <v/>
      </c>
      <c r="S1635" s="22" t="str">
        <f>IF(C1635="","",C1635&amp;I1635)</f>
        <v/>
      </c>
      <c r="T1635" t="str">
        <f>IF(OR(C1635="",I1635&lt;&gt;"ENTRADA"),"",TEXT(B1635,"AAMMDD")&amp;"-"&amp;TEXT(VALUE(SUBSTITUTE(A1635,"MOV-","")),"000"))</f>
        <v/>
      </c>
    </row>
    <row r="1636" spans="1:20">
      <c r="A1636" s="20" t="s">
        <v>1995</v>
      </c>
      <c r="H1636" s="20" t="str">
        <f>+T1636</f>
        <v/>
      </c>
      <c r="J1636" s="30"/>
      <c r="K1636" s="22" t="str">
        <f>IF(I1636="","",IF(I1636="ENTRADA",ABS(J1636),-ABS(J1636)))</f>
        <v/>
      </c>
      <c r="R1636" s="22" t="str">
        <f>IF(H1636="","",H1636&amp;I1636)</f>
        <v/>
      </c>
      <c r="S1636" s="22" t="str">
        <f>IF(C1636="","",C1636&amp;I1636)</f>
        <v/>
      </c>
      <c r="T1636" t="str">
        <f>IF(OR(C1636="",I1636&lt;&gt;"ENTRADA"),"",TEXT(B1636,"AAMMDD")&amp;"-"&amp;TEXT(VALUE(SUBSTITUTE(A1636,"MOV-","")),"000"))</f>
        <v/>
      </c>
    </row>
    <row r="1637" spans="1:20">
      <c r="A1637" s="20" t="s">
        <v>1996</v>
      </c>
      <c r="H1637" s="20" t="str">
        <f>+T1637</f>
        <v/>
      </c>
      <c r="J1637" s="30"/>
      <c r="K1637" s="22" t="str">
        <f>IF(I1637="","",IF(I1637="ENTRADA",ABS(J1637),-ABS(J1637)))</f>
        <v/>
      </c>
      <c r="R1637" s="22" t="str">
        <f>IF(H1637="","",H1637&amp;I1637)</f>
        <v/>
      </c>
      <c r="S1637" s="22" t="str">
        <f>IF(C1637="","",C1637&amp;I1637)</f>
        <v/>
      </c>
      <c r="T1637" t="str">
        <f>IF(OR(C1637="",I1637&lt;&gt;"ENTRADA"),"",TEXT(B1637,"AAMMDD")&amp;"-"&amp;TEXT(VALUE(SUBSTITUTE(A1637,"MOV-","")),"000"))</f>
        <v/>
      </c>
    </row>
    <row r="1638" spans="1:20">
      <c r="A1638" s="20" t="s">
        <v>1997</v>
      </c>
      <c r="H1638" s="20" t="str">
        <f>+T1638</f>
        <v/>
      </c>
      <c r="J1638" s="30"/>
      <c r="K1638" s="22" t="str">
        <f>IF(I1638="","",IF(I1638="ENTRADA",ABS(J1638),-ABS(J1638)))</f>
        <v/>
      </c>
      <c r="R1638" s="22" t="str">
        <f>IF(H1638="","",H1638&amp;I1638)</f>
        <v/>
      </c>
      <c r="S1638" s="22" t="str">
        <f>IF(C1638="","",C1638&amp;I1638)</f>
        <v/>
      </c>
      <c r="T1638" t="str">
        <f>IF(OR(C1638="",I1638&lt;&gt;"ENTRADA"),"",TEXT(B1638,"AAMMDD")&amp;"-"&amp;TEXT(VALUE(SUBSTITUTE(A1638,"MOV-","")),"000"))</f>
        <v/>
      </c>
    </row>
    <row r="1639" spans="1:20">
      <c r="A1639" s="20" t="s">
        <v>1998</v>
      </c>
      <c r="H1639" s="20" t="str">
        <f>+T1639</f>
        <v/>
      </c>
      <c r="J1639" s="30"/>
      <c r="K1639" s="22" t="str">
        <f>IF(I1639="","",IF(I1639="ENTRADA",ABS(J1639),-ABS(J1639)))</f>
        <v/>
      </c>
      <c r="R1639" s="22" t="str">
        <f>IF(H1639="","",H1639&amp;I1639)</f>
        <v/>
      </c>
      <c r="S1639" s="22" t="str">
        <f>IF(C1639="","",C1639&amp;I1639)</f>
        <v/>
      </c>
      <c r="T1639" t="str">
        <f>IF(OR(C1639="",I1639&lt;&gt;"ENTRADA"),"",TEXT(B1639,"AAMMDD")&amp;"-"&amp;TEXT(VALUE(SUBSTITUTE(A1639,"MOV-","")),"000"))</f>
        <v/>
      </c>
    </row>
    <row r="1640" spans="1:20">
      <c r="A1640" s="20" t="s">
        <v>1999</v>
      </c>
      <c r="H1640" s="20" t="str">
        <f>+T1640</f>
        <v/>
      </c>
      <c r="J1640" s="30"/>
      <c r="K1640" s="22" t="str">
        <f>IF(I1640="","",IF(I1640="ENTRADA",ABS(J1640),-ABS(J1640)))</f>
        <v/>
      </c>
      <c r="R1640" s="22" t="str">
        <f>IF(H1640="","",H1640&amp;I1640)</f>
        <v/>
      </c>
      <c r="S1640" s="22" t="str">
        <f>IF(C1640="","",C1640&amp;I1640)</f>
        <v/>
      </c>
      <c r="T1640" t="str">
        <f>IF(OR(C1640="",I1640&lt;&gt;"ENTRADA"),"",TEXT(B1640,"AAMMDD")&amp;"-"&amp;TEXT(VALUE(SUBSTITUTE(A1640,"MOV-","")),"000"))</f>
        <v/>
      </c>
    </row>
    <row r="1641" spans="1:20">
      <c r="A1641" s="20" t="s">
        <v>2000</v>
      </c>
      <c r="H1641" s="20" t="str">
        <f>+T1641</f>
        <v/>
      </c>
      <c r="J1641" s="30"/>
      <c r="K1641" s="22" t="str">
        <f>IF(I1641="","",IF(I1641="ENTRADA",ABS(J1641),-ABS(J1641)))</f>
        <v/>
      </c>
      <c r="R1641" s="22" t="str">
        <f>IF(H1641="","",H1641&amp;I1641)</f>
        <v/>
      </c>
      <c r="S1641" s="22" t="str">
        <f>IF(C1641="","",C1641&amp;I1641)</f>
        <v/>
      </c>
      <c r="T1641" t="str">
        <f>IF(OR(C1641="",I1641&lt;&gt;"ENTRADA"),"",TEXT(B1641,"AAMMDD")&amp;"-"&amp;TEXT(VALUE(SUBSTITUTE(A1641,"MOV-","")),"000"))</f>
        <v/>
      </c>
    </row>
    <row r="1642" spans="1:20">
      <c r="A1642" s="20" t="s">
        <v>2001</v>
      </c>
      <c r="H1642" s="20" t="str">
        <f>+T1642</f>
        <v/>
      </c>
      <c r="J1642" s="30"/>
      <c r="K1642" s="22" t="str">
        <f>IF(I1642="","",IF(I1642="ENTRADA",ABS(J1642),-ABS(J1642)))</f>
        <v/>
      </c>
      <c r="R1642" s="22" t="str">
        <f>IF(H1642="","",H1642&amp;I1642)</f>
        <v/>
      </c>
      <c r="S1642" s="22" t="str">
        <f>IF(C1642="","",C1642&amp;I1642)</f>
        <v/>
      </c>
      <c r="T1642" t="str">
        <f>IF(OR(C1642="",I1642&lt;&gt;"ENTRADA"),"",TEXT(B1642,"AAMMDD")&amp;"-"&amp;TEXT(VALUE(SUBSTITUTE(A1642,"MOV-","")),"000"))</f>
        <v/>
      </c>
    </row>
    <row r="1643" spans="1:20">
      <c r="A1643" s="20" t="s">
        <v>2002</v>
      </c>
      <c r="H1643" s="20" t="str">
        <f>+T1643</f>
        <v/>
      </c>
      <c r="J1643" s="30"/>
      <c r="K1643" s="22" t="str">
        <f>IF(I1643="","",IF(I1643="ENTRADA",ABS(J1643),-ABS(J1643)))</f>
        <v/>
      </c>
      <c r="R1643" s="22" t="str">
        <f>IF(H1643="","",H1643&amp;I1643)</f>
        <v/>
      </c>
      <c r="S1643" s="22" t="str">
        <f>IF(C1643="","",C1643&amp;I1643)</f>
        <v/>
      </c>
      <c r="T1643" t="str">
        <f>IF(OR(C1643="",I1643&lt;&gt;"ENTRADA"),"",TEXT(B1643,"AAMMDD")&amp;"-"&amp;TEXT(VALUE(SUBSTITUTE(A1643,"MOV-","")),"000"))</f>
        <v/>
      </c>
    </row>
    <row r="1644" spans="1:20">
      <c r="A1644" s="20" t="s">
        <v>2003</v>
      </c>
      <c r="H1644" s="20" t="str">
        <f>+T1644</f>
        <v/>
      </c>
      <c r="J1644" s="30"/>
      <c r="K1644" s="22" t="str">
        <f>IF(I1644="","",IF(I1644="ENTRADA",ABS(J1644),-ABS(J1644)))</f>
        <v/>
      </c>
      <c r="R1644" s="22" t="str">
        <f>IF(H1644="","",H1644&amp;I1644)</f>
        <v/>
      </c>
      <c r="S1644" s="22" t="str">
        <f>IF(C1644="","",C1644&amp;I1644)</f>
        <v/>
      </c>
      <c r="T1644" t="str">
        <f>IF(OR(C1644="",I1644&lt;&gt;"ENTRADA"),"",TEXT(B1644,"AAMMDD")&amp;"-"&amp;TEXT(VALUE(SUBSTITUTE(A1644,"MOV-","")),"000"))</f>
        <v/>
      </c>
    </row>
    <row r="1645" spans="1:20">
      <c r="A1645" s="20" t="s">
        <v>2004</v>
      </c>
      <c r="H1645" s="20" t="str">
        <f>+T1645</f>
        <v/>
      </c>
      <c r="J1645" s="30"/>
      <c r="K1645" s="22" t="str">
        <f>IF(I1645="","",IF(I1645="ENTRADA",ABS(J1645),-ABS(J1645)))</f>
        <v/>
      </c>
      <c r="R1645" s="22" t="str">
        <f>IF(H1645="","",H1645&amp;I1645)</f>
        <v/>
      </c>
      <c r="S1645" s="22" t="str">
        <f>IF(C1645="","",C1645&amp;I1645)</f>
        <v/>
      </c>
      <c r="T1645" t="str">
        <f>IF(OR(C1645="",I1645&lt;&gt;"ENTRADA"),"",TEXT(B1645,"AAMMDD")&amp;"-"&amp;TEXT(VALUE(SUBSTITUTE(A1645,"MOV-","")),"000"))</f>
        <v/>
      </c>
    </row>
    <row r="1646" spans="1:20">
      <c r="A1646" s="20" t="s">
        <v>2005</v>
      </c>
      <c r="H1646" s="20" t="str">
        <f>+T1646</f>
        <v/>
      </c>
      <c r="J1646" s="30"/>
      <c r="K1646" s="22" t="str">
        <f>IF(I1646="","",IF(I1646="ENTRADA",ABS(J1646),-ABS(J1646)))</f>
        <v/>
      </c>
      <c r="R1646" s="22" t="str">
        <f>IF(H1646="","",H1646&amp;I1646)</f>
        <v/>
      </c>
      <c r="S1646" s="22" t="str">
        <f>IF(C1646="","",C1646&amp;I1646)</f>
        <v/>
      </c>
      <c r="T1646" t="str">
        <f>IF(OR(C1646="",I1646&lt;&gt;"ENTRADA"),"",TEXT(B1646,"AAMMDD")&amp;"-"&amp;TEXT(VALUE(SUBSTITUTE(A1646,"MOV-","")),"000"))</f>
        <v/>
      </c>
    </row>
    <row r="1647" spans="1:20">
      <c r="A1647" s="20" t="s">
        <v>2006</v>
      </c>
      <c r="H1647" s="20" t="str">
        <f>+T1647</f>
        <v/>
      </c>
      <c r="J1647" s="30"/>
      <c r="K1647" s="22" t="str">
        <f>IF(I1647="","",IF(I1647="ENTRADA",ABS(J1647),-ABS(J1647)))</f>
        <v/>
      </c>
      <c r="R1647" s="22" t="str">
        <f>IF(H1647="","",H1647&amp;I1647)</f>
        <v/>
      </c>
      <c r="S1647" s="22" t="str">
        <f>IF(C1647="","",C1647&amp;I1647)</f>
        <v/>
      </c>
      <c r="T1647" t="str">
        <f>IF(OR(C1647="",I1647&lt;&gt;"ENTRADA"),"",TEXT(B1647,"AAMMDD")&amp;"-"&amp;TEXT(VALUE(SUBSTITUTE(A1647,"MOV-","")),"000"))</f>
        <v/>
      </c>
    </row>
    <row r="1648" spans="1:20">
      <c r="A1648" s="20" t="s">
        <v>2007</v>
      </c>
      <c r="H1648" s="20" t="str">
        <f>+T1648</f>
        <v/>
      </c>
      <c r="J1648" s="30"/>
      <c r="K1648" s="22" t="str">
        <f>IF(I1648="","",IF(I1648="ENTRADA",ABS(J1648),-ABS(J1648)))</f>
        <v/>
      </c>
      <c r="R1648" s="22" t="str">
        <f>IF(H1648="","",H1648&amp;I1648)</f>
        <v/>
      </c>
      <c r="S1648" s="22" t="str">
        <f>IF(C1648="","",C1648&amp;I1648)</f>
        <v/>
      </c>
      <c r="T1648" t="str">
        <f>IF(OR(C1648="",I1648&lt;&gt;"ENTRADA"),"",TEXT(B1648,"AAMMDD")&amp;"-"&amp;TEXT(VALUE(SUBSTITUTE(A1648,"MOV-","")),"000"))</f>
        <v/>
      </c>
    </row>
    <row r="1649" spans="1:20">
      <c r="A1649" s="20" t="s">
        <v>2008</v>
      </c>
      <c r="H1649" s="20" t="str">
        <f>+T1649</f>
        <v/>
      </c>
      <c r="J1649" s="30"/>
      <c r="K1649" s="22" t="str">
        <f>IF(I1649="","",IF(I1649="ENTRADA",ABS(J1649),-ABS(J1649)))</f>
        <v/>
      </c>
      <c r="R1649" s="22" t="str">
        <f>IF(H1649="","",H1649&amp;I1649)</f>
        <v/>
      </c>
      <c r="S1649" s="22" t="str">
        <f>IF(C1649="","",C1649&amp;I1649)</f>
        <v/>
      </c>
      <c r="T1649" t="str">
        <f>IF(OR(C1649="",I1649&lt;&gt;"ENTRADA"),"",TEXT(B1649,"AAMMDD")&amp;"-"&amp;TEXT(VALUE(SUBSTITUTE(A1649,"MOV-","")),"000"))</f>
        <v/>
      </c>
    </row>
    <row r="1650" spans="1:20">
      <c r="A1650" s="20" t="s">
        <v>2009</v>
      </c>
      <c r="H1650" s="20" t="str">
        <f>+T1650</f>
        <v/>
      </c>
      <c r="J1650" s="30"/>
      <c r="K1650" s="22" t="str">
        <f>IF(I1650="","",IF(I1650="ENTRADA",ABS(J1650),-ABS(J1650)))</f>
        <v/>
      </c>
      <c r="R1650" s="22" t="str">
        <f>IF(H1650="","",H1650&amp;I1650)</f>
        <v/>
      </c>
      <c r="S1650" s="22" t="str">
        <f>IF(C1650="","",C1650&amp;I1650)</f>
        <v/>
      </c>
      <c r="T1650" t="str">
        <f>IF(OR(C1650="",I1650&lt;&gt;"ENTRADA"),"",TEXT(B1650,"AAMMDD")&amp;"-"&amp;TEXT(VALUE(SUBSTITUTE(A1650,"MOV-","")),"000"))</f>
        <v/>
      </c>
    </row>
    <row r="1651" spans="1:20">
      <c r="A1651" s="20" t="s">
        <v>2010</v>
      </c>
      <c r="H1651" s="20" t="str">
        <f>+T1651</f>
        <v/>
      </c>
      <c r="J1651" s="30"/>
      <c r="K1651" s="22" t="str">
        <f>IF(I1651="","",IF(I1651="ENTRADA",ABS(J1651),-ABS(J1651)))</f>
        <v/>
      </c>
      <c r="R1651" s="22" t="str">
        <f>IF(H1651="","",H1651&amp;I1651)</f>
        <v/>
      </c>
      <c r="S1651" s="22" t="str">
        <f>IF(C1651="","",C1651&amp;I1651)</f>
        <v/>
      </c>
      <c r="T1651" t="str">
        <f>IF(OR(C1651="",I1651&lt;&gt;"ENTRADA"),"",TEXT(B1651,"AAMMDD")&amp;"-"&amp;TEXT(VALUE(SUBSTITUTE(A1651,"MOV-","")),"000"))</f>
        <v/>
      </c>
    </row>
    <row r="1652" spans="1:20">
      <c r="A1652" s="20" t="s">
        <v>2011</v>
      </c>
      <c r="H1652" s="20" t="str">
        <f>+T1652</f>
        <v/>
      </c>
      <c r="J1652" s="30"/>
      <c r="K1652" s="22" t="str">
        <f>IF(I1652="","",IF(I1652="ENTRADA",ABS(J1652),-ABS(J1652)))</f>
        <v/>
      </c>
      <c r="R1652" s="22" t="str">
        <f>IF(H1652="","",H1652&amp;I1652)</f>
        <v/>
      </c>
      <c r="S1652" s="22" t="str">
        <f>IF(C1652="","",C1652&amp;I1652)</f>
        <v/>
      </c>
      <c r="T1652" t="str">
        <f>IF(OR(C1652="",I1652&lt;&gt;"ENTRADA"),"",TEXT(B1652,"AAMMDD")&amp;"-"&amp;TEXT(VALUE(SUBSTITUTE(A1652,"MOV-","")),"000"))</f>
        <v/>
      </c>
    </row>
    <row r="1653" spans="1:20">
      <c r="A1653" s="20" t="s">
        <v>2012</v>
      </c>
      <c r="H1653" s="20" t="str">
        <f>+T1653</f>
        <v/>
      </c>
      <c r="J1653" s="30"/>
      <c r="K1653" s="22" t="str">
        <f>IF(I1653="","",IF(I1653="ENTRADA",ABS(J1653),-ABS(J1653)))</f>
        <v/>
      </c>
      <c r="R1653" s="22" t="str">
        <f>IF(H1653="","",H1653&amp;I1653)</f>
        <v/>
      </c>
      <c r="S1653" s="22" t="str">
        <f>IF(C1653="","",C1653&amp;I1653)</f>
        <v/>
      </c>
      <c r="T1653" t="str">
        <f>IF(OR(C1653="",I1653&lt;&gt;"ENTRADA"),"",TEXT(B1653,"AAMMDD")&amp;"-"&amp;TEXT(VALUE(SUBSTITUTE(A1653,"MOV-","")),"000"))</f>
        <v/>
      </c>
    </row>
    <row r="1654" spans="1:20">
      <c r="A1654" s="20" t="s">
        <v>2013</v>
      </c>
      <c r="H1654" s="20" t="str">
        <f>+T1654</f>
        <v/>
      </c>
      <c r="J1654" s="30"/>
      <c r="K1654" s="22" t="str">
        <f>IF(I1654="","",IF(I1654="ENTRADA",ABS(J1654),-ABS(J1654)))</f>
        <v/>
      </c>
      <c r="R1654" s="22" t="str">
        <f>IF(H1654="","",H1654&amp;I1654)</f>
        <v/>
      </c>
      <c r="S1654" s="22" t="str">
        <f>IF(C1654="","",C1654&amp;I1654)</f>
        <v/>
      </c>
      <c r="T1654" t="str">
        <f>IF(OR(C1654="",I1654&lt;&gt;"ENTRADA"),"",TEXT(B1654,"AAMMDD")&amp;"-"&amp;TEXT(VALUE(SUBSTITUTE(A1654,"MOV-","")),"000"))</f>
        <v/>
      </c>
    </row>
    <row r="1655" spans="1:20">
      <c r="A1655" s="20" t="s">
        <v>2014</v>
      </c>
      <c r="H1655" s="20" t="str">
        <f>+T1655</f>
        <v/>
      </c>
      <c r="J1655" s="30"/>
      <c r="K1655" s="22" t="str">
        <f>IF(I1655="","",IF(I1655="ENTRADA",ABS(J1655),-ABS(J1655)))</f>
        <v/>
      </c>
      <c r="R1655" s="22" t="str">
        <f>IF(H1655="","",H1655&amp;I1655)</f>
        <v/>
      </c>
      <c r="S1655" s="22" t="str">
        <f>IF(C1655="","",C1655&amp;I1655)</f>
        <v/>
      </c>
      <c r="T1655" t="str">
        <f>IF(OR(C1655="",I1655&lt;&gt;"ENTRADA"),"",TEXT(B1655,"AAMMDD")&amp;"-"&amp;TEXT(VALUE(SUBSTITUTE(A1655,"MOV-","")),"000"))</f>
        <v/>
      </c>
    </row>
    <row r="1656" spans="1:20">
      <c r="A1656" s="20" t="s">
        <v>2015</v>
      </c>
      <c r="H1656" s="20" t="str">
        <f>+T1656</f>
        <v/>
      </c>
      <c r="J1656" s="30"/>
      <c r="K1656" s="22" t="str">
        <f>IF(I1656="","",IF(I1656="ENTRADA",ABS(J1656),-ABS(J1656)))</f>
        <v/>
      </c>
      <c r="R1656" s="22" t="str">
        <f>IF(H1656="","",H1656&amp;I1656)</f>
        <v/>
      </c>
      <c r="S1656" s="22" t="str">
        <f>IF(C1656="","",C1656&amp;I1656)</f>
        <v/>
      </c>
      <c r="T1656" t="str">
        <f>IF(OR(C1656="",I1656&lt;&gt;"ENTRADA"),"",TEXT(B1656,"AAMMDD")&amp;"-"&amp;TEXT(VALUE(SUBSTITUTE(A1656,"MOV-","")),"000"))</f>
        <v/>
      </c>
    </row>
    <row r="1657" spans="1:20">
      <c r="A1657" s="20" t="s">
        <v>2016</v>
      </c>
      <c r="H1657" s="20" t="str">
        <f>+T1657</f>
        <v/>
      </c>
      <c r="J1657" s="30"/>
      <c r="K1657" s="22" t="str">
        <f>IF(I1657="","",IF(I1657="ENTRADA",ABS(J1657),-ABS(J1657)))</f>
        <v/>
      </c>
      <c r="R1657" s="22" t="str">
        <f>IF(H1657="","",H1657&amp;I1657)</f>
        <v/>
      </c>
      <c r="S1657" s="22" t="str">
        <f>IF(C1657="","",C1657&amp;I1657)</f>
        <v/>
      </c>
      <c r="T1657" t="str">
        <f>IF(OR(C1657="",I1657&lt;&gt;"ENTRADA"),"",TEXT(B1657,"AAMMDD")&amp;"-"&amp;TEXT(VALUE(SUBSTITUTE(A1657,"MOV-","")),"000"))</f>
        <v/>
      </c>
    </row>
    <row r="1658" spans="1:20">
      <c r="A1658" s="20" t="s">
        <v>2017</v>
      </c>
      <c r="H1658" s="20" t="str">
        <f>+T1658</f>
        <v/>
      </c>
      <c r="J1658" s="30"/>
      <c r="K1658" s="22" t="str">
        <f>IF(I1658="","",IF(I1658="ENTRADA",ABS(J1658),-ABS(J1658)))</f>
        <v/>
      </c>
      <c r="R1658" s="22" t="str">
        <f>IF(H1658="","",H1658&amp;I1658)</f>
        <v/>
      </c>
      <c r="S1658" s="22" t="str">
        <f>IF(C1658="","",C1658&amp;I1658)</f>
        <v/>
      </c>
      <c r="T1658" t="str">
        <f>IF(OR(C1658="",I1658&lt;&gt;"ENTRADA"),"",TEXT(B1658,"AAMMDD")&amp;"-"&amp;TEXT(VALUE(SUBSTITUTE(A1658,"MOV-","")),"000"))</f>
        <v/>
      </c>
    </row>
    <row r="1659" spans="1:20">
      <c r="A1659" s="20" t="s">
        <v>2018</v>
      </c>
      <c r="H1659" s="20" t="str">
        <f>+T1659</f>
        <v/>
      </c>
      <c r="J1659" s="30"/>
      <c r="K1659" s="22" t="str">
        <f>IF(I1659="","",IF(I1659="ENTRADA",ABS(J1659),-ABS(J1659)))</f>
        <v/>
      </c>
      <c r="R1659" s="22" t="str">
        <f>IF(H1659="","",H1659&amp;I1659)</f>
        <v/>
      </c>
      <c r="S1659" s="22" t="str">
        <f>IF(C1659="","",C1659&amp;I1659)</f>
        <v/>
      </c>
      <c r="T1659" t="str">
        <f>IF(OR(C1659="",I1659&lt;&gt;"ENTRADA"),"",TEXT(B1659,"AAMMDD")&amp;"-"&amp;TEXT(VALUE(SUBSTITUTE(A1659,"MOV-","")),"000"))</f>
        <v/>
      </c>
    </row>
    <row r="1660" spans="1:20">
      <c r="A1660" s="20" t="s">
        <v>2019</v>
      </c>
      <c r="H1660" s="20" t="str">
        <f>+T1660</f>
        <v/>
      </c>
      <c r="J1660" s="30"/>
      <c r="K1660" s="22" t="str">
        <f>IF(I1660="","",IF(I1660="ENTRADA",ABS(J1660),-ABS(J1660)))</f>
        <v/>
      </c>
      <c r="R1660" s="22" t="str">
        <f>IF(H1660="","",H1660&amp;I1660)</f>
        <v/>
      </c>
      <c r="S1660" s="22" t="str">
        <f>IF(C1660="","",C1660&amp;I1660)</f>
        <v/>
      </c>
      <c r="T1660" t="str">
        <f>IF(OR(C1660="",I1660&lt;&gt;"ENTRADA"),"",TEXT(B1660,"AAMMDD")&amp;"-"&amp;TEXT(VALUE(SUBSTITUTE(A1660,"MOV-","")),"000"))</f>
        <v/>
      </c>
    </row>
    <row r="1661" spans="1:20">
      <c r="A1661" s="20" t="s">
        <v>2020</v>
      </c>
      <c r="H1661" s="20" t="str">
        <f>+T1661</f>
        <v/>
      </c>
      <c r="J1661" s="30"/>
      <c r="K1661" s="22" t="str">
        <f>IF(I1661="","",IF(I1661="ENTRADA",ABS(J1661),-ABS(J1661)))</f>
        <v/>
      </c>
      <c r="R1661" s="22" t="str">
        <f>IF(H1661="","",H1661&amp;I1661)</f>
        <v/>
      </c>
      <c r="S1661" s="22" t="str">
        <f>IF(C1661="","",C1661&amp;I1661)</f>
        <v/>
      </c>
      <c r="T1661" t="str">
        <f>IF(OR(C1661="",I1661&lt;&gt;"ENTRADA"),"",TEXT(B1661,"AAMMDD")&amp;"-"&amp;TEXT(VALUE(SUBSTITUTE(A1661,"MOV-","")),"000"))</f>
        <v/>
      </c>
    </row>
    <row r="1662" spans="1:20">
      <c r="A1662" s="20" t="s">
        <v>2021</v>
      </c>
      <c r="H1662" s="20" t="str">
        <f>+T1662</f>
        <v/>
      </c>
      <c r="J1662" s="30"/>
      <c r="K1662" s="22" t="str">
        <f>IF(I1662="","",IF(I1662="ENTRADA",ABS(J1662),-ABS(J1662)))</f>
        <v/>
      </c>
      <c r="R1662" s="22" t="str">
        <f>IF(H1662="","",H1662&amp;I1662)</f>
        <v/>
      </c>
      <c r="S1662" s="22" t="str">
        <f>IF(C1662="","",C1662&amp;I1662)</f>
        <v/>
      </c>
      <c r="T1662" t="str">
        <f>IF(OR(C1662="",I1662&lt;&gt;"ENTRADA"),"",TEXT(B1662,"AAMMDD")&amp;"-"&amp;TEXT(VALUE(SUBSTITUTE(A1662,"MOV-","")),"000"))</f>
        <v/>
      </c>
    </row>
    <row r="1663" spans="1:20">
      <c r="A1663" s="20" t="s">
        <v>2022</v>
      </c>
      <c r="H1663" s="20" t="str">
        <f>+T1663</f>
        <v/>
      </c>
      <c r="J1663" s="30"/>
      <c r="K1663" s="22" t="str">
        <f>IF(I1663="","",IF(I1663="ENTRADA",ABS(J1663),-ABS(J1663)))</f>
        <v/>
      </c>
      <c r="R1663" s="22" t="str">
        <f>IF(H1663="","",H1663&amp;I1663)</f>
        <v/>
      </c>
      <c r="S1663" s="22" t="str">
        <f>IF(C1663="","",C1663&amp;I1663)</f>
        <v/>
      </c>
      <c r="T1663" t="str">
        <f>IF(OR(C1663="",I1663&lt;&gt;"ENTRADA"),"",TEXT(B1663,"AAMMDD")&amp;"-"&amp;TEXT(VALUE(SUBSTITUTE(A1663,"MOV-","")),"000"))</f>
        <v/>
      </c>
    </row>
    <row r="1664" spans="1:20">
      <c r="A1664" s="20" t="s">
        <v>2023</v>
      </c>
      <c r="H1664" s="20" t="str">
        <f>+T1664</f>
        <v/>
      </c>
      <c r="J1664" s="30"/>
      <c r="K1664" s="22" t="str">
        <f>IF(I1664="","",IF(I1664="ENTRADA",ABS(J1664),-ABS(J1664)))</f>
        <v/>
      </c>
      <c r="R1664" s="22" t="str">
        <f>IF(H1664="","",H1664&amp;I1664)</f>
        <v/>
      </c>
      <c r="S1664" s="22" t="str">
        <f>IF(C1664="","",C1664&amp;I1664)</f>
        <v/>
      </c>
      <c r="T1664" t="str">
        <f>IF(OR(C1664="",I1664&lt;&gt;"ENTRADA"),"",TEXT(B1664,"AAMMDD")&amp;"-"&amp;TEXT(VALUE(SUBSTITUTE(A1664,"MOV-","")),"000"))</f>
        <v/>
      </c>
    </row>
    <row r="1665" spans="1:20">
      <c r="A1665" s="20" t="s">
        <v>2024</v>
      </c>
      <c r="H1665" s="20" t="str">
        <f>+T1665</f>
        <v/>
      </c>
      <c r="J1665" s="30"/>
      <c r="K1665" s="22" t="str">
        <f>IF(I1665="","",IF(I1665="ENTRADA",ABS(J1665),-ABS(J1665)))</f>
        <v/>
      </c>
      <c r="R1665" s="22" t="str">
        <f>IF(H1665="","",H1665&amp;I1665)</f>
        <v/>
      </c>
      <c r="S1665" s="22" t="str">
        <f>IF(C1665="","",C1665&amp;I1665)</f>
        <v/>
      </c>
      <c r="T1665" t="str">
        <f>IF(OR(C1665="",I1665&lt;&gt;"ENTRADA"),"",TEXT(B1665,"AAMMDD")&amp;"-"&amp;TEXT(VALUE(SUBSTITUTE(A1665,"MOV-","")),"000"))</f>
        <v/>
      </c>
    </row>
    <row r="1666" spans="1:20">
      <c r="A1666" s="20" t="s">
        <v>2025</v>
      </c>
      <c r="H1666" s="20" t="str">
        <f>+T1666</f>
        <v/>
      </c>
      <c r="J1666" s="30"/>
      <c r="K1666" s="22" t="str">
        <f>IF(I1666="","",IF(I1666="ENTRADA",ABS(J1666),-ABS(J1666)))</f>
        <v/>
      </c>
      <c r="R1666" s="22" t="str">
        <f>IF(H1666="","",H1666&amp;I1666)</f>
        <v/>
      </c>
      <c r="S1666" s="22" t="str">
        <f>IF(C1666="","",C1666&amp;I1666)</f>
        <v/>
      </c>
      <c r="T1666" t="str">
        <f>IF(OR(C1666="",I1666&lt;&gt;"ENTRADA"),"",TEXT(B1666,"AAMMDD")&amp;"-"&amp;TEXT(VALUE(SUBSTITUTE(A1666,"MOV-","")),"000"))</f>
        <v/>
      </c>
    </row>
    <row r="1667" spans="1:20">
      <c r="A1667" s="20" t="s">
        <v>2026</v>
      </c>
      <c r="H1667" s="20" t="str">
        <f>+T1667</f>
        <v/>
      </c>
      <c r="J1667" s="30"/>
      <c r="K1667" s="22" t="str">
        <f>IF(I1667="","",IF(I1667="ENTRADA",ABS(J1667),-ABS(J1667)))</f>
        <v/>
      </c>
      <c r="R1667" s="22" t="str">
        <f>IF(H1667="","",H1667&amp;I1667)</f>
        <v/>
      </c>
      <c r="S1667" s="22" t="str">
        <f>IF(C1667="","",C1667&amp;I1667)</f>
        <v/>
      </c>
      <c r="T1667" t="str">
        <f>IF(OR(C1667="",I1667&lt;&gt;"ENTRADA"),"",TEXT(B1667,"AAMMDD")&amp;"-"&amp;TEXT(VALUE(SUBSTITUTE(A1667,"MOV-","")),"000"))</f>
        <v/>
      </c>
    </row>
    <row r="1668" spans="1:20">
      <c r="A1668" s="20" t="s">
        <v>2027</v>
      </c>
      <c r="H1668" s="20" t="str">
        <f>+T1668</f>
        <v/>
      </c>
      <c r="J1668" s="30"/>
      <c r="K1668" s="22" t="str">
        <f>IF(I1668="","",IF(I1668="ENTRADA",ABS(J1668),-ABS(J1668)))</f>
        <v/>
      </c>
      <c r="R1668" s="22" t="str">
        <f>IF(H1668="","",H1668&amp;I1668)</f>
        <v/>
      </c>
      <c r="S1668" s="22" t="str">
        <f>IF(C1668="","",C1668&amp;I1668)</f>
        <v/>
      </c>
      <c r="T1668" t="str">
        <f>IF(OR(C1668="",I1668&lt;&gt;"ENTRADA"),"",TEXT(B1668,"AAMMDD")&amp;"-"&amp;TEXT(VALUE(SUBSTITUTE(A1668,"MOV-","")),"000"))</f>
        <v/>
      </c>
    </row>
    <row r="1669" spans="1:20">
      <c r="A1669" s="20" t="s">
        <v>2028</v>
      </c>
      <c r="H1669" s="20" t="str">
        <f>+T1669</f>
        <v/>
      </c>
      <c r="J1669" s="30"/>
      <c r="K1669" s="22" t="str">
        <f>IF(I1669="","",IF(I1669="ENTRADA",ABS(J1669),-ABS(J1669)))</f>
        <v/>
      </c>
      <c r="R1669" s="22" t="str">
        <f>IF(H1669="","",H1669&amp;I1669)</f>
        <v/>
      </c>
      <c r="S1669" s="22" t="str">
        <f>IF(C1669="","",C1669&amp;I1669)</f>
        <v/>
      </c>
      <c r="T1669" t="str">
        <f>IF(OR(C1669="",I1669&lt;&gt;"ENTRADA"),"",TEXT(B1669,"AAMMDD")&amp;"-"&amp;TEXT(VALUE(SUBSTITUTE(A1669,"MOV-","")),"000"))</f>
        <v/>
      </c>
    </row>
    <row r="1670" spans="1:20">
      <c r="A1670" s="20" t="s">
        <v>2029</v>
      </c>
      <c r="H1670" s="20" t="str">
        <f>+T1670</f>
        <v/>
      </c>
      <c r="J1670" s="30"/>
      <c r="K1670" s="22" t="str">
        <f>IF(I1670="","",IF(I1670="ENTRADA",ABS(J1670),-ABS(J1670)))</f>
        <v/>
      </c>
      <c r="R1670" s="22" t="str">
        <f>IF(H1670="","",H1670&amp;I1670)</f>
        <v/>
      </c>
      <c r="S1670" s="22" t="str">
        <f>IF(C1670="","",C1670&amp;I1670)</f>
        <v/>
      </c>
      <c r="T1670" t="str">
        <f>IF(OR(C1670="",I1670&lt;&gt;"ENTRADA"),"",TEXT(B1670,"AAMMDD")&amp;"-"&amp;TEXT(VALUE(SUBSTITUTE(A1670,"MOV-","")),"000"))</f>
        <v/>
      </c>
    </row>
    <row r="1671" spans="1:20">
      <c r="A1671" s="20" t="s">
        <v>2030</v>
      </c>
      <c r="H1671" s="20" t="str">
        <f>+T1671</f>
        <v/>
      </c>
      <c r="J1671" s="30"/>
      <c r="K1671" s="22" t="str">
        <f>IF(I1671="","",IF(I1671="ENTRADA",ABS(J1671),-ABS(J1671)))</f>
        <v/>
      </c>
      <c r="R1671" s="22" t="str">
        <f>IF(H1671="","",H1671&amp;I1671)</f>
        <v/>
      </c>
      <c r="S1671" s="22" t="str">
        <f>IF(C1671="","",C1671&amp;I1671)</f>
        <v/>
      </c>
      <c r="T1671" t="str">
        <f>IF(OR(C1671="",I1671&lt;&gt;"ENTRADA"),"",TEXT(B1671,"AAMMDD")&amp;"-"&amp;TEXT(VALUE(SUBSTITUTE(A1671,"MOV-","")),"000"))</f>
        <v/>
      </c>
    </row>
    <row r="1672" spans="1:20">
      <c r="A1672" s="20" t="s">
        <v>2031</v>
      </c>
      <c r="H1672" s="20" t="str">
        <f>+T1672</f>
        <v/>
      </c>
      <c r="J1672" s="30"/>
      <c r="K1672" s="22" t="str">
        <f>IF(I1672="","",IF(I1672="ENTRADA",ABS(J1672),-ABS(J1672)))</f>
        <v/>
      </c>
      <c r="R1672" s="22" t="str">
        <f>IF(H1672="","",H1672&amp;I1672)</f>
        <v/>
      </c>
      <c r="S1672" s="22" t="str">
        <f>IF(C1672="","",C1672&amp;I1672)</f>
        <v/>
      </c>
      <c r="T1672" t="str">
        <f>IF(OR(C1672="",I1672&lt;&gt;"ENTRADA"),"",TEXT(B1672,"AAMMDD")&amp;"-"&amp;TEXT(VALUE(SUBSTITUTE(A1672,"MOV-","")),"000"))</f>
        <v/>
      </c>
    </row>
    <row r="1673" spans="1:20">
      <c r="A1673" s="20" t="s">
        <v>2032</v>
      </c>
      <c r="H1673" s="20" t="str">
        <f>+T1673</f>
        <v/>
      </c>
      <c r="J1673" s="30"/>
      <c r="K1673" s="22" t="str">
        <f>IF(I1673="","",IF(I1673="ENTRADA",ABS(J1673),-ABS(J1673)))</f>
        <v/>
      </c>
      <c r="R1673" s="22" t="str">
        <f>IF(H1673="","",H1673&amp;I1673)</f>
        <v/>
      </c>
      <c r="S1673" s="22" t="str">
        <f>IF(C1673="","",C1673&amp;I1673)</f>
        <v/>
      </c>
      <c r="T1673" t="str">
        <f>IF(OR(C1673="",I1673&lt;&gt;"ENTRADA"),"",TEXT(B1673,"AAMMDD")&amp;"-"&amp;TEXT(VALUE(SUBSTITUTE(A1673,"MOV-","")),"000"))</f>
        <v/>
      </c>
    </row>
    <row r="1674" spans="1:20">
      <c r="A1674" s="20" t="s">
        <v>2033</v>
      </c>
      <c r="H1674" s="20" t="str">
        <f>+T1674</f>
        <v/>
      </c>
      <c r="J1674" s="30"/>
      <c r="K1674" s="22" t="str">
        <f>IF(I1674="","",IF(I1674="ENTRADA",ABS(J1674),-ABS(J1674)))</f>
        <v/>
      </c>
      <c r="R1674" s="22" t="str">
        <f>IF(H1674="","",H1674&amp;I1674)</f>
        <v/>
      </c>
      <c r="S1674" s="22" t="str">
        <f>IF(C1674="","",C1674&amp;I1674)</f>
        <v/>
      </c>
      <c r="T1674" t="str">
        <f>IF(OR(C1674="",I1674&lt;&gt;"ENTRADA"),"",TEXT(B1674,"AAMMDD")&amp;"-"&amp;TEXT(VALUE(SUBSTITUTE(A1674,"MOV-","")),"000"))</f>
        <v/>
      </c>
    </row>
    <row r="1675" spans="1:20">
      <c r="A1675" s="20" t="s">
        <v>2034</v>
      </c>
      <c r="H1675" s="20" t="str">
        <f>+T1675</f>
        <v/>
      </c>
      <c r="J1675" s="30"/>
      <c r="K1675" s="22" t="str">
        <f>IF(I1675="","",IF(I1675="ENTRADA",ABS(J1675),-ABS(J1675)))</f>
        <v/>
      </c>
      <c r="R1675" s="22" t="str">
        <f>IF(H1675="","",H1675&amp;I1675)</f>
        <v/>
      </c>
      <c r="S1675" s="22" t="str">
        <f>IF(C1675="","",C1675&amp;I1675)</f>
        <v/>
      </c>
      <c r="T1675" t="str">
        <f>IF(OR(C1675="",I1675&lt;&gt;"ENTRADA"),"",TEXT(B1675,"AAMMDD")&amp;"-"&amp;TEXT(VALUE(SUBSTITUTE(A1675,"MOV-","")),"000"))</f>
        <v/>
      </c>
    </row>
    <row r="1676" spans="1:20">
      <c r="A1676" s="20" t="s">
        <v>2035</v>
      </c>
      <c r="H1676" s="20" t="str">
        <f>+T1676</f>
        <v/>
      </c>
      <c r="J1676" s="30"/>
      <c r="K1676" s="22" t="str">
        <f>IF(I1676="","",IF(I1676="ENTRADA",ABS(J1676),-ABS(J1676)))</f>
        <v/>
      </c>
      <c r="R1676" s="22" t="str">
        <f>IF(H1676="","",H1676&amp;I1676)</f>
        <v/>
      </c>
      <c r="S1676" s="22" t="str">
        <f>IF(C1676="","",C1676&amp;I1676)</f>
        <v/>
      </c>
      <c r="T1676" t="str">
        <f>IF(OR(C1676="",I1676&lt;&gt;"ENTRADA"),"",TEXT(B1676,"AAMMDD")&amp;"-"&amp;TEXT(VALUE(SUBSTITUTE(A1676,"MOV-","")),"000"))</f>
        <v/>
      </c>
    </row>
    <row r="1677" spans="1:20">
      <c r="A1677" s="20" t="s">
        <v>2036</v>
      </c>
      <c r="H1677" s="20" t="str">
        <f>+T1677</f>
        <v/>
      </c>
      <c r="J1677" s="30"/>
      <c r="K1677" s="22" t="str">
        <f>IF(I1677="","",IF(I1677="ENTRADA",ABS(J1677),-ABS(J1677)))</f>
        <v/>
      </c>
      <c r="R1677" s="22" t="str">
        <f>IF(H1677="","",H1677&amp;I1677)</f>
        <v/>
      </c>
      <c r="S1677" s="22" t="str">
        <f>IF(C1677="","",C1677&amp;I1677)</f>
        <v/>
      </c>
      <c r="T1677" t="str">
        <f>IF(OR(C1677="",I1677&lt;&gt;"ENTRADA"),"",TEXT(B1677,"AAMMDD")&amp;"-"&amp;TEXT(VALUE(SUBSTITUTE(A1677,"MOV-","")),"000"))</f>
        <v/>
      </c>
    </row>
    <row r="1678" spans="1:20">
      <c r="A1678" s="20" t="s">
        <v>2037</v>
      </c>
      <c r="H1678" s="20" t="str">
        <f>+T1678</f>
        <v/>
      </c>
      <c r="J1678" s="30"/>
      <c r="K1678" s="22" t="str">
        <f>IF(I1678="","",IF(I1678="ENTRADA",ABS(J1678),-ABS(J1678)))</f>
        <v/>
      </c>
      <c r="R1678" s="22" t="str">
        <f>IF(H1678="","",H1678&amp;I1678)</f>
        <v/>
      </c>
      <c r="S1678" s="22" t="str">
        <f>IF(C1678="","",C1678&amp;I1678)</f>
        <v/>
      </c>
      <c r="T1678" t="str">
        <f>IF(OR(C1678="",I1678&lt;&gt;"ENTRADA"),"",TEXT(B1678,"AAMMDD")&amp;"-"&amp;TEXT(VALUE(SUBSTITUTE(A1678,"MOV-","")),"000"))</f>
        <v/>
      </c>
    </row>
    <row r="1679" spans="1:20">
      <c r="A1679" s="20" t="s">
        <v>2038</v>
      </c>
      <c r="H1679" s="20" t="str">
        <f>+T1679</f>
        <v/>
      </c>
      <c r="J1679" s="30"/>
      <c r="K1679" s="22" t="str">
        <f>IF(I1679="","",IF(I1679="ENTRADA",ABS(J1679),-ABS(J1679)))</f>
        <v/>
      </c>
      <c r="R1679" s="22" t="str">
        <f>IF(H1679="","",H1679&amp;I1679)</f>
        <v/>
      </c>
      <c r="S1679" s="22" t="str">
        <f>IF(C1679="","",C1679&amp;I1679)</f>
        <v/>
      </c>
      <c r="T1679" t="str">
        <f>IF(OR(C1679="",I1679&lt;&gt;"ENTRADA"),"",TEXT(B1679,"AAMMDD")&amp;"-"&amp;TEXT(VALUE(SUBSTITUTE(A1679,"MOV-","")),"000"))</f>
        <v/>
      </c>
    </row>
    <row r="1680" spans="1:20">
      <c r="A1680" s="20" t="s">
        <v>2039</v>
      </c>
      <c r="H1680" s="20" t="str">
        <f>+T1680</f>
        <v/>
      </c>
      <c r="J1680" s="30"/>
      <c r="K1680" s="22" t="str">
        <f>IF(I1680="","",IF(I1680="ENTRADA",ABS(J1680),-ABS(J1680)))</f>
        <v/>
      </c>
      <c r="R1680" s="22" t="str">
        <f>IF(H1680="","",H1680&amp;I1680)</f>
        <v/>
      </c>
      <c r="S1680" s="22" t="str">
        <f>IF(C1680="","",C1680&amp;I1680)</f>
        <v/>
      </c>
      <c r="T1680" t="str">
        <f>IF(OR(C1680="",I1680&lt;&gt;"ENTRADA"),"",TEXT(B1680,"AAMMDD")&amp;"-"&amp;TEXT(VALUE(SUBSTITUTE(A1680,"MOV-","")),"000"))</f>
        <v/>
      </c>
    </row>
    <row r="1681" spans="1:20">
      <c r="A1681" s="20" t="s">
        <v>2040</v>
      </c>
      <c r="H1681" s="20" t="str">
        <f>+T1681</f>
        <v/>
      </c>
      <c r="J1681" s="30"/>
      <c r="K1681" s="22" t="str">
        <f>IF(I1681="","",IF(I1681="ENTRADA",ABS(J1681),-ABS(J1681)))</f>
        <v/>
      </c>
      <c r="R1681" s="22" t="str">
        <f>IF(H1681="","",H1681&amp;I1681)</f>
        <v/>
      </c>
      <c r="S1681" s="22" t="str">
        <f>IF(C1681="","",C1681&amp;I1681)</f>
        <v/>
      </c>
      <c r="T1681" t="str">
        <f>IF(OR(C1681="",I1681&lt;&gt;"ENTRADA"),"",TEXT(B1681,"AAMMDD")&amp;"-"&amp;TEXT(VALUE(SUBSTITUTE(A1681,"MOV-","")),"000"))</f>
        <v/>
      </c>
    </row>
    <row r="1682" spans="1:20">
      <c r="A1682" s="20" t="s">
        <v>2041</v>
      </c>
      <c r="H1682" s="20" t="str">
        <f>+T1682</f>
        <v/>
      </c>
      <c r="J1682" s="30"/>
      <c r="K1682" s="22" t="str">
        <f>IF(I1682="","",IF(I1682="ENTRADA",ABS(J1682),-ABS(J1682)))</f>
        <v/>
      </c>
      <c r="R1682" s="22" t="str">
        <f>IF(H1682="","",H1682&amp;I1682)</f>
        <v/>
      </c>
      <c r="S1682" s="22" t="str">
        <f>IF(C1682="","",C1682&amp;I1682)</f>
        <v/>
      </c>
      <c r="T1682" t="str">
        <f>IF(OR(C1682="",I1682&lt;&gt;"ENTRADA"),"",TEXT(B1682,"AAMMDD")&amp;"-"&amp;TEXT(VALUE(SUBSTITUTE(A1682,"MOV-","")),"000"))</f>
        <v/>
      </c>
    </row>
    <row r="1683" spans="1:20">
      <c r="A1683" s="20" t="s">
        <v>2042</v>
      </c>
      <c r="H1683" s="20" t="str">
        <f>+T1683</f>
        <v/>
      </c>
      <c r="J1683" s="30"/>
      <c r="K1683" s="22" t="str">
        <f>IF(I1683="","",IF(I1683="ENTRADA",ABS(J1683),-ABS(J1683)))</f>
        <v/>
      </c>
      <c r="R1683" s="22" t="str">
        <f>IF(H1683="","",H1683&amp;I1683)</f>
        <v/>
      </c>
      <c r="S1683" s="22" t="str">
        <f>IF(C1683="","",C1683&amp;I1683)</f>
        <v/>
      </c>
      <c r="T1683" t="str">
        <f>IF(OR(C1683="",I1683&lt;&gt;"ENTRADA"),"",TEXT(B1683,"AAMMDD")&amp;"-"&amp;TEXT(VALUE(SUBSTITUTE(A1683,"MOV-","")),"000"))</f>
        <v/>
      </c>
    </row>
    <row r="1684" spans="1:20">
      <c r="A1684" s="20" t="s">
        <v>2043</v>
      </c>
      <c r="H1684" s="20" t="str">
        <f>+T1684</f>
        <v/>
      </c>
      <c r="J1684" s="30"/>
      <c r="K1684" s="22" t="str">
        <f>IF(I1684="","",IF(I1684="ENTRADA",ABS(J1684),-ABS(J1684)))</f>
        <v/>
      </c>
      <c r="R1684" s="22" t="str">
        <f>IF(H1684="","",H1684&amp;I1684)</f>
        <v/>
      </c>
      <c r="S1684" s="22" t="str">
        <f>IF(C1684="","",C1684&amp;I1684)</f>
        <v/>
      </c>
      <c r="T1684" t="str">
        <f>IF(OR(C1684="",I1684&lt;&gt;"ENTRADA"),"",TEXT(B1684,"AAMMDD")&amp;"-"&amp;TEXT(VALUE(SUBSTITUTE(A1684,"MOV-","")),"000"))</f>
        <v/>
      </c>
    </row>
    <row r="1685" spans="1:20">
      <c r="A1685" s="20" t="s">
        <v>2044</v>
      </c>
      <c r="H1685" s="20" t="str">
        <f>+T1685</f>
        <v/>
      </c>
      <c r="J1685" s="30"/>
      <c r="K1685" s="22" t="str">
        <f>IF(I1685="","",IF(I1685="ENTRADA",ABS(J1685),-ABS(J1685)))</f>
        <v/>
      </c>
      <c r="R1685" s="22" t="str">
        <f>IF(H1685="","",H1685&amp;I1685)</f>
        <v/>
      </c>
      <c r="S1685" s="22" t="str">
        <f>IF(C1685="","",C1685&amp;I1685)</f>
        <v/>
      </c>
      <c r="T1685" t="str">
        <f>IF(OR(C1685="",I1685&lt;&gt;"ENTRADA"),"",TEXT(B1685,"AAMMDD")&amp;"-"&amp;TEXT(VALUE(SUBSTITUTE(A1685,"MOV-","")),"000"))</f>
        <v/>
      </c>
    </row>
    <row r="1686" spans="1:20">
      <c r="A1686" s="20" t="s">
        <v>2045</v>
      </c>
      <c r="H1686" s="20" t="str">
        <f>+T1686</f>
        <v/>
      </c>
      <c r="J1686" s="30"/>
      <c r="K1686" s="22" t="str">
        <f>IF(I1686="","",IF(I1686="ENTRADA",ABS(J1686),-ABS(J1686)))</f>
        <v/>
      </c>
      <c r="R1686" s="22" t="str">
        <f>IF(H1686="","",H1686&amp;I1686)</f>
        <v/>
      </c>
      <c r="S1686" s="22" t="str">
        <f>IF(C1686="","",C1686&amp;I1686)</f>
        <v/>
      </c>
      <c r="T1686" t="str">
        <f>IF(OR(C1686="",I1686&lt;&gt;"ENTRADA"),"",TEXT(B1686,"AAMMDD")&amp;"-"&amp;TEXT(VALUE(SUBSTITUTE(A1686,"MOV-","")),"000"))</f>
        <v/>
      </c>
    </row>
    <row r="1687" spans="1:20">
      <c r="A1687" s="20" t="s">
        <v>2046</v>
      </c>
      <c r="H1687" s="20" t="str">
        <f>+T1687</f>
        <v/>
      </c>
      <c r="J1687" s="30"/>
      <c r="K1687" s="22" t="str">
        <f>IF(I1687="","",IF(I1687="ENTRADA",ABS(J1687),-ABS(J1687)))</f>
        <v/>
      </c>
      <c r="R1687" s="22" t="str">
        <f>IF(H1687="","",H1687&amp;I1687)</f>
        <v/>
      </c>
      <c r="S1687" s="22" t="str">
        <f>IF(C1687="","",C1687&amp;I1687)</f>
        <v/>
      </c>
      <c r="T1687" t="str">
        <f>IF(OR(C1687="",I1687&lt;&gt;"ENTRADA"),"",TEXT(B1687,"AAMMDD")&amp;"-"&amp;TEXT(VALUE(SUBSTITUTE(A1687,"MOV-","")),"000"))</f>
        <v/>
      </c>
    </row>
    <row r="1688" spans="1:20">
      <c r="A1688" s="20" t="s">
        <v>2047</v>
      </c>
      <c r="H1688" s="20" t="str">
        <f>+T1688</f>
        <v/>
      </c>
      <c r="J1688" s="30"/>
      <c r="K1688" s="22" t="str">
        <f>IF(I1688="","",IF(I1688="ENTRADA",ABS(J1688),-ABS(J1688)))</f>
        <v/>
      </c>
      <c r="R1688" s="22" t="str">
        <f>IF(H1688="","",H1688&amp;I1688)</f>
        <v/>
      </c>
      <c r="S1688" s="22" t="str">
        <f>IF(C1688="","",C1688&amp;I1688)</f>
        <v/>
      </c>
      <c r="T1688" t="str">
        <f>IF(OR(C1688="",I1688&lt;&gt;"ENTRADA"),"",TEXT(B1688,"AAMMDD")&amp;"-"&amp;TEXT(VALUE(SUBSTITUTE(A1688,"MOV-","")),"000"))</f>
        <v/>
      </c>
    </row>
    <row r="1689" spans="1:20">
      <c r="A1689" s="20" t="s">
        <v>2048</v>
      </c>
      <c r="H1689" s="20" t="str">
        <f>+T1689</f>
        <v/>
      </c>
      <c r="J1689" s="30"/>
      <c r="K1689" s="22" t="str">
        <f>IF(I1689="","",IF(I1689="ENTRADA",ABS(J1689),-ABS(J1689)))</f>
        <v/>
      </c>
      <c r="R1689" s="22" t="str">
        <f>IF(H1689="","",H1689&amp;I1689)</f>
        <v/>
      </c>
      <c r="S1689" s="22" t="str">
        <f>IF(C1689="","",C1689&amp;I1689)</f>
        <v/>
      </c>
      <c r="T1689" t="str">
        <f>IF(OR(C1689="",I1689&lt;&gt;"ENTRADA"),"",TEXT(B1689,"AAMMDD")&amp;"-"&amp;TEXT(VALUE(SUBSTITUTE(A1689,"MOV-","")),"000"))</f>
        <v/>
      </c>
    </row>
    <row r="1690" spans="1:20">
      <c r="A1690" s="20" t="s">
        <v>2049</v>
      </c>
      <c r="H1690" s="20" t="str">
        <f>+T1690</f>
        <v/>
      </c>
      <c r="J1690" s="30"/>
      <c r="K1690" s="22" t="str">
        <f>IF(I1690="","",IF(I1690="ENTRADA",ABS(J1690),-ABS(J1690)))</f>
        <v/>
      </c>
      <c r="R1690" s="22" t="str">
        <f>IF(H1690="","",H1690&amp;I1690)</f>
        <v/>
      </c>
      <c r="S1690" s="22" t="str">
        <f>IF(C1690="","",C1690&amp;I1690)</f>
        <v/>
      </c>
      <c r="T1690" t="str">
        <f>IF(OR(C1690="",I1690&lt;&gt;"ENTRADA"),"",TEXT(B1690,"AAMMDD")&amp;"-"&amp;TEXT(VALUE(SUBSTITUTE(A1690,"MOV-","")),"000"))</f>
        <v/>
      </c>
    </row>
    <row r="1691" spans="1:20">
      <c r="A1691" s="20" t="s">
        <v>2050</v>
      </c>
      <c r="H1691" s="20" t="str">
        <f>+T1691</f>
        <v/>
      </c>
      <c r="J1691" s="30"/>
      <c r="K1691" s="22" t="str">
        <f>IF(I1691="","",IF(I1691="ENTRADA",ABS(J1691),-ABS(J1691)))</f>
        <v/>
      </c>
      <c r="R1691" s="22" t="str">
        <f>IF(H1691="","",H1691&amp;I1691)</f>
        <v/>
      </c>
      <c r="S1691" s="22" t="str">
        <f>IF(C1691="","",C1691&amp;I1691)</f>
        <v/>
      </c>
      <c r="T1691" t="str">
        <f>IF(OR(C1691="",I1691&lt;&gt;"ENTRADA"),"",TEXT(B1691,"AAMMDD")&amp;"-"&amp;TEXT(VALUE(SUBSTITUTE(A1691,"MOV-","")),"000"))</f>
        <v/>
      </c>
    </row>
    <row r="1692" spans="1:20">
      <c r="A1692" s="20" t="s">
        <v>2051</v>
      </c>
      <c r="H1692" s="20" t="str">
        <f>+T1692</f>
        <v/>
      </c>
      <c r="J1692" s="30"/>
      <c r="K1692" s="22" t="str">
        <f>IF(I1692="","",IF(I1692="ENTRADA",ABS(J1692),-ABS(J1692)))</f>
        <v/>
      </c>
      <c r="R1692" s="22" t="str">
        <f>IF(H1692="","",H1692&amp;I1692)</f>
        <v/>
      </c>
      <c r="S1692" s="22" t="str">
        <f>IF(C1692="","",C1692&amp;I1692)</f>
        <v/>
      </c>
      <c r="T1692" t="str">
        <f>IF(OR(C1692="",I1692&lt;&gt;"ENTRADA"),"",TEXT(B1692,"AAMMDD")&amp;"-"&amp;TEXT(VALUE(SUBSTITUTE(A1692,"MOV-","")),"000"))</f>
        <v/>
      </c>
    </row>
    <row r="1693" spans="1:20">
      <c r="A1693" s="20" t="s">
        <v>2052</v>
      </c>
      <c r="H1693" s="20" t="str">
        <f>+T1693</f>
        <v/>
      </c>
      <c r="J1693" s="30"/>
      <c r="K1693" s="22" t="str">
        <f>IF(I1693="","",IF(I1693="ENTRADA",ABS(J1693),-ABS(J1693)))</f>
        <v/>
      </c>
      <c r="R1693" s="22" t="str">
        <f>IF(H1693="","",H1693&amp;I1693)</f>
        <v/>
      </c>
      <c r="S1693" s="22" t="str">
        <f>IF(C1693="","",C1693&amp;I1693)</f>
        <v/>
      </c>
      <c r="T1693" t="str">
        <f>IF(OR(C1693="",I1693&lt;&gt;"ENTRADA"),"",TEXT(B1693,"AAMMDD")&amp;"-"&amp;TEXT(VALUE(SUBSTITUTE(A1693,"MOV-","")),"000"))</f>
        <v/>
      </c>
    </row>
    <row r="1694" spans="1:20">
      <c r="A1694" s="20" t="s">
        <v>2053</v>
      </c>
      <c r="H1694" s="20" t="str">
        <f>+T1694</f>
        <v/>
      </c>
      <c r="J1694" s="30"/>
      <c r="K1694" s="22" t="str">
        <f>IF(I1694="","",IF(I1694="ENTRADA",ABS(J1694),-ABS(J1694)))</f>
        <v/>
      </c>
      <c r="R1694" s="22" t="str">
        <f>IF(H1694="","",H1694&amp;I1694)</f>
        <v/>
      </c>
      <c r="S1694" s="22" t="str">
        <f>IF(C1694="","",C1694&amp;I1694)</f>
        <v/>
      </c>
      <c r="T1694" t="str">
        <f>IF(OR(C1694="",I1694&lt;&gt;"ENTRADA"),"",TEXT(B1694,"AAMMDD")&amp;"-"&amp;TEXT(VALUE(SUBSTITUTE(A1694,"MOV-","")),"000"))</f>
        <v/>
      </c>
    </row>
    <row r="1695" spans="1:20">
      <c r="A1695" s="20" t="s">
        <v>2054</v>
      </c>
      <c r="H1695" s="20" t="str">
        <f>+T1695</f>
        <v/>
      </c>
      <c r="J1695" s="30"/>
      <c r="K1695" s="22" t="str">
        <f>IF(I1695="","",IF(I1695="ENTRADA",ABS(J1695),-ABS(J1695)))</f>
        <v/>
      </c>
      <c r="R1695" s="22" t="str">
        <f>IF(H1695="","",H1695&amp;I1695)</f>
        <v/>
      </c>
      <c r="S1695" s="22" t="str">
        <f>IF(C1695="","",C1695&amp;I1695)</f>
        <v/>
      </c>
      <c r="T1695" t="str">
        <f>IF(OR(C1695="",I1695&lt;&gt;"ENTRADA"),"",TEXT(B1695,"AAMMDD")&amp;"-"&amp;TEXT(VALUE(SUBSTITUTE(A1695,"MOV-","")),"000"))</f>
        <v/>
      </c>
    </row>
    <row r="1696" spans="1:20">
      <c r="A1696" s="20" t="s">
        <v>2055</v>
      </c>
      <c r="H1696" s="20" t="str">
        <f>+T1696</f>
        <v/>
      </c>
      <c r="J1696" s="30"/>
      <c r="K1696" s="22" t="str">
        <f>IF(I1696="","",IF(I1696="ENTRADA",ABS(J1696),-ABS(J1696)))</f>
        <v/>
      </c>
      <c r="R1696" s="22" t="str">
        <f>IF(H1696="","",H1696&amp;I1696)</f>
        <v/>
      </c>
      <c r="S1696" s="22" t="str">
        <f>IF(C1696="","",C1696&amp;I1696)</f>
        <v/>
      </c>
      <c r="T1696" t="str">
        <f>IF(OR(C1696="",I1696&lt;&gt;"ENTRADA"),"",TEXT(B1696,"AAMMDD")&amp;"-"&amp;TEXT(VALUE(SUBSTITUTE(A1696,"MOV-","")),"000"))</f>
        <v/>
      </c>
    </row>
    <row r="1697" spans="1:20">
      <c r="A1697" s="20" t="s">
        <v>2056</v>
      </c>
      <c r="H1697" s="20" t="str">
        <f>+T1697</f>
        <v/>
      </c>
      <c r="J1697" s="30"/>
      <c r="K1697" s="22" t="str">
        <f>IF(I1697="","",IF(I1697="ENTRADA",ABS(J1697),-ABS(J1697)))</f>
        <v/>
      </c>
      <c r="R1697" s="22" t="str">
        <f>IF(H1697="","",H1697&amp;I1697)</f>
        <v/>
      </c>
      <c r="S1697" s="22" t="str">
        <f>IF(C1697="","",C1697&amp;I1697)</f>
        <v/>
      </c>
      <c r="T1697" t="str">
        <f>IF(OR(C1697="",I1697&lt;&gt;"ENTRADA"),"",TEXT(B1697,"AAMMDD")&amp;"-"&amp;TEXT(VALUE(SUBSTITUTE(A1697,"MOV-","")),"000"))</f>
        <v/>
      </c>
    </row>
    <row r="1698" spans="1:20">
      <c r="A1698" s="20" t="s">
        <v>2057</v>
      </c>
      <c r="H1698" s="20" t="str">
        <f>+T1698</f>
        <v/>
      </c>
      <c r="J1698" s="30"/>
      <c r="K1698" s="22" t="str">
        <f>IF(I1698="","",IF(I1698="ENTRADA",ABS(J1698),-ABS(J1698)))</f>
        <v/>
      </c>
      <c r="R1698" s="22" t="str">
        <f>IF(H1698="","",H1698&amp;I1698)</f>
        <v/>
      </c>
      <c r="S1698" s="22" t="str">
        <f>IF(C1698="","",C1698&amp;I1698)</f>
        <v/>
      </c>
      <c r="T1698" t="str">
        <f>IF(OR(C1698="",I1698&lt;&gt;"ENTRADA"),"",TEXT(B1698,"AAMMDD")&amp;"-"&amp;TEXT(VALUE(SUBSTITUTE(A1698,"MOV-","")),"000"))</f>
        <v/>
      </c>
    </row>
    <row r="1699" spans="1:20">
      <c r="A1699" s="20" t="s">
        <v>2058</v>
      </c>
      <c r="H1699" s="20" t="str">
        <f>+T1699</f>
        <v/>
      </c>
      <c r="J1699" s="30"/>
      <c r="K1699" s="22" t="str">
        <f>IF(I1699="","",IF(I1699="ENTRADA",ABS(J1699),-ABS(J1699)))</f>
        <v/>
      </c>
      <c r="R1699" s="22" t="str">
        <f>IF(H1699="","",H1699&amp;I1699)</f>
        <v/>
      </c>
      <c r="S1699" s="22" t="str">
        <f>IF(C1699="","",C1699&amp;I1699)</f>
        <v/>
      </c>
      <c r="T1699" t="str">
        <f>IF(OR(C1699="",I1699&lt;&gt;"ENTRADA"),"",TEXT(B1699,"AAMMDD")&amp;"-"&amp;TEXT(VALUE(SUBSTITUTE(A1699,"MOV-","")),"000"))</f>
        <v/>
      </c>
    </row>
    <row r="1700" spans="1:20">
      <c r="A1700" s="20" t="s">
        <v>2059</v>
      </c>
      <c r="H1700" s="20" t="str">
        <f>+T1700</f>
        <v/>
      </c>
      <c r="J1700" s="30"/>
      <c r="K1700" s="22" t="str">
        <f>IF(I1700="","",IF(I1700="ENTRADA",ABS(J1700),-ABS(J1700)))</f>
        <v/>
      </c>
      <c r="R1700" s="22" t="str">
        <f>IF(H1700="","",H1700&amp;I1700)</f>
        <v/>
      </c>
      <c r="S1700" s="22" t="str">
        <f>IF(C1700="","",C1700&amp;I1700)</f>
        <v/>
      </c>
      <c r="T1700" t="str">
        <f>IF(OR(C1700="",I1700&lt;&gt;"ENTRADA"),"",TEXT(B1700,"AAMMDD")&amp;"-"&amp;TEXT(VALUE(SUBSTITUTE(A1700,"MOV-","")),"000"))</f>
        <v/>
      </c>
    </row>
    <row r="1701" spans="1:20">
      <c r="A1701" s="20" t="s">
        <v>2060</v>
      </c>
      <c r="H1701" s="20" t="str">
        <f>+T1701</f>
        <v/>
      </c>
      <c r="J1701" s="30"/>
      <c r="K1701" s="22" t="str">
        <f>IF(I1701="","",IF(I1701="ENTRADA",ABS(J1701),-ABS(J1701)))</f>
        <v/>
      </c>
      <c r="R1701" s="22" t="str">
        <f>IF(H1701="","",H1701&amp;I1701)</f>
        <v/>
      </c>
      <c r="S1701" s="22" t="str">
        <f>IF(C1701="","",C1701&amp;I1701)</f>
        <v/>
      </c>
      <c r="T1701" t="str">
        <f>IF(OR(C1701="",I1701&lt;&gt;"ENTRADA"),"",TEXT(B1701,"AAMMDD")&amp;"-"&amp;TEXT(VALUE(SUBSTITUTE(A1701,"MOV-","")),"000"))</f>
        <v/>
      </c>
    </row>
    <row r="1702" spans="1:20">
      <c r="A1702" s="20" t="s">
        <v>2061</v>
      </c>
      <c r="H1702" s="20" t="str">
        <f>+T1702</f>
        <v/>
      </c>
      <c r="J1702" s="30"/>
      <c r="K1702" s="22" t="str">
        <f>IF(I1702="","",IF(I1702="ENTRADA",ABS(J1702),-ABS(J1702)))</f>
        <v/>
      </c>
      <c r="R1702" s="22" t="str">
        <f>IF(H1702="","",H1702&amp;I1702)</f>
        <v/>
      </c>
      <c r="S1702" s="22" t="str">
        <f>IF(C1702="","",C1702&amp;I1702)</f>
        <v/>
      </c>
      <c r="T1702" t="str">
        <f>IF(OR(C1702="",I1702&lt;&gt;"ENTRADA"),"",TEXT(B1702,"AAMMDD")&amp;"-"&amp;TEXT(VALUE(SUBSTITUTE(A1702,"MOV-","")),"000"))</f>
        <v/>
      </c>
    </row>
    <row r="1703" spans="1:20">
      <c r="A1703" s="20" t="s">
        <v>2062</v>
      </c>
      <c r="H1703" s="20" t="str">
        <f>+T1703</f>
        <v/>
      </c>
      <c r="J1703" s="30"/>
      <c r="K1703" s="22" t="str">
        <f>IF(I1703="","",IF(I1703="ENTRADA",ABS(J1703),-ABS(J1703)))</f>
        <v/>
      </c>
      <c r="R1703" s="22" t="str">
        <f>IF(H1703="","",H1703&amp;I1703)</f>
        <v/>
      </c>
      <c r="S1703" s="22" t="str">
        <f>IF(C1703="","",C1703&amp;I1703)</f>
        <v/>
      </c>
      <c r="T1703" t="str">
        <f>IF(OR(C1703="",I1703&lt;&gt;"ENTRADA"),"",TEXT(B1703,"AAMMDD")&amp;"-"&amp;TEXT(VALUE(SUBSTITUTE(A1703,"MOV-","")),"000"))</f>
        <v/>
      </c>
    </row>
    <row r="1704" spans="1:20">
      <c r="A1704" s="20" t="s">
        <v>2063</v>
      </c>
      <c r="H1704" s="20" t="str">
        <f>+T1704</f>
        <v/>
      </c>
      <c r="J1704" s="30"/>
      <c r="K1704" s="22" t="str">
        <f>IF(I1704="","",IF(I1704="ENTRADA",ABS(J1704),-ABS(J1704)))</f>
        <v/>
      </c>
      <c r="R1704" s="22" t="str">
        <f>IF(H1704="","",H1704&amp;I1704)</f>
        <v/>
      </c>
      <c r="S1704" s="22" t="str">
        <f>IF(C1704="","",C1704&amp;I1704)</f>
        <v/>
      </c>
      <c r="T1704" t="str">
        <f>IF(OR(C1704="",I1704&lt;&gt;"ENTRADA"),"",TEXT(B1704,"AAMMDD")&amp;"-"&amp;TEXT(VALUE(SUBSTITUTE(A1704,"MOV-","")),"000"))</f>
        <v/>
      </c>
    </row>
    <row r="1705" spans="1:20">
      <c r="A1705" s="20" t="s">
        <v>2064</v>
      </c>
      <c r="H1705" s="20" t="str">
        <f>+T1705</f>
        <v/>
      </c>
      <c r="J1705" s="30"/>
      <c r="K1705" s="22" t="str">
        <f>IF(I1705="","",IF(I1705="ENTRADA",ABS(J1705),-ABS(J1705)))</f>
        <v/>
      </c>
      <c r="R1705" s="22" t="str">
        <f>IF(H1705="","",H1705&amp;I1705)</f>
        <v/>
      </c>
      <c r="S1705" s="22" t="str">
        <f>IF(C1705="","",C1705&amp;I1705)</f>
        <v/>
      </c>
      <c r="T1705" t="str">
        <f>IF(OR(C1705="",I1705&lt;&gt;"ENTRADA"),"",TEXT(B1705,"AAMMDD")&amp;"-"&amp;TEXT(VALUE(SUBSTITUTE(A1705,"MOV-","")),"000"))</f>
        <v/>
      </c>
    </row>
    <row r="1706" spans="1:20">
      <c r="A1706" s="20" t="s">
        <v>2065</v>
      </c>
      <c r="H1706" s="20" t="str">
        <f>+T1706</f>
        <v/>
      </c>
      <c r="J1706" s="30"/>
      <c r="K1706" s="22" t="str">
        <f>IF(I1706="","",IF(I1706="ENTRADA",ABS(J1706),-ABS(J1706)))</f>
        <v/>
      </c>
      <c r="R1706" s="22" t="str">
        <f>IF(H1706="","",H1706&amp;I1706)</f>
        <v/>
      </c>
      <c r="S1706" s="22" t="str">
        <f>IF(C1706="","",C1706&amp;I1706)</f>
        <v/>
      </c>
      <c r="T1706" t="str">
        <f>IF(OR(C1706="",I1706&lt;&gt;"ENTRADA"),"",TEXT(B1706,"AAMMDD")&amp;"-"&amp;TEXT(VALUE(SUBSTITUTE(A1706,"MOV-","")),"000"))</f>
        <v/>
      </c>
    </row>
    <row r="1707" spans="1:20">
      <c r="A1707" s="20" t="s">
        <v>2066</v>
      </c>
      <c r="H1707" s="20" t="str">
        <f>+T1707</f>
        <v/>
      </c>
      <c r="J1707" s="30"/>
      <c r="K1707" s="22" t="str">
        <f>IF(I1707="","",IF(I1707="ENTRADA",ABS(J1707),-ABS(J1707)))</f>
        <v/>
      </c>
      <c r="R1707" s="22" t="str">
        <f>IF(H1707="","",H1707&amp;I1707)</f>
        <v/>
      </c>
      <c r="S1707" s="22" t="str">
        <f>IF(C1707="","",C1707&amp;I1707)</f>
        <v/>
      </c>
      <c r="T1707" t="str">
        <f>IF(OR(C1707="",I1707&lt;&gt;"ENTRADA"),"",TEXT(B1707,"AAMMDD")&amp;"-"&amp;TEXT(VALUE(SUBSTITUTE(A1707,"MOV-","")),"000"))</f>
        <v/>
      </c>
    </row>
    <row r="1708" spans="1:20">
      <c r="A1708" s="20" t="s">
        <v>2067</v>
      </c>
      <c r="H1708" s="20" t="str">
        <f>+T1708</f>
        <v/>
      </c>
      <c r="J1708" s="30"/>
      <c r="K1708" s="22" t="str">
        <f>IF(I1708="","",IF(I1708="ENTRADA",ABS(J1708),-ABS(J1708)))</f>
        <v/>
      </c>
      <c r="R1708" s="22" t="str">
        <f>IF(H1708="","",H1708&amp;I1708)</f>
        <v/>
      </c>
      <c r="S1708" s="22" t="str">
        <f>IF(C1708="","",C1708&amp;I1708)</f>
        <v/>
      </c>
      <c r="T1708" t="str">
        <f>IF(OR(C1708="",I1708&lt;&gt;"ENTRADA"),"",TEXT(B1708,"AAMMDD")&amp;"-"&amp;TEXT(VALUE(SUBSTITUTE(A1708,"MOV-","")),"000"))</f>
        <v/>
      </c>
    </row>
    <row r="1709" spans="1:20">
      <c r="A1709" s="20" t="s">
        <v>2068</v>
      </c>
      <c r="H1709" s="20" t="str">
        <f>+T1709</f>
        <v/>
      </c>
      <c r="J1709" s="30"/>
      <c r="K1709" s="22" t="str">
        <f>IF(I1709="","",IF(I1709="ENTRADA",ABS(J1709),-ABS(J1709)))</f>
        <v/>
      </c>
      <c r="R1709" s="22" t="str">
        <f>IF(H1709="","",H1709&amp;I1709)</f>
        <v/>
      </c>
      <c r="S1709" s="22" t="str">
        <f>IF(C1709="","",C1709&amp;I1709)</f>
        <v/>
      </c>
      <c r="T1709" t="str">
        <f>IF(OR(C1709="",I1709&lt;&gt;"ENTRADA"),"",TEXT(B1709,"AAMMDD")&amp;"-"&amp;TEXT(VALUE(SUBSTITUTE(A1709,"MOV-","")),"000"))</f>
        <v/>
      </c>
    </row>
    <row r="1710" spans="1:20">
      <c r="A1710" s="20" t="s">
        <v>2069</v>
      </c>
      <c r="H1710" s="20" t="str">
        <f>+T1710</f>
        <v/>
      </c>
      <c r="J1710" s="30"/>
      <c r="K1710" s="22" t="str">
        <f>IF(I1710="","",IF(I1710="ENTRADA",ABS(J1710),-ABS(J1710)))</f>
        <v/>
      </c>
      <c r="R1710" s="22" t="str">
        <f>IF(H1710="","",H1710&amp;I1710)</f>
        <v/>
      </c>
      <c r="S1710" s="22" t="str">
        <f>IF(C1710="","",C1710&amp;I1710)</f>
        <v/>
      </c>
      <c r="T1710" t="str">
        <f>IF(OR(C1710="",I1710&lt;&gt;"ENTRADA"),"",TEXT(B1710,"AAMMDD")&amp;"-"&amp;TEXT(VALUE(SUBSTITUTE(A1710,"MOV-","")),"000"))</f>
        <v/>
      </c>
    </row>
    <row r="1711" spans="1:20">
      <c r="A1711" s="20" t="s">
        <v>2070</v>
      </c>
      <c r="H1711" s="20" t="str">
        <f>+T1711</f>
        <v/>
      </c>
      <c r="J1711" s="30"/>
      <c r="K1711" s="22" t="str">
        <f>IF(I1711="","",IF(I1711="ENTRADA",ABS(J1711),-ABS(J1711)))</f>
        <v/>
      </c>
      <c r="R1711" s="22" t="str">
        <f>IF(H1711="","",H1711&amp;I1711)</f>
        <v/>
      </c>
      <c r="S1711" s="22" t="str">
        <f>IF(C1711="","",C1711&amp;I1711)</f>
        <v/>
      </c>
      <c r="T1711" t="str">
        <f>IF(OR(C1711="",I1711&lt;&gt;"ENTRADA"),"",TEXT(B1711,"AAMMDD")&amp;"-"&amp;TEXT(VALUE(SUBSTITUTE(A1711,"MOV-","")),"000"))</f>
        <v/>
      </c>
    </row>
    <row r="1712" spans="1:20">
      <c r="A1712" s="20" t="s">
        <v>2071</v>
      </c>
      <c r="H1712" s="20" t="str">
        <f>+T1712</f>
        <v/>
      </c>
      <c r="J1712" s="30"/>
      <c r="K1712" s="22" t="str">
        <f>IF(I1712="","",IF(I1712="ENTRADA",ABS(J1712),-ABS(J1712)))</f>
        <v/>
      </c>
      <c r="R1712" s="22" t="str">
        <f>IF(H1712="","",H1712&amp;I1712)</f>
        <v/>
      </c>
      <c r="S1712" s="22" t="str">
        <f>IF(C1712="","",C1712&amp;I1712)</f>
        <v/>
      </c>
      <c r="T1712" t="str">
        <f>IF(OR(C1712="",I1712&lt;&gt;"ENTRADA"),"",TEXT(B1712,"AAMMDD")&amp;"-"&amp;TEXT(VALUE(SUBSTITUTE(A1712,"MOV-","")),"000"))</f>
        <v/>
      </c>
    </row>
    <row r="1713" spans="1:20">
      <c r="A1713" s="20" t="s">
        <v>2072</v>
      </c>
      <c r="H1713" s="20" t="str">
        <f>+T1713</f>
        <v/>
      </c>
      <c r="J1713" s="30"/>
      <c r="K1713" s="22" t="str">
        <f>IF(I1713="","",IF(I1713="ENTRADA",ABS(J1713),-ABS(J1713)))</f>
        <v/>
      </c>
      <c r="R1713" s="22" t="str">
        <f>IF(H1713="","",H1713&amp;I1713)</f>
        <v/>
      </c>
      <c r="S1713" s="22" t="str">
        <f>IF(C1713="","",C1713&amp;I1713)</f>
        <v/>
      </c>
      <c r="T1713" t="str">
        <f>IF(OR(C1713="",I1713&lt;&gt;"ENTRADA"),"",TEXT(B1713,"AAMMDD")&amp;"-"&amp;TEXT(VALUE(SUBSTITUTE(A1713,"MOV-","")),"000"))</f>
        <v/>
      </c>
    </row>
    <row r="1714" spans="1:20">
      <c r="A1714" s="20" t="s">
        <v>2073</v>
      </c>
      <c r="H1714" s="20" t="str">
        <f>+T1714</f>
        <v/>
      </c>
      <c r="J1714" s="30"/>
      <c r="K1714" s="22" t="str">
        <f>IF(I1714="","",IF(I1714="ENTRADA",ABS(J1714),-ABS(J1714)))</f>
        <v/>
      </c>
      <c r="R1714" s="22" t="str">
        <f>IF(H1714="","",H1714&amp;I1714)</f>
        <v/>
      </c>
      <c r="S1714" s="22" t="str">
        <f>IF(C1714="","",C1714&amp;I1714)</f>
        <v/>
      </c>
      <c r="T1714" t="str">
        <f>IF(OR(C1714="",I1714&lt;&gt;"ENTRADA"),"",TEXT(B1714,"AAMMDD")&amp;"-"&amp;TEXT(VALUE(SUBSTITUTE(A1714,"MOV-","")),"000"))</f>
        <v/>
      </c>
    </row>
    <row r="1715" spans="1:20">
      <c r="A1715" s="20" t="s">
        <v>2074</v>
      </c>
      <c r="H1715" s="20" t="str">
        <f>+T1715</f>
        <v/>
      </c>
      <c r="J1715" s="30"/>
      <c r="K1715" s="22" t="str">
        <f>IF(I1715="","",IF(I1715="ENTRADA",ABS(J1715),-ABS(J1715)))</f>
        <v/>
      </c>
      <c r="R1715" s="22" t="str">
        <f>IF(H1715="","",H1715&amp;I1715)</f>
        <v/>
      </c>
      <c r="S1715" s="22" t="str">
        <f>IF(C1715="","",C1715&amp;I1715)</f>
        <v/>
      </c>
      <c r="T1715" t="str">
        <f>IF(OR(C1715="",I1715&lt;&gt;"ENTRADA"),"",TEXT(B1715,"AAMMDD")&amp;"-"&amp;TEXT(VALUE(SUBSTITUTE(A1715,"MOV-","")),"000"))</f>
        <v/>
      </c>
    </row>
    <row r="1716" spans="1:20">
      <c r="A1716" s="20" t="s">
        <v>2075</v>
      </c>
      <c r="H1716" s="20" t="str">
        <f>+T1716</f>
        <v/>
      </c>
      <c r="J1716" s="30"/>
      <c r="K1716" s="22" t="str">
        <f>IF(I1716="","",IF(I1716="ENTRADA",ABS(J1716),-ABS(J1716)))</f>
        <v/>
      </c>
      <c r="R1716" s="22" t="str">
        <f>IF(H1716="","",H1716&amp;I1716)</f>
        <v/>
      </c>
      <c r="S1716" s="22" t="str">
        <f>IF(C1716="","",C1716&amp;I1716)</f>
        <v/>
      </c>
      <c r="T1716" t="str">
        <f>IF(OR(C1716="",I1716&lt;&gt;"ENTRADA"),"",TEXT(B1716,"AAMMDD")&amp;"-"&amp;TEXT(VALUE(SUBSTITUTE(A1716,"MOV-","")),"000"))</f>
        <v/>
      </c>
    </row>
    <row r="1717" spans="1:20">
      <c r="A1717" s="20" t="s">
        <v>2076</v>
      </c>
      <c r="H1717" s="20" t="str">
        <f>+T1717</f>
        <v/>
      </c>
      <c r="J1717" s="30"/>
      <c r="K1717" s="22" t="str">
        <f>IF(I1717="","",IF(I1717="ENTRADA",ABS(J1717),-ABS(J1717)))</f>
        <v/>
      </c>
      <c r="R1717" s="22" t="str">
        <f>IF(H1717="","",H1717&amp;I1717)</f>
        <v/>
      </c>
      <c r="S1717" s="22" t="str">
        <f>IF(C1717="","",C1717&amp;I1717)</f>
        <v/>
      </c>
      <c r="T1717" t="str">
        <f>IF(OR(C1717="",I1717&lt;&gt;"ENTRADA"),"",TEXT(B1717,"AAMMDD")&amp;"-"&amp;TEXT(VALUE(SUBSTITUTE(A1717,"MOV-","")),"000"))</f>
        <v/>
      </c>
    </row>
    <row r="1718" spans="1:20">
      <c r="A1718" s="20" t="s">
        <v>2077</v>
      </c>
      <c r="H1718" s="20" t="str">
        <f>+T1718</f>
        <v/>
      </c>
      <c r="J1718" s="30"/>
      <c r="K1718" s="22" t="str">
        <f>IF(I1718="","",IF(I1718="ENTRADA",ABS(J1718),-ABS(J1718)))</f>
        <v/>
      </c>
      <c r="R1718" s="22" t="str">
        <f>IF(H1718="","",H1718&amp;I1718)</f>
        <v/>
      </c>
      <c r="S1718" s="22" t="str">
        <f>IF(C1718="","",C1718&amp;I1718)</f>
        <v/>
      </c>
      <c r="T1718" t="str">
        <f>IF(OR(C1718="",I1718&lt;&gt;"ENTRADA"),"",TEXT(B1718,"AAMMDD")&amp;"-"&amp;TEXT(VALUE(SUBSTITUTE(A1718,"MOV-","")),"000"))</f>
        <v/>
      </c>
    </row>
    <row r="1719" spans="1:20">
      <c r="A1719" s="20" t="s">
        <v>2078</v>
      </c>
      <c r="H1719" s="20" t="str">
        <f>+T1719</f>
        <v/>
      </c>
      <c r="J1719" s="30"/>
      <c r="K1719" s="22" t="str">
        <f>IF(I1719="","",IF(I1719="ENTRADA",ABS(J1719),-ABS(J1719)))</f>
        <v/>
      </c>
      <c r="R1719" s="22" t="str">
        <f>IF(H1719="","",H1719&amp;I1719)</f>
        <v/>
      </c>
      <c r="S1719" s="22" t="str">
        <f>IF(C1719="","",C1719&amp;I1719)</f>
        <v/>
      </c>
      <c r="T1719" t="str">
        <f>IF(OR(C1719="",I1719&lt;&gt;"ENTRADA"),"",TEXT(B1719,"AAMMDD")&amp;"-"&amp;TEXT(VALUE(SUBSTITUTE(A1719,"MOV-","")),"000"))</f>
        <v/>
      </c>
    </row>
    <row r="1720" spans="1:20">
      <c r="A1720" s="20" t="s">
        <v>2079</v>
      </c>
      <c r="H1720" s="20" t="str">
        <f>+T1720</f>
        <v/>
      </c>
      <c r="J1720" s="30"/>
      <c r="K1720" s="22" t="str">
        <f>IF(I1720="","",IF(I1720="ENTRADA",ABS(J1720),-ABS(J1720)))</f>
        <v/>
      </c>
      <c r="R1720" s="22" t="str">
        <f>IF(H1720="","",H1720&amp;I1720)</f>
        <v/>
      </c>
      <c r="S1720" s="22" t="str">
        <f>IF(C1720="","",C1720&amp;I1720)</f>
        <v/>
      </c>
      <c r="T1720" t="str">
        <f>IF(OR(C1720="",I1720&lt;&gt;"ENTRADA"),"",TEXT(B1720,"AAMMDD")&amp;"-"&amp;TEXT(VALUE(SUBSTITUTE(A1720,"MOV-","")),"000"))</f>
        <v/>
      </c>
    </row>
    <row r="1721" spans="1:20">
      <c r="A1721" s="20" t="s">
        <v>2080</v>
      </c>
      <c r="H1721" s="20" t="str">
        <f>+T1721</f>
        <v/>
      </c>
      <c r="J1721" s="30"/>
      <c r="K1721" s="22" t="str">
        <f>IF(I1721="","",IF(I1721="ENTRADA",ABS(J1721),-ABS(J1721)))</f>
        <v/>
      </c>
      <c r="R1721" s="22" t="str">
        <f>IF(H1721="","",H1721&amp;I1721)</f>
        <v/>
      </c>
      <c r="S1721" s="22" t="str">
        <f>IF(C1721="","",C1721&amp;I1721)</f>
        <v/>
      </c>
      <c r="T1721" t="str">
        <f>IF(OR(C1721="",I1721&lt;&gt;"ENTRADA"),"",TEXT(B1721,"AAMMDD")&amp;"-"&amp;TEXT(VALUE(SUBSTITUTE(A1721,"MOV-","")),"000"))</f>
        <v/>
      </c>
    </row>
    <row r="1722" spans="1:20">
      <c r="A1722" s="20" t="s">
        <v>2081</v>
      </c>
      <c r="H1722" s="20" t="str">
        <f>+T1722</f>
        <v/>
      </c>
      <c r="J1722" s="30"/>
      <c r="K1722" s="22" t="str">
        <f>IF(I1722="","",IF(I1722="ENTRADA",ABS(J1722),-ABS(J1722)))</f>
        <v/>
      </c>
      <c r="R1722" s="22" t="str">
        <f>IF(H1722="","",H1722&amp;I1722)</f>
        <v/>
      </c>
      <c r="S1722" s="22" t="str">
        <f>IF(C1722="","",C1722&amp;I1722)</f>
        <v/>
      </c>
      <c r="T1722" t="str">
        <f>IF(OR(C1722="",I1722&lt;&gt;"ENTRADA"),"",TEXT(B1722,"AAMMDD")&amp;"-"&amp;TEXT(VALUE(SUBSTITUTE(A1722,"MOV-","")),"000"))</f>
        <v/>
      </c>
    </row>
    <row r="1723" spans="1:20">
      <c r="A1723" s="20" t="s">
        <v>2082</v>
      </c>
      <c r="H1723" s="20" t="str">
        <f>+T1723</f>
        <v/>
      </c>
      <c r="J1723" s="30"/>
      <c r="K1723" s="22" t="str">
        <f>IF(I1723="","",IF(I1723="ENTRADA",ABS(J1723),-ABS(J1723)))</f>
        <v/>
      </c>
      <c r="R1723" s="22" t="str">
        <f>IF(H1723="","",H1723&amp;I1723)</f>
        <v/>
      </c>
      <c r="S1723" s="22" t="str">
        <f>IF(C1723="","",C1723&amp;I1723)</f>
        <v/>
      </c>
      <c r="T1723" t="str">
        <f>IF(OR(C1723="",I1723&lt;&gt;"ENTRADA"),"",TEXT(B1723,"AAMMDD")&amp;"-"&amp;TEXT(VALUE(SUBSTITUTE(A1723,"MOV-","")),"000"))</f>
        <v/>
      </c>
    </row>
    <row r="1724" spans="1:20">
      <c r="A1724" s="20" t="s">
        <v>2083</v>
      </c>
      <c r="H1724" s="20" t="str">
        <f>+T1724</f>
        <v/>
      </c>
      <c r="J1724" s="30"/>
      <c r="K1724" s="22" t="str">
        <f>IF(I1724="","",IF(I1724="ENTRADA",ABS(J1724),-ABS(J1724)))</f>
        <v/>
      </c>
      <c r="R1724" s="22" t="str">
        <f>IF(H1724="","",H1724&amp;I1724)</f>
        <v/>
      </c>
      <c r="S1724" s="22" t="str">
        <f>IF(C1724="","",C1724&amp;I1724)</f>
        <v/>
      </c>
      <c r="T1724" t="str">
        <f>IF(OR(C1724="",I1724&lt;&gt;"ENTRADA"),"",TEXT(B1724,"AAMMDD")&amp;"-"&amp;TEXT(VALUE(SUBSTITUTE(A1724,"MOV-","")),"000"))</f>
        <v/>
      </c>
    </row>
    <row r="1725" spans="1:20">
      <c r="A1725" s="20" t="s">
        <v>2084</v>
      </c>
      <c r="H1725" s="20" t="str">
        <f>+T1725</f>
        <v/>
      </c>
      <c r="J1725" s="30"/>
      <c r="K1725" s="22" t="str">
        <f>IF(I1725="","",IF(I1725="ENTRADA",ABS(J1725),-ABS(J1725)))</f>
        <v/>
      </c>
      <c r="R1725" s="22" t="str">
        <f>IF(H1725="","",H1725&amp;I1725)</f>
        <v/>
      </c>
      <c r="S1725" s="22" t="str">
        <f>IF(C1725="","",C1725&amp;I1725)</f>
        <v/>
      </c>
      <c r="T1725" t="str">
        <f>IF(OR(C1725="",I1725&lt;&gt;"ENTRADA"),"",TEXT(B1725,"AAMMDD")&amp;"-"&amp;TEXT(VALUE(SUBSTITUTE(A1725,"MOV-","")),"000"))</f>
        <v/>
      </c>
    </row>
    <row r="1726" spans="1:20">
      <c r="A1726" s="20" t="s">
        <v>2085</v>
      </c>
      <c r="H1726" s="20" t="str">
        <f>+T1726</f>
        <v/>
      </c>
      <c r="J1726" s="30"/>
      <c r="K1726" s="22" t="str">
        <f>IF(I1726="","",IF(I1726="ENTRADA",ABS(J1726),-ABS(J1726)))</f>
        <v/>
      </c>
      <c r="R1726" s="22" t="str">
        <f>IF(H1726="","",H1726&amp;I1726)</f>
        <v/>
      </c>
      <c r="S1726" s="22" t="str">
        <f>IF(C1726="","",C1726&amp;I1726)</f>
        <v/>
      </c>
      <c r="T1726" t="str">
        <f>IF(OR(C1726="",I1726&lt;&gt;"ENTRADA"),"",TEXT(B1726,"AAMMDD")&amp;"-"&amp;TEXT(VALUE(SUBSTITUTE(A1726,"MOV-","")),"000"))</f>
        <v/>
      </c>
    </row>
    <row r="1727" spans="1:20">
      <c r="A1727" s="20" t="s">
        <v>2086</v>
      </c>
      <c r="H1727" s="20" t="str">
        <f>+T1727</f>
        <v/>
      </c>
      <c r="J1727" s="30"/>
      <c r="K1727" s="22" t="str">
        <f>IF(I1727="","",IF(I1727="ENTRADA",ABS(J1727),-ABS(J1727)))</f>
        <v/>
      </c>
      <c r="R1727" s="22" t="str">
        <f>IF(H1727="","",H1727&amp;I1727)</f>
        <v/>
      </c>
      <c r="S1727" s="22" t="str">
        <f>IF(C1727="","",C1727&amp;I1727)</f>
        <v/>
      </c>
      <c r="T1727" t="str">
        <f>IF(OR(C1727="",I1727&lt;&gt;"ENTRADA"),"",TEXT(B1727,"AAMMDD")&amp;"-"&amp;TEXT(VALUE(SUBSTITUTE(A1727,"MOV-","")),"000"))</f>
        <v/>
      </c>
    </row>
    <row r="1728" spans="1:20">
      <c r="A1728" s="20" t="s">
        <v>2087</v>
      </c>
      <c r="H1728" s="20" t="str">
        <f>+T1728</f>
        <v/>
      </c>
      <c r="J1728" s="30"/>
      <c r="K1728" s="22" t="str">
        <f>IF(I1728="","",IF(I1728="ENTRADA",ABS(J1728),-ABS(J1728)))</f>
        <v/>
      </c>
      <c r="R1728" s="22" t="str">
        <f>IF(H1728="","",H1728&amp;I1728)</f>
        <v/>
      </c>
      <c r="S1728" s="22" t="str">
        <f>IF(C1728="","",C1728&amp;I1728)</f>
        <v/>
      </c>
      <c r="T1728" t="str">
        <f>IF(OR(C1728="",I1728&lt;&gt;"ENTRADA"),"",TEXT(B1728,"AAMMDD")&amp;"-"&amp;TEXT(VALUE(SUBSTITUTE(A1728,"MOV-","")),"000"))</f>
        <v/>
      </c>
    </row>
    <row r="1729" spans="1:20">
      <c r="A1729" s="20" t="s">
        <v>2088</v>
      </c>
      <c r="H1729" s="20" t="str">
        <f>+T1729</f>
        <v/>
      </c>
      <c r="J1729" s="30"/>
      <c r="K1729" s="22" t="str">
        <f>IF(I1729="","",IF(I1729="ENTRADA",ABS(J1729),-ABS(J1729)))</f>
        <v/>
      </c>
      <c r="R1729" s="22" t="str">
        <f>IF(H1729="","",H1729&amp;I1729)</f>
        <v/>
      </c>
      <c r="S1729" s="22" t="str">
        <f>IF(C1729="","",C1729&amp;I1729)</f>
        <v/>
      </c>
      <c r="T1729" t="str">
        <f>IF(OR(C1729="",I1729&lt;&gt;"ENTRADA"),"",TEXT(B1729,"AAMMDD")&amp;"-"&amp;TEXT(VALUE(SUBSTITUTE(A1729,"MOV-","")),"000"))</f>
        <v/>
      </c>
    </row>
    <row r="1730" spans="1:20">
      <c r="A1730" s="20" t="s">
        <v>2089</v>
      </c>
      <c r="H1730" s="20" t="str">
        <f>+T1730</f>
        <v/>
      </c>
      <c r="J1730" s="30"/>
      <c r="K1730" s="22" t="str">
        <f>IF(I1730="","",IF(I1730="ENTRADA",ABS(J1730),-ABS(J1730)))</f>
        <v/>
      </c>
      <c r="R1730" s="22" t="str">
        <f>IF(H1730="","",H1730&amp;I1730)</f>
        <v/>
      </c>
      <c r="S1730" s="22" t="str">
        <f>IF(C1730="","",C1730&amp;I1730)</f>
        <v/>
      </c>
      <c r="T1730" t="str">
        <f>IF(OR(C1730="",I1730&lt;&gt;"ENTRADA"),"",TEXT(B1730,"AAMMDD")&amp;"-"&amp;TEXT(VALUE(SUBSTITUTE(A1730,"MOV-","")),"000"))</f>
        <v/>
      </c>
    </row>
    <row r="1731" spans="1:20">
      <c r="A1731" s="20" t="s">
        <v>2090</v>
      </c>
      <c r="H1731" s="20" t="str">
        <f>+T1731</f>
        <v/>
      </c>
      <c r="J1731" s="30"/>
      <c r="K1731" s="22" t="str">
        <f>IF(I1731="","",IF(I1731="ENTRADA",ABS(J1731),-ABS(J1731)))</f>
        <v/>
      </c>
      <c r="R1731" s="22" t="str">
        <f>IF(H1731="","",H1731&amp;I1731)</f>
        <v/>
      </c>
      <c r="S1731" s="22" t="str">
        <f>IF(C1731="","",C1731&amp;I1731)</f>
        <v/>
      </c>
      <c r="T1731" t="str">
        <f>IF(OR(C1731="",I1731&lt;&gt;"ENTRADA"),"",TEXT(B1731,"AAMMDD")&amp;"-"&amp;TEXT(VALUE(SUBSTITUTE(A1731,"MOV-","")),"000"))</f>
        <v/>
      </c>
    </row>
    <row r="1732" spans="1:20">
      <c r="A1732" s="20" t="s">
        <v>2091</v>
      </c>
      <c r="H1732" s="20" t="str">
        <f>+T1732</f>
        <v/>
      </c>
      <c r="J1732" s="30"/>
      <c r="K1732" s="22" t="str">
        <f>IF(I1732="","",IF(I1732="ENTRADA",ABS(J1732),-ABS(J1732)))</f>
        <v/>
      </c>
      <c r="R1732" s="22" t="str">
        <f>IF(H1732="","",H1732&amp;I1732)</f>
        <v/>
      </c>
      <c r="S1732" s="22" t="str">
        <f>IF(C1732="","",C1732&amp;I1732)</f>
        <v/>
      </c>
      <c r="T1732" t="str">
        <f>IF(OR(C1732="",I1732&lt;&gt;"ENTRADA"),"",TEXT(B1732,"AAMMDD")&amp;"-"&amp;TEXT(VALUE(SUBSTITUTE(A1732,"MOV-","")),"000"))</f>
        <v/>
      </c>
    </row>
    <row r="1733" spans="1:20">
      <c r="A1733" s="20" t="s">
        <v>2092</v>
      </c>
      <c r="H1733" s="20" t="str">
        <f>+T1733</f>
        <v/>
      </c>
      <c r="J1733" s="30"/>
      <c r="K1733" s="22" t="str">
        <f>IF(I1733="","",IF(I1733="ENTRADA",ABS(J1733),-ABS(J1733)))</f>
        <v/>
      </c>
      <c r="R1733" s="22" t="str">
        <f>IF(H1733="","",H1733&amp;I1733)</f>
        <v/>
      </c>
      <c r="S1733" s="22" t="str">
        <f>IF(C1733="","",C1733&amp;I1733)</f>
        <v/>
      </c>
      <c r="T1733" t="str">
        <f>IF(OR(C1733="",I1733&lt;&gt;"ENTRADA"),"",TEXT(B1733,"AAMMDD")&amp;"-"&amp;TEXT(VALUE(SUBSTITUTE(A1733,"MOV-","")),"000"))</f>
        <v/>
      </c>
    </row>
    <row r="1734" spans="1:20">
      <c r="A1734" s="20" t="s">
        <v>2093</v>
      </c>
      <c r="H1734" s="20" t="str">
        <f>+T1734</f>
        <v/>
      </c>
      <c r="J1734" s="30"/>
      <c r="K1734" s="22" t="str">
        <f>IF(I1734="","",IF(I1734="ENTRADA",ABS(J1734),-ABS(J1734)))</f>
        <v/>
      </c>
      <c r="R1734" s="22" t="str">
        <f>IF(H1734="","",H1734&amp;I1734)</f>
        <v/>
      </c>
      <c r="S1734" s="22" t="str">
        <f>IF(C1734="","",C1734&amp;I1734)</f>
        <v/>
      </c>
      <c r="T1734" t="str">
        <f>IF(OR(C1734="",I1734&lt;&gt;"ENTRADA"),"",TEXT(B1734,"AAMMDD")&amp;"-"&amp;TEXT(VALUE(SUBSTITUTE(A1734,"MOV-","")),"000"))</f>
        <v/>
      </c>
    </row>
    <row r="1735" spans="1:20">
      <c r="A1735" s="20" t="s">
        <v>2094</v>
      </c>
      <c r="H1735" s="20" t="str">
        <f>+T1735</f>
        <v/>
      </c>
      <c r="J1735" s="30"/>
      <c r="K1735" s="22" t="str">
        <f>IF(I1735="","",IF(I1735="ENTRADA",ABS(J1735),-ABS(J1735)))</f>
        <v/>
      </c>
      <c r="R1735" s="22" t="str">
        <f>IF(H1735="","",H1735&amp;I1735)</f>
        <v/>
      </c>
      <c r="S1735" s="22" t="str">
        <f>IF(C1735="","",C1735&amp;I1735)</f>
        <v/>
      </c>
      <c r="T1735" t="str">
        <f>IF(OR(C1735="",I1735&lt;&gt;"ENTRADA"),"",TEXT(B1735,"AAMMDD")&amp;"-"&amp;TEXT(VALUE(SUBSTITUTE(A1735,"MOV-","")),"000"))</f>
        <v/>
      </c>
    </row>
    <row r="1736" spans="1:20">
      <c r="A1736" s="20" t="s">
        <v>2095</v>
      </c>
      <c r="H1736" s="20" t="str">
        <f>+T1736</f>
        <v/>
      </c>
      <c r="J1736" s="30"/>
      <c r="K1736" s="22" t="str">
        <f>IF(I1736="","",IF(I1736="ENTRADA",ABS(J1736),-ABS(J1736)))</f>
        <v/>
      </c>
      <c r="R1736" s="22" t="str">
        <f>IF(H1736="","",H1736&amp;I1736)</f>
        <v/>
      </c>
      <c r="S1736" s="22" t="str">
        <f>IF(C1736="","",C1736&amp;I1736)</f>
        <v/>
      </c>
      <c r="T1736" t="str">
        <f>IF(OR(C1736="",I1736&lt;&gt;"ENTRADA"),"",TEXT(B1736,"AAMMDD")&amp;"-"&amp;TEXT(VALUE(SUBSTITUTE(A1736,"MOV-","")),"000"))</f>
        <v/>
      </c>
    </row>
    <row r="1737" spans="1:20">
      <c r="A1737" s="20" t="s">
        <v>2096</v>
      </c>
      <c r="H1737" s="20" t="str">
        <f>+T1737</f>
        <v/>
      </c>
      <c r="J1737" s="30"/>
      <c r="K1737" s="22" t="str">
        <f>IF(I1737="","",IF(I1737="ENTRADA",ABS(J1737),-ABS(J1737)))</f>
        <v/>
      </c>
      <c r="R1737" s="22" t="str">
        <f>IF(H1737="","",H1737&amp;I1737)</f>
        <v/>
      </c>
      <c r="S1737" s="22" t="str">
        <f>IF(C1737="","",C1737&amp;I1737)</f>
        <v/>
      </c>
      <c r="T1737" t="str">
        <f>IF(OR(C1737="",I1737&lt;&gt;"ENTRADA"),"",TEXT(B1737,"AAMMDD")&amp;"-"&amp;TEXT(VALUE(SUBSTITUTE(A1737,"MOV-","")),"000"))</f>
        <v/>
      </c>
    </row>
    <row r="1738" spans="1:20">
      <c r="A1738" s="20" t="s">
        <v>2097</v>
      </c>
      <c r="H1738" s="20" t="str">
        <f>+T1738</f>
        <v/>
      </c>
      <c r="J1738" s="30"/>
      <c r="K1738" s="22" t="str">
        <f>IF(I1738="","",IF(I1738="ENTRADA",ABS(J1738),-ABS(J1738)))</f>
        <v/>
      </c>
      <c r="R1738" s="22" t="str">
        <f>IF(H1738="","",H1738&amp;I1738)</f>
        <v/>
      </c>
      <c r="S1738" s="22" t="str">
        <f>IF(C1738="","",C1738&amp;I1738)</f>
        <v/>
      </c>
      <c r="T1738" t="str">
        <f>IF(OR(C1738="",I1738&lt;&gt;"ENTRADA"),"",TEXT(B1738,"AAMMDD")&amp;"-"&amp;TEXT(VALUE(SUBSTITUTE(A1738,"MOV-","")),"000"))</f>
        <v/>
      </c>
    </row>
    <row r="1739" spans="1:20">
      <c r="A1739" s="20" t="s">
        <v>2098</v>
      </c>
      <c r="H1739" s="20" t="str">
        <f>+T1739</f>
        <v/>
      </c>
      <c r="J1739" s="30"/>
      <c r="K1739" s="22" t="str">
        <f>IF(I1739="","",IF(I1739="ENTRADA",ABS(J1739),-ABS(J1739)))</f>
        <v/>
      </c>
      <c r="R1739" s="22" t="str">
        <f>IF(H1739="","",H1739&amp;I1739)</f>
        <v/>
      </c>
      <c r="S1739" s="22" t="str">
        <f>IF(C1739="","",C1739&amp;I1739)</f>
        <v/>
      </c>
      <c r="T1739" t="str">
        <f>IF(OR(C1739="",I1739&lt;&gt;"ENTRADA"),"",TEXT(B1739,"AAMMDD")&amp;"-"&amp;TEXT(VALUE(SUBSTITUTE(A1739,"MOV-","")),"000"))</f>
        <v/>
      </c>
    </row>
    <row r="1740" spans="1:20">
      <c r="A1740" s="20" t="s">
        <v>2099</v>
      </c>
      <c r="H1740" s="20" t="str">
        <f>+T1740</f>
        <v/>
      </c>
      <c r="J1740" s="30"/>
      <c r="K1740" s="22" t="str">
        <f>IF(I1740="","",IF(I1740="ENTRADA",ABS(J1740),-ABS(J1740)))</f>
        <v/>
      </c>
      <c r="R1740" s="22" t="str">
        <f>IF(H1740="","",H1740&amp;I1740)</f>
        <v/>
      </c>
      <c r="S1740" s="22" t="str">
        <f>IF(C1740="","",C1740&amp;I1740)</f>
        <v/>
      </c>
      <c r="T1740" t="str">
        <f>IF(OR(C1740="",I1740&lt;&gt;"ENTRADA"),"",TEXT(B1740,"AAMMDD")&amp;"-"&amp;TEXT(VALUE(SUBSTITUTE(A1740,"MOV-","")),"000"))</f>
        <v/>
      </c>
    </row>
    <row r="1741" spans="1:20">
      <c r="A1741" s="20" t="s">
        <v>2100</v>
      </c>
      <c r="H1741" s="20" t="str">
        <f>+T1741</f>
        <v/>
      </c>
      <c r="J1741" s="30"/>
      <c r="K1741" s="22" t="str">
        <f>IF(I1741="","",IF(I1741="ENTRADA",ABS(J1741),-ABS(J1741)))</f>
        <v/>
      </c>
      <c r="R1741" s="22" t="str">
        <f>IF(H1741="","",H1741&amp;I1741)</f>
        <v/>
      </c>
      <c r="S1741" s="22" t="str">
        <f>IF(C1741="","",C1741&amp;I1741)</f>
        <v/>
      </c>
      <c r="T1741" t="str">
        <f>IF(OR(C1741="",I1741&lt;&gt;"ENTRADA"),"",TEXT(B1741,"AAMMDD")&amp;"-"&amp;TEXT(VALUE(SUBSTITUTE(A1741,"MOV-","")),"000"))</f>
        <v/>
      </c>
    </row>
    <row r="1742" spans="1:20">
      <c r="A1742" s="20" t="s">
        <v>2101</v>
      </c>
      <c r="H1742" s="20" t="str">
        <f>+T1742</f>
        <v/>
      </c>
      <c r="J1742" s="30"/>
      <c r="K1742" s="22" t="str">
        <f>IF(I1742="","",IF(I1742="ENTRADA",ABS(J1742),-ABS(J1742)))</f>
        <v/>
      </c>
      <c r="R1742" s="22" t="str">
        <f>IF(H1742="","",H1742&amp;I1742)</f>
        <v/>
      </c>
      <c r="S1742" s="22" t="str">
        <f>IF(C1742="","",C1742&amp;I1742)</f>
        <v/>
      </c>
      <c r="T1742" t="str">
        <f>IF(OR(C1742="",I1742&lt;&gt;"ENTRADA"),"",TEXT(B1742,"AAMMDD")&amp;"-"&amp;TEXT(VALUE(SUBSTITUTE(A1742,"MOV-","")),"000"))</f>
        <v/>
      </c>
    </row>
    <row r="1743" spans="1:20">
      <c r="A1743" s="20" t="s">
        <v>2102</v>
      </c>
      <c r="H1743" s="20" t="str">
        <f>+T1743</f>
        <v/>
      </c>
      <c r="J1743" s="30"/>
      <c r="K1743" s="22" t="str">
        <f>IF(I1743="","",IF(I1743="ENTRADA",ABS(J1743),-ABS(J1743)))</f>
        <v/>
      </c>
      <c r="R1743" s="22" t="str">
        <f>IF(H1743="","",H1743&amp;I1743)</f>
        <v/>
      </c>
      <c r="S1743" s="22" t="str">
        <f>IF(C1743="","",C1743&amp;I1743)</f>
        <v/>
      </c>
      <c r="T1743" t="str">
        <f>IF(OR(C1743="",I1743&lt;&gt;"ENTRADA"),"",TEXT(B1743,"AAMMDD")&amp;"-"&amp;TEXT(VALUE(SUBSTITUTE(A1743,"MOV-","")),"000"))</f>
        <v/>
      </c>
    </row>
    <row r="1744" spans="1:20">
      <c r="A1744" s="20" t="s">
        <v>2103</v>
      </c>
      <c r="H1744" s="20" t="str">
        <f>+T1744</f>
        <v/>
      </c>
      <c r="J1744" s="30"/>
      <c r="K1744" s="22" t="str">
        <f>IF(I1744="","",IF(I1744="ENTRADA",ABS(J1744),-ABS(J1744)))</f>
        <v/>
      </c>
      <c r="R1744" s="22" t="str">
        <f>IF(H1744="","",H1744&amp;I1744)</f>
        <v/>
      </c>
      <c r="S1744" s="22" t="str">
        <f>IF(C1744="","",C1744&amp;I1744)</f>
        <v/>
      </c>
      <c r="T1744" t="str">
        <f>IF(OR(C1744="",I1744&lt;&gt;"ENTRADA"),"",TEXT(B1744,"AAMMDD")&amp;"-"&amp;TEXT(VALUE(SUBSTITUTE(A1744,"MOV-","")),"000"))</f>
        <v/>
      </c>
    </row>
    <row r="1745" spans="1:20">
      <c r="A1745" s="20" t="s">
        <v>2104</v>
      </c>
      <c r="H1745" s="20" t="str">
        <f>+T1745</f>
        <v/>
      </c>
      <c r="J1745" s="30"/>
      <c r="K1745" s="22" t="str">
        <f>IF(I1745="","",IF(I1745="ENTRADA",ABS(J1745),-ABS(J1745)))</f>
        <v/>
      </c>
      <c r="R1745" s="22" t="str">
        <f>IF(H1745="","",H1745&amp;I1745)</f>
        <v/>
      </c>
      <c r="S1745" s="22" t="str">
        <f>IF(C1745="","",C1745&amp;I1745)</f>
        <v/>
      </c>
      <c r="T1745" t="str">
        <f>IF(OR(C1745="",I1745&lt;&gt;"ENTRADA"),"",TEXT(B1745,"AAMMDD")&amp;"-"&amp;TEXT(VALUE(SUBSTITUTE(A1745,"MOV-","")),"000"))</f>
        <v/>
      </c>
    </row>
    <row r="1746" spans="1:20">
      <c r="A1746" s="20" t="s">
        <v>2105</v>
      </c>
      <c r="H1746" s="20" t="str">
        <f>+T1746</f>
        <v/>
      </c>
      <c r="J1746" s="30"/>
      <c r="K1746" s="22" t="str">
        <f>IF(I1746="","",IF(I1746="ENTRADA",ABS(J1746),-ABS(J1746)))</f>
        <v/>
      </c>
      <c r="R1746" s="22" t="str">
        <f>IF(H1746="","",H1746&amp;I1746)</f>
        <v/>
      </c>
      <c r="S1746" s="22" t="str">
        <f>IF(C1746="","",C1746&amp;I1746)</f>
        <v/>
      </c>
      <c r="T1746" t="str">
        <f>IF(OR(C1746="",I1746&lt;&gt;"ENTRADA"),"",TEXT(B1746,"AAMMDD")&amp;"-"&amp;TEXT(VALUE(SUBSTITUTE(A1746,"MOV-","")),"000"))</f>
        <v/>
      </c>
    </row>
    <row r="1747" spans="1:20">
      <c r="A1747" s="20" t="s">
        <v>2106</v>
      </c>
      <c r="H1747" s="20" t="str">
        <f>+T1747</f>
        <v/>
      </c>
      <c r="J1747" s="30"/>
      <c r="K1747" s="22" t="str">
        <f>IF(I1747="","",IF(I1747="ENTRADA",ABS(J1747),-ABS(J1747)))</f>
        <v/>
      </c>
      <c r="R1747" s="22" t="str">
        <f>IF(H1747="","",H1747&amp;I1747)</f>
        <v/>
      </c>
      <c r="S1747" s="22" t="str">
        <f>IF(C1747="","",C1747&amp;I1747)</f>
        <v/>
      </c>
      <c r="T1747" t="str">
        <f>IF(OR(C1747="",I1747&lt;&gt;"ENTRADA"),"",TEXT(B1747,"AAMMDD")&amp;"-"&amp;TEXT(VALUE(SUBSTITUTE(A1747,"MOV-","")),"000"))</f>
        <v/>
      </c>
    </row>
    <row r="1748" spans="1:20">
      <c r="A1748" s="20" t="s">
        <v>2107</v>
      </c>
      <c r="H1748" s="20" t="str">
        <f>+T1748</f>
        <v/>
      </c>
      <c r="J1748" s="30"/>
      <c r="K1748" s="22" t="str">
        <f>IF(I1748="","",IF(I1748="ENTRADA",ABS(J1748),-ABS(J1748)))</f>
        <v/>
      </c>
      <c r="R1748" s="22" t="str">
        <f>IF(H1748="","",H1748&amp;I1748)</f>
        <v/>
      </c>
      <c r="S1748" s="22" t="str">
        <f>IF(C1748="","",C1748&amp;I1748)</f>
        <v/>
      </c>
      <c r="T1748" t="str">
        <f>IF(OR(C1748="",I1748&lt;&gt;"ENTRADA"),"",TEXT(B1748,"AAMMDD")&amp;"-"&amp;TEXT(VALUE(SUBSTITUTE(A1748,"MOV-","")),"000"))</f>
        <v/>
      </c>
    </row>
    <row r="1749" spans="1:20">
      <c r="A1749" s="20" t="s">
        <v>2108</v>
      </c>
      <c r="H1749" s="20" t="str">
        <f>+T1749</f>
        <v/>
      </c>
      <c r="J1749" s="30"/>
      <c r="K1749" s="22" t="str">
        <f>IF(I1749="","",IF(I1749="ENTRADA",ABS(J1749),-ABS(J1749)))</f>
        <v/>
      </c>
      <c r="R1749" s="22" t="str">
        <f>IF(H1749="","",H1749&amp;I1749)</f>
        <v/>
      </c>
      <c r="S1749" s="22" t="str">
        <f>IF(C1749="","",C1749&amp;I1749)</f>
        <v/>
      </c>
      <c r="T1749" t="str">
        <f>IF(OR(C1749="",I1749&lt;&gt;"ENTRADA"),"",TEXT(B1749,"AAMMDD")&amp;"-"&amp;TEXT(VALUE(SUBSTITUTE(A1749,"MOV-","")),"000"))</f>
        <v/>
      </c>
    </row>
    <row r="1750" spans="1:20">
      <c r="A1750" s="20" t="s">
        <v>2109</v>
      </c>
      <c r="H1750" s="20" t="str">
        <f>+T1750</f>
        <v/>
      </c>
      <c r="J1750" s="30"/>
      <c r="K1750" s="22" t="str">
        <f>IF(I1750="","",IF(I1750="ENTRADA",ABS(J1750),-ABS(J1750)))</f>
        <v/>
      </c>
      <c r="R1750" s="22" t="str">
        <f>IF(H1750="","",H1750&amp;I1750)</f>
        <v/>
      </c>
      <c r="S1750" s="22" t="str">
        <f>IF(C1750="","",C1750&amp;I1750)</f>
        <v/>
      </c>
      <c r="T1750" t="str">
        <f>IF(OR(C1750="",I1750&lt;&gt;"ENTRADA"),"",TEXT(B1750,"AAMMDD")&amp;"-"&amp;TEXT(VALUE(SUBSTITUTE(A1750,"MOV-","")),"000"))</f>
        <v/>
      </c>
    </row>
    <row r="1751" spans="1:20">
      <c r="A1751" s="20" t="s">
        <v>2110</v>
      </c>
      <c r="H1751" s="20" t="str">
        <f>+T1751</f>
        <v/>
      </c>
      <c r="J1751" s="30"/>
      <c r="K1751" s="22" t="str">
        <f>IF(I1751="","",IF(I1751="ENTRADA",ABS(J1751),-ABS(J1751)))</f>
        <v/>
      </c>
      <c r="R1751" s="22" t="str">
        <f>IF(H1751="","",H1751&amp;I1751)</f>
        <v/>
      </c>
      <c r="S1751" s="22" t="str">
        <f>IF(C1751="","",C1751&amp;I1751)</f>
        <v/>
      </c>
      <c r="T1751" t="str">
        <f>IF(OR(C1751="",I1751&lt;&gt;"ENTRADA"),"",TEXT(B1751,"AAMMDD")&amp;"-"&amp;TEXT(VALUE(SUBSTITUTE(A1751,"MOV-","")),"000"))</f>
        <v/>
      </c>
    </row>
    <row r="1752" spans="1:20">
      <c r="A1752" s="20" t="s">
        <v>2111</v>
      </c>
      <c r="H1752" s="20" t="str">
        <f>+T1752</f>
        <v/>
      </c>
      <c r="J1752" s="30"/>
      <c r="K1752" s="22" t="str">
        <f>IF(I1752="","",IF(I1752="ENTRADA",ABS(J1752),-ABS(J1752)))</f>
        <v/>
      </c>
      <c r="R1752" s="22" t="str">
        <f>IF(H1752="","",H1752&amp;I1752)</f>
        <v/>
      </c>
      <c r="S1752" s="22" t="str">
        <f>IF(C1752="","",C1752&amp;I1752)</f>
        <v/>
      </c>
      <c r="T1752" t="str">
        <f>IF(OR(C1752="",I1752&lt;&gt;"ENTRADA"),"",TEXT(B1752,"AAMMDD")&amp;"-"&amp;TEXT(VALUE(SUBSTITUTE(A1752,"MOV-","")),"000"))</f>
        <v/>
      </c>
    </row>
    <row r="1753" spans="1:20">
      <c r="A1753" s="20" t="s">
        <v>2112</v>
      </c>
      <c r="H1753" s="20" t="str">
        <f>+T1753</f>
        <v/>
      </c>
      <c r="J1753" s="30"/>
      <c r="K1753" s="22" t="str">
        <f>IF(I1753="","",IF(I1753="ENTRADA",ABS(J1753),-ABS(J1753)))</f>
        <v/>
      </c>
      <c r="R1753" s="22" t="str">
        <f>IF(H1753="","",H1753&amp;I1753)</f>
        <v/>
      </c>
      <c r="S1753" s="22" t="str">
        <f>IF(C1753="","",C1753&amp;I1753)</f>
        <v/>
      </c>
      <c r="T1753" t="str">
        <f>IF(OR(C1753="",I1753&lt;&gt;"ENTRADA"),"",TEXT(B1753,"AAMMDD")&amp;"-"&amp;TEXT(VALUE(SUBSTITUTE(A1753,"MOV-","")),"000"))</f>
        <v/>
      </c>
    </row>
    <row r="1754" spans="1:20">
      <c r="A1754" s="20" t="s">
        <v>2113</v>
      </c>
      <c r="H1754" s="20" t="str">
        <f>+T1754</f>
        <v/>
      </c>
      <c r="J1754" s="30"/>
      <c r="K1754" s="22" t="str">
        <f>IF(I1754="","",IF(I1754="ENTRADA",ABS(J1754),-ABS(J1754)))</f>
        <v/>
      </c>
      <c r="R1754" s="22" t="str">
        <f>IF(H1754="","",H1754&amp;I1754)</f>
        <v/>
      </c>
      <c r="S1754" s="22" t="str">
        <f>IF(C1754="","",C1754&amp;I1754)</f>
        <v/>
      </c>
      <c r="T1754" t="str">
        <f>IF(OR(C1754="",I1754&lt;&gt;"ENTRADA"),"",TEXT(B1754,"AAMMDD")&amp;"-"&amp;TEXT(VALUE(SUBSTITUTE(A1754,"MOV-","")),"000"))</f>
        <v/>
      </c>
    </row>
    <row r="1755" spans="1:20">
      <c r="A1755" s="20" t="s">
        <v>2114</v>
      </c>
      <c r="H1755" s="20" t="str">
        <f>+T1755</f>
        <v/>
      </c>
      <c r="J1755" s="30"/>
      <c r="K1755" s="22" t="str">
        <f>IF(I1755="","",IF(I1755="ENTRADA",ABS(J1755),-ABS(J1755)))</f>
        <v/>
      </c>
      <c r="R1755" s="22" t="str">
        <f>IF(H1755="","",H1755&amp;I1755)</f>
        <v/>
      </c>
      <c r="S1755" s="22" t="str">
        <f>IF(C1755="","",C1755&amp;I1755)</f>
        <v/>
      </c>
      <c r="T1755" t="str">
        <f>IF(OR(C1755="",I1755&lt;&gt;"ENTRADA"),"",TEXT(B1755,"AAMMDD")&amp;"-"&amp;TEXT(VALUE(SUBSTITUTE(A1755,"MOV-","")),"000"))</f>
        <v/>
      </c>
    </row>
    <row r="1756" spans="1:20">
      <c r="A1756" s="20" t="s">
        <v>2115</v>
      </c>
      <c r="H1756" s="20" t="str">
        <f>+T1756</f>
        <v/>
      </c>
      <c r="J1756" s="30"/>
      <c r="K1756" s="22" t="str">
        <f>IF(I1756="","",IF(I1756="ENTRADA",ABS(J1756),-ABS(J1756)))</f>
        <v/>
      </c>
      <c r="R1756" s="22" t="str">
        <f>IF(H1756="","",H1756&amp;I1756)</f>
        <v/>
      </c>
      <c r="S1756" s="22" t="str">
        <f>IF(C1756="","",C1756&amp;I1756)</f>
        <v/>
      </c>
      <c r="T1756" t="str">
        <f>IF(OR(C1756="",I1756&lt;&gt;"ENTRADA"),"",TEXT(B1756,"AAMMDD")&amp;"-"&amp;TEXT(VALUE(SUBSTITUTE(A1756,"MOV-","")),"000"))</f>
        <v/>
      </c>
    </row>
    <row r="1757" spans="1:20">
      <c r="A1757" s="20" t="s">
        <v>2116</v>
      </c>
      <c r="H1757" s="20" t="str">
        <f>+T1757</f>
        <v/>
      </c>
      <c r="J1757" s="30"/>
      <c r="K1757" s="22" t="str">
        <f>IF(I1757="","",IF(I1757="ENTRADA",ABS(J1757),-ABS(J1757)))</f>
        <v/>
      </c>
      <c r="R1757" s="22" t="str">
        <f>IF(H1757="","",H1757&amp;I1757)</f>
        <v/>
      </c>
      <c r="S1757" s="22" t="str">
        <f>IF(C1757="","",C1757&amp;I1757)</f>
        <v/>
      </c>
      <c r="T1757" t="str">
        <f>IF(OR(C1757="",I1757&lt;&gt;"ENTRADA"),"",TEXT(B1757,"AAMMDD")&amp;"-"&amp;TEXT(VALUE(SUBSTITUTE(A1757,"MOV-","")),"000"))</f>
        <v/>
      </c>
    </row>
    <row r="1758" spans="1:20">
      <c r="A1758" s="20" t="s">
        <v>2117</v>
      </c>
      <c r="H1758" s="20" t="str">
        <f>+T1758</f>
        <v/>
      </c>
      <c r="J1758" s="30"/>
      <c r="K1758" s="22" t="str">
        <f>IF(I1758="","",IF(I1758="ENTRADA",ABS(J1758),-ABS(J1758)))</f>
        <v/>
      </c>
      <c r="R1758" s="22" t="str">
        <f>IF(H1758="","",H1758&amp;I1758)</f>
        <v/>
      </c>
      <c r="S1758" s="22" t="str">
        <f>IF(C1758="","",C1758&amp;I1758)</f>
        <v/>
      </c>
      <c r="T1758" t="str">
        <f>IF(OR(C1758="",I1758&lt;&gt;"ENTRADA"),"",TEXT(B1758,"AAMMDD")&amp;"-"&amp;TEXT(VALUE(SUBSTITUTE(A1758,"MOV-","")),"000"))</f>
        <v/>
      </c>
    </row>
    <row r="1759" spans="1:20">
      <c r="A1759" s="20" t="s">
        <v>2118</v>
      </c>
      <c r="H1759" s="20" t="str">
        <f>+T1759</f>
        <v/>
      </c>
      <c r="J1759" s="30"/>
      <c r="K1759" s="22" t="str">
        <f>IF(I1759="","",IF(I1759="ENTRADA",ABS(J1759),-ABS(J1759)))</f>
        <v/>
      </c>
      <c r="R1759" s="22" t="str">
        <f>IF(H1759="","",H1759&amp;I1759)</f>
        <v/>
      </c>
      <c r="S1759" s="22" t="str">
        <f>IF(C1759="","",C1759&amp;I1759)</f>
        <v/>
      </c>
      <c r="T1759" t="str">
        <f>IF(OR(C1759="",I1759&lt;&gt;"ENTRADA"),"",TEXT(B1759,"AAMMDD")&amp;"-"&amp;TEXT(VALUE(SUBSTITUTE(A1759,"MOV-","")),"000"))</f>
        <v/>
      </c>
    </row>
    <row r="1760" spans="1:20">
      <c r="A1760" s="20" t="s">
        <v>2119</v>
      </c>
      <c r="H1760" s="20" t="str">
        <f>+T1760</f>
        <v/>
      </c>
      <c r="J1760" s="30"/>
      <c r="K1760" s="22" t="str">
        <f>IF(I1760="","",IF(I1760="ENTRADA",ABS(J1760),-ABS(J1760)))</f>
        <v/>
      </c>
      <c r="R1760" s="22" t="str">
        <f>IF(H1760="","",H1760&amp;I1760)</f>
        <v/>
      </c>
      <c r="S1760" s="22" t="str">
        <f>IF(C1760="","",C1760&amp;I1760)</f>
        <v/>
      </c>
      <c r="T1760" t="str">
        <f>IF(OR(C1760="",I1760&lt;&gt;"ENTRADA"),"",TEXT(B1760,"AAMMDD")&amp;"-"&amp;TEXT(VALUE(SUBSTITUTE(A1760,"MOV-","")),"000"))</f>
        <v/>
      </c>
    </row>
    <row r="1761" spans="1:20">
      <c r="A1761" s="20" t="s">
        <v>2120</v>
      </c>
      <c r="H1761" s="20" t="str">
        <f>+T1761</f>
        <v/>
      </c>
      <c r="J1761" s="30"/>
      <c r="K1761" s="22" t="str">
        <f>IF(I1761="","",IF(I1761="ENTRADA",ABS(J1761),-ABS(J1761)))</f>
        <v/>
      </c>
      <c r="R1761" s="22" t="str">
        <f>IF(H1761="","",H1761&amp;I1761)</f>
        <v/>
      </c>
      <c r="S1761" s="22" t="str">
        <f>IF(C1761="","",C1761&amp;I1761)</f>
        <v/>
      </c>
      <c r="T1761" t="str">
        <f>IF(OR(C1761="",I1761&lt;&gt;"ENTRADA"),"",TEXT(B1761,"AAMMDD")&amp;"-"&amp;TEXT(VALUE(SUBSTITUTE(A1761,"MOV-","")),"000"))</f>
        <v/>
      </c>
    </row>
    <row r="1762" spans="1:20">
      <c r="A1762" s="20" t="s">
        <v>2121</v>
      </c>
      <c r="H1762" s="20" t="str">
        <f>+T1762</f>
        <v/>
      </c>
      <c r="J1762" s="30"/>
      <c r="K1762" s="22" t="str">
        <f>IF(I1762="","",IF(I1762="ENTRADA",ABS(J1762),-ABS(J1762)))</f>
        <v/>
      </c>
      <c r="R1762" s="22" t="str">
        <f>IF(H1762="","",H1762&amp;I1762)</f>
        <v/>
      </c>
      <c r="S1762" s="22" t="str">
        <f>IF(C1762="","",C1762&amp;I1762)</f>
        <v/>
      </c>
      <c r="T1762" t="str">
        <f>IF(OR(C1762="",I1762&lt;&gt;"ENTRADA"),"",TEXT(B1762,"AAMMDD")&amp;"-"&amp;TEXT(VALUE(SUBSTITUTE(A1762,"MOV-","")),"000"))</f>
        <v/>
      </c>
    </row>
    <row r="1763" spans="1:20">
      <c r="A1763" s="20" t="s">
        <v>2122</v>
      </c>
      <c r="H1763" s="20" t="str">
        <f>+T1763</f>
        <v/>
      </c>
      <c r="J1763" s="30"/>
      <c r="K1763" s="22" t="str">
        <f>IF(I1763="","",IF(I1763="ENTRADA",ABS(J1763),-ABS(J1763)))</f>
        <v/>
      </c>
      <c r="R1763" s="22" t="str">
        <f>IF(H1763="","",H1763&amp;I1763)</f>
        <v/>
      </c>
      <c r="S1763" s="22" t="str">
        <f>IF(C1763="","",C1763&amp;I1763)</f>
        <v/>
      </c>
      <c r="T1763" t="str">
        <f>IF(OR(C1763="",I1763&lt;&gt;"ENTRADA"),"",TEXT(B1763,"AAMMDD")&amp;"-"&amp;TEXT(VALUE(SUBSTITUTE(A1763,"MOV-","")),"000"))</f>
        <v/>
      </c>
    </row>
    <row r="1764" spans="1:20">
      <c r="A1764" s="20" t="s">
        <v>2123</v>
      </c>
      <c r="H1764" s="20" t="str">
        <f>+T1764</f>
        <v/>
      </c>
      <c r="J1764" s="30"/>
      <c r="K1764" s="22" t="str">
        <f>IF(I1764="","",IF(I1764="ENTRADA",ABS(J1764),-ABS(J1764)))</f>
        <v/>
      </c>
      <c r="R1764" s="22" t="str">
        <f>IF(H1764="","",H1764&amp;I1764)</f>
        <v/>
      </c>
      <c r="S1764" s="22" t="str">
        <f>IF(C1764="","",C1764&amp;I1764)</f>
        <v/>
      </c>
      <c r="T1764" t="str">
        <f>IF(OR(C1764="",I1764&lt;&gt;"ENTRADA"),"",TEXT(B1764,"AAMMDD")&amp;"-"&amp;TEXT(VALUE(SUBSTITUTE(A1764,"MOV-","")),"000"))</f>
        <v/>
      </c>
    </row>
    <row r="1765" spans="1:20">
      <c r="A1765" s="20" t="s">
        <v>2124</v>
      </c>
      <c r="H1765" s="20" t="str">
        <f>+T1765</f>
        <v/>
      </c>
      <c r="J1765" s="30"/>
      <c r="K1765" s="22" t="str">
        <f>IF(I1765="","",IF(I1765="ENTRADA",ABS(J1765),-ABS(J1765)))</f>
        <v/>
      </c>
      <c r="R1765" s="22" t="str">
        <f>IF(H1765="","",H1765&amp;I1765)</f>
        <v/>
      </c>
      <c r="S1765" s="22" t="str">
        <f>IF(C1765="","",C1765&amp;I1765)</f>
        <v/>
      </c>
      <c r="T1765" t="str">
        <f>IF(OR(C1765="",I1765&lt;&gt;"ENTRADA"),"",TEXT(B1765,"AAMMDD")&amp;"-"&amp;TEXT(VALUE(SUBSTITUTE(A1765,"MOV-","")),"000"))</f>
        <v/>
      </c>
    </row>
    <row r="1766" spans="1:20">
      <c r="A1766" s="20" t="s">
        <v>2125</v>
      </c>
      <c r="H1766" s="20" t="str">
        <f>+T1766</f>
        <v/>
      </c>
      <c r="J1766" s="30"/>
      <c r="K1766" s="22" t="str">
        <f>IF(I1766="","",IF(I1766="ENTRADA",ABS(J1766),-ABS(J1766)))</f>
        <v/>
      </c>
      <c r="R1766" s="22" t="str">
        <f>IF(H1766="","",H1766&amp;I1766)</f>
        <v/>
      </c>
      <c r="S1766" s="22" t="str">
        <f>IF(C1766="","",C1766&amp;I1766)</f>
        <v/>
      </c>
      <c r="T1766" t="str">
        <f>IF(OR(C1766="",I1766&lt;&gt;"ENTRADA"),"",TEXT(B1766,"AAMMDD")&amp;"-"&amp;TEXT(VALUE(SUBSTITUTE(A1766,"MOV-","")),"000"))</f>
        <v/>
      </c>
    </row>
    <row r="1767" spans="1:20">
      <c r="A1767" s="20" t="s">
        <v>2126</v>
      </c>
      <c r="H1767" s="20" t="str">
        <f>+T1767</f>
        <v/>
      </c>
      <c r="J1767" s="30"/>
      <c r="K1767" s="22" t="str">
        <f>IF(I1767="","",IF(I1767="ENTRADA",ABS(J1767),-ABS(J1767)))</f>
        <v/>
      </c>
      <c r="R1767" s="22" t="str">
        <f>IF(H1767="","",H1767&amp;I1767)</f>
        <v/>
      </c>
      <c r="S1767" s="22" t="str">
        <f>IF(C1767="","",C1767&amp;I1767)</f>
        <v/>
      </c>
      <c r="T1767" t="str">
        <f>IF(OR(C1767="",I1767&lt;&gt;"ENTRADA"),"",TEXT(B1767,"AAMMDD")&amp;"-"&amp;TEXT(VALUE(SUBSTITUTE(A1767,"MOV-","")),"000"))</f>
        <v/>
      </c>
    </row>
    <row r="1768" spans="1:20">
      <c r="A1768" s="20" t="s">
        <v>2127</v>
      </c>
      <c r="H1768" s="20" t="str">
        <f>+T1768</f>
        <v/>
      </c>
      <c r="J1768" s="30"/>
      <c r="K1768" s="22" t="str">
        <f>IF(I1768="","",IF(I1768="ENTRADA",ABS(J1768),-ABS(J1768)))</f>
        <v/>
      </c>
      <c r="R1768" s="22" t="str">
        <f>IF(H1768="","",H1768&amp;I1768)</f>
        <v/>
      </c>
      <c r="S1768" s="22" t="str">
        <f>IF(C1768="","",C1768&amp;I1768)</f>
        <v/>
      </c>
      <c r="T1768" t="str">
        <f>IF(OR(C1768="",I1768&lt;&gt;"ENTRADA"),"",TEXT(B1768,"AAMMDD")&amp;"-"&amp;TEXT(VALUE(SUBSTITUTE(A1768,"MOV-","")),"000"))</f>
        <v/>
      </c>
    </row>
    <row r="1769" spans="1:20">
      <c r="A1769" s="20" t="s">
        <v>2128</v>
      </c>
      <c r="H1769" s="20" t="str">
        <f>+T1769</f>
        <v/>
      </c>
      <c r="J1769" s="30"/>
      <c r="K1769" s="22" t="str">
        <f>IF(I1769="","",IF(I1769="ENTRADA",ABS(J1769),-ABS(J1769)))</f>
        <v/>
      </c>
      <c r="R1769" s="22" t="str">
        <f>IF(H1769="","",H1769&amp;I1769)</f>
        <v/>
      </c>
      <c r="S1769" s="22" t="str">
        <f>IF(C1769="","",C1769&amp;I1769)</f>
        <v/>
      </c>
      <c r="T1769" t="str">
        <f>IF(OR(C1769="",I1769&lt;&gt;"ENTRADA"),"",TEXT(B1769,"AAMMDD")&amp;"-"&amp;TEXT(VALUE(SUBSTITUTE(A1769,"MOV-","")),"000"))</f>
        <v/>
      </c>
    </row>
    <row r="1770" spans="1:20">
      <c r="A1770" s="20" t="s">
        <v>2129</v>
      </c>
      <c r="H1770" s="20" t="str">
        <f>+T1770</f>
        <v/>
      </c>
      <c r="J1770" s="30"/>
      <c r="K1770" s="22" t="str">
        <f>IF(I1770="","",IF(I1770="ENTRADA",ABS(J1770),-ABS(J1770)))</f>
        <v/>
      </c>
      <c r="R1770" s="22" t="str">
        <f>IF(H1770="","",H1770&amp;I1770)</f>
        <v/>
      </c>
      <c r="S1770" s="22" t="str">
        <f>IF(C1770="","",C1770&amp;I1770)</f>
        <v/>
      </c>
      <c r="T1770" t="str">
        <f>IF(OR(C1770="",I1770&lt;&gt;"ENTRADA"),"",TEXT(B1770,"AAMMDD")&amp;"-"&amp;TEXT(VALUE(SUBSTITUTE(A1770,"MOV-","")),"000"))</f>
        <v/>
      </c>
    </row>
    <row r="1771" spans="1:20">
      <c r="A1771" s="20" t="s">
        <v>2130</v>
      </c>
      <c r="H1771" s="20" t="str">
        <f>+T1771</f>
        <v/>
      </c>
      <c r="J1771" s="30"/>
      <c r="K1771" s="22" t="str">
        <f>IF(I1771="","",IF(I1771="ENTRADA",ABS(J1771),-ABS(J1771)))</f>
        <v/>
      </c>
      <c r="R1771" s="22" t="str">
        <f>IF(H1771="","",H1771&amp;I1771)</f>
        <v/>
      </c>
      <c r="S1771" s="22" t="str">
        <f>IF(C1771="","",C1771&amp;I1771)</f>
        <v/>
      </c>
      <c r="T1771" t="str">
        <f>IF(OR(C1771="",I1771&lt;&gt;"ENTRADA"),"",TEXT(B1771,"AAMMDD")&amp;"-"&amp;TEXT(VALUE(SUBSTITUTE(A1771,"MOV-","")),"000"))</f>
        <v/>
      </c>
    </row>
    <row r="1772" spans="1:20">
      <c r="A1772" s="20" t="s">
        <v>2131</v>
      </c>
      <c r="H1772" s="20" t="str">
        <f>+T1772</f>
        <v/>
      </c>
      <c r="J1772" s="30"/>
      <c r="K1772" s="22" t="str">
        <f>IF(I1772="","",IF(I1772="ENTRADA",ABS(J1772),-ABS(J1772)))</f>
        <v/>
      </c>
      <c r="R1772" s="22" t="str">
        <f>IF(H1772="","",H1772&amp;I1772)</f>
        <v/>
      </c>
      <c r="S1772" s="22" t="str">
        <f>IF(C1772="","",C1772&amp;I1772)</f>
        <v/>
      </c>
      <c r="T1772" t="str">
        <f>IF(OR(C1772="",I1772&lt;&gt;"ENTRADA"),"",TEXT(B1772,"AAMMDD")&amp;"-"&amp;TEXT(VALUE(SUBSTITUTE(A1772,"MOV-","")),"000"))</f>
        <v/>
      </c>
    </row>
    <row r="1773" spans="1:20">
      <c r="A1773" s="20" t="s">
        <v>2132</v>
      </c>
      <c r="H1773" s="20" t="str">
        <f>+T1773</f>
        <v/>
      </c>
      <c r="J1773" s="30"/>
      <c r="K1773" s="22" t="str">
        <f>IF(I1773="","",IF(I1773="ENTRADA",ABS(J1773),-ABS(J1773)))</f>
        <v/>
      </c>
      <c r="R1773" s="22" t="str">
        <f>IF(H1773="","",H1773&amp;I1773)</f>
        <v/>
      </c>
      <c r="S1773" s="22" t="str">
        <f>IF(C1773="","",C1773&amp;I1773)</f>
        <v/>
      </c>
      <c r="T1773" t="str">
        <f>IF(OR(C1773="",I1773&lt;&gt;"ENTRADA"),"",TEXT(B1773,"AAMMDD")&amp;"-"&amp;TEXT(VALUE(SUBSTITUTE(A1773,"MOV-","")),"000"))</f>
        <v/>
      </c>
    </row>
    <row r="1774" spans="1:20">
      <c r="A1774" s="20" t="s">
        <v>2133</v>
      </c>
      <c r="H1774" s="20" t="str">
        <f>+T1774</f>
        <v/>
      </c>
      <c r="J1774" s="30"/>
      <c r="K1774" s="22" t="str">
        <f>IF(I1774="","",IF(I1774="ENTRADA",ABS(J1774),-ABS(J1774)))</f>
        <v/>
      </c>
      <c r="R1774" s="22" t="str">
        <f>IF(H1774="","",H1774&amp;I1774)</f>
        <v/>
      </c>
      <c r="S1774" s="22" t="str">
        <f>IF(C1774="","",C1774&amp;I1774)</f>
        <v/>
      </c>
      <c r="T1774" t="str">
        <f>IF(OR(C1774="",I1774&lt;&gt;"ENTRADA"),"",TEXT(B1774,"AAMMDD")&amp;"-"&amp;TEXT(VALUE(SUBSTITUTE(A1774,"MOV-","")),"000"))</f>
        <v/>
      </c>
    </row>
    <row r="1775" spans="1:20">
      <c r="A1775" s="20" t="s">
        <v>2134</v>
      </c>
      <c r="H1775" s="20" t="str">
        <f>+T1775</f>
        <v/>
      </c>
      <c r="J1775" s="30"/>
      <c r="K1775" s="22" t="str">
        <f>IF(I1775="","",IF(I1775="ENTRADA",ABS(J1775),-ABS(J1775)))</f>
        <v/>
      </c>
      <c r="R1775" s="22" t="str">
        <f>IF(H1775="","",H1775&amp;I1775)</f>
        <v/>
      </c>
      <c r="S1775" s="22" t="str">
        <f>IF(C1775="","",C1775&amp;I1775)</f>
        <v/>
      </c>
      <c r="T1775" t="str">
        <f>IF(OR(C1775="",I1775&lt;&gt;"ENTRADA"),"",TEXT(B1775,"AAMMDD")&amp;"-"&amp;TEXT(VALUE(SUBSTITUTE(A1775,"MOV-","")),"000"))</f>
        <v/>
      </c>
    </row>
    <row r="1776" spans="1:20">
      <c r="A1776" s="20" t="s">
        <v>2135</v>
      </c>
      <c r="H1776" s="20" t="str">
        <f>+T1776</f>
        <v/>
      </c>
      <c r="J1776" s="30"/>
      <c r="K1776" s="22" t="str">
        <f>IF(I1776="","",IF(I1776="ENTRADA",ABS(J1776),-ABS(J1776)))</f>
        <v/>
      </c>
      <c r="R1776" s="22" t="str">
        <f>IF(H1776="","",H1776&amp;I1776)</f>
        <v/>
      </c>
      <c r="S1776" s="22" t="str">
        <f>IF(C1776="","",C1776&amp;I1776)</f>
        <v/>
      </c>
      <c r="T1776" t="str">
        <f>IF(OR(C1776="",I1776&lt;&gt;"ENTRADA"),"",TEXT(B1776,"AAMMDD")&amp;"-"&amp;TEXT(VALUE(SUBSTITUTE(A1776,"MOV-","")),"000"))</f>
        <v/>
      </c>
    </row>
    <row r="1777" spans="1:20">
      <c r="A1777" s="20" t="s">
        <v>2136</v>
      </c>
      <c r="H1777" s="20" t="str">
        <f>+T1777</f>
        <v/>
      </c>
      <c r="J1777" s="30"/>
      <c r="K1777" s="22" t="str">
        <f>IF(I1777="","",IF(I1777="ENTRADA",ABS(J1777),-ABS(J1777)))</f>
        <v/>
      </c>
      <c r="R1777" s="22" t="str">
        <f>IF(H1777="","",H1777&amp;I1777)</f>
        <v/>
      </c>
      <c r="S1777" s="22" t="str">
        <f>IF(C1777="","",C1777&amp;I1777)</f>
        <v/>
      </c>
      <c r="T1777" t="str">
        <f>IF(OR(C1777="",I1777&lt;&gt;"ENTRADA"),"",TEXT(B1777,"AAMMDD")&amp;"-"&amp;TEXT(VALUE(SUBSTITUTE(A1777,"MOV-","")),"000"))</f>
        <v/>
      </c>
    </row>
    <row r="1778" spans="1:20">
      <c r="A1778" s="20" t="s">
        <v>2137</v>
      </c>
      <c r="H1778" s="20" t="str">
        <f>+T1778</f>
        <v/>
      </c>
      <c r="J1778" s="30"/>
      <c r="K1778" s="22" t="str">
        <f>IF(I1778="","",IF(I1778="ENTRADA",ABS(J1778),-ABS(J1778)))</f>
        <v/>
      </c>
      <c r="R1778" s="22" t="str">
        <f>IF(H1778="","",H1778&amp;I1778)</f>
        <v/>
      </c>
      <c r="S1778" s="22" t="str">
        <f>IF(C1778="","",C1778&amp;I1778)</f>
        <v/>
      </c>
      <c r="T1778" t="str">
        <f>IF(OR(C1778="",I1778&lt;&gt;"ENTRADA"),"",TEXT(B1778,"AAMMDD")&amp;"-"&amp;TEXT(VALUE(SUBSTITUTE(A1778,"MOV-","")),"000"))</f>
        <v/>
      </c>
    </row>
    <row r="1779" spans="1:20">
      <c r="A1779" s="20" t="s">
        <v>2138</v>
      </c>
      <c r="H1779" s="20" t="str">
        <f>+T1779</f>
        <v/>
      </c>
      <c r="J1779" s="30"/>
      <c r="K1779" s="22" t="str">
        <f>IF(I1779="","",IF(I1779="ENTRADA",ABS(J1779),-ABS(J1779)))</f>
        <v/>
      </c>
      <c r="R1779" s="22" t="str">
        <f>IF(H1779="","",H1779&amp;I1779)</f>
        <v/>
      </c>
      <c r="S1779" s="22" t="str">
        <f>IF(C1779="","",C1779&amp;I1779)</f>
        <v/>
      </c>
      <c r="T1779" t="str">
        <f>IF(OR(C1779="",I1779&lt;&gt;"ENTRADA"),"",TEXT(B1779,"AAMMDD")&amp;"-"&amp;TEXT(VALUE(SUBSTITUTE(A1779,"MOV-","")),"000"))</f>
        <v/>
      </c>
    </row>
    <row r="1780" spans="1:20">
      <c r="A1780" s="20" t="s">
        <v>2139</v>
      </c>
      <c r="H1780" s="20" t="str">
        <f>+T1780</f>
        <v/>
      </c>
      <c r="J1780" s="30"/>
      <c r="K1780" s="22" t="str">
        <f>IF(I1780="","",IF(I1780="ENTRADA",ABS(J1780),-ABS(J1780)))</f>
        <v/>
      </c>
      <c r="R1780" s="22" t="str">
        <f>IF(H1780="","",H1780&amp;I1780)</f>
        <v/>
      </c>
      <c r="S1780" s="22" t="str">
        <f>IF(C1780="","",C1780&amp;I1780)</f>
        <v/>
      </c>
      <c r="T1780" t="str">
        <f>IF(OR(C1780="",I1780&lt;&gt;"ENTRADA"),"",TEXT(B1780,"AAMMDD")&amp;"-"&amp;TEXT(VALUE(SUBSTITUTE(A1780,"MOV-","")),"000"))</f>
        <v/>
      </c>
    </row>
    <row r="1781" spans="1:20">
      <c r="A1781" s="20" t="s">
        <v>2140</v>
      </c>
      <c r="H1781" s="20" t="str">
        <f>+T1781</f>
        <v/>
      </c>
      <c r="J1781" s="30"/>
      <c r="K1781" s="22" t="str">
        <f>IF(I1781="","",IF(I1781="ENTRADA",ABS(J1781),-ABS(J1781)))</f>
        <v/>
      </c>
      <c r="R1781" s="22" t="str">
        <f>IF(H1781="","",H1781&amp;I1781)</f>
        <v/>
      </c>
      <c r="S1781" s="22" t="str">
        <f>IF(C1781="","",C1781&amp;I1781)</f>
        <v/>
      </c>
      <c r="T1781" t="str">
        <f>IF(OR(C1781="",I1781&lt;&gt;"ENTRADA"),"",TEXT(B1781,"AAMMDD")&amp;"-"&amp;TEXT(VALUE(SUBSTITUTE(A1781,"MOV-","")),"000"))</f>
        <v/>
      </c>
    </row>
    <row r="1782" spans="1:20">
      <c r="A1782" s="20" t="s">
        <v>2141</v>
      </c>
      <c r="H1782" s="20" t="str">
        <f>+T1782</f>
        <v/>
      </c>
      <c r="J1782" s="30"/>
      <c r="K1782" s="22" t="str">
        <f>IF(I1782="","",IF(I1782="ENTRADA",ABS(J1782),-ABS(J1782)))</f>
        <v/>
      </c>
      <c r="R1782" s="22" t="str">
        <f>IF(H1782="","",H1782&amp;I1782)</f>
        <v/>
      </c>
      <c r="S1782" s="22" t="str">
        <f>IF(C1782="","",C1782&amp;I1782)</f>
        <v/>
      </c>
      <c r="T1782" t="str">
        <f>IF(OR(C1782="",I1782&lt;&gt;"ENTRADA"),"",TEXT(B1782,"AAMMDD")&amp;"-"&amp;TEXT(VALUE(SUBSTITUTE(A1782,"MOV-","")),"000"))</f>
        <v/>
      </c>
    </row>
    <row r="1783" spans="1:20">
      <c r="A1783" s="20" t="s">
        <v>2142</v>
      </c>
      <c r="H1783" s="20" t="str">
        <f>+T1783</f>
        <v/>
      </c>
      <c r="J1783" s="30"/>
      <c r="K1783" s="22" t="str">
        <f>IF(I1783="","",IF(I1783="ENTRADA",ABS(J1783),-ABS(J1783)))</f>
        <v/>
      </c>
      <c r="R1783" s="22" t="str">
        <f>IF(H1783="","",H1783&amp;I1783)</f>
        <v/>
      </c>
      <c r="S1783" s="22" t="str">
        <f>IF(C1783="","",C1783&amp;I1783)</f>
        <v/>
      </c>
      <c r="T1783" t="str">
        <f>IF(OR(C1783="",I1783&lt;&gt;"ENTRADA"),"",TEXT(B1783,"AAMMDD")&amp;"-"&amp;TEXT(VALUE(SUBSTITUTE(A1783,"MOV-","")),"000"))</f>
        <v/>
      </c>
    </row>
    <row r="1784" spans="1:20">
      <c r="A1784" s="20" t="s">
        <v>2143</v>
      </c>
      <c r="H1784" s="20" t="str">
        <f>+T1784</f>
        <v/>
      </c>
      <c r="J1784" s="30"/>
      <c r="K1784" s="22" t="str">
        <f>IF(I1784="","",IF(I1784="ENTRADA",ABS(J1784),-ABS(J1784)))</f>
        <v/>
      </c>
      <c r="R1784" s="22" t="str">
        <f>IF(H1784="","",H1784&amp;I1784)</f>
        <v/>
      </c>
      <c r="S1784" s="22" t="str">
        <f>IF(C1784="","",C1784&amp;I1784)</f>
        <v/>
      </c>
      <c r="T1784" t="str">
        <f>IF(OR(C1784="",I1784&lt;&gt;"ENTRADA"),"",TEXT(B1784,"AAMMDD")&amp;"-"&amp;TEXT(VALUE(SUBSTITUTE(A1784,"MOV-","")),"000"))</f>
        <v/>
      </c>
    </row>
    <row r="1785" spans="1:20">
      <c r="A1785" s="20" t="s">
        <v>2144</v>
      </c>
      <c r="H1785" s="20" t="str">
        <f>+T1785</f>
        <v/>
      </c>
      <c r="J1785" s="30"/>
      <c r="K1785" s="22" t="str">
        <f>IF(I1785="","",IF(I1785="ENTRADA",ABS(J1785),-ABS(J1785)))</f>
        <v/>
      </c>
      <c r="R1785" s="22" t="str">
        <f>IF(H1785="","",H1785&amp;I1785)</f>
        <v/>
      </c>
      <c r="S1785" s="22" t="str">
        <f>IF(C1785="","",C1785&amp;I1785)</f>
        <v/>
      </c>
      <c r="T1785" t="str">
        <f>IF(OR(C1785="",I1785&lt;&gt;"ENTRADA"),"",TEXT(B1785,"AAMMDD")&amp;"-"&amp;TEXT(VALUE(SUBSTITUTE(A1785,"MOV-","")),"000"))</f>
        <v/>
      </c>
    </row>
    <row r="1786" spans="1:20">
      <c r="A1786" s="20" t="s">
        <v>2145</v>
      </c>
      <c r="H1786" s="20" t="str">
        <f>+T1786</f>
        <v/>
      </c>
      <c r="J1786" s="30"/>
      <c r="K1786" s="22" t="str">
        <f>IF(I1786="","",IF(I1786="ENTRADA",ABS(J1786),-ABS(J1786)))</f>
        <v/>
      </c>
      <c r="R1786" s="22" t="str">
        <f>IF(H1786="","",H1786&amp;I1786)</f>
        <v/>
      </c>
      <c r="S1786" s="22" t="str">
        <f>IF(C1786="","",C1786&amp;I1786)</f>
        <v/>
      </c>
      <c r="T1786" t="str">
        <f>IF(OR(C1786="",I1786&lt;&gt;"ENTRADA"),"",TEXT(B1786,"AAMMDD")&amp;"-"&amp;TEXT(VALUE(SUBSTITUTE(A1786,"MOV-","")),"000"))</f>
        <v/>
      </c>
    </row>
    <row r="1787" spans="1:20">
      <c r="A1787" s="20" t="s">
        <v>2146</v>
      </c>
      <c r="H1787" s="20" t="str">
        <f>+T1787</f>
        <v/>
      </c>
      <c r="J1787" s="30"/>
      <c r="K1787" s="22" t="str">
        <f>IF(I1787="","",IF(I1787="ENTRADA",ABS(J1787),-ABS(J1787)))</f>
        <v/>
      </c>
      <c r="R1787" s="22" t="str">
        <f>IF(H1787="","",H1787&amp;I1787)</f>
        <v/>
      </c>
      <c r="S1787" s="22" t="str">
        <f>IF(C1787="","",C1787&amp;I1787)</f>
        <v/>
      </c>
      <c r="T1787" t="str">
        <f>IF(OR(C1787="",I1787&lt;&gt;"ENTRADA"),"",TEXT(B1787,"AAMMDD")&amp;"-"&amp;TEXT(VALUE(SUBSTITUTE(A1787,"MOV-","")),"000"))</f>
        <v/>
      </c>
    </row>
    <row r="1788" spans="1:20">
      <c r="A1788" s="20" t="s">
        <v>2147</v>
      </c>
      <c r="H1788" s="20" t="str">
        <f>+T1788</f>
        <v/>
      </c>
      <c r="J1788" s="30"/>
      <c r="K1788" s="22" t="str">
        <f>IF(I1788="","",IF(I1788="ENTRADA",ABS(J1788),-ABS(J1788)))</f>
        <v/>
      </c>
      <c r="R1788" s="22" t="str">
        <f>IF(H1788="","",H1788&amp;I1788)</f>
        <v/>
      </c>
      <c r="S1788" s="22" t="str">
        <f>IF(C1788="","",C1788&amp;I1788)</f>
        <v/>
      </c>
      <c r="T1788" t="str">
        <f>IF(OR(C1788="",I1788&lt;&gt;"ENTRADA"),"",TEXT(B1788,"AAMMDD")&amp;"-"&amp;TEXT(VALUE(SUBSTITUTE(A1788,"MOV-","")),"000"))</f>
        <v/>
      </c>
    </row>
    <row r="1789" spans="1:20">
      <c r="A1789" s="20" t="s">
        <v>2148</v>
      </c>
      <c r="H1789" s="20" t="str">
        <f>+T1789</f>
        <v/>
      </c>
      <c r="J1789" s="30"/>
      <c r="K1789" s="22" t="str">
        <f>IF(I1789="","",IF(I1789="ENTRADA",ABS(J1789),-ABS(J1789)))</f>
        <v/>
      </c>
      <c r="R1789" s="22" t="str">
        <f>IF(H1789="","",H1789&amp;I1789)</f>
        <v/>
      </c>
      <c r="S1789" s="22" t="str">
        <f>IF(C1789="","",C1789&amp;I1789)</f>
        <v/>
      </c>
      <c r="T1789" t="str">
        <f>IF(OR(C1789="",I1789&lt;&gt;"ENTRADA"),"",TEXT(B1789,"AAMMDD")&amp;"-"&amp;TEXT(VALUE(SUBSTITUTE(A1789,"MOV-","")),"000"))</f>
        <v/>
      </c>
    </row>
    <row r="1790" spans="1:20">
      <c r="A1790" s="20" t="s">
        <v>2149</v>
      </c>
      <c r="H1790" s="20" t="str">
        <f>+T1790</f>
        <v/>
      </c>
      <c r="J1790" s="30"/>
      <c r="K1790" s="22" t="str">
        <f>IF(I1790="","",IF(I1790="ENTRADA",ABS(J1790),-ABS(J1790)))</f>
        <v/>
      </c>
      <c r="R1790" s="22" t="str">
        <f>IF(H1790="","",H1790&amp;I1790)</f>
        <v/>
      </c>
      <c r="S1790" s="22" t="str">
        <f>IF(C1790="","",C1790&amp;I1790)</f>
        <v/>
      </c>
      <c r="T1790" t="str">
        <f>IF(OR(C1790="",I1790&lt;&gt;"ENTRADA"),"",TEXT(B1790,"AAMMDD")&amp;"-"&amp;TEXT(VALUE(SUBSTITUTE(A1790,"MOV-","")),"000"))</f>
        <v/>
      </c>
    </row>
    <row r="1791" spans="1:20">
      <c r="A1791" s="20" t="s">
        <v>2150</v>
      </c>
      <c r="H1791" s="20" t="str">
        <f>+T1791</f>
        <v/>
      </c>
      <c r="J1791" s="30"/>
      <c r="K1791" s="22" t="str">
        <f>IF(I1791="","",IF(I1791="ENTRADA",ABS(J1791),-ABS(J1791)))</f>
        <v/>
      </c>
      <c r="R1791" s="22" t="str">
        <f>IF(H1791="","",H1791&amp;I1791)</f>
        <v/>
      </c>
      <c r="S1791" s="22" t="str">
        <f>IF(C1791="","",C1791&amp;I1791)</f>
        <v/>
      </c>
      <c r="T1791" t="str">
        <f>IF(OR(C1791="",I1791&lt;&gt;"ENTRADA"),"",TEXT(B1791,"AAMMDD")&amp;"-"&amp;TEXT(VALUE(SUBSTITUTE(A1791,"MOV-","")),"000"))</f>
        <v/>
      </c>
    </row>
    <row r="1792" spans="1:20">
      <c r="A1792" s="20" t="s">
        <v>2151</v>
      </c>
      <c r="H1792" s="20" t="str">
        <f>+T1792</f>
        <v/>
      </c>
      <c r="J1792" s="30"/>
      <c r="K1792" s="22" t="str">
        <f>IF(I1792="","",IF(I1792="ENTRADA",ABS(J1792),-ABS(J1792)))</f>
        <v/>
      </c>
      <c r="R1792" s="22" t="str">
        <f>IF(H1792="","",H1792&amp;I1792)</f>
        <v/>
      </c>
      <c r="S1792" s="22" t="str">
        <f>IF(C1792="","",C1792&amp;I1792)</f>
        <v/>
      </c>
      <c r="T1792" t="str">
        <f>IF(OR(C1792="",I1792&lt;&gt;"ENTRADA"),"",TEXT(B1792,"AAMMDD")&amp;"-"&amp;TEXT(VALUE(SUBSTITUTE(A1792,"MOV-","")),"000"))</f>
        <v/>
      </c>
    </row>
    <row r="1793" spans="1:20">
      <c r="A1793" s="20" t="s">
        <v>2152</v>
      </c>
      <c r="H1793" s="20" t="str">
        <f>+T1793</f>
        <v/>
      </c>
      <c r="J1793" s="30"/>
      <c r="K1793" s="22" t="str">
        <f>IF(I1793="","",IF(I1793="ENTRADA",ABS(J1793),-ABS(J1793)))</f>
        <v/>
      </c>
      <c r="R1793" s="22" t="str">
        <f>IF(H1793="","",H1793&amp;I1793)</f>
        <v/>
      </c>
      <c r="S1793" s="22" t="str">
        <f>IF(C1793="","",C1793&amp;I1793)</f>
        <v/>
      </c>
      <c r="T1793" t="str">
        <f>IF(OR(C1793="",I1793&lt;&gt;"ENTRADA"),"",TEXT(B1793,"AAMMDD")&amp;"-"&amp;TEXT(VALUE(SUBSTITUTE(A1793,"MOV-","")),"000"))</f>
        <v/>
      </c>
    </row>
    <row r="1794" spans="1:20">
      <c r="A1794" s="20" t="s">
        <v>2153</v>
      </c>
      <c r="H1794" s="20" t="str">
        <f>+T1794</f>
        <v/>
      </c>
      <c r="J1794" s="30"/>
      <c r="K1794" s="22" t="str">
        <f>IF(I1794="","",IF(I1794="ENTRADA",ABS(J1794),-ABS(J1794)))</f>
        <v/>
      </c>
      <c r="R1794" s="22" t="str">
        <f>IF(H1794="","",H1794&amp;I1794)</f>
        <v/>
      </c>
      <c r="S1794" s="22" t="str">
        <f>IF(C1794="","",C1794&amp;I1794)</f>
        <v/>
      </c>
      <c r="T1794" t="str">
        <f>IF(OR(C1794="",I1794&lt;&gt;"ENTRADA"),"",TEXT(B1794,"AAMMDD")&amp;"-"&amp;TEXT(VALUE(SUBSTITUTE(A1794,"MOV-","")),"000"))</f>
        <v/>
      </c>
    </row>
    <row r="1795" spans="1:20">
      <c r="A1795" s="20" t="s">
        <v>2154</v>
      </c>
      <c r="H1795" s="20" t="str">
        <f>+T1795</f>
        <v/>
      </c>
      <c r="J1795" s="30"/>
      <c r="K1795" s="22" t="str">
        <f>IF(I1795="","",IF(I1795="ENTRADA",ABS(J1795),-ABS(J1795)))</f>
        <v/>
      </c>
      <c r="R1795" s="22" t="str">
        <f>IF(H1795="","",H1795&amp;I1795)</f>
        <v/>
      </c>
      <c r="S1795" s="22" t="str">
        <f>IF(C1795="","",C1795&amp;I1795)</f>
        <v/>
      </c>
      <c r="T1795" t="str">
        <f>IF(OR(C1795="",I1795&lt;&gt;"ENTRADA"),"",TEXT(B1795,"AAMMDD")&amp;"-"&amp;TEXT(VALUE(SUBSTITUTE(A1795,"MOV-","")),"000"))</f>
        <v/>
      </c>
    </row>
    <row r="1796" spans="1:20">
      <c r="A1796" s="20" t="s">
        <v>2155</v>
      </c>
      <c r="H1796" s="20" t="str">
        <f>+T1796</f>
        <v/>
      </c>
      <c r="J1796" s="30"/>
      <c r="K1796" s="22" t="str">
        <f>IF(I1796="","",IF(I1796="ENTRADA",ABS(J1796),-ABS(J1796)))</f>
        <v/>
      </c>
      <c r="R1796" s="22" t="str">
        <f>IF(H1796="","",H1796&amp;I1796)</f>
        <v/>
      </c>
      <c r="S1796" s="22" t="str">
        <f>IF(C1796="","",C1796&amp;I1796)</f>
        <v/>
      </c>
      <c r="T1796" t="str">
        <f>IF(OR(C1796="",I1796&lt;&gt;"ENTRADA"),"",TEXT(B1796,"AAMMDD")&amp;"-"&amp;TEXT(VALUE(SUBSTITUTE(A1796,"MOV-","")),"000"))</f>
        <v/>
      </c>
    </row>
    <row r="1797" spans="1:20">
      <c r="A1797" s="20" t="s">
        <v>2156</v>
      </c>
      <c r="H1797" s="20" t="str">
        <f>+T1797</f>
        <v/>
      </c>
      <c r="J1797" s="30"/>
      <c r="K1797" s="22" t="str">
        <f>IF(I1797="","",IF(I1797="ENTRADA",ABS(J1797),-ABS(J1797)))</f>
        <v/>
      </c>
      <c r="R1797" s="22" t="str">
        <f>IF(H1797="","",H1797&amp;I1797)</f>
        <v/>
      </c>
      <c r="S1797" s="22" t="str">
        <f>IF(C1797="","",C1797&amp;I1797)</f>
        <v/>
      </c>
      <c r="T1797" t="str">
        <f>IF(OR(C1797="",I1797&lt;&gt;"ENTRADA"),"",TEXT(B1797,"AAMMDD")&amp;"-"&amp;TEXT(VALUE(SUBSTITUTE(A1797,"MOV-","")),"000"))</f>
        <v/>
      </c>
    </row>
    <row r="1798" spans="1:20">
      <c r="A1798" s="20" t="s">
        <v>2157</v>
      </c>
      <c r="H1798" s="20" t="str">
        <f>+T1798</f>
        <v/>
      </c>
      <c r="J1798" s="30"/>
      <c r="K1798" s="22" t="str">
        <f>IF(I1798="","",IF(I1798="ENTRADA",ABS(J1798),-ABS(J1798)))</f>
        <v/>
      </c>
      <c r="R1798" s="22" t="str">
        <f>IF(H1798="","",H1798&amp;I1798)</f>
        <v/>
      </c>
      <c r="S1798" s="22" t="str">
        <f>IF(C1798="","",C1798&amp;I1798)</f>
        <v/>
      </c>
      <c r="T1798" t="str">
        <f>IF(OR(C1798="",I1798&lt;&gt;"ENTRADA"),"",TEXT(B1798,"AAMMDD")&amp;"-"&amp;TEXT(VALUE(SUBSTITUTE(A1798,"MOV-","")),"000"))</f>
        <v/>
      </c>
    </row>
    <row r="1799" spans="1:20">
      <c r="A1799" s="20" t="s">
        <v>2158</v>
      </c>
      <c r="H1799" s="20" t="str">
        <f>+T1799</f>
        <v/>
      </c>
      <c r="J1799" s="30"/>
      <c r="K1799" s="22" t="str">
        <f>IF(I1799="","",IF(I1799="ENTRADA",ABS(J1799),-ABS(J1799)))</f>
        <v/>
      </c>
      <c r="R1799" s="22" t="str">
        <f>IF(H1799="","",H1799&amp;I1799)</f>
        <v/>
      </c>
      <c r="S1799" s="22" t="str">
        <f>IF(C1799="","",C1799&amp;I1799)</f>
        <v/>
      </c>
      <c r="T1799" t="str">
        <f>IF(OR(C1799="",I1799&lt;&gt;"ENTRADA"),"",TEXT(B1799,"AAMMDD")&amp;"-"&amp;TEXT(VALUE(SUBSTITUTE(A1799,"MOV-","")),"000"))</f>
        <v/>
      </c>
    </row>
    <row r="1800" spans="1:20">
      <c r="A1800" s="20" t="s">
        <v>2159</v>
      </c>
      <c r="H1800" s="20" t="str">
        <f>+T1800</f>
        <v/>
      </c>
      <c r="J1800" s="30"/>
      <c r="K1800" s="22" t="str">
        <f>IF(I1800="","",IF(I1800="ENTRADA",ABS(J1800),-ABS(J1800)))</f>
        <v/>
      </c>
      <c r="R1800" s="22" t="str">
        <f>IF(H1800="","",H1800&amp;I1800)</f>
        <v/>
      </c>
      <c r="S1800" s="22" t="str">
        <f>IF(C1800="","",C1800&amp;I1800)</f>
        <v/>
      </c>
      <c r="T1800" t="str">
        <f>IF(OR(C1800="",I1800&lt;&gt;"ENTRADA"),"",TEXT(B1800,"AAMMDD")&amp;"-"&amp;TEXT(VALUE(SUBSTITUTE(A1800,"MOV-","")),"000"))</f>
        <v/>
      </c>
    </row>
    <row r="1801" spans="1:20">
      <c r="A1801" s="20" t="s">
        <v>2160</v>
      </c>
      <c r="H1801" s="20" t="str">
        <f>+T1801</f>
        <v/>
      </c>
      <c r="J1801" s="30"/>
      <c r="K1801" s="22" t="str">
        <f>IF(I1801="","",IF(I1801="ENTRADA",ABS(J1801),-ABS(J1801)))</f>
        <v/>
      </c>
      <c r="R1801" s="22" t="str">
        <f>IF(H1801="","",H1801&amp;I1801)</f>
        <v/>
      </c>
      <c r="S1801" s="22" t="str">
        <f>IF(C1801="","",C1801&amp;I1801)</f>
        <v/>
      </c>
      <c r="T1801" t="str">
        <f>IF(OR(C1801="",I1801&lt;&gt;"ENTRADA"),"",TEXT(B1801,"AAMMDD")&amp;"-"&amp;TEXT(VALUE(SUBSTITUTE(A1801,"MOV-","")),"000"))</f>
        <v/>
      </c>
    </row>
    <row r="1802" spans="1:20">
      <c r="A1802" s="20" t="s">
        <v>2161</v>
      </c>
      <c r="H1802" s="20" t="str">
        <f>+T1802</f>
        <v/>
      </c>
      <c r="J1802" s="30"/>
      <c r="K1802" s="22" t="str">
        <f>IF(I1802="","",IF(I1802="ENTRADA",ABS(J1802),-ABS(J1802)))</f>
        <v/>
      </c>
      <c r="R1802" s="22" t="str">
        <f>IF(H1802="","",H1802&amp;I1802)</f>
        <v/>
      </c>
      <c r="S1802" s="22" t="str">
        <f>IF(C1802="","",C1802&amp;I1802)</f>
        <v/>
      </c>
      <c r="T1802" t="str">
        <f>IF(OR(C1802="",I1802&lt;&gt;"ENTRADA"),"",TEXT(B1802,"AAMMDD")&amp;"-"&amp;TEXT(VALUE(SUBSTITUTE(A1802,"MOV-","")),"000"))</f>
        <v/>
      </c>
    </row>
    <row r="1803" spans="1:20">
      <c r="A1803" s="20" t="s">
        <v>2162</v>
      </c>
      <c r="H1803" s="20" t="str">
        <f>+T1803</f>
        <v/>
      </c>
      <c r="J1803" s="30"/>
      <c r="K1803" s="22" t="str">
        <f>IF(I1803="","",IF(I1803="ENTRADA",ABS(J1803),-ABS(J1803)))</f>
        <v/>
      </c>
      <c r="R1803" s="22" t="str">
        <f>IF(H1803="","",H1803&amp;I1803)</f>
        <v/>
      </c>
      <c r="S1803" s="22" t="str">
        <f>IF(C1803="","",C1803&amp;I1803)</f>
        <v/>
      </c>
      <c r="T1803" t="str">
        <f>IF(OR(C1803="",I1803&lt;&gt;"ENTRADA"),"",TEXT(B1803,"AAMMDD")&amp;"-"&amp;TEXT(VALUE(SUBSTITUTE(A1803,"MOV-","")),"000"))</f>
        <v/>
      </c>
    </row>
    <row r="1804" spans="1:20">
      <c r="A1804" s="20" t="s">
        <v>2163</v>
      </c>
      <c r="H1804" s="20" t="str">
        <f>+T1804</f>
        <v/>
      </c>
      <c r="J1804" s="30"/>
      <c r="K1804" s="22" t="str">
        <f>IF(I1804="","",IF(I1804="ENTRADA",ABS(J1804),-ABS(J1804)))</f>
        <v/>
      </c>
      <c r="R1804" s="22" t="str">
        <f>IF(H1804="","",H1804&amp;I1804)</f>
        <v/>
      </c>
      <c r="S1804" s="22" t="str">
        <f>IF(C1804="","",C1804&amp;I1804)</f>
        <v/>
      </c>
      <c r="T1804" t="str">
        <f>IF(OR(C1804="",I1804&lt;&gt;"ENTRADA"),"",TEXT(B1804,"AAMMDD")&amp;"-"&amp;TEXT(VALUE(SUBSTITUTE(A1804,"MOV-","")),"000"))</f>
        <v/>
      </c>
    </row>
    <row r="1805" spans="1:20">
      <c r="A1805" s="20" t="s">
        <v>2164</v>
      </c>
      <c r="H1805" s="20" t="str">
        <f>+T1805</f>
        <v/>
      </c>
      <c r="J1805" s="30"/>
      <c r="K1805" s="22" t="str">
        <f>IF(I1805="","",IF(I1805="ENTRADA",ABS(J1805),-ABS(J1805)))</f>
        <v/>
      </c>
      <c r="R1805" s="22" t="str">
        <f>IF(H1805="","",H1805&amp;I1805)</f>
        <v/>
      </c>
      <c r="S1805" s="22" t="str">
        <f>IF(C1805="","",C1805&amp;I1805)</f>
        <v/>
      </c>
      <c r="T1805" t="str">
        <f>IF(OR(C1805="",I1805&lt;&gt;"ENTRADA"),"",TEXT(B1805,"AAMMDD")&amp;"-"&amp;TEXT(VALUE(SUBSTITUTE(A1805,"MOV-","")),"000"))</f>
        <v/>
      </c>
    </row>
    <row r="1806" spans="1:20">
      <c r="A1806" s="20" t="s">
        <v>2165</v>
      </c>
      <c r="H1806" s="20" t="str">
        <f>+T1806</f>
        <v/>
      </c>
      <c r="J1806" s="30"/>
      <c r="K1806" s="22" t="str">
        <f>IF(I1806="","",IF(I1806="ENTRADA",ABS(J1806),-ABS(J1806)))</f>
        <v/>
      </c>
      <c r="R1806" s="22" t="str">
        <f>IF(H1806="","",H1806&amp;I1806)</f>
        <v/>
      </c>
      <c r="S1806" s="22" t="str">
        <f>IF(C1806="","",C1806&amp;I1806)</f>
        <v/>
      </c>
      <c r="T1806" t="str">
        <f>IF(OR(C1806="",I1806&lt;&gt;"ENTRADA"),"",TEXT(B1806,"AAMMDD")&amp;"-"&amp;TEXT(VALUE(SUBSTITUTE(A1806,"MOV-","")),"000"))</f>
        <v/>
      </c>
    </row>
    <row r="1807" spans="1:20">
      <c r="A1807" s="20" t="s">
        <v>2166</v>
      </c>
      <c r="H1807" s="20" t="str">
        <f>+T1807</f>
        <v/>
      </c>
      <c r="J1807" s="30"/>
      <c r="K1807" s="22" t="str">
        <f>IF(I1807="","",IF(I1807="ENTRADA",ABS(J1807),-ABS(J1807)))</f>
        <v/>
      </c>
      <c r="R1807" s="22" t="str">
        <f>IF(H1807="","",H1807&amp;I1807)</f>
        <v/>
      </c>
      <c r="S1807" s="22" t="str">
        <f>IF(C1807="","",C1807&amp;I1807)</f>
        <v/>
      </c>
      <c r="T1807" t="str">
        <f>IF(OR(C1807="",I1807&lt;&gt;"ENTRADA"),"",TEXT(B1807,"AAMMDD")&amp;"-"&amp;TEXT(VALUE(SUBSTITUTE(A1807,"MOV-","")),"000"))</f>
        <v/>
      </c>
    </row>
    <row r="1808" spans="1:20">
      <c r="A1808" s="20" t="s">
        <v>2167</v>
      </c>
      <c r="H1808" s="20" t="str">
        <f>+T1808</f>
        <v/>
      </c>
      <c r="J1808" s="30"/>
      <c r="K1808" s="22" t="str">
        <f>IF(I1808="","",IF(I1808="ENTRADA",ABS(J1808),-ABS(J1808)))</f>
        <v/>
      </c>
      <c r="R1808" s="22" t="str">
        <f>IF(H1808="","",H1808&amp;I1808)</f>
        <v/>
      </c>
      <c r="S1808" s="22" t="str">
        <f>IF(C1808="","",C1808&amp;I1808)</f>
        <v/>
      </c>
      <c r="T1808" t="str">
        <f>IF(OR(C1808="",I1808&lt;&gt;"ENTRADA"),"",TEXT(B1808,"AAMMDD")&amp;"-"&amp;TEXT(VALUE(SUBSTITUTE(A1808,"MOV-","")),"000"))</f>
        <v/>
      </c>
    </row>
    <row r="1809" spans="1:20">
      <c r="A1809" s="20" t="s">
        <v>2168</v>
      </c>
      <c r="H1809" s="20" t="str">
        <f>+T1809</f>
        <v/>
      </c>
      <c r="J1809" s="30"/>
      <c r="K1809" s="22" t="str">
        <f>IF(I1809="","",IF(I1809="ENTRADA",ABS(J1809),-ABS(J1809)))</f>
        <v/>
      </c>
      <c r="R1809" s="22" t="str">
        <f>IF(H1809="","",H1809&amp;I1809)</f>
        <v/>
      </c>
      <c r="S1809" s="22" t="str">
        <f>IF(C1809="","",C1809&amp;I1809)</f>
        <v/>
      </c>
      <c r="T1809" t="str">
        <f>IF(OR(C1809="",I1809&lt;&gt;"ENTRADA"),"",TEXT(B1809,"AAMMDD")&amp;"-"&amp;TEXT(VALUE(SUBSTITUTE(A1809,"MOV-","")),"000"))</f>
        <v/>
      </c>
    </row>
    <row r="1810" spans="1:20">
      <c r="A1810" s="20" t="s">
        <v>2169</v>
      </c>
      <c r="H1810" s="20" t="str">
        <f>+T1810</f>
        <v/>
      </c>
      <c r="J1810" s="30"/>
      <c r="K1810" s="22" t="str">
        <f>IF(I1810="","",IF(I1810="ENTRADA",ABS(J1810),-ABS(J1810)))</f>
        <v/>
      </c>
      <c r="R1810" s="22" t="str">
        <f>IF(H1810="","",H1810&amp;I1810)</f>
        <v/>
      </c>
      <c r="S1810" s="22" t="str">
        <f>IF(C1810="","",C1810&amp;I1810)</f>
        <v/>
      </c>
      <c r="T1810" t="str">
        <f>IF(OR(C1810="",I1810&lt;&gt;"ENTRADA"),"",TEXT(B1810,"AAMMDD")&amp;"-"&amp;TEXT(VALUE(SUBSTITUTE(A1810,"MOV-","")),"000"))</f>
        <v/>
      </c>
    </row>
    <row r="1811" spans="1:20">
      <c r="A1811" s="20" t="s">
        <v>2170</v>
      </c>
      <c r="H1811" s="20" t="str">
        <f>+T1811</f>
        <v/>
      </c>
      <c r="J1811" s="30"/>
      <c r="K1811" s="22" t="str">
        <f>IF(I1811="","",IF(I1811="ENTRADA",ABS(J1811),-ABS(J1811)))</f>
        <v/>
      </c>
      <c r="R1811" s="22" t="str">
        <f>IF(H1811="","",H1811&amp;I1811)</f>
        <v/>
      </c>
      <c r="S1811" s="22" t="str">
        <f>IF(C1811="","",C1811&amp;I1811)</f>
        <v/>
      </c>
      <c r="T1811" t="str">
        <f>IF(OR(C1811="",I1811&lt;&gt;"ENTRADA"),"",TEXT(B1811,"AAMMDD")&amp;"-"&amp;TEXT(VALUE(SUBSTITUTE(A1811,"MOV-","")),"000"))</f>
        <v/>
      </c>
    </row>
    <row r="1812" spans="1:20">
      <c r="A1812" s="20" t="s">
        <v>2171</v>
      </c>
      <c r="H1812" s="20" t="str">
        <f>+T1812</f>
        <v/>
      </c>
      <c r="J1812" s="30"/>
      <c r="K1812" s="22" t="str">
        <f>IF(I1812="","",IF(I1812="ENTRADA",ABS(J1812),-ABS(J1812)))</f>
        <v/>
      </c>
      <c r="R1812" s="22" t="str">
        <f>IF(H1812="","",H1812&amp;I1812)</f>
        <v/>
      </c>
      <c r="S1812" s="22" t="str">
        <f>IF(C1812="","",C1812&amp;I1812)</f>
        <v/>
      </c>
      <c r="T1812" t="str">
        <f>IF(OR(C1812="",I1812&lt;&gt;"ENTRADA"),"",TEXT(B1812,"AAMMDD")&amp;"-"&amp;TEXT(VALUE(SUBSTITUTE(A1812,"MOV-","")),"000"))</f>
        <v/>
      </c>
    </row>
    <row r="1813" spans="1:20">
      <c r="A1813" s="20" t="s">
        <v>2172</v>
      </c>
      <c r="H1813" s="20" t="str">
        <f>+T1813</f>
        <v/>
      </c>
      <c r="J1813" s="30"/>
      <c r="K1813" s="22" t="str">
        <f>IF(I1813="","",IF(I1813="ENTRADA",ABS(J1813),-ABS(J1813)))</f>
        <v/>
      </c>
      <c r="R1813" s="22" t="str">
        <f>IF(H1813="","",H1813&amp;I1813)</f>
        <v/>
      </c>
      <c r="S1813" s="22" t="str">
        <f>IF(C1813="","",C1813&amp;I1813)</f>
        <v/>
      </c>
      <c r="T1813" t="str">
        <f>IF(OR(C1813="",I1813&lt;&gt;"ENTRADA"),"",TEXT(B1813,"AAMMDD")&amp;"-"&amp;TEXT(VALUE(SUBSTITUTE(A1813,"MOV-","")),"000"))</f>
        <v/>
      </c>
    </row>
    <row r="1814" spans="1:20">
      <c r="A1814" s="20" t="s">
        <v>2173</v>
      </c>
      <c r="H1814" s="20" t="str">
        <f>+T1814</f>
        <v/>
      </c>
      <c r="J1814" s="30"/>
      <c r="K1814" s="22" t="str">
        <f>IF(I1814="","",IF(I1814="ENTRADA",ABS(J1814),-ABS(J1814)))</f>
        <v/>
      </c>
      <c r="R1814" s="22" t="str">
        <f>IF(H1814="","",H1814&amp;I1814)</f>
        <v/>
      </c>
      <c r="S1814" s="22" t="str">
        <f>IF(C1814="","",C1814&amp;I1814)</f>
        <v/>
      </c>
      <c r="T1814" t="str">
        <f>IF(OR(C1814="",I1814&lt;&gt;"ENTRADA"),"",TEXT(B1814,"AAMMDD")&amp;"-"&amp;TEXT(VALUE(SUBSTITUTE(A1814,"MOV-","")),"000"))</f>
        <v/>
      </c>
    </row>
    <row r="1815" spans="1:20">
      <c r="A1815" s="20" t="s">
        <v>2174</v>
      </c>
      <c r="H1815" s="20" t="str">
        <f>+T1815</f>
        <v/>
      </c>
      <c r="J1815" s="30"/>
      <c r="K1815" s="22" t="str">
        <f>IF(I1815="","",IF(I1815="ENTRADA",ABS(J1815),-ABS(J1815)))</f>
        <v/>
      </c>
      <c r="R1815" s="22" t="str">
        <f>IF(H1815="","",H1815&amp;I1815)</f>
        <v/>
      </c>
      <c r="S1815" s="22" t="str">
        <f>IF(C1815="","",C1815&amp;I1815)</f>
        <v/>
      </c>
      <c r="T1815" t="str">
        <f>IF(OR(C1815="",I1815&lt;&gt;"ENTRADA"),"",TEXT(B1815,"AAMMDD")&amp;"-"&amp;TEXT(VALUE(SUBSTITUTE(A1815,"MOV-","")),"000"))</f>
        <v/>
      </c>
    </row>
    <row r="1816" spans="1:20">
      <c r="A1816" s="20" t="s">
        <v>2175</v>
      </c>
      <c r="H1816" s="20" t="str">
        <f>+T1816</f>
        <v/>
      </c>
      <c r="J1816" s="30"/>
      <c r="K1816" s="22" t="str">
        <f>IF(I1816="","",IF(I1816="ENTRADA",ABS(J1816),-ABS(J1816)))</f>
        <v/>
      </c>
      <c r="R1816" s="22" t="str">
        <f>IF(H1816="","",H1816&amp;I1816)</f>
        <v/>
      </c>
      <c r="S1816" s="22" t="str">
        <f>IF(C1816="","",C1816&amp;I1816)</f>
        <v/>
      </c>
      <c r="T1816" t="str">
        <f>IF(OR(C1816="",I1816&lt;&gt;"ENTRADA"),"",TEXT(B1816,"AAMMDD")&amp;"-"&amp;TEXT(VALUE(SUBSTITUTE(A1816,"MOV-","")),"000"))</f>
        <v/>
      </c>
    </row>
    <row r="1817" spans="1:20">
      <c r="A1817" s="20" t="s">
        <v>2176</v>
      </c>
      <c r="H1817" s="20" t="str">
        <f>+T1817</f>
        <v/>
      </c>
      <c r="J1817" s="30"/>
      <c r="K1817" s="22" t="str">
        <f>IF(I1817="","",IF(I1817="ENTRADA",ABS(J1817),-ABS(J1817)))</f>
        <v/>
      </c>
      <c r="R1817" s="22" t="str">
        <f>IF(H1817="","",H1817&amp;I1817)</f>
        <v/>
      </c>
      <c r="S1817" s="22" t="str">
        <f>IF(C1817="","",C1817&amp;I1817)</f>
        <v/>
      </c>
      <c r="T1817" t="str">
        <f>IF(OR(C1817="",I1817&lt;&gt;"ENTRADA"),"",TEXT(B1817,"AAMMDD")&amp;"-"&amp;TEXT(VALUE(SUBSTITUTE(A1817,"MOV-","")),"000"))</f>
        <v/>
      </c>
    </row>
    <row r="1818" spans="1:20">
      <c r="A1818" s="20" t="s">
        <v>2177</v>
      </c>
      <c r="H1818" s="20" t="str">
        <f>+T1818</f>
        <v/>
      </c>
      <c r="J1818" s="30"/>
      <c r="K1818" s="22" t="str">
        <f>IF(I1818="","",IF(I1818="ENTRADA",ABS(J1818),-ABS(J1818)))</f>
        <v/>
      </c>
      <c r="R1818" s="22" t="str">
        <f>IF(H1818="","",H1818&amp;I1818)</f>
        <v/>
      </c>
      <c r="S1818" s="22" t="str">
        <f>IF(C1818="","",C1818&amp;I1818)</f>
        <v/>
      </c>
      <c r="T1818" t="str">
        <f>IF(OR(C1818="",I1818&lt;&gt;"ENTRADA"),"",TEXT(B1818,"AAMMDD")&amp;"-"&amp;TEXT(VALUE(SUBSTITUTE(A1818,"MOV-","")),"000"))</f>
        <v/>
      </c>
    </row>
    <row r="1819" spans="1:20">
      <c r="A1819" s="20" t="s">
        <v>2178</v>
      </c>
      <c r="H1819" s="20" t="str">
        <f>+T1819</f>
        <v/>
      </c>
      <c r="J1819" s="30"/>
      <c r="K1819" s="22" t="str">
        <f>IF(I1819="","",IF(I1819="ENTRADA",ABS(J1819),-ABS(J1819)))</f>
        <v/>
      </c>
      <c r="R1819" s="22" t="str">
        <f>IF(H1819="","",H1819&amp;I1819)</f>
        <v/>
      </c>
      <c r="S1819" s="22" t="str">
        <f>IF(C1819="","",C1819&amp;I1819)</f>
        <v/>
      </c>
      <c r="T1819" t="str">
        <f>IF(OR(C1819="",I1819&lt;&gt;"ENTRADA"),"",TEXT(B1819,"AAMMDD")&amp;"-"&amp;TEXT(VALUE(SUBSTITUTE(A1819,"MOV-","")),"000"))</f>
        <v/>
      </c>
    </row>
    <row r="1820" spans="1:20">
      <c r="A1820" s="20" t="s">
        <v>2179</v>
      </c>
      <c r="H1820" s="20" t="str">
        <f>+T1820</f>
        <v/>
      </c>
      <c r="J1820" s="30"/>
      <c r="K1820" s="22" t="str">
        <f>IF(I1820="","",IF(I1820="ENTRADA",ABS(J1820),-ABS(J1820)))</f>
        <v/>
      </c>
      <c r="R1820" s="22" t="str">
        <f>IF(H1820="","",H1820&amp;I1820)</f>
        <v/>
      </c>
      <c r="S1820" s="22" t="str">
        <f>IF(C1820="","",C1820&amp;I1820)</f>
        <v/>
      </c>
      <c r="T1820" t="str">
        <f>IF(OR(C1820="",I1820&lt;&gt;"ENTRADA"),"",TEXT(B1820,"AAMMDD")&amp;"-"&amp;TEXT(VALUE(SUBSTITUTE(A1820,"MOV-","")),"000"))</f>
        <v/>
      </c>
    </row>
    <row r="1821" spans="1:20">
      <c r="A1821" s="20" t="s">
        <v>2180</v>
      </c>
      <c r="H1821" s="20" t="str">
        <f>+T1821</f>
        <v/>
      </c>
      <c r="J1821" s="30"/>
      <c r="K1821" s="22" t="str">
        <f>IF(I1821="","",IF(I1821="ENTRADA",ABS(J1821),-ABS(J1821)))</f>
        <v/>
      </c>
      <c r="R1821" s="22" t="str">
        <f>IF(H1821="","",H1821&amp;I1821)</f>
        <v/>
      </c>
      <c r="S1821" s="22" t="str">
        <f>IF(C1821="","",C1821&amp;I1821)</f>
        <v/>
      </c>
      <c r="T1821" t="str">
        <f>IF(OR(C1821="",I1821&lt;&gt;"ENTRADA"),"",TEXT(B1821,"AAMMDD")&amp;"-"&amp;TEXT(VALUE(SUBSTITUTE(A1821,"MOV-","")),"000"))</f>
        <v/>
      </c>
    </row>
    <row r="1822" spans="1:20">
      <c r="A1822" s="20" t="s">
        <v>2181</v>
      </c>
      <c r="H1822" s="20" t="str">
        <f>+T1822</f>
        <v/>
      </c>
      <c r="J1822" s="30"/>
      <c r="K1822" s="22" t="str">
        <f>IF(I1822="","",IF(I1822="ENTRADA",ABS(J1822),-ABS(J1822)))</f>
        <v/>
      </c>
      <c r="R1822" s="22" t="str">
        <f>IF(H1822="","",H1822&amp;I1822)</f>
        <v/>
      </c>
      <c r="S1822" s="22" t="str">
        <f>IF(C1822="","",C1822&amp;I1822)</f>
        <v/>
      </c>
      <c r="T1822" t="str">
        <f>IF(OR(C1822="",I1822&lt;&gt;"ENTRADA"),"",TEXT(B1822,"AAMMDD")&amp;"-"&amp;TEXT(VALUE(SUBSTITUTE(A1822,"MOV-","")),"000"))</f>
        <v/>
      </c>
    </row>
    <row r="1823" spans="1:20">
      <c r="A1823" s="20" t="s">
        <v>2182</v>
      </c>
      <c r="H1823" s="20" t="str">
        <f>+T1823</f>
        <v/>
      </c>
      <c r="J1823" s="30"/>
      <c r="K1823" s="22" t="str">
        <f>IF(I1823="","",IF(I1823="ENTRADA",ABS(J1823),-ABS(J1823)))</f>
        <v/>
      </c>
      <c r="R1823" s="22" t="str">
        <f>IF(H1823="","",H1823&amp;I1823)</f>
        <v/>
      </c>
      <c r="S1823" s="22" t="str">
        <f>IF(C1823="","",C1823&amp;I1823)</f>
        <v/>
      </c>
      <c r="T1823" t="str">
        <f>IF(OR(C1823="",I1823&lt;&gt;"ENTRADA"),"",TEXT(B1823,"AAMMDD")&amp;"-"&amp;TEXT(VALUE(SUBSTITUTE(A1823,"MOV-","")),"000"))</f>
        <v/>
      </c>
    </row>
    <row r="1824" spans="1:20">
      <c r="A1824" s="20" t="s">
        <v>2183</v>
      </c>
      <c r="H1824" s="20" t="str">
        <f>+T1824</f>
        <v/>
      </c>
      <c r="J1824" s="30"/>
      <c r="K1824" s="22" t="str">
        <f>IF(I1824="","",IF(I1824="ENTRADA",ABS(J1824),-ABS(J1824)))</f>
        <v/>
      </c>
      <c r="R1824" s="22" t="str">
        <f>IF(H1824="","",H1824&amp;I1824)</f>
        <v/>
      </c>
      <c r="S1824" s="22" t="str">
        <f>IF(C1824="","",C1824&amp;I1824)</f>
        <v/>
      </c>
      <c r="T1824" t="str">
        <f>IF(OR(C1824="",I1824&lt;&gt;"ENTRADA"),"",TEXT(B1824,"AAMMDD")&amp;"-"&amp;TEXT(VALUE(SUBSTITUTE(A1824,"MOV-","")),"000"))</f>
        <v/>
      </c>
    </row>
    <row r="1825" spans="1:20">
      <c r="A1825" s="20" t="s">
        <v>2184</v>
      </c>
      <c r="H1825" s="20" t="str">
        <f>+T1825</f>
        <v/>
      </c>
      <c r="J1825" s="30"/>
      <c r="K1825" s="22" t="str">
        <f>IF(I1825="","",IF(I1825="ENTRADA",ABS(J1825),-ABS(J1825)))</f>
        <v/>
      </c>
      <c r="R1825" s="22" t="str">
        <f>IF(H1825="","",H1825&amp;I1825)</f>
        <v/>
      </c>
      <c r="S1825" s="22" t="str">
        <f>IF(C1825="","",C1825&amp;I1825)</f>
        <v/>
      </c>
      <c r="T1825" t="str">
        <f>IF(OR(C1825="",I1825&lt;&gt;"ENTRADA"),"",TEXT(B1825,"AAMMDD")&amp;"-"&amp;TEXT(VALUE(SUBSTITUTE(A1825,"MOV-","")),"000"))</f>
        <v/>
      </c>
    </row>
    <row r="1826" spans="1:20">
      <c r="A1826" s="20" t="s">
        <v>2185</v>
      </c>
      <c r="H1826" s="20" t="str">
        <f>+T1826</f>
        <v/>
      </c>
      <c r="J1826" s="30"/>
      <c r="K1826" s="22" t="str">
        <f>IF(I1826="","",IF(I1826="ENTRADA",ABS(J1826),-ABS(J1826)))</f>
        <v/>
      </c>
      <c r="R1826" s="22" t="str">
        <f>IF(H1826="","",H1826&amp;I1826)</f>
        <v/>
      </c>
      <c r="S1826" s="22" t="str">
        <f>IF(C1826="","",C1826&amp;I1826)</f>
        <v/>
      </c>
      <c r="T1826" t="str">
        <f>IF(OR(C1826="",I1826&lt;&gt;"ENTRADA"),"",TEXT(B1826,"AAMMDD")&amp;"-"&amp;TEXT(VALUE(SUBSTITUTE(A1826,"MOV-","")),"000"))</f>
        <v/>
      </c>
    </row>
    <row r="1827" spans="1:20">
      <c r="A1827" s="20" t="s">
        <v>2186</v>
      </c>
      <c r="H1827" s="20" t="str">
        <f>+T1827</f>
        <v/>
      </c>
      <c r="J1827" s="30"/>
      <c r="K1827" s="22" t="str">
        <f>IF(I1827="","",IF(I1827="ENTRADA",ABS(J1827),-ABS(J1827)))</f>
        <v/>
      </c>
      <c r="R1827" s="22" t="str">
        <f>IF(H1827="","",H1827&amp;I1827)</f>
        <v/>
      </c>
      <c r="S1827" s="22" t="str">
        <f>IF(C1827="","",C1827&amp;I1827)</f>
        <v/>
      </c>
      <c r="T1827" t="str">
        <f>IF(OR(C1827="",I1827&lt;&gt;"ENTRADA"),"",TEXT(B1827,"AAMMDD")&amp;"-"&amp;TEXT(VALUE(SUBSTITUTE(A1827,"MOV-","")),"000"))</f>
        <v/>
      </c>
    </row>
    <row r="1828" spans="1:20">
      <c r="A1828" s="20" t="s">
        <v>2187</v>
      </c>
      <c r="H1828" s="20" t="str">
        <f>+T1828</f>
        <v/>
      </c>
      <c r="J1828" s="30"/>
      <c r="K1828" s="22" t="str">
        <f>IF(I1828="","",IF(I1828="ENTRADA",ABS(J1828),-ABS(J1828)))</f>
        <v/>
      </c>
      <c r="R1828" s="22" t="str">
        <f>IF(H1828="","",H1828&amp;I1828)</f>
        <v/>
      </c>
      <c r="S1828" s="22" t="str">
        <f>IF(C1828="","",C1828&amp;I1828)</f>
        <v/>
      </c>
      <c r="T1828" t="str">
        <f>IF(OR(C1828="",I1828&lt;&gt;"ENTRADA"),"",TEXT(B1828,"AAMMDD")&amp;"-"&amp;TEXT(VALUE(SUBSTITUTE(A1828,"MOV-","")),"000"))</f>
        <v/>
      </c>
    </row>
    <row r="1829" spans="1:20">
      <c r="A1829" s="20" t="s">
        <v>2188</v>
      </c>
      <c r="H1829" s="20" t="str">
        <f>+T1829</f>
        <v/>
      </c>
      <c r="J1829" s="30"/>
      <c r="K1829" s="22" t="str">
        <f>IF(I1829="","",IF(I1829="ENTRADA",ABS(J1829),-ABS(J1829)))</f>
        <v/>
      </c>
      <c r="R1829" s="22" t="str">
        <f>IF(H1829="","",H1829&amp;I1829)</f>
        <v/>
      </c>
      <c r="S1829" s="22" t="str">
        <f>IF(C1829="","",C1829&amp;I1829)</f>
        <v/>
      </c>
      <c r="T1829" t="str">
        <f>IF(OR(C1829="",I1829&lt;&gt;"ENTRADA"),"",TEXT(B1829,"AAMMDD")&amp;"-"&amp;TEXT(VALUE(SUBSTITUTE(A1829,"MOV-","")),"000"))</f>
        <v/>
      </c>
    </row>
    <row r="1830" spans="1:20">
      <c r="A1830" s="20" t="s">
        <v>2189</v>
      </c>
      <c r="H1830" s="20" t="str">
        <f>+T1830</f>
        <v/>
      </c>
      <c r="J1830" s="30"/>
      <c r="K1830" s="22" t="str">
        <f>IF(I1830="","",IF(I1830="ENTRADA",ABS(J1830),-ABS(J1830)))</f>
        <v/>
      </c>
      <c r="R1830" s="22" t="str">
        <f>IF(H1830="","",H1830&amp;I1830)</f>
        <v/>
      </c>
      <c r="S1830" s="22" t="str">
        <f>IF(C1830="","",C1830&amp;I1830)</f>
        <v/>
      </c>
      <c r="T1830" t="str">
        <f>IF(OR(C1830="",I1830&lt;&gt;"ENTRADA"),"",TEXT(B1830,"AAMMDD")&amp;"-"&amp;TEXT(VALUE(SUBSTITUTE(A1830,"MOV-","")),"000"))</f>
        <v/>
      </c>
    </row>
    <row r="1831" spans="1:20">
      <c r="A1831" s="20" t="s">
        <v>2190</v>
      </c>
      <c r="H1831" s="20" t="str">
        <f>+T1831</f>
        <v/>
      </c>
      <c r="J1831" s="30"/>
      <c r="K1831" s="22" t="str">
        <f>IF(I1831="","",IF(I1831="ENTRADA",ABS(J1831),-ABS(J1831)))</f>
        <v/>
      </c>
      <c r="R1831" s="22" t="str">
        <f>IF(H1831="","",H1831&amp;I1831)</f>
        <v/>
      </c>
      <c r="S1831" s="22" t="str">
        <f>IF(C1831="","",C1831&amp;I1831)</f>
        <v/>
      </c>
      <c r="T1831" t="str">
        <f>IF(OR(C1831="",I1831&lt;&gt;"ENTRADA"),"",TEXT(B1831,"AAMMDD")&amp;"-"&amp;TEXT(VALUE(SUBSTITUTE(A1831,"MOV-","")),"000"))</f>
        <v/>
      </c>
    </row>
    <row r="1832" spans="1:20">
      <c r="A1832" s="20" t="s">
        <v>2191</v>
      </c>
      <c r="H1832" s="20" t="str">
        <f>+T1832</f>
        <v/>
      </c>
      <c r="J1832" s="30"/>
      <c r="K1832" s="22" t="str">
        <f>IF(I1832="","",IF(I1832="ENTRADA",ABS(J1832),-ABS(J1832)))</f>
        <v/>
      </c>
      <c r="R1832" s="22" t="str">
        <f>IF(H1832="","",H1832&amp;I1832)</f>
        <v/>
      </c>
      <c r="S1832" s="22" t="str">
        <f>IF(C1832="","",C1832&amp;I1832)</f>
        <v/>
      </c>
      <c r="T1832" t="str">
        <f>IF(OR(C1832="",I1832&lt;&gt;"ENTRADA"),"",TEXT(B1832,"AAMMDD")&amp;"-"&amp;TEXT(VALUE(SUBSTITUTE(A1832,"MOV-","")),"000"))</f>
        <v/>
      </c>
    </row>
    <row r="1833" spans="1:20">
      <c r="A1833" s="20" t="s">
        <v>2192</v>
      </c>
      <c r="H1833" s="20" t="str">
        <f>+T1833</f>
        <v/>
      </c>
      <c r="J1833" s="30"/>
      <c r="K1833" s="22" t="str">
        <f>IF(I1833="","",IF(I1833="ENTRADA",ABS(J1833),-ABS(J1833)))</f>
        <v/>
      </c>
      <c r="R1833" s="22" t="str">
        <f>IF(H1833="","",H1833&amp;I1833)</f>
        <v/>
      </c>
      <c r="S1833" s="22" t="str">
        <f>IF(C1833="","",C1833&amp;I1833)</f>
        <v/>
      </c>
      <c r="T1833" t="str">
        <f>IF(OR(C1833="",I1833&lt;&gt;"ENTRADA"),"",TEXT(B1833,"AAMMDD")&amp;"-"&amp;TEXT(VALUE(SUBSTITUTE(A1833,"MOV-","")),"000"))</f>
        <v/>
      </c>
    </row>
    <row r="1834" spans="1:20">
      <c r="A1834" s="20" t="s">
        <v>2193</v>
      </c>
      <c r="H1834" s="20" t="str">
        <f>+T1834</f>
        <v/>
      </c>
      <c r="J1834" s="30"/>
      <c r="K1834" s="22" t="str">
        <f>IF(I1834="","",IF(I1834="ENTRADA",ABS(J1834),-ABS(J1834)))</f>
        <v/>
      </c>
      <c r="R1834" s="22" t="str">
        <f>IF(H1834="","",H1834&amp;I1834)</f>
        <v/>
      </c>
      <c r="S1834" s="22" t="str">
        <f>IF(C1834="","",C1834&amp;I1834)</f>
        <v/>
      </c>
      <c r="T1834" t="str">
        <f>IF(OR(C1834="",I1834&lt;&gt;"ENTRADA"),"",TEXT(B1834,"AAMMDD")&amp;"-"&amp;TEXT(VALUE(SUBSTITUTE(A1834,"MOV-","")),"000"))</f>
        <v/>
      </c>
    </row>
    <row r="1835" spans="1:20">
      <c r="A1835" s="20" t="s">
        <v>2194</v>
      </c>
      <c r="H1835" s="20" t="str">
        <f>+T1835</f>
        <v/>
      </c>
      <c r="J1835" s="30"/>
      <c r="K1835" s="22" t="str">
        <f>IF(I1835="","",IF(I1835="ENTRADA",ABS(J1835),-ABS(J1835)))</f>
        <v/>
      </c>
      <c r="R1835" s="22" t="str">
        <f>IF(H1835="","",H1835&amp;I1835)</f>
        <v/>
      </c>
      <c r="S1835" s="22" t="str">
        <f>IF(C1835="","",C1835&amp;I1835)</f>
        <v/>
      </c>
      <c r="T1835" t="str">
        <f>IF(OR(C1835="",I1835&lt;&gt;"ENTRADA"),"",TEXT(B1835,"AAMMDD")&amp;"-"&amp;TEXT(VALUE(SUBSTITUTE(A1835,"MOV-","")),"000"))</f>
        <v/>
      </c>
    </row>
    <row r="1836" spans="1:20">
      <c r="A1836" s="20" t="s">
        <v>2195</v>
      </c>
      <c r="H1836" s="20" t="str">
        <f>+T1836</f>
        <v/>
      </c>
      <c r="J1836" s="30"/>
      <c r="K1836" s="22" t="str">
        <f>IF(I1836="","",IF(I1836="ENTRADA",ABS(J1836),-ABS(J1836)))</f>
        <v/>
      </c>
      <c r="R1836" s="22" t="str">
        <f>IF(H1836="","",H1836&amp;I1836)</f>
        <v/>
      </c>
      <c r="S1836" s="22" t="str">
        <f>IF(C1836="","",C1836&amp;I1836)</f>
        <v/>
      </c>
      <c r="T1836" t="str">
        <f>IF(OR(C1836="",I1836&lt;&gt;"ENTRADA"),"",TEXT(B1836,"AAMMDD")&amp;"-"&amp;TEXT(VALUE(SUBSTITUTE(A1836,"MOV-","")),"000"))</f>
        <v/>
      </c>
    </row>
    <row r="1837" spans="1:20">
      <c r="A1837" s="20" t="s">
        <v>2196</v>
      </c>
      <c r="H1837" s="20" t="str">
        <f>+T1837</f>
        <v/>
      </c>
      <c r="J1837" s="30"/>
      <c r="K1837" s="22" t="str">
        <f>IF(I1837="","",IF(I1837="ENTRADA",ABS(J1837),-ABS(J1837)))</f>
        <v/>
      </c>
      <c r="R1837" s="22" t="str">
        <f>IF(H1837="","",H1837&amp;I1837)</f>
        <v/>
      </c>
      <c r="S1837" s="22" t="str">
        <f>IF(C1837="","",C1837&amp;I1837)</f>
        <v/>
      </c>
      <c r="T1837" t="str">
        <f>IF(OR(C1837="",I1837&lt;&gt;"ENTRADA"),"",TEXT(B1837,"AAMMDD")&amp;"-"&amp;TEXT(VALUE(SUBSTITUTE(A1837,"MOV-","")),"000"))</f>
        <v/>
      </c>
    </row>
    <row r="1838" spans="1:20">
      <c r="A1838" s="20" t="s">
        <v>2197</v>
      </c>
      <c r="H1838" s="20" t="str">
        <f>+T1838</f>
        <v/>
      </c>
      <c r="J1838" s="30"/>
      <c r="K1838" s="22" t="str">
        <f>IF(I1838="","",IF(I1838="ENTRADA",ABS(J1838),-ABS(J1838)))</f>
        <v/>
      </c>
      <c r="R1838" s="22" t="str">
        <f>IF(H1838="","",H1838&amp;I1838)</f>
        <v/>
      </c>
      <c r="S1838" s="22" t="str">
        <f>IF(C1838="","",C1838&amp;I1838)</f>
        <v/>
      </c>
      <c r="T1838" t="str">
        <f>IF(OR(C1838="",I1838&lt;&gt;"ENTRADA"),"",TEXT(B1838,"AAMMDD")&amp;"-"&amp;TEXT(VALUE(SUBSTITUTE(A1838,"MOV-","")),"000"))</f>
        <v/>
      </c>
    </row>
    <row r="1839" spans="1:20">
      <c r="A1839" s="20" t="s">
        <v>2198</v>
      </c>
      <c r="H1839" s="20" t="str">
        <f>+T1839</f>
        <v/>
      </c>
      <c r="J1839" s="30"/>
      <c r="K1839" s="22" t="str">
        <f>IF(I1839="","",IF(I1839="ENTRADA",ABS(J1839),-ABS(J1839)))</f>
        <v/>
      </c>
      <c r="R1839" s="22" t="str">
        <f>IF(H1839="","",H1839&amp;I1839)</f>
        <v/>
      </c>
      <c r="S1839" s="22" t="str">
        <f>IF(C1839="","",C1839&amp;I1839)</f>
        <v/>
      </c>
      <c r="T1839" t="str">
        <f>IF(OR(C1839="",I1839&lt;&gt;"ENTRADA"),"",TEXT(B1839,"AAMMDD")&amp;"-"&amp;TEXT(VALUE(SUBSTITUTE(A1839,"MOV-","")),"000"))</f>
        <v/>
      </c>
    </row>
    <row r="1840" spans="1:20">
      <c r="A1840" s="20" t="s">
        <v>2199</v>
      </c>
      <c r="H1840" s="20" t="str">
        <f>+T1840</f>
        <v/>
      </c>
      <c r="J1840" s="30"/>
      <c r="K1840" s="22" t="str">
        <f>IF(I1840="","",IF(I1840="ENTRADA",ABS(J1840),-ABS(J1840)))</f>
        <v/>
      </c>
      <c r="R1840" s="22" t="str">
        <f>IF(H1840="","",H1840&amp;I1840)</f>
        <v/>
      </c>
      <c r="S1840" s="22" t="str">
        <f>IF(C1840="","",C1840&amp;I1840)</f>
        <v/>
      </c>
      <c r="T1840" t="str">
        <f>IF(OR(C1840="",I1840&lt;&gt;"ENTRADA"),"",TEXT(B1840,"AAMMDD")&amp;"-"&amp;TEXT(VALUE(SUBSTITUTE(A1840,"MOV-","")),"000"))</f>
        <v/>
      </c>
    </row>
    <row r="1841" spans="1:20">
      <c r="A1841" s="20" t="s">
        <v>2200</v>
      </c>
      <c r="H1841" s="20" t="str">
        <f>+T1841</f>
        <v/>
      </c>
      <c r="J1841" s="30"/>
      <c r="K1841" s="22" t="str">
        <f>IF(I1841="","",IF(I1841="ENTRADA",ABS(J1841),-ABS(J1841)))</f>
        <v/>
      </c>
      <c r="R1841" s="22" t="str">
        <f>IF(H1841="","",H1841&amp;I1841)</f>
        <v/>
      </c>
      <c r="S1841" s="22" t="str">
        <f>IF(C1841="","",C1841&amp;I1841)</f>
        <v/>
      </c>
      <c r="T1841" t="str">
        <f>IF(OR(C1841="",I1841&lt;&gt;"ENTRADA"),"",TEXT(B1841,"AAMMDD")&amp;"-"&amp;TEXT(VALUE(SUBSTITUTE(A1841,"MOV-","")),"000"))</f>
        <v/>
      </c>
    </row>
    <row r="1842" spans="1:20">
      <c r="A1842" s="20" t="s">
        <v>2201</v>
      </c>
      <c r="H1842" s="20" t="str">
        <f>+T1842</f>
        <v/>
      </c>
      <c r="J1842" s="30"/>
      <c r="K1842" s="22" t="str">
        <f>IF(I1842="","",IF(I1842="ENTRADA",ABS(J1842),-ABS(J1842)))</f>
        <v/>
      </c>
      <c r="R1842" s="22" t="str">
        <f>IF(H1842="","",H1842&amp;I1842)</f>
        <v/>
      </c>
      <c r="S1842" s="22" t="str">
        <f>IF(C1842="","",C1842&amp;I1842)</f>
        <v/>
      </c>
      <c r="T1842" t="str">
        <f>IF(OR(C1842="",I1842&lt;&gt;"ENTRADA"),"",TEXT(B1842,"AAMMDD")&amp;"-"&amp;TEXT(VALUE(SUBSTITUTE(A1842,"MOV-","")),"000"))</f>
        <v/>
      </c>
    </row>
    <row r="1843" spans="1:20">
      <c r="A1843" s="20" t="s">
        <v>2202</v>
      </c>
      <c r="H1843" s="20" t="str">
        <f>+T1843</f>
        <v/>
      </c>
      <c r="J1843" s="30"/>
      <c r="K1843" s="22" t="str">
        <f>IF(I1843="","",IF(I1843="ENTRADA",ABS(J1843),-ABS(J1843)))</f>
        <v/>
      </c>
      <c r="R1843" s="22" t="str">
        <f>IF(H1843="","",H1843&amp;I1843)</f>
        <v/>
      </c>
      <c r="S1843" s="22" t="str">
        <f>IF(C1843="","",C1843&amp;I1843)</f>
        <v/>
      </c>
      <c r="T1843" t="str">
        <f>IF(OR(C1843="",I1843&lt;&gt;"ENTRADA"),"",TEXT(B1843,"AAMMDD")&amp;"-"&amp;TEXT(VALUE(SUBSTITUTE(A1843,"MOV-","")),"000"))</f>
        <v/>
      </c>
    </row>
    <row r="1844" spans="1:20">
      <c r="A1844" s="20" t="s">
        <v>2203</v>
      </c>
      <c r="H1844" s="20" t="str">
        <f>+T1844</f>
        <v/>
      </c>
      <c r="J1844" s="30"/>
      <c r="K1844" s="22" t="str">
        <f>IF(I1844="","",IF(I1844="ENTRADA",ABS(J1844),-ABS(J1844)))</f>
        <v/>
      </c>
      <c r="R1844" s="22" t="str">
        <f>IF(H1844="","",H1844&amp;I1844)</f>
        <v/>
      </c>
      <c r="S1844" s="22" t="str">
        <f>IF(C1844="","",C1844&amp;I1844)</f>
        <v/>
      </c>
      <c r="T1844" t="str">
        <f>IF(OR(C1844="",I1844&lt;&gt;"ENTRADA"),"",TEXT(B1844,"AAMMDD")&amp;"-"&amp;TEXT(VALUE(SUBSTITUTE(A1844,"MOV-","")),"000"))</f>
        <v/>
      </c>
    </row>
    <row r="1845" spans="1:20">
      <c r="A1845" s="20" t="s">
        <v>2204</v>
      </c>
      <c r="H1845" s="20" t="str">
        <f>+T1845</f>
        <v/>
      </c>
      <c r="J1845" s="30"/>
      <c r="K1845" s="22" t="str">
        <f>IF(I1845="","",IF(I1845="ENTRADA",ABS(J1845),-ABS(J1845)))</f>
        <v/>
      </c>
      <c r="R1845" s="22" t="str">
        <f>IF(H1845="","",H1845&amp;I1845)</f>
        <v/>
      </c>
      <c r="S1845" s="22" t="str">
        <f>IF(C1845="","",C1845&amp;I1845)</f>
        <v/>
      </c>
      <c r="T1845" t="str">
        <f>IF(OR(C1845="",I1845&lt;&gt;"ENTRADA"),"",TEXT(B1845,"AAMMDD")&amp;"-"&amp;TEXT(VALUE(SUBSTITUTE(A1845,"MOV-","")),"000"))</f>
        <v/>
      </c>
    </row>
    <row r="1846" spans="1:20">
      <c r="A1846" s="20" t="s">
        <v>2205</v>
      </c>
      <c r="H1846" s="20" t="str">
        <f>+T1846</f>
        <v/>
      </c>
      <c r="J1846" s="30"/>
      <c r="K1846" s="22" t="str">
        <f>IF(I1846="","",IF(I1846="ENTRADA",ABS(J1846),-ABS(J1846)))</f>
        <v/>
      </c>
      <c r="R1846" s="22" t="str">
        <f>IF(H1846="","",H1846&amp;I1846)</f>
        <v/>
      </c>
      <c r="S1846" s="22" t="str">
        <f>IF(C1846="","",C1846&amp;I1846)</f>
        <v/>
      </c>
      <c r="T1846" t="str">
        <f>IF(OR(C1846="",I1846&lt;&gt;"ENTRADA"),"",TEXT(B1846,"AAMMDD")&amp;"-"&amp;TEXT(VALUE(SUBSTITUTE(A1846,"MOV-","")),"000"))</f>
        <v/>
      </c>
    </row>
    <row r="1847" spans="1:20">
      <c r="A1847" s="20" t="s">
        <v>2206</v>
      </c>
      <c r="H1847" s="20" t="str">
        <f>+T1847</f>
        <v/>
      </c>
      <c r="J1847" s="30"/>
      <c r="K1847" s="22" t="str">
        <f>IF(I1847="","",IF(I1847="ENTRADA",ABS(J1847),-ABS(J1847)))</f>
        <v/>
      </c>
      <c r="R1847" s="22" t="str">
        <f>IF(H1847="","",H1847&amp;I1847)</f>
        <v/>
      </c>
      <c r="S1847" s="22" t="str">
        <f>IF(C1847="","",C1847&amp;I1847)</f>
        <v/>
      </c>
      <c r="T1847" t="str">
        <f>IF(OR(C1847="",I1847&lt;&gt;"ENTRADA"),"",TEXT(B1847,"AAMMDD")&amp;"-"&amp;TEXT(VALUE(SUBSTITUTE(A1847,"MOV-","")),"000"))</f>
        <v/>
      </c>
    </row>
    <row r="1848" spans="1:20">
      <c r="A1848" s="20" t="s">
        <v>2207</v>
      </c>
      <c r="H1848" s="20" t="str">
        <f>+T1848</f>
        <v/>
      </c>
      <c r="J1848" s="30"/>
      <c r="K1848" s="22" t="str">
        <f>IF(I1848="","",IF(I1848="ENTRADA",ABS(J1848),-ABS(J1848)))</f>
        <v/>
      </c>
      <c r="R1848" s="22" t="str">
        <f>IF(H1848="","",H1848&amp;I1848)</f>
        <v/>
      </c>
      <c r="S1848" s="22" t="str">
        <f>IF(C1848="","",C1848&amp;I1848)</f>
        <v/>
      </c>
      <c r="T1848" t="str">
        <f>IF(OR(C1848="",I1848&lt;&gt;"ENTRADA"),"",TEXT(B1848,"AAMMDD")&amp;"-"&amp;TEXT(VALUE(SUBSTITUTE(A1848,"MOV-","")),"000"))</f>
        <v/>
      </c>
    </row>
    <row r="1849" spans="1:20">
      <c r="A1849" s="20" t="s">
        <v>2208</v>
      </c>
      <c r="H1849" s="20" t="str">
        <f>+T1849</f>
        <v/>
      </c>
      <c r="J1849" s="30"/>
      <c r="K1849" s="22" t="str">
        <f>IF(I1849="","",IF(I1849="ENTRADA",ABS(J1849),-ABS(J1849)))</f>
        <v/>
      </c>
      <c r="R1849" s="22" t="str">
        <f>IF(H1849="","",H1849&amp;I1849)</f>
        <v/>
      </c>
      <c r="S1849" s="22" t="str">
        <f>IF(C1849="","",C1849&amp;I1849)</f>
        <v/>
      </c>
      <c r="T1849" t="str">
        <f>IF(OR(C1849="",I1849&lt;&gt;"ENTRADA"),"",TEXT(B1849,"AAMMDD")&amp;"-"&amp;TEXT(VALUE(SUBSTITUTE(A1849,"MOV-","")),"000"))</f>
        <v/>
      </c>
    </row>
    <row r="1850" spans="1:20">
      <c r="A1850" s="20" t="s">
        <v>2209</v>
      </c>
      <c r="H1850" s="20" t="str">
        <f>+T1850</f>
        <v/>
      </c>
      <c r="J1850" s="30"/>
      <c r="K1850" s="22" t="str">
        <f>IF(I1850="","",IF(I1850="ENTRADA",ABS(J1850),-ABS(J1850)))</f>
        <v/>
      </c>
      <c r="R1850" s="22" t="str">
        <f>IF(H1850="","",H1850&amp;I1850)</f>
        <v/>
      </c>
      <c r="S1850" s="22" t="str">
        <f>IF(C1850="","",C1850&amp;I1850)</f>
        <v/>
      </c>
      <c r="T1850" t="str">
        <f>IF(OR(C1850="",I1850&lt;&gt;"ENTRADA"),"",TEXT(B1850,"AAMMDD")&amp;"-"&amp;TEXT(VALUE(SUBSTITUTE(A1850,"MOV-","")),"000"))</f>
        <v/>
      </c>
    </row>
    <row r="1851" spans="1:20">
      <c r="A1851" s="20" t="s">
        <v>2210</v>
      </c>
      <c r="H1851" s="20" t="str">
        <f>+T1851</f>
        <v/>
      </c>
      <c r="J1851" s="30"/>
      <c r="K1851" s="22" t="str">
        <f>IF(I1851="","",IF(I1851="ENTRADA",ABS(J1851),-ABS(J1851)))</f>
        <v/>
      </c>
      <c r="R1851" s="22" t="str">
        <f>IF(H1851="","",H1851&amp;I1851)</f>
        <v/>
      </c>
      <c r="S1851" s="22" t="str">
        <f>IF(C1851="","",C1851&amp;I1851)</f>
        <v/>
      </c>
      <c r="T1851" t="str">
        <f>IF(OR(C1851="",I1851&lt;&gt;"ENTRADA"),"",TEXT(B1851,"AAMMDD")&amp;"-"&amp;TEXT(VALUE(SUBSTITUTE(A1851,"MOV-","")),"000"))</f>
        <v/>
      </c>
    </row>
    <row r="1852" spans="1:20">
      <c r="A1852" s="20" t="s">
        <v>2211</v>
      </c>
      <c r="H1852" s="20" t="str">
        <f>+T1852</f>
        <v/>
      </c>
      <c r="J1852" s="30"/>
      <c r="K1852" s="22" t="str">
        <f>IF(I1852="","",IF(I1852="ENTRADA",ABS(J1852),-ABS(J1852)))</f>
        <v/>
      </c>
      <c r="R1852" s="22" t="str">
        <f>IF(H1852="","",H1852&amp;I1852)</f>
        <v/>
      </c>
      <c r="S1852" s="22" t="str">
        <f>IF(C1852="","",C1852&amp;I1852)</f>
        <v/>
      </c>
      <c r="T1852" t="str">
        <f>IF(OR(C1852="",I1852&lt;&gt;"ENTRADA"),"",TEXT(B1852,"AAMMDD")&amp;"-"&amp;TEXT(VALUE(SUBSTITUTE(A1852,"MOV-","")),"000"))</f>
        <v/>
      </c>
    </row>
    <row r="1853" spans="1:20">
      <c r="A1853" s="20" t="s">
        <v>2212</v>
      </c>
      <c r="H1853" s="20" t="str">
        <f>+T1853</f>
        <v/>
      </c>
      <c r="J1853" s="30"/>
      <c r="K1853" s="22" t="str">
        <f>IF(I1853="","",IF(I1853="ENTRADA",ABS(J1853),-ABS(J1853)))</f>
        <v/>
      </c>
      <c r="R1853" s="22" t="str">
        <f>IF(H1853="","",H1853&amp;I1853)</f>
        <v/>
      </c>
      <c r="S1853" s="22" t="str">
        <f>IF(C1853="","",C1853&amp;I1853)</f>
        <v/>
      </c>
      <c r="T1853" t="str">
        <f>IF(OR(C1853="",I1853&lt;&gt;"ENTRADA"),"",TEXT(B1853,"AAMMDD")&amp;"-"&amp;TEXT(VALUE(SUBSTITUTE(A1853,"MOV-","")),"000"))</f>
        <v/>
      </c>
    </row>
    <row r="1854" spans="1:20">
      <c r="A1854" s="20" t="s">
        <v>2213</v>
      </c>
      <c r="H1854" s="20" t="str">
        <f>+T1854</f>
        <v/>
      </c>
      <c r="J1854" s="30"/>
      <c r="K1854" s="22" t="str">
        <f>IF(I1854="","",IF(I1854="ENTRADA",ABS(J1854),-ABS(J1854)))</f>
        <v/>
      </c>
      <c r="R1854" s="22" t="str">
        <f>IF(H1854="","",H1854&amp;I1854)</f>
        <v/>
      </c>
      <c r="S1854" s="22" t="str">
        <f>IF(C1854="","",C1854&amp;I1854)</f>
        <v/>
      </c>
      <c r="T1854" t="str">
        <f>IF(OR(C1854="",I1854&lt;&gt;"ENTRADA"),"",TEXT(B1854,"AAMMDD")&amp;"-"&amp;TEXT(VALUE(SUBSTITUTE(A1854,"MOV-","")),"000"))</f>
        <v/>
      </c>
    </row>
    <row r="1855" spans="1:20">
      <c r="A1855" s="20" t="s">
        <v>2214</v>
      </c>
      <c r="H1855" s="20" t="str">
        <f>+T1855</f>
        <v/>
      </c>
      <c r="J1855" s="30"/>
      <c r="K1855" s="22" t="str">
        <f>IF(I1855="","",IF(I1855="ENTRADA",ABS(J1855),-ABS(J1855)))</f>
        <v/>
      </c>
      <c r="R1855" s="22" t="str">
        <f>IF(H1855="","",H1855&amp;I1855)</f>
        <v/>
      </c>
      <c r="S1855" s="22" t="str">
        <f>IF(C1855="","",C1855&amp;I1855)</f>
        <v/>
      </c>
      <c r="T1855" t="str">
        <f>IF(OR(C1855="",I1855&lt;&gt;"ENTRADA"),"",TEXT(B1855,"AAMMDD")&amp;"-"&amp;TEXT(VALUE(SUBSTITUTE(A1855,"MOV-","")),"000"))</f>
        <v/>
      </c>
    </row>
    <row r="1856" spans="1:20">
      <c r="A1856" s="20" t="s">
        <v>2215</v>
      </c>
      <c r="H1856" s="20" t="str">
        <f>+T1856</f>
        <v/>
      </c>
      <c r="J1856" s="30"/>
      <c r="K1856" s="22" t="str">
        <f>IF(I1856="","",IF(I1856="ENTRADA",ABS(J1856),-ABS(J1856)))</f>
        <v/>
      </c>
      <c r="R1856" s="22" t="str">
        <f>IF(H1856="","",H1856&amp;I1856)</f>
        <v/>
      </c>
      <c r="S1856" s="22" t="str">
        <f>IF(C1856="","",C1856&amp;I1856)</f>
        <v/>
      </c>
      <c r="T1856" t="str">
        <f>IF(OR(C1856="",I1856&lt;&gt;"ENTRADA"),"",TEXT(B1856,"AAMMDD")&amp;"-"&amp;TEXT(VALUE(SUBSTITUTE(A1856,"MOV-","")),"000"))</f>
        <v/>
      </c>
    </row>
    <row r="1857" spans="1:20">
      <c r="A1857" s="20" t="s">
        <v>2216</v>
      </c>
      <c r="H1857" s="20" t="str">
        <f>+T1857</f>
        <v/>
      </c>
      <c r="J1857" s="30"/>
      <c r="K1857" s="22" t="str">
        <f>IF(I1857="","",IF(I1857="ENTRADA",ABS(J1857),-ABS(J1857)))</f>
        <v/>
      </c>
      <c r="R1857" s="22" t="str">
        <f>IF(H1857="","",H1857&amp;I1857)</f>
        <v/>
      </c>
      <c r="S1857" s="22" t="str">
        <f>IF(C1857="","",C1857&amp;I1857)</f>
        <v/>
      </c>
      <c r="T1857" t="str">
        <f>IF(OR(C1857="",I1857&lt;&gt;"ENTRADA"),"",TEXT(B1857,"AAMMDD")&amp;"-"&amp;TEXT(VALUE(SUBSTITUTE(A1857,"MOV-","")),"000"))</f>
        <v/>
      </c>
    </row>
    <row r="1858" spans="1:20">
      <c r="A1858" s="20" t="s">
        <v>2217</v>
      </c>
      <c r="H1858" s="20" t="str">
        <f>+T1858</f>
        <v/>
      </c>
      <c r="J1858" s="30"/>
      <c r="K1858" s="22" t="str">
        <f>IF(I1858="","",IF(I1858="ENTRADA",ABS(J1858),-ABS(J1858)))</f>
        <v/>
      </c>
      <c r="R1858" s="22" t="str">
        <f>IF(H1858="","",H1858&amp;I1858)</f>
        <v/>
      </c>
      <c r="S1858" s="22" t="str">
        <f>IF(C1858="","",C1858&amp;I1858)</f>
        <v/>
      </c>
      <c r="T1858" t="str">
        <f>IF(OR(C1858="",I1858&lt;&gt;"ENTRADA"),"",TEXT(B1858,"AAMMDD")&amp;"-"&amp;TEXT(VALUE(SUBSTITUTE(A1858,"MOV-","")),"000"))</f>
        <v/>
      </c>
    </row>
    <row r="1859" spans="1:20">
      <c r="A1859" s="20" t="s">
        <v>2218</v>
      </c>
      <c r="H1859" s="20" t="str">
        <f>+T1859</f>
        <v/>
      </c>
      <c r="J1859" s="30"/>
      <c r="K1859" s="22" t="str">
        <f>IF(I1859="","",IF(I1859="ENTRADA",ABS(J1859),-ABS(J1859)))</f>
        <v/>
      </c>
      <c r="R1859" s="22" t="str">
        <f>IF(H1859="","",H1859&amp;I1859)</f>
        <v/>
      </c>
      <c r="S1859" s="22" t="str">
        <f>IF(C1859="","",C1859&amp;I1859)</f>
        <v/>
      </c>
      <c r="T1859" t="str">
        <f>IF(OR(C1859="",I1859&lt;&gt;"ENTRADA"),"",TEXT(B1859,"AAMMDD")&amp;"-"&amp;TEXT(VALUE(SUBSTITUTE(A1859,"MOV-","")),"000"))</f>
        <v/>
      </c>
    </row>
    <row r="1860" spans="1:20">
      <c r="A1860" s="20" t="s">
        <v>2219</v>
      </c>
      <c r="H1860" s="20" t="str">
        <f>+T1860</f>
        <v/>
      </c>
      <c r="J1860" s="30"/>
      <c r="K1860" s="22" t="str">
        <f>IF(I1860="","",IF(I1860="ENTRADA",ABS(J1860),-ABS(J1860)))</f>
        <v/>
      </c>
      <c r="R1860" s="22" t="str">
        <f>IF(H1860="","",H1860&amp;I1860)</f>
        <v/>
      </c>
      <c r="S1860" s="22" t="str">
        <f>IF(C1860="","",C1860&amp;I1860)</f>
        <v/>
      </c>
      <c r="T1860" t="str">
        <f>IF(OR(C1860="",I1860&lt;&gt;"ENTRADA"),"",TEXT(B1860,"AAMMDD")&amp;"-"&amp;TEXT(VALUE(SUBSTITUTE(A1860,"MOV-","")),"000"))</f>
        <v/>
      </c>
    </row>
    <row r="1861" spans="1:20">
      <c r="A1861" s="20" t="s">
        <v>2220</v>
      </c>
      <c r="H1861" s="20" t="str">
        <f>+T1861</f>
        <v/>
      </c>
      <c r="J1861" s="30"/>
      <c r="K1861" s="22" t="str">
        <f>IF(I1861="","",IF(I1861="ENTRADA",ABS(J1861),-ABS(J1861)))</f>
        <v/>
      </c>
      <c r="R1861" s="22" t="str">
        <f>IF(H1861="","",H1861&amp;I1861)</f>
        <v/>
      </c>
      <c r="S1861" s="22" t="str">
        <f>IF(C1861="","",C1861&amp;I1861)</f>
        <v/>
      </c>
      <c r="T1861" t="str">
        <f>IF(OR(C1861="",I1861&lt;&gt;"ENTRADA"),"",TEXT(B1861,"AAMMDD")&amp;"-"&amp;TEXT(VALUE(SUBSTITUTE(A1861,"MOV-","")),"000"))</f>
        <v/>
      </c>
    </row>
    <row r="1862" spans="1:20">
      <c r="A1862" s="20" t="s">
        <v>2221</v>
      </c>
      <c r="H1862" s="20" t="str">
        <f>+T1862</f>
        <v/>
      </c>
      <c r="J1862" s="30"/>
      <c r="K1862" s="22" t="str">
        <f>IF(I1862="","",IF(I1862="ENTRADA",ABS(J1862),-ABS(J1862)))</f>
        <v/>
      </c>
      <c r="R1862" s="22" t="str">
        <f>IF(H1862="","",H1862&amp;I1862)</f>
        <v/>
      </c>
      <c r="S1862" s="22" t="str">
        <f>IF(C1862="","",C1862&amp;I1862)</f>
        <v/>
      </c>
      <c r="T1862" t="str">
        <f>IF(OR(C1862="",I1862&lt;&gt;"ENTRADA"),"",TEXT(B1862,"AAMMDD")&amp;"-"&amp;TEXT(VALUE(SUBSTITUTE(A1862,"MOV-","")),"000"))</f>
        <v/>
      </c>
    </row>
    <row r="1863" spans="1:20">
      <c r="A1863" s="20" t="s">
        <v>2222</v>
      </c>
      <c r="H1863" s="20" t="str">
        <f>+T1863</f>
        <v/>
      </c>
      <c r="J1863" s="30"/>
      <c r="K1863" s="22" t="str">
        <f>IF(I1863="","",IF(I1863="ENTRADA",ABS(J1863),-ABS(J1863)))</f>
        <v/>
      </c>
      <c r="R1863" s="22" t="str">
        <f>IF(H1863="","",H1863&amp;I1863)</f>
        <v/>
      </c>
      <c r="S1863" s="22" t="str">
        <f>IF(C1863="","",C1863&amp;I1863)</f>
        <v/>
      </c>
      <c r="T1863" t="str">
        <f>IF(OR(C1863="",I1863&lt;&gt;"ENTRADA"),"",TEXT(B1863,"AAMMDD")&amp;"-"&amp;TEXT(VALUE(SUBSTITUTE(A1863,"MOV-","")),"000"))</f>
        <v/>
      </c>
    </row>
    <row r="1864" spans="1:20">
      <c r="A1864" s="20" t="s">
        <v>2223</v>
      </c>
      <c r="H1864" s="20" t="str">
        <f>+T1864</f>
        <v/>
      </c>
      <c r="J1864" s="30"/>
      <c r="K1864" s="22" t="str">
        <f>IF(I1864="","",IF(I1864="ENTRADA",ABS(J1864),-ABS(J1864)))</f>
        <v/>
      </c>
      <c r="R1864" s="22" t="str">
        <f>IF(H1864="","",H1864&amp;I1864)</f>
        <v/>
      </c>
      <c r="S1864" s="22" t="str">
        <f>IF(C1864="","",C1864&amp;I1864)</f>
        <v/>
      </c>
      <c r="T1864" t="str">
        <f>IF(OR(C1864="",I1864&lt;&gt;"ENTRADA"),"",TEXT(B1864,"AAMMDD")&amp;"-"&amp;TEXT(VALUE(SUBSTITUTE(A1864,"MOV-","")),"000"))</f>
        <v/>
      </c>
    </row>
    <row r="1865" spans="1:20">
      <c r="A1865" s="20" t="s">
        <v>2224</v>
      </c>
      <c r="H1865" s="20" t="str">
        <f>+T1865</f>
        <v/>
      </c>
      <c r="J1865" s="30"/>
      <c r="K1865" s="22" t="str">
        <f>IF(I1865="","",IF(I1865="ENTRADA",ABS(J1865),-ABS(J1865)))</f>
        <v/>
      </c>
      <c r="R1865" s="22" t="str">
        <f>IF(H1865="","",H1865&amp;I1865)</f>
        <v/>
      </c>
      <c r="S1865" s="22" t="str">
        <f>IF(C1865="","",C1865&amp;I1865)</f>
        <v/>
      </c>
      <c r="T1865" t="str">
        <f>IF(OR(C1865="",I1865&lt;&gt;"ENTRADA"),"",TEXT(B1865,"AAMMDD")&amp;"-"&amp;TEXT(VALUE(SUBSTITUTE(A1865,"MOV-","")),"000"))</f>
        <v/>
      </c>
    </row>
    <row r="1866" spans="1:20">
      <c r="A1866" s="20" t="s">
        <v>2225</v>
      </c>
      <c r="H1866" s="20" t="str">
        <f>+T1866</f>
        <v/>
      </c>
      <c r="J1866" s="30"/>
      <c r="K1866" s="22" t="str">
        <f>IF(I1866="","",IF(I1866="ENTRADA",ABS(J1866),-ABS(J1866)))</f>
        <v/>
      </c>
      <c r="R1866" s="22" t="str">
        <f>IF(H1866="","",H1866&amp;I1866)</f>
        <v/>
      </c>
      <c r="S1866" s="22" t="str">
        <f>IF(C1866="","",C1866&amp;I1866)</f>
        <v/>
      </c>
      <c r="T1866" t="str">
        <f>IF(OR(C1866="",I1866&lt;&gt;"ENTRADA"),"",TEXT(B1866,"AAMMDD")&amp;"-"&amp;TEXT(VALUE(SUBSTITUTE(A1866,"MOV-","")),"000"))</f>
        <v/>
      </c>
    </row>
    <row r="1867" spans="1:20">
      <c r="A1867" s="20" t="s">
        <v>2226</v>
      </c>
      <c r="H1867" s="20" t="str">
        <f>+T1867</f>
        <v/>
      </c>
      <c r="J1867" s="30"/>
      <c r="K1867" s="22" t="str">
        <f>IF(I1867="","",IF(I1867="ENTRADA",ABS(J1867),-ABS(J1867)))</f>
        <v/>
      </c>
      <c r="R1867" s="22" t="str">
        <f>IF(H1867="","",H1867&amp;I1867)</f>
        <v/>
      </c>
      <c r="S1867" s="22" t="str">
        <f>IF(C1867="","",C1867&amp;I1867)</f>
        <v/>
      </c>
      <c r="T1867" t="str">
        <f>IF(OR(C1867="",I1867&lt;&gt;"ENTRADA"),"",TEXT(B1867,"AAMMDD")&amp;"-"&amp;TEXT(VALUE(SUBSTITUTE(A1867,"MOV-","")),"000"))</f>
        <v/>
      </c>
    </row>
    <row r="1868" spans="1:20">
      <c r="A1868" s="20" t="s">
        <v>2227</v>
      </c>
      <c r="H1868" s="20" t="str">
        <f>+T1868</f>
        <v/>
      </c>
      <c r="J1868" s="30"/>
      <c r="K1868" s="22" t="str">
        <f>IF(I1868="","",IF(I1868="ENTRADA",ABS(J1868),-ABS(J1868)))</f>
        <v/>
      </c>
      <c r="R1868" s="22" t="str">
        <f>IF(H1868="","",H1868&amp;I1868)</f>
        <v/>
      </c>
      <c r="S1868" s="22" t="str">
        <f>IF(C1868="","",C1868&amp;I1868)</f>
        <v/>
      </c>
      <c r="T1868" t="str">
        <f>IF(OR(C1868="",I1868&lt;&gt;"ENTRADA"),"",TEXT(B1868,"AAMMDD")&amp;"-"&amp;TEXT(VALUE(SUBSTITUTE(A1868,"MOV-","")),"000"))</f>
        <v/>
      </c>
    </row>
    <row r="1869" spans="1:20">
      <c r="A1869" s="20" t="s">
        <v>2228</v>
      </c>
      <c r="H1869" s="20" t="str">
        <f>+T1869</f>
        <v/>
      </c>
      <c r="J1869" s="30"/>
      <c r="K1869" s="22" t="str">
        <f>IF(I1869="","",IF(I1869="ENTRADA",ABS(J1869),-ABS(J1869)))</f>
        <v/>
      </c>
      <c r="R1869" s="22" t="str">
        <f>IF(H1869="","",H1869&amp;I1869)</f>
        <v/>
      </c>
      <c r="S1869" s="22" t="str">
        <f>IF(C1869="","",C1869&amp;I1869)</f>
        <v/>
      </c>
      <c r="T1869" t="str">
        <f>IF(OR(C1869="",I1869&lt;&gt;"ENTRADA"),"",TEXT(B1869,"AAMMDD")&amp;"-"&amp;TEXT(VALUE(SUBSTITUTE(A1869,"MOV-","")),"000"))</f>
        <v/>
      </c>
    </row>
    <row r="1870" spans="1:20">
      <c r="A1870" s="20" t="s">
        <v>2229</v>
      </c>
      <c r="H1870" s="20" t="str">
        <f>+T1870</f>
        <v/>
      </c>
      <c r="J1870" s="30"/>
      <c r="K1870" s="22" t="str">
        <f>IF(I1870="","",IF(I1870="ENTRADA",ABS(J1870),-ABS(J1870)))</f>
        <v/>
      </c>
      <c r="R1870" s="22" t="str">
        <f>IF(H1870="","",H1870&amp;I1870)</f>
        <v/>
      </c>
      <c r="S1870" s="22" t="str">
        <f>IF(C1870="","",C1870&amp;I1870)</f>
        <v/>
      </c>
      <c r="T1870" t="str">
        <f>IF(OR(C1870="",I1870&lt;&gt;"ENTRADA"),"",TEXT(B1870,"AAMMDD")&amp;"-"&amp;TEXT(VALUE(SUBSTITUTE(A1870,"MOV-","")),"000"))</f>
        <v/>
      </c>
    </row>
    <row r="1871" spans="1:20">
      <c r="A1871" s="20" t="s">
        <v>2230</v>
      </c>
      <c r="H1871" s="20" t="str">
        <f>+T1871</f>
        <v/>
      </c>
      <c r="J1871" s="30"/>
      <c r="K1871" s="22" t="str">
        <f>IF(I1871="","",IF(I1871="ENTRADA",ABS(J1871),-ABS(J1871)))</f>
        <v/>
      </c>
      <c r="R1871" s="22" t="str">
        <f>IF(H1871="","",H1871&amp;I1871)</f>
        <v/>
      </c>
      <c r="S1871" s="22" t="str">
        <f>IF(C1871="","",C1871&amp;I1871)</f>
        <v/>
      </c>
      <c r="T1871" t="str">
        <f>IF(OR(C1871="",I1871&lt;&gt;"ENTRADA"),"",TEXT(B1871,"AAMMDD")&amp;"-"&amp;TEXT(VALUE(SUBSTITUTE(A1871,"MOV-","")),"000"))</f>
        <v/>
      </c>
    </row>
    <row r="1872" spans="1:20">
      <c r="A1872" s="20" t="s">
        <v>2231</v>
      </c>
      <c r="H1872" s="20" t="str">
        <f>+T1872</f>
        <v/>
      </c>
      <c r="J1872" s="30"/>
      <c r="K1872" s="22" t="str">
        <f>IF(I1872="","",IF(I1872="ENTRADA",ABS(J1872),-ABS(J1872)))</f>
        <v/>
      </c>
      <c r="R1872" s="22" t="str">
        <f>IF(H1872="","",H1872&amp;I1872)</f>
        <v/>
      </c>
      <c r="S1872" s="22" t="str">
        <f>IF(C1872="","",C1872&amp;I1872)</f>
        <v/>
      </c>
      <c r="T1872" t="str">
        <f>IF(OR(C1872="",I1872&lt;&gt;"ENTRADA"),"",TEXT(B1872,"AAMMDD")&amp;"-"&amp;TEXT(VALUE(SUBSTITUTE(A1872,"MOV-","")),"000"))</f>
        <v/>
      </c>
    </row>
    <row r="1873" spans="1:20">
      <c r="A1873" s="20" t="s">
        <v>2232</v>
      </c>
      <c r="H1873" s="20" t="str">
        <f>+T1873</f>
        <v/>
      </c>
      <c r="J1873" s="30"/>
      <c r="K1873" s="22" t="str">
        <f>IF(I1873="","",IF(I1873="ENTRADA",ABS(J1873),-ABS(J1873)))</f>
        <v/>
      </c>
      <c r="R1873" s="22" t="str">
        <f>IF(H1873="","",H1873&amp;I1873)</f>
        <v/>
      </c>
      <c r="S1873" s="22" t="str">
        <f>IF(C1873="","",C1873&amp;I1873)</f>
        <v/>
      </c>
      <c r="T1873" t="str">
        <f>IF(OR(C1873="",I1873&lt;&gt;"ENTRADA"),"",TEXT(B1873,"AAMMDD")&amp;"-"&amp;TEXT(VALUE(SUBSTITUTE(A1873,"MOV-","")),"000"))</f>
        <v/>
      </c>
    </row>
    <row r="1874" spans="1:20">
      <c r="A1874" s="20" t="s">
        <v>2233</v>
      </c>
      <c r="H1874" s="20" t="str">
        <f>+T1874</f>
        <v/>
      </c>
      <c r="J1874" s="30"/>
      <c r="K1874" s="22" t="str">
        <f>IF(I1874="","",IF(I1874="ENTRADA",ABS(J1874),-ABS(J1874)))</f>
        <v/>
      </c>
      <c r="R1874" s="22" t="str">
        <f>IF(H1874="","",H1874&amp;I1874)</f>
        <v/>
      </c>
      <c r="S1874" s="22" t="str">
        <f>IF(C1874="","",C1874&amp;I1874)</f>
        <v/>
      </c>
      <c r="T1874" t="str">
        <f>IF(OR(C1874="",I1874&lt;&gt;"ENTRADA"),"",TEXT(B1874,"AAMMDD")&amp;"-"&amp;TEXT(VALUE(SUBSTITUTE(A1874,"MOV-","")),"000"))</f>
        <v/>
      </c>
    </row>
    <row r="1875" spans="1:20">
      <c r="A1875" s="20" t="s">
        <v>2234</v>
      </c>
      <c r="H1875" s="20" t="str">
        <f>+T1875</f>
        <v/>
      </c>
      <c r="J1875" s="30"/>
      <c r="K1875" s="22" t="str">
        <f>IF(I1875="","",IF(I1875="ENTRADA",ABS(J1875),-ABS(J1875)))</f>
        <v/>
      </c>
      <c r="R1875" s="22" t="str">
        <f>IF(H1875="","",H1875&amp;I1875)</f>
        <v/>
      </c>
      <c r="S1875" s="22" t="str">
        <f>IF(C1875="","",C1875&amp;I1875)</f>
        <v/>
      </c>
      <c r="T1875" t="str">
        <f>IF(OR(C1875="",I1875&lt;&gt;"ENTRADA"),"",TEXT(B1875,"AAMMDD")&amp;"-"&amp;TEXT(VALUE(SUBSTITUTE(A1875,"MOV-","")),"000"))</f>
        <v/>
      </c>
    </row>
    <row r="1876" spans="1:20">
      <c r="A1876" s="20" t="s">
        <v>2235</v>
      </c>
      <c r="H1876" s="20" t="str">
        <f>+T1876</f>
        <v/>
      </c>
      <c r="J1876" s="30"/>
      <c r="K1876" s="22" t="str">
        <f>IF(I1876="","",IF(I1876="ENTRADA",ABS(J1876),-ABS(J1876)))</f>
        <v/>
      </c>
      <c r="R1876" s="22" t="str">
        <f>IF(H1876="","",H1876&amp;I1876)</f>
        <v/>
      </c>
      <c r="S1876" s="22" t="str">
        <f>IF(C1876="","",C1876&amp;I1876)</f>
        <v/>
      </c>
      <c r="T1876" t="str">
        <f>IF(OR(C1876="",I1876&lt;&gt;"ENTRADA"),"",TEXT(B1876,"AAMMDD")&amp;"-"&amp;TEXT(VALUE(SUBSTITUTE(A1876,"MOV-","")),"000"))</f>
        <v/>
      </c>
    </row>
    <row r="1877" spans="1:20">
      <c r="A1877" s="20" t="s">
        <v>2236</v>
      </c>
      <c r="H1877" s="20" t="str">
        <f>+T1877</f>
        <v/>
      </c>
      <c r="J1877" s="30"/>
      <c r="K1877" s="22" t="str">
        <f>IF(I1877="","",IF(I1877="ENTRADA",ABS(J1877),-ABS(J1877)))</f>
        <v/>
      </c>
      <c r="R1877" s="22" t="str">
        <f>IF(H1877="","",H1877&amp;I1877)</f>
        <v/>
      </c>
      <c r="S1877" s="22" t="str">
        <f>IF(C1877="","",C1877&amp;I1877)</f>
        <v/>
      </c>
      <c r="T1877" t="str">
        <f>IF(OR(C1877="",I1877&lt;&gt;"ENTRADA"),"",TEXT(B1877,"AAMMDD")&amp;"-"&amp;TEXT(VALUE(SUBSTITUTE(A1877,"MOV-","")),"000"))</f>
        <v/>
      </c>
    </row>
    <row r="1878" spans="1:20">
      <c r="A1878" s="20" t="s">
        <v>2237</v>
      </c>
      <c r="H1878" s="20" t="str">
        <f>+T1878</f>
        <v/>
      </c>
      <c r="J1878" s="30"/>
      <c r="K1878" s="22" t="str">
        <f>IF(I1878="","",IF(I1878="ENTRADA",ABS(J1878),-ABS(J1878)))</f>
        <v/>
      </c>
      <c r="R1878" s="22" t="str">
        <f>IF(H1878="","",H1878&amp;I1878)</f>
        <v/>
      </c>
      <c r="S1878" s="22" t="str">
        <f>IF(C1878="","",C1878&amp;I1878)</f>
        <v/>
      </c>
      <c r="T1878" t="str">
        <f>IF(OR(C1878="",I1878&lt;&gt;"ENTRADA"),"",TEXT(B1878,"AAMMDD")&amp;"-"&amp;TEXT(VALUE(SUBSTITUTE(A1878,"MOV-","")),"000"))</f>
        <v/>
      </c>
    </row>
    <row r="1879" spans="1:20">
      <c r="A1879" s="20" t="s">
        <v>2238</v>
      </c>
      <c r="H1879" s="20" t="str">
        <f>+T1879</f>
        <v/>
      </c>
      <c r="J1879" s="30"/>
      <c r="K1879" s="22" t="str">
        <f>IF(I1879="","",IF(I1879="ENTRADA",ABS(J1879),-ABS(J1879)))</f>
        <v/>
      </c>
      <c r="R1879" s="22" t="str">
        <f>IF(H1879="","",H1879&amp;I1879)</f>
        <v/>
      </c>
      <c r="S1879" s="22" t="str">
        <f>IF(C1879="","",C1879&amp;I1879)</f>
        <v/>
      </c>
      <c r="T1879" t="str">
        <f>IF(OR(C1879="",I1879&lt;&gt;"ENTRADA"),"",TEXT(B1879,"AAMMDD")&amp;"-"&amp;TEXT(VALUE(SUBSTITUTE(A1879,"MOV-","")),"000"))</f>
        <v/>
      </c>
    </row>
    <row r="1880" spans="1:20">
      <c r="A1880" s="20" t="s">
        <v>2239</v>
      </c>
      <c r="H1880" s="20" t="str">
        <f>+T1880</f>
        <v/>
      </c>
      <c r="J1880" s="30"/>
      <c r="K1880" s="22" t="str">
        <f>IF(I1880="","",IF(I1880="ENTRADA",ABS(J1880),-ABS(J1880)))</f>
        <v/>
      </c>
      <c r="R1880" s="22" t="str">
        <f>IF(H1880="","",H1880&amp;I1880)</f>
        <v/>
      </c>
      <c r="S1880" s="22" t="str">
        <f>IF(C1880="","",C1880&amp;I1880)</f>
        <v/>
      </c>
      <c r="T1880" t="str">
        <f>IF(OR(C1880="",I1880&lt;&gt;"ENTRADA"),"",TEXT(B1880,"AAMMDD")&amp;"-"&amp;TEXT(VALUE(SUBSTITUTE(A1880,"MOV-","")),"000"))</f>
        <v/>
      </c>
    </row>
    <row r="1881" spans="1:20">
      <c r="A1881" s="20" t="s">
        <v>2240</v>
      </c>
      <c r="H1881" s="20" t="str">
        <f>+T1881</f>
        <v/>
      </c>
      <c r="J1881" s="30"/>
      <c r="K1881" s="22" t="str">
        <f>IF(I1881="","",IF(I1881="ENTRADA",ABS(J1881),-ABS(J1881)))</f>
        <v/>
      </c>
      <c r="R1881" s="22" t="str">
        <f>IF(H1881="","",H1881&amp;I1881)</f>
        <v/>
      </c>
      <c r="S1881" s="22" t="str">
        <f>IF(C1881="","",C1881&amp;I1881)</f>
        <v/>
      </c>
      <c r="T1881" t="str">
        <f>IF(OR(C1881="",I1881&lt;&gt;"ENTRADA"),"",TEXT(B1881,"AAMMDD")&amp;"-"&amp;TEXT(VALUE(SUBSTITUTE(A1881,"MOV-","")),"000"))</f>
        <v/>
      </c>
    </row>
    <row r="1882" spans="1:20">
      <c r="A1882" s="20" t="s">
        <v>2241</v>
      </c>
      <c r="H1882" s="20" t="str">
        <f>+T1882</f>
        <v/>
      </c>
      <c r="J1882" s="30"/>
      <c r="K1882" s="22" t="str">
        <f>IF(I1882="","",IF(I1882="ENTRADA",ABS(J1882),-ABS(J1882)))</f>
        <v/>
      </c>
      <c r="R1882" s="22" t="str">
        <f>IF(H1882="","",H1882&amp;I1882)</f>
        <v/>
      </c>
      <c r="S1882" s="22" t="str">
        <f>IF(C1882="","",C1882&amp;I1882)</f>
        <v/>
      </c>
      <c r="T1882" t="str">
        <f>IF(OR(C1882="",I1882&lt;&gt;"ENTRADA"),"",TEXT(B1882,"AAMMDD")&amp;"-"&amp;TEXT(VALUE(SUBSTITUTE(A1882,"MOV-","")),"000"))</f>
        <v/>
      </c>
    </row>
    <row r="1883" spans="1:20">
      <c r="A1883" s="20" t="s">
        <v>2242</v>
      </c>
      <c r="H1883" s="20" t="str">
        <f>+T1883</f>
        <v/>
      </c>
      <c r="J1883" s="30"/>
      <c r="K1883" s="22" t="str">
        <f>IF(I1883="","",IF(I1883="ENTRADA",ABS(J1883),-ABS(J1883)))</f>
        <v/>
      </c>
      <c r="R1883" s="22" t="str">
        <f>IF(H1883="","",H1883&amp;I1883)</f>
        <v/>
      </c>
      <c r="S1883" s="22" t="str">
        <f>IF(C1883="","",C1883&amp;I1883)</f>
        <v/>
      </c>
      <c r="T1883" t="str">
        <f>IF(OR(C1883="",I1883&lt;&gt;"ENTRADA"),"",TEXT(B1883,"AAMMDD")&amp;"-"&amp;TEXT(VALUE(SUBSTITUTE(A1883,"MOV-","")),"000"))</f>
        <v/>
      </c>
    </row>
    <row r="1884" spans="1:20">
      <c r="A1884" s="20" t="s">
        <v>2243</v>
      </c>
      <c r="H1884" s="20" t="str">
        <f>+T1884</f>
        <v/>
      </c>
      <c r="J1884" s="30"/>
      <c r="K1884" s="22" t="str">
        <f>IF(I1884="","",IF(I1884="ENTRADA",ABS(J1884),-ABS(J1884)))</f>
        <v/>
      </c>
      <c r="R1884" s="22" t="str">
        <f>IF(H1884="","",H1884&amp;I1884)</f>
        <v/>
      </c>
      <c r="S1884" s="22" t="str">
        <f>IF(C1884="","",C1884&amp;I1884)</f>
        <v/>
      </c>
      <c r="T1884" t="str">
        <f>IF(OR(C1884="",I1884&lt;&gt;"ENTRADA"),"",TEXT(B1884,"AAMMDD")&amp;"-"&amp;TEXT(VALUE(SUBSTITUTE(A1884,"MOV-","")),"000"))</f>
        <v/>
      </c>
    </row>
    <row r="1885" spans="1:20">
      <c r="A1885" s="20" t="s">
        <v>2244</v>
      </c>
      <c r="H1885" s="20" t="str">
        <f>+T1885</f>
        <v/>
      </c>
      <c r="J1885" s="30"/>
      <c r="K1885" s="22" t="str">
        <f>IF(I1885="","",IF(I1885="ENTRADA",ABS(J1885),-ABS(J1885)))</f>
        <v/>
      </c>
      <c r="R1885" s="22" t="str">
        <f>IF(H1885="","",H1885&amp;I1885)</f>
        <v/>
      </c>
      <c r="S1885" s="22" t="str">
        <f>IF(C1885="","",C1885&amp;I1885)</f>
        <v/>
      </c>
      <c r="T1885" t="str">
        <f>IF(OR(C1885="",I1885&lt;&gt;"ENTRADA"),"",TEXT(B1885,"AAMMDD")&amp;"-"&amp;TEXT(VALUE(SUBSTITUTE(A1885,"MOV-","")),"000"))</f>
        <v/>
      </c>
    </row>
    <row r="1886" spans="1:20">
      <c r="A1886" s="20" t="s">
        <v>2245</v>
      </c>
      <c r="H1886" s="20" t="str">
        <f>+T1886</f>
        <v/>
      </c>
      <c r="J1886" s="30"/>
      <c r="K1886" s="22" t="str">
        <f>IF(I1886="","",IF(I1886="ENTRADA",ABS(J1886),-ABS(J1886)))</f>
        <v/>
      </c>
      <c r="R1886" s="22" t="str">
        <f>IF(H1886="","",H1886&amp;I1886)</f>
        <v/>
      </c>
      <c r="S1886" s="22" t="str">
        <f>IF(C1886="","",C1886&amp;I1886)</f>
        <v/>
      </c>
      <c r="T1886" t="str">
        <f>IF(OR(C1886="",I1886&lt;&gt;"ENTRADA"),"",TEXT(B1886,"AAMMDD")&amp;"-"&amp;TEXT(VALUE(SUBSTITUTE(A1886,"MOV-","")),"000"))</f>
        <v/>
      </c>
    </row>
    <row r="1887" spans="1:20">
      <c r="A1887" s="20" t="s">
        <v>2246</v>
      </c>
      <c r="H1887" s="20" t="str">
        <f>+T1887</f>
        <v/>
      </c>
      <c r="J1887" s="30"/>
      <c r="K1887" s="22" t="str">
        <f>IF(I1887="","",IF(I1887="ENTRADA",ABS(J1887),-ABS(J1887)))</f>
        <v/>
      </c>
      <c r="R1887" s="22" t="str">
        <f>IF(H1887="","",H1887&amp;I1887)</f>
        <v/>
      </c>
      <c r="S1887" s="22" t="str">
        <f>IF(C1887="","",C1887&amp;I1887)</f>
        <v/>
      </c>
      <c r="T1887" t="str">
        <f>IF(OR(C1887="",I1887&lt;&gt;"ENTRADA"),"",TEXT(B1887,"AAMMDD")&amp;"-"&amp;TEXT(VALUE(SUBSTITUTE(A1887,"MOV-","")),"000"))</f>
        <v/>
      </c>
    </row>
    <row r="1888" spans="1:20">
      <c r="A1888" s="20" t="s">
        <v>2247</v>
      </c>
      <c r="H1888" s="20" t="str">
        <f>+T1888</f>
        <v/>
      </c>
      <c r="J1888" s="30"/>
      <c r="K1888" s="22" t="str">
        <f>IF(I1888="","",IF(I1888="ENTRADA",ABS(J1888),-ABS(J1888)))</f>
        <v/>
      </c>
      <c r="R1888" s="22" t="str">
        <f>IF(H1888="","",H1888&amp;I1888)</f>
        <v/>
      </c>
      <c r="S1888" s="22" t="str">
        <f>IF(C1888="","",C1888&amp;I1888)</f>
        <v/>
      </c>
      <c r="T1888" t="str">
        <f>IF(OR(C1888="",I1888&lt;&gt;"ENTRADA"),"",TEXT(B1888,"AAMMDD")&amp;"-"&amp;TEXT(VALUE(SUBSTITUTE(A1888,"MOV-","")),"000"))</f>
        <v/>
      </c>
    </row>
    <row r="1889" spans="1:20">
      <c r="A1889" s="20" t="s">
        <v>2248</v>
      </c>
      <c r="H1889" s="20" t="str">
        <f>+T1889</f>
        <v/>
      </c>
      <c r="J1889" s="30"/>
      <c r="K1889" s="22" t="str">
        <f>IF(I1889="","",IF(I1889="ENTRADA",ABS(J1889),-ABS(J1889)))</f>
        <v/>
      </c>
      <c r="R1889" s="22" t="str">
        <f>IF(H1889="","",H1889&amp;I1889)</f>
        <v/>
      </c>
      <c r="S1889" s="22" t="str">
        <f>IF(C1889="","",C1889&amp;I1889)</f>
        <v/>
      </c>
      <c r="T1889" t="str">
        <f>IF(OR(C1889="",I1889&lt;&gt;"ENTRADA"),"",TEXT(B1889,"AAMMDD")&amp;"-"&amp;TEXT(VALUE(SUBSTITUTE(A1889,"MOV-","")),"000"))</f>
        <v/>
      </c>
    </row>
    <row r="1890" spans="1:20">
      <c r="A1890" s="20" t="s">
        <v>2249</v>
      </c>
      <c r="H1890" s="20" t="str">
        <f>+T1890</f>
        <v/>
      </c>
      <c r="J1890" s="30"/>
      <c r="K1890" s="22" t="str">
        <f>IF(I1890="","",IF(I1890="ENTRADA",ABS(J1890),-ABS(J1890)))</f>
        <v/>
      </c>
      <c r="R1890" s="22" t="str">
        <f>IF(H1890="","",H1890&amp;I1890)</f>
        <v/>
      </c>
      <c r="S1890" s="22" t="str">
        <f>IF(C1890="","",C1890&amp;I1890)</f>
        <v/>
      </c>
      <c r="T1890" t="str">
        <f>IF(OR(C1890="",I1890&lt;&gt;"ENTRADA"),"",TEXT(B1890,"AAMMDD")&amp;"-"&amp;TEXT(VALUE(SUBSTITUTE(A1890,"MOV-","")),"000"))</f>
        <v/>
      </c>
    </row>
    <row r="1891" spans="1:20">
      <c r="A1891" s="20" t="s">
        <v>2250</v>
      </c>
      <c r="H1891" s="20" t="str">
        <f>+T1891</f>
        <v/>
      </c>
      <c r="J1891" s="30"/>
      <c r="K1891" s="22" t="str">
        <f>IF(I1891="","",IF(I1891="ENTRADA",ABS(J1891),-ABS(J1891)))</f>
        <v/>
      </c>
      <c r="R1891" s="22" t="str">
        <f>IF(H1891="","",H1891&amp;I1891)</f>
        <v/>
      </c>
      <c r="S1891" s="22" t="str">
        <f>IF(C1891="","",C1891&amp;I1891)</f>
        <v/>
      </c>
      <c r="T1891" t="str">
        <f>IF(OR(C1891="",I1891&lt;&gt;"ENTRADA"),"",TEXT(B1891,"AAMMDD")&amp;"-"&amp;TEXT(VALUE(SUBSTITUTE(A1891,"MOV-","")),"000"))</f>
        <v/>
      </c>
    </row>
    <row r="1892" spans="1:20">
      <c r="A1892" s="20" t="s">
        <v>2251</v>
      </c>
      <c r="H1892" s="20" t="str">
        <f>+T1892</f>
        <v/>
      </c>
      <c r="J1892" s="30"/>
      <c r="K1892" s="22" t="str">
        <f>IF(I1892="","",IF(I1892="ENTRADA",ABS(J1892),-ABS(J1892)))</f>
        <v/>
      </c>
      <c r="R1892" s="22" t="str">
        <f>IF(H1892="","",H1892&amp;I1892)</f>
        <v/>
      </c>
      <c r="S1892" s="22" t="str">
        <f>IF(C1892="","",C1892&amp;I1892)</f>
        <v/>
      </c>
      <c r="T1892" t="str">
        <f>IF(OR(C1892="",I1892&lt;&gt;"ENTRADA"),"",TEXT(B1892,"AAMMDD")&amp;"-"&amp;TEXT(VALUE(SUBSTITUTE(A1892,"MOV-","")),"000"))</f>
        <v/>
      </c>
    </row>
    <row r="1893" spans="1:20">
      <c r="A1893" s="20" t="s">
        <v>2252</v>
      </c>
      <c r="H1893" s="20" t="str">
        <f>+T1893</f>
        <v/>
      </c>
      <c r="J1893" s="30"/>
      <c r="K1893" s="22" t="str">
        <f>IF(I1893="","",IF(I1893="ENTRADA",ABS(J1893),-ABS(J1893)))</f>
        <v/>
      </c>
      <c r="R1893" s="22" t="str">
        <f>IF(H1893="","",H1893&amp;I1893)</f>
        <v/>
      </c>
      <c r="S1893" s="22" t="str">
        <f>IF(C1893="","",C1893&amp;I1893)</f>
        <v/>
      </c>
      <c r="T1893" t="str">
        <f>IF(OR(C1893="",I1893&lt;&gt;"ENTRADA"),"",TEXT(B1893,"AAMMDD")&amp;"-"&amp;TEXT(VALUE(SUBSTITUTE(A1893,"MOV-","")),"000"))</f>
        <v/>
      </c>
    </row>
    <row r="1894" spans="1:20">
      <c r="A1894" s="20" t="s">
        <v>2253</v>
      </c>
      <c r="H1894" s="20" t="str">
        <f>+T1894</f>
        <v/>
      </c>
      <c r="J1894" s="30"/>
      <c r="K1894" s="22" t="str">
        <f>IF(I1894="","",IF(I1894="ENTRADA",ABS(J1894),-ABS(J1894)))</f>
        <v/>
      </c>
      <c r="R1894" s="22" t="str">
        <f>IF(H1894="","",H1894&amp;I1894)</f>
        <v/>
      </c>
      <c r="S1894" s="22" t="str">
        <f>IF(C1894="","",C1894&amp;I1894)</f>
        <v/>
      </c>
      <c r="T1894" t="str">
        <f>IF(OR(C1894="",I1894&lt;&gt;"ENTRADA"),"",TEXT(B1894,"AAMMDD")&amp;"-"&amp;TEXT(VALUE(SUBSTITUTE(A1894,"MOV-","")),"000"))</f>
        <v/>
      </c>
    </row>
    <row r="1895" spans="1:20">
      <c r="A1895" s="20" t="s">
        <v>2254</v>
      </c>
      <c r="H1895" s="20" t="str">
        <f>+T1895</f>
        <v/>
      </c>
      <c r="J1895" s="30"/>
      <c r="K1895" s="22" t="str">
        <f>IF(I1895="","",IF(I1895="ENTRADA",ABS(J1895),-ABS(J1895)))</f>
        <v/>
      </c>
      <c r="R1895" s="22" t="str">
        <f>IF(H1895="","",H1895&amp;I1895)</f>
        <v/>
      </c>
      <c r="S1895" s="22" t="str">
        <f>IF(C1895="","",C1895&amp;I1895)</f>
        <v/>
      </c>
      <c r="T1895" t="str">
        <f>IF(OR(C1895="",I1895&lt;&gt;"ENTRADA"),"",TEXT(B1895,"AAMMDD")&amp;"-"&amp;TEXT(VALUE(SUBSTITUTE(A1895,"MOV-","")),"000"))</f>
        <v/>
      </c>
    </row>
    <row r="1896" spans="1:20">
      <c r="A1896" s="20" t="s">
        <v>2255</v>
      </c>
      <c r="H1896" s="20" t="str">
        <f>+T1896</f>
        <v/>
      </c>
      <c r="J1896" s="30"/>
      <c r="K1896" s="22" t="str">
        <f>IF(I1896="","",IF(I1896="ENTRADA",ABS(J1896),-ABS(J1896)))</f>
        <v/>
      </c>
      <c r="R1896" s="22" t="str">
        <f>IF(H1896="","",H1896&amp;I1896)</f>
        <v/>
      </c>
      <c r="S1896" s="22" t="str">
        <f>IF(C1896="","",C1896&amp;I1896)</f>
        <v/>
      </c>
      <c r="T1896" t="str">
        <f>IF(OR(C1896="",I1896&lt;&gt;"ENTRADA"),"",TEXT(B1896,"AAMMDD")&amp;"-"&amp;TEXT(VALUE(SUBSTITUTE(A1896,"MOV-","")),"000"))</f>
        <v/>
      </c>
    </row>
    <row r="1897" spans="1:20">
      <c r="A1897" s="20" t="s">
        <v>2256</v>
      </c>
      <c r="H1897" s="20" t="str">
        <f>+T1897</f>
        <v/>
      </c>
      <c r="J1897" s="30"/>
      <c r="K1897" s="22" t="str">
        <f>IF(I1897="","",IF(I1897="ENTRADA",ABS(J1897),-ABS(J1897)))</f>
        <v/>
      </c>
      <c r="R1897" s="22" t="str">
        <f>IF(H1897="","",H1897&amp;I1897)</f>
        <v/>
      </c>
      <c r="S1897" s="22" t="str">
        <f>IF(C1897="","",C1897&amp;I1897)</f>
        <v/>
      </c>
      <c r="T1897" t="str">
        <f>IF(OR(C1897="",I1897&lt;&gt;"ENTRADA"),"",TEXT(B1897,"AAMMDD")&amp;"-"&amp;TEXT(VALUE(SUBSTITUTE(A1897,"MOV-","")),"000"))</f>
        <v/>
      </c>
    </row>
    <row r="1898" spans="1:20">
      <c r="A1898" s="20" t="s">
        <v>2257</v>
      </c>
      <c r="H1898" s="20" t="str">
        <f>+T1898</f>
        <v/>
      </c>
      <c r="J1898" s="30"/>
      <c r="K1898" s="22" t="str">
        <f>IF(I1898="","",IF(I1898="ENTRADA",ABS(J1898),-ABS(J1898)))</f>
        <v/>
      </c>
      <c r="R1898" s="22" t="str">
        <f>IF(H1898="","",H1898&amp;I1898)</f>
        <v/>
      </c>
      <c r="S1898" s="22" t="str">
        <f>IF(C1898="","",C1898&amp;I1898)</f>
        <v/>
      </c>
      <c r="T1898" t="str">
        <f>IF(OR(C1898="",I1898&lt;&gt;"ENTRADA"),"",TEXT(B1898,"AAMMDD")&amp;"-"&amp;TEXT(VALUE(SUBSTITUTE(A1898,"MOV-","")),"000"))</f>
        <v/>
      </c>
    </row>
    <row r="1899" spans="1:20">
      <c r="A1899" s="20" t="s">
        <v>2258</v>
      </c>
      <c r="H1899" s="20" t="str">
        <f>+T1899</f>
        <v/>
      </c>
      <c r="J1899" s="30"/>
      <c r="K1899" s="22" t="str">
        <f>IF(I1899="","",IF(I1899="ENTRADA",ABS(J1899),-ABS(J1899)))</f>
        <v/>
      </c>
      <c r="R1899" s="22" t="str">
        <f>IF(H1899="","",H1899&amp;I1899)</f>
        <v/>
      </c>
      <c r="S1899" s="22" t="str">
        <f>IF(C1899="","",C1899&amp;I1899)</f>
        <v/>
      </c>
      <c r="T1899" t="str">
        <f>IF(OR(C1899="",I1899&lt;&gt;"ENTRADA"),"",TEXT(B1899,"AAMMDD")&amp;"-"&amp;TEXT(VALUE(SUBSTITUTE(A1899,"MOV-","")),"000"))</f>
        <v/>
      </c>
    </row>
    <row r="1900" spans="1:20">
      <c r="A1900" s="20" t="s">
        <v>2259</v>
      </c>
      <c r="H1900" s="20" t="str">
        <f>+T1900</f>
        <v/>
      </c>
      <c r="J1900" s="30"/>
      <c r="K1900" s="22" t="str">
        <f>IF(I1900="","",IF(I1900="ENTRADA",ABS(J1900),-ABS(J1900)))</f>
        <v/>
      </c>
      <c r="R1900" s="22" t="str">
        <f>IF(H1900="","",H1900&amp;I1900)</f>
        <v/>
      </c>
      <c r="S1900" s="22" t="str">
        <f>IF(C1900="","",C1900&amp;I1900)</f>
        <v/>
      </c>
      <c r="T1900" t="str">
        <f>IF(OR(C1900="",I1900&lt;&gt;"ENTRADA"),"",TEXT(B1900,"AAMMDD")&amp;"-"&amp;TEXT(VALUE(SUBSTITUTE(A1900,"MOV-","")),"000"))</f>
        <v/>
      </c>
    </row>
    <row r="1901" spans="1:20">
      <c r="A1901" s="20" t="s">
        <v>2260</v>
      </c>
      <c r="H1901" s="20" t="str">
        <f>+T1901</f>
        <v/>
      </c>
      <c r="J1901" s="30"/>
      <c r="K1901" s="22" t="str">
        <f>IF(I1901="","",IF(I1901="ENTRADA",ABS(J1901),-ABS(J1901)))</f>
        <v/>
      </c>
      <c r="R1901" s="22" t="str">
        <f>IF(H1901="","",H1901&amp;I1901)</f>
        <v/>
      </c>
      <c r="S1901" s="22" t="str">
        <f>IF(C1901="","",C1901&amp;I1901)</f>
        <v/>
      </c>
      <c r="T1901" t="str">
        <f>IF(OR(C1901="",I1901&lt;&gt;"ENTRADA"),"",TEXT(B1901,"AAMMDD")&amp;"-"&amp;TEXT(VALUE(SUBSTITUTE(A1901,"MOV-","")),"000"))</f>
        <v/>
      </c>
    </row>
    <row r="1902" spans="1:20">
      <c r="A1902" s="20" t="s">
        <v>2261</v>
      </c>
      <c r="H1902" s="20" t="str">
        <f>+T1902</f>
        <v/>
      </c>
      <c r="J1902" s="30"/>
      <c r="K1902" s="22" t="str">
        <f>IF(I1902="","",IF(I1902="ENTRADA",ABS(J1902),-ABS(J1902)))</f>
        <v/>
      </c>
      <c r="R1902" s="22" t="str">
        <f>IF(H1902="","",H1902&amp;I1902)</f>
        <v/>
      </c>
      <c r="S1902" s="22" t="str">
        <f>IF(C1902="","",C1902&amp;I1902)</f>
        <v/>
      </c>
      <c r="T1902" t="str">
        <f>IF(OR(C1902="",I1902&lt;&gt;"ENTRADA"),"",TEXT(B1902,"AAMMDD")&amp;"-"&amp;TEXT(VALUE(SUBSTITUTE(A1902,"MOV-","")),"000"))</f>
        <v/>
      </c>
    </row>
    <row r="1903" spans="1:20">
      <c r="A1903" s="20" t="s">
        <v>2262</v>
      </c>
      <c r="H1903" s="20" t="str">
        <f>+T1903</f>
        <v/>
      </c>
      <c r="J1903" s="30"/>
      <c r="K1903" s="22" t="str">
        <f>IF(I1903="","",IF(I1903="ENTRADA",ABS(J1903),-ABS(J1903)))</f>
        <v/>
      </c>
      <c r="R1903" s="22" t="str">
        <f>IF(H1903="","",H1903&amp;I1903)</f>
        <v/>
      </c>
      <c r="S1903" s="22" t="str">
        <f>IF(C1903="","",C1903&amp;I1903)</f>
        <v/>
      </c>
      <c r="T1903" t="str">
        <f>IF(OR(C1903="",I1903&lt;&gt;"ENTRADA"),"",TEXT(B1903,"AAMMDD")&amp;"-"&amp;TEXT(VALUE(SUBSTITUTE(A1903,"MOV-","")),"000"))</f>
        <v/>
      </c>
    </row>
    <row r="1904" spans="1:20">
      <c r="A1904" s="20" t="s">
        <v>2263</v>
      </c>
      <c r="H1904" s="20" t="str">
        <f>+T1904</f>
        <v/>
      </c>
      <c r="J1904" s="30"/>
      <c r="K1904" s="22" t="str">
        <f>IF(I1904="","",IF(I1904="ENTRADA",ABS(J1904),-ABS(J1904)))</f>
        <v/>
      </c>
      <c r="R1904" s="22" t="str">
        <f>IF(H1904="","",H1904&amp;I1904)</f>
        <v/>
      </c>
      <c r="S1904" s="22" t="str">
        <f>IF(C1904="","",C1904&amp;I1904)</f>
        <v/>
      </c>
      <c r="T1904" t="str">
        <f>IF(OR(C1904="",I1904&lt;&gt;"ENTRADA"),"",TEXT(B1904,"AAMMDD")&amp;"-"&amp;TEXT(VALUE(SUBSTITUTE(A1904,"MOV-","")),"000"))</f>
        <v/>
      </c>
    </row>
    <row r="1905" spans="1:20">
      <c r="A1905" s="20" t="s">
        <v>2264</v>
      </c>
      <c r="H1905" s="20" t="str">
        <f>+T1905</f>
        <v/>
      </c>
      <c r="J1905" s="30"/>
      <c r="K1905" s="22" t="str">
        <f>IF(I1905="","",IF(I1905="ENTRADA",ABS(J1905),-ABS(J1905)))</f>
        <v/>
      </c>
      <c r="R1905" s="22" t="str">
        <f>IF(H1905="","",H1905&amp;I1905)</f>
        <v/>
      </c>
      <c r="S1905" s="22" t="str">
        <f>IF(C1905="","",C1905&amp;I1905)</f>
        <v/>
      </c>
      <c r="T1905" t="str">
        <f>IF(OR(C1905="",I1905&lt;&gt;"ENTRADA"),"",TEXT(B1905,"AAMMDD")&amp;"-"&amp;TEXT(VALUE(SUBSTITUTE(A1905,"MOV-","")),"000"))</f>
        <v/>
      </c>
    </row>
    <row r="1906" spans="1:20">
      <c r="A1906" s="20" t="s">
        <v>2265</v>
      </c>
      <c r="H1906" s="20" t="str">
        <f>+T1906</f>
        <v/>
      </c>
      <c r="J1906" s="30"/>
      <c r="K1906" s="22" t="str">
        <f>IF(I1906="","",IF(I1906="ENTRADA",ABS(J1906),-ABS(J1906)))</f>
        <v/>
      </c>
      <c r="R1906" s="22" t="str">
        <f>IF(H1906="","",H1906&amp;I1906)</f>
        <v/>
      </c>
      <c r="S1906" s="22" t="str">
        <f>IF(C1906="","",C1906&amp;I1906)</f>
        <v/>
      </c>
      <c r="T1906" t="str">
        <f>IF(OR(C1906="",I1906&lt;&gt;"ENTRADA"),"",TEXT(B1906,"AAMMDD")&amp;"-"&amp;TEXT(VALUE(SUBSTITUTE(A1906,"MOV-","")),"000"))</f>
        <v/>
      </c>
    </row>
    <row r="1907" spans="1:20">
      <c r="A1907" s="20" t="s">
        <v>2266</v>
      </c>
      <c r="H1907" s="20" t="str">
        <f>+T1907</f>
        <v/>
      </c>
      <c r="J1907" s="30"/>
      <c r="K1907" s="22" t="str">
        <f>IF(I1907="","",IF(I1907="ENTRADA",ABS(J1907),-ABS(J1907)))</f>
        <v/>
      </c>
      <c r="R1907" s="22" t="str">
        <f>IF(H1907="","",H1907&amp;I1907)</f>
        <v/>
      </c>
      <c r="S1907" s="22" t="str">
        <f>IF(C1907="","",C1907&amp;I1907)</f>
        <v/>
      </c>
      <c r="T1907" t="str">
        <f>IF(OR(C1907="",I1907&lt;&gt;"ENTRADA"),"",TEXT(B1907,"AAMMDD")&amp;"-"&amp;TEXT(VALUE(SUBSTITUTE(A1907,"MOV-","")),"000"))</f>
        <v/>
      </c>
    </row>
    <row r="1908" spans="1:20">
      <c r="A1908" s="20" t="s">
        <v>2267</v>
      </c>
      <c r="H1908" s="20" t="str">
        <f>+T1908</f>
        <v/>
      </c>
      <c r="J1908" s="30"/>
      <c r="K1908" s="22" t="str">
        <f>IF(I1908="","",IF(I1908="ENTRADA",ABS(J1908),-ABS(J1908)))</f>
        <v/>
      </c>
      <c r="R1908" s="22" t="str">
        <f>IF(H1908="","",H1908&amp;I1908)</f>
        <v/>
      </c>
      <c r="S1908" s="22" t="str">
        <f>IF(C1908="","",C1908&amp;I1908)</f>
        <v/>
      </c>
      <c r="T1908" t="str">
        <f>IF(OR(C1908="",I1908&lt;&gt;"ENTRADA"),"",TEXT(B1908,"AAMMDD")&amp;"-"&amp;TEXT(VALUE(SUBSTITUTE(A1908,"MOV-","")),"000"))</f>
        <v/>
      </c>
    </row>
    <row r="1909" spans="1:20">
      <c r="A1909" s="20" t="s">
        <v>2268</v>
      </c>
      <c r="H1909" s="20" t="str">
        <f>+T1909</f>
        <v/>
      </c>
      <c r="J1909" s="30"/>
      <c r="K1909" s="22" t="str">
        <f>IF(I1909="","",IF(I1909="ENTRADA",ABS(J1909),-ABS(J1909)))</f>
        <v/>
      </c>
      <c r="R1909" s="22" t="str">
        <f>IF(H1909="","",H1909&amp;I1909)</f>
        <v/>
      </c>
      <c r="S1909" s="22" t="str">
        <f>IF(C1909="","",C1909&amp;I1909)</f>
        <v/>
      </c>
      <c r="T1909" t="str">
        <f>IF(OR(C1909="",I1909&lt;&gt;"ENTRADA"),"",TEXT(B1909,"AAMMDD")&amp;"-"&amp;TEXT(VALUE(SUBSTITUTE(A1909,"MOV-","")),"000"))</f>
        <v/>
      </c>
    </row>
    <row r="1910" spans="1:20">
      <c r="A1910" s="20" t="s">
        <v>2269</v>
      </c>
      <c r="H1910" s="20" t="str">
        <f>+T1910</f>
        <v/>
      </c>
      <c r="J1910" s="30"/>
      <c r="K1910" s="22" t="str">
        <f>IF(I1910="","",IF(I1910="ENTRADA",ABS(J1910),-ABS(J1910)))</f>
        <v/>
      </c>
      <c r="R1910" s="22" t="str">
        <f>IF(H1910="","",H1910&amp;I1910)</f>
        <v/>
      </c>
      <c r="S1910" s="22" t="str">
        <f>IF(C1910="","",C1910&amp;I1910)</f>
        <v/>
      </c>
      <c r="T1910" t="str">
        <f>IF(OR(C1910="",I1910&lt;&gt;"ENTRADA"),"",TEXT(B1910,"AAMMDD")&amp;"-"&amp;TEXT(VALUE(SUBSTITUTE(A1910,"MOV-","")),"000"))</f>
        <v/>
      </c>
    </row>
    <row r="1911" spans="1:20">
      <c r="A1911" s="20" t="s">
        <v>2270</v>
      </c>
      <c r="H1911" s="20" t="str">
        <f>+T1911</f>
        <v/>
      </c>
      <c r="J1911" s="30"/>
      <c r="K1911" s="22" t="str">
        <f>IF(I1911="","",IF(I1911="ENTRADA",ABS(J1911),-ABS(J1911)))</f>
        <v/>
      </c>
      <c r="R1911" s="22" t="str">
        <f>IF(H1911="","",H1911&amp;I1911)</f>
        <v/>
      </c>
      <c r="S1911" s="22" t="str">
        <f>IF(C1911="","",C1911&amp;I1911)</f>
        <v/>
      </c>
      <c r="T1911" t="str">
        <f>IF(OR(C1911="",I1911&lt;&gt;"ENTRADA"),"",TEXT(B1911,"AAMMDD")&amp;"-"&amp;TEXT(VALUE(SUBSTITUTE(A1911,"MOV-","")),"000"))</f>
        <v/>
      </c>
    </row>
    <row r="1912" spans="1:20">
      <c r="A1912" s="20" t="s">
        <v>2271</v>
      </c>
      <c r="H1912" s="20" t="str">
        <f>+T1912</f>
        <v/>
      </c>
      <c r="J1912" s="30"/>
      <c r="K1912" s="22" t="str">
        <f>IF(I1912="","",IF(I1912="ENTRADA",ABS(J1912),-ABS(J1912)))</f>
        <v/>
      </c>
      <c r="R1912" s="22" t="str">
        <f>IF(H1912="","",H1912&amp;I1912)</f>
        <v/>
      </c>
      <c r="S1912" s="22" t="str">
        <f>IF(C1912="","",C1912&amp;I1912)</f>
        <v/>
      </c>
      <c r="T1912" t="str">
        <f>IF(OR(C1912="",I1912&lt;&gt;"ENTRADA"),"",TEXT(B1912,"AAMMDD")&amp;"-"&amp;TEXT(VALUE(SUBSTITUTE(A1912,"MOV-","")),"000"))</f>
        <v/>
      </c>
    </row>
    <row r="1913" spans="1:20">
      <c r="A1913" s="20" t="s">
        <v>2272</v>
      </c>
      <c r="H1913" s="20" t="str">
        <f>+T1913</f>
        <v/>
      </c>
      <c r="J1913" s="30"/>
      <c r="K1913" s="22" t="str">
        <f>IF(I1913="","",IF(I1913="ENTRADA",ABS(J1913),-ABS(J1913)))</f>
        <v/>
      </c>
      <c r="R1913" s="22" t="str">
        <f>IF(H1913="","",H1913&amp;I1913)</f>
        <v/>
      </c>
      <c r="S1913" s="22" t="str">
        <f>IF(C1913="","",C1913&amp;I1913)</f>
        <v/>
      </c>
      <c r="T1913" t="str">
        <f>IF(OR(C1913="",I1913&lt;&gt;"ENTRADA"),"",TEXT(B1913,"AAMMDD")&amp;"-"&amp;TEXT(VALUE(SUBSTITUTE(A1913,"MOV-","")),"000"))</f>
        <v/>
      </c>
    </row>
    <row r="1914" spans="1:20">
      <c r="A1914" s="20" t="s">
        <v>2273</v>
      </c>
      <c r="H1914" s="20" t="str">
        <f>+T1914</f>
        <v/>
      </c>
      <c r="J1914" s="30"/>
      <c r="K1914" s="22" t="str">
        <f>IF(I1914="","",IF(I1914="ENTRADA",ABS(J1914),-ABS(J1914)))</f>
        <v/>
      </c>
      <c r="R1914" s="22" t="str">
        <f>IF(H1914="","",H1914&amp;I1914)</f>
        <v/>
      </c>
      <c r="S1914" s="22" t="str">
        <f>IF(C1914="","",C1914&amp;I1914)</f>
        <v/>
      </c>
      <c r="T1914" t="str">
        <f>IF(OR(C1914="",I1914&lt;&gt;"ENTRADA"),"",TEXT(B1914,"AAMMDD")&amp;"-"&amp;TEXT(VALUE(SUBSTITUTE(A1914,"MOV-","")),"000"))</f>
        <v/>
      </c>
    </row>
    <row r="1915" spans="1:20">
      <c r="A1915" s="20" t="s">
        <v>2274</v>
      </c>
      <c r="H1915" s="20" t="str">
        <f>+T1915</f>
        <v/>
      </c>
      <c r="J1915" s="30"/>
      <c r="K1915" s="22" t="str">
        <f>IF(I1915="","",IF(I1915="ENTRADA",ABS(J1915),-ABS(J1915)))</f>
        <v/>
      </c>
      <c r="R1915" s="22" t="str">
        <f>IF(H1915="","",H1915&amp;I1915)</f>
        <v/>
      </c>
      <c r="S1915" s="22" t="str">
        <f>IF(C1915="","",C1915&amp;I1915)</f>
        <v/>
      </c>
      <c r="T1915" t="str">
        <f>IF(OR(C1915="",I1915&lt;&gt;"ENTRADA"),"",TEXT(B1915,"AAMMDD")&amp;"-"&amp;TEXT(VALUE(SUBSTITUTE(A1915,"MOV-","")),"000"))</f>
        <v/>
      </c>
    </row>
    <row r="1916" spans="1:20">
      <c r="A1916" s="20" t="s">
        <v>2275</v>
      </c>
      <c r="H1916" s="20" t="str">
        <f>+T1916</f>
        <v/>
      </c>
      <c r="J1916" s="30"/>
      <c r="K1916" s="22" t="str">
        <f>IF(I1916="","",IF(I1916="ENTRADA",ABS(J1916),-ABS(J1916)))</f>
        <v/>
      </c>
      <c r="R1916" s="22" t="str">
        <f>IF(H1916="","",H1916&amp;I1916)</f>
        <v/>
      </c>
      <c r="S1916" s="22" t="str">
        <f>IF(C1916="","",C1916&amp;I1916)</f>
        <v/>
      </c>
      <c r="T1916" t="str">
        <f>IF(OR(C1916="",I1916&lt;&gt;"ENTRADA"),"",TEXT(B1916,"AAMMDD")&amp;"-"&amp;TEXT(VALUE(SUBSTITUTE(A1916,"MOV-","")),"000"))</f>
        <v/>
      </c>
    </row>
    <row r="1917" spans="1:20">
      <c r="A1917" s="20" t="s">
        <v>2276</v>
      </c>
      <c r="H1917" s="20" t="str">
        <f>+T1917</f>
        <v/>
      </c>
      <c r="J1917" s="30"/>
      <c r="K1917" s="22" t="str">
        <f>IF(I1917="","",IF(I1917="ENTRADA",ABS(J1917),-ABS(J1917)))</f>
        <v/>
      </c>
      <c r="R1917" s="22" t="str">
        <f>IF(H1917="","",H1917&amp;I1917)</f>
        <v/>
      </c>
      <c r="S1917" s="22" t="str">
        <f>IF(C1917="","",C1917&amp;I1917)</f>
        <v/>
      </c>
      <c r="T1917" t="str">
        <f>IF(OR(C1917="",I1917&lt;&gt;"ENTRADA"),"",TEXT(B1917,"AAMMDD")&amp;"-"&amp;TEXT(VALUE(SUBSTITUTE(A1917,"MOV-","")),"000"))</f>
        <v/>
      </c>
    </row>
    <row r="1918" spans="1:20">
      <c r="A1918" s="20" t="s">
        <v>2277</v>
      </c>
      <c r="H1918" s="20" t="str">
        <f>+T1918</f>
        <v/>
      </c>
      <c r="J1918" s="30"/>
      <c r="K1918" s="22" t="str">
        <f>IF(I1918="","",IF(I1918="ENTRADA",ABS(J1918),-ABS(J1918)))</f>
        <v/>
      </c>
      <c r="R1918" s="22" t="str">
        <f>IF(H1918="","",H1918&amp;I1918)</f>
        <v/>
      </c>
      <c r="S1918" s="22" t="str">
        <f>IF(C1918="","",C1918&amp;I1918)</f>
        <v/>
      </c>
      <c r="T1918" t="str">
        <f>IF(OR(C1918="",I1918&lt;&gt;"ENTRADA"),"",TEXT(B1918,"AAMMDD")&amp;"-"&amp;TEXT(VALUE(SUBSTITUTE(A1918,"MOV-","")),"000"))</f>
        <v/>
      </c>
    </row>
    <row r="1919" spans="1:20">
      <c r="A1919" s="20" t="s">
        <v>2278</v>
      </c>
      <c r="H1919" s="20" t="str">
        <f>+T1919</f>
        <v/>
      </c>
      <c r="J1919" s="30"/>
      <c r="K1919" s="22" t="str">
        <f>IF(I1919="","",IF(I1919="ENTRADA",ABS(J1919),-ABS(J1919)))</f>
        <v/>
      </c>
      <c r="R1919" s="22" t="str">
        <f>IF(H1919="","",H1919&amp;I1919)</f>
        <v/>
      </c>
      <c r="S1919" s="22" t="str">
        <f>IF(C1919="","",C1919&amp;I1919)</f>
        <v/>
      </c>
      <c r="T1919" t="str">
        <f>IF(OR(C1919="",I1919&lt;&gt;"ENTRADA"),"",TEXT(B1919,"AAMMDD")&amp;"-"&amp;TEXT(VALUE(SUBSTITUTE(A1919,"MOV-","")),"000"))</f>
        <v/>
      </c>
    </row>
    <row r="1920" spans="1:20">
      <c r="A1920" s="20" t="s">
        <v>2279</v>
      </c>
      <c r="H1920" s="20" t="str">
        <f>+T1920</f>
        <v/>
      </c>
      <c r="J1920" s="30"/>
      <c r="K1920" s="22" t="str">
        <f>IF(I1920="","",IF(I1920="ENTRADA",ABS(J1920),-ABS(J1920)))</f>
        <v/>
      </c>
      <c r="R1920" s="22" t="str">
        <f>IF(H1920="","",H1920&amp;I1920)</f>
        <v/>
      </c>
      <c r="S1920" s="22" t="str">
        <f>IF(C1920="","",C1920&amp;I1920)</f>
        <v/>
      </c>
      <c r="T1920" t="str">
        <f>IF(OR(C1920="",I1920&lt;&gt;"ENTRADA"),"",TEXT(B1920,"AAMMDD")&amp;"-"&amp;TEXT(VALUE(SUBSTITUTE(A1920,"MOV-","")),"000"))</f>
        <v/>
      </c>
    </row>
    <row r="1921" spans="1:20">
      <c r="A1921" s="20" t="s">
        <v>2280</v>
      </c>
      <c r="H1921" s="20" t="str">
        <f>+T1921</f>
        <v/>
      </c>
      <c r="J1921" s="30"/>
      <c r="K1921" s="22" t="str">
        <f>IF(I1921="","",IF(I1921="ENTRADA",ABS(J1921),-ABS(J1921)))</f>
        <v/>
      </c>
      <c r="R1921" s="22" t="str">
        <f>IF(H1921="","",H1921&amp;I1921)</f>
        <v/>
      </c>
      <c r="S1921" s="22" t="str">
        <f>IF(C1921="","",C1921&amp;I1921)</f>
        <v/>
      </c>
      <c r="T1921" t="str">
        <f>IF(OR(C1921="",I1921&lt;&gt;"ENTRADA"),"",TEXT(B1921,"AAMMDD")&amp;"-"&amp;TEXT(VALUE(SUBSTITUTE(A1921,"MOV-","")),"000"))</f>
        <v/>
      </c>
    </row>
    <row r="1922" spans="1:20">
      <c r="A1922" s="20" t="s">
        <v>2281</v>
      </c>
      <c r="H1922" s="20" t="str">
        <f>+T1922</f>
        <v/>
      </c>
      <c r="J1922" s="30"/>
      <c r="K1922" s="22" t="str">
        <f>IF(I1922="","",IF(I1922="ENTRADA",ABS(J1922),-ABS(J1922)))</f>
        <v/>
      </c>
      <c r="R1922" s="22" t="str">
        <f>IF(H1922="","",H1922&amp;I1922)</f>
        <v/>
      </c>
      <c r="S1922" s="22" t="str">
        <f>IF(C1922="","",C1922&amp;I1922)</f>
        <v/>
      </c>
      <c r="T1922" t="str">
        <f>IF(OR(C1922="",I1922&lt;&gt;"ENTRADA"),"",TEXT(B1922,"AAMMDD")&amp;"-"&amp;TEXT(VALUE(SUBSTITUTE(A1922,"MOV-","")),"000"))</f>
        <v/>
      </c>
    </row>
    <row r="1923" spans="1:20">
      <c r="A1923" s="20" t="s">
        <v>2282</v>
      </c>
      <c r="H1923" s="20" t="str">
        <f>+T1923</f>
        <v/>
      </c>
      <c r="J1923" s="30"/>
      <c r="K1923" s="22" t="str">
        <f>IF(I1923="","",IF(I1923="ENTRADA",ABS(J1923),-ABS(J1923)))</f>
        <v/>
      </c>
      <c r="R1923" s="22" t="str">
        <f>IF(H1923="","",H1923&amp;I1923)</f>
        <v/>
      </c>
      <c r="S1923" s="22" t="str">
        <f>IF(C1923="","",C1923&amp;I1923)</f>
        <v/>
      </c>
      <c r="T1923" t="str">
        <f>IF(OR(C1923="",I1923&lt;&gt;"ENTRADA"),"",TEXT(B1923,"AAMMDD")&amp;"-"&amp;TEXT(VALUE(SUBSTITUTE(A1923,"MOV-","")),"000"))</f>
        <v/>
      </c>
    </row>
    <row r="1924" spans="1:20">
      <c r="A1924" s="20" t="s">
        <v>2283</v>
      </c>
      <c r="H1924" s="20" t="str">
        <f>+T1924</f>
        <v/>
      </c>
      <c r="J1924" s="30"/>
      <c r="K1924" s="22" t="str">
        <f>IF(I1924="","",IF(I1924="ENTRADA",ABS(J1924),-ABS(J1924)))</f>
        <v/>
      </c>
      <c r="R1924" s="22" t="str">
        <f>IF(H1924="","",H1924&amp;I1924)</f>
        <v/>
      </c>
      <c r="S1924" s="22" t="str">
        <f>IF(C1924="","",C1924&amp;I1924)</f>
        <v/>
      </c>
      <c r="T1924" t="str">
        <f>IF(OR(C1924="",I1924&lt;&gt;"ENTRADA"),"",TEXT(B1924,"AAMMDD")&amp;"-"&amp;TEXT(VALUE(SUBSTITUTE(A1924,"MOV-","")),"000"))</f>
        <v/>
      </c>
    </row>
    <row r="1925" spans="1:20">
      <c r="A1925" s="20" t="s">
        <v>2284</v>
      </c>
      <c r="H1925" s="20" t="str">
        <f>+T1925</f>
        <v/>
      </c>
      <c r="J1925" s="30"/>
      <c r="K1925" s="22" t="str">
        <f>IF(I1925="","",IF(I1925="ENTRADA",ABS(J1925),-ABS(J1925)))</f>
        <v/>
      </c>
      <c r="R1925" s="22" t="str">
        <f>IF(H1925="","",H1925&amp;I1925)</f>
        <v/>
      </c>
      <c r="S1925" s="22" t="str">
        <f>IF(C1925="","",C1925&amp;I1925)</f>
        <v/>
      </c>
      <c r="T1925" t="str">
        <f>IF(OR(C1925="",I1925&lt;&gt;"ENTRADA"),"",TEXT(B1925,"AAMMDD")&amp;"-"&amp;TEXT(VALUE(SUBSTITUTE(A1925,"MOV-","")),"000"))</f>
        <v/>
      </c>
    </row>
    <row r="1926" spans="1:20">
      <c r="A1926" s="20" t="s">
        <v>2285</v>
      </c>
      <c r="H1926" s="20" t="str">
        <f>+T1926</f>
        <v/>
      </c>
      <c r="J1926" s="30"/>
      <c r="K1926" s="22" t="str">
        <f>IF(I1926="","",IF(I1926="ENTRADA",ABS(J1926),-ABS(J1926)))</f>
        <v/>
      </c>
      <c r="R1926" s="22" t="str">
        <f>IF(H1926="","",H1926&amp;I1926)</f>
        <v/>
      </c>
      <c r="S1926" s="22" t="str">
        <f>IF(C1926="","",C1926&amp;I1926)</f>
        <v/>
      </c>
      <c r="T1926" t="str">
        <f>IF(OR(C1926="",I1926&lt;&gt;"ENTRADA"),"",TEXT(B1926,"AAMMDD")&amp;"-"&amp;TEXT(VALUE(SUBSTITUTE(A1926,"MOV-","")),"000"))</f>
        <v/>
      </c>
    </row>
    <row r="1927" spans="1:20">
      <c r="A1927" s="20" t="s">
        <v>2286</v>
      </c>
      <c r="H1927" s="20" t="str">
        <f>+T1927</f>
        <v/>
      </c>
      <c r="J1927" s="30"/>
      <c r="K1927" s="22" t="str">
        <f>IF(I1927="","",IF(I1927="ENTRADA",ABS(J1927),-ABS(J1927)))</f>
        <v/>
      </c>
      <c r="R1927" s="22" t="str">
        <f>IF(H1927="","",H1927&amp;I1927)</f>
        <v/>
      </c>
      <c r="S1927" s="22" t="str">
        <f>IF(C1927="","",C1927&amp;I1927)</f>
        <v/>
      </c>
      <c r="T1927" t="str">
        <f>IF(OR(C1927="",I1927&lt;&gt;"ENTRADA"),"",TEXT(B1927,"AAMMDD")&amp;"-"&amp;TEXT(VALUE(SUBSTITUTE(A1927,"MOV-","")),"000"))</f>
        <v/>
      </c>
    </row>
    <row r="1928" spans="1:20">
      <c r="A1928" s="20" t="s">
        <v>2287</v>
      </c>
      <c r="H1928" s="20" t="str">
        <f>+T1928</f>
        <v/>
      </c>
      <c r="J1928" s="30"/>
      <c r="K1928" s="22" t="str">
        <f>IF(I1928="","",IF(I1928="ENTRADA",ABS(J1928),-ABS(J1928)))</f>
        <v/>
      </c>
      <c r="R1928" s="22" t="str">
        <f>IF(H1928="","",H1928&amp;I1928)</f>
        <v/>
      </c>
      <c r="S1928" s="22" t="str">
        <f>IF(C1928="","",C1928&amp;I1928)</f>
        <v/>
      </c>
      <c r="T1928" t="str">
        <f>IF(OR(C1928="",I1928&lt;&gt;"ENTRADA"),"",TEXT(B1928,"AAMMDD")&amp;"-"&amp;TEXT(VALUE(SUBSTITUTE(A1928,"MOV-","")),"000"))</f>
        <v/>
      </c>
    </row>
    <row r="1929" spans="1:20">
      <c r="A1929" s="20" t="s">
        <v>2288</v>
      </c>
      <c r="H1929" s="20" t="str">
        <f>+T1929</f>
        <v/>
      </c>
      <c r="J1929" s="30"/>
      <c r="K1929" s="22" t="str">
        <f>IF(I1929="","",IF(I1929="ENTRADA",ABS(J1929),-ABS(J1929)))</f>
        <v/>
      </c>
      <c r="R1929" s="22" t="str">
        <f>IF(H1929="","",H1929&amp;I1929)</f>
        <v/>
      </c>
      <c r="S1929" s="22" t="str">
        <f>IF(C1929="","",C1929&amp;I1929)</f>
        <v/>
      </c>
      <c r="T1929" t="str">
        <f>IF(OR(C1929="",I1929&lt;&gt;"ENTRADA"),"",TEXT(B1929,"AAMMDD")&amp;"-"&amp;TEXT(VALUE(SUBSTITUTE(A1929,"MOV-","")),"000"))</f>
        <v/>
      </c>
    </row>
    <row r="1930" spans="1:20">
      <c r="A1930" s="20" t="s">
        <v>2289</v>
      </c>
      <c r="H1930" s="20" t="str">
        <f>+T1930</f>
        <v/>
      </c>
      <c r="J1930" s="30"/>
      <c r="K1930" s="22" t="str">
        <f>IF(I1930="","",IF(I1930="ENTRADA",ABS(J1930),-ABS(J1930)))</f>
        <v/>
      </c>
      <c r="R1930" s="22" t="str">
        <f>IF(H1930="","",H1930&amp;I1930)</f>
        <v/>
      </c>
      <c r="S1930" s="22" t="str">
        <f>IF(C1930="","",C1930&amp;I1930)</f>
        <v/>
      </c>
      <c r="T1930" t="str">
        <f>IF(OR(C1930="",I1930&lt;&gt;"ENTRADA"),"",TEXT(B1930,"AAMMDD")&amp;"-"&amp;TEXT(VALUE(SUBSTITUTE(A1930,"MOV-","")),"000"))</f>
        <v/>
      </c>
    </row>
    <row r="1931" spans="1:20">
      <c r="A1931" s="20" t="s">
        <v>2290</v>
      </c>
      <c r="H1931" s="20" t="str">
        <f>+T1931</f>
        <v/>
      </c>
      <c r="J1931" s="30"/>
      <c r="K1931" s="22" t="str">
        <f>IF(I1931="","",IF(I1931="ENTRADA",ABS(J1931),-ABS(J1931)))</f>
        <v/>
      </c>
      <c r="R1931" s="22" t="str">
        <f>IF(H1931="","",H1931&amp;I1931)</f>
        <v/>
      </c>
      <c r="S1931" s="22" t="str">
        <f>IF(C1931="","",C1931&amp;I1931)</f>
        <v/>
      </c>
      <c r="T1931" t="str">
        <f>IF(OR(C1931="",I1931&lt;&gt;"ENTRADA"),"",TEXT(B1931,"AAMMDD")&amp;"-"&amp;TEXT(VALUE(SUBSTITUTE(A1931,"MOV-","")),"000"))</f>
        <v/>
      </c>
    </row>
    <row r="1932" spans="1:20">
      <c r="A1932" s="20" t="s">
        <v>2291</v>
      </c>
      <c r="H1932" s="20" t="str">
        <f>+T1932</f>
        <v/>
      </c>
      <c r="J1932" s="30"/>
      <c r="K1932" s="22" t="str">
        <f>IF(I1932="","",IF(I1932="ENTRADA",ABS(J1932),-ABS(J1932)))</f>
        <v/>
      </c>
      <c r="R1932" s="22" t="str">
        <f>IF(H1932="","",H1932&amp;I1932)</f>
        <v/>
      </c>
      <c r="S1932" s="22" t="str">
        <f>IF(C1932="","",C1932&amp;I1932)</f>
        <v/>
      </c>
      <c r="T1932" t="str">
        <f>IF(OR(C1932="",I1932&lt;&gt;"ENTRADA"),"",TEXT(B1932,"AAMMDD")&amp;"-"&amp;TEXT(VALUE(SUBSTITUTE(A1932,"MOV-","")),"000"))</f>
        <v/>
      </c>
    </row>
    <row r="1933" spans="1:20">
      <c r="A1933" s="20" t="s">
        <v>2292</v>
      </c>
      <c r="H1933" s="20" t="str">
        <f>+T1933</f>
        <v/>
      </c>
      <c r="J1933" s="30"/>
      <c r="K1933" s="22" t="str">
        <f>IF(I1933="","",IF(I1933="ENTRADA",ABS(J1933),-ABS(J1933)))</f>
        <v/>
      </c>
      <c r="R1933" s="22" t="str">
        <f>IF(H1933="","",H1933&amp;I1933)</f>
        <v/>
      </c>
      <c r="S1933" s="22" t="str">
        <f>IF(C1933="","",C1933&amp;I1933)</f>
        <v/>
      </c>
      <c r="T1933" t="str">
        <f>IF(OR(C1933="",I1933&lt;&gt;"ENTRADA"),"",TEXT(B1933,"AAMMDD")&amp;"-"&amp;TEXT(VALUE(SUBSTITUTE(A1933,"MOV-","")),"000"))</f>
        <v/>
      </c>
    </row>
    <row r="1934" spans="1:20">
      <c r="A1934" s="20" t="s">
        <v>2293</v>
      </c>
      <c r="H1934" s="20" t="str">
        <f>+T1934</f>
        <v/>
      </c>
      <c r="J1934" s="30"/>
      <c r="K1934" s="22" t="str">
        <f>IF(I1934="","",IF(I1934="ENTRADA",ABS(J1934),-ABS(J1934)))</f>
        <v/>
      </c>
      <c r="R1934" s="22" t="str">
        <f>IF(H1934="","",H1934&amp;I1934)</f>
        <v/>
      </c>
      <c r="S1934" s="22" t="str">
        <f>IF(C1934="","",C1934&amp;I1934)</f>
        <v/>
      </c>
      <c r="T1934" t="str">
        <f>IF(OR(C1934="",I1934&lt;&gt;"ENTRADA"),"",TEXT(B1934,"AAMMDD")&amp;"-"&amp;TEXT(VALUE(SUBSTITUTE(A1934,"MOV-","")),"000"))</f>
        <v/>
      </c>
    </row>
    <row r="1935" spans="1:20">
      <c r="A1935" s="20" t="s">
        <v>2294</v>
      </c>
      <c r="H1935" s="20" t="str">
        <f>+T1935</f>
        <v/>
      </c>
      <c r="J1935" s="30"/>
      <c r="K1935" s="22" t="str">
        <f>IF(I1935="","",IF(I1935="ENTRADA",ABS(J1935),-ABS(J1935)))</f>
        <v/>
      </c>
      <c r="R1935" s="22" t="str">
        <f>IF(H1935="","",H1935&amp;I1935)</f>
        <v/>
      </c>
      <c r="S1935" s="22" t="str">
        <f>IF(C1935="","",C1935&amp;I1935)</f>
        <v/>
      </c>
      <c r="T1935" t="str">
        <f>IF(OR(C1935="",I1935&lt;&gt;"ENTRADA"),"",TEXT(B1935,"AAMMDD")&amp;"-"&amp;TEXT(VALUE(SUBSTITUTE(A1935,"MOV-","")),"000"))</f>
        <v/>
      </c>
    </row>
    <row r="1936" spans="1:20">
      <c r="A1936" s="20" t="s">
        <v>2295</v>
      </c>
      <c r="H1936" s="20" t="str">
        <f>+T1936</f>
        <v/>
      </c>
      <c r="J1936" s="30"/>
      <c r="K1936" s="22" t="str">
        <f>IF(I1936="","",IF(I1936="ENTRADA",ABS(J1936),-ABS(J1936)))</f>
        <v/>
      </c>
      <c r="R1936" s="22" t="str">
        <f>IF(H1936="","",H1936&amp;I1936)</f>
        <v/>
      </c>
      <c r="S1936" s="22" t="str">
        <f>IF(C1936="","",C1936&amp;I1936)</f>
        <v/>
      </c>
      <c r="T1936" t="str">
        <f>IF(OR(C1936="",I1936&lt;&gt;"ENTRADA"),"",TEXT(B1936,"AAMMDD")&amp;"-"&amp;TEXT(VALUE(SUBSTITUTE(A1936,"MOV-","")),"000"))</f>
        <v/>
      </c>
    </row>
    <row r="1937" spans="1:20">
      <c r="A1937" s="20" t="s">
        <v>2296</v>
      </c>
      <c r="H1937" s="20" t="str">
        <f>+T1937</f>
        <v/>
      </c>
      <c r="J1937" s="30"/>
      <c r="K1937" s="22" t="str">
        <f>IF(I1937="","",IF(I1937="ENTRADA",ABS(J1937),-ABS(J1937)))</f>
        <v/>
      </c>
      <c r="R1937" s="22" t="str">
        <f>IF(H1937="","",H1937&amp;I1937)</f>
        <v/>
      </c>
      <c r="S1937" s="22" t="str">
        <f>IF(C1937="","",C1937&amp;I1937)</f>
        <v/>
      </c>
      <c r="T1937" t="str">
        <f>IF(OR(C1937="",I1937&lt;&gt;"ENTRADA"),"",TEXT(B1937,"AAMMDD")&amp;"-"&amp;TEXT(VALUE(SUBSTITUTE(A1937,"MOV-","")),"000"))</f>
        <v/>
      </c>
    </row>
    <row r="1938" spans="1:20">
      <c r="A1938" s="20" t="s">
        <v>2297</v>
      </c>
      <c r="H1938" s="20" t="str">
        <f>+T1938</f>
        <v/>
      </c>
      <c r="J1938" s="30"/>
      <c r="K1938" s="22" t="str">
        <f>IF(I1938="","",IF(I1938="ENTRADA",ABS(J1938),-ABS(J1938)))</f>
        <v/>
      </c>
      <c r="R1938" s="22" t="str">
        <f>IF(H1938="","",H1938&amp;I1938)</f>
        <v/>
      </c>
      <c r="S1938" s="22" t="str">
        <f>IF(C1938="","",C1938&amp;I1938)</f>
        <v/>
      </c>
      <c r="T1938" t="str">
        <f>IF(OR(C1938="",I1938&lt;&gt;"ENTRADA"),"",TEXT(B1938,"AAMMDD")&amp;"-"&amp;TEXT(VALUE(SUBSTITUTE(A1938,"MOV-","")),"000"))</f>
        <v/>
      </c>
    </row>
    <row r="1939" spans="1:20">
      <c r="A1939" s="20" t="s">
        <v>2298</v>
      </c>
      <c r="H1939" s="20" t="str">
        <f>+T1939</f>
        <v/>
      </c>
      <c r="J1939" s="30"/>
      <c r="K1939" s="22" t="str">
        <f>IF(I1939="","",IF(I1939="ENTRADA",ABS(J1939),-ABS(J1939)))</f>
        <v/>
      </c>
      <c r="R1939" s="22" t="str">
        <f>IF(H1939="","",H1939&amp;I1939)</f>
        <v/>
      </c>
      <c r="S1939" s="22" t="str">
        <f>IF(C1939="","",C1939&amp;I1939)</f>
        <v/>
      </c>
      <c r="T1939" t="str">
        <f>IF(OR(C1939="",I1939&lt;&gt;"ENTRADA"),"",TEXT(B1939,"AAMMDD")&amp;"-"&amp;TEXT(VALUE(SUBSTITUTE(A1939,"MOV-","")),"000"))</f>
        <v/>
      </c>
    </row>
    <row r="1940" spans="1:20">
      <c r="A1940" s="20" t="s">
        <v>2299</v>
      </c>
      <c r="H1940" s="20" t="str">
        <f>+T1940</f>
        <v/>
      </c>
      <c r="J1940" s="30"/>
      <c r="K1940" s="22" t="str">
        <f>IF(I1940="","",IF(I1940="ENTRADA",ABS(J1940),-ABS(J1940)))</f>
        <v/>
      </c>
      <c r="R1940" s="22" t="str">
        <f>IF(H1940="","",H1940&amp;I1940)</f>
        <v/>
      </c>
      <c r="S1940" s="22" t="str">
        <f>IF(C1940="","",C1940&amp;I1940)</f>
        <v/>
      </c>
      <c r="T1940" t="str">
        <f>IF(OR(C1940="",I1940&lt;&gt;"ENTRADA"),"",TEXT(B1940,"AAMMDD")&amp;"-"&amp;TEXT(VALUE(SUBSTITUTE(A1940,"MOV-","")),"000"))</f>
        <v/>
      </c>
    </row>
    <row r="1941" spans="1:20">
      <c r="A1941" s="20" t="s">
        <v>2300</v>
      </c>
      <c r="H1941" s="20" t="str">
        <f>+T1941</f>
        <v/>
      </c>
      <c r="J1941" s="30"/>
      <c r="K1941" s="22" t="str">
        <f>IF(I1941="","",IF(I1941="ENTRADA",ABS(J1941),-ABS(J1941)))</f>
        <v/>
      </c>
      <c r="R1941" s="22" t="str">
        <f>IF(H1941="","",H1941&amp;I1941)</f>
        <v/>
      </c>
      <c r="S1941" s="22" t="str">
        <f>IF(C1941="","",C1941&amp;I1941)</f>
        <v/>
      </c>
      <c r="T1941" t="str">
        <f>IF(OR(C1941="",I1941&lt;&gt;"ENTRADA"),"",TEXT(B1941,"AAMMDD")&amp;"-"&amp;TEXT(VALUE(SUBSTITUTE(A1941,"MOV-","")),"000"))</f>
        <v/>
      </c>
    </row>
    <row r="1942" spans="1:20">
      <c r="A1942" s="20" t="s">
        <v>2301</v>
      </c>
      <c r="H1942" s="20" t="str">
        <f>+T1942</f>
        <v/>
      </c>
      <c r="J1942" s="30"/>
      <c r="K1942" s="22" t="str">
        <f>IF(I1942="","",IF(I1942="ENTRADA",ABS(J1942),-ABS(J1942)))</f>
        <v/>
      </c>
      <c r="R1942" s="22" t="str">
        <f>IF(H1942="","",H1942&amp;I1942)</f>
        <v/>
      </c>
      <c r="S1942" s="22" t="str">
        <f>IF(C1942="","",C1942&amp;I1942)</f>
        <v/>
      </c>
      <c r="T1942" t="str">
        <f>IF(OR(C1942="",I1942&lt;&gt;"ENTRADA"),"",TEXT(B1942,"AAMMDD")&amp;"-"&amp;TEXT(VALUE(SUBSTITUTE(A1942,"MOV-","")),"000"))</f>
        <v/>
      </c>
    </row>
    <row r="1943" spans="1:20">
      <c r="A1943" s="20" t="s">
        <v>2302</v>
      </c>
      <c r="H1943" s="20" t="str">
        <f>+T1943</f>
        <v/>
      </c>
      <c r="J1943" s="30"/>
      <c r="K1943" s="22" t="str">
        <f>IF(I1943="","",IF(I1943="ENTRADA",ABS(J1943),-ABS(J1943)))</f>
        <v/>
      </c>
      <c r="R1943" s="22" t="str">
        <f>IF(H1943="","",H1943&amp;I1943)</f>
        <v/>
      </c>
      <c r="S1943" s="22" t="str">
        <f>IF(C1943="","",C1943&amp;I1943)</f>
        <v/>
      </c>
      <c r="T1943" t="str">
        <f>IF(OR(C1943="",I1943&lt;&gt;"ENTRADA"),"",TEXT(B1943,"AAMMDD")&amp;"-"&amp;TEXT(VALUE(SUBSTITUTE(A1943,"MOV-","")),"000"))</f>
        <v/>
      </c>
    </row>
    <row r="1944" spans="1:20">
      <c r="A1944" s="20" t="s">
        <v>2303</v>
      </c>
      <c r="H1944" s="20" t="str">
        <f>+T1944</f>
        <v/>
      </c>
      <c r="J1944" s="30"/>
      <c r="K1944" s="22" t="str">
        <f>IF(I1944="","",IF(I1944="ENTRADA",ABS(J1944),-ABS(J1944)))</f>
        <v/>
      </c>
      <c r="R1944" s="22" t="str">
        <f>IF(H1944="","",H1944&amp;I1944)</f>
        <v/>
      </c>
      <c r="S1944" s="22" t="str">
        <f>IF(C1944="","",C1944&amp;I1944)</f>
        <v/>
      </c>
      <c r="T1944" t="str">
        <f>IF(OR(C1944="",I1944&lt;&gt;"ENTRADA"),"",TEXT(B1944,"AAMMDD")&amp;"-"&amp;TEXT(VALUE(SUBSTITUTE(A1944,"MOV-","")),"000"))</f>
        <v/>
      </c>
    </row>
    <row r="1945" spans="1:20">
      <c r="A1945" s="20" t="s">
        <v>2304</v>
      </c>
      <c r="H1945" s="20" t="str">
        <f>+T1945</f>
        <v/>
      </c>
      <c r="J1945" s="30"/>
      <c r="K1945" s="22" t="str">
        <f>IF(I1945="","",IF(I1945="ENTRADA",ABS(J1945),-ABS(J1945)))</f>
        <v/>
      </c>
      <c r="R1945" s="22" t="str">
        <f>IF(H1945="","",H1945&amp;I1945)</f>
        <v/>
      </c>
      <c r="S1945" s="22" t="str">
        <f>IF(C1945="","",C1945&amp;I1945)</f>
        <v/>
      </c>
      <c r="T1945" t="str">
        <f>IF(OR(C1945="",I1945&lt;&gt;"ENTRADA"),"",TEXT(B1945,"AAMMDD")&amp;"-"&amp;TEXT(VALUE(SUBSTITUTE(A1945,"MOV-","")),"000"))</f>
        <v/>
      </c>
    </row>
    <row r="1946" spans="1:20">
      <c r="A1946" s="20" t="s">
        <v>2305</v>
      </c>
      <c r="H1946" s="20" t="str">
        <f>+T1946</f>
        <v/>
      </c>
      <c r="J1946" s="30"/>
      <c r="K1946" s="22" t="str">
        <f>IF(I1946="","",IF(I1946="ENTRADA",ABS(J1946),-ABS(J1946)))</f>
        <v/>
      </c>
      <c r="R1946" s="22" t="str">
        <f>IF(H1946="","",H1946&amp;I1946)</f>
        <v/>
      </c>
      <c r="S1946" s="22" t="str">
        <f>IF(C1946="","",C1946&amp;I1946)</f>
        <v/>
      </c>
      <c r="T1946" t="str">
        <f>IF(OR(C1946="",I1946&lt;&gt;"ENTRADA"),"",TEXT(B1946,"AAMMDD")&amp;"-"&amp;TEXT(VALUE(SUBSTITUTE(A1946,"MOV-","")),"000"))</f>
        <v/>
      </c>
    </row>
    <row r="1947" spans="1:20">
      <c r="A1947" s="20" t="s">
        <v>2306</v>
      </c>
      <c r="H1947" s="20" t="str">
        <f>+T1947</f>
        <v/>
      </c>
      <c r="J1947" s="30"/>
      <c r="K1947" s="22" t="str">
        <f>IF(I1947="","",IF(I1947="ENTRADA",ABS(J1947),-ABS(J1947)))</f>
        <v/>
      </c>
      <c r="R1947" s="22" t="str">
        <f>IF(H1947="","",H1947&amp;I1947)</f>
        <v/>
      </c>
      <c r="S1947" s="22" t="str">
        <f>IF(C1947="","",C1947&amp;I1947)</f>
        <v/>
      </c>
      <c r="T1947" t="str">
        <f>IF(OR(C1947="",I1947&lt;&gt;"ENTRADA"),"",TEXT(B1947,"AAMMDD")&amp;"-"&amp;TEXT(VALUE(SUBSTITUTE(A1947,"MOV-","")),"000"))</f>
        <v/>
      </c>
    </row>
    <row r="1948" spans="1:20">
      <c r="A1948" s="20" t="s">
        <v>2307</v>
      </c>
      <c r="H1948" s="20" t="str">
        <f>+T1948</f>
        <v/>
      </c>
      <c r="J1948" s="30"/>
      <c r="K1948" s="22" t="str">
        <f>IF(I1948="","",IF(I1948="ENTRADA",ABS(J1948),-ABS(J1948)))</f>
        <v/>
      </c>
      <c r="R1948" s="22" t="str">
        <f>IF(H1948="","",H1948&amp;I1948)</f>
        <v/>
      </c>
      <c r="S1948" s="22" t="str">
        <f>IF(C1948="","",C1948&amp;I1948)</f>
        <v/>
      </c>
      <c r="T1948" t="str">
        <f>IF(OR(C1948="",I1948&lt;&gt;"ENTRADA"),"",TEXT(B1948,"AAMMDD")&amp;"-"&amp;TEXT(VALUE(SUBSTITUTE(A1948,"MOV-","")),"000"))</f>
        <v/>
      </c>
    </row>
    <row r="1949" spans="1:20">
      <c r="A1949" s="20" t="s">
        <v>2308</v>
      </c>
      <c r="H1949" s="20" t="str">
        <f>+T1949</f>
        <v/>
      </c>
      <c r="J1949" s="30"/>
      <c r="K1949" s="22" t="str">
        <f>IF(I1949="","",IF(I1949="ENTRADA",ABS(J1949),-ABS(J1949)))</f>
        <v/>
      </c>
      <c r="R1949" s="22" t="str">
        <f>IF(H1949="","",H1949&amp;I1949)</f>
        <v/>
      </c>
      <c r="S1949" s="22" t="str">
        <f>IF(C1949="","",C1949&amp;I1949)</f>
        <v/>
      </c>
      <c r="T1949" t="str">
        <f>IF(OR(C1949="",I1949&lt;&gt;"ENTRADA"),"",TEXT(B1949,"AAMMDD")&amp;"-"&amp;TEXT(VALUE(SUBSTITUTE(A1949,"MOV-","")),"000"))</f>
        <v/>
      </c>
    </row>
    <row r="1950" spans="1:20">
      <c r="A1950" s="20" t="s">
        <v>2309</v>
      </c>
      <c r="H1950" s="20" t="str">
        <f>+T1950</f>
        <v/>
      </c>
      <c r="J1950" s="30"/>
      <c r="K1950" s="22" t="str">
        <f>IF(I1950="","",IF(I1950="ENTRADA",ABS(J1950),-ABS(J1950)))</f>
        <v/>
      </c>
      <c r="R1950" s="22" t="str">
        <f>IF(H1950="","",H1950&amp;I1950)</f>
        <v/>
      </c>
      <c r="S1950" s="22" t="str">
        <f>IF(C1950="","",C1950&amp;I1950)</f>
        <v/>
      </c>
      <c r="T1950" t="str">
        <f>IF(OR(C1950="",I1950&lt;&gt;"ENTRADA"),"",TEXT(B1950,"AAMMDD")&amp;"-"&amp;TEXT(VALUE(SUBSTITUTE(A1950,"MOV-","")),"000"))</f>
        <v/>
      </c>
    </row>
    <row r="1951" spans="1:20">
      <c r="A1951" s="20" t="s">
        <v>2310</v>
      </c>
      <c r="H1951" s="20" t="str">
        <f>+T1951</f>
        <v/>
      </c>
      <c r="J1951" s="30"/>
      <c r="K1951" s="22" t="str">
        <f>IF(I1951="","",IF(I1951="ENTRADA",ABS(J1951),-ABS(J1951)))</f>
        <v/>
      </c>
      <c r="R1951" s="22" t="str">
        <f>IF(H1951="","",H1951&amp;I1951)</f>
        <v/>
      </c>
      <c r="S1951" s="22" t="str">
        <f>IF(C1951="","",C1951&amp;I1951)</f>
        <v/>
      </c>
      <c r="T1951" t="str">
        <f>IF(OR(C1951="",I1951&lt;&gt;"ENTRADA"),"",TEXT(B1951,"AAMMDD")&amp;"-"&amp;TEXT(VALUE(SUBSTITUTE(A1951,"MOV-","")),"000"))</f>
        <v/>
      </c>
    </row>
    <row r="1952" spans="1:20">
      <c r="A1952" s="20" t="s">
        <v>2311</v>
      </c>
      <c r="H1952" s="20" t="str">
        <f>+T1952</f>
        <v/>
      </c>
      <c r="J1952" s="30"/>
      <c r="K1952" s="22" t="str">
        <f>IF(I1952="","",IF(I1952="ENTRADA",ABS(J1952),-ABS(J1952)))</f>
        <v/>
      </c>
      <c r="R1952" s="22" t="str">
        <f>IF(H1952="","",H1952&amp;I1952)</f>
        <v/>
      </c>
      <c r="S1952" s="22" t="str">
        <f>IF(C1952="","",C1952&amp;I1952)</f>
        <v/>
      </c>
      <c r="T1952" t="str">
        <f>IF(OR(C1952="",I1952&lt;&gt;"ENTRADA"),"",TEXT(B1952,"AAMMDD")&amp;"-"&amp;TEXT(VALUE(SUBSTITUTE(A1952,"MOV-","")),"000"))</f>
        <v/>
      </c>
    </row>
    <row r="1953" spans="1:20">
      <c r="A1953" s="20" t="s">
        <v>2312</v>
      </c>
      <c r="H1953" s="20" t="str">
        <f>+T1953</f>
        <v/>
      </c>
      <c r="J1953" s="30"/>
      <c r="K1953" s="22" t="str">
        <f>IF(I1953="","",IF(I1953="ENTRADA",ABS(J1953),-ABS(J1953)))</f>
        <v/>
      </c>
      <c r="R1953" s="22" t="str">
        <f>IF(H1953="","",H1953&amp;I1953)</f>
        <v/>
      </c>
      <c r="S1953" s="22" t="str">
        <f>IF(C1953="","",C1953&amp;I1953)</f>
        <v/>
      </c>
      <c r="T1953" t="str">
        <f>IF(OR(C1953="",I1953&lt;&gt;"ENTRADA"),"",TEXT(B1953,"AAMMDD")&amp;"-"&amp;TEXT(VALUE(SUBSTITUTE(A1953,"MOV-","")),"000"))</f>
        <v/>
      </c>
    </row>
    <row r="1954" spans="1:20">
      <c r="A1954" s="20" t="s">
        <v>2313</v>
      </c>
      <c r="H1954" s="20" t="str">
        <f>+T1954</f>
        <v/>
      </c>
      <c r="J1954" s="30"/>
      <c r="K1954" s="22" t="str">
        <f>IF(I1954="","",IF(I1954="ENTRADA",ABS(J1954),-ABS(J1954)))</f>
        <v/>
      </c>
      <c r="R1954" s="22" t="str">
        <f>IF(H1954="","",H1954&amp;I1954)</f>
        <v/>
      </c>
      <c r="S1954" s="22" t="str">
        <f>IF(C1954="","",C1954&amp;I1954)</f>
        <v/>
      </c>
      <c r="T1954" t="str">
        <f>IF(OR(C1954="",I1954&lt;&gt;"ENTRADA"),"",TEXT(B1954,"AAMMDD")&amp;"-"&amp;TEXT(VALUE(SUBSTITUTE(A1954,"MOV-","")),"000"))</f>
        <v/>
      </c>
    </row>
    <row r="1955" spans="1:20">
      <c r="A1955" s="20" t="s">
        <v>2314</v>
      </c>
      <c r="H1955" s="20" t="str">
        <f>+T1955</f>
        <v/>
      </c>
      <c r="J1955" s="30"/>
      <c r="K1955" s="22" t="str">
        <f>IF(I1955="","",IF(I1955="ENTRADA",ABS(J1955),-ABS(J1955)))</f>
        <v/>
      </c>
      <c r="R1955" s="22" t="str">
        <f>IF(H1955="","",H1955&amp;I1955)</f>
        <v/>
      </c>
      <c r="S1955" s="22" t="str">
        <f>IF(C1955="","",C1955&amp;I1955)</f>
        <v/>
      </c>
      <c r="T1955" t="str">
        <f>IF(OR(C1955="",I1955&lt;&gt;"ENTRADA"),"",TEXT(B1955,"AAMMDD")&amp;"-"&amp;TEXT(VALUE(SUBSTITUTE(A1955,"MOV-","")),"000"))</f>
        <v/>
      </c>
    </row>
    <row r="1956" spans="1:20">
      <c r="A1956" s="20" t="s">
        <v>2315</v>
      </c>
      <c r="H1956" s="20" t="str">
        <f>+T1956</f>
        <v/>
      </c>
      <c r="J1956" s="30"/>
      <c r="K1956" s="22" t="str">
        <f>IF(I1956="","",IF(I1956="ENTRADA",ABS(J1956),-ABS(J1956)))</f>
        <v/>
      </c>
      <c r="R1956" s="22" t="str">
        <f>IF(H1956="","",H1956&amp;I1956)</f>
        <v/>
      </c>
      <c r="S1956" s="22" t="str">
        <f>IF(C1956="","",C1956&amp;I1956)</f>
        <v/>
      </c>
      <c r="T1956" t="str">
        <f>IF(OR(C1956="",I1956&lt;&gt;"ENTRADA"),"",TEXT(B1956,"AAMMDD")&amp;"-"&amp;TEXT(VALUE(SUBSTITUTE(A1956,"MOV-","")),"000"))</f>
        <v/>
      </c>
    </row>
    <row r="1957" spans="1:20">
      <c r="A1957" s="20" t="s">
        <v>2316</v>
      </c>
      <c r="H1957" s="20" t="str">
        <f>+T1957</f>
        <v/>
      </c>
      <c r="J1957" s="30"/>
      <c r="K1957" s="22" t="str">
        <f>IF(I1957="","",IF(I1957="ENTRADA",ABS(J1957),-ABS(J1957)))</f>
        <v/>
      </c>
      <c r="R1957" s="22" t="str">
        <f>IF(H1957="","",H1957&amp;I1957)</f>
        <v/>
      </c>
      <c r="S1957" s="22" t="str">
        <f>IF(C1957="","",C1957&amp;I1957)</f>
        <v/>
      </c>
      <c r="T1957" t="str">
        <f>IF(OR(C1957="",I1957&lt;&gt;"ENTRADA"),"",TEXT(B1957,"AAMMDD")&amp;"-"&amp;TEXT(VALUE(SUBSTITUTE(A1957,"MOV-","")),"000"))</f>
        <v/>
      </c>
    </row>
    <row r="1958" spans="1:20">
      <c r="A1958" s="20" t="s">
        <v>2317</v>
      </c>
      <c r="H1958" s="20" t="str">
        <f>+T1958</f>
        <v/>
      </c>
      <c r="J1958" s="30"/>
      <c r="K1958" s="22" t="str">
        <f>IF(I1958="","",IF(I1958="ENTRADA",ABS(J1958),-ABS(J1958)))</f>
        <v/>
      </c>
      <c r="R1958" s="22" t="str">
        <f>IF(H1958="","",H1958&amp;I1958)</f>
        <v/>
      </c>
      <c r="S1958" s="22" t="str">
        <f>IF(C1958="","",C1958&amp;I1958)</f>
        <v/>
      </c>
      <c r="T1958" t="str">
        <f>IF(OR(C1958="",I1958&lt;&gt;"ENTRADA"),"",TEXT(B1958,"AAMMDD")&amp;"-"&amp;TEXT(VALUE(SUBSTITUTE(A1958,"MOV-","")),"000"))</f>
        <v/>
      </c>
    </row>
    <row r="1959" spans="1:20">
      <c r="A1959" s="20" t="s">
        <v>2318</v>
      </c>
      <c r="H1959" s="20" t="str">
        <f>+T1959</f>
        <v/>
      </c>
      <c r="J1959" s="30"/>
      <c r="K1959" s="22" t="str">
        <f>IF(I1959="","",IF(I1959="ENTRADA",ABS(J1959),-ABS(J1959)))</f>
        <v/>
      </c>
      <c r="R1959" s="22" t="str">
        <f>IF(H1959="","",H1959&amp;I1959)</f>
        <v/>
      </c>
      <c r="S1959" s="22" t="str">
        <f>IF(C1959="","",C1959&amp;I1959)</f>
        <v/>
      </c>
      <c r="T1959" t="str">
        <f>IF(OR(C1959="",I1959&lt;&gt;"ENTRADA"),"",TEXT(B1959,"AAMMDD")&amp;"-"&amp;TEXT(VALUE(SUBSTITUTE(A1959,"MOV-","")),"000"))</f>
        <v/>
      </c>
    </row>
    <row r="1960" spans="1:20">
      <c r="A1960" s="20" t="s">
        <v>2319</v>
      </c>
      <c r="H1960" s="20" t="str">
        <f>+T1960</f>
        <v/>
      </c>
      <c r="J1960" s="30"/>
      <c r="K1960" s="22" t="str">
        <f>IF(I1960="","",IF(I1960="ENTRADA",ABS(J1960),-ABS(J1960)))</f>
        <v/>
      </c>
      <c r="R1960" s="22" t="str">
        <f>IF(H1960="","",H1960&amp;I1960)</f>
        <v/>
      </c>
      <c r="S1960" s="22" t="str">
        <f>IF(C1960="","",C1960&amp;I1960)</f>
        <v/>
      </c>
      <c r="T1960" t="str">
        <f>IF(OR(C1960="",I1960&lt;&gt;"ENTRADA"),"",TEXT(B1960,"AAMMDD")&amp;"-"&amp;TEXT(VALUE(SUBSTITUTE(A1960,"MOV-","")),"000"))</f>
        <v/>
      </c>
    </row>
    <row r="1961" spans="1:20">
      <c r="A1961" s="20" t="s">
        <v>2320</v>
      </c>
      <c r="H1961" s="20" t="str">
        <f>+T1961</f>
        <v/>
      </c>
      <c r="J1961" s="30"/>
      <c r="K1961" s="22" t="str">
        <f>IF(I1961="","",IF(I1961="ENTRADA",ABS(J1961),-ABS(J1961)))</f>
        <v/>
      </c>
      <c r="R1961" s="22" t="str">
        <f>IF(H1961="","",H1961&amp;I1961)</f>
        <v/>
      </c>
      <c r="S1961" s="22" t="str">
        <f>IF(C1961="","",C1961&amp;I1961)</f>
        <v/>
      </c>
      <c r="T1961" t="str">
        <f>IF(OR(C1961="",I1961&lt;&gt;"ENTRADA"),"",TEXT(B1961,"AAMMDD")&amp;"-"&amp;TEXT(VALUE(SUBSTITUTE(A1961,"MOV-","")),"000"))</f>
        <v/>
      </c>
    </row>
    <row r="1962" spans="1:20">
      <c r="A1962" s="20" t="s">
        <v>2321</v>
      </c>
      <c r="H1962" s="20" t="str">
        <f>+T1962</f>
        <v/>
      </c>
      <c r="J1962" s="30"/>
      <c r="K1962" s="22" t="str">
        <f>IF(I1962="","",IF(I1962="ENTRADA",ABS(J1962),-ABS(J1962)))</f>
        <v/>
      </c>
      <c r="R1962" s="22" t="str">
        <f>IF(H1962="","",H1962&amp;I1962)</f>
        <v/>
      </c>
      <c r="S1962" s="22" t="str">
        <f>IF(C1962="","",C1962&amp;I1962)</f>
        <v/>
      </c>
      <c r="T1962" t="str">
        <f>IF(OR(C1962="",I1962&lt;&gt;"ENTRADA"),"",TEXT(B1962,"AAMMDD")&amp;"-"&amp;TEXT(VALUE(SUBSTITUTE(A1962,"MOV-","")),"000"))</f>
        <v/>
      </c>
    </row>
    <row r="1963" spans="1:20">
      <c r="A1963" s="20" t="s">
        <v>2322</v>
      </c>
      <c r="H1963" s="20" t="str">
        <f>+T1963</f>
        <v/>
      </c>
      <c r="J1963" s="30"/>
      <c r="K1963" s="22" t="str">
        <f>IF(I1963="","",IF(I1963="ENTRADA",ABS(J1963),-ABS(J1963)))</f>
        <v/>
      </c>
      <c r="R1963" s="22" t="str">
        <f>IF(H1963="","",H1963&amp;I1963)</f>
        <v/>
      </c>
      <c r="S1963" s="22" t="str">
        <f>IF(C1963="","",C1963&amp;I1963)</f>
        <v/>
      </c>
      <c r="T1963" t="str">
        <f>IF(OR(C1963="",I1963&lt;&gt;"ENTRADA"),"",TEXT(B1963,"AAMMDD")&amp;"-"&amp;TEXT(VALUE(SUBSTITUTE(A1963,"MOV-","")),"000"))</f>
        <v/>
      </c>
    </row>
    <row r="1964" spans="1:20">
      <c r="A1964" s="20" t="s">
        <v>2323</v>
      </c>
      <c r="H1964" s="20" t="str">
        <f>+T1964</f>
        <v/>
      </c>
      <c r="J1964" s="30"/>
      <c r="K1964" s="22" t="str">
        <f>IF(I1964="","",IF(I1964="ENTRADA",ABS(J1964),-ABS(J1964)))</f>
        <v/>
      </c>
      <c r="R1964" s="22" t="str">
        <f>IF(H1964="","",H1964&amp;I1964)</f>
        <v/>
      </c>
      <c r="S1964" s="22" t="str">
        <f>IF(C1964="","",C1964&amp;I1964)</f>
        <v/>
      </c>
      <c r="T1964" t="str">
        <f>IF(OR(C1964="",I1964&lt;&gt;"ENTRADA"),"",TEXT(B1964,"AAMMDD")&amp;"-"&amp;TEXT(VALUE(SUBSTITUTE(A1964,"MOV-","")),"000"))</f>
        <v/>
      </c>
    </row>
    <row r="1965" spans="1:20">
      <c r="A1965" s="20" t="s">
        <v>2324</v>
      </c>
      <c r="H1965" s="20" t="str">
        <f>+T1965</f>
        <v/>
      </c>
      <c r="J1965" s="30"/>
      <c r="K1965" s="22" t="str">
        <f>IF(I1965="","",IF(I1965="ENTRADA",ABS(J1965),-ABS(J1965)))</f>
        <v/>
      </c>
      <c r="R1965" s="22" t="str">
        <f>IF(H1965="","",H1965&amp;I1965)</f>
        <v/>
      </c>
      <c r="S1965" s="22" t="str">
        <f>IF(C1965="","",C1965&amp;I1965)</f>
        <v/>
      </c>
      <c r="T1965" t="str">
        <f>IF(OR(C1965="",I1965&lt;&gt;"ENTRADA"),"",TEXT(B1965,"AAMMDD")&amp;"-"&amp;TEXT(VALUE(SUBSTITUTE(A1965,"MOV-","")),"000"))</f>
        <v/>
      </c>
    </row>
    <row r="1966" spans="1:20">
      <c r="A1966" s="20" t="s">
        <v>2325</v>
      </c>
      <c r="H1966" s="20" t="str">
        <f>+T1966</f>
        <v/>
      </c>
      <c r="J1966" s="30"/>
      <c r="K1966" s="22" t="str">
        <f>IF(I1966="","",IF(I1966="ENTRADA",ABS(J1966),-ABS(J1966)))</f>
        <v/>
      </c>
      <c r="R1966" s="22" t="str">
        <f>IF(H1966="","",H1966&amp;I1966)</f>
        <v/>
      </c>
      <c r="S1966" s="22" t="str">
        <f>IF(C1966="","",C1966&amp;I1966)</f>
        <v/>
      </c>
      <c r="T1966" t="str">
        <f>IF(OR(C1966="",I1966&lt;&gt;"ENTRADA"),"",TEXT(B1966,"AAMMDD")&amp;"-"&amp;TEXT(VALUE(SUBSTITUTE(A1966,"MOV-","")),"000"))</f>
        <v/>
      </c>
    </row>
    <row r="1967" spans="1:20">
      <c r="A1967" s="20" t="s">
        <v>2326</v>
      </c>
      <c r="H1967" s="20" t="str">
        <f>+T1967</f>
        <v/>
      </c>
      <c r="J1967" s="30"/>
      <c r="K1967" s="22" t="str">
        <f>IF(I1967="","",IF(I1967="ENTRADA",ABS(J1967),-ABS(J1967)))</f>
        <v/>
      </c>
      <c r="R1967" s="22" t="str">
        <f>IF(H1967="","",H1967&amp;I1967)</f>
        <v/>
      </c>
      <c r="S1967" s="22" t="str">
        <f>IF(C1967="","",C1967&amp;I1967)</f>
        <v/>
      </c>
      <c r="T1967" t="str">
        <f>IF(OR(C1967="",I1967&lt;&gt;"ENTRADA"),"",TEXT(B1967,"AAMMDD")&amp;"-"&amp;TEXT(VALUE(SUBSTITUTE(A1967,"MOV-","")),"000"))</f>
        <v/>
      </c>
    </row>
    <row r="1968" spans="1:20">
      <c r="A1968" s="20" t="s">
        <v>2327</v>
      </c>
      <c r="H1968" s="20" t="str">
        <f>+T1968</f>
        <v/>
      </c>
      <c r="J1968" s="30"/>
      <c r="K1968" s="22" t="str">
        <f>IF(I1968="","",IF(I1968="ENTRADA",ABS(J1968),-ABS(J1968)))</f>
        <v/>
      </c>
      <c r="R1968" s="22" t="str">
        <f>IF(H1968="","",H1968&amp;I1968)</f>
        <v/>
      </c>
      <c r="S1968" s="22" t="str">
        <f>IF(C1968="","",C1968&amp;I1968)</f>
        <v/>
      </c>
      <c r="T1968" t="str">
        <f>IF(OR(C1968="",I1968&lt;&gt;"ENTRADA"),"",TEXT(B1968,"AAMMDD")&amp;"-"&amp;TEXT(VALUE(SUBSTITUTE(A1968,"MOV-","")),"000"))</f>
        <v/>
      </c>
    </row>
    <row r="1969" spans="1:20">
      <c r="A1969" s="20" t="s">
        <v>2328</v>
      </c>
      <c r="H1969" s="20" t="str">
        <f>+T1969</f>
        <v/>
      </c>
      <c r="J1969" s="30"/>
      <c r="K1969" s="22" t="str">
        <f>IF(I1969="","",IF(I1969="ENTRADA",ABS(J1969),-ABS(J1969)))</f>
        <v/>
      </c>
      <c r="R1969" s="22" t="str">
        <f>IF(H1969="","",H1969&amp;I1969)</f>
        <v/>
      </c>
      <c r="S1969" s="22" t="str">
        <f>IF(C1969="","",C1969&amp;I1969)</f>
        <v/>
      </c>
      <c r="T1969" t="str">
        <f>IF(OR(C1969="",I1969&lt;&gt;"ENTRADA"),"",TEXT(B1969,"AAMMDD")&amp;"-"&amp;TEXT(VALUE(SUBSTITUTE(A1969,"MOV-","")),"000"))</f>
        <v/>
      </c>
    </row>
    <row r="1970" spans="1:20">
      <c r="A1970" s="20" t="s">
        <v>2329</v>
      </c>
      <c r="H1970" s="20" t="str">
        <f>+T1970</f>
        <v/>
      </c>
      <c r="J1970" s="30"/>
      <c r="K1970" s="22" t="str">
        <f>IF(I1970="","",IF(I1970="ENTRADA",ABS(J1970),-ABS(J1970)))</f>
        <v/>
      </c>
      <c r="R1970" s="22" t="str">
        <f>IF(H1970="","",H1970&amp;I1970)</f>
        <v/>
      </c>
      <c r="S1970" s="22" t="str">
        <f>IF(C1970="","",C1970&amp;I1970)</f>
        <v/>
      </c>
      <c r="T1970" t="str">
        <f>IF(OR(C1970="",I1970&lt;&gt;"ENTRADA"),"",TEXT(B1970,"AAMMDD")&amp;"-"&amp;TEXT(VALUE(SUBSTITUTE(A1970,"MOV-","")),"000"))</f>
        <v/>
      </c>
    </row>
    <row r="1971" spans="1:20">
      <c r="A1971" s="20" t="s">
        <v>2330</v>
      </c>
      <c r="H1971" s="20" t="str">
        <f>+T1971</f>
        <v/>
      </c>
      <c r="J1971" s="30"/>
      <c r="K1971" s="22" t="str">
        <f>IF(I1971="","",IF(I1971="ENTRADA",ABS(J1971),-ABS(J1971)))</f>
        <v/>
      </c>
      <c r="R1971" s="22" t="str">
        <f>IF(H1971="","",H1971&amp;I1971)</f>
        <v/>
      </c>
      <c r="S1971" s="22" t="str">
        <f>IF(C1971="","",C1971&amp;I1971)</f>
        <v/>
      </c>
      <c r="T1971" t="str">
        <f>IF(OR(C1971="",I1971&lt;&gt;"ENTRADA"),"",TEXT(B1971,"AAMMDD")&amp;"-"&amp;TEXT(VALUE(SUBSTITUTE(A1971,"MOV-","")),"000"))</f>
        <v/>
      </c>
    </row>
    <row r="1972" spans="1:20">
      <c r="A1972" s="20" t="s">
        <v>2331</v>
      </c>
      <c r="H1972" s="20" t="str">
        <f>+T1972</f>
        <v/>
      </c>
      <c r="J1972" s="30"/>
      <c r="K1972" s="22" t="str">
        <f>IF(I1972="","",IF(I1972="ENTRADA",ABS(J1972),-ABS(J1972)))</f>
        <v/>
      </c>
      <c r="R1972" s="22" t="str">
        <f>IF(H1972="","",H1972&amp;I1972)</f>
        <v/>
      </c>
      <c r="S1972" s="22" t="str">
        <f>IF(C1972="","",C1972&amp;I1972)</f>
        <v/>
      </c>
      <c r="T1972" t="str">
        <f>IF(OR(C1972="",I1972&lt;&gt;"ENTRADA"),"",TEXT(B1972,"AAMMDD")&amp;"-"&amp;TEXT(VALUE(SUBSTITUTE(A1972,"MOV-","")),"000"))</f>
        <v/>
      </c>
    </row>
    <row r="1973" spans="1:20">
      <c r="A1973" s="20" t="s">
        <v>2332</v>
      </c>
      <c r="H1973" s="20" t="str">
        <f>+T1973</f>
        <v/>
      </c>
      <c r="J1973" s="30"/>
      <c r="K1973" s="22" t="str">
        <f>IF(I1973="","",IF(I1973="ENTRADA",ABS(J1973),-ABS(J1973)))</f>
        <v/>
      </c>
      <c r="R1973" s="22" t="str">
        <f>IF(H1973="","",H1973&amp;I1973)</f>
        <v/>
      </c>
      <c r="S1973" s="22" t="str">
        <f>IF(C1973="","",C1973&amp;I1973)</f>
        <v/>
      </c>
      <c r="T1973" t="str">
        <f>IF(OR(C1973="",I1973&lt;&gt;"ENTRADA"),"",TEXT(B1973,"AAMMDD")&amp;"-"&amp;TEXT(VALUE(SUBSTITUTE(A1973,"MOV-","")),"000"))</f>
        <v/>
      </c>
    </row>
    <row r="1974" spans="1:20">
      <c r="A1974" s="20" t="s">
        <v>2333</v>
      </c>
      <c r="H1974" s="20" t="str">
        <f>+T1974</f>
        <v/>
      </c>
      <c r="J1974" s="30"/>
      <c r="K1974" s="22" t="str">
        <f>IF(I1974="","",IF(I1974="ENTRADA",ABS(J1974),-ABS(J1974)))</f>
        <v/>
      </c>
      <c r="R1974" s="22" t="str">
        <f>IF(H1974="","",H1974&amp;I1974)</f>
        <v/>
      </c>
      <c r="S1974" s="22" t="str">
        <f>IF(C1974="","",C1974&amp;I1974)</f>
        <v/>
      </c>
      <c r="T1974" t="str">
        <f>IF(OR(C1974="",I1974&lt;&gt;"ENTRADA"),"",TEXT(B1974,"AAMMDD")&amp;"-"&amp;TEXT(VALUE(SUBSTITUTE(A1974,"MOV-","")),"000"))</f>
        <v/>
      </c>
    </row>
    <row r="1975" spans="1:20">
      <c r="A1975" s="20" t="s">
        <v>2334</v>
      </c>
      <c r="H1975" s="20" t="str">
        <f>+T1975</f>
        <v/>
      </c>
      <c r="J1975" s="30"/>
      <c r="K1975" s="22" t="str">
        <f>IF(I1975="","",IF(I1975="ENTRADA",ABS(J1975),-ABS(J1975)))</f>
        <v/>
      </c>
      <c r="R1975" s="22" t="str">
        <f>IF(H1975="","",H1975&amp;I1975)</f>
        <v/>
      </c>
      <c r="S1975" s="22" t="str">
        <f>IF(C1975="","",C1975&amp;I1975)</f>
        <v/>
      </c>
      <c r="T1975" t="str">
        <f>IF(OR(C1975="",I1975&lt;&gt;"ENTRADA"),"",TEXT(B1975,"AAMMDD")&amp;"-"&amp;TEXT(VALUE(SUBSTITUTE(A1975,"MOV-","")),"000"))</f>
        <v/>
      </c>
    </row>
    <row r="1976" spans="1:20">
      <c r="A1976" s="20" t="s">
        <v>2335</v>
      </c>
      <c r="H1976" s="20" t="str">
        <f>+T1976</f>
        <v/>
      </c>
      <c r="J1976" s="30"/>
      <c r="K1976" s="22" t="str">
        <f>IF(I1976="","",IF(I1976="ENTRADA",ABS(J1976),-ABS(J1976)))</f>
        <v/>
      </c>
      <c r="R1976" s="22" t="str">
        <f>IF(H1976="","",H1976&amp;I1976)</f>
        <v/>
      </c>
      <c r="S1976" s="22" t="str">
        <f>IF(C1976="","",C1976&amp;I1976)</f>
        <v/>
      </c>
      <c r="T1976" t="str">
        <f>IF(OR(C1976="",I1976&lt;&gt;"ENTRADA"),"",TEXT(B1976,"AAMMDD")&amp;"-"&amp;TEXT(VALUE(SUBSTITUTE(A1976,"MOV-","")),"000"))</f>
        <v/>
      </c>
    </row>
    <row r="1977" spans="1:20">
      <c r="A1977" s="20" t="s">
        <v>2336</v>
      </c>
      <c r="H1977" s="20" t="str">
        <f>+T1977</f>
        <v/>
      </c>
      <c r="J1977" s="30"/>
      <c r="K1977" s="22" t="str">
        <f>IF(I1977="","",IF(I1977="ENTRADA",ABS(J1977),-ABS(J1977)))</f>
        <v/>
      </c>
      <c r="R1977" s="22" t="str">
        <f>IF(H1977="","",H1977&amp;I1977)</f>
        <v/>
      </c>
      <c r="S1977" s="22" t="str">
        <f>IF(C1977="","",C1977&amp;I1977)</f>
        <v/>
      </c>
      <c r="T1977" t="str">
        <f>IF(OR(C1977="",I1977&lt;&gt;"ENTRADA"),"",TEXT(B1977,"AAMMDD")&amp;"-"&amp;TEXT(VALUE(SUBSTITUTE(A1977,"MOV-","")),"000"))</f>
        <v/>
      </c>
    </row>
    <row r="1978" spans="1:20">
      <c r="A1978" s="20" t="s">
        <v>2337</v>
      </c>
      <c r="H1978" s="20" t="str">
        <f>+T1978</f>
        <v/>
      </c>
      <c r="J1978" s="30"/>
      <c r="K1978" s="22" t="str">
        <f>IF(I1978="","",IF(I1978="ENTRADA",ABS(J1978),-ABS(J1978)))</f>
        <v/>
      </c>
      <c r="R1978" s="22" t="str">
        <f>IF(H1978="","",H1978&amp;I1978)</f>
        <v/>
      </c>
      <c r="S1978" s="22" t="str">
        <f>IF(C1978="","",C1978&amp;I1978)</f>
        <v/>
      </c>
      <c r="T1978" t="str">
        <f>IF(OR(C1978="",I1978&lt;&gt;"ENTRADA"),"",TEXT(B1978,"AAMMDD")&amp;"-"&amp;TEXT(VALUE(SUBSTITUTE(A1978,"MOV-","")),"000"))</f>
        <v/>
      </c>
    </row>
    <row r="1979" spans="1:20">
      <c r="A1979" s="20" t="s">
        <v>2338</v>
      </c>
      <c r="H1979" s="20" t="str">
        <f>+T1979</f>
        <v/>
      </c>
      <c r="J1979" s="30"/>
      <c r="K1979" s="22" t="str">
        <f>IF(I1979="","",IF(I1979="ENTRADA",ABS(J1979),-ABS(J1979)))</f>
        <v/>
      </c>
      <c r="R1979" s="22" t="str">
        <f>IF(H1979="","",H1979&amp;I1979)</f>
        <v/>
      </c>
      <c r="S1979" s="22" t="str">
        <f>IF(C1979="","",C1979&amp;I1979)</f>
        <v/>
      </c>
      <c r="T1979" t="str">
        <f>IF(OR(C1979="",I1979&lt;&gt;"ENTRADA"),"",TEXT(B1979,"AAMMDD")&amp;"-"&amp;TEXT(VALUE(SUBSTITUTE(A1979,"MOV-","")),"000"))</f>
        <v/>
      </c>
    </row>
    <row r="1980" spans="1:20">
      <c r="A1980" s="20" t="s">
        <v>2339</v>
      </c>
      <c r="H1980" s="20" t="str">
        <f>+T1980</f>
        <v/>
      </c>
      <c r="J1980" s="30"/>
      <c r="K1980" s="22" t="str">
        <f>IF(I1980="","",IF(I1980="ENTRADA",ABS(J1980),-ABS(J1980)))</f>
        <v/>
      </c>
      <c r="R1980" s="22" t="str">
        <f>IF(H1980="","",H1980&amp;I1980)</f>
        <v/>
      </c>
      <c r="S1980" s="22" t="str">
        <f>IF(C1980="","",C1980&amp;I1980)</f>
        <v/>
      </c>
      <c r="T1980" t="str">
        <f>IF(OR(C1980="",I1980&lt;&gt;"ENTRADA"),"",TEXT(B1980,"AAMMDD")&amp;"-"&amp;TEXT(VALUE(SUBSTITUTE(A1980,"MOV-","")),"000"))</f>
        <v/>
      </c>
    </row>
    <row r="1981" spans="1:20">
      <c r="A1981" s="20" t="s">
        <v>2340</v>
      </c>
      <c r="H1981" s="20" t="str">
        <f>+T1981</f>
        <v/>
      </c>
      <c r="J1981" s="30"/>
      <c r="K1981" s="22" t="str">
        <f>IF(I1981="","",IF(I1981="ENTRADA",ABS(J1981),-ABS(J1981)))</f>
        <v/>
      </c>
      <c r="R1981" s="22" t="str">
        <f>IF(H1981="","",H1981&amp;I1981)</f>
        <v/>
      </c>
      <c r="S1981" s="22" t="str">
        <f>IF(C1981="","",C1981&amp;I1981)</f>
        <v/>
      </c>
      <c r="T1981" t="str">
        <f>IF(OR(C1981="",I1981&lt;&gt;"ENTRADA"),"",TEXT(B1981,"AAMMDD")&amp;"-"&amp;TEXT(VALUE(SUBSTITUTE(A1981,"MOV-","")),"000"))</f>
        <v/>
      </c>
    </row>
    <row r="1982" spans="1:20">
      <c r="A1982" s="20" t="s">
        <v>2341</v>
      </c>
      <c r="H1982" s="20" t="str">
        <f>+T1982</f>
        <v/>
      </c>
      <c r="J1982" s="30"/>
      <c r="K1982" s="22" t="str">
        <f>IF(I1982="","",IF(I1982="ENTRADA",ABS(J1982),-ABS(J1982)))</f>
        <v/>
      </c>
      <c r="R1982" s="22" t="str">
        <f>IF(H1982="","",H1982&amp;I1982)</f>
        <v/>
      </c>
      <c r="S1982" s="22" t="str">
        <f>IF(C1982="","",C1982&amp;I1982)</f>
        <v/>
      </c>
      <c r="T1982" t="str">
        <f>IF(OR(C1982="",I1982&lt;&gt;"ENTRADA"),"",TEXT(B1982,"AAMMDD")&amp;"-"&amp;TEXT(VALUE(SUBSTITUTE(A1982,"MOV-","")),"000"))</f>
        <v/>
      </c>
    </row>
    <row r="1983" spans="1:20">
      <c r="A1983" s="20" t="s">
        <v>2342</v>
      </c>
      <c r="H1983" s="20" t="str">
        <f>+T1983</f>
        <v/>
      </c>
      <c r="J1983" s="30"/>
      <c r="K1983" s="22" t="str">
        <f>IF(I1983="","",IF(I1983="ENTRADA",ABS(J1983),-ABS(J1983)))</f>
        <v/>
      </c>
      <c r="R1983" s="22" t="str">
        <f>IF(H1983="","",H1983&amp;I1983)</f>
        <v/>
      </c>
      <c r="S1983" s="22" t="str">
        <f>IF(C1983="","",C1983&amp;I1983)</f>
        <v/>
      </c>
      <c r="T1983" t="str">
        <f>IF(OR(C1983="",I1983&lt;&gt;"ENTRADA"),"",TEXT(B1983,"AAMMDD")&amp;"-"&amp;TEXT(VALUE(SUBSTITUTE(A1983,"MOV-","")),"000"))</f>
        <v/>
      </c>
    </row>
    <row r="1984" spans="1:20">
      <c r="A1984" s="20" t="s">
        <v>2343</v>
      </c>
      <c r="H1984" s="20" t="str">
        <f>+T1984</f>
        <v/>
      </c>
      <c r="J1984" s="30"/>
      <c r="K1984" s="22" t="str">
        <f>IF(I1984="","",IF(I1984="ENTRADA",ABS(J1984),-ABS(J1984)))</f>
        <v/>
      </c>
      <c r="R1984" s="22" t="str">
        <f>IF(H1984="","",H1984&amp;I1984)</f>
        <v/>
      </c>
      <c r="S1984" s="22" t="str">
        <f>IF(C1984="","",C1984&amp;I1984)</f>
        <v/>
      </c>
      <c r="T1984" t="str">
        <f>IF(OR(C1984="",I1984&lt;&gt;"ENTRADA"),"",TEXT(B1984,"AAMMDD")&amp;"-"&amp;TEXT(VALUE(SUBSTITUTE(A1984,"MOV-","")),"000"))</f>
        <v/>
      </c>
    </row>
    <row r="1985" spans="1:20">
      <c r="A1985" s="20" t="s">
        <v>2344</v>
      </c>
      <c r="H1985" s="20" t="str">
        <f>+T1985</f>
        <v/>
      </c>
      <c r="J1985" s="30"/>
      <c r="K1985" s="22" t="str">
        <f>IF(I1985="","",IF(I1985="ENTRADA",ABS(J1985),-ABS(J1985)))</f>
        <v/>
      </c>
      <c r="R1985" s="22" t="str">
        <f>IF(H1985="","",H1985&amp;I1985)</f>
        <v/>
      </c>
      <c r="S1985" s="22" t="str">
        <f>IF(C1985="","",C1985&amp;I1985)</f>
        <v/>
      </c>
      <c r="T1985" t="str">
        <f>IF(OR(C1985="",I1985&lt;&gt;"ENTRADA"),"",TEXT(B1985,"AAMMDD")&amp;"-"&amp;TEXT(VALUE(SUBSTITUTE(A1985,"MOV-","")),"000"))</f>
        <v/>
      </c>
    </row>
    <row r="1986" spans="1:20">
      <c r="A1986" s="20" t="s">
        <v>2345</v>
      </c>
      <c r="H1986" s="20" t="str">
        <f>+T1986</f>
        <v/>
      </c>
      <c r="J1986" s="30"/>
      <c r="K1986" s="22" t="str">
        <f>IF(I1986="","",IF(I1986="ENTRADA",ABS(J1986),-ABS(J1986)))</f>
        <v/>
      </c>
      <c r="R1986" s="22" t="str">
        <f>IF(H1986="","",H1986&amp;I1986)</f>
        <v/>
      </c>
      <c r="S1986" s="22" t="str">
        <f>IF(C1986="","",C1986&amp;I1986)</f>
        <v/>
      </c>
      <c r="T1986" t="str">
        <f>IF(OR(C1986="",I1986&lt;&gt;"ENTRADA"),"",TEXT(B1986,"AAMMDD")&amp;"-"&amp;TEXT(VALUE(SUBSTITUTE(A1986,"MOV-","")),"000"))</f>
        <v/>
      </c>
    </row>
    <row r="1987" spans="1:20">
      <c r="A1987" s="20" t="s">
        <v>2346</v>
      </c>
      <c r="H1987" s="20" t="str">
        <f>+T1987</f>
        <v/>
      </c>
      <c r="J1987" s="30"/>
      <c r="K1987" s="22" t="str">
        <f>IF(I1987="","",IF(I1987="ENTRADA",ABS(J1987),-ABS(J1987)))</f>
        <v/>
      </c>
      <c r="R1987" s="22" t="str">
        <f>IF(H1987="","",H1987&amp;I1987)</f>
        <v/>
      </c>
      <c r="S1987" s="22" t="str">
        <f>IF(C1987="","",C1987&amp;I1987)</f>
        <v/>
      </c>
      <c r="T1987" t="str">
        <f>IF(OR(C1987="",I1987&lt;&gt;"ENTRADA"),"",TEXT(B1987,"AAMMDD")&amp;"-"&amp;TEXT(VALUE(SUBSTITUTE(A1987,"MOV-","")),"000"))</f>
        <v/>
      </c>
    </row>
    <row r="1988" spans="1:20">
      <c r="A1988" s="20" t="s">
        <v>2347</v>
      </c>
      <c r="H1988" s="20" t="str">
        <f>+T1988</f>
        <v/>
      </c>
      <c r="J1988" s="30"/>
      <c r="K1988" s="22" t="str">
        <f>IF(I1988="","",IF(I1988="ENTRADA",ABS(J1988),-ABS(J1988)))</f>
        <v/>
      </c>
      <c r="R1988" s="22" t="str">
        <f>IF(H1988="","",H1988&amp;I1988)</f>
        <v/>
      </c>
      <c r="S1988" s="22" t="str">
        <f>IF(C1988="","",C1988&amp;I1988)</f>
        <v/>
      </c>
      <c r="T1988" t="str">
        <f>IF(OR(C1988="",I1988&lt;&gt;"ENTRADA"),"",TEXT(B1988,"AAMMDD")&amp;"-"&amp;TEXT(VALUE(SUBSTITUTE(A1988,"MOV-","")),"000"))</f>
        <v/>
      </c>
    </row>
    <row r="1989" spans="1:20">
      <c r="A1989" s="20" t="s">
        <v>2348</v>
      </c>
      <c r="H1989" s="20" t="str">
        <f>+T1989</f>
        <v/>
      </c>
      <c r="J1989" s="30"/>
      <c r="K1989" s="22" t="str">
        <f>IF(I1989="","",IF(I1989="ENTRADA",ABS(J1989),-ABS(J1989)))</f>
        <v/>
      </c>
      <c r="R1989" s="22" t="str">
        <f>IF(H1989="","",H1989&amp;I1989)</f>
        <v/>
      </c>
      <c r="S1989" s="22" t="str">
        <f>IF(C1989="","",C1989&amp;I1989)</f>
        <v/>
      </c>
      <c r="T1989" t="str">
        <f>IF(OR(C1989="",I1989&lt;&gt;"ENTRADA"),"",TEXT(B1989,"AAMMDD")&amp;"-"&amp;TEXT(VALUE(SUBSTITUTE(A1989,"MOV-","")),"000"))</f>
        <v/>
      </c>
    </row>
    <row r="1990" spans="1:20">
      <c r="A1990" s="20" t="s">
        <v>2349</v>
      </c>
      <c r="H1990" s="20" t="str">
        <f>+T1990</f>
        <v/>
      </c>
      <c r="J1990" s="30"/>
      <c r="K1990" s="22" t="str">
        <f>IF(I1990="","",IF(I1990="ENTRADA",ABS(J1990),-ABS(J1990)))</f>
        <v/>
      </c>
      <c r="R1990" s="22" t="str">
        <f>IF(H1990="","",H1990&amp;I1990)</f>
        <v/>
      </c>
      <c r="S1990" s="22" t="str">
        <f>IF(C1990="","",C1990&amp;I1990)</f>
        <v/>
      </c>
      <c r="T1990" t="str">
        <f>IF(OR(C1990="",I1990&lt;&gt;"ENTRADA"),"",TEXT(B1990,"AAMMDD")&amp;"-"&amp;TEXT(VALUE(SUBSTITUTE(A1990,"MOV-","")),"000"))</f>
        <v/>
      </c>
    </row>
    <row r="1991" spans="1:20">
      <c r="A1991" s="20" t="s">
        <v>2350</v>
      </c>
      <c r="H1991" s="20" t="str">
        <f>+T1991</f>
        <v/>
      </c>
      <c r="J1991" s="30"/>
      <c r="K1991" s="22" t="str">
        <f>IF(I1991="","",IF(I1991="ENTRADA",ABS(J1991),-ABS(J1991)))</f>
        <v/>
      </c>
      <c r="R1991" s="22" t="str">
        <f>IF(H1991="","",H1991&amp;I1991)</f>
        <v/>
      </c>
      <c r="S1991" s="22" t="str">
        <f>IF(C1991="","",C1991&amp;I1991)</f>
        <v/>
      </c>
      <c r="T1991" t="str">
        <f>IF(OR(C1991="",I1991&lt;&gt;"ENTRADA"),"",TEXT(B1991,"AAMMDD")&amp;"-"&amp;TEXT(VALUE(SUBSTITUTE(A1991,"MOV-","")),"000"))</f>
        <v/>
      </c>
    </row>
    <row r="1992" spans="1:20">
      <c r="A1992" s="20" t="s">
        <v>2351</v>
      </c>
      <c r="H1992" s="20" t="str">
        <f>+T1992</f>
        <v/>
      </c>
      <c r="J1992" s="30"/>
      <c r="K1992" s="22" t="str">
        <f>IF(I1992="","",IF(I1992="ENTRADA",ABS(J1992),-ABS(J1992)))</f>
        <v/>
      </c>
      <c r="R1992" s="22" t="str">
        <f>IF(H1992="","",H1992&amp;I1992)</f>
        <v/>
      </c>
      <c r="S1992" s="22" t="str">
        <f>IF(C1992="","",C1992&amp;I1992)</f>
        <v/>
      </c>
      <c r="T1992" t="str">
        <f>IF(OR(C1992="",I1992&lt;&gt;"ENTRADA"),"",TEXT(B1992,"AAMMDD")&amp;"-"&amp;TEXT(VALUE(SUBSTITUTE(A1992,"MOV-","")),"000"))</f>
        <v/>
      </c>
    </row>
    <row r="1993" spans="1:20">
      <c r="A1993" s="20" t="s">
        <v>2352</v>
      </c>
      <c r="H1993" s="41" t="str">
        <f>+T1993</f>
        <v/>
      </c>
      <c r="J1993" s="30"/>
      <c r="K1993" s="22" t="str">
        <f>IF(I1993="","",IF(I1993="ENTRADA",ABS(J1993),-ABS(J1993)))</f>
        <v/>
      </c>
      <c r="R1993" s="22" t="str">
        <f>IF(H1993="","",H1993&amp;I1993)</f>
        <v/>
      </c>
      <c r="S1993" s="22" t="str">
        <f>IF(C1993="","",C1993&amp;I1993)</f>
        <v/>
      </c>
      <c r="T1993" t="str">
        <f>IF(OR(C1993="",I1993&lt;&gt;"ENTRADA"),"",TEXT(B1993,"AAMMDD")&amp;"-"&amp;TEXT(VALUE(SUBSTITUTE(A1993,"MOV-","")),"000"))</f>
        <v/>
      </c>
    </row>
    <row r="1994" spans="1:20">
      <c r="A1994" s="20" t="s">
        <v>2353</v>
      </c>
      <c r="H1994" s="41" t="str">
        <f>+T1994</f>
        <v/>
      </c>
      <c r="J1994" s="30"/>
      <c r="K1994" s="22" t="str">
        <f>IF(I1994="","",IF(I1994="ENTRADA",ABS(J1994),-ABS(J1994)))</f>
        <v/>
      </c>
      <c r="R1994" s="22" t="str">
        <f>IF(H1994="","",H1994&amp;I1994)</f>
        <v/>
      </c>
      <c r="S1994" s="22" t="str">
        <f>IF(C1994="","",C1994&amp;I1994)</f>
        <v/>
      </c>
      <c r="T1994" t="str">
        <f>IF(OR(C1994="",I1994&lt;&gt;"ENTRADA"),"",TEXT(B1994,"AAMMDD")&amp;"-"&amp;TEXT(VALUE(SUBSTITUTE(A1994,"MOV-","")),"000"))</f>
        <v/>
      </c>
    </row>
    <row r="1995" spans="1:20">
      <c r="A1995" s="20" t="s">
        <v>2354</v>
      </c>
      <c r="H1995" s="41" t="str">
        <f>+T1995</f>
        <v/>
      </c>
      <c r="J1995" s="30"/>
      <c r="K1995" s="22" t="str">
        <f>IF(I1995="","",IF(I1995="ENTRADA",ABS(J1995),-ABS(J1995)))</f>
        <v/>
      </c>
      <c r="R1995" s="22" t="str">
        <f>IF(H1995="","",H1995&amp;I1995)</f>
        <v/>
      </c>
      <c r="S1995" s="22" t="str">
        <f>IF(C1995="","",C1995&amp;I1995)</f>
        <v/>
      </c>
      <c r="T1995" t="str">
        <f>IF(OR(C1995="",I1995&lt;&gt;"ENTRADA"),"",TEXT(B1995,"AAMMDD")&amp;"-"&amp;TEXT(VALUE(SUBSTITUTE(A1995,"MOV-","")),"000"))</f>
        <v/>
      </c>
    </row>
    <row r="1996" spans="1:20">
      <c r="A1996" s="20" t="s">
        <v>2355</v>
      </c>
      <c r="H1996" s="41" t="str">
        <f>+T1996</f>
        <v/>
      </c>
      <c r="J1996" s="30"/>
      <c r="K1996" s="22" t="str">
        <f>IF(I1996="","",IF(I1996="ENTRADA",ABS(J1996),-ABS(J1996)))</f>
        <v/>
      </c>
      <c r="R1996" s="22" t="str">
        <f>IF(H1996="","",H1996&amp;I1996)</f>
        <v/>
      </c>
      <c r="S1996" s="22" t="str">
        <f>IF(C1996="","",C1996&amp;I1996)</f>
        <v/>
      </c>
      <c r="T1996" t="str">
        <f>IF(OR(C1996="",I1996&lt;&gt;"ENTRADA"),"",TEXT(B1996,"AAMMDD")&amp;"-"&amp;TEXT(VALUE(SUBSTITUTE(A1996,"MOV-","")),"000"))</f>
        <v/>
      </c>
    </row>
    <row r="1997" spans="1:20">
      <c r="A1997" s="20" t="s">
        <v>2356</v>
      </c>
      <c r="H1997" s="41" t="str">
        <f>+T1997</f>
        <v/>
      </c>
      <c r="J1997" s="30"/>
      <c r="K1997" s="22" t="str">
        <f>IF(I1997="","",IF(I1997="ENTRADA",ABS(J1997),-ABS(J1997)))</f>
        <v/>
      </c>
      <c r="R1997" s="22" t="str">
        <f>IF(H1997="","",H1997&amp;I1997)</f>
        <v/>
      </c>
      <c r="S1997" s="22" t="str">
        <f>IF(C1997="","",C1997&amp;I1997)</f>
        <v/>
      </c>
      <c r="T1997" t="str">
        <f>IF(OR(C1997="",I1997&lt;&gt;"ENTRADA"),"",TEXT(B1997,"AAMMDD")&amp;"-"&amp;TEXT(VALUE(SUBSTITUTE(A1997,"MOV-","")),"000"))</f>
        <v/>
      </c>
    </row>
    <row r="1998" spans="1:20">
      <c r="A1998" s="20" t="s">
        <v>2357</v>
      </c>
      <c r="H1998" s="41" t="str">
        <f>+T1998</f>
        <v/>
      </c>
      <c r="J1998" s="30"/>
      <c r="K1998" s="22" t="str">
        <f>IF(I1998="","",IF(I1998="ENTRADA",ABS(J1998),-ABS(J1998)))</f>
        <v/>
      </c>
      <c r="R1998" s="22" t="str">
        <f>IF(H1998="","",H1998&amp;I1998)</f>
        <v/>
      </c>
      <c r="S1998" s="22" t="str">
        <f>IF(C1998="","",C1998&amp;I1998)</f>
        <v/>
      </c>
      <c r="T1998" t="str">
        <f>IF(OR(C1998="",I1998&lt;&gt;"ENTRADA"),"",TEXT(B1998,"AAMMDD")&amp;"-"&amp;TEXT(VALUE(SUBSTITUTE(A1998,"MOV-","")),"000"))</f>
        <v/>
      </c>
    </row>
    <row r="1999" spans="1:20">
      <c r="K1999" s="22" t="str">
        <f>IF(I1999="","",IF(I1999="ENTRADA",ABS(J1999),-ABS(J1999)))</f>
        <v/>
      </c>
      <c r="R1999" s="33"/>
      <c r="S1999" s="33"/>
      <c r="T1999" t="str">
        <f>IF(C1999="","",UPPER(LEFT(SUBSTITUTE(C1999," ",""),3))&amp;"-"&amp;TEXT(B1999,"AAMMDD")&amp;"-1")</f>
        <v/>
      </c>
    </row>
    <row r="2000" spans="1:20">
      <c r="K2000" s="22" t="str">
        <f>IF(I2000="","",IF(I2000="ENTRADA",ABS(J2000),-ABS(J2000)))</f>
        <v/>
      </c>
      <c r="R2000" s="33"/>
      <c r="S2000" s="33"/>
      <c r="T2000" t="str">
        <f>IF(C2000="","",UPPER(LEFT(SUBSTITUTE(C2000," ",""),3))&amp;"-"&amp;TEXT(B2000,"AAMMDD")&amp;"-1")</f>
        <v/>
      </c>
    </row>
    <row r="2001" spans="11:20">
      <c r="K2001" s="22" t="str">
        <f>IF(I2001="","",IF(I2001="ENTRADA",ABS(J2001),-ABS(J2001)))</f>
        <v/>
      </c>
      <c r="R2001" s="33"/>
      <c r="S2001" s="33"/>
      <c r="T2001" t="str">
        <f>IF(C2001="","",UPPER(LEFT(SUBSTITUTE(C2001," ",""),3))&amp;"-"&amp;TEXT(B2001,"AAMMDD")&amp;"-1")</f>
        <v/>
      </c>
    </row>
    <row r="2002" spans="11:20">
      <c r="K2002" s="22" t="str">
        <f>IF(I2002="","",IF(I2002="ENTRADA",ABS(J2002),-ABS(J2002)))</f>
        <v/>
      </c>
      <c r="R2002" s="22" t="str">
        <f>IF(H2002="","",H2002&amp;I2002)</f>
        <v/>
      </c>
      <c r="S2002" s="22" t="str">
        <f>IF(C2002="","",C2002&amp;I2002)</f>
        <v/>
      </c>
      <c r="T2002" t="str">
        <f>IF(OR(C2002="",I2002&lt;&gt;"ENTRADA"),"",TEXT(B2002,"AAMMDD")&amp;"-"&amp;TEXT(VALUE(SUBSTITUTE(A2002,"MOV-","")),"000"))</f>
        <v/>
      </c>
    </row>
    <row r="2003" spans="11:20">
      <c r="K2003" s="22" t="str">
        <f>IF(I2003="","",IF(I2003="ENTRADA",ABS(J2003),-ABS(J2003)))</f>
        <v/>
      </c>
      <c r="R2003" s="22" t="str">
        <f>IF(H2003="","",H2003&amp;I2003)</f>
        <v/>
      </c>
      <c r="S2003" s="22" t="str">
        <f>IF(C2003="","",C2003&amp;I2003)</f>
        <v/>
      </c>
      <c r="T2003" t="str">
        <f>IF(OR(C2003="",I2003&lt;&gt;"ENTRADA"),"",TEXT(B2003,"AAMMDD")&amp;"-"&amp;TEXT(VALUE(SUBSTITUTE(A2003,"MOV-","")),"000"))</f>
        <v/>
      </c>
    </row>
    <row r="2004" spans="11:20">
      <c r="K2004" s="22" t="str">
        <f>IF(I2004="","",IF(I2004="ENTRADA",ABS(J2004),-ABS(J2004)))</f>
        <v/>
      </c>
      <c r="R2004" s="22" t="str">
        <f>IF(H2004="","",H2004&amp;I2004)</f>
        <v/>
      </c>
      <c r="S2004" s="22" t="str">
        <f>IF(C2004="","",C2004&amp;I2004)</f>
        <v/>
      </c>
      <c r="T2004" t="str">
        <f>IF(OR(C2004="",I2004&lt;&gt;"ENTRADA"),"",TEXT(B2004,"AAMMDD")&amp;"-"&amp;TEXT(VALUE(SUBSTITUTE(A2004,"MOV-","")),"000"))</f>
        <v/>
      </c>
    </row>
    <row r="2005" spans="11:20">
      <c r="K2005" s="22" t="str">
        <f>IF(I2005="","",IF(I2005="ENTRADA",ABS(J2005),-ABS(J2005)))</f>
        <v/>
      </c>
      <c r="R2005" s="22" t="str">
        <f>IF(H2005="","",H2005&amp;I2005)</f>
        <v/>
      </c>
      <c r="S2005" s="22" t="str">
        <f>IF(C2005="","",C2005&amp;I2005)</f>
        <v/>
      </c>
      <c r="T2005" t="str">
        <f>IF(OR(C2005="",I2005&lt;&gt;"ENTRADA"),"",TEXT(B2005,"AAMMDD")&amp;"-"&amp;TEXT(VALUE(SUBSTITUTE(A2005,"MOV-","")),"000"))</f>
        <v/>
      </c>
    </row>
    <row r="2006" spans="11:20">
      <c r="K2006" s="22" t="str">
        <f>IF(I2006="","",IF(I2006="ENTRADA",ABS(J2006),-ABS(J2006)))</f>
        <v/>
      </c>
      <c r="R2006" s="22" t="str">
        <f>IF(H2006="","",H2006&amp;I2006)</f>
        <v/>
      </c>
      <c r="S2006" s="22" t="str">
        <f>IF(C2006="","",C2006&amp;I2006)</f>
        <v/>
      </c>
      <c r="T2006" t="str">
        <f>IF(OR(C2006="",I2006&lt;&gt;"ENTRADA"),"",TEXT(B2006,"AAMMDD")&amp;"-"&amp;TEXT(VALUE(SUBSTITUTE(A2006,"MOV-","")),"000"))</f>
        <v/>
      </c>
    </row>
    <row r="2007" spans="11:20">
      <c r="K2007" s="22" t="str">
        <f>IF(I2007="","",IF(I2007="ENTRADA",ABS(J2007),-ABS(J2007)))</f>
        <v/>
      </c>
      <c r="R2007" s="22" t="str">
        <f>IF(H2007="","",H2007&amp;I2007)</f>
        <v/>
      </c>
      <c r="S2007" s="22" t="str">
        <f>IF(C2007="","",C2007&amp;I2007)</f>
        <v/>
      </c>
      <c r="T2007" t="str">
        <f>IF(OR(C2007="",I2007&lt;&gt;"ENTRADA"),"",TEXT(B2007,"AAMMDD")&amp;"-"&amp;TEXT(VALUE(SUBSTITUTE(A2007,"MOV-","")),"000"))</f>
        <v/>
      </c>
    </row>
    <row r="2008" spans="11:20">
      <c r="K2008" s="22" t="str">
        <f>IF(I2008="","",IF(I2008="ENTRADA",ABS(J2008),-ABS(J2008)))</f>
        <v/>
      </c>
      <c r="R2008" s="22" t="str">
        <f>IF(H2008="","",H2008&amp;I2008)</f>
        <v/>
      </c>
      <c r="S2008" s="22" t="str">
        <f>IF(C2008="","",C2008&amp;I2008)</f>
        <v/>
      </c>
      <c r="T2008" t="str">
        <f>IF(OR(C2008="",I2008&lt;&gt;"ENTRADA"),"",TEXT(B2008,"AAMMDD")&amp;"-"&amp;TEXT(VALUE(SUBSTITUTE(A2008,"MOV-","")),"000"))</f>
        <v/>
      </c>
    </row>
    <row r="2009" spans="11:20">
      <c r="K2009" s="22" t="str">
        <f>IF(I2009="","",IF(I2009="ENTRADA",ABS(J2009),-ABS(J2009)))</f>
        <v/>
      </c>
      <c r="R2009" s="22" t="str">
        <f>IF(H2009="","",H2009&amp;I2009)</f>
        <v/>
      </c>
      <c r="S2009" s="22" t="str">
        <f>IF(C2009="","",C2009&amp;I2009)</f>
        <v/>
      </c>
      <c r="T2009" t="str">
        <f>IF(OR(C2009="",I2009&lt;&gt;"ENTRADA"),"",TEXT(B2009,"AAMMDD")&amp;"-"&amp;TEXT(VALUE(SUBSTITUTE(A2009,"MOV-","")),"000"))</f>
        <v/>
      </c>
    </row>
    <row r="2010" spans="11:20">
      <c r="K2010" s="22" t="str">
        <f>IF(I2010="","",IF(I2010="ENTRADA",ABS(J2010),-ABS(J2010)))</f>
        <v/>
      </c>
      <c r="R2010" s="22" t="str">
        <f>IF(H2010="","",H2010&amp;I2010)</f>
        <v/>
      </c>
      <c r="S2010" s="22" t="str">
        <f>IF(C2010="","",C2010&amp;I2010)</f>
        <v/>
      </c>
      <c r="T2010" t="str">
        <f>IF(OR(C2010="",I2010&lt;&gt;"ENTRADA"),"",TEXT(B2010,"AAMMDD")&amp;"-"&amp;TEXT(VALUE(SUBSTITUTE(A2010,"MOV-","")),"000"))</f>
        <v/>
      </c>
    </row>
    <row r="2011" spans="11:20">
      <c r="K2011" s="22" t="str">
        <f>IF(I2011="","",IF(I2011="ENTRADA",ABS(J2011),-ABS(J2011)))</f>
        <v/>
      </c>
      <c r="R2011" s="22" t="str">
        <f>IF(H2011="","",H2011&amp;I2011)</f>
        <v/>
      </c>
      <c r="S2011" s="22" t="str">
        <f>IF(C2011="","",C2011&amp;I2011)</f>
        <v/>
      </c>
      <c r="T2011" t="str">
        <f>IF(OR(C2011="",I2011&lt;&gt;"ENTRADA"),"",TEXT(B2011,"AAMMDD")&amp;"-"&amp;TEXT(VALUE(SUBSTITUTE(A2011,"MOV-","")),"000"))</f>
        <v/>
      </c>
    </row>
    <row r="2012" spans="11:20">
      <c r="K2012" s="22" t="str">
        <f>IF(I2012="","",IF(I2012="ENTRADA",ABS(J2012),-ABS(J2012)))</f>
        <v/>
      </c>
      <c r="R2012" s="22" t="str">
        <f>IF(H2012="","",H2012&amp;I2012)</f>
        <v/>
      </c>
      <c r="S2012" s="22" t="str">
        <f>IF(C2012="","",C2012&amp;I2012)</f>
        <v/>
      </c>
      <c r="T2012" t="str">
        <f>IF(OR(C2012="",I2012&lt;&gt;"ENTRADA"),"",TEXT(B2012,"AAMMDD")&amp;"-"&amp;TEXT(VALUE(SUBSTITUTE(A2012,"MOV-","")),"000"))</f>
        <v/>
      </c>
    </row>
    <row r="2013" spans="11:20">
      <c r="K2013" s="22" t="str">
        <f>IF(I2013="","",IF(I2013="ENTRADA",ABS(J2013),-ABS(J2013)))</f>
        <v/>
      </c>
      <c r="R2013" s="22" t="str">
        <f>IF(H2013="","",H2013&amp;I2013)</f>
        <v/>
      </c>
      <c r="S2013" s="22" t="str">
        <f>IF(C2013="","",C2013&amp;I2013)</f>
        <v/>
      </c>
      <c r="T2013" t="str">
        <f>IF(OR(C2013="",I2013&lt;&gt;"ENTRADA"),"",TEXT(B2013,"AAMMDD")&amp;"-"&amp;TEXT(VALUE(SUBSTITUTE(A2013,"MOV-","")),"000"))</f>
        <v/>
      </c>
    </row>
    <row r="2014" spans="11:20">
      <c r="K2014" s="22" t="str">
        <f>IF(I2014="","",IF(I2014="ENTRADA",ABS(J2014),-ABS(J2014)))</f>
        <v/>
      </c>
      <c r="R2014" s="22" t="str">
        <f>IF(H2014="","",H2014&amp;I2014)</f>
        <v/>
      </c>
      <c r="S2014" s="22" t="str">
        <f>IF(C2014="","",C2014&amp;I2014)</f>
        <v/>
      </c>
      <c r="T2014" t="str">
        <f>IF(OR(C2014="",I2014&lt;&gt;"ENTRADA"),"",TEXT(B2014,"AAMMDD")&amp;"-"&amp;TEXT(VALUE(SUBSTITUTE(A2014,"MOV-","")),"000"))</f>
        <v/>
      </c>
    </row>
    <row r="2015" spans="11:20">
      <c r="K2015" s="22" t="str">
        <f>IF(I2015="","",IF(I2015="ENTRADA",ABS(J2015),-ABS(J2015)))</f>
        <v/>
      </c>
      <c r="R2015" s="22" t="str">
        <f>IF(H2015="","",H2015&amp;I2015)</f>
        <v/>
      </c>
      <c r="S2015" s="22" t="str">
        <f>IF(C2015="","",C2015&amp;I2015)</f>
        <v/>
      </c>
      <c r="T2015" t="str">
        <f>IF(OR(C2015="",I2015&lt;&gt;"ENTRADA"),"",TEXT(B2015,"AAMMDD")&amp;"-"&amp;TEXT(VALUE(SUBSTITUTE(A2015,"MOV-","")),"000"))</f>
        <v/>
      </c>
    </row>
    <row r="2016" spans="11:20">
      <c r="K2016" s="22" t="str">
        <f>IF(I2016="","",IF(I2016="ENTRADA",ABS(J2016),-ABS(J2016)))</f>
        <v/>
      </c>
      <c r="R2016" s="22" t="str">
        <f>IF(H2016="","",H2016&amp;I2016)</f>
        <v/>
      </c>
      <c r="S2016" s="22" t="str">
        <f>IF(C2016="","",C2016&amp;I2016)</f>
        <v/>
      </c>
      <c r="T2016" t="str">
        <f>IF(OR(C2016="",I2016&lt;&gt;"ENTRADA"),"",TEXT(B2016,"AAMMDD")&amp;"-"&amp;TEXT(VALUE(SUBSTITUTE(A2016,"MOV-","")),"000"))</f>
        <v/>
      </c>
    </row>
    <row r="2017" spans="11:20">
      <c r="K2017" s="22" t="str">
        <f>IF(I2017="","",IF(I2017="ENTRADA",ABS(J2017),-ABS(J2017)))</f>
        <v/>
      </c>
      <c r="R2017" s="22" t="str">
        <f>IF(H2017="","",H2017&amp;I2017)</f>
        <v/>
      </c>
      <c r="S2017" s="22" t="str">
        <f>IF(C2017="","",C2017&amp;I2017)</f>
        <v/>
      </c>
      <c r="T2017" t="str">
        <f>IF(OR(C2017="",I2017&lt;&gt;"ENTRADA"),"",TEXT(B2017,"AAMMDD")&amp;"-"&amp;TEXT(VALUE(SUBSTITUTE(A2017,"MOV-","")),"000"))</f>
        <v/>
      </c>
    </row>
    <row r="2018" spans="11:20">
      <c r="K2018" s="22" t="str">
        <f>IF(I2018="","",IF(I2018="ENTRADA",ABS(J2018),-ABS(J2018)))</f>
        <v/>
      </c>
      <c r="R2018" s="22" t="str">
        <f>IF(H2018="","",H2018&amp;I2018)</f>
        <v/>
      </c>
      <c r="S2018" s="22" t="str">
        <f>IF(C2018="","",C2018&amp;I2018)</f>
        <v/>
      </c>
      <c r="T2018" t="str">
        <f>IF(OR(C2018="",I2018&lt;&gt;"ENTRADA"),"",TEXT(B2018,"AAMMDD")&amp;"-"&amp;TEXT(VALUE(SUBSTITUTE(A2018,"MOV-","")),"000"))</f>
        <v/>
      </c>
    </row>
    <row r="2019" spans="11:20">
      <c r="R2019" s="22" t="str">
        <f>IF(H2019="","",H2019&amp;I2019)</f>
        <v/>
      </c>
      <c r="S2019" s="22" t="str">
        <f>IF(C2019="","",C2019&amp;I2019)</f>
        <v/>
      </c>
      <c r="T2019" t="str">
        <f>IF(OR(C2019="",I2019&lt;&gt;"ENTRADA"),"",TEXT(B2019,"AAMMDD")&amp;"-"&amp;TEXT(VALUE(SUBSTITUTE(A2019,"MOV-","")),"000"))</f>
        <v/>
      </c>
    </row>
    <row r="2020" spans="11:20">
      <c r="R2020" s="22" t="str">
        <f>IF(H2020="","",H2020&amp;I2020)</f>
        <v/>
      </c>
      <c r="S2020" s="22" t="str">
        <f>IF(C2020="","",C2020&amp;I2020)</f>
        <v/>
      </c>
      <c r="T2020" t="str">
        <f>IF(OR(C2020="",I2020&lt;&gt;"ENTRADA"),"",TEXT(B2020,"AAMMDD")&amp;"-"&amp;TEXT(VALUE(SUBSTITUTE(A2020,"MOV-","")),"000"))</f>
        <v/>
      </c>
    </row>
    <row r="2021" spans="11:20">
      <c r="R2021" s="22" t="str">
        <f>IF(H2021="","",H2021&amp;I2021)</f>
        <v/>
      </c>
      <c r="S2021" s="22" t="str">
        <f>IF(C2021="","",C2021&amp;I2021)</f>
        <v/>
      </c>
      <c r="T2021" t="str">
        <f>IF(OR(C2021="",I2021&lt;&gt;"ENTRADA"),"",TEXT(B2021,"AAMMDD")&amp;"-"&amp;TEXT(VALUE(SUBSTITUTE(A2021,"MOV-","")),"000"))</f>
        <v/>
      </c>
    </row>
    <row r="2022" spans="11:20">
      <c r="R2022" s="22" t="str">
        <f>IF(H2022="","",H2022&amp;I2022)</f>
        <v/>
      </c>
      <c r="S2022" s="22" t="str">
        <f>IF(C2022="","",C2022&amp;I2022)</f>
        <v/>
      </c>
      <c r="T2022" t="str">
        <f>IF(OR(C2022="",I2022&lt;&gt;"ENTRADA"),"",TEXT(B2022,"AAMMDD")&amp;"-"&amp;TEXT(VALUE(SUBSTITUTE(A2022,"MOV-","")),"000"))</f>
        <v/>
      </c>
    </row>
    <row r="2023" spans="11:20">
      <c r="R2023" s="22" t="str">
        <f>IF(H2023="","",H2023&amp;I2023)</f>
        <v/>
      </c>
      <c r="S2023" s="22" t="str">
        <f>IF(C2023="","",C2023&amp;I2023)</f>
        <v/>
      </c>
      <c r="T2023" t="str">
        <f>IF(OR(C2023="",I2023&lt;&gt;"ENTRADA"),"",TEXT(B2023,"AAMMDD")&amp;"-"&amp;TEXT(VALUE(SUBSTITUTE(A2023,"MOV-","")),"000"))</f>
        <v/>
      </c>
    </row>
    <row r="2024" spans="11:20">
      <c r="R2024" s="22" t="str">
        <f>IF(H2024="","",H2024&amp;I2024)</f>
        <v/>
      </c>
      <c r="S2024" s="22" t="str">
        <f>IF(C2024="","",C2024&amp;I2024)</f>
        <v/>
      </c>
      <c r="T2024" t="str">
        <f>IF(OR(C2024="",I2024&lt;&gt;"ENTRADA"),"",TEXT(B2024,"AAMMDD")&amp;"-"&amp;TEXT(VALUE(SUBSTITUTE(A2024,"MOV-","")),"000"))</f>
        <v/>
      </c>
    </row>
    <row r="2025" spans="11:20">
      <c r="R2025" s="22" t="str">
        <f>IF(H2025="","",H2025&amp;I2025)</f>
        <v/>
      </c>
      <c r="S2025" s="22" t="str">
        <f>IF(C2025="","",C2025&amp;I2025)</f>
        <v/>
      </c>
      <c r="T2025" t="str">
        <f>IF(OR(C2025="",I2025&lt;&gt;"ENTRADA"),"",TEXT(B2025,"AAMMDD")&amp;"-"&amp;TEXT(VALUE(SUBSTITUTE(A2025,"MOV-","")),"000"))</f>
        <v/>
      </c>
    </row>
    <row r="2026" spans="11:20">
      <c r="R2026" s="22" t="str">
        <f>IF(H2026="","",H2026&amp;I2026)</f>
        <v/>
      </c>
      <c r="S2026" s="22" t="str">
        <f>IF(C2026="","",C2026&amp;I2026)</f>
        <v/>
      </c>
      <c r="T2026" t="str">
        <f>IF(OR(C2026="",I2026&lt;&gt;"ENTRADA"),"",TEXT(B2026,"AAMMDD")&amp;"-"&amp;TEXT(VALUE(SUBSTITUTE(A2026,"MOV-","")),"000"))</f>
        <v/>
      </c>
    </row>
    <row r="2027" spans="11:20">
      <c r="R2027" s="22" t="str">
        <f>IF(H2027="","",H2027&amp;I2027)</f>
        <v/>
      </c>
      <c r="S2027" s="22" t="str">
        <f>IF(C2027="","",C2027&amp;I2027)</f>
        <v/>
      </c>
      <c r="T2027" t="str">
        <f>IF(OR(C2027="",I2027&lt;&gt;"ENTRADA"),"",TEXT(B2027,"AAMMDD")&amp;"-"&amp;TEXT(VALUE(SUBSTITUTE(A2027,"MOV-","")),"000"))</f>
        <v/>
      </c>
    </row>
    <row r="2028" spans="11:20">
      <c r="R2028" s="22" t="str">
        <f>IF(H2028="","",H2028&amp;I2028)</f>
        <v/>
      </c>
      <c r="S2028" s="22" t="str">
        <f>IF(C2028="","",C2028&amp;I2028)</f>
        <v/>
      </c>
      <c r="T2028" t="str">
        <f>IF(OR(C2028="",I2028&lt;&gt;"ENTRADA"),"",TEXT(B2028,"AAMMDD")&amp;"-"&amp;TEXT(VALUE(SUBSTITUTE(A2028,"MOV-","")),"000"))</f>
        <v/>
      </c>
    </row>
    <row r="2029" spans="11:20">
      <c r="R2029" s="22" t="str">
        <f>IF(H2029="","",H2029&amp;I2029)</f>
        <v/>
      </c>
      <c r="S2029" s="22" t="str">
        <f>IF(C2029="","",C2029&amp;I2029)</f>
        <v/>
      </c>
      <c r="T2029" t="str">
        <f>IF(OR(C2029="",I2029&lt;&gt;"ENTRADA"),"",TEXT(B2029,"AAMMDD")&amp;"-"&amp;TEXT(VALUE(SUBSTITUTE(A2029,"MOV-","")),"000"))</f>
        <v/>
      </c>
    </row>
    <row r="2030" spans="11:20">
      <c r="R2030" s="22" t="str">
        <f>IF(H2030="","",H2030&amp;I2030)</f>
        <v/>
      </c>
      <c r="S2030" s="22" t="str">
        <f>IF(C2030="","",C2030&amp;I2030)</f>
        <v/>
      </c>
      <c r="T2030" t="str">
        <f>IF(OR(C2030="",I2030&lt;&gt;"ENTRADA"),"",TEXT(B2030,"AAMMDD")&amp;"-"&amp;TEXT(VALUE(SUBSTITUTE(A2030,"MOV-","")),"000"))</f>
        <v/>
      </c>
    </row>
    <row r="2031" spans="11:20">
      <c r="R2031" s="22" t="str">
        <f>IF(H2031="","",H2031&amp;I2031)</f>
        <v/>
      </c>
      <c r="S2031" s="22" t="str">
        <f>IF(C2031="","",C2031&amp;I2031)</f>
        <v/>
      </c>
      <c r="T2031" t="str">
        <f>IF(OR(C2031="",I2031&lt;&gt;"ENTRADA"),"",TEXT(B2031,"AAMMDD")&amp;"-"&amp;TEXT(VALUE(SUBSTITUTE(A2031,"MOV-","")),"000"))</f>
        <v/>
      </c>
    </row>
    <row r="2032" spans="11:20">
      <c r="R2032" s="22" t="str">
        <f>IF(H2032="","",H2032&amp;I2032)</f>
        <v/>
      </c>
      <c r="S2032" s="22" t="str">
        <f>IF(C2032="","",C2032&amp;I2032)</f>
        <v/>
      </c>
      <c r="T2032" t="str">
        <f>IF(OR(C2032="",I2032&lt;&gt;"ENTRADA"),"",TEXT(B2032,"AAMMDD")&amp;"-"&amp;TEXT(VALUE(SUBSTITUTE(A2032,"MOV-","")),"000"))</f>
        <v/>
      </c>
    </row>
    <row r="2033" spans="18:20">
      <c r="R2033" s="22" t="str">
        <f>IF(H2033="","",H2033&amp;I2033)</f>
        <v/>
      </c>
      <c r="S2033" s="22" t="str">
        <f>IF(C2033="","",C2033&amp;I2033)</f>
        <v/>
      </c>
      <c r="T2033" t="str">
        <f>IF(OR(C2033="",I2033&lt;&gt;"ENTRADA"),"",TEXT(B2033,"AAMMDD")&amp;"-"&amp;TEXT(VALUE(SUBSTITUTE(A2033,"MOV-","")),"000"))</f>
        <v/>
      </c>
    </row>
    <row r="2034" spans="18:20">
      <c r="R2034" s="22" t="str">
        <f>IF(H2034="","",H2034&amp;I2034)</f>
        <v/>
      </c>
      <c r="S2034" s="22" t="str">
        <f>IF(C2034="","",C2034&amp;I2034)</f>
        <v/>
      </c>
      <c r="T2034" t="str">
        <f>IF(OR(C2034="",I2034&lt;&gt;"ENTRADA"),"",TEXT(B2034,"AAMMDD")&amp;"-"&amp;TEXT(VALUE(SUBSTITUTE(A2034,"MOV-","")),"000"))</f>
        <v/>
      </c>
    </row>
    <row r="2035" spans="18:20">
      <c r="R2035" s="22" t="str">
        <f>IF(H2035="","",H2035&amp;I2035)</f>
        <v/>
      </c>
      <c r="S2035" s="22" t="str">
        <f>IF(C2035="","",C2035&amp;I2035)</f>
        <v/>
      </c>
      <c r="T2035" t="str">
        <f>IF(OR(C2035="",I2035&lt;&gt;"ENTRADA"),"",TEXT(B2035,"AAMMDD")&amp;"-"&amp;TEXT(VALUE(SUBSTITUTE(A2035,"MOV-","")),"000"))</f>
        <v/>
      </c>
    </row>
    <row r="2036" spans="18:20">
      <c r="R2036" s="22" t="str">
        <f>IF(H2036="","",H2036&amp;I2036)</f>
        <v/>
      </c>
      <c r="S2036" s="22" t="str">
        <f>IF(C2036="","",C2036&amp;I2036)</f>
        <v/>
      </c>
      <c r="T2036" t="str">
        <f>IF(OR(C2036="",I2036&lt;&gt;"ENTRADA"),"",TEXT(B2036,"AAMMDD")&amp;"-"&amp;TEXT(VALUE(SUBSTITUTE(A2036,"MOV-","")),"000"))</f>
        <v/>
      </c>
    </row>
    <row r="2037" spans="18:20">
      <c r="R2037" s="22" t="str">
        <f>IF(H2037="","",H2037&amp;I2037)</f>
        <v/>
      </c>
      <c r="S2037" s="22" t="str">
        <f>IF(C2037="","",C2037&amp;I2037)</f>
        <v/>
      </c>
      <c r="T2037" t="str">
        <f>IF(OR(C2037="",I2037&lt;&gt;"ENTRADA"),"",TEXT(B2037,"AAMMDD")&amp;"-"&amp;TEXT(VALUE(SUBSTITUTE(A2037,"MOV-","")),"000"))</f>
        <v/>
      </c>
    </row>
    <row r="2038" spans="18:20">
      <c r="R2038" s="22" t="str">
        <f>IF(H2038="","",H2038&amp;I2038)</f>
        <v/>
      </c>
      <c r="S2038" s="22" t="str">
        <f>IF(C2038="","",C2038&amp;I2038)</f>
        <v/>
      </c>
      <c r="T2038" t="str">
        <f>IF(OR(C2038="",I2038&lt;&gt;"ENTRADA"),"",TEXT(B2038,"AAMMDD")&amp;"-"&amp;TEXT(VALUE(SUBSTITUTE(A2038,"MOV-","")),"000"))</f>
        <v/>
      </c>
    </row>
    <row r="2039" spans="18:20">
      <c r="R2039" s="22" t="str">
        <f>IF(H2039="","",H2039&amp;I2039)</f>
        <v/>
      </c>
      <c r="S2039" s="22" t="str">
        <f>IF(C2039="","",C2039&amp;I2039)</f>
        <v/>
      </c>
      <c r="T2039" t="str">
        <f>IF(OR(C2039="",I2039&lt;&gt;"ENTRADA"),"",TEXT(B2039,"AAMMDD")&amp;"-"&amp;TEXT(VALUE(SUBSTITUTE(A2039,"MOV-","")),"000"))</f>
        <v/>
      </c>
    </row>
    <row r="2040" spans="18:20">
      <c r="R2040" s="22" t="str">
        <f>IF(H2040="","",H2040&amp;I2040)</f>
        <v/>
      </c>
      <c r="S2040" s="22" t="str">
        <f>IF(C2040="","",C2040&amp;I2040)</f>
        <v/>
      </c>
      <c r="T2040" t="str">
        <f>IF(OR(C2040="",I2040&lt;&gt;"ENTRADA"),"",TEXT(B2040,"AAMMDD")&amp;"-"&amp;TEXT(VALUE(SUBSTITUTE(A2040,"MOV-","")),"000"))</f>
        <v/>
      </c>
    </row>
    <row r="2041" spans="18:20">
      <c r="R2041" s="22" t="str">
        <f>IF(H2041="","",H2041&amp;I2041)</f>
        <v/>
      </c>
      <c r="S2041" s="22" t="str">
        <f>IF(C2041="","",C2041&amp;I2041)</f>
        <v/>
      </c>
      <c r="T2041" t="str">
        <f>IF(OR(C2041="",I2041&lt;&gt;"ENTRADA"),"",TEXT(B2041,"AAMMDD")&amp;"-"&amp;TEXT(VALUE(SUBSTITUTE(A2041,"MOV-","")),"000"))</f>
        <v/>
      </c>
    </row>
    <row r="2042" spans="18:20">
      <c r="R2042" s="22" t="str">
        <f>IF(H2042="","",H2042&amp;I2042)</f>
        <v/>
      </c>
      <c r="S2042" s="22" t="str">
        <f>IF(C2042="","",C2042&amp;I2042)</f>
        <v/>
      </c>
      <c r="T2042" t="str">
        <f>IF(OR(C2042="",I2042&lt;&gt;"ENTRADA"),"",TEXT(B2042,"AAMMDD")&amp;"-"&amp;TEXT(VALUE(SUBSTITUTE(A2042,"MOV-","")),"000"))</f>
        <v/>
      </c>
    </row>
    <row r="2043" spans="18:20">
      <c r="R2043" s="22" t="str">
        <f>IF(H2043="","",H2043&amp;I2043)</f>
        <v/>
      </c>
      <c r="S2043" s="22" t="str">
        <f>IF(C2043="","",C2043&amp;I2043)</f>
        <v/>
      </c>
      <c r="T2043" t="str">
        <f>IF(OR(C2043="",I2043&lt;&gt;"ENTRADA"),"",TEXT(B2043,"AAMMDD")&amp;"-"&amp;TEXT(VALUE(SUBSTITUTE(A2043,"MOV-","")),"000"))</f>
        <v/>
      </c>
    </row>
    <row r="2044" spans="18:20">
      <c r="R2044" s="22" t="str">
        <f>IF(H2044="","",H2044&amp;I2044)</f>
        <v/>
      </c>
      <c r="S2044" s="22" t="str">
        <f>IF(C2044="","",C2044&amp;I2044)</f>
        <v/>
      </c>
      <c r="T2044" t="str">
        <f>IF(OR(C2044="",I2044&lt;&gt;"ENTRADA"),"",TEXT(B2044,"AAMMDD")&amp;"-"&amp;TEXT(VALUE(SUBSTITUTE(A2044,"MOV-","")),"000"))</f>
        <v/>
      </c>
    </row>
    <row r="2045" spans="18:20">
      <c r="R2045" s="22" t="str">
        <f>IF(H2045="","",H2045&amp;I2045)</f>
        <v/>
      </c>
      <c r="S2045" s="22" t="str">
        <f>IF(C2045="","",C2045&amp;I2045)</f>
        <v/>
      </c>
      <c r="T2045" t="str">
        <f>IF(OR(C2045="",I2045&lt;&gt;"ENTRADA"),"",TEXT(B2045,"AAMMDD")&amp;"-"&amp;TEXT(VALUE(SUBSTITUTE(A2045,"MOV-","")),"000"))</f>
        <v/>
      </c>
    </row>
    <row r="2046" spans="18:20">
      <c r="R2046" s="22" t="str">
        <f>IF(H2046="","",H2046&amp;I2046)</f>
        <v/>
      </c>
      <c r="S2046" s="22" t="str">
        <f>IF(C2046="","",C2046&amp;I2046)</f>
        <v/>
      </c>
      <c r="T2046" t="str">
        <f>IF(OR(C2046="",I2046&lt;&gt;"ENTRADA"),"",TEXT(B2046,"AAMMDD")&amp;"-"&amp;TEXT(VALUE(SUBSTITUTE(A2046,"MOV-","")),"000"))</f>
        <v/>
      </c>
    </row>
    <row r="2047" spans="18:20">
      <c r="R2047" s="22" t="str">
        <f>IF(H2047="","",H2047&amp;I2047)</f>
        <v/>
      </c>
      <c r="S2047" s="22" t="str">
        <f>IF(C2047="","",C2047&amp;I2047)</f>
        <v/>
      </c>
      <c r="T2047" t="str">
        <f>IF(OR(C2047="",I2047&lt;&gt;"ENTRADA"),"",TEXT(B2047,"AAMMDD")&amp;"-"&amp;TEXT(VALUE(SUBSTITUTE(A2047,"MOV-","")),"000"))</f>
        <v/>
      </c>
    </row>
    <row r="2048" spans="18:20">
      <c r="R2048" s="22" t="str">
        <f>IF(H2048="","",H2048&amp;I2048)</f>
        <v/>
      </c>
      <c r="S2048" s="22" t="str">
        <f>IF(C2048="","",C2048&amp;I2048)</f>
        <v/>
      </c>
      <c r="T2048" t="str">
        <f>IF(OR(C2048="",I2048&lt;&gt;"ENTRADA"),"",TEXT(B2048,"AAMMDD")&amp;"-"&amp;TEXT(VALUE(SUBSTITUTE(A2048,"MOV-","")),"000"))</f>
        <v/>
      </c>
    </row>
    <row r="2049" spans="18:20">
      <c r="R2049" s="22" t="str">
        <f>IF(H2049="","",H2049&amp;I2049)</f>
        <v/>
      </c>
      <c r="S2049" s="22" t="str">
        <f>IF(C2049="","",C2049&amp;I2049)</f>
        <v/>
      </c>
      <c r="T2049" t="str">
        <f>IF(OR(C2049="",I2049&lt;&gt;"ENTRADA"),"",TEXT(B2049,"AAMMDD")&amp;"-"&amp;TEXT(VALUE(SUBSTITUTE(A2049,"MOV-","")),"000"))</f>
        <v/>
      </c>
    </row>
    <row r="2050" spans="18:20">
      <c r="R2050" s="22" t="str">
        <f>IF(H2050="","",H2050&amp;I2050)</f>
        <v/>
      </c>
      <c r="S2050" s="22" t="str">
        <f>IF(C2050="","",C2050&amp;I2050)</f>
        <v/>
      </c>
      <c r="T2050" t="str">
        <f>IF(OR(C2050="",I2050&lt;&gt;"ENTRADA"),"",TEXT(B2050,"AAMMDD")&amp;"-"&amp;TEXT(VALUE(SUBSTITUTE(A2050,"MOV-","")),"000"))</f>
        <v/>
      </c>
    </row>
    <row r="2051" spans="18:20">
      <c r="R2051" s="22" t="str">
        <f>IF(H2051="","",H2051&amp;I2051)</f>
        <v/>
      </c>
      <c r="S2051" s="22" t="str">
        <f>IF(C2051="","",C2051&amp;I2051)</f>
        <v/>
      </c>
      <c r="T2051" t="str">
        <f>IF(OR(C2051="",I2051&lt;&gt;"ENTRADA"),"",TEXT(B2051,"AAMMDD")&amp;"-"&amp;TEXT(VALUE(SUBSTITUTE(A2051,"MOV-","")),"000"))</f>
        <v/>
      </c>
    </row>
    <row r="2052" spans="18:20">
      <c r="R2052" s="22" t="str">
        <f>IF(H2052="","",H2052&amp;I2052)</f>
        <v/>
      </c>
      <c r="S2052" s="22" t="str">
        <f>IF(C2052="","",C2052&amp;I2052)</f>
        <v/>
      </c>
      <c r="T2052" t="str">
        <f>IF(OR(C2052="",I2052&lt;&gt;"ENTRADA"),"",TEXT(B2052,"AAMMDD")&amp;"-"&amp;TEXT(VALUE(SUBSTITUTE(A2052,"MOV-","")),"000"))</f>
        <v/>
      </c>
    </row>
    <row r="2053" spans="18:20">
      <c r="R2053" s="22" t="str">
        <f>IF(H2053="","",H2053&amp;I2053)</f>
        <v/>
      </c>
      <c r="S2053" s="22" t="str">
        <f>IF(C2053="","",C2053&amp;I2053)</f>
        <v/>
      </c>
      <c r="T2053" t="str">
        <f>IF(OR(C2053="",I2053&lt;&gt;"ENTRADA"),"",TEXT(B2053,"AAMMDD")&amp;"-"&amp;TEXT(VALUE(SUBSTITUTE(A2053,"MOV-","")),"000"))</f>
        <v/>
      </c>
    </row>
    <row r="2054" spans="18:20">
      <c r="R2054" s="22" t="str">
        <f>IF(H2054="","",H2054&amp;I2054)</f>
        <v/>
      </c>
      <c r="S2054" s="22" t="str">
        <f>IF(C2054="","",C2054&amp;I2054)</f>
        <v/>
      </c>
      <c r="T2054" t="str">
        <f>IF(OR(C2054="",I2054&lt;&gt;"ENTRADA"),"",TEXT(B2054,"AAMMDD")&amp;"-"&amp;TEXT(VALUE(SUBSTITUTE(A2054,"MOV-","")),"000"))</f>
        <v/>
      </c>
    </row>
    <row r="2055" spans="18:20">
      <c r="R2055" s="22" t="str">
        <f>IF(H2055="","",H2055&amp;I2055)</f>
        <v/>
      </c>
      <c r="S2055" s="22" t="str">
        <f>IF(C2055="","",C2055&amp;I2055)</f>
        <v/>
      </c>
      <c r="T2055" t="str">
        <f>IF(OR(C2055="",I2055&lt;&gt;"ENTRADA"),"",TEXT(B2055,"AAMMDD")&amp;"-"&amp;TEXT(VALUE(SUBSTITUTE(A2055,"MOV-","")),"000"))</f>
        <v/>
      </c>
    </row>
    <row r="2056" spans="18:20">
      <c r="R2056" s="22" t="str">
        <f>IF(H2056="","",H2056&amp;I2056)</f>
        <v/>
      </c>
      <c r="S2056" s="22" t="str">
        <f>IF(C2056="","",C2056&amp;I2056)</f>
        <v/>
      </c>
      <c r="T2056" t="str">
        <f>IF(OR(C2056="",I2056&lt;&gt;"ENTRADA"),"",TEXT(B2056,"AAMMDD")&amp;"-"&amp;TEXT(VALUE(SUBSTITUTE(A2056,"MOV-","")),"000"))</f>
        <v/>
      </c>
    </row>
    <row r="2057" spans="18:20">
      <c r="R2057" s="22" t="str">
        <f>IF(H2057="","",H2057&amp;I2057)</f>
        <v/>
      </c>
      <c r="S2057" s="22" t="str">
        <f>IF(C2057="","",C2057&amp;I2057)</f>
        <v/>
      </c>
      <c r="T2057" t="str">
        <f>IF(OR(C2057="",I2057&lt;&gt;"ENTRADA"),"",TEXT(B2057,"AAMMDD")&amp;"-"&amp;TEXT(VALUE(SUBSTITUTE(A2057,"MOV-","")),"000"))</f>
        <v/>
      </c>
    </row>
    <row r="2058" spans="18:20">
      <c r="R2058" s="22" t="str">
        <f>IF(H2058="","",H2058&amp;I2058)</f>
        <v/>
      </c>
      <c r="S2058" s="22" t="str">
        <f>IF(C2058="","",C2058&amp;I2058)</f>
        <v/>
      </c>
      <c r="T2058" t="str">
        <f>IF(OR(C2058="",I2058&lt;&gt;"ENTRADA"),"",TEXT(B2058,"AAMMDD")&amp;"-"&amp;TEXT(VALUE(SUBSTITUTE(A2058,"MOV-","")),"000"))</f>
        <v/>
      </c>
    </row>
    <row r="2059" spans="18:20">
      <c r="R2059" s="22" t="str">
        <f>IF(H2059="","",H2059&amp;I2059)</f>
        <v/>
      </c>
      <c r="S2059" s="22" t="str">
        <f>IF(C2059="","",C2059&amp;I2059)</f>
        <v/>
      </c>
      <c r="T2059" t="str">
        <f>IF(OR(C2059="",I2059&lt;&gt;"ENTRADA"),"",TEXT(B2059,"AAMMDD")&amp;"-"&amp;TEXT(VALUE(SUBSTITUTE(A2059,"MOV-","")),"000"))</f>
        <v/>
      </c>
    </row>
    <row r="2060" spans="18:20">
      <c r="R2060" s="22" t="str">
        <f>IF(H2060="","",H2060&amp;I2060)</f>
        <v/>
      </c>
      <c r="S2060" s="22" t="str">
        <f>IF(C2060="","",C2060&amp;I2060)</f>
        <v/>
      </c>
      <c r="T2060" t="str">
        <f>IF(OR(C2060="",I2060&lt;&gt;"ENTRADA"),"",TEXT(B2060,"AAMMDD")&amp;"-"&amp;TEXT(VALUE(SUBSTITUTE(A2060,"MOV-","")),"000"))</f>
        <v/>
      </c>
    </row>
    <row r="2061" spans="18:20">
      <c r="R2061" s="22" t="str">
        <f>IF(H2061="","",H2061&amp;I2061)</f>
        <v/>
      </c>
      <c r="S2061" s="22" t="str">
        <f>IF(C2061="","",C2061&amp;I2061)</f>
        <v/>
      </c>
      <c r="T2061" t="str">
        <f>IF(OR(C2061="",I2061&lt;&gt;"ENTRADA"),"",TEXT(B2061,"AAMMDD")&amp;"-"&amp;TEXT(VALUE(SUBSTITUTE(A2061,"MOV-","")),"000"))</f>
        <v/>
      </c>
    </row>
    <row r="2062" spans="18:20">
      <c r="R2062" s="22" t="str">
        <f>IF(H2062="","",H2062&amp;I2062)</f>
        <v/>
      </c>
      <c r="S2062" s="22" t="str">
        <f>IF(C2062="","",C2062&amp;I2062)</f>
        <v/>
      </c>
      <c r="T2062" t="str">
        <f>IF(OR(C2062="",I2062&lt;&gt;"ENTRADA"),"",TEXT(B2062,"AAMMDD")&amp;"-"&amp;TEXT(VALUE(SUBSTITUTE(A2062,"MOV-","")),"000"))</f>
        <v/>
      </c>
    </row>
    <row r="2063" spans="18:20">
      <c r="R2063" s="22" t="str">
        <f>IF(H2063="","",H2063&amp;I2063)</f>
        <v/>
      </c>
      <c r="S2063" s="22" t="str">
        <f>IF(C2063="","",C2063&amp;I2063)</f>
        <v/>
      </c>
      <c r="T2063" t="str">
        <f>IF(OR(C2063="",I2063&lt;&gt;"ENTRADA"),"",TEXT(B2063,"AAMMDD")&amp;"-"&amp;TEXT(VALUE(SUBSTITUTE(A2063,"MOV-","")),"000"))</f>
        <v/>
      </c>
    </row>
    <row r="2064" spans="18:20">
      <c r="R2064" s="22" t="str">
        <f>IF(H2064="","",H2064&amp;I2064)</f>
        <v/>
      </c>
      <c r="S2064" s="22" t="str">
        <f>IF(C2064="","",C2064&amp;I2064)</f>
        <v/>
      </c>
      <c r="T2064" t="str">
        <f>IF(OR(C2064="",I2064&lt;&gt;"ENTRADA"),"",TEXT(B2064,"AAMMDD")&amp;"-"&amp;TEXT(VALUE(SUBSTITUTE(A2064,"MOV-","")),"000"))</f>
        <v/>
      </c>
    </row>
    <row r="2065" spans="18:20">
      <c r="R2065" s="22" t="str">
        <f>IF(H2065="","",H2065&amp;I2065)</f>
        <v/>
      </c>
      <c r="S2065" s="22" t="str">
        <f>IF(C2065="","",C2065&amp;I2065)</f>
        <v/>
      </c>
      <c r="T2065" t="str">
        <f>IF(OR(C2065="",I2065&lt;&gt;"ENTRADA"),"",TEXT(B2065,"AAMMDD")&amp;"-"&amp;TEXT(VALUE(SUBSTITUTE(A2065,"MOV-","")),"000"))</f>
        <v/>
      </c>
    </row>
    <row r="2066" spans="18:20">
      <c r="R2066" s="22" t="str">
        <f>IF(H2066="","",H2066&amp;I2066)</f>
        <v/>
      </c>
      <c r="S2066" s="22" t="str">
        <f>IF(C2066="","",C2066&amp;I2066)</f>
        <v/>
      </c>
      <c r="T2066" t="str">
        <f>IF(OR(C2066="",I2066&lt;&gt;"ENTRADA"),"",TEXT(B2066,"AAMMDD")&amp;"-"&amp;TEXT(VALUE(SUBSTITUTE(A2066,"MOV-","")),"000"))</f>
        <v/>
      </c>
    </row>
    <row r="2067" spans="18:20">
      <c r="R2067" s="22" t="str">
        <f>IF(H2067="","",H2067&amp;I2067)</f>
        <v/>
      </c>
      <c r="S2067" s="22" t="str">
        <f>IF(C2067="","",C2067&amp;I2067)</f>
        <v/>
      </c>
      <c r="T2067" t="str">
        <f>IF(OR(C2067="",I2067&lt;&gt;"ENTRADA"),"",TEXT(B2067,"AAMMDD")&amp;"-"&amp;TEXT(VALUE(SUBSTITUTE(A2067,"MOV-","")),"000"))</f>
        <v/>
      </c>
    </row>
    <row r="2068" spans="18:20">
      <c r="R2068" s="22" t="str">
        <f>IF(H2068="","",H2068&amp;I2068)</f>
        <v/>
      </c>
      <c r="S2068" s="22" t="str">
        <f>IF(C2068="","",C2068&amp;I2068)</f>
        <v/>
      </c>
      <c r="T2068" t="str">
        <f>IF(OR(C2068="",I2068&lt;&gt;"ENTRADA"),"",TEXT(B2068,"AAMMDD")&amp;"-"&amp;TEXT(VALUE(SUBSTITUTE(A2068,"MOV-","")),"000"))</f>
        <v/>
      </c>
    </row>
    <row r="2069" spans="18:20">
      <c r="R2069" s="22" t="str">
        <f>IF(H2069="","",H2069&amp;I2069)</f>
        <v/>
      </c>
      <c r="S2069" s="22" t="str">
        <f>IF(C2069="","",C2069&amp;I2069)</f>
        <v/>
      </c>
      <c r="T2069" t="str">
        <f>IF(OR(C2069="",I2069&lt;&gt;"ENTRADA"),"",TEXT(B2069,"AAMMDD")&amp;"-"&amp;TEXT(VALUE(SUBSTITUTE(A2069,"MOV-","")),"000"))</f>
        <v/>
      </c>
    </row>
    <row r="2070" spans="18:20">
      <c r="R2070" s="22" t="str">
        <f>IF(H2070="","",H2070&amp;I2070)</f>
        <v/>
      </c>
      <c r="S2070" s="22" t="str">
        <f>IF(C2070="","",C2070&amp;I2070)</f>
        <v/>
      </c>
      <c r="T2070" t="str">
        <f>IF(OR(C2070="",I2070&lt;&gt;"ENTRADA"),"",TEXT(B2070,"AAMMDD")&amp;"-"&amp;TEXT(VALUE(SUBSTITUTE(A2070,"MOV-","")),"000"))</f>
        <v/>
      </c>
    </row>
    <row r="2071" spans="18:20">
      <c r="R2071" s="22" t="str">
        <f>IF(H2071="","",H2071&amp;I2071)</f>
        <v/>
      </c>
      <c r="S2071" s="22" t="str">
        <f>IF(C2071="","",C2071&amp;I2071)</f>
        <v/>
      </c>
      <c r="T2071" t="str">
        <f>IF(OR(C2071="",I2071&lt;&gt;"ENTRADA"),"",TEXT(B2071,"AAMMDD")&amp;"-"&amp;TEXT(VALUE(SUBSTITUTE(A2071,"MOV-","")),"000"))</f>
        <v/>
      </c>
    </row>
    <row r="2072" spans="18:20">
      <c r="R2072" s="22" t="str">
        <f>IF(H2072="","",H2072&amp;I2072)</f>
        <v/>
      </c>
      <c r="S2072" s="22" t="str">
        <f>IF(C2072="","",C2072&amp;I2072)</f>
        <v/>
      </c>
      <c r="T2072" t="str">
        <f>IF(OR(C2072="",I2072&lt;&gt;"ENTRADA"),"",TEXT(B2072,"AAMMDD")&amp;"-"&amp;TEXT(VALUE(SUBSTITUTE(A2072,"MOV-","")),"000"))</f>
        <v/>
      </c>
    </row>
    <row r="2073" spans="18:20">
      <c r="R2073" s="22" t="str">
        <f>IF(H2073="","",H2073&amp;I2073)</f>
        <v/>
      </c>
      <c r="S2073" s="22" t="str">
        <f>IF(C2073="","",C2073&amp;I2073)</f>
        <v/>
      </c>
      <c r="T2073" t="str">
        <f>IF(OR(C2073="",I2073&lt;&gt;"ENTRADA"),"",TEXT(B2073,"AAMMDD")&amp;"-"&amp;TEXT(VALUE(SUBSTITUTE(A2073,"MOV-","")),"000"))</f>
        <v/>
      </c>
    </row>
    <row r="2074" spans="18:20">
      <c r="R2074" s="22" t="str">
        <f>IF(H2074="","",H2074&amp;I2074)</f>
        <v/>
      </c>
      <c r="S2074" s="22" t="str">
        <f>IF(C2074="","",C2074&amp;I2074)</f>
        <v/>
      </c>
      <c r="T2074" t="str">
        <f>IF(OR(C2074="",I2074&lt;&gt;"ENTRADA"),"",TEXT(B2074,"AAMMDD")&amp;"-"&amp;TEXT(VALUE(SUBSTITUTE(A2074,"MOV-","")),"000"))</f>
        <v/>
      </c>
    </row>
    <row r="2075" spans="18:20">
      <c r="R2075" s="22" t="str">
        <f>IF(H2075="","",H2075&amp;I2075)</f>
        <v/>
      </c>
      <c r="S2075" s="22" t="str">
        <f>IF(C2075="","",C2075&amp;I2075)</f>
        <v/>
      </c>
      <c r="T2075" t="str">
        <f>IF(OR(C2075="",I2075&lt;&gt;"ENTRADA"),"",TEXT(B2075,"AAMMDD")&amp;"-"&amp;TEXT(VALUE(SUBSTITUTE(A2075,"MOV-","")),"000"))</f>
        <v/>
      </c>
    </row>
    <row r="2076" spans="18:20">
      <c r="R2076" s="22" t="str">
        <f>IF(H2076="","",H2076&amp;I2076)</f>
        <v/>
      </c>
      <c r="S2076" s="22" t="str">
        <f>IF(C2076="","",C2076&amp;I2076)</f>
        <v/>
      </c>
      <c r="T2076" t="str">
        <f>IF(OR(C2076="",I2076&lt;&gt;"ENTRADA"),"",TEXT(B2076,"AAMMDD")&amp;"-"&amp;TEXT(VALUE(SUBSTITUTE(A2076,"MOV-","")),"000"))</f>
        <v/>
      </c>
    </row>
    <row r="2077" spans="18:20">
      <c r="R2077" s="22" t="str">
        <f>IF(H2077="","",H2077&amp;I2077)</f>
        <v/>
      </c>
      <c r="S2077" s="22" t="str">
        <f>IF(C2077="","",C2077&amp;I2077)</f>
        <v/>
      </c>
      <c r="T2077" t="str">
        <f>IF(OR(C2077="",I2077&lt;&gt;"ENTRADA"),"",TEXT(B2077,"AAMMDD")&amp;"-"&amp;TEXT(VALUE(SUBSTITUTE(A2077,"MOV-","")),"000"))</f>
        <v/>
      </c>
    </row>
    <row r="2078" spans="18:20">
      <c r="R2078" s="22" t="str">
        <f>IF(H2078="","",H2078&amp;I2078)</f>
        <v/>
      </c>
      <c r="S2078" s="22" t="str">
        <f>IF(C2078="","",C2078&amp;I2078)</f>
        <v/>
      </c>
      <c r="T2078" t="str">
        <f>IF(OR(C2078="",I2078&lt;&gt;"ENTRADA"),"",TEXT(B2078,"AAMMDD")&amp;"-"&amp;TEXT(VALUE(SUBSTITUTE(A2078,"MOV-","")),"000"))</f>
        <v/>
      </c>
    </row>
    <row r="2079" spans="18:20">
      <c r="R2079" s="22" t="str">
        <f>IF(H2079="","",H2079&amp;I2079)</f>
        <v/>
      </c>
      <c r="S2079" s="22" t="str">
        <f>IF(C2079="","",C2079&amp;I2079)</f>
        <v/>
      </c>
      <c r="T2079" t="str">
        <f>IF(OR(C2079="",I2079&lt;&gt;"ENTRADA"),"",TEXT(B2079,"AAMMDD")&amp;"-"&amp;TEXT(VALUE(SUBSTITUTE(A2079,"MOV-","")),"000"))</f>
        <v/>
      </c>
    </row>
    <row r="2080" spans="18:20">
      <c r="R2080" s="22" t="str">
        <f>IF(H2080="","",H2080&amp;I2080)</f>
        <v/>
      </c>
      <c r="S2080" s="22" t="str">
        <f>IF(C2080="","",C2080&amp;I2080)</f>
        <v/>
      </c>
      <c r="T2080" t="str">
        <f>IF(OR(C2080="",I2080&lt;&gt;"ENTRADA"),"",TEXT(B2080,"AAMMDD")&amp;"-"&amp;TEXT(VALUE(SUBSTITUTE(A2080,"MOV-","")),"000"))</f>
        <v/>
      </c>
    </row>
    <row r="2081" spans="18:20">
      <c r="R2081" s="22" t="str">
        <f>IF(H2081="","",H2081&amp;I2081)</f>
        <v/>
      </c>
      <c r="S2081" s="22" t="str">
        <f>IF(C2081="","",C2081&amp;I2081)</f>
        <v/>
      </c>
      <c r="T2081" t="str">
        <f>IF(OR(C2081="",I2081&lt;&gt;"ENTRADA"),"",TEXT(B2081,"AAMMDD")&amp;"-"&amp;TEXT(VALUE(SUBSTITUTE(A2081,"MOV-","")),"000"))</f>
        <v/>
      </c>
    </row>
    <row r="2082" spans="18:20">
      <c r="R2082" s="22" t="str">
        <f>IF(H2082="","",H2082&amp;I2082)</f>
        <v/>
      </c>
      <c r="S2082" s="22" t="str">
        <f>IF(C2082="","",C2082&amp;I2082)</f>
        <v/>
      </c>
      <c r="T2082" t="str">
        <f>IF(OR(C2082="",I2082&lt;&gt;"ENTRADA"),"",TEXT(B2082,"AAMMDD")&amp;"-"&amp;TEXT(VALUE(SUBSTITUTE(A2082,"MOV-","")),"000"))</f>
        <v/>
      </c>
    </row>
    <row r="2083" spans="18:20">
      <c r="R2083" s="22" t="str">
        <f>IF(H2083="","",H2083&amp;I2083)</f>
        <v/>
      </c>
      <c r="S2083" s="22" t="str">
        <f>IF(C2083="","",C2083&amp;I2083)</f>
        <v/>
      </c>
      <c r="T2083" t="str">
        <f>IF(OR(C2083="",I2083&lt;&gt;"ENTRADA"),"",TEXT(B2083,"AAMMDD")&amp;"-"&amp;TEXT(VALUE(SUBSTITUTE(A2083,"MOV-","")),"000"))</f>
        <v/>
      </c>
    </row>
    <row r="2084" spans="18:20">
      <c r="R2084" s="22" t="str">
        <f>IF(H2084="","",H2084&amp;I2084)</f>
        <v/>
      </c>
      <c r="S2084" s="22" t="str">
        <f>IF(C2084="","",C2084&amp;I2084)</f>
        <v/>
      </c>
      <c r="T2084" t="str">
        <f>IF(OR(C2084="",I2084&lt;&gt;"ENTRADA"),"",TEXT(B2084,"AAMMDD")&amp;"-"&amp;TEXT(VALUE(SUBSTITUTE(A2084,"MOV-","")),"000"))</f>
        <v/>
      </c>
    </row>
    <row r="2085" spans="18:20">
      <c r="R2085" s="22" t="str">
        <f>IF(H2085="","",H2085&amp;I2085)</f>
        <v/>
      </c>
      <c r="S2085" s="22" t="str">
        <f>IF(C2085="","",C2085&amp;I2085)</f>
        <v/>
      </c>
      <c r="T2085" t="str">
        <f>IF(OR(C2085="",I2085&lt;&gt;"ENTRADA"),"",TEXT(B2085,"AAMMDD")&amp;"-"&amp;TEXT(VALUE(SUBSTITUTE(A2085,"MOV-","")),"000"))</f>
        <v/>
      </c>
    </row>
    <row r="2086" spans="18:20">
      <c r="R2086" s="22" t="str">
        <f>IF(H2086="","",H2086&amp;I2086)</f>
        <v/>
      </c>
      <c r="S2086" s="22" t="str">
        <f>IF(C2086="","",C2086&amp;I2086)</f>
        <v/>
      </c>
      <c r="T2086" t="str">
        <f>IF(OR(C2086="",I2086&lt;&gt;"ENTRADA"),"",TEXT(B2086,"AAMMDD")&amp;"-"&amp;TEXT(VALUE(SUBSTITUTE(A2086,"MOV-","")),"000"))</f>
        <v/>
      </c>
    </row>
    <row r="2087" spans="18:20">
      <c r="R2087" s="22" t="str">
        <f>IF(H2087="","",H2087&amp;I2087)</f>
        <v/>
      </c>
      <c r="S2087" s="22" t="str">
        <f>IF(C2087="","",C2087&amp;I2087)</f>
        <v/>
      </c>
      <c r="T2087" t="str">
        <f>IF(OR(C2087="",I2087&lt;&gt;"ENTRADA"),"",TEXT(B2087,"AAMMDD")&amp;"-"&amp;TEXT(VALUE(SUBSTITUTE(A2087,"MOV-","")),"000"))</f>
        <v/>
      </c>
    </row>
    <row r="2088" spans="18:20">
      <c r="R2088" s="22" t="str">
        <f>IF(H2088="","",H2088&amp;I2088)</f>
        <v/>
      </c>
      <c r="S2088" s="22" t="str">
        <f>IF(C2088="","",C2088&amp;I2088)</f>
        <v/>
      </c>
      <c r="T2088" t="str">
        <f>IF(OR(C2088="",I2088&lt;&gt;"ENTRADA"),"",TEXT(B2088,"AAMMDD")&amp;"-"&amp;TEXT(VALUE(SUBSTITUTE(A2088,"MOV-","")),"000"))</f>
        <v/>
      </c>
    </row>
    <row r="2089" spans="18:20">
      <c r="R2089" s="22" t="str">
        <f>IF(H2089="","",H2089&amp;I2089)</f>
        <v/>
      </c>
      <c r="S2089" s="22" t="str">
        <f>IF(C2089="","",C2089&amp;I2089)</f>
        <v/>
      </c>
      <c r="T2089" t="str">
        <f>IF(OR(C2089="",I2089&lt;&gt;"ENTRADA"),"",TEXT(B2089,"AAMMDD")&amp;"-"&amp;TEXT(VALUE(SUBSTITUTE(A2089,"MOV-","")),"000"))</f>
        <v/>
      </c>
    </row>
    <row r="2090" spans="18:20">
      <c r="R2090" s="22" t="str">
        <f>IF(H2090="","",H2090&amp;I2090)</f>
        <v/>
      </c>
      <c r="S2090" s="22" t="str">
        <f>IF(C2090="","",C2090&amp;I2090)</f>
        <v/>
      </c>
      <c r="T2090" t="str">
        <f>IF(OR(C2090="",I2090&lt;&gt;"ENTRADA"),"",TEXT(B2090,"AAMMDD")&amp;"-"&amp;TEXT(VALUE(SUBSTITUTE(A2090,"MOV-","")),"000"))</f>
        <v/>
      </c>
    </row>
    <row r="2091" spans="18:20">
      <c r="R2091" s="22" t="str">
        <f>IF(H2091="","",H2091&amp;I2091)</f>
        <v/>
      </c>
      <c r="S2091" s="22" t="str">
        <f>IF(C2091="","",C2091&amp;I2091)</f>
        <v/>
      </c>
      <c r="T2091" t="str">
        <f>IF(OR(C2091="",I2091&lt;&gt;"ENTRADA"),"",TEXT(B2091,"AAMMDD")&amp;"-"&amp;TEXT(VALUE(SUBSTITUTE(A2091,"MOV-","")),"000"))</f>
        <v/>
      </c>
    </row>
    <row r="2092" spans="18:20">
      <c r="R2092" s="22" t="str">
        <f>IF(H2092="","",H2092&amp;I2092)</f>
        <v/>
      </c>
      <c r="S2092" s="22" t="str">
        <f>IF(C2092="","",C2092&amp;I2092)</f>
        <v/>
      </c>
      <c r="T2092" t="str">
        <f>IF(OR(C2092="",I2092&lt;&gt;"ENTRADA"),"",TEXT(B2092,"AAMMDD")&amp;"-"&amp;TEXT(VALUE(SUBSTITUTE(A2092,"MOV-","")),"000"))</f>
        <v/>
      </c>
    </row>
    <row r="2093" spans="18:20">
      <c r="R2093" s="22" t="str">
        <f>IF(H2093="","",H2093&amp;I2093)</f>
        <v/>
      </c>
      <c r="S2093" s="22" t="str">
        <f>IF(C2093="","",C2093&amp;I2093)</f>
        <v/>
      </c>
      <c r="T2093" t="str">
        <f>IF(OR(C2093="",I2093&lt;&gt;"ENTRADA"),"",TEXT(B2093,"AAMMDD")&amp;"-"&amp;TEXT(VALUE(SUBSTITUTE(A2093,"MOV-","")),"000"))</f>
        <v/>
      </c>
    </row>
    <row r="2094" spans="18:20">
      <c r="R2094" s="22" t="str">
        <f>IF(H2094="","",H2094&amp;I2094)</f>
        <v/>
      </c>
      <c r="S2094" s="22" t="str">
        <f>IF(C2094="","",C2094&amp;I2094)</f>
        <v/>
      </c>
      <c r="T2094" t="str">
        <f>IF(OR(C2094="",I2094&lt;&gt;"ENTRADA"),"",TEXT(B2094,"AAMMDD")&amp;"-"&amp;TEXT(VALUE(SUBSTITUTE(A2094,"MOV-","")),"000"))</f>
        <v/>
      </c>
    </row>
    <row r="2095" spans="18:20">
      <c r="R2095" s="22" t="str">
        <f>IF(H2095="","",H2095&amp;I2095)</f>
        <v/>
      </c>
      <c r="S2095" s="22" t="str">
        <f>IF(C2095="","",C2095&amp;I2095)</f>
        <v/>
      </c>
      <c r="T2095" t="str">
        <f>IF(OR(C2095="",I2095&lt;&gt;"ENTRADA"),"",TEXT(B2095,"AAMMDD")&amp;"-"&amp;TEXT(VALUE(SUBSTITUTE(A2095,"MOV-","")),"000"))</f>
        <v/>
      </c>
    </row>
    <row r="2096" spans="18:20">
      <c r="R2096" s="22" t="str">
        <f>IF(H2096="","",H2096&amp;I2096)</f>
        <v/>
      </c>
      <c r="S2096" s="22" t="str">
        <f>IF(C2096="","",C2096&amp;I2096)</f>
        <v/>
      </c>
      <c r="T2096" t="str">
        <f>IF(OR(C2096="",I2096&lt;&gt;"ENTRADA"),"",TEXT(B2096,"AAMMDD")&amp;"-"&amp;TEXT(VALUE(SUBSTITUTE(A2096,"MOV-","")),"000"))</f>
        <v/>
      </c>
    </row>
    <row r="2097" spans="18:20">
      <c r="R2097" s="22" t="str">
        <f>IF(H2097="","",H2097&amp;I2097)</f>
        <v/>
      </c>
      <c r="S2097" s="22" t="str">
        <f>IF(C2097="","",C2097&amp;I2097)</f>
        <v/>
      </c>
      <c r="T2097" t="str">
        <f>IF(OR(C2097="",I2097&lt;&gt;"ENTRADA"),"",TEXT(B2097,"AAMMDD")&amp;"-"&amp;TEXT(VALUE(SUBSTITUTE(A2097,"MOV-","")),"000"))</f>
        <v/>
      </c>
    </row>
    <row r="2098" spans="18:20">
      <c r="R2098" s="22" t="str">
        <f>IF(H2098="","",H2098&amp;I2098)</f>
        <v/>
      </c>
      <c r="S2098" s="22" t="str">
        <f>IF(C2098="","",C2098&amp;I2098)</f>
        <v/>
      </c>
      <c r="T2098" t="str">
        <f>IF(OR(C2098="",I2098&lt;&gt;"ENTRADA"),"",TEXT(B2098,"AAMMDD")&amp;"-"&amp;TEXT(VALUE(SUBSTITUTE(A2098,"MOV-","")),"000"))</f>
        <v/>
      </c>
    </row>
    <row r="2099" spans="18:20">
      <c r="R2099" s="22" t="str">
        <f>IF(H2099="","",H2099&amp;I2099)</f>
        <v/>
      </c>
      <c r="S2099" s="22" t="str">
        <f>IF(C2099="","",C2099&amp;I2099)</f>
        <v/>
      </c>
      <c r="T2099" t="str">
        <f>IF(OR(C2099="",I2099&lt;&gt;"ENTRADA"),"",TEXT(B2099,"AAMMDD")&amp;"-"&amp;TEXT(VALUE(SUBSTITUTE(A2099,"MOV-","")),"000"))</f>
        <v/>
      </c>
    </row>
    <row r="2100" spans="18:20">
      <c r="R2100" s="22" t="str">
        <f>IF(H2100="","",H2100&amp;I2100)</f>
        <v/>
      </c>
      <c r="S2100" s="22" t="str">
        <f>IF(C2100="","",C2100&amp;I2100)</f>
        <v/>
      </c>
      <c r="T2100" t="str">
        <f>IF(OR(C2100="",I2100&lt;&gt;"ENTRADA"),"",TEXT(B2100,"AAMMDD")&amp;"-"&amp;TEXT(VALUE(SUBSTITUTE(A2100,"MOV-","")),"000"))</f>
        <v/>
      </c>
    </row>
    <row r="2101" spans="18:20">
      <c r="R2101" s="22" t="str">
        <f>IF(H2101="","",H2101&amp;I2101)</f>
        <v/>
      </c>
      <c r="S2101" s="22" t="str">
        <f>IF(C2101="","",C2101&amp;I2101)</f>
        <v/>
      </c>
      <c r="T2101" t="str">
        <f>IF(OR(C2101="",I2101&lt;&gt;"ENTRADA"),"",TEXT(B2101,"AAMMDD")&amp;"-"&amp;TEXT(VALUE(SUBSTITUTE(A2101,"MOV-","")),"000"))</f>
        <v/>
      </c>
    </row>
    <row r="2102" spans="18:20">
      <c r="R2102" s="22" t="str">
        <f>IF(H2102="","",H2102&amp;I2102)</f>
        <v/>
      </c>
      <c r="S2102" s="22" t="str">
        <f>IF(C2102="","",C2102&amp;I2102)</f>
        <v/>
      </c>
      <c r="T2102" t="str">
        <f>IF(OR(C2102="",I2102&lt;&gt;"ENTRADA"),"",TEXT(B2102,"AAMMDD")&amp;"-"&amp;TEXT(VALUE(SUBSTITUTE(A2102,"MOV-","")),"000"))</f>
        <v/>
      </c>
    </row>
    <row r="2103" spans="18:20">
      <c r="R2103" s="22" t="str">
        <f>IF(H2103="","",H2103&amp;I2103)</f>
        <v/>
      </c>
      <c r="S2103" s="22" t="str">
        <f>IF(C2103="","",C2103&amp;I2103)</f>
        <v/>
      </c>
      <c r="T2103" t="str">
        <f>IF(OR(C2103="",I2103&lt;&gt;"ENTRADA"),"",TEXT(B2103,"AAMMDD")&amp;"-"&amp;TEXT(VALUE(SUBSTITUTE(A2103,"MOV-","")),"000"))</f>
        <v/>
      </c>
    </row>
    <row r="2104" spans="18:20">
      <c r="R2104" s="22" t="str">
        <f>IF(H2104="","",H2104&amp;I2104)</f>
        <v/>
      </c>
      <c r="S2104" s="22" t="str">
        <f>IF(C2104="","",C2104&amp;I2104)</f>
        <v/>
      </c>
      <c r="T2104" t="str">
        <f>IF(OR(C2104="",I2104&lt;&gt;"ENTRADA"),"",TEXT(B2104,"AAMMDD")&amp;"-"&amp;TEXT(VALUE(SUBSTITUTE(A2104,"MOV-","")),"000"))</f>
        <v/>
      </c>
    </row>
    <row r="2105" spans="18:20">
      <c r="R2105" s="22" t="str">
        <f>IF(H2105="","",H2105&amp;I2105)</f>
        <v/>
      </c>
      <c r="S2105" s="22" t="str">
        <f>IF(C2105="","",C2105&amp;I2105)</f>
        <v/>
      </c>
      <c r="T2105" t="str">
        <f>IF(OR(C2105="",I2105&lt;&gt;"ENTRADA"),"",TEXT(B2105,"AAMMDD")&amp;"-"&amp;TEXT(VALUE(SUBSTITUTE(A2105,"MOV-","")),"000"))</f>
        <v/>
      </c>
    </row>
    <row r="2106" spans="18:20">
      <c r="R2106" s="22" t="str">
        <f>IF(H2106="","",H2106&amp;I2106)</f>
        <v/>
      </c>
      <c r="S2106" s="22" t="str">
        <f>IF(C2106="","",C2106&amp;I2106)</f>
        <v/>
      </c>
      <c r="T2106" t="str">
        <f>IF(OR(C2106="",I2106&lt;&gt;"ENTRADA"),"",TEXT(B2106,"AAMMDD")&amp;"-"&amp;TEXT(VALUE(SUBSTITUTE(A2106,"MOV-","")),"000"))</f>
        <v/>
      </c>
    </row>
    <row r="2107" spans="18:20">
      <c r="R2107" s="22" t="str">
        <f>IF(H2107="","",H2107&amp;I2107)</f>
        <v/>
      </c>
      <c r="S2107" s="22" t="str">
        <f>IF(C2107="","",C2107&amp;I2107)</f>
        <v/>
      </c>
      <c r="T2107" t="str">
        <f>IF(OR(C2107="",I2107&lt;&gt;"ENTRADA"),"",TEXT(B2107,"AAMMDD")&amp;"-"&amp;TEXT(VALUE(SUBSTITUTE(A2107,"MOV-","")),"000"))</f>
        <v/>
      </c>
    </row>
    <row r="2108" spans="18:20">
      <c r="R2108" s="22" t="str">
        <f>IF(H2108="","",H2108&amp;I2108)</f>
        <v/>
      </c>
      <c r="S2108" s="22" t="str">
        <f>IF(C2108="","",C2108&amp;I2108)</f>
        <v/>
      </c>
      <c r="T2108" t="str">
        <f>IF(OR(C2108="",I2108&lt;&gt;"ENTRADA"),"",TEXT(B2108,"AAMMDD")&amp;"-"&amp;TEXT(VALUE(SUBSTITUTE(A2108,"MOV-","")),"000"))</f>
        <v/>
      </c>
    </row>
    <row r="2109" spans="18:20">
      <c r="R2109" s="22" t="str">
        <f>IF(H2109="","",H2109&amp;I2109)</f>
        <v/>
      </c>
      <c r="S2109" s="22" t="str">
        <f>IF(C2109="","",C2109&amp;I2109)</f>
        <v/>
      </c>
      <c r="T2109" t="str">
        <f>IF(OR(C2109="",I2109&lt;&gt;"ENTRADA"),"",TEXT(B2109,"AAMMDD")&amp;"-"&amp;TEXT(VALUE(SUBSTITUTE(A2109,"MOV-","")),"000"))</f>
        <v/>
      </c>
    </row>
    <row r="2110" spans="18:20">
      <c r="R2110" s="22" t="str">
        <f>IF(H2110="","",H2110&amp;I2110)</f>
        <v/>
      </c>
      <c r="S2110" s="22" t="str">
        <f>IF(C2110="","",C2110&amp;I2110)</f>
        <v/>
      </c>
      <c r="T2110" t="str">
        <f>IF(OR(C2110="",I2110&lt;&gt;"ENTRADA"),"",TEXT(B2110,"AAMMDD")&amp;"-"&amp;TEXT(VALUE(SUBSTITUTE(A2110,"MOV-","")),"000"))</f>
        <v/>
      </c>
    </row>
    <row r="2111" spans="18:20">
      <c r="R2111" s="22" t="str">
        <f>IF(H2111="","",H2111&amp;I2111)</f>
        <v/>
      </c>
      <c r="S2111" s="22" t="str">
        <f>IF(C2111="","",C2111&amp;I2111)</f>
        <v/>
      </c>
      <c r="T2111" t="str">
        <f>IF(OR(C2111="",I2111&lt;&gt;"ENTRADA"),"",TEXT(B2111,"AAMMDD")&amp;"-"&amp;TEXT(VALUE(SUBSTITUTE(A2111,"MOV-","")),"000"))</f>
        <v/>
      </c>
    </row>
    <row r="2112" spans="18:20">
      <c r="R2112" s="22" t="str">
        <f>IF(H2112="","",H2112&amp;I2112)</f>
        <v/>
      </c>
      <c r="S2112" s="22" t="str">
        <f>IF(C2112="","",C2112&amp;I2112)</f>
        <v/>
      </c>
      <c r="T2112" t="str">
        <f>IF(OR(C2112="",I2112&lt;&gt;"ENTRADA"),"",TEXT(B2112,"AAMMDD")&amp;"-"&amp;TEXT(VALUE(SUBSTITUTE(A2112,"MOV-","")),"000"))</f>
        <v/>
      </c>
    </row>
    <row r="2113" spans="18:20">
      <c r="R2113" s="22" t="str">
        <f>IF(H2113="","",H2113&amp;I2113)</f>
        <v/>
      </c>
      <c r="S2113" s="22" t="str">
        <f>IF(C2113="","",C2113&amp;I2113)</f>
        <v/>
      </c>
      <c r="T2113" t="str">
        <f>IF(OR(C2113="",I2113&lt;&gt;"ENTRADA"),"",TEXT(B2113,"AAMMDD")&amp;"-"&amp;TEXT(VALUE(SUBSTITUTE(A2113,"MOV-","")),"000"))</f>
        <v/>
      </c>
    </row>
    <row r="2114" spans="18:20">
      <c r="R2114" s="22" t="str">
        <f>IF(H2114="","",H2114&amp;I2114)</f>
        <v/>
      </c>
      <c r="S2114" s="22" t="str">
        <f>IF(C2114="","",C2114&amp;I2114)</f>
        <v/>
      </c>
      <c r="T2114" t="str">
        <f>IF(OR(C2114="",I2114&lt;&gt;"ENTRADA"),"",TEXT(B2114,"AAMMDD")&amp;"-"&amp;TEXT(VALUE(SUBSTITUTE(A2114,"MOV-","")),"000"))</f>
        <v/>
      </c>
    </row>
    <row r="2115" spans="18:20">
      <c r="R2115" s="22" t="str">
        <f>IF(H2115="","",H2115&amp;I2115)</f>
        <v/>
      </c>
      <c r="S2115" s="22" t="str">
        <f>IF(C2115="","",C2115&amp;I2115)</f>
        <v/>
      </c>
      <c r="T2115" t="str">
        <f>IF(OR(C2115="",I2115&lt;&gt;"ENTRADA"),"",TEXT(B2115,"AAMMDD")&amp;"-"&amp;TEXT(VALUE(SUBSTITUTE(A2115,"MOV-","")),"000"))</f>
        <v/>
      </c>
    </row>
    <row r="2116" spans="18:20">
      <c r="R2116" s="22" t="str">
        <f>IF(H2116="","",H2116&amp;I2116)</f>
        <v/>
      </c>
      <c r="S2116" s="22" t="str">
        <f>IF(C2116="","",C2116&amp;I2116)</f>
        <v/>
      </c>
      <c r="T2116" t="str">
        <f>IF(OR(C2116="",I2116&lt;&gt;"ENTRADA"),"",TEXT(B2116,"AAMMDD")&amp;"-"&amp;TEXT(VALUE(SUBSTITUTE(A2116,"MOV-","")),"000"))</f>
        <v/>
      </c>
    </row>
    <row r="2117" spans="18:20">
      <c r="R2117" s="22" t="str">
        <f>IF(H2117="","",H2117&amp;I2117)</f>
        <v/>
      </c>
      <c r="S2117" s="22" t="str">
        <f>IF(C2117="","",C2117&amp;I2117)</f>
        <v/>
      </c>
      <c r="T2117" t="str">
        <f>IF(OR(C2117="",I2117&lt;&gt;"ENTRADA"),"",TEXT(B2117,"AAMMDD")&amp;"-"&amp;TEXT(VALUE(SUBSTITUTE(A2117,"MOV-","")),"000"))</f>
        <v/>
      </c>
    </row>
    <row r="2118" spans="18:20">
      <c r="R2118" s="22" t="str">
        <f>IF(H2118="","",H2118&amp;I2118)</f>
        <v/>
      </c>
      <c r="S2118" s="22" t="str">
        <f>IF(C2118="","",C2118&amp;I2118)</f>
        <v/>
      </c>
      <c r="T2118" t="str">
        <f>IF(OR(C2118="",I2118&lt;&gt;"ENTRADA"),"",TEXT(B2118,"AAMMDD")&amp;"-"&amp;TEXT(VALUE(SUBSTITUTE(A2118,"MOV-","")),"000"))</f>
        <v/>
      </c>
    </row>
    <row r="2119" spans="18:20">
      <c r="R2119" s="22" t="str">
        <f>IF(H2119="","",H2119&amp;I2119)</f>
        <v/>
      </c>
      <c r="S2119" s="22" t="str">
        <f>IF(C2119="","",C2119&amp;I2119)</f>
        <v/>
      </c>
      <c r="T2119" t="str">
        <f>IF(OR(C2119="",I2119&lt;&gt;"ENTRADA"),"",TEXT(B2119,"AAMMDD")&amp;"-"&amp;TEXT(VALUE(SUBSTITUTE(A2119,"MOV-","")),"000"))</f>
        <v/>
      </c>
    </row>
    <row r="2120" spans="18:20">
      <c r="R2120" s="22" t="str">
        <f>IF(H2120="","",H2120&amp;I2120)</f>
        <v/>
      </c>
      <c r="S2120" s="22" t="str">
        <f>IF(C2120="","",C2120&amp;I2120)</f>
        <v/>
      </c>
      <c r="T2120" t="str">
        <f>IF(OR(C2120="",I2120&lt;&gt;"ENTRADA"),"",TEXT(B2120,"AAMMDD")&amp;"-"&amp;TEXT(VALUE(SUBSTITUTE(A2120,"MOV-","")),"000"))</f>
        <v/>
      </c>
    </row>
    <row r="2121" spans="18:20">
      <c r="R2121" s="22" t="str">
        <f>IF(H2121="","",H2121&amp;I2121)</f>
        <v/>
      </c>
      <c r="S2121" s="22" t="str">
        <f>IF(C2121="","",C2121&amp;I2121)</f>
        <v/>
      </c>
      <c r="T2121" t="str">
        <f>IF(OR(C2121="",I2121&lt;&gt;"ENTRADA"),"",TEXT(B2121,"AAMMDD")&amp;"-"&amp;TEXT(VALUE(SUBSTITUTE(A2121,"MOV-","")),"000"))</f>
        <v/>
      </c>
    </row>
    <row r="2122" spans="18:20">
      <c r="R2122" s="22" t="str">
        <f>IF(H2122="","",H2122&amp;I2122)</f>
        <v/>
      </c>
      <c r="S2122" s="22" t="str">
        <f>IF(C2122="","",C2122&amp;I2122)</f>
        <v/>
      </c>
      <c r="T2122" t="str">
        <f>IF(OR(C2122="",I2122&lt;&gt;"ENTRADA"),"",TEXT(B2122,"AAMMDD")&amp;"-"&amp;TEXT(VALUE(SUBSTITUTE(A2122,"MOV-","")),"000"))</f>
        <v/>
      </c>
    </row>
    <row r="2123" spans="18:20">
      <c r="R2123" s="22" t="str">
        <f>IF(H2123="","",H2123&amp;I2123)</f>
        <v/>
      </c>
      <c r="S2123" s="22" t="str">
        <f>IF(C2123="","",C2123&amp;I2123)</f>
        <v/>
      </c>
      <c r="T2123" t="str">
        <f>IF(OR(C2123="",I2123&lt;&gt;"ENTRADA"),"",TEXT(B2123,"AAMMDD")&amp;"-"&amp;TEXT(VALUE(SUBSTITUTE(A2123,"MOV-","")),"000"))</f>
        <v/>
      </c>
    </row>
    <row r="2124" spans="18:20">
      <c r="R2124" s="22" t="str">
        <f>IF(H2124="","",H2124&amp;I2124)</f>
        <v/>
      </c>
      <c r="S2124" s="22" t="str">
        <f>IF(C2124="","",C2124&amp;I2124)</f>
        <v/>
      </c>
      <c r="T2124" t="str">
        <f>IF(OR(C2124="",I2124&lt;&gt;"ENTRADA"),"",TEXT(B2124,"AAMMDD")&amp;"-"&amp;TEXT(VALUE(SUBSTITUTE(A2124,"MOV-","")),"000"))</f>
        <v/>
      </c>
    </row>
    <row r="2125" spans="18:20">
      <c r="R2125" s="22" t="str">
        <f>IF(H2125="","",H2125&amp;I2125)</f>
        <v/>
      </c>
      <c r="S2125" s="22" t="str">
        <f>IF(C2125="","",C2125&amp;I2125)</f>
        <v/>
      </c>
      <c r="T2125" t="str">
        <f>IF(OR(C2125="",I2125&lt;&gt;"ENTRADA"),"",TEXT(B2125,"AAMMDD")&amp;"-"&amp;TEXT(VALUE(SUBSTITUTE(A2125,"MOV-","")),"000"))</f>
        <v/>
      </c>
    </row>
    <row r="2126" spans="18:20">
      <c r="R2126" s="22" t="str">
        <f>IF(H2126="","",H2126&amp;I2126)</f>
        <v/>
      </c>
      <c r="S2126" s="22" t="str">
        <f>IF(C2126="","",C2126&amp;I2126)</f>
        <v/>
      </c>
      <c r="T2126" t="str">
        <f>IF(OR(C2126="",I2126&lt;&gt;"ENTRADA"),"",TEXT(B2126,"AAMMDD")&amp;"-"&amp;TEXT(VALUE(SUBSTITUTE(A2126,"MOV-","")),"000"))</f>
        <v/>
      </c>
    </row>
    <row r="2127" spans="18:20">
      <c r="R2127" s="22" t="str">
        <f>IF(H2127="","",H2127&amp;I2127)</f>
        <v/>
      </c>
      <c r="S2127" s="22" t="str">
        <f>IF(C2127="","",C2127&amp;I2127)</f>
        <v/>
      </c>
      <c r="T2127" t="str">
        <f>IF(OR(C2127="",I2127&lt;&gt;"ENTRADA"),"",TEXT(B2127,"AAMMDD")&amp;"-"&amp;TEXT(VALUE(SUBSTITUTE(A2127,"MOV-","")),"000"))</f>
        <v/>
      </c>
    </row>
    <row r="2128" spans="18:20">
      <c r="R2128" s="22" t="str">
        <f>IF(H2128="","",H2128&amp;I2128)</f>
        <v/>
      </c>
      <c r="S2128" s="22" t="str">
        <f>IF(C2128="","",C2128&amp;I2128)</f>
        <v/>
      </c>
      <c r="T2128" t="str">
        <f>IF(OR(C2128="",I2128&lt;&gt;"ENTRADA"),"",TEXT(B2128,"AAMMDD")&amp;"-"&amp;TEXT(VALUE(SUBSTITUTE(A2128,"MOV-","")),"000"))</f>
        <v/>
      </c>
    </row>
    <row r="2129" spans="18:20">
      <c r="R2129" s="22" t="str">
        <f>IF(H2129="","",H2129&amp;I2129)</f>
        <v/>
      </c>
      <c r="S2129" s="22" t="str">
        <f>IF(C2129="","",C2129&amp;I2129)</f>
        <v/>
      </c>
      <c r="T2129" t="str">
        <f>IF(OR(C2129="",I2129&lt;&gt;"ENTRADA"),"",TEXT(B2129,"AAMMDD")&amp;"-"&amp;TEXT(VALUE(SUBSTITUTE(A2129,"MOV-","")),"000"))</f>
        <v/>
      </c>
    </row>
    <row r="2130" spans="18:20">
      <c r="R2130" s="22" t="str">
        <f>IF(H2130="","",H2130&amp;I2130)</f>
        <v/>
      </c>
      <c r="S2130" s="22" t="str">
        <f>IF(C2130="","",C2130&amp;I2130)</f>
        <v/>
      </c>
      <c r="T2130" t="str">
        <f>IF(OR(C2130="",I2130&lt;&gt;"ENTRADA"),"",TEXT(B2130,"AAMMDD")&amp;"-"&amp;TEXT(VALUE(SUBSTITUTE(A2130,"MOV-","")),"000"))</f>
        <v/>
      </c>
    </row>
    <row r="2131" spans="18:20">
      <c r="R2131" s="22" t="str">
        <f>IF(H2131="","",H2131&amp;I2131)</f>
        <v/>
      </c>
      <c r="S2131" s="22" t="str">
        <f>IF(C2131="","",C2131&amp;I2131)</f>
        <v/>
      </c>
      <c r="T2131" t="str">
        <f>IF(OR(C2131="",I2131&lt;&gt;"ENTRADA"),"",TEXT(B2131,"AAMMDD")&amp;"-"&amp;TEXT(VALUE(SUBSTITUTE(A2131,"MOV-","")),"000"))</f>
        <v/>
      </c>
    </row>
    <row r="2132" spans="18:20">
      <c r="R2132" s="22" t="str">
        <f>IF(H2132="","",H2132&amp;I2132)</f>
        <v/>
      </c>
      <c r="S2132" s="22" t="str">
        <f>IF(C2132="","",C2132&amp;I2132)</f>
        <v/>
      </c>
      <c r="T2132" t="str">
        <f>IF(OR(C2132="",I2132&lt;&gt;"ENTRADA"),"",TEXT(B2132,"AAMMDD")&amp;"-"&amp;TEXT(VALUE(SUBSTITUTE(A2132,"MOV-","")),"000"))</f>
        <v/>
      </c>
    </row>
    <row r="2133" spans="18:20">
      <c r="R2133" s="22" t="str">
        <f>IF(H2133="","",H2133&amp;I2133)</f>
        <v/>
      </c>
      <c r="S2133" s="22" t="str">
        <f>IF(C2133="","",C2133&amp;I2133)</f>
        <v/>
      </c>
      <c r="T2133" t="str">
        <f>IF(OR(C2133="",I2133&lt;&gt;"ENTRADA"),"",TEXT(B2133,"AAMMDD")&amp;"-"&amp;TEXT(VALUE(SUBSTITUTE(A2133,"MOV-","")),"000"))</f>
        <v/>
      </c>
    </row>
    <row r="2134" spans="18:20">
      <c r="R2134" s="22" t="str">
        <f>IF(H2134="","",H2134&amp;I2134)</f>
        <v/>
      </c>
      <c r="S2134" s="22" t="str">
        <f>IF(C2134="","",C2134&amp;I2134)</f>
        <v/>
      </c>
      <c r="T2134" t="str">
        <f>IF(OR(C2134="",I2134&lt;&gt;"ENTRADA"),"",TEXT(B2134,"AAMMDD")&amp;"-"&amp;TEXT(VALUE(SUBSTITUTE(A2134,"MOV-","")),"000"))</f>
        <v/>
      </c>
    </row>
    <row r="2135" spans="18:20">
      <c r="R2135" s="22" t="str">
        <f>IF(H2135="","",H2135&amp;I2135)</f>
        <v/>
      </c>
      <c r="S2135" s="22" t="str">
        <f>IF(C2135="","",C2135&amp;I2135)</f>
        <v/>
      </c>
      <c r="T2135" t="str">
        <f>IF(OR(C2135="",I2135&lt;&gt;"ENTRADA"),"",TEXT(B2135,"AAMMDD")&amp;"-"&amp;TEXT(VALUE(SUBSTITUTE(A2135,"MOV-","")),"000"))</f>
        <v/>
      </c>
    </row>
    <row r="2136" spans="18:20">
      <c r="R2136" s="22" t="str">
        <f>IF(H2136="","",H2136&amp;I2136)</f>
        <v/>
      </c>
      <c r="S2136" s="22" t="str">
        <f>IF(C2136="","",C2136&amp;I2136)</f>
        <v/>
      </c>
      <c r="T2136" t="str">
        <f>IF(OR(C2136="",I2136&lt;&gt;"ENTRADA"),"",TEXT(B2136,"AAMMDD")&amp;"-"&amp;TEXT(VALUE(SUBSTITUTE(A2136,"MOV-","")),"000"))</f>
        <v/>
      </c>
    </row>
    <row r="2137" spans="18:20">
      <c r="R2137" s="22" t="str">
        <f>IF(H2137="","",H2137&amp;I2137)</f>
        <v/>
      </c>
      <c r="S2137" s="22" t="str">
        <f>IF(C2137="","",C2137&amp;I2137)</f>
        <v/>
      </c>
      <c r="T2137" t="str">
        <f>IF(OR(C2137="",I2137&lt;&gt;"ENTRADA"),"",TEXT(B2137,"AAMMDD")&amp;"-"&amp;TEXT(VALUE(SUBSTITUTE(A2137,"MOV-","")),"000"))</f>
        <v/>
      </c>
    </row>
    <row r="2138" spans="18:20">
      <c r="R2138" s="22" t="str">
        <f>IF(H2138="","",H2138&amp;I2138)</f>
        <v/>
      </c>
      <c r="S2138" s="22" t="str">
        <f>IF(C2138="","",C2138&amp;I2138)</f>
        <v/>
      </c>
      <c r="T2138" t="str">
        <f>IF(OR(C2138="",I2138&lt;&gt;"ENTRADA"),"",TEXT(B2138,"AAMMDD")&amp;"-"&amp;TEXT(VALUE(SUBSTITUTE(A2138,"MOV-","")),"000"))</f>
        <v/>
      </c>
    </row>
    <row r="2139" spans="18:20">
      <c r="R2139" s="22" t="str">
        <f>IF(H2139="","",H2139&amp;I2139)</f>
        <v/>
      </c>
      <c r="S2139" s="22" t="str">
        <f>IF(C2139="","",C2139&amp;I2139)</f>
        <v/>
      </c>
      <c r="T2139" t="str">
        <f>IF(OR(C2139="",I2139&lt;&gt;"ENTRADA"),"",TEXT(B2139,"AAMMDD")&amp;"-"&amp;TEXT(VALUE(SUBSTITUTE(A2139,"MOV-","")),"000"))</f>
        <v/>
      </c>
    </row>
    <row r="2140" spans="18:20">
      <c r="R2140" s="22" t="str">
        <f>IF(H2140="","",H2140&amp;I2140)</f>
        <v/>
      </c>
      <c r="S2140" s="22" t="str">
        <f>IF(C2140="","",C2140&amp;I2140)</f>
        <v/>
      </c>
      <c r="T2140" t="str">
        <f>IF(OR(C2140="",I2140&lt;&gt;"ENTRADA"),"",TEXT(B2140,"AAMMDD")&amp;"-"&amp;TEXT(VALUE(SUBSTITUTE(A2140,"MOV-","")),"000"))</f>
        <v/>
      </c>
    </row>
    <row r="2141" spans="18:20">
      <c r="R2141" s="22" t="str">
        <f>IF(H2141="","",H2141&amp;I2141)</f>
        <v/>
      </c>
      <c r="S2141" s="22" t="str">
        <f>IF(C2141="","",C2141&amp;I2141)</f>
        <v/>
      </c>
      <c r="T2141" t="str">
        <f>IF(OR(C2141="",I2141&lt;&gt;"ENTRADA"),"",TEXT(B2141,"AAMMDD")&amp;"-"&amp;TEXT(VALUE(SUBSTITUTE(A2141,"MOV-","")),"000"))</f>
        <v/>
      </c>
    </row>
    <row r="2142" spans="18:20">
      <c r="R2142" s="22" t="str">
        <f>IF(H2142="","",H2142&amp;I2142)</f>
        <v/>
      </c>
      <c r="S2142" s="22" t="str">
        <f>IF(C2142="","",C2142&amp;I2142)</f>
        <v/>
      </c>
      <c r="T2142" t="str">
        <f>IF(OR(C2142="",I2142&lt;&gt;"ENTRADA"),"",TEXT(B2142,"AAMMDD")&amp;"-"&amp;TEXT(VALUE(SUBSTITUTE(A2142,"MOV-","")),"000"))</f>
        <v/>
      </c>
    </row>
    <row r="2143" spans="18:20">
      <c r="R2143" s="22" t="str">
        <f>IF(H2143="","",H2143&amp;I2143)</f>
        <v/>
      </c>
      <c r="S2143" s="22" t="str">
        <f>IF(C2143="","",C2143&amp;I2143)</f>
        <v/>
      </c>
      <c r="T2143" t="str">
        <f>IF(OR(C2143="",I2143&lt;&gt;"ENTRADA"),"",TEXT(B2143,"AAMMDD")&amp;"-"&amp;TEXT(VALUE(SUBSTITUTE(A2143,"MOV-","")),"000"))</f>
        <v/>
      </c>
    </row>
    <row r="2144" spans="18:20">
      <c r="R2144" s="22" t="str">
        <f>IF(H2144="","",H2144&amp;I2144)</f>
        <v/>
      </c>
      <c r="S2144" s="22" t="str">
        <f>IF(C2144="","",C2144&amp;I2144)</f>
        <v/>
      </c>
      <c r="T2144" t="str">
        <f>IF(OR(C2144="",I2144&lt;&gt;"ENTRADA"),"",TEXT(B2144,"AAMMDD")&amp;"-"&amp;TEXT(VALUE(SUBSTITUTE(A2144,"MOV-","")),"000"))</f>
        <v/>
      </c>
    </row>
    <row r="2145" spans="18:20">
      <c r="R2145" s="22" t="str">
        <f>IF(H2145="","",H2145&amp;I2145)</f>
        <v/>
      </c>
      <c r="S2145" s="22" t="str">
        <f>IF(C2145="","",C2145&amp;I2145)</f>
        <v/>
      </c>
      <c r="T2145" t="str">
        <f>IF(OR(C2145="",I2145&lt;&gt;"ENTRADA"),"",TEXT(B2145,"AAMMDD")&amp;"-"&amp;TEXT(VALUE(SUBSTITUTE(A2145,"MOV-","")),"000"))</f>
        <v/>
      </c>
    </row>
    <row r="2146" spans="18:20">
      <c r="R2146" s="22" t="str">
        <f>IF(H2146="","",H2146&amp;I2146)</f>
        <v/>
      </c>
      <c r="S2146" s="22" t="str">
        <f>IF(C2146="","",C2146&amp;I2146)</f>
        <v/>
      </c>
      <c r="T2146" t="str">
        <f>IF(OR(C2146="",I2146&lt;&gt;"ENTRADA"),"",TEXT(B2146,"AAMMDD")&amp;"-"&amp;TEXT(VALUE(SUBSTITUTE(A2146,"MOV-","")),"000"))</f>
        <v/>
      </c>
    </row>
    <row r="2147" spans="18:20">
      <c r="R2147" s="22" t="str">
        <f>IF(H2147="","",H2147&amp;I2147)</f>
        <v/>
      </c>
      <c r="S2147" s="22" t="str">
        <f>IF(C2147="","",C2147&amp;I2147)</f>
        <v/>
      </c>
      <c r="T2147" t="str">
        <f>IF(OR(C2147="",I2147&lt;&gt;"ENTRADA"),"",TEXT(B2147,"AAMMDD")&amp;"-"&amp;TEXT(VALUE(SUBSTITUTE(A2147,"MOV-","")),"000"))</f>
        <v/>
      </c>
    </row>
    <row r="2148" spans="18:20">
      <c r="R2148" s="22" t="str">
        <f>IF(H2148="","",H2148&amp;I2148)</f>
        <v/>
      </c>
      <c r="S2148" s="22" t="str">
        <f>IF(C2148="","",C2148&amp;I2148)</f>
        <v/>
      </c>
      <c r="T2148" t="str">
        <f>IF(OR(C2148="",I2148&lt;&gt;"ENTRADA"),"",TEXT(B2148,"AAMMDD")&amp;"-"&amp;TEXT(VALUE(SUBSTITUTE(A2148,"MOV-","")),"000"))</f>
        <v/>
      </c>
    </row>
    <row r="2149" spans="18:20">
      <c r="R2149" s="22" t="str">
        <f>IF(H2149="","",H2149&amp;I2149)</f>
        <v/>
      </c>
      <c r="S2149" s="22" t="str">
        <f>IF(C2149="","",C2149&amp;I2149)</f>
        <v/>
      </c>
      <c r="T2149" t="str">
        <f>IF(OR(C2149="",I2149&lt;&gt;"ENTRADA"),"",TEXT(B2149,"AAMMDD")&amp;"-"&amp;TEXT(VALUE(SUBSTITUTE(A2149,"MOV-","")),"000"))</f>
        <v/>
      </c>
    </row>
    <row r="2150" spans="18:20">
      <c r="R2150" s="22" t="str">
        <f>IF(H2150="","",H2150&amp;I2150)</f>
        <v/>
      </c>
      <c r="S2150" s="22" t="str">
        <f>IF(C2150="","",C2150&amp;I2150)</f>
        <v/>
      </c>
      <c r="T2150" t="str">
        <f>IF(OR(C2150="",I2150&lt;&gt;"ENTRADA"),"",TEXT(B2150,"AAMMDD")&amp;"-"&amp;TEXT(VALUE(SUBSTITUTE(A2150,"MOV-","")),"000"))</f>
        <v/>
      </c>
    </row>
    <row r="2151" spans="18:20">
      <c r="R2151" s="22" t="str">
        <f>IF(H2151="","",H2151&amp;I2151)</f>
        <v/>
      </c>
      <c r="S2151" s="22" t="str">
        <f>IF(C2151="","",C2151&amp;I2151)</f>
        <v/>
      </c>
      <c r="T2151" t="str">
        <f>IF(OR(C2151="",I2151&lt;&gt;"ENTRADA"),"",TEXT(B2151,"AAMMDD")&amp;"-"&amp;TEXT(VALUE(SUBSTITUTE(A2151,"MOV-","")),"000"))</f>
        <v/>
      </c>
    </row>
    <row r="2152" spans="18:20">
      <c r="R2152" s="22" t="str">
        <f>IF(H2152="","",H2152&amp;I2152)</f>
        <v/>
      </c>
      <c r="S2152" s="22" t="str">
        <f>IF(C2152="","",C2152&amp;I2152)</f>
        <v/>
      </c>
      <c r="T2152" t="str">
        <f>IF(OR(C2152="",I2152&lt;&gt;"ENTRADA"),"",TEXT(B2152,"AAMMDD")&amp;"-"&amp;TEXT(VALUE(SUBSTITUTE(A2152,"MOV-","")),"000"))</f>
        <v/>
      </c>
    </row>
    <row r="2153" spans="18:20">
      <c r="R2153" s="22" t="str">
        <f>IF(H2153="","",H2153&amp;I2153)</f>
        <v/>
      </c>
      <c r="S2153" s="22" t="str">
        <f>IF(C2153="","",C2153&amp;I2153)</f>
        <v/>
      </c>
      <c r="T2153" t="str">
        <f>IF(OR(C2153="",I2153&lt;&gt;"ENTRADA"),"",TEXT(B2153,"AAMMDD")&amp;"-"&amp;TEXT(VALUE(SUBSTITUTE(A2153,"MOV-","")),"000"))</f>
        <v/>
      </c>
    </row>
    <row r="2154" spans="18:20">
      <c r="R2154" s="22" t="str">
        <f>IF(H2154="","",H2154&amp;I2154)</f>
        <v/>
      </c>
      <c r="S2154" s="22" t="str">
        <f>IF(C2154="","",C2154&amp;I2154)</f>
        <v/>
      </c>
      <c r="T2154" t="str">
        <f>IF(OR(C2154="",I2154&lt;&gt;"ENTRADA"),"",TEXT(B2154,"AAMMDD")&amp;"-"&amp;TEXT(VALUE(SUBSTITUTE(A2154,"MOV-","")),"000"))</f>
        <v/>
      </c>
    </row>
    <row r="2155" spans="18:20">
      <c r="R2155" s="22" t="str">
        <f>IF(H2155="","",H2155&amp;I2155)</f>
        <v/>
      </c>
      <c r="S2155" s="22" t="str">
        <f>IF(C2155="","",C2155&amp;I2155)</f>
        <v/>
      </c>
      <c r="T2155" t="str">
        <f>IF(OR(C2155="",I2155&lt;&gt;"ENTRADA"),"",TEXT(B2155,"AAMMDD")&amp;"-"&amp;TEXT(VALUE(SUBSTITUTE(A2155,"MOV-","")),"000"))</f>
        <v/>
      </c>
    </row>
    <row r="2156" spans="18:20">
      <c r="R2156" s="22" t="str">
        <f>IF(H2156="","",H2156&amp;I2156)</f>
        <v/>
      </c>
      <c r="S2156" s="22" t="str">
        <f>IF(C2156="","",C2156&amp;I2156)</f>
        <v/>
      </c>
      <c r="T2156" t="str">
        <f>IF(OR(C2156="",I2156&lt;&gt;"ENTRADA"),"",TEXT(B2156,"AAMMDD")&amp;"-"&amp;TEXT(VALUE(SUBSTITUTE(A2156,"MOV-","")),"000"))</f>
        <v/>
      </c>
    </row>
    <row r="2157" spans="18:20">
      <c r="R2157" s="22" t="str">
        <f>IF(H2157="","",H2157&amp;I2157)</f>
        <v/>
      </c>
      <c r="S2157" s="22" t="str">
        <f>IF(C2157="","",C2157&amp;I2157)</f>
        <v/>
      </c>
      <c r="T2157" t="str">
        <f>IF(OR(C2157="",I2157&lt;&gt;"ENTRADA"),"",TEXT(B2157,"AAMMDD")&amp;"-"&amp;TEXT(VALUE(SUBSTITUTE(A2157,"MOV-","")),"000"))</f>
        <v/>
      </c>
    </row>
    <row r="2158" spans="18:20">
      <c r="R2158" s="22" t="str">
        <f>IF(H2158="","",H2158&amp;I2158)</f>
        <v/>
      </c>
      <c r="S2158" s="22" t="str">
        <f>IF(C2158="","",C2158&amp;I2158)</f>
        <v/>
      </c>
      <c r="T2158" t="str">
        <f>IF(OR(C2158="",I2158&lt;&gt;"ENTRADA"),"",TEXT(B2158,"AAMMDD")&amp;"-"&amp;TEXT(VALUE(SUBSTITUTE(A2158,"MOV-","")),"000"))</f>
        <v/>
      </c>
    </row>
    <row r="2159" spans="18:20">
      <c r="R2159" s="22" t="str">
        <f>IF(H2159="","",H2159&amp;I2159)</f>
        <v/>
      </c>
      <c r="S2159" s="22" t="str">
        <f>IF(C2159="","",C2159&amp;I2159)</f>
        <v/>
      </c>
      <c r="T2159" t="str">
        <f>IF(OR(C2159="",I2159&lt;&gt;"ENTRADA"),"",TEXT(B2159,"AAMMDD")&amp;"-"&amp;TEXT(VALUE(SUBSTITUTE(A2159,"MOV-","")),"000"))</f>
        <v/>
      </c>
    </row>
    <row r="2160" spans="18:20">
      <c r="R2160" s="22" t="str">
        <f>IF(H2160="","",H2160&amp;I2160)</f>
        <v/>
      </c>
      <c r="S2160" s="22" t="str">
        <f>IF(C2160="","",C2160&amp;I2160)</f>
        <v/>
      </c>
      <c r="T2160" t="str">
        <f>IF(OR(C2160="",I2160&lt;&gt;"ENTRADA"),"",TEXT(B2160,"AAMMDD")&amp;"-"&amp;TEXT(VALUE(SUBSTITUTE(A2160,"MOV-","")),"000"))</f>
        <v/>
      </c>
    </row>
    <row r="2161" spans="18:20">
      <c r="R2161" s="22" t="str">
        <f>IF(H2161="","",H2161&amp;I2161)</f>
        <v/>
      </c>
      <c r="S2161" s="22" t="str">
        <f>IF(C2161="","",C2161&amp;I2161)</f>
        <v/>
      </c>
      <c r="T2161" t="str">
        <f>IF(OR(C2161="",I2161&lt;&gt;"ENTRADA"),"",TEXT(B2161,"AAMMDD")&amp;"-"&amp;TEXT(VALUE(SUBSTITUTE(A2161,"MOV-","")),"000"))</f>
        <v/>
      </c>
    </row>
    <row r="2162" spans="18:20">
      <c r="R2162" s="22" t="str">
        <f>IF(H2162="","",H2162&amp;I2162)</f>
        <v/>
      </c>
      <c r="S2162" s="22" t="str">
        <f>IF(C2162="","",C2162&amp;I2162)</f>
        <v/>
      </c>
      <c r="T2162" t="str">
        <f>IF(OR(C2162="",I2162&lt;&gt;"ENTRADA"),"",TEXT(B2162,"AAMMDD")&amp;"-"&amp;TEXT(VALUE(SUBSTITUTE(A2162,"MOV-","")),"000"))</f>
        <v/>
      </c>
    </row>
    <row r="2163" spans="18:20">
      <c r="R2163" s="22" t="str">
        <f>IF(H2163="","",H2163&amp;I2163)</f>
        <v/>
      </c>
      <c r="S2163" s="22" t="str">
        <f>IF(C2163="","",C2163&amp;I2163)</f>
        <v/>
      </c>
      <c r="T2163" t="str">
        <f>IF(OR(C2163="",I2163&lt;&gt;"ENTRADA"),"",TEXT(B2163,"AAMMDD")&amp;"-"&amp;TEXT(VALUE(SUBSTITUTE(A2163,"MOV-","")),"000"))</f>
        <v/>
      </c>
    </row>
    <row r="2164" spans="18:20">
      <c r="R2164" s="22" t="str">
        <f>IF(H2164="","",H2164&amp;I2164)</f>
        <v/>
      </c>
      <c r="S2164" s="22" t="str">
        <f>IF(C2164="","",C2164&amp;I2164)</f>
        <v/>
      </c>
      <c r="T2164" t="str">
        <f>IF(OR(C2164="",I2164&lt;&gt;"ENTRADA"),"",TEXT(B2164,"AAMMDD")&amp;"-"&amp;TEXT(VALUE(SUBSTITUTE(A2164,"MOV-","")),"000"))</f>
        <v/>
      </c>
    </row>
    <row r="2165" spans="18:20">
      <c r="R2165" s="22" t="str">
        <f>IF(H2165="","",H2165&amp;I2165)</f>
        <v/>
      </c>
      <c r="S2165" s="22" t="str">
        <f>IF(C2165="","",C2165&amp;I2165)</f>
        <v/>
      </c>
      <c r="T2165" t="str">
        <f>IF(OR(C2165="",I2165&lt;&gt;"ENTRADA"),"",TEXT(B2165,"AAMMDD")&amp;"-"&amp;TEXT(VALUE(SUBSTITUTE(A2165,"MOV-","")),"000"))</f>
        <v/>
      </c>
    </row>
    <row r="2166" spans="18:20">
      <c r="R2166" s="22" t="str">
        <f>IF(H2166="","",H2166&amp;I2166)</f>
        <v/>
      </c>
      <c r="S2166" s="22" t="str">
        <f>IF(C2166="","",C2166&amp;I2166)</f>
        <v/>
      </c>
      <c r="T2166" t="str">
        <f>IF(OR(C2166="",I2166&lt;&gt;"ENTRADA"),"",TEXT(B2166,"AAMMDD")&amp;"-"&amp;TEXT(VALUE(SUBSTITUTE(A2166,"MOV-","")),"000"))</f>
        <v/>
      </c>
    </row>
    <row r="2167" spans="18:20">
      <c r="R2167" s="22" t="str">
        <f>IF(H2167="","",H2167&amp;I2167)</f>
        <v/>
      </c>
      <c r="S2167" s="22" t="str">
        <f>IF(C2167="","",C2167&amp;I2167)</f>
        <v/>
      </c>
      <c r="T2167" t="str">
        <f>IF(OR(C2167="",I2167&lt;&gt;"ENTRADA"),"",TEXT(B2167,"AAMMDD")&amp;"-"&amp;TEXT(VALUE(SUBSTITUTE(A2167,"MOV-","")),"000"))</f>
        <v/>
      </c>
    </row>
    <row r="2168" spans="18:20">
      <c r="R2168" s="22" t="str">
        <f>IF(H2168="","",H2168&amp;I2168)</f>
        <v/>
      </c>
      <c r="S2168" s="22" t="str">
        <f>IF(C2168="","",C2168&amp;I2168)</f>
        <v/>
      </c>
      <c r="T2168" t="str">
        <f>IF(OR(C2168="",I2168&lt;&gt;"ENTRADA"),"",TEXT(B2168,"AAMMDD")&amp;"-"&amp;TEXT(VALUE(SUBSTITUTE(A2168,"MOV-","")),"000"))</f>
        <v/>
      </c>
    </row>
    <row r="2169" spans="18:20">
      <c r="R2169" s="22" t="str">
        <f>IF(H2169="","",H2169&amp;I2169)</f>
        <v/>
      </c>
      <c r="S2169" s="22" t="str">
        <f>IF(C2169="","",C2169&amp;I2169)</f>
        <v/>
      </c>
      <c r="T2169" t="str">
        <f>IF(OR(C2169="",I2169&lt;&gt;"ENTRADA"),"",TEXT(B2169,"AAMMDD")&amp;"-"&amp;TEXT(VALUE(SUBSTITUTE(A2169,"MOV-","")),"000"))</f>
        <v/>
      </c>
    </row>
    <row r="2170" spans="18:20">
      <c r="R2170" s="22" t="str">
        <f>IF(H2170="","",H2170&amp;I2170)</f>
        <v/>
      </c>
      <c r="S2170" s="22" t="str">
        <f>IF(C2170="","",C2170&amp;I2170)</f>
        <v/>
      </c>
      <c r="T2170" t="str">
        <f>IF(OR(C2170="",I2170&lt;&gt;"ENTRADA"),"",TEXT(B2170,"AAMMDD")&amp;"-"&amp;TEXT(VALUE(SUBSTITUTE(A2170,"MOV-","")),"000"))</f>
        <v/>
      </c>
    </row>
    <row r="2171" spans="18:20">
      <c r="R2171" s="22" t="str">
        <f>IF(H2171="","",H2171&amp;I2171)</f>
        <v/>
      </c>
      <c r="S2171" s="22" t="str">
        <f>IF(C2171="","",C2171&amp;I2171)</f>
        <v/>
      </c>
      <c r="T2171" t="str">
        <f>IF(OR(C2171="",I2171&lt;&gt;"ENTRADA"),"",TEXT(B2171,"AAMMDD")&amp;"-"&amp;TEXT(VALUE(SUBSTITUTE(A2171,"MOV-","")),"000"))</f>
        <v/>
      </c>
    </row>
    <row r="2172" spans="18:20">
      <c r="R2172" s="22" t="str">
        <f>IF(H2172="","",H2172&amp;I2172)</f>
        <v/>
      </c>
      <c r="S2172" s="22" t="str">
        <f>IF(C2172="","",C2172&amp;I2172)</f>
        <v/>
      </c>
      <c r="T2172" t="str">
        <f>IF(OR(C2172="",I2172&lt;&gt;"ENTRADA"),"",TEXT(B2172,"AAMMDD")&amp;"-"&amp;TEXT(VALUE(SUBSTITUTE(A2172,"MOV-","")),"000"))</f>
        <v/>
      </c>
    </row>
    <row r="2173" spans="18:20">
      <c r="R2173" s="22" t="str">
        <f>IF(H2173="","",H2173&amp;I2173)</f>
        <v/>
      </c>
      <c r="S2173" s="22" t="str">
        <f>IF(C2173="","",C2173&amp;I2173)</f>
        <v/>
      </c>
      <c r="T2173" t="str">
        <f>IF(OR(C2173="",I2173&lt;&gt;"ENTRADA"),"",TEXT(B2173,"AAMMDD")&amp;"-"&amp;TEXT(VALUE(SUBSTITUTE(A2173,"MOV-","")),"000"))</f>
        <v/>
      </c>
    </row>
    <row r="2174" spans="18:20">
      <c r="R2174" s="22" t="str">
        <f>IF(H2174="","",H2174&amp;I2174)</f>
        <v/>
      </c>
      <c r="S2174" s="22" t="str">
        <f>IF(C2174="","",C2174&amp;I2174)</f>
        <v/>
      </c>
      <c r="T2174" t="str">
        <f>IF(OR(C2174="",I2174&lt;&gt;"ENTRADA"),"",TEXT(B2174,"AAMMDD")&amp;"-"&amp;TEXT(VALUE(SUBSTITUTE(A2174,"MOV-","")),"000"))</f>
        <v/>
      </c>
    </row>
    <row r="2175" spans="18:20">
      <c r="R2175" s="22" t="str">
        <f>IF(H2175="","",H2175&amp;I2175)</f>
        <v/>
      </c>
      <c r="S2175" s="22" t="str">
        <f>IF(C2175="","",C2175&amp;I2175)</f>
        <v/>
      </c>
      <c r="T2175" t="str">
        <f>IF(OR(C2175="",I2175&lt;&gt;"ENTRADA"),"",TEXT(B2175,"AAMMDD")&amp;"-"&amp;TEXT(VALUE(SUBSTITUTE(A2175,"MOV-","")),"000"))</f>
        <v/>
      </c>
    </row>
    <row r="2176" spans="18:20">
      <c r="R2176" s="22" t="str">
        <f>IF(H2176="","",H2176&amp;I2176)</f>
        <v/>
      </c>
      <c r="S2176" s="22" t="str">
        <f>IF(C2176="","",C2176&amp;I2176)</f>
        <v/>
      </c>
      <c r="T2176" t="str">
        <f>IF(OR(C2176="",I2176&lt;&gt;"ENTRADA"),"",TEXT(B2176,"AAMMDD")&amp;"-"&amp;TEXT(VALUE(SUBSTITUTE(A2176,"MOV-","")),"000"))</f>
        <v/>
      </c>
    </row>
    <row r="2177" spans="18:20">
      <c r="R2177" s="22" t="str">
        <f>IF(H2177="","",H2177&amp;I2177)</f>
        <v/>
      </c>
      <c r="S2177" s="22" t="str">
        <f>IF(C2177="","",C2177&amp;I2177)</f>
        <v/>
      </c>
      <c r="T2177" t="str">
        <f>IF(OR(C2177="",I2177&lt;&gt;"ENTRADA"),"",TEXT(B2177,"AAMMDD")&amp;"-"&amp;TEXT(VALUE(SUBSTITUTE(A2177,"MOV-","")),"000"))</f>
        <v/>
      </c>
    </row>
    <row r="2178" spans="18:20">
      <c r="R2178" s="22" t="str">
        <f>IF(H2178="","",H2178&amp;I2178)</f>
        <v/>
      </c>
      <c r="S2178" s="22" t="str">
        <f>IF(C2178="","",C2178&amp;I2178)</f>
        <v/>
      </c>
      <c r="T2178" t="str">
        <f>IF(OR(C2178="",I2178&lt;&gt;"ENTRADA"),"",TEXT(B2178,"AAMMDD")&amp;"-"&amp;TEXT(VALUE(SUBSTITUTE(A2178,"MOV-","")),"000"))</f>
        <v/>
      </c>
    </row>
    <row r="2179" spans="18:20">
      <c r="R2179" s="22" t="str">
        <f>IF(H2179="","",H2179&amp;I2179)</f>
        <v/>
      </c>
      <c r="S2179" s="22" t="str">
        <f>IF(C2179="","",C2179&amp;I2179)</f>
        <v/>
      </c>
      <c r="T2179" t="str">
        <f>IF(OR(C2179="",I2179&lt;&gt;"ENTRADA"),"",TEXT(B2179,"AAMMDD")&amp;"-"&amp;TEXT(VALUE(SUBSTITUTE(A2179,"MOV-","")),"000"))</f>
        <v/>
      </c>
    </row>
    <row r="2180" spans="18:20">
      <c r="R2180" s="22" t="str">
        <f>IF(H2180="","",H2180&amp;I2180)</f>
        <v/>
      </c>
      <c r="S2180" s="22" t="str">
        <f>IF(C2180="","",C2180&amp;I2180)</f>
        <v/>
      </c>
      <c r="T2180" t="str">
        <f>IF(OR(C2180="",I2180&lt;&gt;"ENTRADA"),"",TEXT(B2180,"AAMMDD")&amp;"-"&amp;TEXT(VALUE(SUBSTITUTE(A2180,"MOV-","")),"000"))</f>
        <v/>
      </c>
    </row>
    <row r="2181" spans="18:20">
      <c r="R2181" s="22" t="str">
        <f>IF(H2181="","",H2181&amp;I2181)</f>
        <v/>
      </c>
      <c r="S2181" s="22" t="str">
        <f>IF(C2181="","",C2181&amp;I2181)</f>
        <v/>
      </c>
      <c r="T2181" t="str">
        <f>IF(OR(C2181="",I2181&lt;&gt;"ENTRADA"),"",TEXT(B2181,"AAMMDD")&amp;"-"&amp;TEXT(VALUE(SUBSTITUTE(A2181,"MOV-","")),"000"))</f>
        <v/>
      </c>
    </row>
    <row r="2182" spans="18:20">
      <c r="R2182" s="22" t="str">
        <f>IF(H2182="","",H2182&amp;I2182)</f>
        <v/>
      </c>
      <c r="S2182" s="22" t="str">
        <f>IF(C2182="","",C2182&amp;I2182)</f>
        <v/>
      </c>
      <c r="T2182" t="str">
        <f>IF(OR(C2182="",I2182&lt;&gt;"ENTRADA"),"",TEXT(B2182,"AAMMDD")&amp;"-"&amp;TEXT(VALUE(SUBSTITUTE(A2182,"MOV-","")),"000"))</f>
        <v/>
      </c>
    </row>
    <row r="2183" spans="18:20">
      <c r="R2183" s="22" t="str">
        <f>IF(H2183="","",H2183&amp;I2183)</f>
        <v/>
      </c>
      <c r="S2183" s="22" t="str">
        <f>IF(C2183="","",C2183&amp;I2183)</f>
        <v/>
      </c>
      <c r="T2183" t="str">
        <f>IF(OR(C2183="",I2183&lt;&gt;"ENTRADA"),"",TEXT(B2183,"AAMMDD")&amp;"-"&amp;TEXT(VALUE(SUBSTITUTE(A2183,"MOV-","")),"000"))</f>
        <v/>
      </c>
    </row>
    <row r="2184" spans="18:20">
      <c r="R2184" s="22" t="str">
        <f>IF(H2184="","",H2184&amp;I2184)</f>
        <v/>
      </c>
      <c r="S2184" s="22" t="str">
        <f>IF(C2184="","",C2184&amp;I2184)</f>
        <v/>
      </c>
      <c r="T2184" t="str">
        <f>IF(OR(C2184="",I2184&lt;&gt;"ENTRADA"),"",TEXT(B2184,"AAMMDD")&amp;"-"&amp;TEXT(VALUE(SUBSTITUTE(A2184,"MOV-","")),"000"))</f>
        <v/>
      </c>
    </row>
    <row r="2185" spans="18:20">
      <c r="R2185" s="22" t="str">
        <f>IF(H2185="","",H2185&amp;I2185)</f>
        <v/>
      </c>
      <c r="S2185" s="22" t="str">
        <f>IF(C2185="","",C2185&amp;I2185)</f>
        <v/>
      </c>
      <c r="T2185" t="str">
        <f>IF(OR(C2185="",I2185&lt;&gt;"ENTRADA"),"",TEXT(B2185,"AAMMDD")&amp;"-"&amp;TEXT(VALUE(SUBSTITUTE(A2185,"MOV-","")),"000"))</f>
        <v/>
      </c>
    </row>
    <row r="2186" spans="18:20">
      <c r="R2186" s="22" t="str">
        <f>IF(H2186="","",H2186&amp;I2186)</f>
        <v/>
      </c>
      <c r="S2186" s="22" t="str">
        <f>IF(C2186="","",C2186&amp;I2186)</f>
        <v/>
      </c>
      <c r="T2186" t="str">
        <f>IF(OR(C2186="",I2186&lt;&gt;"ENTRADA"),"",TEXT(B2186,"AAMMDD")&amp;"-"&amp;TEXT(VALUE(SUBSTITUTE(A2186,"MOV-","")),"000"))</f>
        <v/>
      </c>
    </row>
    <row r="2187" spans="18:20">
      <c r="R2187" s="22" t="str">
        <f>IF(H2187="","",H2187&amp;I2187)</f>
        <v/>
      </c>
      <c r="S2187" s="22" t="str">
        <f>IF(C2187="","",C2187&amp;I2187)</f>
        <v/>
      </c>
      <c r="T2187" t="str">
        <f>IF(OR(C2187="",I2187&lt;&gt;"ENTRADA"),"",TEXT(B2187,"AAMMDD")&amp;"-"&amp;TEXT(VALUE(SUBSTITUTE(A2187,"MOV-","")),"000"))</f>
        <v/>
      </c>
    </row>
    <row r="2188" spans="18:20">
      <c r="R2188" s="22" t="str">
        <f>IF(H2188="","",H2188&amp;I2188)</f>
        <v/>
      </c>
      <c r="S2188" s="22" t="str">
        <f>IF(C2188="","",C2188&amp;I2188)</f>
        <v/>
      </c>
      <c r="T2188" t="str">
        <f>IF(OR(C2188="",I2188&lt;&gt;"ENTRADA"),"",TEXT(B2188,"AAMMDD")&amp;"-"&amp;TEXT(VALUE(SUBSTITUTE(A2188,"MOV-","")),"000"))</f>
        <v/>
      </c>
    </row>
    <row r="2189" spans="18:20">
      <c r="R2189" s="22" t="str">
        <f>IF(H2189="","",H2189&amp;I2189)</f>
        <v/>
      </c>
      <c r="S2189" s="22" t="str">
        <f>IF(C2189="","",C2189&amp;I2189)</f>
        <v/>
      </c>
      <c r="T2189" t="str">
        <f>IF(OR(C2189="",I2189&lt;&gt;"ENTRADA"),"",TEXT(B2189,"AAMMDD")&amp;"-"&amp;TEXT(VALUE(SUBSTITUTE(A2189,"MOV-","")),"000"))</f>
        <v/>
      </c>
    </row>
    <row r="2190" spans="18:20">
      <c r="R2190" s="22" t="str">
        <f>IF(H2190="","",H2190&amp;I2190)</f>
        <v/>
      </c>
      <c r="S2190" s="22" t="str">
        <f>IF(C2190="","",C2190&amp;I2190)</f>
        <v/>
      </c>
      <c r="T2190" t="str">
        <f>IF(OR(C2190="",I2190&lt;&gt;"ENTRADA"),"",TEXT(B2190,"AAMMDD")&amp;"-"&amp;TEXT(VALUE(SUBSTITUTE(A2190,"MOV-","")),"000"))</f>
        <v/>
      </c>
    </row>
    <row r="2191" spans="18:20">
      <c r="R2191" s="22" t="str">
        <f>IF(H2191="","",H2191&amp;I2191)</f>
        <v/>
      </c>
      <c r="S2191" s="22" t="str">
        <f>IF(C2191="","",C2191&amp;I2191)</f>
        <v/>
      </c>
      <c r="T2191" t="str">
        <f>IF(OR(C2191="",I2191&lt;&gt;"ENTRADA"),"",TEXT(B2191,"AAMMDD")&amp;"-"&amp;TEXT(VALUE(SUBSTITUTE(A2191,"MOV-","")),"000"))</f>
        <v/>
      </c>
    </row>
    <row r="2192" spans="18:20">
      <c r="R2192" s="22" t="str">
        <f>IF(H2192="","",H2192&amp;I2192)</f>
        <v/>
      </c>
      <c r="S2192" s="22" t="str">
        <f>IF(C2192="","",C2192&amp;I2192)</f>
        <v/>
      </c>
      <c r="T2192" t="str">
        <f>IF(OR(C2192="",I2192&lt;&gt;"ENTRADA"),"",TEXT(B2192,"AAMMDD")&amp;"-"&amp;TEXT(VALUE(SUBSTITUTE(A2192,"MOV-","")),"000"))</f>
        <v/>
      </c>
    </row>
    <row r="2193" spans="18:20">
      <c r="R2193" s="22" t="str">
        <f>IF(H2193="","",H2193&amp;I2193)</f>
        <v/>
      </c>
      <c r="S2193" s="22" t="str">
        <f>IF(C2193="","",C2193&amp;I2193)</f>
        <v/>
      </c>
      <c r="T2193" t="str">
        <f>IF(OR(C2193="",I2193&lt;&gt;"ENTRADA"),"",TEXT(B2193,"AAMMDD")&amp;"-"&amp;TEXT(VALUE(SUBSTITUTE(A2193,"MOV-","")),"000"))</f>
        <v/>
      </c>
    </row>
    <row r="2194" spans="18:20">
      <c r="R2194" s="22" t="str">
        <f>IF(H2194="","",H2194&amp;I2194)</f>
        <v/>
      </c>
      <c r="S2194" s="22" t="str">
        <f>IF(C2194="","",C2194&amp;I2194)</f>
        <v/>
      </c>
      <c r="T2194" t="str">
        <f>IF(OR(C2194="",I2194&lt;&gt;"ENTRADA"),"",TEXT(B2194,"AAMMDD")&amp;"-"&amp;TEXT(VALUE(SUBSTITUTE(A2194,"MOV-","")),"000"))</f>
        <v/>
      </c>
    </row>
    <row r="2195" spans="18:20">
      <c r="R2195" s="22" t="str">
        <f>IF(H2195="","",H2195&amp;I2195)</f>
        <v/>
      </c>
      <c r="S2195" s="22" t="str">
        <f>IF(C2195="","",C2195&amp;I2195)</f>
        <v/>
      </c>
      <c r="T2195" t="str">
        <f>IF(OR(C2195="",I2195&lt;&gt;"ENTRADA"),"",TEXT(B2195,"AAMMDD")&amp;"-"&amp;TEXT(VALUE(SUBSTITUTE(A2195,"MOV-","")),"000"))</f>
        <v/>
      </c>
    </row>
    <row r="2196" spans="18:20">
      <c r="R2196" s="22" t="str">
        <f>IF(H2196="","",H2196&amp;I2196)</f>
        <v/>
      </c>
      <c r="S2196" s="22" t="str">
        <f>IF(C2196="","",C2196&amp;I2196)</f>
        <v/>
      </c>
      <c r="T2196" t="str">
        <f>IF(OR(C2196="",I2196&lt;&gt;"ENTRADA"),"",TEXT(B2196,"AAMMDD")&amp;"-"&amp;TEXT(VALUE(SUBSTITUTE(A2196,"MOV-","")),"000"))</f>
        <v/>
      </c>
    </row>
    <row r="2197" spans="18:20">
      <c r="R2197" s="22" t="str">
        <f>IF(H2197="","",H2197&amp;I2197)</f>
        <v/>
      </c>
      <c r="S2197" s="22" t="str">
        <f>IF(C2197="","",C2197&amp;I2197)</f>
        <v/>
      </c>
      <c r="T2197" t="str">
        <f>IF(OR(C2197="",I2197&lt;&gt;"ENTRADA"),"",TEXT(B2197,"AAMMDD")&amp;"-"&amp;TEXT(VALUE(SUBSTITUTE(A2197,"MOV-","")),"000"))</f>
        <v/>
      </c>
    </row>
    <row r="2198" spans="18:20">
      <c r="R2198" s="22" t="str">
        <f>IF(H2198="","",H2198&amp;I2198)</f>
        <v/>
      </c>
      <c r="S2198" s="22" t="str">
        <f>IF(C2198="","",C2198&amp;I2198)</f>
        <v/>
      </c>
      <c r="T2198" t="str">
        <f>IF(OR(C2198="",I2198&lt;&gt;"ENTRADA"),"",TEXT(B2198,"AAMMDD")&amp;"-"&amp;TEXT(VALUE(SUBSTITUTE(A2198,"MOV-","")),"000"))</f>
        <v/>
      </c>
    </row>
    <row r="2199" spans="18:20">
      <c r="R2199" s="22" t="str">
        <f>IF(H2199="","",H2199&amp;I2199)</f>
        <v/>
      </c>
      <c r="S2199" s="22" t="str">
        <f>IF(C2199="","",C2199&amp;I2199)</f>
        <v/>
      </c>
      <c r="T2199" t="str">
        <f>IF(OR(C2199="",I2199&lt;&gt;"ENTRADA"),"",TEXT(B2199,"AAMMDD")&amp;"-"&amp;TEXT(VALUE(SUBSTITUTE(A2199,"MOV-","")),"000"))</f>
        <v/>
      </c>
    </row>
    <row r="2200" spans="18:20">
      <c r="R2200" s="22" t="str">
        <f>IF(H2200="","",H2200&amp;I2200)</f>
        <v/>
      </c>
      <c r="S2200" s="22" t="str">
        <f>IF(C2200="","",C2200&amp;I2200)</f>
        <v/>
      </c>
      <c r="T2200" t="str">
        <f>IF(OR(C2200="",I2200&lt;&gt;"ENTRADA"),"",TEXT(B2200,"AAMMDD")&amp;"-"&amp;TEXT(VALUE(SUBSTITUTE(A2200,"MOV-","")),"000"))</f>
        <v/>
      </c>
    </row>
    <row r="2201" spans="18:20">
      <c r="R2201" s="22" t="str">
        <f>IF(H2201="","",H2201&amp;I2201)</f>
        <v/>
      </c>
      <c r="S2201" s="22" t="str">
        <f>IF(C2201="","",C2201&amp;I2201)</f>
        <v/>
      </c>
      <c r="T2201" t="str">
        <f>IF(OR(C2201="",I2201&lt;&gt;"ENTRADA"),"",TEXT(B2201,"AAMMDD")&amp;"-"&amp;TEXT(VALUE(SUBSTITUTE(A2201,"MOV-","")),"000"))</f>
        <v/>
      </c>
    </row>
    <row r="2202" spans="18:20">
      <c r="R2202" s="22" t="str">
        <f>IF(H2202="","",H2202&amp;I2202)</f>
        <v/>
      </c>
      <c r="S2202" s="22" t="str">
        <f>IF(C2202="","",C2202&amp;I2202)</f>
        <v/>
      </c>
      <c r="T2202" t="str">
        <f>IF(OR(C2202="",I2202&lt;&gt;"ENTRADA"),"",TEXT(B2202,"AAMMDD")&amp;"-"&amp;TEXT(VALUE(SUBSTITUTE(A2202,"MOV-","")),"000"))</f>
        <v/>
      </c>
    </row>
    <row r="2203" spans="18:20">
      <c r="R2203" s="22" t="str">
        <f>IF(H2203="","",H2203&amp;I2203)</f>
        <v/>
      </c>
      <c r="S2203" s="22" t="str">
        <f>IF(C2203="","",C2203&amp;I2203)</f>
        <v/>
      </c>
      <c r="T2203" t="str">
        <f>IF(OR(C2203="",I2203&lt;&gt;"ENTRADA"),"",TEXT(B2203,"AAMMDD")&amp;"-"&amp;TEXT(VALUE(SUBSTITUTE(A2203,"MOV-","")),"000"))</f>
        <v/>
      </c>
    </row>
    <row r="2204" spans="18:20">
      <c r="R2204" s="22" t="str">
        <f>IF(H2204="","",H2204&amp;I2204)</f>
        <v/>
      </c>
      <c r="S2204" s="22" t="str">
        <f>IF(C2204="","",C2204&amp;I2204)</f>
        <v/>
      </c>
      <c r="T2204" t="str">
        <f>IF(OR(C2204="",I2204&lt;&gt;"ENTRADA"),"",TEXT(B2204,"AAMMDD")&amp;"-"&amp;TEXT(VALUE(SUBSTITUTE(A2204,"MOV-","")),"000"))</f>
        <v/>
      </c>
    </row>
    <row r="2205" spans="18:20">
      <c r="R2205" s="22" t="str">
        <f>IF(H2205="","",H2205&amp;I2205)</f>
        <v/>
      </c>
      <c r="S2205" s="22" t="str">
        <f>IF(C2205="","",C2205&amp;I2205)</f>
        <v/>
      </c>
      <c r="T2205" t="str">
        <f>IF(OR(C2205="",I2205&lt;&gt;"ENTRADA"),"",TEXT(B2205,"AAMMDD")&amp;"-"&amp;TEXT(VALUE(SUBSTITUTE(A2205,"MOV-","")),"000"))</f>
        <v/>
      </c>
    </row>
    <row r="2206" spans="18:20">
      <c r="R2206" s="22" t="str">
        <f>IF(H2206="","",H2206&amp;I2206)</f>
        <v/>
      </c>
      <c r="S2206" s="22" t="str">
        <f>IF(C2206="","",C2206&amp;I2206)</f>
        <v/>
      </c>
      <c r="T2206" t="str">
        <f>IF(OR(C2206="",I2206&lt;&gt;"ENTRADA"),"",TEXT(B2206,"AAMMDD")&amp;"-"&amp;TEXT(VALUE(SUBSTITUTE(A2206,"MOV-","")),"000"))</f>
        <v/>
      </c>
    </row>
    <row r="2207" spans="18:20">
      <c r="R2207" s="22" t="str">
        <f>IF(H2207="","",H2207&amp;I2207)</f>
        <v/>
      </c>
      <c r="S2207" s="22" t="str">
        <f>IF(C2207="","",C2207&amp;I2207)</f>
        <v/>
      </c>
      <c r="T2207" t="str">
        <f>IF(OR(C2207="",I2207&lt;&gt;"ENTRADA"),"",TEXT(B2207,"AAMMDD")&amp;"-"&amp;TEXT(VALUE(SUBSTITUTE(A2207,"MOV-","")),"000"))</f>
        <v/>
      </c>
    </row>
    <row r="2208" spans="18:20">
      <c r="R2208" s="22" t="str">
        <f>IF(H2208="","",H2208&amp;I2208)</f>
        <v/>
      </c>
      <c r="S2208" s="22" t="str">
        <f>IF(C2208="","",C2208&amp;I2208)</f>
        <v/>
      </c>
      <c r="T2208" t="str">
        <f>IF(OR(C2208="",I2208&lt;&gt;"ENTRADA"),"",TEXT(B2208,"AAMMDD")&amp;"-"&amp;TEXT(VALUE(SUBSTITUTE(A2208,"MOV-","")),"000"))</f>
        <v/>
      </c>
    </row>
    <row r="2209" spans="18:20">
      <c r="R2209" s="22" t="str">
        <f>IF(H2209="","",H2209&amp;I2209)</f>
        <v/>
      </c>
      <c r="S2209" s="22" t="str">
        <f>IF(C2209="","",C2209&amp;I2209)</f>
        <v/>
      </c>
      <c r="T2209" t="str">
        <f>IF(OR(C2209="",I2209&lt;&gt;"ENTRADA"),"",TEXT(B2209,"AAMMDD")&amp;"-"&amp;TEXT(VALUE(SUBSTITUTE(A2209,"MOV-","")),"000"))</f>
        <v/>
      </c>
    </row>
    <row r="2210" spans="18:20">
      <c r="R2210" s="22" t="str">
        <f>IF(H2210="","",H2210&amp;I2210)</f>
        <v/>
      </c>
      <c r="S2210" s="22" t="str">
        <f>IF(C2210="","",C2210&amp;I2210)</f>
        <v/>
      </c>
      <c r="T2210" t="str">
        <f>IF(OR(C2210="",I2210&lt;&gt;"ENTRADA"),"",TEXT(B2210,"AAMMDD")&amp;"-"&amp;TEXT(VALUE(SUBSTITUTE(A2210,"MOV-","")),"000"))</f>
        <v/>
      </c>
    </row>
    <row r="2211" spans="18:20">
      <c r="R2211" s="22" t="str">
        <f>IF(H2211="","",H2211&amp;I2211)</f>
        <v/>
      </c>
      <c r="S2211" s="22" t="str">
        <f>IF(C2211="","",C2211&amp;I2211)</f>
        <v/>
      </c>
      <c r="T2211" t="str">
        <f>IF(OR(C2211="",I2211&lt;&gt;"ENTRADA"),"",TEXT(B2211,"AAMMDD")&amp;"-"&amp;TEXT(VALUE(SUBSTITUTE(A2211,"MOV-","")),"000"))</f>
        <v/>
      </c>
    </row>
    <row r="2212" spans="18:20">
      <c r="R2212" s="22" t="str">
        <f>IF(H2212="","",H2212&amp;I2212)</f>
        <v/>
      </c>
      <c r="S2212" s="22" t="str">
        <f>IF(C2212="","",C2212&amp;I2212)</f>
        <v/>
      </c>
      <c r="T2212" t="str">
        <f>IF(OR(C2212="",I2212&lt;&gt;"ENTRADA"),"",TEXT(B2212,"AAMMDD")&amp;"-"&amp;TEXT(VALUE(SUBSTITUTE(A2212,"MOV-","")),"000"))</f>
        <v/>
      </c>
    </row>
    <row r="2213" spans="18:20">
      <c r="R2213" s="22" t="str">
        <f>IF(H2213="","",H2213&amp;I2213)</f>
        <v/>
      </c>
      <c r="S2213" s="22" t="str">
        <f>IF(C2213="","",C2213&amp;I2213)</f>
        <v/>
      </c>
      <c r="T2213" t="str">
        <f>IF(OR(C2213="",I2213&lt;&gt;"ENTRADA"),"",TEXT(B2213,"AAMMDD")&amp;"-"&amp;TEXT(VALUE(SUBSTITUTE(A2213,"MOV-","")),"000"))</f>
        <v/>
      </c>
    </row>
    <row r="2214" spans="18:20">
      <c r="R2214" s="22" t="str">
        <f>IF(H2214="","",H2214&amp;I2214)</f>
        <v/>
      </c>
      <c r="S2214" s="22" t="str">
        <f>IF(C2214="","",C2214&amp;I2214)</f>
        <v/>
      </c>
      <c r="T2214" t="str">
        <f>IF(OR(C2214="",I2214&lt;&gt;"ENTRADA"),"",TEXT(B2214,"AAMMDD")&amp;"-"&amp;TEXT(VALUE(SUBSTITUTE(A2214,"MOV-","")),"000"))</f>
        <v/>
      </c>
    </row>
    <row r="2215" spans="18:20">
      <c r="R2215" s="22" t="str">
        <f>IF(H2215="","",H2215&amp;I2215)</f>
        <v/>
      </c>
      <c r="S2215" s="22" t="str">
        <f>IF(C2215="","",C2215&amp;I2215)</f>
        <v/>
      </c>
      <c r="T2215" t="str">
        <f>IF(OR(C2215="",I2215&lt;&gt;"ENTRADA"),"",TEXT(B2215,"AAMMDD")&amp;"-"&amp;TEXT(VALUE(SUBSTITUTE(A2215,"MOV-","")),"000"))</f>
        <v/>
      </c>
    </row>
    <row r="2216" spans="18:20">
      <c r="R2216" s="22" t="str">
        <f>IF(H2216="","",H2216&amp;I2216)</f>
        <v/>
      </c>
      <c r="S2216" s="22" t="str">
        <f>IF(C2216="","",C2216&amp;I2216)</f>
        <v/>
      </c>
      <c r="T2216" t="str">
        <f>IF(OR(C2216="",I2216&lt;&gt;"ENTRADA"),"",TEXT(B2216,"AAMMDD")&amp;"-"&amp;TEXT(VALUE(SUBSTITUTE(A2216,"MOV-","")),"000"))</f>
        <v/>
      </c>
    </row>
    <row r="2217" spans="18:20">
      <c r="R2217" s="22" t="str">
        <f>IF(H2217="","",H2217&amp;I2217)</f>
        <v/>
      </c>
      <c r="S2217" s="22" t="str">
        <f>IF(C2217="","",C2217&amp;I2217)</f>
        <v/>
      </c>
      <c r="T2217" t="str">
        <f>IF(OR(C2217="",I2217&lt;&gt;"ENTRADA"),"",TEXT(B2217,"AAMMDD")&amp;"-"&amp;TEXT(VALUE(SUBSTITUTE(A2217,"MOV-","")),"000"))</f>
        <v/>
      </c>
    </row>
    <row r="2218" spans="18:20">
      <c r="R2218" s="22" t="str">
        <f>IF(H2218="","",H2218&amp;I2218)</f>
        <v/>
      </c>
      <c r="S2218" s="22" t="str">
        <f>IF(C2218="","",C2218&amp;I2218)</f>
        <v/>
      </c>
      <c r="T2218" t="str">
        <f>IF(OR(C2218="",I2218&lt;&gt;"ENTRADA"),"",TEXT(B2218,"AAMMDD")&amp;"-"&amp;TEXT(VALUE(SUBSTITUTE(A2218,"MOV-","")),"000"))</f>
        <v/>
      </c>
    </row>
    <row r="2219" spans="18:20">
      <c r="R2219" s="22" t="str">
        <f>IF(H2219="","",H2219&amp;I2219)</f>
        <v/>
      </c>
      <c r="S2219" s="22" t="str">
        <f>IF(C2219="","",C2219&amp;I2219)</f>
        <v/>
      </c>
      <c r="T2219" t="str">
        <f>IF(OR(C2219="",I2219&lt;&gt;"ENTRADA"),"",TEXT(B2219,"AAMMDD")&amp;"-"&amp;TEXT(VALUE(SUBSTITUTE(A2219,"MOV-","")),"000"))</f>
        <v/>
      </c>
    </row>
    <row r="2220" spans="18:20">
      <c r="R2220" s="22" t="str">
        <f>IF(H2220="","",H2220&amp;I2220)</f>
        <v/>
      </c>
      <c r="S2220" s="22" t="str">
        <f>IF(C2220="","",C2220&amp;I2220)</f>
        <v/>
      </c>
      <c r="T2220" t="str">
        <f>IF(OR(C2220="",I2220&lt;&gt;"ENTRADA"),"",TEXT(B2220,"AAMMDD")&amp;"-"&amp;TEXT(VALUE(SUBSTITUTE(A2220,"MOV-","")),"000"))</f>
        <v/>
      </c>
    </row>
    <row r="2221" spans="18:20">
      <c r="R2221" s="22" t="str">
        <f>IF(H2221="","",H2221&amp;I2221)</f>
        <v/>
      </c>
      <c r="S2221" s="22" t="str">
        <f>IF(C2221="","",C2221&amp;I2221)</f>
        <v/>
      </c>
      <c r="T2221" t="str">
        <f>IF(OR(C2221="",I2221&lt;&gt;"ENTRADA"),"",TEXT(B2221,"AAMMDD")&amp;"-"&amp;TEXT(VALUE(SUBSTITUTE(A2221,"MOV-","")),"000"))</f>
        <v/>
      </c>
    </row>
    <row r="2222" spans="18:20">
      <c r="R2222" s="22" t="str">
        <f>IF(H2222="","",H2222&amp;I2222)</f>
        <v/>
      </c>
      <c r="S2222" s="22" t="str">
        <f>IF(C2222="","",C2222&amp;I2222)</f>
        <v/>
      </c>
      <c r="T2222" t="str">
        <f>IF(OR(C2222="",I2222&lt;&gt;"ENTRADA"),"",TEXT(B2222,"AAMMDD")&amp;"-"&amp;TEXT(VALUE(SUBSTITUTE(A2222,"MOV-","")),"000"))</f>
        <v/>
      </c>
    </row>
    <row r="2223" spans="18:20">
      <c r="R2223" s="22" t="str">
        <f>IF(H2223="","",H2223&amp;I2223)</f>
        <v/>
      </c>
      <c r="S2223" s="22" t="str">
        <f>IF(C2223="","",C2223&amp;I2223)</f>
        <v/>
      </c>
      <c r="T2223" t="str">
        <f>IF(OR(C2223="",I2223&lt;&gt;"ENTRADA"),"",TEXT(B2223,"AAMMDD")&amp;"-"&amp;TEXT(VALUE(SUBSTITUTE(A2223,"MOV-","")),"000"))</f>
        <v/>
      </c>
    </row>
    <row r="2224" spans="18:20">
      <c r="R2224" s="22" t="str">
        <f>IF(H2224="","",H2224&amp;I2224)</f>
        <v/>
      </c>
      <c r="S2224" s="22" t="str">
        <f>IF(C2224="","",C2224&amp;I2224)</f>
        <v/>
      </c>
      <c r="T2224" t="str">
        <f>IF(OR(C2224="",I2224&lt;&gt;"ENTRADA"),"",TEXT(B2224,"AAMMDD")&amp;"-"&amp;TEXT(VALUE(SUBSTITUTE(A2224,"MOV-","")),"000"))</f>
        <v/>
      </c>
    </row>
    <row r="2225" spans="18:20">
      <c r="R2225" s="22" t="str">
        <f>IF(H2225="","",H2225&amp;I2225)</f>
        <v/>
      </c>
      <c r="S2225" s="22" t="str">
        <f>IF(C2225="","",C2225&amp;I2225)</f>
        <v/>
      </c>
      <c r="T2225" t="str">
        <f>IF(OR(C2225="",I2225&lt;&gt;"ENTRADA"),"",TEXT(B2225,"AAMMDD")&amp;"-"&amp;TEXT(VALUE(SUBSTITUTE(A2225,"MOV-","")),"000"))</f>
        <v/>
      </c>
    </row>
    <row r="2226" spans="18:20">
      <c r="R2226" s="22" t="str">
        <f>IF(H2226="","",H2226&amp;I2226)</f>
        <v/>
      </c>
      <c r="S2226" s="22" t="str">
        <f>IF(C2226="","",C2226&amp;I2226)</f>
        <v/>
      </c>
      <c r="T2226" t="str">
        <f>IF(OR(C2226="",I2226&lt;&gt;"ENTRADA"),"",TEXT(B2226,"AAMMDD")&amp;"-"&amp;TEXT(VALUE(SUBSTITUTE(A2226,"MOV-","")),"000"))</f>
        <v/>
      </c>
    </row>
    <row r="2227" spans="18:20">
      <c r="R2227" s="22" t="str">
        <f>IF(H2227="","",H2227&amp;I2227)</f>
        <v/>
      </c>
      <c r="S2227" s="22" t="str">
        <f>IF(C2227="","",C2227&amp;I2227)</f>
        <v/>
      </c>
      <c r="T2227" t="str">
        <f>IF(OR(C2227="",I2227&lt;&gt;"ENTRADA"),"",TEXT(B2227,"AAMMDD")&amp;"-"&amp;TEXT(VALUE(SUBSTITUTE(A2227,"MOV-","")),"000"))</f>
        <v/>
      </c>
    </row>
    <row r="2228" spans="18:20">
      <c r="R2228" s="22" t="str">
        <f>IF(H2228="","",H2228&amp;I2228)</f>
        <v/>
      </c>
      <c r="S2228" s="22" t="str">
        <f>IF(C2228="","",C2228&amp;I2228)</f>
        <v/>
      </c>
      <c r="T2228" t="str">
        <f>IF(OR(C2228="",I2228&lt;&gt;"ENTRADA"),"",TEXT(B2228,"AAMMDD")&amp;"-"&amp;TEXT(VALUE(SUBSTITUTE(A2228,"MOV-","")),"000"))</f>
        <v/>
      </c>
    </row>
    <row r="2229" spans="18:20">
      <c r="R2229" s="22" t="str">
        <f>IF(H2229="","",H2229&amp;I2229)</f>
        <v/>
      </c>
      <c r="S2229" s="22" t="str">
        <f>IF(C2229="","",C2229&amp;I2229)</f>
        <v/>
      </c>
      <c r="T2229" t="str">
        <f>IF(OR(C2229="",I2229&lt;&gt;"ENTRADA"),"",TEXT(B2229,"AAMMDD")&amp;"-"&amp;TEXT(VALUE(SUBSTITUTE(A2229,"MOV-","")),"000"))</f>
        <v/>
      </c>
    </row>
    <row r="2230" spans="18:20">
      <c r="R2230" s="22" t="str">
        <f>IF(H2230="","",H2230&amp;I2230)</f>
        <v/>
      </c>
      <c r="S2230" s="22" t="str">
        <f>IF(C2230="","",C2230&amp;I2230)</f>
        <v/>
      </c>
      <c r="T2230" t="str">
        <f>IF(OR(C2230="",I2230&lt;&gt;"ENTRADA"),"",TEXT(B2230,"AAMMDD")&amp;"-"&amp;TEXT(VALUE(SUBSTITUTE(A2230,"MOV-","")),"000"))</f>
        <v/>
      </c>
    </row>
    <row r="2231" spans="18:20">
      <c r="R2231" s="22" t="str">
        <f>IF(H2231="","",H2231&amp;I2231)</f>
        <v/>
      </c>
      <c r="S2231" s="22" t="str">
        <f>IF(C2231="","",C2231&amp;I2231)</f>
        <v/>
      </c>
      <c r="T2231" t="str">
        <f>IF(OR(C2231="",I2231&lt;&gt;"ENTRADA"),"",TEXT(B2231,"AAMMDD")&amp;"-"&amp;TEXT(VALUE(SUBSTITUTE(A2231,"MOV-","")),"000"))</f>
        <v/>
      </c>
    </row>
    <row r="2232" spans="18:20">
      <c r="R2232" s="22" t="str">
        <f>IF(H2232="","",H2232&amp;I2232)</f>
        <v/>
      </c>
      <c r="S2232" s="22" t="str">
        <f>IF(C2232="","",C2232&amp;I2232)</f>
        <v/>
      </c>
      <c r="T2232" t="str">
        <f>IF(OR(C2232="",I2232&lt;&gt;"ENTRADA"),"",TEXT(B2232,"AAMMDD")&amp;"-"&amp;TEXT(VALUE(SUBSTITUTE(A2232,"MOV-","")),"000"))</f>
        <v/>
      </c>
    </row>
    <row r="2233" spans="18:20">
      <c r="R2233" s="22" t="str">
        <f>IF(H2233="","",H2233&amp;I2233)</f>
        <v/>
      </c>
      <c r="S2233" s="22" t="str">
        <f>IF(C2233="","",C2233&amp;I2233)</f>
        <v/>
      </c>
      <c r="T2233" t="str">
        <f>IF(OR(C2233="",I2233&lt;&gt;"ENTRADA"),"",TEXT(B2233,"AAMMDD")&amp;"-"&amp;TEXT(VALUE(SUBSTITUTE(A2233,"MOV-","")),"000"))</f>
        <v/>
      </c>
    </row>
    <row r="2234" spans="18:20">
      <c r="R2234" s="22" t="str">
        <f>IF(H2234="","",H2234&amp;I2234)</f>
        <v/>
      </c>
      <c r="S2234" s="22" t="str">
        <f>IF(C2234="","",C2234&amp;I2234)</f>
        <v/>
      </c>
      <c r="T2234" t="str">
        <f>IF(OR(C2234="",I2234&lt;&gt;"ENTRADA"),"",TEXT(B2234,"AAMMDD")&amp;"-"&amp;TEXT(VALUE(SUBSTITUTE(A2234,"MOV-","")),"000"))</f>
        <v/>
      </c>
    </row>
    <row r="2235" spans="18:20">
      <c r="R2235" s="22" t="str">
        <f>IF(H2235="","",H2235&amp;I2235)</f>
        <v/>
      </c>
      <c r="S2235" s="22" t="str">
        <f>IF(C2235="","",C2235&amp;I2235)</f>
        <v/>
      </c>
      <c r="T2235" t="str">
        <f>IF(OR(C2235="",I2235&lt;&gt;"ENTRADA"),"",TEXT(B2235,"AAMMDD")&amp;"-"&amp;TEXT(VALUE(SUBSTITUTE(A2235,"MOV-","")),"000"))</f>
        <v/>
      </c>
    </row>
    <row r="2236" spans="18:20">
      <c r="R2236" s="22" t="str">
        <f>IF(H2236="","",H2236&amp;I2236)</f>
        <v/>
      </c>
      <c r="S2236" s="22" t="str">
        <f>IF(C2236="","",C2236&amp;I2236)</f>
        <v/>
      </c>
      <c r="T2236" t="str">
        <f>IF(OR(C2236="",I2236&lt;&gt;"ENTRADA"),"",TEXT(B2236,"AAMMDD")&amp;"-"&amp;TEXT(VALUE(SUBSTITUTE(A2236,"MOV-","")),"000"))</f>
        <v/>
      </c>
    </row>
    <row r="2237" spans="18:20">
      <c r="R2237" s="22" t="str">
        <f>IF(H2237="","",H2237&amp;I2237)</f>
        <v/>
      </c>
      <c r="S2237" s="22" t="str">
        <f>IF(C2237="","",C2237&amp;I2237)</f>
        <v/>
      </c>
      <c r="T2237" t="str">
        <f>IF(OR(C2237="",I2237&lt;&gt;"ENTRADA"),"",TEXT(B2237,"AAMMDD")&amp;"-"&amp;TEXT(VALUE(SUBSTITUTE(A2237,"MOV-","")),"000"))</f>
        <v/>
      </c>
    </row>
    <row r="2238" spans="18:20">
      <c r="R2238" s="22" t="str">
        <f>IF(H2238="","",H2238&amp;I2238)</f>
        <v/>
      </c>
      <c r="S2238" s="22" t="str">
        <f>IF(C2238="","",C2238&amp;I2238)</f>
        <v/>
      </c>
      <c r="T2238" t="str">
        <f>IF(OR(C2238="",I2238&lt;&gt;"ENTRADA"),"",TEXT(B2238,"AAMMDD")&amp;"-"&amp;TEXT(VALUE(SUBSTITUTE(A2238,"MOV-","")),"000"))</f>
        <v/>
      </c>
    </row>
    <row r="2239" spans="18:20">
      <c r="R2239" s="22" t="str">
        <f>IF(H2239="","",H2239&amp;I2239)</f>
        <v/>
      </c>
      <c r="S2239" s="22" t="str">
        <f>IF(C2239="","",C2239&amp;I2239)</f>
        <v/>
      </c>
      <c r="T2239" t="str">
        <f>IF(OR(C2239="",I2239&lt;&gt;"ENTRADA"),"",TEXT(B2239,"AAMMDD")&amp;"-"&amp;TEXT(VALUE(SUBSTITUTE(A2239,"MOV-","")),"000"))</f>
        <v/>
      </c>
    </row>
    <row r="2240" spans="18:20">
      <c r="R2240" s="22" t="str">
        <f>IF(H2240="","",H2240&amp;I2240)</f>
        <v/>
      </c>
      <c r="S2240" s="22" t="str">
        <f>IF(C2240="","",C2240&amp;I2240)</f>
        <v/>
      </c>
      <c r="T2240" t="str">
        <f>IF(OR(C2240="",I2240&lt;&gt;"ENTRADA"),"",TEXT(B2240,"AAMMDD")&amp;"-"&amp;TEXT(VALUE(SUBSTITUTE(A2240,"MOV-","")),"000"))</f>
        <v/>
      </c>
    </row>
    <row r="2241" spans="18:20">
      <c r="R2241" s="22" t="str">
        <f>IF(H2241="","",H2241&amp;I2241)</f>
        <v/>
      </c>
      <c r="S2241" s="22" t="str">
        <f>IF(C2241="","",C2241&amp;I2241)</f>
        <v/>
      </c>
      <c r="T2241" t="str">
        <f>IF(OR(C2241="",I2241&lt;&gt;"ENTRADA"),"",TEXT(B2241,"AAMMDD")&amp;"-"&amp;TEXT(VALUE(SUBSTITUTE(A2241,"MOV-","")),"000"))</f>
        <v/>
      </c>
    </row>
    <row r="2242" spans="18:20">
      <c r="R2242" s="22" t="str">
        <f>IF(H2242="","",H2242&amp;I2242)</f>
        <v/>
      </c>
      <c r="S2242" s="22" t="str">
        <f>IF(C2242="","",C2242&amp;I2242)</f>
        <v/>
      </c>
      <c r="T2242" t="str">
        <f>IF(OR(C2242="",I2242&lt;&gt;"ENTRADA"),"",TEXT(B2242,"AAMMDD")&amp;"-"&amp;TEXT(VALUE(SUBSTITUTE(A2242,"MOV-","")),"000"))</f>
        <v/>
      </c>
    </row>
    <row r="2243" spans="18:20">
      <c r="R2243" s="22" t="str">
        <f>IF(H2243="","",H2243&amp;I2243)</f>
        <v/>
      </c>
      <c r="S2243" s="22" t="str">
        <f>IF(C2243="","",C2243&amp;I2243)</f>
        <v/>
      </c>
      <c r="T2243" t="str">
        <f>IF(OR(C2243="",I2243&lt;&gt;"ENTRADA"),"",TEXT(B2243,"AAMMDD")&amp;"-"&amp;TEXT(VALUE(SUBSTITUTE(A2243,"MOV-","")),"000"))</f>
        <v/>
      </c>
    </row>
    <row r="2244" spans="18:20">
      <c r="R2244" s="22" t="str">
        <f>IF(H2244="","",H2244&amp;I2244)</f>
        <v/>
      </c>
      <c r="S2244" s="22" t="str">
        <f>IF(C2244="","",C2244&amp;I2244)</f>
        <v/>
      </c>
      <c r="T2244" t="str">
        <f>IF(OR(C2244="",I2244&lt;&gt;"ENTRADA"),"",TEXT(B2244,"AAMMDD")&amp;"-"&amp;TEXT(VALUE(SUBSTITUTE(A2244,"MOV-","")),"000"))</f>
        <v/>
      </c>
    </row>
    <row r="2245" spans="18:20">
      <c r="R2245" s="22" t="str">
        <f>IF(H2245="","",H2245&amp;I2245)</f>
        <v/>
      </c>
      <c r="S2245" s="22" t="str">
        <f>IF(C2245="","",C2245&amp;I2245)</f>
        <v/>
      </c>
      <c r="T2245" t="str">
        <f>IF(OR(C2245="",I2245&lt;&gt;"ENTRADA"),"",TEXT(B2245,"AAMMDD")&amp;"-"&amp;TEXT(VALUE(SUBSTITUTE(A2245,"MOV-","")),"000"))</f>
        <v/>
      </c>
    </row>
    <row r="2246" spans="18:20">
      <c r="R2246" s="22" t="str">
        <f>IF(H2246="","",H2246&amp;I2246)</f>
        <v/>
      </c>
      <c r="S2246" s="22" t="str">
        <f>IF(C2246="","",C2246&amp;I2246)</f>
        <v/>
      </c>
      <c r="T2246" t="str">
        <f>IF(OR(C2246="",I2246&lt;&gt;"ENTRADA"),"",TEXT(B2246,"AAMMDD")&amp;"-"&amp;TEXT(VALUE(SUBSTITUTE(A2246,"MOV-","")),"000"))</f>
        <v/>
      </c>
    </row>
    <row r="2247" spans="18:20">
      <c r="R2247" s="22" t="str">
        <f>IF(H2247="","",H2247&amp;I2247)</f>
        <v/>
      </c>
      <c r="S2247" s="22" t="str">
        <f>IF(C2247="","",C2247&amp;I2247)</f>
        <v/>
      </c>
      <c r="T2247" t="str">
        <f>IF(OR(C2247="",I2247&lt;&gt;"ENTRADA"),"",TEXT(B2247,"AAMMDD")&amp;"-"&amp;TEXT(VALUE(SUBSTITUTE(A2247,"MOV-","")),"000"))</f>
        <v/>
      </c>
    </row>
    <row r="2248" spans="18:20">
      <c r="R2248" s="22" t="str">
        <f>IF(H2248="","",H2248&amp;I2248)</f>
        <v/>
      </c>
      <c r="S2248" s="22" t="str">
        <f>IF(C2248="","",C2248&amp;I2248)</f>
        <v/>
      </c>
      <c r="T2248" t="str">
        <f>IF(OR(C2248="",I2248&lt;&gt;"ENTRADA"),"",TEXT(B2248,"AAMMDD")&amp;"-"&amp;TEXT(VALUE(SUBSTITUTE(A2248,"MOV-","")),"000"))</f>
        <v/>
      </c>
    </row>
    <row r="2249" spans="18:20">
      <c r="R2249" s="22" t="str">
        <f>IF(H2249="","",H2249&amp;I2249)</f>
        <v/>
      </c>
      <c r="S2249" s="22" t="str">
        <f>IF(C2249="","",C2249&amp;I2249)</f>
        <v/>
      </c>
      <c r="T2249" t="str">
        <f>IF(OR(C2249="",I2249&lt;&gt;"ENTRADA"),"",TEXT(B2249,"AAMMDD")&amp;"-"&amp;TEXT(VALUE(SUBSTITUTE(A2249,"MOV-","")),"000"))</f>
        <v/>
      </c>
    </row>
    <row r="2250" spans="18:20">
      <c r="R2250" s="22" t="str">
        <f>IF(H2250="","",H2250&amp;I2250)</f>
        <v/>
      </c>
      <c r="S2250" s="22" t="str">
        <f>IF(C2250="","",C2250&amp;I2250)</f>
        <v/>
      </c>
      <c r="T2250" t="str">
        <f>IF(OR(C2250="",I2250&lt;&gt;"ENTRADA"),"",TEXT(B2250,"AAMMDD")&amp;"-"&amp;TEXT(VALUE(SUBSTITUTE(A2250,"MOV-","")),"000"))</f>
        <v/>
      </c>
    </row>
    <row r="2251" spans="18:20">
      <c r="R2251" s="22" t="str">
        <f>IF(H2251="","",H2251&amp;I2251)</f>
        <v/>
      </c>
      <c r="S2251" s="22" t="str">
        <f>IF(C2251="","",C2251&amp;I2251)</f>
        <v/>
      </c>
      <c r="T2251" t="str">
        <f>IF(OR(C2251="",I2251&lt;&gt;"ENTRADA"),"",TEXT(B2251,"AAMMDD")&amp;"-"&amp;TEXT(VALUE(SUBSTITUTE(A2251,"MOV-","")),"000"))</f>
        <v/>
      </c>
    </row>
    <row r="2252" spans="18:20">
      <c r="R2252" s="22" t="str">
        <f>IF(H2252="","",H2252&amp;I2252)</f>
        <v/>
      </c>
      <c r="S2252" s="22" t="str">
        <f>IF(C2252="","",C2252&amp;I2252)</f>
        <v/>
      </c>
      <c r="T2252" t="str">
        <f>IF(OR(C2252="",I2252&lt;&gt;"ENTRADA"),"",TEXT(B2252,"AAMMDD")&amp;"-"&amp;TEXT(VALUE(SUBSTITUTE(A2252,"MOV-","")),"000"))</f>
        <v/>
      </c>
    </row>
    <row r="2253" spans="18:20">
      <c r="R2253" s="22" t="str">
        <f>IF(H2253="","",H2253&amp;I2253)</f>
        <v/>
      </c>
      <c r="S2253" s="22" t="str">
        <f>IF(C2253="","",C2253&amp;I2253)</f>
        <v/>
      </c>
      <c r="T2253" t="str">
        <f>IF(OR(C2253="",I2253&lt;&gt;"ENTRADA"),"",TEXT(B2253,"AAMMDD")&amp;"-"&amp;TEXT(VALUE(SUBSTITUTE(A2253,"MOV-","")),"000"))</f>
        <v/>
      </c>
    </row>
    <row r="2254" spans="18:20">
      <c r="R2254" s="22" t="str">
        <f>IF(H2254="","",H2254&amp;I2254)</f>
        <v/>
      </c>
      <c r="S2254" s="22" t="str">
        <f>IF(C2254="","",C2254&amp;I2254)</f>
        <v/>
      </c>
      <c r="T2254" t="str">
        <f>IF(OR(C2254="",I2254&lt;&gt;"ENTRADA"),"",TEXT(B2254,"AAMMDD")&amp;"-"&amp;TEXT(VALUE(SUBSTITUTE(A2254,"MOV-","")),"000"))</f>
        <v/>
      </c>
    </row>
    <row r="2255" spans="18:20">
      <c r="R2255" s="22" t="str">
        <f>IF(H2255="","",H2255&amp;I2255)</f>
        <v/>
      </c>
      <c r="S2255" s="22" t="str">
        <f>IF(C2255="","",C2255&amp;I2255)</f>
        <v/>
      </c>
      <c r="T2255" t="str">
        <f>IF(OR(C2255="",I2255&lt;&gt;"ENTRADA"),"",TEXT(B2255,"AAMMDD")&amp;"-"&amp;TEXT(VALUE(SUBSTITUTE(A2255,"MOV-","")),"000"))</f>
        <v/>
      </c>
    </row>
    <row r="2256" spans="18:20">
      <c r="R2256" s="22" t="str">
        <f>IF(H2256="","",H2256&amp;I2256)</f>
        <v/>
      </c>
      <c r="S2256" s="22" t="str">
        <f>IF(C2256="","",C2256&amp;I2256)</f>
        <v/>
      </c>
      <c r="T2256" t="str">
        <f>IF(OR(C2256="",I2256&lt;&gt;"ENTRADA"),"",TEXT(B2256,"AAMMDD")&amp;"-"&amp;TEXT(VALUE(SUBSTITUTE(A2256,"MOV-","")),"000"))</f>
        <v/>
      </c>
    </row>
    <row r="2257" spans="18:20">
      <c r="R2257" s="22" t="str">
        <f>IF(H2257="","",H2257&amp;I2257)</f>
        <v/>
      </c>
      <c r="S2257" s="22" t="str">
        <f>IF(C2257="","",C2257&amp;I2257)</f>
        <v/>
      </c>
      <c r="T2257" t="str">
        <f>IF(OR(C2257="",I2257&lt;&gt;"ENTRADA"),"",TEXT(B2257,"AAMMDD")&amp;"-"&amp;TEXT(VALUE(SUBSTITUTE(A2257,"MOV-","")),"000"))</f>
        <v/>
      </c>
    </row>
    <row r="2258" spans="18:20">
      <c r="R2258" s="22" t="str">
        <f>IF(H2258="","",H2258&amp;I2258)</f>
        <v/>
      </c>
      <c r="S2258" s="22" t="str">
        <f>IF(C2258="","",C2258&amp;I2258)</f>
        <v/>
      </c>
      <c r="T2258" t="str">
        <f>IF(OR(C2258="",I2258&lt;&gt;"ENTRADA"),"",TEXT(B2258,"AAMMDD")&amp;"-"&amp;TEXT(VALUE(SUBSTITUTE(A2258,"MOV-","")),"000"))</f>
        <v/>
      </c>
    </row>
    <row r="2259" spans="18:20">
      <c r="R2259" s="22" t="str">
        <f>IF(H2259="","",H2259&amp;I2259)</f>
        <v/>
      </c>
      <c r="S2259" s="22" t="str">
        <f>IF(C2259="","",C2259&amp;I2259)</f>
        <v/>
      </c>
      <c r="T2259" t="str">
        <f>IF(OR(C2259="",I2259&lt;&gt;"ENTRADA"),"",TEXT(B2259,"AAMMDD")&amp;"-"&amp;TEXT(VALUE(SUBSTITUTE(A2259,"MOV-","")),"000"))</f>
        <v/>
      </c>
    </row>
    <row r="2260" spans="18:20">
      <c r="R2260" s="22" t="str">
        <f>IF(H2260="","",H2260&amp;I2260)</f>
        <v/>
      </c>
      <c r="S2260" s="22" t="str">
        <f>IF(C2260="","",C2260&amp;I2260)</f>
        <v/>
      </c>
      <c r="T2260" t="str">
        <f>IF(OR(C2260="",I2260&lt;&gt;"ENTRADA"),"",TEXT(B2260,"AAMMDD")&amp;"-"&amp;TEXT(VALUE(SUBSTITUTE(A2260,"MOV-","")),"000"))</f>
        <v/>
      </c>
    </row>
    <row r="2261" spans="18:20">
      <c r="R2261" s="22" t="str">
        <f>IF(H2261="","",H2261&amp;I2261)</f>
        <v/>
      </c>
      <c r="S2261" s="22" t="str">
        <f>IF(C2261="","",C2261&amp;I2261)</f>
        <v/>
      </c>
      <c r="T2261" t="str">
        <f>IF(OR(C2261="",I2261&lt;&gt;"ENTRADA"),"",TEXT(B2261,"AAMMDD")&amp;"-"&amp;TEXT(VALUE(SUBSTITUTE(A2261,"MOV-","")),"000"))</f>
        <v/>
      </c>
    </row>
    <row r="2262" spans="18:20">
      <c r="R2262" s="22" t="str">
        <f>IF(H2262="","",H2262&amp;I2262)</f>
        <v/>
      </c>
      <c r="S2262" s="22" t="str">
        <f>IF(C2262="","",C2262&amp;I2262)</f>
        <v/>
      </c>
      <c r="T2262" t="str">
        <f>IF(OR(C2262="",I2262&lt;&gt;"ENTRADA"),"",TEXT(B2262,"AAMMDD")&amp;"-"&amp;TEXT(VALUE(SUBSTITUTE(A2262,"MOV-","")),"000"))</f>
        <v/>
      </c>
    </row>
    <row r="2263" spans="18:20">
      <c r="R2263" s="22" t="str">
        <f>IF(H2263="","",H2263&amp;I2263)</f>
        <v/>
      </c>
      <c r="S2263" s="22" t="str">
        <f>IF(C2263="","",C2263&amp;I2263)</f>
        <v/>
      </c>
      <c r="T2263" t="str">
        <f>IF(OR(C2263="",I2263&lt;&gt;"ENTRADA"),"",TEXT(B2263,"AAMMDD")&amp;"-"&amp;TEXT(VALUE(SUBSTITUTE(A2263,"MOV-","")),"000"))</f>
        <v/>
      </c>
    </row>
    <row r="2264" spans="18:20">
      <c r="R2264" s="22" t="str">
        <f>IF(H2264="","",H2264&amp;I2264)</f>
        <v/>
      </c>
      <c r="S2264" s="22" t="str">
        <f>IF(C2264="","",C2264&amp;I2264)</f>
        <v/>
      </c>
      <c r="T2264" t="str">
        <f>IF(OR(C2264="",I2264&lt;&gt;"ENTRADA"),"",TEXT(B2264,"AAMMDD")&amp;"-"&amp;TEXT(VALUE(SUBSTITUTE(A2264,"MOV-","")),"000"))</f>
        <v/>
      </c>
    </row>
    <row r="2265" spans="18:20">
      <c r="R2265" s="22" t="str">
        <f>IF(H2265="","",H2265&amp;I2265)</f>
        <v/>
      </c>
      <c r="S2265" s="22" t="str">
        <f>IF(C2265="","",C2265&amp;I2265)</f>
        <v/>
      </c>
      <c r="T2265" t="str">
        <f>IF(OR(C2265="",I2265&lt;&gt;"ENTRADA"),"",TEXT(B2265,"AAMMDD")&amp;"-"&amp;TEXT(VALUE(SUBSTITUTE(A2265,"MOV-","")),"000"))</f>
        <v/>
      </c>
    </row>
    <row r="2266" spans="18:20">
      <c r="R2266" s="22" t="str">
        <f>IF(H2266="","",H2266&amp;I2266)</f>
        <v/>
      </c>
      <c r="S2266" s="22" t="str">
        <f>IF(C2266="","",C2266&amp;I2266)</f>
        <v/>
      </c>
      <c r="T2266" t="str">
        <f>IF(OR(C2266="",I2266&lt;&gt;"ENTRADA"),"",TEXT(B2266,"AAMMDD")&amp;"-"&amp;TEXT(VALUE(SUBSTITUTE(A2266,"MOV-","")),"000"))</f>
        <v/>
      </c>
    </row>
    <row r="2267" spans="18:20">
      <c r="R2267" s="22" t="str">
        <f>IF(H2267="","",H2267&amp;I2267)</f>
        <v/>
      </c>
      <c r="S2267" s="22" t="str">
        <f>IF(C2267="","",C2267&amp;I2267)</f>
        <v/>
      </c>
      <c r="T2267" t="str">
        <f>IF(OR(C2267="",I2267&lt;&gt;"ENTRADA"),"",TEXT(B2267,"AAMMDD")&amp;"-"&amp;TEXT(VALUE(SUBSTITUTE(A2267,"MOV-","")),"000"))</f>
        <v/>
      </c>
    </row>
    <row r="2268" spans="18:20">
      <c r="R2268" s="22" t="str">
        <f>IF(H2268="","",H2268&amp;I2268)</f>
        <v/>
      </c>
      <c r="S2268" s="22" t="str">
        <f>IF(C2268="","",C2268&amp;I2268)</f>
        <v/>
      </c>
      <c r="T2268" t="str">
        <f>IF(OR(C2268="",I2268&lt;&gt;"ENTRADA"),"",TEXT(B2268,"AAMMDD")&amp;"-"&amp;TEXT(VALUE(SUBSTITUTE(A2268,"MOV-","")),"000"))</f>
        <v/>
      </c>
    </row>
    <row r="2269" spans="18:20">
      <c r="R2269" s="22" t="str">
        <f>IF(H2269="","",H2269&amp;I2269)</f>
        <v/>
      </c>
      <c r="S2269" s="22" t="str">
        <f>IF(C2269="","",C2269&amp;I2269)</f>
        <v/>
      </c>
      <c r="T2269" t="str">
        <f>IF(OR(C2269="",I2269&lt;&gt;"ENTRADA"),"",TEXT(B2269,"AAMMDD")&amp;"-"&amp;TEXT(VALUE(SUBSTITUTE(A2269,"MOV-","")),"000"))</f>
        <v/>
      </c>
    </row>
    <row r="2270" spans="18:20">
      <c r="R2270" s="22" t="str">
        <f>IF(H2270="","",H2270&amp;I2270)</f>
        <v/>
      </c>
      <c r="S2270" s="22" t="str">
        <f>IF(C2270="","",C2270&amp;I2270)</f>
        <v/>
      </c>
      <c r="T2270" t="str">
        <f>IF(OR(C2270="",I2270&lt;&gt;"ENTRADA"),"",TEXT(B2270,"AAMMDD")&amp;"-"&amp;TEXT(VALUE(SUBSTITUTE(A2270,"MOV-","")),"000"))</f>
        <v/>
      </c>
    </row>
    <row r="2271" spans="18:20">
      <c r="R2271" s="22" t="str">
        <f>IF(H2271="","",H2271&amp;I2271)</f>
        <v/>
      </c>
      <c r="S2271" s="22" t="str">
        <f>IF(C2271="","",C2271&amp;I2271)</f>
        <v/>
      </c>
      <c r="T2271" t="str">
        <f>IF(OR(C2271="",I2271&lt;&gt;"ENTRADA"),"",TEXT(B2271,"AAMMDD")&amp;"-"&amp;TEXT(VALUE(SUBSTITUTE(A2271,"MOV-","")),"000"))</f>
        <v/>
      </c>
    </row>
    <row r="2272" spans="18:20">
      <c r="R2272" s="22" t="str">
        <f>IF(H2272="","",H2272&amp;I2272)</f>
        <v/>
      </c>
      <c r="S2272" s="22" t="str">
        <f>IF(C2272="","",C2272&amp;I2272)</f>
        <v/>
      </c>
      <c r="T2272" t="str">
        <f>IF(OR(C2272="",I2272&lt;&gt;"ENTRADA"),"",TEXT(B2272,"AAMMDD")&amp;"-"&amp;TEXT(VALUE(SUBSTITUTE(A2272,"MOV-","")),"000"))</f>
        <v/>
      </c>
    </row>
    <row r="2273" spans="18:20">
      <c r="R2273" s="22" t="str">
        <f>IF(H2273="","",H2273&amp;I2273)</f>
        <v/>
      </c>
      <c r="S2273" s="22" t="str">
        <f>IF(C2273="","",C2273&amp;I2273)</f>
        <v/>
      </c>
      <c r="T2273" t="str">
        <f>IF(OR(C2273="",I2273&lt;&gt;"ENTRADA"),"",TEXT(B2273,"AAMMDD")&amp;"-"&amp;TEXT(VALUE(SUBSTITUTE(A2273,"MOV-","")),"000"))</f>
        <v/>
      </c>
    </row>
    <row r="2274" spans="18:20">
      <c r="R2274" s="22" t="str">
        <f>IF(H2274="","",H2274&amp;I2274)</f>
        <v/>
      </c>
      <c r="S2274" s="22" t="str">
        <f>IF(C2274="","",C2274&amp;I2274)</f>
        <v/>
      </c>
      <c r="T2274" t="str">
        <f>IF(OR(C2274="",I2274&lt;&gt;"ENTRADA"),"",TEXT(B2274,"AAMMDD")&amp;"-"&amp;TEXT(VALUE(SUBSTITUTE(A2274,"MOV-","")),"000"))</f>
        <v/>
      </c>
    </row>
    <row r="2275" spans="18:20">
      <c r="R2275" s="22" t="str">
        <f>IF(H2275="","",H2275&amp;I2275)</f>
        <v/>
      </c>
      <c r="S2275" s="22" t="str">
        <f>IF(C2275="","",C2275&amp;I2275)</f>
        <v/>
      </c>
      <c r="T2275" t="str">
        <f>IF(OR(C2275="",I2275&lt;&gt;"ENTRADA"),"",TEXT(B2275,"AAMMDD")&amp;"-"&amp;TEXT(VALUE(SUBSTITUTE(A2275,"MOV-","")),"000"))</f>
        <v/>
      </c>
    </row>
    <row r="2276" spans="18:20">
      <c r="R2276" s="22" t="str">
        <f>IF(H2276="","",H2276&amp;I2276)</f>
        <v/>
      </c>
      <c r="S2276" s="22" t="str">
        <f>IF(C2276="","",C2276&amp;I2276)</f>
        <v/>
      </c>
      <c r="T2276" t="str">
        <f>IF(OR(C2276="",I2276&lt;&gt;"ENTRADA"),"",TEXT(B2276,"AAMMDD")&amp;"-"&amp;TEXT(VALUE(SUBSTITUTE(A2276,"MOV-","")),"000"))</f>
        <v/>
      </c>
    </row>
    <row r="2277" spans="18:20">
      <c r="R2277" s="22" t="str">
        <f>IF(H2277="","",H2277&amp;I2277)</f>
        <v/>
      </c>
      <c r="S2277" s="22" t="str">
        <f>IF(C2277="","",C2277&amp;I2277)</f>
        <v/>
      </c>
      <c r="T2277" t="str">
        <f>IF(OR(C2277="",I2277&lt;&gt;"ENTRADA"),"",TEXT(B2277,"AAMMDD")&amp;"-"&amp;TEXT(VALUE(SUBSTITUTE(A2277,"MOV-","")),"000"))</f>
        <v/>
      </c>
    </row>
    <row r="2278" spans="18:20">
      <c r="R2278" s="22" t="str">
        <f>IF(H2278="","",H2278&amp;I2278)</f>
        <v/>
      </c>
      <c r="S2278" s="22" t="str">
        <f>IF(C2278="","",C2278&amp;I2278)</f>
        <v/>
      </c>
      <c r="T2278" t="str">
        <f>IF(OR(C2278="",I2278&lt;&gt;"ENTRADA"),"",TEXT(B2278,"AAMMDD")&amp;"-"&amp;TEXT(VALUE(SUBSTITUTE(A2278,"MOV-","")),"000"))</f>
        <v/>
      </c>
    </row>
    <row r="2279" spans="18:20">
      <c r="R2279" s="22" t="str">
        <f>IF(H2279="","",H2279&amp;I2279)</f>
        <v/>
      </c>
      <c r="S2279" s="22" t="str">
        <f>IF(C2279="","",C2279&amp;I2279)</f>
        <v/>
      </c>
      <c r="T2279" t="str">
        <f>IF(OR(C2279="",I2279&lt;&gt;"ENTRADA"),"",TEXT(B2279,"AAMMDD")&amp;"-"&amp;TEXT(VALUE(SUBSTITUTE(A2279,"MOV-","")),"000"))</f>
        <v/>
      </c>
    </row>
    <row r="2280" spans="18:20">
      <c r="R2280" s="22" t="str">
        <f>IF(H2280="","",H2280&amp;I2280)</f>
        <v/>
      </c>
      <c r="S2280" s="22" t="str">
        <f>IF(C2280="","",C2280&amp;I2280)</f>
        <v/>
      </c>
      <c r="T2280" t="str">
        <f>IF(OR(C2280="",I2280&lt;&gt;"ENTRADA"),"",TEXT(B2280,"AAMMDD")&amp;"-"&amp;TEXT(VALUE(SUBSTITUTE(A2280,"MOV-","")),"000"))</f>
        <v/>
      </c>
    </row>
    <row r="2281" spans="18:20">
      <c r="R2281" s="22" t="str">
        <f>IF(H2281="","",H2281&amp;I2281)</f>
        <v/>
      </c>
      <c r="S2281" s="22" t="str">
        <f>IF(C2281="","",C2281&amp;I2281)</f>
        <v/>
      </c>
      <c r="T2281" t="str">
        <f>IF(OR(C2281="",I2281&lt;&gt;"ENTRADA"),"",TEXT(B2281,"AAMMDD")&amp;"-"&amp;TEXT(VALUE(SUBSTITUTE(A2281,"MOV-","")),"000"))</f>
        <v/>
      </c>
    </row>
    <row r="2282" spans="18:20">
      <c r="R2282" s="22" t="str">
        <f>IF(H2282="","",H2282&amp;I2282)</f>
        <v/>
      </c>
      <c r="S2282" s="22" t="str">
        <f>IF(C2282="","",C2282&amp;I2282)</f>
        <v/>
      </c>
      <c r="T2282" t="str">
        <f>IF(OR(C2282="",I2282&lt;&gt;"ENTRADA"),"",TEXT(B2282,"AAMMDD")&amp;"-"&amp;TEXT(VALUE(SUBSTITUTE(A2282,"MOV-","")),"000"))</f>
        <v/>
      </c>
    </row>
    <row r="2283" spans="18:20">
      <c r="R2283" s="22" t="str">
        <f>IF(H2283="","",H2283&amp;I2283)</f>
        <v/>
      </c>
      <c r="S2283" s="22" t="str">
        <f>IF(C2283="","",C2283&amp;I2283)</f>
        <v/>
      </c>
      <c r="T2283" t="str">
        <f>IF(OR(C2283="",I2283&lt;&gt;"ENTRADA"),"",TEXT(B2283,"AAMMDD")&amp;"-"&amp;TEXT(VALUE(SUBSTITUTE(A2283,"MOV-","")),"000"))</f>
        <v/>
      </c>
    </row>
    <row r="2284" spans="18:20">
      <c r="R2284" s="22" t="str">
        <f>IF(H2284="","",H2284&amp;I2284)</f>
        <v/>
      </c>
      <c r="S2284" s="22" t="str">
        <f>IF(C2284="","",C2284&amp;I2284)</f>
        <v/>
      </c>
      <c r="T2284" t="str">
        <f>IF(OR(C2284="",I2284&lt;&gt;"ENTRADA"),"",TEXT(B2284,"AAMMDD")&amp;"-"&amp;TEXT(VALUE(SUBSTITUTE(A2284,"MOV-","")),"000"))</f>
        <v/>
      </c>
    </row>
    <row r="2285" spans="18:20">
      <c r="R2285" s="22" t="str">
        <f>IF(H2285="","",H2285&amp;I2285)</f>
        <v/>
      </c>
      <c r="S2285" s="22" t="str">
        <f>IF(C2285="","",C2285&amp;I2285)</f>
        <v/>
      </c>
      <c r="T2285" t="str">
        <f>IF(OR(C2285="",I2285&lt;&gt;"ENTRADA"),"",TEXT(B2285,"AAMMDD")&amp;"-"&amp;TEXT(VALUE(SUBSTITUTE(A2285,"MOV-","")),"000"))</f>
        <v/>
      </c>
    </row>
    <row r="2286" spans="18:20">
      <c r="R2286" s="22" t="str">
        <f>IF(H2286="","",H2286&amp;I2286)</f>
        <v/>
      </c>
      <c r="S2286" s="22" t="str">
        <f>IF(C2286="","",C2286&amp;I2286)</f>
        <v/>
      </c>
      <c r="T2286" t="str">
        <f>IF(OR(C2286="",I2286&lt;&gt;"ENTRADA"),"",TEXT(B2286,"AAMMDD")&amp;"-"&amp;TEXT(VALUE(SUBSTITUTE(A2286,"MOV-","")),"000"))</f>
        <v/>
      </c>
    </row>
    <row r="2287" spans="18:20">
      <c r="R2287" s="22" t="str">
        <f>IF(H2287="","",H2287&amp;I2287)</f>
        <v/>
      </c>
      <c r="S2287" s="22" t="str">
        <f>IF(C2287="","",C2287&amp;I2287)</f>
        <v/>
      </c>
      <c r="T2287" t="str">
        <f>IF(OR(C2287="",I2287&lt;&gt;"ENTRADA"),"",TEXT(B2287,"AAMMDD")&amp;"-"&amp;TEXT(VALUE(SUBSTITUTE(A2287,"MOV-","")),"000"))</f>
        <v/>
      </c>
    </row>
    <row r="2288" spans="18:20">
      <c r="R2288" s="22" t="str">
        <f>IF(H2288="","",H2288&amp;I2288)</f>
        <v/>
      </c>
      <c r="S2288" s="22" t="str">
        <f>IF(C2288="","",C2288&amp;I2288)</f>
        <v/>
      </c>
      <c r="T2288" t="str">
        <f>IF(OR(C2288="",I2288&lt;&gt;"ENTRADA"),"",TEXT(B2288,"AAMMDD")&amp;"-"&amp;TEXT(VALUE(SUBSTITUTE(A2288,"MOV-","")),"000"))</f>
        <v/>
      </c>
    </row>
    <row r="2289" spans="18:20">
      <c r="R2289" s="22" t="str">
        <f>IF(H2289="","",H2289&amp;I2289)</f>
        <v/>
      </c>
      <c r="S2289" s="22" t="str">
        <f>IF(C2289="","",C2289&amp;I2289)</f>
        <v/>
      </c>
      <c r="T2289" t="str">
        <f>IF(OR(C2289="",I2289&lt;&gt;"ENTRADA"),"",TEXT(B2289,"AAMMDD")&amp;"-"&amp;TEXT(VALUE(SUBSTITUTE(A2289,"MOV-","")),"000"))</f>
        <v/>
      </c>
    </row>
    <row r="2290" spans="18:20">
      <c r="R2290" s="22" t="str">
        <f>IF(H2290="","",H2290&amp;I2290)</f>
        <v/>
      </c>
      <c r="S2290" s="22" t="str">
        <f>IF(C2290="","",C2290&amp;I2290)</f>
        <v/>
      </c>
      <c r="T2290" t="str">
        <f>IF(OR(C2290="",I2290&lt;&gt;"ENTRADA"),"",TEXT(B2290,"AAMMDD")&amp;"-"&amp;TEXT(VALUE(SUBSTITUTE(A2290,"MOV-","")),"000"))</f>
        <v/>
      </c>
    </row>
    <row r="2291" spans="18:20">
      <c r="R2291" s="22" t="str">
        <f>IF(H2291="","",H2291&amp;I2291)</f>
        <v/>
      </c>
      <c r="S2291" s="22" t="str">
        <f>IF(C2291="","",C2291&amp;I2291)</f>
        <v/>
      </c>
      <c r="T2291" t="str">
        <f>IF(OR(C2291="",I2291&lt;&gt;"ENTRADA"),"",TEXT(B2291,"AAMMDD")&amp;"-"&amp;TEXT(VALUE(SUBSTITUTE(A2291,"MOV-","")),"000"))</f>
        <v/>
      </c>
    </row>
    <row r="2292" spans="18:20">
      <c r="R2292" s="22" t="str">
        <f>IF(H2292="","",H2292&amp;I2292)</f>
        <v/>
      </c>
      <c r="S2292" s="22" t="str">
        <f>IF(C2292="","",C2292&amp;I2292)</f>
        <v/>
      </c>
      <c r="T2292" t="str">
        <f>IF(OR(C2292="",I2292&lt;&gt;"ENTRADA"),"",TEXT(B2292,"AAMMDD")&amp;"-"&amp;TEXT(VALUE(SUBSTITUTE(A2292,"MOV-","")),"000"))</f>
        <v/>
      </c>
    </row>
    <row r="2293" spans="18:20">
      <c r="R2293" s="22" t="str">
        <f>IF(H2293="","",H2293&amp;I2293)</f>
        <v/>
      </c>
      <c r="S2293" s="22" t="str">
        <f>IF(C2293="","",C2293&amp;I2293)</f>
        <v/>
      </c>
      <c r="T2293" t="str">
        <f>IF(OR(C2293="",I2293&lt;&gt;"ENTRADA"),"",TEXT(B2293,"AAMMDD")&amp;"-"&amp;TEXT(VALUE(SUBSTITUTE(A2293,"MOV-","")),"000"))</f>
        <v/>
      </c>
    </row>
    <row r="2294" spans="18:20">
      <c r="R2294" s="22" t="str">
        <f>IF(H2294="","",H2294&amp;I2294)</f>
        <v/>
      </c>
      <c r="S2294" s="22" t="str">
        <f>IF(C2294="","",C2294&amp;I2294)</f>
        <v/>
      </c>
      <c r="T2294" t="str">
        <f>IF(OR(C2294="",I2294&lt;&gt;"ENTRADA"),"",TEXT(B2294,"AAMMDD")&amp;"-"&amp;TEXT(VALUE(SUBSTITUTE(A2294,"MOV-","")),"000"))</f>
        <v/>
      </c>
    </row>
    <row r="2295" spans="18:20">
      <c r="R2295" s="22" t="str">
        <f>IF(H2295="","",H2295&amp;I2295)</f>
        <v/>
      </c>
      <c r="S2295" s="22" t="str">
        <f>IF(C2295="","",C2295&amp;I2295)</f>
        <v/>
      </c>
      <c r="T2295" t="str">
        <f>IF(OR(C2295="",I2295&lt;&gt;"ENTRADA"),"",TEXT(B2295,"AAMMDD")&amp;"-"&amp;TEXT(VALUE(SUBSTITUTE(A2295,"MOV-","")),"000"))</f>
        <v/>
      </c>
    </row>
    <row r="2296" spans="18:20">
      <c r="R2296" s="22" t="str">
        <f>IF(H2296="","",H2296&amp;I2296)</f>
        <v/>
      </c>
      <c r="S2296" s="22" t="str">
        <f>IF(C2296="","",C2296&amp;I2296)</f>
        <v/>
      </c>
      <c r="T2296" t="str">
        <f>IF(OR(C2296="",I2296&lt;&gt;"ENTRADA"),"",TEXT(B2296,"AAMMDD")&amp;"-"&amp;TEXT(VALUE(SUBSTITUTE(A2296,"MOV-","")),"000"))</f>
        <v/>
      </c>
    </row>
    <row r="2297" spans="18:20">
      <c r="R2297" s="22" t="str">
        <f>IF(H2297="","",H2297&amp;I2297)</f>
        <v/>
      </c>
      <c r="S2297" s="22" t="str">
        <f>IF(C2297="","",C2297&amp;I2297)</f>
        <v/>
      </c>
      <c r="T2297" t="str">
        <f>IF(OR(C2297="",I2297&lt;&gt;"ENTRADA"),"",TEXT(B2297,"AAMMDD")&amp;"-"&amp;TEXT(VALUE(SUBSTITUTE(A2297,"MOV-","")),"000"))</f>
        <v/>
      </c>
    </row>
    <row r="2298" spans="18:20">
      <c r="R2298" s="22" t="str">
        <f>IF(H2298="","",H2298&amp;I2298)</f>
        <v/>
      </c>
      <c r="S2298" s="22" t="str">
        <f>IF(C2298="","",C2298&amp;I2298)</f>
        <v/>
      </c>
      <c r="T2298" t="str">
        <f>IF(OR(C2298="",I2298&lt;&gt;"ENTRADA"),"",TEXT(B2298,"AAMMDD")&amp;"-"&amp;TEXT(VALUE(SUBSTITUTE(A2298,"MOV-","")),"000"))</f>
        <v/>
      </c>
    </row>
    <row r="2299" spans="18:20">
      <c r="R2299" s="22" t="str">
        <f>IF(H2299="","",H2299&amp;I2299)</f>
        <v/>
      </c>
      <c r="S2299" s="22" t="str">
        <f>IF(C2299="","",C2299&amp;I2299)</f>
        <v/>
      </c>
      <c r="T2299" t="str">
        <f>IF(OR(C2299="",I2299&lt;&gt;"ENTRADA"),"",TEXT(B2299,"AAMMDD")&amp;"-"&amp;TEXT(VALUE(SUBSTITUTE(A2299,"MOV-","")),"000"))</f>
        <v/>
      </c>
    </row>
    <row r="2300" spans="18:20">
      <c r="R2300" s="22" t="str">
        <f>IF(H2300="","",H2300&amp;I2300)</f>
        <v/>
      </c>
      <c r="S2300" s="22" t="str">
        <f>IF(C2300="","",C2300&amp;I2300)</f>
        <v/>
      </c>
      <c r="T2300" t="str">
        <f>IF(OR(C2300="",I2300&lt;&gt;"ENTRADA"),"",TEXT(B2300,"AAMMDD")&amp;"-"&amp;TEXT(VALUE(SUBSTITUTE(A2300,"MOV-","")),"000"))</f>
        <v/>
      </c>
    </row>
    <row r="2301" spans="18:20">
      <c r="R2301" s="22" t="str">
        <f>IF(H2301="","",H2301&amp;I2301)</f>
        <v/>
      </c>
      <c r="S2301" s="22" t="str">
        <f>IF(C2301="","",C2301&amp;I2301)</f>
        <v/>
      </c>
      <c r="T2301" t="str">
        <f>IF(OR(C2301="",I2301&lt;&gt;"ENTRADA"),"",TEXT(B2301,"AAMMDD")&amp;"-"&amp;TEXT(VALUE(SUBSTITUTE(A2301,"MOV-","")),"000"))</f>
        <v/>
      </c>
    </row>
    <row r="2302" spans="18:20">
      <c r="R2302" s="22" t="str">
        <f>IF(H2302="","",H2302&amp;I2302)</f>
        <v/>
      </c>
      <c r="S2302" s="22" t="str">
        <f>IF(C2302="","",C2302&amp;I2302)</f>
        <v/>
      </c>
      <c r="T2302" t="str">
        <f>IF(OR(C2302="",I2302&lt;&gt;"ENTRADA"),"",TEXT(B2302,"AAMMDD")&amp;"-"&amp;TEXT(VALUE(SUBSTITUTE(A2302,"MOV-","")),"000"))</f>
        <v/>
      </c>
    </row>
    <row r="2303" spans="18:20">
      <c r="R2303" s="22" t="str">
        <f>IF(H2303="","",H2303&amp;I2303)</f>
        <v/>
      </c>
      <c r="S2303" s="22" t="str">
        <f>IF(C2303="","",C2303&amp;I2303)</f>
        <v/>
      </c>
      <c r="T2303" t="str">
        <f>IF(OR(C2303="",I2303&lt;&gt;"ENTRADA"),"",TEXT(B2303,"AAMMDD")&amp;"-"&amp;TEXT(VALUE(SUBSTITUTE(A2303,"MOV-","")),"000"))</f>
        <v/>
      </c>
    </row>
    <row r="2304" spans="18:20">
      <c r="R2304" s="22" t="str">
        <f>IF(H2304="","",H2304&amp;I2304)</f>
        <v/>
      </c>
      <c r="S2304" s="22" t="str">
        <f>IF(C2304="","",C2304&amp;I2304)</f>
        <v/>
      </c>
      <c r="T2304" t="str">
        <f>IF(OR(C2304="",I2304&lt;&gt;"ENTRADA"),"",TEXT(B2304,"AAMMDD")&amp;"-"&amp;TEXT(VALUE(SUBSTITUTE(A2304,"MOV-","")),"000"))</f>
        <v/>
      </c>
    </row>
    <row r="2305" spans="18:20">
      <c r="R2305" s="22" t="str">
        <f>IF(H2305="","",H2305&amp;I2305)</f>
        <v/>
      </c>
      <c r="S2305" s="22" t="str">
        <f>IF(C2305="","",C2305&amp;I2305)</f>
        <v/>
      </c>
      <c r="T2305" t="str">
        <f>IF(OR(C2305="",I2305&lt;&gt;"ENTRADA"),"",TEXT(B2305,"AAMMDD")&amp;"-"&amp;TEXT(VALUE(SUBSTITUTE(A2305,"MOV-","")),"000"))</f>
        <v/>
      </c>
    </row>
    <row r="2306" spans="18:20">
      <c r="R2306" s="22" t="str">
        <f>IF(H2306="","",H2306&amp;I2306)</f>
        <v/>
      </c>
      <c r="S2306" s="22" t="str">
        <f>IF(C2306="","",C2306&amp;I2306)</f>
        <v/>
      </c>
      <c r="T2306" t="str">
        <f>IF(OR(C2306="",I2306&lt;&gt;"ENTRADA"),"",TEXT(B2306,"AAMMDD")&amp;"-"&amp;TEXT(VALUE(SUBSTITUTE(A2306,"MOV-","")),"000"))</f>
        <v/>
      </c>
    </row>
    <row r="2307" spans="18:20">
      <c r="R2307" s="22" t="str">
        <f>IF(H2307="","",H2307&amp;I2307)</f>
        <v/>
      </c>
      <c r="S2307" s="22" t="str">
        <f>IF(C2307="","",C2307&amp;I2307)</f>
        <v/>
      </c>
      <c r="T2307" t="str">
        <f>IF(OR(C2307="",I2307&lt;&gt;"ENTRADA"),"",TEXT(B2307,"AAMMDD")&amp;"-"&amp;TEXT(VALUE(SUBSTITUTE(A2307,"MOV-","")),"000"))</f>
        <v/>
      </c>
    </row>
    <row r="2308" spans="18:20">
      <c r="R2308" s="22" t="str">
        <f>IF(H2308="","",H2308&amp;I2308)</f>
        <v/>
      </c>
      <c r="S2308" s="22" t="str">
        <f>IF(C2308="","",C2308&amp;I2308)</f>
        <v/>
      </c>
      <c r="T2308" t="str">
        <f>IF(OR(C2308="",I2308&lt;&gt;"ENTRADA"),"",TEXT(B2308,"AAMMDD")&amp;"-"&amp;TEXT(VALUE(SUBSTITUTE(A2308,"MOV-","")),"000"))</f>
        <v/>
      </c>
    </row>
    <row r="2309" spans="18:20">
      <c r="R2309" s="22" t="str">
        <f>IF(H2309="","",H2309&amp;I2309)</f>
        <v/>
      </c>
      <c r="S2309" s="22" t="str">
        <f>IF(C2309="","",C2309&amp;I2309)</f>
        <v/>
      </c>
      <c r="T2309" t="str">
        <f>IF(OR(C2309="",I2309&lt;&gt;"ENTRADA"),"",TEXT(B2309,"AAMMDD")&amp;"-"&amp;TEXT(VALUE(SUBSTITUTE(A2309,"MOV-","")),"000"))</f>
        <v/>
      </c>
    </row>
    <row r="2310" spans="18:20">
      <c r="R2310" s="22" t="str">
        <f>IF(H2310="","",H2310&amp;I2310)</f>
        <v/>
      </c>
      <c r="S2310" s="22" t="str">
        <f>IF(C2310="","",C2310&amp;I2310)</f>
        <v/>
      </c>
      <c r="T2310" t="str">
        <f>IF(OR(C2310="",I2310&lt;&gt;"ENTRADA"),"",TEXT(B2310,"AAMMDD")&amp;"-"&amp;TEXT(VALUE(SUBSTITUTE(A2310,"MOV-","")),"000"))</f>
        <v/>
      </c>
    </row>
    <row r="2311" spans="18:20">
      <c r="R2311" s="22" t="str">
        <f>IF(H2311="","",H2311&amp;I2311)</f>
        <v/>
      </c>
      <c r="S2311" s="22" t="str">
        <f>IF(C2311="","",C2311&amp;I2311)</f>
        <v/>
      </c>
      <c r="T2311" t="str">
        <f>IF(OR(C2311="",I2311&lt;&gt;"ENTRADA"),"",TEXT(B2311,"AAMMDD")&amp;"-"&amp;TEXT(VALUE(SUBSTITUTE(A2311,"MOV-","")),"000"))</f>
        <v/>
      </c>
    </row>
    <row r="2312" spans="18:20">
      <c r="R2312" s="22" t="str">
        <f>IF(H2312="","",H2312&amp;I2312)</f>
        <v/>
      </c>
      <c r="S2312" s="22" t="str">
        <f>IF(C2312="","",C2312&amp;I2312)</f>
        <v/>
      </c>
      <c r="T2312" t="str">
        <f>IF(OR(C2312="",I2312&lt;&gt;"ENTRADA"),"",TEXT(B2312,"AAMMDD")&amp;"-"&amp;TEXT(VALUE(SUBSTITUTE(A2312,"MOV-","")),"000"))</f>
        <v/>
      </c>
    </row>
    <row r="2313" spans="18:20">
      <c r="R2313" s="22" t="str">
        <f>IF(H2313="","",H2313&amp;I2313)</f>
        <v/>
      </c>
      <c r="S2313" s="22" t="str">
        <f>IF(C2313="","",C2313&amp;I2313)</f>
        <v/>
      </c>
      <c r="T2313" t="str">
        <f>IF(OR(C2313="",I2313&lt;&gt;"ENTRADA"),"",TEXT(B2313,"AAMMDD")&amp;"-"&amp;TEXT(VALUE(SUBSTITUTE(A2313,"MOV-","")),"000"))</f>
        <v/>
      </c>
    </row>
    <row r="2314" spans="18:20">
      <c r="R2314" s="22" t="str">
        <f>IF(H2314="","",H2314&amp;I2314)</f>
        <v/>
      </c>
      <c r="S2314" s="22" t="str">
        <f>IF(C2314="","",C2314&amp;I2314)</f>
        <v/>
      </c>
      <c r="T2314" t="str">
        <f>IF(OR(C2314="",I2314&lt;&gt;"ENTRADA"),"",TEXT(B2314,"AAMMDD")&amp;"-"&amp;TEXT(VALUE(SUBSTITUTE(A2314,"MOV-","")),"000"))</f>
        <v/>
      </c>
    </row>
    <row r="2315" spans="18:20">
      <c r="R2315" s="22" t="str">
        <f>IF(H2315="","",H2315&amp;I2315)</f>
        <v/>
      </c>
      <c r="S2315" s="22" t="str">
        <f>IF(C2315="","",C2315&amp;I2315)</f>
        <v/>
      </c>
      <c r="T2315" t="str">
        <f>IF(OR(C2315="",I2315&lt;&gt;"ENTRADA"),"",TEXT(B2315,"AAMMDD")&amp;"-"&amp;TEXT(VALUE(SUBSTITUTE(A2315,"MOV-","")),"000"))</f>
        <v/>
      </c>
    </row>
    <row r="2316" spans="18:20">
      <c r="R2316" s="22" t="str">
        <f>IF(H2316="","",H2316&amp;I2316)</f>
        <v/>
      </c>
      <c r="S2316" s="22" t="str">
        <f>IF(C2316="","",C2316&amp;I2316)</f>
        <v/>
      </c>
      <c r="T2316" t="str">
        <f>IF(OR(C2316="",I2316&lt;&gt;"ENTRADA"),"",TEXT(B2316,"AAMMDD")&amp;"-"&amp;TEXT(VALUE(SUBSTITUTE(A2316,"MOV-","")),"000"))</f>
        <v/>
      </c>
    </row>
    <row r="2317" spans="18:20">
      <c r="R2317" s="22" t="str">
        <f>IF(H2317="","",H2317&amp;I2317)</f>
        <v/>
      </c>
      <c r="S2317" s="22" t="str">
        <f>IF(C2317="","",C2317&amp;I2317)</f>
        <v/>
      </c>
      <c r="T2317" t="str">
        <f>IF(OR(C2317="",I2317&lt;&gt;"ENTRADA"),"",TEXT(B2317,"AAMMDD")&amp;"-"&amp;TEXT(VALUE(SUBSTITUTE(A2317,"MOV-","")),"000"))</f>
        <v/>
      </c>
    </row>
    <row r="2318" spans="18:20">
      <c r="R2318" s="22" t="str">
        <f>IF(H2318="","",H2318&amp;I2318)</f>
        <v/>
      </c>
      <c r="S2318" s="22" t="str">
        <f>IF(C2318="","",C2318&amp;I2318)</f>
        <v/>
      </c>
      <c r="T2318" t="str">
        <f>IF(OR(C2318="",I2318&lt;&gt;"ENTRADA"),"",TEXT(B2318,"AAMMDD")&amp;"-"&amp;TEXT(VALUE(SUBSTITUTE(A2318,"MOV-","")),"000"))</f>
        <v/>
      </c>
    </row>
    <row r="2319" spans="18:20">
      <c r="R2319" s="22" t="str">
        <f>IF(H2319="","",H2319&amp;I2319)</f>
        <v/>
      </c>
      <c r="S2319" s="22" t="str">
        <f>IF(C2319="","",C2319&amp;I2319)</f>
        <v/>
      </c>
      <c r="T2319" t="str">
        <f>IF(OR(C2319="",I2319&lt;&gt;"ENTRADA"),"",TEXT(B2319,"AAMMDD")&amp;"-"&amp;TEXT(VALUE(SUBSTITUTE(A2319,"MOV-","")),"000"))</f>
        <v/>
      </c>
    </row>
    <row r="2320" spans="18:20">
      <c r="R2320" s="22" t="str">
        <f>IF(H2320="","",H2320&amp;I2320)</f>
        <v/>
      </c>
      <c r="S2320" s="22" t="str">
        <f>IF(C2320="","",C2320&amp;I2320)</f>
        <v/>
      </c>
      <c r="T2320" t="str">
        <f>IF(OR(C2320="",I2320&lt;&gt;"ENTRADA"),"",TEXT(B2320,"AAMMDD")&amp;"-"&amp;TEXT(VALUE(SUBSTITUTE(A2320,"MOV-","")),"000"))</f>
        <v/>
      </c>
    </row>
    <row r="2321" spans="18:20">
      <c r="R2321" s="22" t="str">
        <f>IF(H2321="","",H2321&amp;I2321)</f>
        <v/>
      </c>
      <c r="S2321" s="22" t="str">
        <f>IF(C2321="","",C2321&amp;I2321)</f>
        <v/>
      </c>
      <c r="T2321" t="str">
        <f>IF(OR(C2321="",I2321&lt;&gt;"ENTRADA"),"",TEXT(B2321,"AAMMDD")&amp;"-"&amp;TEXT(VALUE(SUBSTITUTE(A2321,"MOV-","")),"000"))</f>
        <v/>
      </c>
    </row>
    <row r="2322" spans="18:20">
      <c r="R2322" s="22" t="str">
        <f>IF(H2322="","",H2322&amp;I2322)</f>
        <v/>
      </c>
      <c r="S2322" s="22" t="str">
        <f>IF(C2322="","",C2322&amp;I2322)</f>
        <v/>
      </c>
      <c r="T2322" t="str">
        <f>IF(OR(C2322="",I2322&lt;&gt;"ENTRADA"),"",TEXT(B2322,"AAMMDD")&amp;"-"&amp;TEXT(VALUE(SUBSTITUTE(A2322,"MOV-","")),"000"))</f>
        <v/>
      </c>
    </row>
    <row r="2323" spans="18:20">
      <c r="R2323" s="22" t="str">
        <f>IF(H2323="","",H2323&amp;I2323)</f>
        <v/>
      </c>
      <c r="S2323" s="22" t="str">
        <f>IF(C2323="","",C2323&amp;I2323)</f>
        <v/>
      </c>
      <c r="T2323" t="str">
        <f>IF(OR(C2323="",I2323&lt;&gt;"ENTRADA"),"",TEXT(B2323,"AAMMDD")&amp;"-"&amp;TEXT(VALUE(SUBSTITUTE(A2323,"MOV-","")),"000"))</f>
        <v/>
      </c>
    </row>
    <row r="2324" spans="18:20">
      <c r="R2324" s="22" t="str">
        <f>IF(H2324="","",H2324&amp;I2324)</f>
        <v/>
      </c>
      <c r="S2324" s="22" t="str">
        <f>IF(C2324="","",C2324&amp;I2324)</f>
        <v/>
      </c>
      <c r="T2324" t="str">
        <f>IF(OR(C2324="",I2324&lt;&gt;"ENTRADA"),"",TEXT(B2324,"AAMMDD")&amp;"-"&amp;TEXT(VALUE(SUBSTITUTE(A2324,"MOV-","")),"000"))</f>
        <v/>
      </c>
    </row>
    <row r="2325" spans="18:20">
      <c r="R2325" s="22" t="str">
        <f>IF(H2325="","",H2325&amp;I2325)</f>
        <v/>
      </c>
      <c r="S2325" s="22" t="str">
        <f>IF(C2325="","",C2325&amp;I2325)</f>
        <v/>
      </c>
      <c r="T2325" t="str">
        <f>IF(OR(C2325="",I2325&lt;&gt;"ENTRADA"),"",TEXT(B2325,"AAMMDD")&amp;"-"&amp;TEXT(VALUE(SUBSTITUTE(A2325,"MOV-","")),"000"))</f>
        <v/>
      </c>
    </row>
    <row r="2326" spans="18:20">
      <c r="R2326" s="22" t="str">
        <f>IF(H2326="","",H2326&amp;I2326)</f>
        <v/>
      </c>
      <c r="S2326" s="22" t="str">
        <f>IF(C2326="","",C2326&amp;I2326)</f>
        <v/>
      </c>
      <c r="T2326" t="str">
        <f>IF(OR(C2326="",I2326&lt;&gt;"ENTRADA"),"",TEXT(B2326,"AAMMDD")&amp;"-"&amp;TEXT(VALUE(SUBSTITUTE(A2326,"MOV-","")),"000"))</f>
        <v/>
      </c>
    </row>
    <row r="2327" spans="18:20">
      <c r="R2327" s="22" t="str">
        <f>IF(H2327="","",H2327&amp;I2327)</f>
        <v/>
      </c>
      <c r="S2327" s="22" t="str">
        <f>IF(C2327="","",C2327&amp;I2327)</f>
        <v/>
      </c>
      <c r="T2327" t="str">
        <f>IF(OR(C2327="",I2327&lt;&gt;"ENTRADA"),"",TEXT(B2327,"AAMMDD")&amp;"-"&amp;TEXT(VALUE(SUBSTITUTE(A2327,"MOV-","")),"000"))</f>
        <v/>
      </c>
    </row>
    <row r="2328" spans="18:20">
      <c r="R2328" s="22" t="str">
        <f>IF(H2328="","",H2328&amp;I2328)</f>
        <v/>
      </c>
      <c r="S2328" s="22" t="str">
        <f>IF(C2328="","",C2328&amp;I2328)</f>
        <v/>
      </c>
      <c r="T2328" t="str">
        <f>IF(OR(C2328="",I2328&lt;&gt;"ENTRADA"),"",TEXT(B2328,"AAMMDD")&amp;"-"&amp;TEXT(VALUE(SUBSTITUTE(A2328,"MOV-","")),"000"))</f>
        <v/>
      </c>
    </row>
    <row r="2329" spans="18:20">
      <c r="R2329" s="22" t="str">
        <f>IF(H2329="","",H2329&amp;I2329)</f>
        <v/>
      </c>
      <c r="S2329" s="22" t="str">
        <f>IF(C2329="","",C2329&amp;I2329)</f>
        <v/>
      </c>
      <c r="T2329" t="str">
        <f>IF(OR(C2329="",I2329&lt;&gt;"ENTRADA"),"",TEXT(B2329,"AAMMDD")&amp;"-"&amp;TEXT(VALUE(SUBSTITUTE(A2329,"MOV-","")),"000"))</f>
        <v/>
      </c>
    </row>
    <row r="2330" spans="18:20">
      <c r="R2330" s="22" t="str">
        <f>IF(H2330="","",H2330&amp;I2330)</f>
        <v/>
      </c>
      <c r="S2330" s="22" t="str">
        <f>IF(C2330="","",C2330&amp;I2330)</f>
        <v/>
      </c>
      <c r="T2330" t="str">
        <f>IF(OR(C2330="",I2330&lt;&gt;"ENTRADA"),"",TEXT(B2330,"AAMMDD")&amp;"-"&amp;TEXT(VALUE(SUBSTITUTE(A2330,"MOV-","")),"000"))</f>
        <v/>
      </c>
    </row>
    <row r="2331" spans="18:20">
      <c r="R2331" s="22" t="str">
        <f>IF(H2331="","",H2331&amp;I2331)</f>
        <v/>
      </c>
      <c r="S2331" s="22" t="str">
        <f>IF(C2331="","",C2331&amp;I2331)</f>
        <v/>
      </c>
      <c r="T2331" t="str">
        <f>IF(OR(C2331="",I2331&lt;&gt;"ENTRADA"),"",TEXT(B2331,"AAMMDD")&amp;"-"&amp;TEXT(VALUE(SUBSTITUTE(A2331,"MOV-","")),"000"))</f>
        <v/>
      </c>
    </row>
    <row r="2332" spans="18:20">
      <c r="R2332" s="22" t="str">
        <f>IF(H2332="","",H2332&amp;I2332)</f>
        <v/>
      </c>
      <c r="S2332" s="22" t="str">
        <f>IF(C2332="","",C2332&amp;I2332)</f>
        <v/>
      </c>
      <c r="T2332" t="str">
        <f>IF(OR(C2332="",I2332&lt;&gt;"ENTRADA"),"",TEXT(B2332,"AAMMDD")&amp;"-"&amp;TEXT(VALUE(SUBSTITUTE(A2332,"MOV-","")),"000"))</f>
        <v/>
      </c>
    </row>
    <row r="2333" spans="18:20">
      <c r="R2333" s="22" t="str">
        <f>IF(H2333="","",H2333&amp;I2333)</f>
        <v/>
      </c>
      <c r="S2333" s="22" t="str">
        <f>IF(C2333="","",C2333&amp;I2333)</f>
        <v/>
      </c>
      <c r="T2333" t="str">
        <f>IF(OR(C2333="",I2333&lt;&gt;"ENTRADA"),"",TEXT(B2333,"AAMMDD")&amp;"-"&amp;TEXT(VALUE(SUBSTITUTE(A2333,"MOV-","")),"000"))</f>
        <v/>
      </c>
    </row>
    <row r="2334" spans="18:20">
      <c r="R2334" s="22" t="str">
        <f>IF(H2334="","",H2334&amp;I2334)</f>
        <v/>
      </c>
      <c r="S2334" s="22" t="str">
        <f>IF(C2334="","",C2334&amp;I2334)</f>
        <v/>
      </c>
      <c r="T2334" t="str">
        <f>IF(OR(C2334="",I2334&lt;&gt;"ENTRADA"),"",TEXT(B2334,"AAMMDD")&amp;"-"&amp;TEXT(VALUE(SUBSTITUTE(A2334,"MOV-","")),"000"))</f>
        <v/>
      </c>
    </row>
    <row r="2335" spans="18:20">
      <c r="R2335" s="22" t="str">
        <f>IF(H2335="","",H2335&amp;I2335)</f>
        <v/>
      </c>
      <c r="S2335" s="22" t="str">
        <f>IF(C2335="","",C2335&amp;I2335)</f>
        <v/>
      </c>
      <c r="T2335" t="str">
        <f>IF(OR(C2335="",I2335&lt;&gt;"ENTRADA"),"",TEXT(B2335,"AAMMDD")&amp;"-"&amp;TEXT(VALUE(SUBSTITUTE(A2335,"MOV-","")),"000"))</f>
        <v/>
      </c>
    </row>
    <row r="2336" spans="18:20">
      <c r="R2336" s="22" t="str">
        <f>IF(H2336="","",H2336&amp;I2336)</f>
        <v/>
      </c>
      <c r="S2336" s="22" t="str">
        <f>IF(C2336="","",C2336&amp;I2336)</f>
        <v/>
      </c>
      <c r="T2336" t="str">
        <f>IF(OR(C2336="",I2336&lt;&gt;"ENTRADA"),"",TEXT(B2336,"AAMMDD")&amp;"-"&amp;TEXT(VALUE(SUBSTITUTE(A2336,"MOV-","")),"000"))</f>
        <v/>
      </c>
    </row>
    <row r="2337" spans="18:20">
      <c r="R2337" s="22" t="str">
        <f>IF(H2337="","",H2337&amp;I2337)</f>
        <v/>
      </c>
      <c r="S2337" s="22" t="str">
        <f>IF(C2337="","",C2337&amp;I2337)</f>
        <v/>
      </c>
      <c r="T2337" t="str">
        <f>IF(OR(C2337="",I2337&lt;&gt;"ENTRADA"),"",TEXT(B2337,"AAMMDD")&amp;"-"&amp;TEXT(VALUE(SUBSTITUTE(A2337,"MOV-","")),"000"))</f>
        <v/>
      </c>
    </row>
    <row r="2338" spans="18:20">
      <c r="R2338" s="22" t="str">
        <f>IF(H2338="","",H2338&amp;I2338)</f>
        <v/>
      </c>
      <c r="S2338" s="22" t="str">
        <f>IF(C2338="","",C2338&amp;I2338)</f>
        <v/>
      </c>
      <c r="T2338" t="str">
        <f>IF(OR(C2338="",I2338&lt;&gt;"ENTRADA"),"",TEXT(B2338,"AAMMDD")&amp;"-"&amp;TEXT(VALUE(SUBSTITUTE(A2338,"MOV-","")),"000"))</f>
        <v/>
      </c>
    </row>
    <row r="2339" spans="18:20">
      <c r="R2339" s="22" t="str">
        <f>IF(H2339="","",H2339&amp;I2339)</f>
        <v/>
      </c>
      <c r="S2339" s="22" t="str">
        <f>IF(C2339="","",C2339&amp;I2339)</f>
        <v/>
      </c>
      <c r="T2339" t="str">
        <f>IF(OR(C2339="",I2339&lt;&gt;"ENTRADA"),"",TEXT(B2339,"AAMMDD")&amp;"-"&amp;TEXT(VALUE(SUBSTITUTE(A2339,"MOV-","")),"000"))</f>
        <v/>
      </c>
    </row>
    <row r="2340" spans="18:20">
      <c r="R2340" s="22" t="str">
        <f>IF(H2340="","",H2340&amp;I2340)</f>
        <v/>
      </c>
      <c r="S2340" s="22" t="str">
        <f>IF(C2340="","",C2340&amp;I2340)</f>
        <v/>
      </c>
      <c r="T2340" t="str">
        <f>IF(OR(C2340="",I2340&lt;&gt;"ENTRADA"),"",TEXT(B2340,"AAMMDD")&amp;"-"&amp;TEXT(VALUE(SUBSTITUTE(A2340,"MOV-","")),"000"))</f>
        <v/>
      </c>
    </row>
    <row r="2341" spans="18:20">
      <c r="R2341" s="22" t="str">
        <f>IF(H2341="","",H2341&amp;I2341)</f>
        <v/>
      </c>
      <c r="S2341" s="22" t="str">
        <f>IF(C2341="","",C2341&amp;I2341)</f>
        <v/>
      </c>
      <c r="T2341" t="str">
        <f>IF(OR(C2341="",I2341&lt;&gt;"ENTRADA"),"",TEXT(B2341,"AAMMDD")&amp;"-"&amp;TEXT(VALUE(SUBSTITUTE(A2341,"MOV-","")),"000"))</f>
        <v/>
      </c>
    </row>
    <row r="2342" spans="18:20">
      <c r="R2342" s="22" t="str">
        <f>IF(H2342="","",H2342&amp;I2342)</f>
        <v/>
      </c>
      <c r="S2342" s="22" t="str">
        <f>IF(C2342="","",C2342&amp;I2342)</f>
        <v/>
      </c>
      <c r="T2342" t="str">
        <f>IF(OR(C2342="",I2342&lt;&gt;"ENTRADA"),"",TEXT(B2342,"AAMMDD")&amp;"-"&amp;TEXT(VALUE(SUBSTITUTE(A2342,"MOV-","")),"000"))</f>
        <v/>
      </c>
    </row>
    <row r="2343" spans="18:20">
      <c r="R2343" s="22" t="str">
        <f>IF(H2343="","",H2343&amp;I2343)</f>
        <v/>
      </c>
      <c r="S2343" s="22" t="str">
        <f>IF(C2343="","",C2343&amp;I2343)</f>
        <v/>
      </c>
      <c r="T2343" t="str">
        <f>IF(OR(C2343="",I2343&lt;&gt;"ENTRADA"),"",TEXT(B2343,"AAMMDD")&amp;"-"&amp;TEXT(VALUE(SUBSTITUTE(A2343,"MOV-","")),"000"))</f>
        <v/>
      </c>
    </row>
    <row r="2344" spans="18:20">
      <c r="R2344" s="22" t="str">
        <f>IF(H2344="","",H2344&amp;I2344)</f>
        <v/>
      </c>
      <c r="S2344" s="22" t="str">
        <f>IF(C2344="","",C2344&amp;I2344)</f>
        <v/>
      </c>
      <c r="T2344" t="str">
        <f>IF(OR(C2344="",I2344&lt;&gt;"ENTRADA"),"",TEXT(B2344,"AAMMDD")&amp;"-"&amp;TEXT(VALUE(SUBSTITUTE(A2344,"MOV-","")),"000"))</f>
        <v/>
      </c>
    </row>
    <row r="2345" spans="18:20">
      <c r="R2345" s="22" t="str">
        <f>IF(H2345="","",H2345&amp;I2345)</f>
        <v/>
      </c>
      <c r="S2345" s="22" t="str">
        <f>IF(C2345="","",C2345&amp;I2345)</f>
        <v/>
      </c>
      <c r="T2345" t="str">
        <f>IF(OR(C2345="",I2345&lt;&gt;"ENTRADA"),"",TEXT(B2345,"AAMMDD")&amp;"-"&amp;TEXT(VALUE(SUBSTITUTE(A2345,"MOV-","")),"000"))</f>
        <v/>
      </c>
    </row>
    <row r="2346" spans="18:20">
      <c r="R2346" s="22" t="str">
        <f>IF(H2346="","",H2346&amp;I2346)</f>
        <v/>
      </c>
      <c r="S2346" s="22" t="str">
        <f>IF(C2346="","",C2346&amp;I2346)</f>
        <v/>
      </c>
      <c r="T2346" t="str">
        <f>IF(OR(C2346="",I2346&lt;&gt;"ENTRADA"),"",TEXT(B2346,"AAMMDD")&amp;"-"&amp;TEXT(VALUE(SUBSTITUTE(A2346,"MOV-","")),"000"))</f>
        <v/>
      </c>
    </row>
    <row r="2347" spans="18:20">
      <c r="R2347" s="22" t="str">
        <f>IF(H2347="","",H2347&amp;I2347)</f>
        <v/>
      </c>
      <c r="S2347" s="22" t="str">
        <f>IF(C2347="","",C2347&amp;I2347)</f>
        <v/>
      </c>
      <c r="T2347" t="str">
        <f>IF(OR(C2347="",I2347&lt;&gt;"ENTRADA"),"",TEXT(B2347,"AAMMDD")&amp;"-"&amp;TEXT(VALUE(SUBSTITUTE(A2347,"MOV-","")),"000"))</f>
        <v/>
      </c>
    </row>
    <row r="2348" spans="18:20">
      <c r="R2348" s="22" t="str">
        <f>IF(H2348="","",H2348&amp;I2348)</f>
        <v/>
      </c>
      <c r="S2348" s="22" t="str">
        <f>IF(C2348="","",C2348&amp;I2348)</f>
        <v/>
      </c>
      <c r="T2348" t="str">
        <f>IF(OR(C2348="",I2348&lt;&gt;"ENTRADA"),"",TEXT(B2348,"AAMMDD")&amp;"-"&amp;TEXT(VALUE(SUBSTITUTE(A2348,"MOV-","")),"000"))</f>
        <v/>
      </c>
    </row>
    <row r="2349" spans="18:20">
      <c r="R2349" s="22" t="str">
        <f>IF(H2349="","",H2349&amp;I2349)</f>
        <v/>
      </c>
      <c r="S2349" s="22" t="str">
        <f>IF(C2349="","",C2349&amp;I2349)</f>
        <v/>
      </c>
      <c r="T2349" t="str">
        <f>IF(OR(C2349="",I2349&lt;&gt;"ENTRADA"),"",TEXT(B2349,"AAMMDD")&amp;"-"&amp;TEXT(VALUE(SUBSTITUTE(A2349,"MOV-","")),"000"))</f>
        <v/>
      </c>
    </row>
    <row r="2350" spans="18:20">
      <c r="R2350" s="22" t="str">
        <f>IF(H2350="","",H2350&amp;I2350)</f>
        <v/>
      </c>
      <c r="S2350" s="22" t="str">
        <f>IF(C2350="","",C2350&amp;I2350)</f>
        <v/>
      </c>
      <c r="T2350" t="str">
        <f>IF(OR(C2350="",I2350&lt;&gt;"ENTRADA"),"",TEXT(B2350,"AAMMDD")&amp;"-"&amp;TEXT(VALUE(SUBSTITUTE(A2350,"MOV-","")),"000"))</f>
        <v/>
      </c>
    </row>
    <row r="2351" spans="18:20">
      <c r="R2351" s="22" t="str">
        <f>IF(H2351="","",H2351&amp;I2351)</f>
        <v/>
      </c>
      <c r="S2351" s="22" t="str">
        <f>IF(C2351="","",C2351&amp;I2351)</f>
        <v/>
      </c>
      <c r="T2351" t="str">
        <f>IF(OR(C2351="",I2351&lt;&gt;"ENTRADA"),"",TEXT(B2351,"AAMMDD")&amp;"-"&amp;TEXT(VALUE(SUBSTITUTE(A2351,"MOV-","")),"000"))</f>
        <v/>
      </c>
    </row>
    <row r="2352" spans="18:20">
      <c r="R2352" s="22" t="str">
        <f>IF(H2352="","",H2352&amp;I2352)</f>
        <v/>
      </c>
      <c r="S2352" s="22" t="str">
        <f>IF(C2352="","",C2352&amp;I2352)</f>
        <v/>
      </c>
      <c r="T2352" t="str">
        <f>IF(OR(C2352="",I2352&lt;&gt;"ENTRADA"),"",TEXT(B2352,"AAMMDD")&amp;"-"&amp;TEXT(VALUE(SUBSTITUTE(A2352,"MOV-","")),"000"))</f>
        <v/>
      </c>
    </row>
    <row r="2353" spans="18:20">
      <c r="R2353" s="22" t="str">
        <f>IF(H2353="","",H2353&amp;I2353)</f>
        <v/>
      </c>
      <c r="S2353" s="22" t="str">
        <f>IF(C2353="","",C2353&amp;I2353)</f>
        <v/>
      </c>
      <c r="T2353" t="str">
        <f>IF(OR(C2353="",I2353&lt;&gt;"ENTRADA"),"",TEXT(B2353,"AAMMDD")&amp;"-"&amp;TEXT(VALUE(SUBSTITUTE(A2353,"MOV-","")),"000"))</f>
        <v/>
      </c>
    </row>
    <row r="2354" spans="18:20">
      <c r="R2354" s="22" t="str">
        <f>IF(H2354="","",H2354&amp;I2354)</f>
        <v/>
      </c>
      <c r="S2354" s="22" t="str">
        <f>IF(C2354="","",C2354&amp;I2354)</f>
        <v/>
      </c>
      <c r="T2354" t="str">
        <f>IF(OR(C2354="",I2354&lt;&gt;"ENTRADA"),"",TEXT(B2354,"AAMMDD")&amp;"-"&amp;TEXT(VALUE(SUBSTITUTE(A2354,"MOV-","")),"000"))</f>
        <v/>
      </c>
    </row>
    <row r="2355" spans="18:20">
      <c r="R2355" s="22" t="str">
        <f>IF(H2355="","",H2355&amp;I2355)</f>
        <v/>
      </c>
      <c r="S2355" s="22" t="str">
        <f>IF(C2355="","",C2355&amp;I2355)</f>
        <v/>
      </c>
      <c r="T2355" t="str">
        <f>IF(OR(C2355="",I2355&lt;&gt;"ENTRADA"),"",TEXT(B2355,"AAMMDD")&amp;"-"&amp;TEXT(VALUE(SUBSTITUTE(A2355,"MOV-","")),"000"))</f>
        <v/>
      </c>
    </row>
    <row r="2356" spans="18:20">
      <c r="R2356" s="22" t="str">
        <f>IF(H2356="","",H2356&amp;I2356)</f>
        <v/>
      </c>
      <c r="S2356" s="22" t="str">
        <f>IF(C2356="","",C2356&amp;I2356)</f>
        <v/>
      </c>
      <c r="T2356" t="str">
        <f>IF(OR(C2356="",I2356&lt;&gt;"ENTRADA"),"",TEXT(B2356,"AAMMDD")&amp;"-"&amp;TEXT(VALUE(SUBSTITUTE(A2356,"MOV-","")),"000"))</f>
        <v/>
      </c>
    </row>
    <row r="2357" spans="18:20">
      <c r="R2357" s="22" t="str">
        <f>IF(H2357="","",H2357&amp;I2357)</f>
        <v/>
      </c>
      <c r="S2357" s="22" t="str">
        <f>IF(C2357="","",C2357&amp;I2357)</f>
        <v/>
      </c>
      <c r="T2357" t="str">
        <f>IF(OR(C2357="",I2357&lt;&gt;"ENTRADA"),"",TEXT(B2357,"AAMMDD")&amp;"-"&amp;TEXT(VALUE(SUBSTITUTE(A2357,"MOV-","")),"000"))</f>
        <v/>
      </c>
    </row>
    <row r="2358" spans="18:20">
      <c r="R2358" s="22" t="str">
        <f>IF(H2358="","",H2358&amp;I2358)</f>
        <v/>
      </c>
      <c r="S2358" s="22" t="str">
        <f>IF(C2358="","",C2358&amp;I2358)</f>
        <v/>
      </c>
      <c r="T2358" t="str">
        <f>IF(OR(C2358="",I2358&lt;&gt;"ENTRADA"),"",TEXT(B2358,"AAMMDD")&amp;"-"&amp;TEXT(VALUE(SUBSTITUTE(A2358,"MOV-","")),"000"))</f>
        <v/>
      </c>
    </row>
    <row r="2359" spans="18:20">
      <c r="R2359" s="22" t="str">
        <f>IF(H2359="","",H2359&amp;I2359)</f>
        <v/>
      </c>
      <c r="S2359" s="22" t="str">
        <f>IF(C2359="","",C2359&amp;I2359)</f>
        <v/>
      </c>
      <c r="T2359" t="str">
        <f>IF(OR(C2359="",I2359&lt;&gt;"ENTRADA"),"",TEXT(B2359,"AAMMDD")&amp;"-"&amp;TEXT(VALUE(SUBSTITUTE(A2359,"MOV-","")),"000"))</f>
        <v/>
      </c>
    </row>
    <row r="2360" spans="18:20">
      <c r="R2360" s="22" t="str">
        <f>IF(H2360="","",H2360&amp;I2360)</f>
        <v/>
      </c>
      <c r="S2360" s="22" t="str">
        <f>IF(C2360="","",C2360&amp;I2360)</f>
        <v/>
      </c>
      <c r="T2360" t="str">
        <f>IF(OR(C2360="",I2360&lt;&gt;"ENTRADA"),"",TEXT(B2360,"AAMMDD")&amp;"-"&amp;TEXT(VALUE(SUBSTITUTE(A2360,"MOV-","")),"000"))</f>
        <v/>
      </c>
    </row>
    <row r="2361" spans="18:20">
      <c r="R2361" s="22" t="str">
        <f>IF(H2361="","",H2361&amp;I2361)</f>
        <v/>
      </c>
      <c r="S2361" s="22" t="str">
        <f>IF(C2361="","",C2361&amp;I2361)</f>
        <v/>
      </c>
      <c r="T2361" t="str">
        <f>IF(OR(C2361="",I2361&lt;&gt;"ENTRADA"),"",TEXT(B2361,"AAMMDD")&amp;"-"&amp;TEXT(VALUE(SUBSTITUTE(A2361,"MOV-","")),"000"))</f>
        <v/>
      </c>
    </row>
    <row r="2362" spans="18:20">
      <c r="R2362" s="22" t="str">
        <f>IF(H2362="","",H2362&amp;I2362)</f>
        <v/>
      </c>
      <c r="S2362" s="22" t="str">
        <f>IF(C2362="","",C2362&amp;I2362)</f>
        <v/>
      </c>
      <c r="T2362" t="str">
        <f>IF(OR(C2362="",I2362&lt;&gt;"ENTRADA"),"",TEXT(B2362,"AAMMDD")&amp;"-"&amp;TEXT(VALUE(SUBSTITUTE(A2362,"MOV-","")),"000"))</f>
        <v/>
      </c>
    </row>
    <row r="2363" spans="18:20">
      <c r="R2363" s="22" t="str">
        <f>IF(H2363="","",H2363&amp;I2363)</f>
        <v/>
      </c>
      <c r="S2363" s="22" t="str">
        <f>IF(C2363="","",C2363&amp;I2363)</f>
        <v/>
      </c>
      <c r="T2363" t="str">
        <f>IF(OR(C2363="",I2363&lt;&gt;"ENTRADA"),"",TEXT(B2363,"AAMMDD")&amp;"-"&amp;TEXT(VALUE(SUBSTITUTE(A2363,"MOV-","")),"000"))</f>
        <v/>
      </c>
    </row>
    <row r="2364" spans="18:20">
      <c r="R2364" s="22" t="str">
        <f>IF(H2364="","",H2364&amp;I2364)</f>
        <v/>
      </c>
      <c r="S2364" s="22" t="str">
        <f>IF(C2364="","",C2364&amp;I2364)</f>
        <v/>
      </c>
      <c r="T2364" t="str">
        <f>IF(OR(C2364="",I2364&lt;&gt;"ENTRADA"),"",TEXT(B2364,"AAMMDD")&amp;"-"&amp;TEXT(VALUE(SUBSTITUTE(A2364,"MOV-","")),"000"))</f>
        <v/>
      </c>
    </row>
    <row r="2365" spans="18:20">
      <c r="R2365" s="22" t="str">
        <f>IF(H2365="","",H2365&amp;I2365)</f>
        <v/>
      </c>
      <c r="S2365" s="22" t="str">
        <f>IF(C2365="","",C2365&amp;I2365)</f>
        <v/>
      </c>
      <c r="T2365" t="str">
        <f>IF(OR(C2365="",I2365&lt;&gt;"ENTRADA"),"",TEXT(B2365,"AAMMDD")&amp;"-"&amp;TEXT(VALUE(SUBSTITUTE(A2365,"MOV-","")),"000"))</f>
        <v/>
      </c>
    </row>
    <row r="2366" spans="18:20">
      <c r="R2366" s="22" t="str">
        <f>IF(H2366="","",H2366&amp;I2366)</f>
        <v/>
      </c>
      <c r="S2366" s="22" t="str">
        <f>IF(C2366="","",C2366&amp;I2366)</f>
        <v/>
      </c>
      <c r="T2366" t="str">
        <f>IF(OR(C2366="",I2366&lt;&gt;"ENTRADA"),"",TEXT(B2366,"AAMMDD")&amp;"-"&amp;TEXT(VALUE(SUBSTITUTE(A2366,"MOV-","")),"000"))</f>
        <v/>
      </c>
    </row>
    <row r="2367" spans="18:20">
      <c r="R2367" s="22" t="str">
        <f>IF(H2367="","",H2367&amp;I2367)</f>
        <v/>
      </c>
      <c r="S2367" s="22" t="str">
        <f>IF(C2367="","",C2367&amp;I2367)</f>
        <v/>
      </c>
      <c r="T2367" t="str">
        <f>IF(OR(C2367="",I2367&lt;&gt;"ENTRADA"),"",TEXT(B2367,"AAMMDD")&amp;"-"&amp;TEXT(VALUE(SUBSTITUTE(A2367,"MOV-","")),"000"))</f>
        <v/>
      </c>
    </row>
    <row r="2368" spans="18:20">
      <c r="R2368" s="22" t="str">
        <f>IF(H2368="","",H2368&amp;I2368)</f>
        <v/>
      </c>
      <c r="S2368" s="22" t="str">
        <f>IF(C2368="","",C2368&amp;I2368)</f>
        <v/>
      </c>
      <c r="T2368" t="str">
        <f>IF(OR(C2368="",I2368&lt;&gt;"ENTRADA"),"",TEXT(B2368,"AAMMDD")&amp;"-"&amp;TEXT(VALUE(SUBSTITUTE(A2368,"MOV-","")),"000"))</f>
        <v/>
      </c>
    </row>
    <row r="2369" spans="18:20">
      <c r="R2369" s="22" t="str">
        <f>IF(H2369="","",H2369&amp;I2369)</f>
        <v/>
      </c>
      <c r="S2369" s="22" t="str">
        <f>IF(C2369="","",C2369&amp;I2369)</f>
        <v/>
      </c>
      <c r="T2369" t="str">
        <f>IF(OR(C2369="",I2369&lt;&gt;"ENTRADA"),"",TEXT(B2369,"AAMMDD")&amp;"-"&amp;TEXT(VALUE(SUBSTITUTE(A2369,"MOV-","")),"000"))</f>
        <v/>
      </c>
    </row>
    <row r="2370" spans="18:20">
      <c r="R2370" s="22" t="str">
        <f>IF(H2370="","",H2370&amp;I2370)</f>
        <v/>
      </c>
      <c r="S2370" s="22" t="str">
        <f>IF(C2370="","",C2370&amp;I2370)</f>
        <v/>
      </c>
      <c r="T2370" t="str">
        <f>IF(OR(C2370="",I2370&lt;&gt;"ENTRADA"),"",TEXT(B2370,"AAMMDD")&amp;"-"&amp;TEXT(VALUE(SUBSTITUTE(A2370,"MOV-","")),"000"))</f>
        <v/>
      </c>
    </row>
    <row r="2371" spans="18:20">
      <c r="R2371" s="22" t="str">
        <f>IF(H2371="","",H2371&amp;I2371)</f>
        <v/>
      </c>
      <c r="S2371" s="22" t="str">
        <f>IF(C2371="","",C2371&amp;I2371)</f>
        <v/>
      </c>
      <c r="T2371" t="str">
        <f>IF(OR(C2371="",I2371&lt;&gt;"ENTRADA"),"",TEXT(B2371,"AAMMDD")&amp;"-"&amp;TEXT(VALUE(SUBSTITUTE(A2371,"MOV-","")),"000"))</f>
        <v/>
      </c>
    </row>
    <row r="2372" spans="18:20">
      <c r="R2372" s="22" t="str">
        <f>IF(H2372="","",H2372&amp;I2372)</f>
        <v/>
      </c>
      <c r="S2372" s="22" t="str">
        <f>IF(C2372="","",C2372&amp;I2372)</f>
        <v/>
      </c>
      <c r="T2372" t="str">
        <f>IF(OR(C2372="",I2372&lt;&gt;"ENTRADA"),"",TEXT(B2372,"AAMMDD")&amp;"-"&amp;TEXT(VALUE(SUBSTITUTE(A2372,"MOV-","")),"000"))</f>
        <v/>
      </c>
    </row>
    <row r="2373" spans="18:20">
      <c r="R2373" s="22" t="str">
        <f>IF(H2373="","",H2373&amp;I2373)</f>
        <v/>
      </c>
      <c r="S2373" s="22" t="str">
        <f>IF(C2373="","",C2373&amp;I2373)</f>
        <v/>
      </c>
      <c r="T2373" t="str">
        <f>IF(OR(C2373="",I2373&lt;&gt;"ENTRADA"),"",TEXT(B2373,"AAMMDD")&amp;"-"&amp;TEXT(VALUE(SUBSTITUTE(A2373,"MOV-","")),"000"))</f>
        <v/>
      </c>
    </row>
    <row r="2374" spans="18:20">
      <c r="R2374" s="22" t="str">
        <f>IF(H2374="","",H2374&amp;I2374)</f>
        <v/>
      </c>
      <c r="S2374" s="22" t="str">
        <f>IF(C2374="","",C2374&amp;I2374)</f>
        <v/>
      </c>
      <c r="T2374" t="str">
        <f>IF(OR(C2374="",I2374&lt;&gt;"ENTRADA"),"",TEXT(B2374,"AAMMDD")&amp;"-"&amp;TEXT(VALUE(SUBSTITUTE(A2374,"MOV-","")),"000"))</f>
        <v/>
      </c>
    </row>
    <row r="2375" spans="18:20">
      <c r="R2375" s="22" t="str">
        <f>IF(H2375="","",H2375&amp;I2375)</f>
        <v/>
      </c>
      <c r="S2375" s="22" t="str">
        <f>IF(C2375="","",C2375&amp;I2375)</f>
        <v/>
      </c>
      <c r="T2375" t="str">
        <f>IF(OR(C2375="",I2375&lt;&gt;"ENTRADA"),"",TEXT(B2375,"AAMMDD")&amp;"-"&amp;TEXT(VALUE(SUBSTITUTE(A2375,"MOV-","")),"000"))</f>
        <v/>
      </c>
    </row>
    <row r="2376" spans="18:20">
      <c r="R2376" s="22" t="str">
        <f>IF(H2376="","",H2376&amp;I2376)</f>
        <v/>
      </c>
      <c r="S2376" s="22" t="str">
        <f>IF(C2376="","",C2376&amp;I2376)</f>
        <v/>
      </c>
      <c r="T2376" t="str">
        <f>IF(OR(C2376="",I2376&lt;&gt;"ENTRADA"),"",TEXT(B2376,"AAMMDD")&amp;"-"&amp;TEXT(VALUE(SUBSTITUTE(A2376,"MOV-","")),"000"))</f>
        <v/>
      </c>
    </row>
    <row r="2377" spans="18:20">
      <c r="R2377" s="22" t="str">
        <f>IF(H2377="","",H2377&amp;I2377)</f>
        <v/>
      </c>
      <c r="S2377" s="22" t="str">
        <f>IF(C2377="","",C2377&amp;I2377)</f>
        <v/>
      </c>
      <c r="T2377" t="str">
        <f>IF(OR(C2377="",I2377&lt;&gt;"ENTRADA"),"",TEXT(B2377,"AAMMDD")&amp;"-"&amp;TEXT(VALUE(SUBSTITUTE(A2377,"MOV-","")),"000"))</f>
        <v/>
      </c>
    </row>
    <row r="2378" spans="18:20">
      <c r="R2378" s="22" t="str">
        <f>IF(H2378="","",H2378&amp;I2378)</f>
        <v/>
      </c>
      <c r="S2378" s="22" t="str">
        <f>IF(C2378="","",C2378&amp;I2378)</f>
        <v/>
      </c>
      <c r="T2378" t="str">
        <f>IF(OR(C2378="",I2378&lt;&gt;"ENTRADA"),"",TEXT(B2378,"AAMMDD")&amp;"-"&amp;TEXT(VALUE(SUBSTITUTE(A2378,"MOV-","")),"000"))</f>
        <v/>
      </c>
    </row>
    <row r="2379" spans="18:20">
      <c r="R2379" s="22" t="str">
        <f>IF(H2379="","",H2379&amp;I2379)</f>
        <v/>
      </c>
      <c r="S2379" s="22" t="str">
        <f>IF(C2379="","",C2379&amp;I2379)</f>
        <v/>
      </c>
      <c r="T2379" t="str">
        <f>IF(OR(C2379="",I2379&lt;&gt;"ENTRADA"),"",TEXT(B2379,"AAMMDD")&amp;"-"&amp;TEXT(VALUE(SUBSTITUTE(A2379,"MOV-","")),"000"))</f>
        <v/>
      </c>
    </row>
    <row r="2380" spans="18:20">
      <c r="R2380" s="22" t="str">
        <f>IF(H2380="","",H2380&amp;I2380)</f>
        <v/>
      </c>
      <c r="S2380" s="22" t="str">
        <f>IF(C2380="","",C2380&amp;I2380)</f>
        <v/>
      </c>
      <c r="T2380" t="str">
        <f>IF(OR(C2380="",I2380&lt;&gt;"ENTRADA"),"",TEXT(B2380,"AAMMDD")&amp;"-"&amp;TEXT(VALUE(SUBSTITUTE(A2380,"MOV-","")),"000"))</f>
        <v/>
      </c>
    </row>
    <row r="2381" spans="18:20">
      <c r="R2381" s="22" t="str">
        <f>IF(H2381="","",H2381&amp;I2381)</f>
        <v/>
      </c>
      <c r="S2381" s="22" t="str">
        <f>IF(C2381="","",C2381&amp;I2381)</f>
        <v/>
      </c>
      <c r="T2381" t="str">
        <f>IF(OR(C2381="",I2381&lt;&gt;"ENTRADA"),"",TEXT(B2381,"AAMMDD")&amp;"-"&amp;TEXT(VALUE(SUBSTITUTE(A2381,"MOV-","")),"000"))</f>
        <v/>
      </c>
    </row>
    <row r="2382" spans="18:20">
      <c r="R2382" s="22" t="str">
        <f>IF(H2382="","",H2382&amp;I2382)</f>
        <v/>
      </c>
      <c r="S2382" s="22" t="str">
        <f>IF(C2382="","",C2382&amp;I2382)</f>
        <v/>
      </c>
      <c r="T2382" t="str">
        <f>IF(OR(C2382="",I2382&lt;&gt;"ENTRADA"),"",TEXT(B2382,"AAMMDD")&amp;"-"&amp;TEXT(VALUE(SUBSTITUTE(A2382,"MOV-","")),"000"))</f>
        <v/>
      </c>
    </row>
    <row r="2383" spans="18:20">
      <c r="R2383" s="22" t="str">
        <f>IF(H2383="","",H2383&amp;I2383)</f>
        <v/>
      </c>
      <c r="S2383" s="22" t="str">
        <f>IF(C2383="","",C2383&amp;I2383)</f>
        <v/>
      </c>
      <c r="T2383" t="str">
        <f>IF(OR(C2383="",I2383&lt;&gt;"ENTRADA"),"",TEXT(B2383,"AAMMDD")&amp;"-"&amp;TEXT(VALUE(SUBSTITUTE(A2383,"MOV-","")),"000"))</f>
        <v/>
      </c>
    </row>
    <row r="2384" spans="18:20">
      <c r="R2384" s="22" t="str">
        <f>IF(H2384="","",H2384&amp;I2384)</f>
        <v/>
      </c>
      <c r="S2384" s="22" t="str">
        <f>IF(C2384="","",C2384&amp;I2384)</f>
        <v/>
      </c>
      <c r="T2384" t="str">
        <f>IF(OR(C2384="",I2384&lt;&gt;"ENTRADA"),"",TEXT(B2384,"AAMMDD")&amp;"-"&amp;TEXT(VALUE(SUBSTITUTE(A2384,"MOV-","")),"000"))</f>
        <v/>
      </c>
    </row>
    <row r="2385" spans="18:20">
      <c r="R2385" s="22" t="str">
        <f>IF(H2385="","",H2385&amp;I2385)</f>
        <v/>
      </c>
      <c r="S2385" s="22" t="str">
        <f>IF(C2385="","",C2385&amp;I2385)</f>
        <v/>
      </c>
      <c r="T2385" t="str">
        <f>IF(OR(C2385="",I2385&lt;&gt;"ENTRADA"),"",TEXT(B2385,"AAMMDD")&amp;"-"&amp;TEXT(VALUE(SUBSTITUTE(A2385,"MOV-","")),"000"))</f>
        <v/>
      </c>
    </row>
    <row r="2386" spans="18:20">
      <c r="R2386" s="22" t="str">
        <f>IF(H2386="","",H2386&amp;I2386)</f>
        <v/>
      </c>
      <c r="S2386" s="22" t="str">
        <f>IF(C2386="","",C2386&amp;I2386)</f>
        <v/>
      </c>
      <c r="T2386" t="str">
        <f>IF(OR(C2386="",I2386&lt;&gt;"ENTRADA"),"",TEXT(B2386,"AAMMDD")&amp;"-"&amp;TEXT(VALUE(SUBSTITUTE(A2386,"MOV-","")),"000"))</f>
        <v/>
      </c>
    </row>
    <row r="2387" spans="18:20">
      <c r="R2387" s="22" t="str">
        <f>IF(H2387="","",H2387&amp;I2387)</f>
        <v/>
      </c>
      <c r="S2387" s="22" t="str">
        <f>IF(C2387="","",C2387&amp;I2387)</f>
        <v/>
      </c>
      <c r="T2387" t="str">
        <f>IF(OR(C2387="",I2387&lt;&gt;"ENTRADA"),"",TEXT(B2387,"AAMMDD")&amp;"-"&amp;TEXT(VALUE(SUBSTITUTE(A2387,"MOV-","")),"000"))</f>
        <v/>
      </c>
    </row>
    <row r="2388" spans="18:20">
      <c r="R2388" s="22" t="str">
        <f>IF(H2388="","",H2388&amp;I2388)</f>
        <v/>
      </c>
      <c r="S2388" s="22" t="str">
        <f>IF(C2388="","",C2388&amp;I2388)</f>
        <v/>
      </c>
      <c r="T2388" t="str">
        <f>IF(OR(C2388="",I2388&lt;&gt;"ENTRADA"),"",TEXT(B2388,"AAMMDD")&amp;"-"&amp;TEXT(VALUE(SUBSTITUTE(A2388,"MOV-","")),"000"))</f>
        <v/>
      </c>
    </row>
    <row r="2389" spans="18:20">
      <c r="R2389" s="22" t="str">
        <f>IF(H2389="","",H2389&amp;I2389)</f>
        <v/>
      </c>
      <c r="S2389" s="22" t="str">
        <f>IF(C2389="","",C2389&amp;I2389)</f>
        <v/>
      </c>
      <c r="T2389" t="str">
        <f>IF(OR(C2389="",I2389&lt;&gt;"ENTRADA"),"",TEXT(B2389,"AAMMDD")&amp;"-"&amp;TEXT(VALUE(SUBSTITUTE(A2389,"MOV-","")),"000"))</f>
        <v/>
      </c>
    </row>
    <row r="2390" spans="18:20">
      <c r="R2390" s="22" t="str">
        <f>IF(H2390="","",H2390&amp;I2390)</f>
        <v/>
      </c>
      <c r="S2390" s="22" t="str">
        <f>IF(C2390="","",C2390&amp;I2390)</f>
        <v/>
      </c>
      <c r="T2390" t="str">
        <f>IF(OR(C2390="",I2390&lt;&gt;"ENTRADA"),"",TEXT(B2390,"AAMMDD")&amp;"-"&amp;TEXT(VALUE(SUBSTITUTE(A2390,"MOV-","")),"000"))</f>
        <v/>
      </c>
    </row>
    <row r="2391" spans="18:20">
      <c r="R2391" s="22" t="str">
        <f>IF(H2391="","",H2391&amp;I2391)</f>
        <v/>
      </c>
      <c r="S2391" s="22" t="str">
        <f>IF(C2391="","",C2391&amp;I2391)</f>
        <v/>
      </c>
      <c r="T2391" t="str">
        <f>IF(OR(C2391="",I2391&lt;&gt;"ENTRADA"),"",TEXT(B2391,"AAMMDD")&amp;"-"&amp;TEXT(VALUE(SUBSTITUTE(A2391,"MOV-","")),"000"))</f>
        <v/>
      </c>
    </row>
    <row r="2392" spans="18:20">
      <c r="R2392" s="22" t="str">
        <f>IF(H2392="","",H2392&amp;I2392)</f>
        <v/>
      </c>
      <c r="S2392" s="22" t="str">
        <f>IF(C2392="","",C2392&amp;I2392)</f>
        <v/>
      </c>
      <c r="T2392" t="str">
        <f>IF(OR(C2392="",I2392&lt;&gt;"ENTRADA"),"",TEXT(B2392,"AAMMDD")&amp;"-"&amp;TEXT(VALUE(SUBSTITUTE(A2392,"MOV-","")),"000"))</f>
        <v/>
      </c>
    </row>
    <row r="2393" spans="18:20">
      <c r="R2393" s="22" t="str">
        <f>IF(H2393="","",H2393&amp;I2393)</f>
        <v/>
      </c>
      <c r="S2393" s="22" t="str">
        <f>IF(C2393="","",C2393&amp;I2393)</f>
        <v/>
      </c>
      <c r="T2393" t="str">
        <f>IF(OR(C2393="",I2393&lt;&gt;"ENTRADA"),"",TEXT(B2393,"AAMMDD")&amp;"-"&amp;TEXT(VALUE(SUBSTITUTE(A2393,"MOV-","")),"000"))</f>
        <v/>
      </c>
    </row>
    <row r="2394" spans="18:20">
      <c r="R2394" s="22" t="str">
        <f>IF(H2394="","",H2394&amp;I2394)</f>
        <v/>
      </c>
      <c r="S2394" s="22" t="str">
        <f>IF(C2394="","",C2394&amp;I2394)</f>
        <v/>
      </c>
      <c r="T2394" t="str">
        <f>IF(OR(C2394="",I2394&lt;&gt;"ENTRADA"),"",TEXT(B2394,"AAMMDD")&amp;"-"&amp;TEXT(VALUE(SUBSTITUTE(A2394,"MOV-","")),"000"))</f>
        <v/>
      </c>
    </row>
    <row r="2395" spans="18:20">
      <c r="R2395" s="22" t="str">
        <f>IF(H2395="","",H2395&amp;I2395)</f>
        <v/>
      </c>
      <c r="S2395" s="22" t="str">
        <f>IF(C2395="","",C2395&amp;I2395)</f>
        <v/>
      </c>
      <c r="T2395" t="str">
        <f>IF(OR(C2395="",I2395&lt;&gt;"ENTRADA"),"",TEXT(B2395,"AAMMDD")&amp;"-"&amp;TEXT(VALUE(SUBSTITUTE(A2395,"MOV-","")),"000"))</f>
        <v/>
      </c>
    </row>
    <row r="2396" spans="18:20">
      <c r="R2396" s="22" t="str">
        <f>IF(H2396="","",H2396&amp;I2396)</f>
        <v/>
      </c>
      <c r="S2396" s="22" t="str">
        <f>IF(C2396="","",C2396&amp;I2396)</f>
        <v/>
      </c>
      <c r="T2396" t="str">
        <f>IF(OR(C2396="",I2396&lt;&gt;"ENTRADA"),"",TEXT(B2396,"AAMMDD")&amp;"-"&amp;TEXT(VALUE(SUBSTITUTE(A2396,"MOV-","")),"000"))</f>
        <v/>
      </c>
    </row>
    <row r="2397" spans="18:20">
      <c r="R2397" s="22" t="str">
        <f>IF(H2397="","",H2397&amp;I2397)</f>
        <v/>
      </c>
      <c r="S2397" s="22" t="str">
        <f>IF(C2397="","",C2397&amp;I2397)</f>
        <v/>
      </c>
      <c r="T2397" t="str">
        <f>IF(OR(C2397="",I2397&lt;&gt;"ENTRADA"),"",TEXT(B2397,"AAMMDD")&amp;"-"&amp;TEXT(VALUE(SUBSTITUTE(A2397,"MOV-","")),"000"))</f>
        <v/>
      </c>
    </row>
    <row r="2398" spans="18:20">
      <c r="R2398" s="22" t="str">
        <f>IF(H2398="","",H2398&amp;I2398)</f>
        <v/>
      </c>
      <c r="S2398" s="22" t="str">
        <f>IF(C2398="","",C2398&amp;I2398)</f>
        <v/>
      </c>
      <c r="T2398" t="str">
        <f>IF(OR(C2398="",I2398&lt;&gt;"ENTRADA"),"",TEXT(B2398,"AAMMDD")&amp;"-"&amp;TEXT(VALUE(SUBSTITUTE(A2398,"MOV-","")),"000"))</f>
        <v/>
      </c>
    </row>
    <row r="2399" spans="18:20">
      <c r="R2399" s="22" t="str">
        <f>IF(H2399="","",H2399&amp;I2399)</f>
        <v/>
      </c>
      <c r="S2399" s="22" t="str">
        <f>IF(C2399="","",C2399&amp;I2399)</f>
        <v/>
      </c>
      <c r="T2399" t="str">
        <f>IF(OR(C2399="",I2399&lt;&gt;"ENTRADA"),"",TEXT(B2399,"AAMMDD")&amp;"-"&amp;TEXT(VALUE(SUBSTITUTE(A2399,"MOV-","")),"000"))</f>
        <v/>
      </c>
    </row>
    <row r="2400" spans="18:20">
      <c r="R2400" s="22" t="str">
        <f>IF(H2400="","",H2400&amp;I2400)</f>
        <v/>
      </c>
      <c r="S2400" s="22" t="str">
        <f>IF(C2400="","",C2400&amp;I2400)</f>
        <v/>
      </c>
      <c r="T2400" t="str">
        <f>IF(OR(C2400="",I2400&lt;&gt;"ENTRADA"),"",TEXT(B2400,"AAMMDD")&amp;"-"&amp;TEXT(VALUE(SUBSTITUTE(A2400,"MOV-","")),"000"))</f>
        <v/>
      </c>
    </row>
    <row r="2401" spans="18:20">
      <c r="R2401" s="22" t="str">
        <f>IF(H2401="","",H2401&amp;I2401)</f>
        <v/>
      </c>
      <c r="S2401" s="22" t="str">
        <f>IF(C2401="","",C2401&amp;I2401)</f>
        <v/>
      </c>
      <c r="T2401" t="str">
        <f>IF(OR(C2401="",I2401&lt;&gt;"ENTRADA"),"",TEXT(B2401,"AAMMDD")&amp;"-"&amp;TEXT(VALUE(SUBSTITUTE(A2401,"MOV-","")),"000"))</f>
        <v/>
      </c>
    </row>
    <row r="2402" spans="18:20">
      <c r="R2402" s="22" t="str">
        <f>IF(H2402="","",H2402&amp;I2402)</f>
        <v/>
      </c>
      <c r="S2402" s="22" t="str">
        <f>IF(C2402="","",C2402&amp;I2402)</f>
        <v/>
      </c>
      <c r="T2402" t="str">
        <f>IF(OR(C2402="",I2402&lt;&gt;"ENTRADA"),"",TEXT(B2402,"AAMMDD")&amp;"-"&amp;TEXT(VALUE(SUBSTITUTE(A2402,"MOV-","")),"000"))</f>
        <v/>
      </c>
    </row>
    <row r="2403" spans="18:20">
      <c r="R2403" s="22" t="str">
        <f>IF(H2403="","",H2403&amp;I2403)</f>
        <v/>
      </c>
      <c r="S2403" s="22" t="str">
        <f>IF(C2403="","",C2403&amp;I2403)</f>
        <v/>
      </c>
      <c r="T2403" t="str">
        <f>IF(OR(C2403="",I2403&lt;&gt;"ENTRADA"),"",TEXT(B2403,"AAMMDD")&amp;"-"&amp;TEXT(VALUE(SUBSTITUTE(A2403,"MOV-","")),"000"))</f>
        <v/>
      </c>
    </row>
    <row r="2404" spans="18:20">
      <c r="R2404" s="22" t="str">
        <f>IF(H2404="","",H2404&amp;I2404)</f>
        <v/>
      </c>
      <c r="S2404" s="22" t="str">
        <f>IF(C2404="","",C2404&amp;I2404)</f>
        <v/>
      </c>
      <c r="T2404" t="str">
        <f>IF(OR(C2404="",I2404&lt;&gt;"ENTRADA"),"",TEXT(B2404,"AAMMDD")&amp;"-"&amp;TEXT(VALUE(SUBSTITUTE(A2404,"MOV-","")),"000"))</f>
        <v/>
      </c>
    </row>
    <row r="2405" spans="18:20">
      <c r="R2405" s="22" t="str">
        <f>IF(H2405="","",H2405&amp;I2405)</f>
        <v/>
      </c>
      <c r="S2405" s="22" t="str">
        <f>IF(C2405="","",C2405&amp;I2405)</f>
        <v/>
      </c>
      <c r="T2405" t="str">
        <f>IF(OR(C2405="",I2405&lt;&gt;"ENTRADA"),"",TEXT(B2405,"AAMMDD")&amp;"-"&amp;TEXT(VALUE(SUBSTITUTE(A2405,"MOV-","")),"000"))</f>
        <v/>
      </c>
    </row>
    <row r="2406" spans="18:20">
      <c r="R2406" s="22" t="str">
        <f>IF(H2406="","",H2406&amp;I2406)</f>
        <v/>
      </c>
      <c r="S2406" s="22" t="str">
        <f>IF(C2406="","",C2406&amp;I2406)</f>
        <v/>
      </c>
      <c r="T2406" t="str">
        <f>IF(OR(C2406="",I2406&lt;&gt;"ENTRADA"),"",TEXT(B2406,"AAMMDD")&amp;"-"&amp;TEXT(VALUE(SUBSTITUTE(A2406,"MOV-","")),"000"))</f>
        <v/>
      </c>
    </row>
    <row r="2407" spans="18:20">
      <c r="R2407" s="22" t="str">
        <f>IF(H2407="","",H2407&amp;I2407)</f>
        <v/>
      </c>
      <c r="S2407" s="22" t="str">
        <f>IF(C2407="","",C2407&amp;I2407)</f>
        <v/>
      </c>
      <c r="T2407" t="str">
        <f>IF(OR(C2407="",I2407&lt;&gt;"ENTRADA"),"",TEXT(B2407,"AAMMDD")&amp;"-"&amp;TEXT(VALUE(SUBSTITUTE(A2407,"MOV-","")),"000"))</f>
        <v/>
      </c>
    </row>
    <row r="2408" spans="18:20">
      <c r="R2408" s="22" t="str">
        <f>IF(H2408="","",H2408&amp;I2408)</f>
        <v/>
      </c>
      <c r="S2408" s="22" t="str">
        <f>IF(C2408="","",C2408&amp;I2408)</f>
        <v/>
      </c>
      <c r="T2408" t="str">
        <f>IF(OR(C2408="",I2408&lt;&gt;"ENTRADA"),"",TEXT(B2408,"AAMMDD")&amp;"-"&amp;TEXT(VALUE(SUBSTITUTE(A2408,"MOV-","")),"000"))</f>
        <v/>
      </c>
    </row>
    <row r="2409" spans="18:20">
      <c r="R2409" s="22" t="str">
        <f>IF(H2409="","",H2409&amp;I2409)</f>
        <v/>
      </c>
      <c r="S2409" s="22" t="str">
        <f>IF(C2409="","",C2409&amp;I2409)</f>
        <v/>
      </c>
      <c r="T2409" t="str">
        <f>IF(OR(C2409="",I2409&lt;&gt;"ENTRADA"),"",TEXT(B2409,"AAMMDD")&amp;"-"&amp;TEXT(VALUE(SUBSTITUTE(A2409,"MOV-","")),"000"))</f>
        <v/>
      </c>
    </row>
    <row r="2410" spans="18:20">
      <c r="R2410" s="22" t="str">
        <f>IF(H2410="","",H2410&amp;I2410)</f>
        <v/>
      </c>
      <c r="S2410" s="22" t="str">
        <f>IF(C2410="","",C2410&amp;I2410)</f>
        <v/>
      </c>
      <c r="T2410" t="str">
        <f>IF(OR(C2410="",I2410&lt;&gt;"ENTRADA"),"",TEXT(B2410,"AAMMDD")&amp;"-"&amp;TEXT(VALUE(SUBSTITUTE(A2410,"MOV-","")),"000"))</f>
        <v/>
      </c>
    </row>
    <row r="2411" spans="18:20">
      <c r="R2411" s="22" t="str">
        <f>IF(H2411="","",H2411&amp;I2411)</f>
        <v/>
      </c>
      <c r="S2411" s="22" t="str">
        <f>IF(C2411="","",C2411&amp;I2411)</f>
        <v/>
      </c>
      <c r="T2411" t="str">
        <f>IF(OR(C2411="",I2411&lt;&gt;"ENTRADA"),"",TEXT(B2411,"AAMMDD")&amp;"-"&amp;TEXT(VALUE(SUBSTITUTE(A2411,"MOV-","")),"000"))</f>
        <v/>
      </c>
    </row>
    <row r="2412" spans="18:20">
      <c r="R2412" s="22" t="str">
        <f>IF(H2412="","",H2412&amp;I2412)</f>
        <v/>
      </c>
      <c r="S2412" s="22" t="str">
        <f>IF(C2412="","",C2412&amp;I2412)</f>
        <v/>
      </c>
      <c r="T2412" t="str">
        <f>IF(OR(C2412="",I2412&lt;&gt;"ENTRADA"),"",TEXT(B2412,"AAMMDD")&amp;"-"&amp;TEXT(VALUE(SUBSTITUTE(A2412,"MOV-","")),"000"))</f>
        <v/>
      </c>
    </row>
    <row r="2413" spans="18:20">
      <c r="R2413" s="22" t="str">
        <f>IF(H2413="","",H2413&amp;I2413)</f>
        <v/>
      </c>
      <c r="S2413" s="22" t="str">
        <f>IF(C2413="","",C2413&amp;I2413)</f>
        <v/>
      </c>
      <c r="T2413" t="str">
        <f>IF(OR(C2413="",I2413&lt;&gt;"ENTRADA"),"",TEXT(B2413,"AAMMDD")&amp;"-"&amp;TEXT(VALUE(SUBSTITUTE(A2413,"MOV-","")),"000"))</f>
        <v/>
      </c>
    </row>
    <row r="2414" spans="18:20">
      <c r="R2414" s="22" t="str">
        <f>IF(H2414="","",H2414&amp;I2414)</f>
        <v/>
      </c>
      <c r="S2414" s="22" t="str">
        <f>IF(C2414="","",C2414&amp;I2414)</f>
        <v/>
      </c>
      <c r="T2414" t="str">
        <f>IF(OR(C2414="",I2414&lt;&gt;"ENTRADA"),"",TEXT(B2414,"AAMMDD")&amp;"-"&amp;TEXT(VALUE(SUBSTITUTE(A2414,"MOV-","")),"000"))</f>
        <v/>
      </c>
    </row>
    <row r="2415" spans="18:20">
      <c r="R2415" s="22" t="str">
        <f>IF(H2415="","",H2415&amp;I2415)</f>
        <v/>
      </c>
      <c r="S2415" s="22" t="str">
        <f>IF(C2415="","",C2415&amp;I2415)</f>
        <v/>
      </c>
      <c r="T2415" t="str">
        <f>IF(OR(C2415="",I2415&lt;&gt;"ENTRADA"),"",TEXT(B2415,"AAMMDD")&amp;"-"&amp;TEXT(VALUE(SUBSTITUTE(A2415,"MOV-","")),"000"))</f>
        <v/>
      </c>
    </row>
    <row r="2416" spans="18:20">
      <c r="R2416" s="22" t="str">
        <f>IF(H2416="","",H2416&amp;I2416)</f>
        <v/>
      </c>
      <c r="S2416" s="22" t="str">
        <f>IF(C2416="","",C2416&amp;I2416)</f>
        <v/>
      </c>
      <c r="T2416" t="str">
        <f>IF(OR(C2416="",I2416&lt;&gt;"ENTRADA"),"",TEXT(B2416,"AAMMDD")&amp;"-"&amp;TEXT(VALUE(SUBSTITUTE(A2416,"MOV-","")),"000"))</f>
        <v/>
      </c>
    </row>
    <row r="2417" spans="18:20">
      <c r="R2417" s="22" t="str">
        <f>IF(H2417="","",H2417&amp;I2417)</f>
        <v/>
      </c>
      <c r="S2417" s="22" t="str">
        <f>IF(C2417="","",C2417&amp;I2417)</f>
        <v/>
      </c>
      <c r="T2417" t="str">
        <f>IF(OR(C2417="",I2417&lt;&gt;"ENTRADA"),"",TEXT(B2417,"AAMMDD")&amp;"-"&amp;TEXT(VALUE(SUBSTITUTE(A2417,"MOV-","")),"000"))</f>
        <v/>
      </c>
    </row>
    <row r="2418" spans="18:20">
      <c r="R2418" s="22" t="str">
        <f>IF(H2418="","",H2418&amp;I2418)</f>
        <v/>
      </c>
      <c r="S2418" s="22" t="str">
        <f>IF(C2418="","",C2418&amp;I2418)</f>
        <v/>
      </c>
      <c r="T2418" t="str">
        <f>IF(OR(C2418="",I2418&lt;&gt;"ENTRADA"),"",TEXT(B2418,"AAMMDD")&amp;"-"&amp;TEXT(VALUE(SUBSTITUTE(A2418,"MOV-","")),"000"))</f>
        <v/>
      </c>
    </row>
    <row r="2419" spans="18:20">
      <c r="R2419" s="22" t="str">
        <f>IF(H2419="","",H2419&amp;I2419)</f>
        <v/>
      </c>
      <c r="S2419" s="22" t="str">
        <f>IF(C2419="","",C2419&amp;I2419)</f>
        <v/>
      </c>
      <c r="T2419" t="str">
        <f>IF(OR(C2419="",I2419&lt;&gt;"ENTRADA"),"",TEXT(B2419,"AAMMDD")&amp;"-"&amp;TEXT(VALUE(SUBSTITUTE(A2419,"MOV-","")),"000"))</f>
        <v/>
      </c>
    </row>
    <row r="2420" spans="18:20">
      <c r="R2420" s="22" t="str">
        <f>IF(H2420="","",H2420&amp;I2420)</f>
        <v/>
      </c>
      <c r="S2420" s="22" t="str">
        <f>IF(C2420="","",C2420&amp;I2420)</f>
        <v/>
      </c>
      <c r="T2420" t="str">
        <f>IF(OR(C2420="",I2420&lt;&gt;"ENTRADA"),"",TEXT(B2420,"AAMMDD")&amp;"-"&amp;TEXT(VALUE(SUBSTITUTE(A2420,"MOV-","")),"000"))</f>
        <v/>
      </c>
    </row>
    <row r="2421" spans="18:20">
      <c r="R2421" s="22" t="str">
        <f>IF(H2421="","",H2421&amp;I2421)</f>
        <v/>
      </c>
      <c r="S2421" s="22" t="str">
        <f>IF(C2421="","",C2421&amp;I2421)</f>
        <v/>
      </c>
      <c r="T2421" t="str">
        <f>IF(OR(C2421="",I2421&lt;&gt;"ENTRADA"),"",TEXT(B2421,"AAMMDD")&amp;"-"&amp;TEXT(VALUE(SUBSTITUTE(A2421,"MOV-","")),"000"))</f>
        <v/>
      </c>
    </row>
    <row r="2422" spans="18:20">
      <c r="R2422" s="22" t="str">
        <f>IF(H2422="","",H2422&amp;I2422)</f>
        <v/>
      </c>
      <c r="S2422" s="22" t="str">
        <f>IF(C2422="","",C2422&amp;I2422)</f>
        <v/>
      </c>
      <c r="T2422" t="str">
        <f>IF(OR(C2422="",I2422&lt;&gt;"ENTRADA"),"",TEXT(B2422,"AAMMDD")&amp;"-"&amp;TEXT(VALUE(SUBSTITUTE(A2422,"MOV-","")),"000"))</f>
        <v/>
      </c>
    </row>
    <row r="2423" spans="18:20">
      <c r="R2423" s="22" t="str">
        <f>IF(H2423="","",H2423&amp;I2423)</f>
        <v/>
      </c>
      <c r="S2423" s="22" t="str">
        <f>IF(C2423="","",C2423&amp;I2423)</f>
        <v/>
      </c>
      <c r="T2423" t="str">
        <f>IF(OR(C2423="",I2423&lt;&gt;"ENTRADA"),"",TEXT(B2423,"AAMMDD")&amp;"-"&amp;TEXT(VALUE(SUBSTITUTE(A2423,"MOV-","")),"000"))</f>
        <v/>
      </c>
    </row>
    <row r="2424" spans="18:20">
      <c r="R2424" s="22" t="str">
        <f>IF(H2424="","",H2424&amp;I2424)</f>
        <v/>
      </c>
      <c r="S2424" s="22" t="str">
        <f>IF(C2424="","",C2424&amp;I2424)</f>
        <v/>
      </c>
      <c r="T2424" t="str">
        <f>IF(OR(C2424="",I2424&lt;&gt;"ENTRADA"),"",TEXT(B2424,"AAMMDD")&amp;"-"&amp;TEXT(VALUE(SUBSTITUTE(A2424,"MOV-","")),"000"))</f>
        <v/>
      </c>
    </row>
    <row r="2425" spans="18:20">
      <c r="R2425" s="22" t="str">
        <f>IF(H2425="","",H2425&amp;I2425)</f>
        <v/>
      </c>
      <c r="S2425" s="22" t="str">
        <f>IF(C2425="","",C2425&amp;I2425)</f>
        <v/>
      </c>
      <c r="T2425" t="str">
        <f>IF(OR(C2425="",I2425&lt;&gt;"ENTRADA"),"",TEXT(B2425,"AAMMDD")&amp;"-"&amp;TEXT(VALUE(SUBSTITUTE(A2425,"MOV-","")),"000"))</f>
        <v/>
      </c>
    </row>
    <row r="2426" spans="18:20">
      <c r="R2426" s="22" t="str">
        <f>IF(H2426="","",H2426&amp;I2426)</f>
        <v/>
      </c>
      <c r="S2426" s="22" t="str">
        <f>IF(C2426="","",C2426&amp;I2426)</f>
        <v/>
      </c>
      <c r="T2426" t="str">
        <f>IF(OR(C2426="",I2426&lt;&gt;"ENTRADA"),"",TEXT(B2426,"AAMMDD")&amp;"-"&amp;TEXT(VALUE(SUBSTITUTE(A2426,"MOV-","")),"000"))</f>
        <v/>
      </c>
    </row>
    <row r="2427" spans="18:20">
      <c r="R2427" s="22" t="str">
        <f>IF(H2427="","",H2427&amp;I2427)</f>
        <v/>
      </c>
      <c r="S2427" s="22" t="str">
        <f>IF(C2427="","",C2427&amp;I2427)</f>
        <v/>
      </c>
      <c r="T2427" t="str">
        <f>IF(OR(C2427="",I2427&lt;&gt;"ENTRADA"),"",TEXT(B2427,"AAMMDD")&amp;"-"&amp;TEXT(VALUE(SUBSTITUTE(A2427,"MOV-","")),"000"))</f>
        <v/>
      </c>
    </row>
    <row r="2428" spans="18:20">
      <c r="R2428" s="22" t="str">
        <f>IF(H2428="","",H2428&amp;I2428)</f>
        <v/>
      </c>
      <c r="S2428" s="22" t="str">
        <f>IF(C2428="","",C2428&amp;I2428)</f>
        <v/>
      </c>
      <c r="T2428" t="str">
        <f>IF(OR(C2428="",I2428&lt;&gt;"ENTRADA"),"",TEXT(B2428,"AAMMDD")&amp;"-"&amp;TEXT(VALUE(SUBSTITUTE(A2428,"MOV-","")),"000"))</f>
        <v/>
      </c>
    </row>
    <row r="2429" spans="18:20">
      <c r="R2429" s="22" t="str">
        <f>IF(H2429="","",H2429&amp;I2429)</f>
        <v/>
      </c>
      <c r="S2429" s="22" t="str">
        <f>IF(C2429="","",C2429&amp;I2429)</f>
        <v/>
      </c>
      <c r="T2429" t="str">
        <f>IF(OR(C2429="",I2429&lt;&gt;"ENTRADA"),"",TEXT(B2429,"AAMMDD")&amp;"-"&amp;TEXT(VALUE(SUBSTITUTE(A2429,"MOV-","")),"000"))</f>
        <v/>
      </c>
    </row>
    <row r="2430" spans="18:20">
      <c r="R2430" s="22" t="str">
        <f>IF(H2430="","",H2430&amp;I2430)</f>
        <v/>
      </c>
      <c r="S2430" s="22" t="str">
        <f>IF(C2430="","",C2430&amp;I2430)</f>
        <v/>
      </c>
      <c r="T2430" t="str">
        <f>IF(OR(C2430="",I2430&lt;&gt;"ENTRADA"),"",TEXT(B2430,"AAMMDD")&amp;"-"&amp;TEXT(VALUE(SUBSTITUTE(A2430,"MOV-","")),"000"))</f>
        <v/>
      </c>
    </row>
    <row r="2431" spans="18:20">
      <c r="R2431" s="22" t="str">
        <f>IF(H2431="","",H2431&amp;I2431)</f>
        <v/>
      </c>
      <c r="S2431" s="22" t="str">
        <f>IF(C2431="","",C2431&amp;I2431)</f>
        <v/>
      </c>
      <c r="T2431" t="str">
        <f>IF(OR(C2431="",I2431&lt;&gt;"ENTRADA"),"",TEXT(B2431,"AAMMDD")&amp;"-"&amp;TEXT(VALUE(SUBSTITUTE(A2431,"MOV-","")),"000"))</f>
        <v/>
      </c>
    </row>
    <row r="2432" spans="18:20">
      <c r="R2432" s="22" t="str">
        <f>IF(H2432="","",H2432&amp;I2432)</f>
        <v/>
      </c>
      <c r="S2432" s="22" t="str">
        <f>IF(C2432="","",C2432&amp;I2432)</f>
        <v/>
      </c>
      <c r="T2432" t="str">
        <f>IF(OR(C2432="",I2432&lt;&gt;"ENTRADA"),"",TEXT(B2432,"AAMMDD")&amp;"-"&amp;TEXT(VALUE(SUBSTITUTE(A2432,"MOV-","")),"000"))</f>
        <v/>
      </c>
    </row>
    <row r="2433" spans="18:20">
      <c r="R2433" s="22" t="str">
        <f>IF(H2433="","",H2433&amp;I2433)</f>
        <v/>
      </c>
      <c r="S2433" s="22" t="str">
        <f>IF(C2433="","",C2433&amp;I2433)</f>
        <v/>
      </c>
      <c r="T2433" t="str">
        <f>IF(OR(C2433="",I2433&lt;&gt;"ENTRADA"),"",TEXT(B2433,"AAMMDD")&amp;"-"&amp;TEXT(VALUE(SUBSTITUTE(A2433,"MOV-","")),"000"))</f>
        <v/>
      </c>
    </row>
    <row r="2434" spans="18:20">
      <c r="R2434" s="22" t="str">
        <f>IF(H2434="","",H2434&amp;I2434)</f>
        <v/>
      </c>
      <c r="S2434" s="22" t="str">
        <f>IF(C2434="","",C2434&amp;I2434)</f>
        <v/>
      </c>
      <c r="T2434" t="str">
        <f>IF(OR(C2434="",I2434&lt;&gt;"ENTRADA"),"",TEXT(B2434,"AAMMDD")&amp;"-"&amp;TEXT(VALUE(SUBSTITUTE(A2434,"MOV-","")),"000"))</f>
        <v/>
      </c>
    </row>
    <row r="2435" spans="18:20">
      <c r="R2435" s="22" t="str">
        <f>IF(H2435="","",H2435&amp;I2435)</f>
        <v/>
      </c>
      <c r="S2435" s="22" t="str">
        <f>IF(C2435="","",C2435&amp;I2435)</f>
        <v/>
      </c>
      <c r="T2435" t="str">
        <f>IF(OR(C2435="",I2435&lt;&gt;"ENTRADA"),"",TEXT(B2435,"AAMMDD")&amp;"-"&amp;TEXT(VALUE(SUBSTITUTE(A2435,"MOV-","")),"000"))</f>
        <v/>
      </c>
    </row>
    <row r="2436" spans="18:20">
      <c r="R2436" s="22" t="str">
        <f>IF(H2436="","",H2436&amp;I2436)</f>
        <v/>
      </c>
      <c r="S2436" s="22" t="str">
        <f>IF(C2436="","",C2436&amp;I2436)</f>
        <v/>
      </c>
      <c r="T2436" t="str">
        <f>IF(OR(C2436="",I2436&lt;&gt;"ENTRADA"),"",TEXT(B2436,"AAMMDD")&amp;"-"&amp;TEXT(VALUE(SUBSTITUTE(A2436,"MOV-","")),"000"))</f>
        <v/>
      </c>
    </row>
    <row r="2437" spans="18:20">
      <c r="R2437" s="22" t="str">
        <f>IF(H2437="","",H2437&amp;I2437)</f>
        <v/>
      </c>
      <c r="S2437" s="22" t="str">
        <f>IF(C2437="","",C2437&amp;I2437)</f>
        <v/>
      </c>
      <c r="T2437" t="str">
        <f>IF(OR(C2437="",I2437&lt;&gt;"ENTRADA"),"",TEXT(B2437,"AAMMDD")&amp;"-"&amp;TEXT(VALUE(SUBSTITUTE(A2437,"MOV-","")),"000"))</f>
        <v/>
      </c>
    </row>
    <row r="2438" spans="18:20">
      <c r="R2438" s="22" t="str">
        <f>IF(H2438="","",H2438&amp;I2438)</f>
        <v/>
      </c>
      <c r="S2438" s="22" t="str">
        <f>IF(C2438="","",C2438&amp;I2438)</f>
        <v/>
      </c>
      <c r="T2438" t="str">
        <f>IF(OR(C2438="",I2438&lt;&gt;"ENTRADA"),"",TEXT(B2438,"AAMMDD")&amp;"-"&amp;TEXT(VALUE(SUBSTITUTE(A2438,"MOV-","")),"000"))</f>
        <v/>
      </c>
    </row>
    <row r="2439" spans="18:20">
      <c r="R2439" s="22" t="str">
        <f>IF(H2439="","",H2439&amp;I2439)</f>
        <v/>
      </c>
      <c r="S2439" s="22" t="str">
        <f>IF(C2439="","",C2439&amp;I2439)</f>
        <v/>
      </c>
      <c r="T2439" t="str">
        <f>IF(OR(C2439="",I2439&lt;&gt;"ENTRADA"),"",TEXT(B2439,"AAMMDD")&amp;"-"&amp;TEXT(VALUE(SUBSTITUTE(A2439,"MOV-","")),"000"))</f>
        <v/>
      </c>
    </row>
    <row r="2440" spans="18:20">
      <c r="R2440" s="22" t="str">
        <f>IF(H2440="","",H2440&amp;I2440)</f>
        <v/>
      </c>
      <c r="S2440" s="22" t="str">
        <f>IF(C2440="","",C2440&amp;I2440)</f>
        <v/>
      </c>
      <c r="T2440" t="str">
        <f>IF(OR(C2440="",I2440&lt;&gt;"ENTRADA"),"",TEXT(B2440,"AAMMDD")&amp;"-"&amp;TEXT(VALUE(SUBSTITUTE(A2440,"MOV-","")),"000"))</f>
        <v/>
      </c>
    </row>
    <row r="2441" spans="18:20">
      <c r="R2441" s="22" t="str">
        <f>IF(H2441="","",H2441&amp;I2441)</f>
        <v/>
      </c>
      <c r="S2441" s="22" t="str">
        <f>IF(C2441="","",C2441&amp;I2441)</f>
        <v/>
      </c>
      <c r="T2441" t="str">
        <f>IF(OR(C2441="",I2441&lt;&gt;"ENTRADA"),"",TEXT(B2441,"AAMMDD")&amp;"-"&amp;TEXT(VALUE(SUBSTITUTE(A2441,"MOV-","")),"000"))</f>
        <v/>
      </c>
    </row>
    <row r="2442" spans="18:20">
      <c r="R2442" s="22" t="str">
        <f>IF(H2442="","",H2442&amp;I2442)</f>
        <v/>
      </c>
      <c r="S2442" s="22" t="str">
        <f>IF(C2442="","",C2442&amp;I2442)</f>
        <v/>
      </c>
      <c r="T2442" t="str">
        <f>IF(OR(C2442="",I2442&lt;&gt;"ENTRADA"),"",TEXT(B2442,"AAMMDD")&amp;"-"&amp;TEXT(VALUE(SUBSTITUTE(A2442,"MOV-","")),"000"))</f>
        <v/>
      </c>
    </row>
    <row r="2443" spans="18:20">
      <c r="R2443" s="22" t="str">
        <f>IF(H2443="","",H2443&amp;I2443)</f>
        <v/>
      </c>
      <c r="S2443" s="22" t="str">
        <f>IF(C2443="","",C2443&amp;I2443)</f>
        <v/>
      </c>
      <c r="T2443" t="str">
        <f>IF(OR(C2443="",I2443&lt;&gt;"ENTRADA"),"",TEXT(B2443,"AAMMDD")&amp;"-"&amp;TEXT(VALUE(SUBSTITUTE(A2443,"MOV-","")),"000"))</f>
        <v/>
      </c>
    </row>
    <row r="2444" spans="18:20">
      <c r="R2444" s="22" t="str">
        <f>IF(H2444="","",H2444&amp;I2444)</f>
        <v/>
      </c>
      <c r="S2444" s="22" t="str">
        <f>IF(C2444="","",C2444&amp;I2444)</f>
        <v/>
      </c>
      <c r="T2444" t="str">
        <f>IF(OR(C2444="",I2444&lt;&gt;"ENTRADA"),"",TEXT(B2444,"AAMMDD")&amp;"-"&amp;TEXT(VALUE(SUBSTITUTE(A2444,"MOV-","")),"000"))</f>
        <v/>
      </c>
    </row>
    <row r="2445" spans="18:20">
      <c r="R2445" s="22" t="str">
        <f>IF(H2445="","",H2445&amp;I2445)</f>
        <v/>
      </c>
      <c r="S2445" s="22" t="str">
        <f>IF(C2445="","",C2445&amp;I2445)</f>
        <v/>
      </c>
      <c r="T2445" t="str">
        <f>IF(OR(C2445="",I2445&lt;&gt;"ENTRADA"),"",TEXT(B2445,"AAMMDD")&amp;"-"&amp;TEXT(VALUE(SUBSTITUTE(A2445,"MOV-","")),"000"))</f>
        <v/>
      </c>
    </row>
    <row r="2446" spans="18:20">
      <c r="R2446" s="22" t="str">
        <f>IF(H2446="","",H2446&amp;I2446)</f>
        <v/>
      </c>
      <c r="S2446" s="22" t="str">
        <f>IF(C2446="","",C2446&amp;I2446)</f>
        <v/>
      </c>
      <c r="T2446" t="str">
        <f>IF(OR(C2446="",I2446&lt;&gt;"ENTRADA"),"",TEXT(B2446,"AAMMDD")&amp;"-"&amp;TEXT(VALUE(SUBSTITUTE(A2446,"MOV-","")),"000"))</f>
        <v/>
      </c>
    </row>
    <row r="2447" spans="18:20">
      <c r="R2447" s="22" t="str">
        <f>IF(H2447="","",H2447&amp;I2447)</f>
        <v/>
      </c>
      <c r="S2447" s="22" t="str">
        <f>IF(C2447="","",C2447&amp;I2447)</f>
        <v/>
      </c>
      <c r="T2447" t="str">
        <f>IF(OR(C2447="",I2447&lt;&gt;"ENTRADA"),"",TEXT(B2447,"AAMMDD")&amp;"-"&amp;TEXT(VALUE(SUBSTITUTE(A2447,"MOV-","")),"000"))</f>
        <v/>
      </c>
    </row>
    <row r="2448" spans="18:20">
      <c r="R2448" s="22" t="str">
        <f>IF(H2448="","",H2448&amp;I2448)</f>
        <v/>
      </c>
      <c r="S2448" s="22" t="str">
        <f>IF(C2448="","",C2448&amp;I2448)</f>
        <v/>
      </c>
      <c r="T2448" t="str">
        <f>IF(OR(C2448="",I2448&lt;&gt;"ENTRADA"),"",TEXT(B2448,"AAMMDD")&amp;"-"&amp;TEXT(VALUE(SUBSTITUTE(A2448,"MOV-","")),"000"))</f>
        <v/>
      </c>
    </row>
    <row r="2449" spans="18:20">
      <c r="R2449" s="22" t="str">
        <f>IF(H2449="","",H2449&amp;I2449)</f>
        <v/>
      </c>
      <c r="S2449" s="22" t="str">
        <f>IF(C2449="","",C2449&amp;I2449)</f>
        <v/>
      </c>
      <c r="T2449" t="str">
        <f>IF(OR(C2449="",I2449&lt;&gt;"ENTRADA"),"",TEXT(B2449,"AAMMDD")&amp;"-"&amp;TEXT(VALUE(SUBSTITUTE(A2449,"MOV-","")),"000"))</f>
        <v/>
      </c>
    </row>
    <row r="2450" spans="18:20">
      <c r="R2450" s="22" t="str">
        <f>IF(H2450="","",H2450&amp;I2450)</f>
        <v/>
      </c>
      <c r="S2450" s="22" t="str">
        <f>IF(C2450="","",C2450&amp;I2450)</f>
        <v/>
      </c>
      <c r="T2450" t="str">
        <f>IF(OR(C2450="",I2450&lt;&gt;"ENTRADA"),"",TEXT(B2450,"AAMMDD")&amp;"-"&amp;TEXT(VALUE(SUBSTITUTE(A2450,"MOV-","")),"000"))</f>
        <v/>
      </c>
    </row>
    <row r="2451" spans="18:20">
      <c r="R2451" s="22" t="str">
        <f>IF(H2451="","",H2451&amp;I2451)</f>
        <v/>
      </c>
      <c r="S2451" s="22" t="str">
        <f>IF(C2451="","",C2451&amp;I2451)</f>
        <v/>
      </c>
      <c r="T2451" t="str">
        <f>IF(OR(C2451="",I2451&lt;&gt;"ENTRADA"),"",TEXT(B2451,"AAMMDD")&amp;"-"&amp;TEXT(VALUE(SUBSTITUTE(A2451,"MOV-","")),"000"))</f>
        <v/>
      </c>
    </row>
    <row r="2452" spans="18:20">
      <c r="R2452" s="22" t="str">
        <f>IF(H2452="","",H2452&amp;I2452)</f>
        <v/>
      </c>
      <c r="S2452" s="22" t="str">
        <f>IF(C2452="","",C2452&amp;I2452)</f>
        <v/>
      </c>
      <c r="T2452" t="str">
        <f>IF(OR(C2452="",I2452&lt;&gt;"ENTRADA"),"",TEXT(B2452,"AAMMDD")&amp;"-"&amp;TEXT(VALUE(SUBSTITUTE(A2452,"MOV-","")),"000"))</f>
        <v/>
      </c>
    </row>
    <row r="2453" spans="18:20">
      <c r="R2453" s="22" t="str">
        <f>IF(H2453="","",H2453&amp;I2453)</f>
        <v/>
      </c>
      <c r="S2453" s="22" t="str">
        <f>IF(C2453="","",C2453&amp;I2453)</f>
        <v/>
      </c>
      <c r="T2453" t="str">
        <f>IF(OR(C2453="",I2453&lt;&gt;"ENTRADA"),"",TEXT(B2453,"AAMMDD")&amp;"-"&amp;TEXT(VALUE(SUBSTITUTE(A2453,"MOV-","")),"000"))</f>
        <v/>
      </c>
    </row>
    <row r="2454" spans="18:20">
      <c r="R2454" s="22" t="str">
        <f>IF(H2454="","",H2454&amp;I2454)</f>
        <v/>
      </c>
      <c r="S2454" s="22" t="str">
        <f>IF(C2454="","",C2454&amp;I2454)</f>
        <v/>
      </c>
      <c r="T2454" t="str">
        <f>IF(OR(C2454="",I2454&lt;&gt;"ENTRADA"),"",TEXT(B2454,"AAMMDD")&amp;"-"&amp;TEXT(VALUE(SUBSTITUTE(A2454,"MOV-","")),"000"))</f>
        <v/>
      </c>
    </row>
    <row r="2455" spans="18:20">
      <c r="R2455" s="22" t="str">
        <f>IF(H2455="","",H2455&amp;I2455)</f>
        <v/>
      </c>
      <c r="S2455" s="22" t="str">
        <f>IF(C2455="","",C2455&amp;I2455)</f>
        <v/>
      </c>
      <c r="T2455" t="str">
        <f>IF(OR(C2455="",I2455&lt;&gt;"ENTRADA"),"",TEXT(B2455,"AAMMDD")&amp;"-"&amp;TEXT(VALUE(SUBSTITUTE(A2455,"MOV-","")),"000"))</f>
        <v/>
      </c>
    </row>
    <row r="2456" spans="18:20">
      <c r="R2456" s="22" t="str">
        <f>IF(H2456="","",H2456&amp;I2456)</f>
        <v/>
      </c>
      <c r="S2456" s="22" t="str">
        <f>IF(C2456="","",C2456&amp;I2456)</f>
        <v/>
      </c>
      <c r="T2456" t="str">
        <f>IF(OR(C2456="",I2456&lt;&gt;"ENTRADA"),"",TEXT(B2456,"AAMMDD")&amp;"-"&amp;TEXT(VALUE(SUBSTITUTE(A2456,"MOV-","")),"000"))</f>
        <v/>
      </c>
    </row>
    <row r="2457" spans="18:20">
      <c r="R2457" s="22" t="str">
        <f>IF(H2457="","",H2457&amp;I2457)</f>
        <v/>
      </c>
      <c r="S2457" s="22" t="str">
        <f>IF(C2457="","",C2457&amp;I2457)</f>
        <v/>
      </c>
      <c r="T2457" t="str">
        <f>IF(OR(C2457="",I2457&lt;&gt;"ENTRADA"),"",TEXT(B2457,"AAMMDD")&amp;"-"&amp;TEXT(VALUE(SUBSTITUTE(A2457,"MOV-","")),"000"))</f>
        <v/>
      </c>
    </row>
    <row r="2458" spans="18:20">
      <c r="R2458" s="22" t="str">
        <f>IF(H2458="","",H2458&amp;I2458)</f>
        <v/>
      </c>
      <c r="S2458" s="22" t="str">
        <f>IF(C2458="","",C2458&amp;I2458)</f>
        <v/>
      </c>
      <c r="T2458" t="str">
        <f>IF(OR(C2458="",I2458&lt;&gt;"ENTRADA"),"",TEXT(B2458,"AAMMDD")&amp;"-"&amp;TEXT(VALUE(SUBSTITUTE(A2458,"MOV-","")),"000"))</f>
        <v/>
      </c>
    </row>
    <row r="2459" spans="18:20">
      <c r="R2459" s="22" t="str">
        <f>IF(H2459="","",H2459&amp;I2459)</f>
        <v/>
      </c>
      <c r="S2459" s="22" t="str">
        <f>IF(C2459="","",C2459&amp;I2459)</f>
        <v/>
      </c>
      <c r="T2459" t="str">
        <f>IF(OR(C2459="",I2459&lt;&gt;"ENTRADA"),"",TEXT(B2459,"AAMMDD")&amp;"-"&amp;TEXT(VALUE(SUBSTITUTE(A2459,"MOV-","")),"000"))</f>
        <v/>
      </c>
    </row>
    <row r="2460" spans="18:20">
      <c r="R2460" s="22" t="str">
        <f>IF(H2460="","",H2460&amp;I2460)</f>
        <v/>
      </c>
      <c r="S2460" s="22" t="str">
        <f>IF(C2460="","",C2460&amp;I2460)</f>
        <v/>
      </c>
      <c r="T2460" t="str">
        <f>IF(OR(C2460="",I2460&lt;&gt;"ENTRADA"),"",TEXT(B2460,"AAMMDD")&amp;"-"&amp;TEXT(VALUE(SUBSTITUTE(A2460,"MOV-","")),"000"))</f>
        <v/>
      </c>
    </row>
    <row r="2461" spans="18:20">
      <c r="R2461" s="22" t="str">
        <f>IF(H2461="","",H2461&amp;I2461)</f>
        <v/>
      </c>
      <c r="S2461" s="22" t="str">
        <f>IF(C2461="","",C2461&amp;I2461)</f>
        <v/>
      </c>
      <c r="T2461" t="str">
        <f>IF(OR(C2461="",I2461&lt;&gt;"ENTRADA"),"",TEXT(B2461,"AAMMDD")&amp;"-"&amp;TEXT(VALUE(SUBSTITUTE(A2461,"MOV-","")),"000"))</f>
        <v/>
      </c>
    </row>
    <row r="2462" spans="18:20">
      <c r="R2462" s="22" t="str">
        <f>IF(H2462="","",H2462&amp;I2462)</f>
        <v/>
      </c>
      <c r="S2462" s="22" t="str">
        <f>IF(C2462="","",C2462&amp;I2462)</f>
        <v/>
      </c>
      <c r="T2462" t="str">
        <f>IF(OR(C2462="",I2462&lt;&gt;"ENTRADA"),"",TEXT(B2462,"AAMMDD")&amp;"-"&amp;TEXT(VALUE(SUBSTITUTE(A2462,"MOV-","")),"000"))</f>
        <v/>
      </c>
    </row>
    <row r="2463" spans="18:20">
      <c r="R2463" s="22" t="str">
        <f>IF(H2463="","",H2463&amp;I2463)</f>
        <v/>
      </c>
      <c r="S2463" s="22" t="str">
        <f>IF(C2463="","",C2463&amp;I2463)</f>
        <v/>
      </c>
      <c r="T2463" t="str">
        <f>IF(OR(C2463="",I2463&lt;&gt;"ENTRADA"),"",TEXT(B2463,"AAMMDD")&amp;"-"&amp;TEXT(VALUE(SUBSTITUTE(A2463,"MOV-","")),"000"))</f>
        <v/>
      </c>
    </row>
    <row r="2464" spans="18:20">
      <c r="R2464" s="22" t="str">
        <f>IF(H2464="","",H2464&amp;I2464)</f>
        <v/>
      </c>
      <c r="S2464" s="22" t="str">
        <f>IF(C2464="","",C2464&amp;I2464)</f>
        <v/>
      </c>
      <c r="T2464" t="str">
        <f>IF(OR(C2464="",I2464&lt;&gt;"ENTRADA"),"",TEXT(B2464,"AAMMDD")&amp;"-"&amp;TEXT(VALUE(SUBSTITUTE(A2464,"MOV-","")),"000"))</f>
        <v/>
      </c>
    </row>
    <row r="2465" spans="18:20">
      <c r="R2465" s="22" t="str">
        <f>IF(H2465="","",H2465&amp;I2465)</f>
        <v/>
      </c>
      <c r="S2465" s="22" t="str">
        <f>IF(C2465="","",C2465&amp;I2465)</f>
        <v/>
      </c>
      <c r="T2465" t="str">
        <f>IF(OR(C2465="",I2465&lt;&gt;"ENTRADA"),"",TEXT(B2465,"AAMMDD")&amp;"-"&amp;TEXT(VALUE(SUBSTITUTE(A2465,"MOV-","")),"000"))</f>
        <v/>
      </c>
    </row>
    <row r="2466" spans="18:20">
      <c r="R2466" s="22" t="str">
        <f>IF(H2466="","",H2466&amp;I2466)</f>
        <v/>
      </c>
      <c r="S2466" s="22" t="str">
        <f>IF(C2466="","",C2466&amp;I2466)</f>
        <v/>
      </c>
      <c r="T2466" t="str">
        <f>IF(OR(C2466="",I2466&lt;&gt;"ENTRADA"),"",TEXT(B2466,"AAMMDD")&amp;"-"&amp;TEXT(VALUE(SUBSTITUTE(A2466,"MOV-","")),"000"))</f>
        <v/>
      </c>
    </row>
    <row r="2467" spans="18:20">
      <c r="R2467" s="22" t="str">
        <f>IF(H2467="","",H2467&amp;I2467)</f>
        <v/>
      </c>
      <c r="S2467" s="22" t="str">
        <f>IF(C2467="","",C2467&amp;I2467)</f>
        <v/>
      </c>
      <c r="T2467" t="str">
        <f>IF(OR(C2467="",I2467&lt;&gt;"ENTRADA"),"",TEXT(B2467,"AAMMDD")&amp;"-"&amp;TEXT(VALUE(SUBSTITUTE(A2467,"MOV-","")),"000"))</f>
        <v/>
      </c>
    </row>
    <row r="2468" spans="18:20">
      <c r="R2468" s="22" t="str">
        <f>IF(H2468="","",H2468&amp;I2468)</f>
        <v/>
      </c>
      <c r="S2468" s="22" t="str">
        <f>IF(C2468="","",C2468&amp;I2468)</f>
        <v/>
      </c>
      <c r="T2468" t="str">
        <f>IF(OR(C2468="",I2468&lt;&gt;"ENTRADA"),"",TEXT(B2468,"AAMMDD")&amp;"-"&amp;TEXT(VALUE(SUBSTITUTE(A2468,"MOV-","")),"000"))</f>
        <v/>
      </c>
    </row>
    <row r="2469" spans="18:20">
      <c r="R2469" s="22" t="str">
        <f>IF(H2469="","",H2469&amp;I2469)</f>
        <v/>
      </c>
      <c r="S2469" s="22" t="str">
        <f>IF(C2469="","",C2469&amp;I2469)</f>
        <v/>
      </c>
      <c r="T2469" t="str">
        <f>IF(OR(C2469="",I2469&lt;&gt;"ENTRADA"),"",TEXT(B2469,"AAMMDD")&amp;"-"&amp;TEXT(VALUE(SUBSTITUTE(A2469,"MOV-","")),"000"))</f>
        <v/>
      </c>
    </row>
    <row r="2470" spans="18:20">
      <c r="R2470" s="22" t="str">
        <f>IF(H2470="","",H2470&amp;I2470)</f>
        <v/>
      </c>
      <c r="S2470" s="22" t="str">
        <f>IF(C2470="","",C2470&amp;I2470)</f>
        <v/>
      </c>
      <c r="T2470" t="str">
        <f>IF(OR(C2470="",I2470&lt;&gt;"ENTRADA"),"",TEXT(B2470,"AAMMDD")&amp;"-"&amp;TEXT(VALUE(SUBSTITUTE(A2470,"MOV-","")),"000"))</f>
        <v/>
      </c>
    </row>
    <row r="2471" spans="18:20">
      <c r="R2471" s="22" t="str">
        <f>IF(H2471="","",H2471&amp;I2471)</f>
        <v/>
      </c>
      <c r="S2471" s="22" t="str">
        <f>IF(C2471="","",C2471&amp;I2471)</f>
        <v/>
      </c>
      <c r="T2471" t="str">
        <f>IF(OR(C2471="",I2471&lt;&gt;"ENTRADA"),"",TEXT(B2471,"AAMMDD")&amp;"-"&amp;TEXT(VALUE(SUBSTITUTE(A2471,"MOV-","")),"000"))</f>
        <v/>
      </c>
    </row>
    <row r="2472" spans="18:20">
      <c r="R2472" s="22" t="str">
        <f>IF(H2472="","",H2472&amp;I2472)</f>
        <v/>
      </c>
      <c r="S2472" s="22" t="str">
        <f>IF(C2472="","",C2472&amp;I2472)</f>
        <v/>
      </c>
      <c r="T2472" t="str">
        <f>IF(OR(C2472="",I2472&lt;&gt;"ENTRADA"),"",TEXT(B2472,"AAMMDD")&amp;"-"&amp;TEXT(VALUE(SUBSTITUTE(A2472,"MOV-","")),"000"))</f>
        <v/>
      </c>
    </row>
    <row r="2473" spans="18:20">
      <c r="R2473" s="22" t="str">
        <f>IF(H2473="","",H2473&amp;I2473)</f>
        <v/>
      </c>
      <c r="S2473" s="22" t="str">
        <f>IF(C2473="","",C2473&amp;I2473)</f>
        <v/>
      </c>
      <c r="T2473" t="str">
        <f>IF(OR(C2473="",I2473&lt;&gt;"ENTRADA"),"",TEXT(B2473,"AAMMDD")&amp;"-"&amp;TEXT(VALUE(SUBSTITUTE(A2473,"MOV-","")),"000"))</f>
        <v/>
      </c>
    </row>
    <row r="2474" spans="18:20">
      <c r="R2474" s="22" t="str">
        <f>IF(H2474="","",H2474&amp;I2474)</f>
        <v/>
      </c>
      <c r="S2474" s="22" t="str">
        <f>IF(C2474="","",C2474&amp;I2474)</f>
        <v/>
      </c>
      <c r="T2474" t="str">
        <f>IF(OR(C2474="",I2474&lt;&gt;"ENTRADA"),"",TEXT(B2474,"AAMMDD")&amp;"-"&amp;TEXT(VALUE(SUBSTITUTE(A2474,"MOV-","")),"000"))</f>
        <v/>
      </c>
    </row>
    <row r="2475" spans="18:20">
      <c r="R2475" s="22" t="str">
        <f>IF(H2475="","",H2475&amp;I2475)</f>
        <v/>
      </c>
      <c r="S2475" s="22" t="str">
        <f>IF(C2475="","",C2475&amp;I2475)</f>
        <v/>
      </c>
      <c r="T2475" t="str">
        <f>IF(OR(C2475="",I2475&lt;&gt;"ENTRADA"),"",TEXT(B2475,"AAMMDD")&amp;"-"&amp;TEXT(VALUE(SUBSTITUTE(A2475,"MOV-","")),"000"))</f>
        <v/>
      </c>
    </row>
    <row r="2476" spans="18:20">
      <c r="R2476" s="22" t="str">
        <f>IF(H2476="","",H2476&amp;I2476)</f>
        <v/>
      </c>
      <c r="S2476" s="22" t="str">
        <f>IF(C2476="","",C2476&amp;I2476)</f>
        <v/>
      </c>
      <c r="T2476" t="str">
        <f>IF(OR(C2476="",I2476&lt;&gt;"ENTRADA"),"",TEXT(B2476,"AAMMDD")&amp;"-"&amp;TEXT(VALUE(SUBSTITUTE(A2476,"MOV-","")),"000"))</f>
        <v/>
      </c>
    </row>
    <row r="2477" spans="18:20">
      <c r="R2477" s="22" t="str">
        <f>IF(H2477="","",H2477&amp;I2477)</f>
        <v/>
      </c>
      <c r="S2477" s="22" t="str">
        <f>IF(C2477="","",C2477&amp;I2477)</f>
        <v/>
      </c>
      <c r="T2477" t="str">
        <f>IF(OR(C2477="",I2477&lt;&gt;"ENTRADA"),"",TEXT(B2477,"AAMMDD")&amp;"-"&amp;TEXT(VALUE(SUBSTITUTE(A2477,"MOV-","")),"000"))</f>
        <v/>
      </c>
    </row>
    <row r="2478" spans="18:20">
      <c r="R2478" s="22" t="str">
        <f>IF(H2478="","",H2478&amp;I2478)</f>
        <v/>
      </c>
      <c r="S2478" s="22" t="str">
        <f>IF(C2478="","",C2478&amp;I2478)</f>
        <v/>
      </c>
      <c r="T2478" t="str">
        <f>IF(OR(C2478="",I2478&lt;&gt;"ENTRADA"),"",TEXT(B2478,"AAMMDD")&amp;"-"&amp;TEXT(VALUE(SUBSTITUTE(A2478,"MOV-","")),"000"))</f>
        <v/>
      </c>
    </row>
    <row r="2479" spans="18:20">
      <c r="R2479" s="22" t="str">
        <f>IF(H2479="","",H2479&amp;I2479)</f>
        <v/>
      </c>
      <c r="S2479" s="22" t="str">
        <f>IF(C2479="","",C2479&amp;I2479)</f>
        <v/>
      </c>
      <c r="T2479" t="str">
        <f>IF(OR(C2479="",I2479&lt;&gt;"ENTRADA"),"",TEXT(B2479,"AAMMDD")&amp;"-"&amp;TEXT(VALUE(SUBSTITUTE(A2479,"MOV-","")),"000"))</f>
        <v/>
      </c>
    </row>
    <row r="2480" spans="18:20">
      <c r="R2480" s="22" t="str">
        <f>IF(H2480="","",H2480&amp;I2480)</f>
        <v/>
      </c>
      <c r="S2480" s="22" t="str">
        <f>IF(C2480="","",C2480&amp;I2480)</f>
        <v/>
      </c>
      <c r="T2480" t="str">
        <f>IF(OR(C2480="",I2480&lt;&gt;"ENTRADA"),"",TEXT(B2480,"AAMMDD")&amp;"-"&amp;TEXT(VALUE(SUBSTITUTE(A2480,"MOV-","")),"000"))</f>
        <v/>
      </c>
    </row>
    <row r="2481" spans="18:20">
      <c r="R2481" s="22" t="str">
        <f>IF(H2481="","",H2481&amp;I2481)</f>
        <v/>
      </c>
      <c r="S2481" s="22" t="str">
        <f>IF(C2481="","",C2481&amp;I2481)</f>
        <v/>
      </c>
      <c r="T2481" t="str">
        <f>IF(OR(C2481="",I2481&lt;&gt;"ENTRADA"),"",TEXT(B2481,"AAMMDD")&amp;"-"&amp;TEXT(VALUE(SUBSTITUTE(A2481,"MOV-","")),"000"))</f>
        <v/>
      </c>
    </row>
    <row r="2482" spans="18:20">
      <c r="R2482" s="22" t="str">
        <f>IF(H2482="","",H2482&amp;I2482)</f>
        <v/>
      </c>
      <c r="S2482" s="22" t="str">
        <f>IF(C2482="","",C2482&amp;I2482)</f>
        <v/>
      </c>
      <c r="T2482" t="str">
        <f>IF(OR(C2482="",I2482&lt;&gt;"ENTRADA"),"",TEXT(B2482,"AAMMDD")&amp;"-"&amp;TEXT(VALUE(SUBSTITUTE(A2482,"MOV-","")),"000"))</f>
        <v/>
      </c>
    </row>
    <row r="2483" spans="18:20">
      <c r="R2483" s="22" t="str">
        <f>IF(H2483="","",H2483&amp;I2483)</f>
        <v/>
      </c>
      <c r="S2483" s="22" t="str">
        <f>IF(C2483="","",C2483&amp;I2483)</f>
        <v/>
      </c>
      <c r="T2483" t="str">
        <f>IF(OR(C2483="",I2483&lt;&gt;"ENTRADA"),"",TEXT(B2483,"AAMMDD")&amp;"-"&amp;TEXT(VALUE(SUBSTITUTE(A2483,"MOV-","")),"000"))</f>
        <v/>
      </c>
    </row>
    <row r="2484" spans="18:20">
      <c r="R2484" s="22" t="str">
        <f>IF(H2484="","",H2484&amp;I2484)</f>
        <v/>
      </c>
      <c r="S2484" s="22" t="str">
        <f>IF(C2484="","",C2484&amp;I2484)</f>
        <v/>
      </c>
      <c r="T2484" t="str">
        <f>IF(OR(C2484="",I2484&lt;&gt;"ENTRADA"),"",TEXT(B2484,"AAMMDD")&amp;"-"&amp;TEXT(VALUE(SUBSTITUTE(A2484,"MOV-","")),"000"))</f>
        <v/>
      </c>
    </row>
    <row r="2485" spans="18:20">
      <c r="R2485" s="22" t="str">
        <f>IF(H2485="","",H2485&amp;I2485)</f>
        <v/>
      </c>
      <c r="S2485" s="22" t="str">
        <f>IF(C2485="","",C2485&amp;I2485)</f>
        <v/>
      </c>
      <c r="T2485" t="str">
        <f>IF(OR(C2485="",I2485&lt;&gt;"ENTRADA"),"",TEXT(B2485,"AAMMDD")&amp;"-"&amp;TEXT(VALUE(SUBSTITUTE(A2485,"MOV-","")),"000"))</f>
        <v/>
      </c>
    </row>
    <row r="2486" spans="18:20">
      <c r="R2486" s="22" t="str">
        <f>IF(H2486="","",H2486&amp;I2486)</f>
        <v/>
      </c>
      <c r="S2486" s="22" t="str">
        <f>IF(C2486="","",C2486&amp;I2486)</f>
        <v/>
      </c>
      <c r="T2486" t="str">
        <f>IF(OR(C2486="",I2486&lt;&gt;"ENTRADA"),"",TEXT(B2486,"AAMMDD")&amp;"-"&amp;TEXT(VALUE(SUBSTITUTE(A2486,"MOV-","")),"000"))</f>
        <v/>
      </c>
    </row>
    <row r="2487" spans="18:20">
      <c r="R2487" s="22" t="str">
        <f>IF(H2487="","",H2487&amp;I2487)</f>
        <v/>
      </c>
      <c r="S2487" s="22" t="str">
        <f>IF(C2487="","",C2487&amp;I2487)</f>
        <v/>
      </c>
      <c r="T2487" t="str">
        <f>IF(OR(C2487="",I2487&lt;&gt;"ENTRADA"),"",TEXT(B2487,"AAMMDD")&amp;"-"&amp;TEXT(VALUE(SUBSTITUTE(A2487,"MOV-","")),"000"))</f>
        <v/>
      </c>
    </row>
    <row r="2488" spans="18:20">
      <c r="R2488" s="22" t="str">
        <f>IF(H2488="","",H2488&amp;I2488)</f>
        <v/>
      </c>
      <c r="S2488" s="22" t="str">
        <f>IF(C2488="","",C2488&amp;I2488)</f>
        <v/>
      </c>
      <c r="T2488" t="str">
        <f>IF(OR(C2488="",I2488&lt;&gt;"ENTRADA"),"",TEXT(B2488,"AAMMDD")&amp;"-"&amp;TEXT(VALUE(SUBSTITUTE(A2488,"MOV-","")),"000"))</f>
        <v/>
      </c>
    </row>
    <row r="2489" spans="18:20">
      <c r="R2489" s="22" t="str">
        <f>IF(H2489="","",H2489&amp;I2489)</f>
        <v/>
      </c>
      <c r="S2489" s="22" t="str">
        <f>IF(C2489="","",C2489&amp;I2489)</f>
        <v/>
      </c>
      <c r="T2489" t="str">
        <f>IF(OR(C2489="",I2489&lt;&gt;"ENTRADA"),"",TEXT(B2489,"AAMMDD")&amp;"-"&amp;TEXT(VALUE(SUBSTITUTE(A2489,"MOV-","")),"000"))</f>
        <v/>
      </c>
    </row>
    <row r="2490" spans="18:20">
      <c r="R2490" s="22" t="str">
        <f>IF(H2490="","",H2490&amp;I2490)</f>
        <v/>
      </c>
      <c r="S2490" s="22" t="str">
        <f>IF(C2490="","",C2490&amp;I2490)</f>
        <v/>
      </c>
      <c r="T2490" t="str">
        <f>IF(OR(C2490="",I2490&lt;&gt;"ENTRADA"),"",TEXT(B2490,"AAMMDD")&amp;"-"&amp;TEXT(VALUE(SUBSTITUTE(A2490,"MOV-","")),"000"))</f>
        <v/>
      </c>
    </row>
    <row r="2491" spans="18:20">
      <c r="R2491" s="22" t="str">
        <f>IF(H2491="","",H2491&amp;I2491)</f>
        <v/>
      </c>
      <c r="S2491" s="22" t="str">
        <f>IF(C2491="","",C2491&amp;I2491)</f>
        <v/>
      </c>
      <c r="T2491" t="str">
        <f>IF(OR(C2491="",I2491&lt;&gt;"ENTRADA"),"",TEXT(B2491,"AAMMDD")&amp;"-"&amp;TEXT(VALUE(SUBSTITUTE(A2491,"MOV-","")),"000"))</f>
        <v/>
      </c>
    </row>
    <row r="2492" spans="18:20">
      <c r="R2492" s="22" t="str">
        <f>IF(H2492="","",H2492&amp;I2492)</f>
        <v/>
      </c>
      <c r="S2492" s="22" t="str">
        <f>IF(C2492="","",C2492&amp;I2492)</f>
        <v/>
      </c>
      <c r="T2492" t="str">
        <f>IF(OR(C2492="",I2492&lt;&gt;"ENTRADA"),"",TEXT(B2492,"AAMMDD")&amp;"-"&amp;TEXT(VALUE(SUBSTITUTE(A2492,"MOV-","")),"000"))</f>
        <v/>
      </c>
    </row>
    <row r="2493" spans="18:20">
      <c r="R2493" s="22" t="str">
        <f>IF(H2493="","",H2493&amp;I2493)</f>
        <v/>
      </c>
      <c r="S2493" s="22" t="str">
        <f>IF(C2493="","",C2493&amp;I2493)</f>
        <v/>
      </c>
      <c r="T2493" t="str">
        <f>IF(OR(C2493="",I2493&lt;&gt;"ENTRADA"),"",TEXT(B2493,"AAMMDD")&amp;"-"&amp;TEXT(VALUE(SUBSTITUTE(A2493,"MOV-","")),"000"))</f>
        <v/>
      </c>
    </row>
    <row r="2494" spans="18:20">
      <c r="R2494" s="22" t="str">
        <f>IF(H2494="","",H2494&amp;I2494)</f>
        <v/>
      </c>
      <c r="S2494" s="22" t="str">
        <f>IF(C2494="","",C2494&amp;I2494)</f>
        <v/>
      </c>
      <c r="T2494" t="str">
        <f>IF(OR(C2494="",I2494&lt;&gt;"ENTRADA"),"",TEXT(B2494,"AAMMDD")&amp;"-"&amp;TEXT(VALUE(SUBSTITUTE(A2494,"MOV-","")),"000"))</f>
        <v/>
      </c>
    </row>
    <row r="2495" spans="18:20">
      <c r="R2495" s="22" t="str">
        <f>IF(H2495="","",H2495&amp;I2495)</f>
        <v/>
      </c>
      <c r="S2495" s="22" t="str">
        <f>IF(C2495="","",C2495&amp;I2495)</f>
        <v/>
      </c>
      <c r="T2495" t="str">
        <f>IF(OR(C2495="",I2495&lt;&gt;"ENTRADA"),"",TEXT(B2495,"AAMMDD")&amp;"-"&amp;TEXT(VALUE(SUBSTITUTE(A2495,"MOV-","")),"000"))</f>
        <v/>
      </c>
    </row>
    <row r="2496" spans="18:20">
      <c r="R2496" s="22" t="str">
        <f>IF(H2496="","",H2496&amp;I2496)</f>
        <v/>
      </c>
      <c r="S2496" s="22" t="str">
        <f>IF(C2496="","",C2496&amp;I2496)</f>
        <v/>
      </c>
      <c r="T2496" t="str">
        <f>IF(OR(C2496="",I2496&lt;&gt;"ENTRADA"),"",TEXT(B2496,"AAMMDD")&amp;"-"&amp;TEXT(VALUE(SUBSTITUTE(A2496,"MOV-","")),"000"))</f>
        <v/>
      </c>
    </row>
    <row r="2497" spans="18:20">
      <c r="R2497" s="22" t="str">
        <f>IF(H2497="","",H2497&amp;I2497)</f>
        <v/>
      </c>
      <c r="S2497" s="22" t="str">
        <f>IF(C2497="","",C2497&amp;I2497)</f>
        <v/>
      </c>
      <c r="T2497" t="str">
        <f>IF(OR(C2497="",I2497&lt;&gt;"ENTRADA"),"",TEXT(B2497,"AAMMDD")&amp;"-"&amp;TEXT(VALUE(SUBSTITUTE(A2497,"MOV-","")),"000"))</f>
        <v/>
      </c>
    </row>
    <row r="2498" spans="18:20">
      <c r="R2498" s="22" t="str">
        <f>IF(H2498="","",H2498&amp;I2498)</f>
        <v/>
      </c>
      <c r="S2498" s="22" t="str">
        <f>IF(C2498="","",C2498&amp;I2498)</f>
        <v/>
      </c>
      <c r="T2498" t="str">
        <f>IF(OR(C2498="",I2498&lt;&gt;"ENTRADA"),"",TEXT(B2498,"AAMMDD")&amp;"-"&amp;TEXT(VALUE(SUBSTITUTE(A2498,"MOV-","")),"000"))</f>
        <v/>
      </c>
    </row>
    <row r="2499" spans="18:20">
      <c r="R2499" s="22" t="str">
        <f>IF(H2499="","",H2499&amp;I2499)</f>
        <v/>
      </c>
      <c r="S2499" s="22" t="str">
        <f>IF(C2499="","",C2499&amp;I2499)</f>
        <v/>
      </c>
      <c r="T2499" t="str">
        <f>IF(OR(C2499="",I2499&lt;&gt;"ENTRADA"),"",TEXT(B2499,"AAMMDD")&amp;"-"&amp;TEXT(VALUE(SUBSTITUTE(A2499,"MOV-","")),"000"))</f>
        <v/>
      </c>
    </row>
    <row r="2500" spans="18:20">
      <c r="R2500" s="22" t="str">
        <f>IF(H2500="","",H2500&amp;I2500)</f>
        <v/>
      </c>
      <c r="S2500" s="22" t="str">
        <f>IF(C2500="","",C2500&amp;I2500)</f>
        <v/>
      </c>
      <c r="T2500" t="str">
        <f>IF(OR(C2500="",I2500&lt;&gt;"ENTRADA"),"",TEXT(B2500,"AAMMDD")&amp;"-"&amp;TEXT(VALUE(SUBSTITUTE(A2500,"MOV-","")),"000"))</f>
        <v/>
      </c>
    </row>
    <row r="2501" spans="18:20">
      <c r="R2501" s="22" t="str">
        <f>IF(H2501="","",H2501&amp;I2501)</f>
        <v/>
      </c>
      <c r="S2501" s="22" t="str">
        <f>IF(C2501="","",C2501&amp;I2501)</f>
        <v/>
      </c>
      <c r="T2501" t="str">
        <f>IF(OR(C2501="",I2501&lt;&gt;"ENTRADA"),"",TEXT(B2501,"AAMMDD")&amp;"-"&amp;TEXT(VALUE(SUBSTITUTE(A2501,"MOV-","")),"000"))</f>
        <v/>
      </c>
    </row>
    <row r="2502" spans="18:20">
      <c r="R2502" s="22" t="str">
        <f>IF(H2502="","",H2502&amp;I2502)</f>
        <v/>
      </c>
      <c r="S2502" s="22" t="str">
        <f>IF(C2502="","",C2502&amp;I2502)</f>
        <v/>
      </c>
      <c r="T2502" t="str">
        <f>IF(OR(C2502="",I2502&lt;&gt;"ENTRADA"),"",TEXT(B2502,"AAMMDD")&amp;"-"&amp;TEXT(VALUE(SUBSTITUTE(A2502,"MOV-","")),"000"))</f>
        <v/>
      </c>
    </row>
    <row r="2503" spans="18:20">
      <c r="R2503" s="22" t="str">
        <f>IF(H2503="","",H2503&amp;I2503)</f>
        <v/>
      </c>
      <c r="S2503" s="22" t="str">
        <f>IF(C2503="","",C2503&amp;I2503)</f>
        <v/>
      </c>
      <c r="T2503" t="str">
        <f>IF(OR(C2503="",I2503&lt;&gt;"ENTRADA"),"",TEXT(B2503,"AAMMDD")&amp;"-"&amp;TEXT(VALUE(SUBSTITUTE(A2503,"MOV-","")),"000"))</f>
        <v/>
      </c>
    </row>
    <row r="2504" spans="18:20">
      <c r="R2504" s="22" t="str">
        <f>IF(H2504="","",H2504&amp;I2504)</f>
        <v/>
      </c>
      <c r="S2504" s="22" t="str">
        <f>IF(C2504="","",C2504&amp;I2504)</f>
        <v/>
      </c>
      <c r="T2504" t="str">
        <f>IF(OR(C2504="",I2504&lt;&gt;"ENTRADA"),"",TEXT(B2504,"AAMMDD")&amp;"-"&amp;TEXT(VALUE(SUBSTITUTE(A2504,"MOV-","")),"000"))</f>
        <v/>
      </c>
    </row>
    <row r="2505" spans="18:20">
      <c r="R2505" s="22" t="str">
        <f>IF(H2505="","",H2505&amp;I2505)</f>
        <v/>
      </c>
      <c r="S2505" s="22" t="str">
        <f>IF(C2505="","",C2505&amp;I2505)</f>
        <v/>
      </c>
      <c r="T2505" t="str">
        <f>IF(OR(C2505="",I2505&lt;&gt;"ENTRADA"),"",TEXT(B2505,"AAMMDD")&amp;"-"&amp;TEXT(VALUE(SUBSTITUTE(A2505,"MOV-","")),"000"))</f>
        <v/>
      </c>
    </row>
    <row r="2506" spans="18:20">
      <c r="R2506" s="22" t="str">
        <f>IF(H2506="","",H2506&amp;I2506)</f>
        <v/>
      </c>
      <c r="S2506" s="22" t="str">
        <f>IF(C2506="","",C2506&amp;I2506)</f>
        <v/>
      </c>
      <c r="T2506" t="str">
        <f>IF(OR(C2506="",I2506&lt;&gt;"ENTRADA"),"",TEXT(B2506,"AAMMDD")&amp;"-"&amp;TEXT(VALUE(SUBSTITUTE(A2506,"MOV-","")),"000"))</f>
        <v/>
      </c>
    </row>
    <row r="2507" spans="18:20">
      <c r="R2507" s="22" t="str">
        <f>IF(H2507="","",H2507&amp;I2507)</f>
        <v/>
      </c>
      <c r="S2507" s="22" t="str">
        <f>IF(C2507="","",C2507&amp;I2507)</f>
        <v/>
      </c>
      <c r="T2507" t="str">
        <f>IF(OR(C2507="",I2507&lt;&gt;"ENTRADA"),"",TEXT(B2507,"AAMMDD")&amp;"-"&amp;TEXT(VALUE(SUBSTITUTE(A2507,"MOV-","")),"000"))</f>
        <v/>
      </c>
    </row>
    <row r="2508" spans="18:20">
      <c r="R2508" s="22" t="str">
        <f>IF(H2508="","",H2508&amp;I2508)</f>
        <v/>
      </c>
      <c r="S2508" s="22" t="str">
        <f>IF(C2508="","",C2508&amp;I2508)</f>
        <v/>
      </c>
      <c r="T2508" t="str">
        <f>IF(OR(C2508="",I2508&lt;&gt;"ENTRADA"),"",TEXT(B2508,"AAMMDD")&amp;"-"&amp;TEXT(VALUE(SUBSTITUTE(A2508,"MOV-","")),"000"))</f>
        <v/>
      </c>
    </row>
    <row r="2509" spans="18:20">
      <c r="R2509" s="22" t="str">
        <f>IF(H2509="","",H2509&amp;I2509)</f>
        <v/>
      </c>
      <c r="S2509" s="22" t="str">
        <f>IF(C2509="","",C2509&amp;I2509)</f>
        <v/>
      </c>
      <c r="T2509" t="str">
        <f>IF(OR(C2509="",I2509&lt;&gt;"ENTRADA"),"",TEXT(B2509,"AAMMDD")&amp;"-"&amp;TEXT(VALUE(SUBSTITUTE(A2509,"MOV-","")),"000"))</f>
        <v/>
      </c>
    </row>
    <row r="2510" spans="18:20">
      <c r="R2510" s="22" t="str">
        <f>IF(H2510="","",H2510&amp;I2510)</f>
        <v/>
      </c>
      <c r="S2510" s="22" t="str">
        <f>IF(C2510="","",C2510&amp;I2510)</f>
        <v/>
      </c>
      <c r="T2510" t="str">
        <f>IF(OR(C2510="",I2510&lt;&gt;"ENTRADA"),"",TEXT(B2510,"AAMMDD")&amp;"-"&amp;TEXT(VALUE(SUBSTITUTE(A2510,"MOV-","")),"000"))</f>
        <v/>
      </c>
    </row>
    <row r="2511" spans="18:20">
      <c r="R2511" s="22" t="str">
        <f>IF(H2511="","",H2511&amp;I2511)</f>
        <v/>
      </c>
      <c r="S2511" s="22" t="str">
        <f>IF(C2511="","",C2511&amp;I2511)</f>
        <v/>
      </c>
      <c r="T2511" t="str">
        <f>IF(OR(C2511="",I2511&lt;&gt;"ENTRADA"),"",TEXT(B2511,"AAMMDD")&amp;"-"&amp;TEXT(VALUE(SUBSTITUTE(A2511,"MOV-","")),"000"))</f>
        <v/>
      </c>
    </row>
    <row r="2512" spans="18:20">
      <c r="R2512" s="22" t="str">
        <f>IF(H2512="","",H2512&amp;I2512)</f>
        <v/>
      </c>
      <c r="S2512" s="22" t="str">
        <f>IF(C2512="","",C2512&amp;I2512)</f>
        <v/>
      </c>
      <c r="T2512" t="str">
        <f>IF(OR(C2512="",I2512&lt;&gt;"ENTRADA"),"",TEXT(B2512,"AAMMDD")&amp;"-"&amp;TEXT(VALUE(SUBSTITUTE(A2512,"MOV-","")),"000"))</f>
        <v/>
      </c>
    </row>
    <row r="2513" spans="18:20">
      <c r="R2513" s="22" t="str">
        <f>IF(H2513="","",H2513&amp;I2513)</f>
        <v/>
      </c>
      <c r="S2513" s="22" t="str">
        <f>IF(C2513="","",C2513&amp;I2513)</f>
        <v/>
      </c>
      <c r="T2513" t="str">
        <f>IF(OR(C2513="",I2513&lt;&gt;"ENTRADA"),"",TEXT(B2513,"AAMMDD")&amp;"-"&amp;TEXT(VALUE(SUBSTITUTE(A2513,"MOV-","")),"000"))</f>
        <v/>
      </c>
    </row>
    <row r="2514" spans="18:20">
      <c r="R2514" s="22" t="str">
        <f>IF(H2514="","",H2514&amp;I2514)</f>
        <v/>
      </c>
      <c r="S2514" s="22" t="str">
        <f>IF(C2514="","",C2514&amp;I2514)</f>
        <v/>
      </c>
      <c r="T2514" t="str">
        <f>IF(OR(C2514="",I2514&lt;&gt;"ENTRADA"),"",TEXT(B2514,"AAMMDD")&amp;"-"&amp;TEXT(VALUE(SUBSTITUTE(A2514,"MOV-","")),"000"))</f>
        <v/>
      </c>
    </row>
    <row r="2515" spans="18:20">
      <c r="R2515" s="22" t="str">
        <f>IF(H2515="","",H2515&amp;I2515)</f>
        <v/>
      </c>
      <c r="S2515" s="22" t="str">
        <f>IF(C2515="","",C2515&amp;I2515)</f>
        <v/>
      </c>
      <c r="T2515" t="str">
        <f>IF(OR(C2515="",I2515&lt;&gt;"ENTRADA"),"",TEXT(B2515,"AAMMDD")&amp;"-"&amp;TEXT(VALUE(SUBSTITUTE(A2515,"MOV-","")),"000"))</f>
        <v/>
      </c>
    </row>
    <row r="2516" spans="18:20">
      <c r="R2516" s="22" t="str">
        <f>IF(H2516="","",H2516&amp;I2516)</f>
        <v/>
      </c>
      <c r="S2516" s="22" t="str">
        <f>IF(C2516="","",C2516&amp;I2516)</f>
        <v/>
      </c>
      <c r="T2516" t="str">
        <f>IF(OR(C2516="",I2516&lt;&gt;"ENTRADA"),"",TEXT(B2516,"AAMMDD")&amp;"-"&amp;TEXT(VALUE(SUBSTITUTE(A2516,"MOV-","")),"000"))</f>
        <v/>
      </c>
    </row>
    <row r="2517" spans="18:20">
      <c r="R2517" s="22" t="str">
        <f>IF(H2517="","",H2517&amp;I2517)</f>
        <v/>
      </c>
      <c r="S2517" s="22" t="str">
        <f>IF(C2517="","",C2517&amp;I2517)</f>
        <v/>
      </c>
      <c r="T2517" t="str">
        <f>IF(OR(C2517="",I2517&lt;&gt;"ENTRADA"),"",TEXT(B2517,"AAMMDD")&amp;"-"&amp;TEXT(VALUE(SUBSTITUTE(A2517,"MOV-","")),"000"))</f>
        <v/>
      </c>
    </row>
    <row r="2518" spans="18:20">
      <c r="R2518" s="22" t="str">
        <f>IF(H2518="","",H2518&amp;I2518)</f>
        <v/>
      </c>
      <c r="S2518" s="22" t="str">
        <f>IF(C2518="","",C2518&amp;I2518)</f>
        <v/>
      </c>
      <c r="T2518" t="str">
        <f>IF(OR(C2518="",I2518&lt;&gt;"ENTRADA"),"",TEXT(B2518,"AAMMDD")&amp;"-"&amp;TEXT(VALUE(SUBSTITUTE(A2518,"MOV-","")),"000"))</f>
        <v/>
      </c>
    </row>
    <row r="2519" spans="18:20">
      <c r="R2519" s="22" t="str">
        <f>IF(H2519="","",H2519&amp;I2519)</f>
        <v/>
      </c>
      <c r="S2519" s="22" t="str">
        <f>IF(C2519="","",C2519&amp;I2519)</f>
        <v/>
      </c>
      <c r="T2519" t="str">
        <f>IF(OR(C2519="",I2519&lt;&gt;"ENTRADA"),"",TEXT(B2519,"AAMMDD")&amp;"-"&amp;TEXT(VALUE(SUBSTITUTE(A2519,"MOV-","")),"000"))</f>
        <v/>
      </c>
    </row>
    <row r="2520" spans="18:20">
      <c r="R2520" s="22" t="str">
        <f>IF(H2520="","",H2520&amp;I2520)</f>
        <v/>
      </c>
      <c r="S2520" s="22" t="str">
        <f>IF(C2520="","",C2520&amp;I2520)</f>
        <v/>
      </c>
      <c r="T2520" t="str">
        <f>IF(OR(C2520="",I2520&lt;&gt;"ENTRADA"),"",TEXT(B2520,"AAMMDD")&amp;"-"&amp;TEXT(VALUE(SUBSTITUTE(A2520,"MOV-","")),"000"))</f>
        <v/>
      </c>
    </row>
    <row r="2521" spans="18:20">
      <c r="R2521" s="22" t="str">
        <f>IF(H2521="","",H2521&amp;I2521)</f>
        <v/>
      </c>
      <c r="S2521" s="22" t="str">
        <f>IF(C2521="","",C2521&amp;I2521)</f>
        <v/>
      </c>
      <c r="T2521" t="str">
        <f>IF(OR(C2521="",I2521&lt;&gt;"ENTRADA"),"",TEXT(B2521,"AAMMDD")&amp;"-"&amp;TEXT(VALUE(SUBSTITUTE(A2521,"MOV-","")),"000"))</f>
        <v/>
      </c>
    </row>
    <row r="2522" spans="18:20">
      <c r="R2522" s="22" t="str">
        <f>IF(H2522="","",H2522&amp;I2522)</f>
        <v/>
      </c>
      <c r="S2522" s="22" t="str">
        <f>IF(C2522="","",C2522&amp;I2522)</f>
        <v/>
      </c>
      <c r="T2522" t="str">
        <f>IF(OR(C2522="",I2522&lt;&gt;"ENTRADA"),"",TEXT(B2522,"AAMMDD")&amp;"-"&amp;TEXT(VALUE(SUBSTITUTE(A2522,"MOV-","")),"000"))</f>
        <v/>
      </c>
    </row>
    <row r="2523" spans="18:20">
      <c r="R2523" s="22" t="str">
        <f>IF(H2523="","",H2523&amp;I2523)</f>
        <v/>
      </c>
      <c r="S2523" s="22" t="str">
        <f>IF(C2523="","",C2523&amp;I2523)</f>
        <v/>
      </c>
      <c r="T2523" t="str">
        <f>IF(OR(C2523="",I2523&lt;&gt;"ENTRADA"),"",TEXT(B2523,"AAMMDD")&amp;"-"&amp;TEXT(VALUE(SUBSTITUTE(A2523,"MOV-","")),"000"))</f>
        <v/>
      </c>
    </row>
    <row r="2524" spans="18:20">
      <c r="R2524" s="22" t="str">
        <f>IF(H2524="","",H2524&amp;I2524)</f>
        <v/>
      </c>
      <c r="S2524" s="22" t="str">
        <f>IF(C2524="","",C2524&amp;I2524)</f>
        <v/>
      </c>
      <c r="T2524" t="str">
        <f>IF(OR(C2524="",I2524&lt;&gt;"ENTRADA"),"",TEXT(B2524,"AAMMDD")&amp;"-"&amp;TEXT(VALUE(SUBSTITUTE(A2524,"MOV-","")),"000"))</f>
        <v/>
      </c>
    </row>
    <row r="2525" spans="18:20">
      <c r="R2525" s="22" t="str">
        <f>IF(H2525="","",H2525&amp;I2525)</f>
        <v/>
      </c>
      <c r="S2525" s="22" t="str">
        <f>IF(C2525="","",C2525&amp;I2525)</f>
        <v/>
      </c>
      <c r="T2525" t="str">
        <f>IF(OR(C2525="",I2525&lt;&gt;"ENTRADA"),"",TEXT(B2525,"AAMMDD")&amp;"-"&amp;TEXT(VALUE(SUBSTITUTE(A2525,"MOV-","")),"000"))</f>
        <v/>
      </c>
    </row>
    <row r="2526" spans="18:20">
      <c r="R2526" s="22" t="str">
        <f>IF(H2526="","",H2526&amp;I2526)</f>
        <v/>
      </c>
      <c r="S2526" s="22" t="str">
        <f>IF(C2526="","",C2526&amp;I2526)</f>
        <v/>
      </c>
      <c r="T2526" t="str">
        <f>IF(OR(C2526="",I2526&lt;&gt;"ENTRADA"),"",TEXT(B2526,"AAMMDD")&amp;"-"&amp;TEXT(VALUE(SUBSTITUTE(A2526,"MOV-","")),"000"))</f>
        <v/>
      </c>
    </row>
    <row r="2527" spans="18:20">
      <c r="R2527" s="22" t="str">
        <f>IF(H2527="","",H2527&amp;I2527)</f>
        <v/>
      </c>
      <c r="S2527" s="22" t="str">
        <f>IF(C2527="","",C2527&amp;I2527)</f>
        <v/>
      </c>
      <c r="T2527" t="str">
        <f>IF(OR(C2527="",I2527&lt;&gt;"ENTRADA"),"",TEXT(B2527,"AAMMDD")&amp;"-"&amp;TEXT(VALUE(SUBSTITUTE(A2527,"MOV-","")),"000"))</f>
        <v/>
      </c>
    </row>
    <row r="2528" spans="18:20">
      <c r="R2528" s="22" t="str">
        <f>IF(H2528="","",H2528&amp;I2528)</f>
        <v/>
      </c>
      <c r="S2528" s="22" t="str">
        <f>IF(C2528="","",C2528&amp;I2528)</f>
        <v/>
      </c>
      <c r="T2528" t="str">
        <f>IF(OR(C2528="",I2528&lt;&gt;"ENTRADA"),"",TEXT(B2528,"AAMMDD")&amp;"-"&amp;TEXT(VALUE(SUBSTITUTE(A2528,"MOV-","")),"000"))</f>
        <v/>
      </c>
    </row>
    <row r="2529" spans="18:20">
      <c r="R2529" s="22" t="str">
        <f>IF(H2529="","",H2529&amp;I2529)</f>
        <v/>
      </c>
      <c r="S2529" s="22" t="str">
        <f>IF(C2529="","",C2529&amp;I2529)</f>
        <v/>
      </c>
      <c r="T2529" t="str">
        <f>IF(OR(C2529="",I2529&lt;&gt;"ENTRADA"),"",TEXT(B2529,"AAMMDD")&amp;"-"&amp;TEXT(VALUE(SUBSTITUTE(A2529,"MOV-","")),"000"))</f>
        <v/>
      </c>
    </row>
    <row r="2530" spans="18:20">
      <c r="R2530" s="22" t="str">
        <f>IF(H2530="","",H2530&amp;I2530)</f>
        <v/>
      </c>
      <c r="S2530" s="22" t="str">
        <f>IF(C2530="","",C2530&amp;I2530)</f>
        <v/>
      </c>
      <c r="T2530" t="str">
        <f>IF(OR(C2530="",I2530&lt;&gt;"ENTRADA"),"",TEXT(B2530,"AAMMDD")&amp;"-"&amp;TEXT(VALUE(SUBSTITUTE(A2530,"MOV-","")),"000"))</f>
        <v/>
      </c>
    </row>
    <row r="2531" spans="18:20">
      <c r="R2531" s="22" t="str">
        <f>IF(H2531="","",H2531&amp;I2531)</f>
        <v/>
      </c>
      <c r="S2531" s="22" t="str">
        <f>IF(C2531="","",C2531&amp;I2531)</f>
        <v/>
      </c>
      <c r="T2531" t="str">
        <f>IF(OR(C2531="",I2531&lt;&gt;"ENTRADA"),"",TEXT(B2531,"AAMMDD")&amp;"-"&amp;TEXT(VALUE(SUBSTITUTE(A2531,"MOV-","")),"000"))</f>
        <v/>
      </c>
    </row>
    <row r="2532" spans="18:20">
      <c r="R2532" s="22" t="str">
        <f>IF(H2532="","",H2532&amp;I2532)</f>
        <v/>
      </c>
      <c r="S2532" s="22" t="str">
        <f>IF(C2532="","",C2532&amp;I2532)</f>
        <v/>
      </c>
      <c r="T2532" t="str">
        <f>IF(OR(C2532="",I2532&lt;&gt;"ENTRADA"),"",TEXT(B2532,"AAMMDD")&amp;"-"&amp;TEXT(VALUE(SUBSTITUTE(A2532,"MOV-","")),"000"))</f>
        <v/>
      </c>
    </row>
    <row r="2533" spans="18:20">
      <c r="R2533" s="22" t="str">
        <f>IF(H2533="","",H2533&amp;I2533)</f>
        <v/>
      </c>
      <c r="S2533" s="22" t="str">
        <f>IF(C2533="","",C2533&amp;I2533)</f>
        <v/>
      </c>
      <c r="T2533" t="str">
        <f>IF(OR(C2533="",I2533&lt;&gt;"ENTRADA"),"",TEXT(B2533,"AAMMDD")&amp;"-"&amp;TEXT(VALUE(SUBSTITUTE(A2533,"MOV-","")),"000"))</f>
        <v/>
      </c>
    </row>
    <row r="2534" spans="18:20">
      <c r="R2534" s="22" t="str">
        <f>IF(H2534="","",H2534&amp;I2534)</f>
        <v/>
      </c>
      <c r="S2534" s="22" t="str">
        <f>IF(C2534="","",C2534&amp;I2534)</f>
        <v/>
      </c>
      <c r="T2534" t="str">
        <f>IF(OR(C2534="",I2534&lt;&gt;"ENTRADA"),"",TEXT(B2534,"AAMMDD")&amp;"-"&amp;TEXT(VALUE(SUBSTITUTE(A2534,"MOV-","")),"000"))</f>
        <v/>
      </c>
    </row>
    <row r="2535" spans="18:20">
      <c r="R2535" s="22" t="str">
        <f>IF(H2535="","",H2535&amp;I2535)</f>
        <v/>
      </c>
      <c r="S2535" s="22" t="str">
        <f>IF(C2535="","",C2535&amp;I2535)</f>
        <v/>
      </c>
      <c r="T2535" t="str">
        <f>IF(OR(C2535="",I2535&lt;&gt;"ENTRADA"),"",TEXT(B2535,"AAMMDD")&amp;"-"&amp;TEXT(VALUE(SUBSTITUTE(A2535,"MOV-","")),"000"))</f>
        <v/>
      </c>
    </row>
    <row r="2536" spans="18:20">
      <c r="R2536" s="22" t="str">
        <f>IF(H2536="","",H2536&amp;I2536)</f>
        <v/>
      </c>
      <c r="S2536" s="22" t="str">
        <f>IF(C2536="","",C2536&amp;I2536)</f>
        <v/>
      </c>
      <c r="T2536" t="str">
        <f>IF(OR(C2536="",I2536&lt;&gt;"ENTRADA"),"",TEXT(B2536,"AAMMDD")&amp;"-"&amp;TEXT(VALUE(SUBSTITUTE(A2536,"MOV-","")),"000"))</f>
        <v/>
      </c>
    </row>
    <row r="2537" spans="18:20">
      <c r="R2537" s="22" t="str">
        <f>IF(H2537="","",H2537&amp;I2537)</f>
        <v/>
      </c>
      <c r="S2537" s="22" t="str">
        <f>IF(C2537="","",C2537&amp;I2537)</f>
        <v/>
      </c>
      <c r="T2537" t="str">
        <f>IF(OR(C2537="",I2537&lt;&gt;"ENTRADA"),"",TEXT(B2537,"AAMMDD")&amp;"-"&amp;TEXT(VALUE(SUBSTITUTE(A2537,"MOV-","")),"000"))</f>
        <v/>
      </c>
    </row>
    <row r="2538" spans="18:20">
      <c r="R2538" s="22" t="str">
        <f>IF(H2538="","",H2538&amp;I2538)</f>
        <v/>
      </c>
      <c r="S2538" s="22" t="str">
        <f>IF(C2538="","",C2538&amp;I2538)</f>
        <v/>
      </c>
      <c r="T2538" t="str">
        <f>IF(OR(C2538="",I2538&lt;&gt;"ENTRADA"),"",TEXT(B2538,"AAMMDD")&amp;"-"&amp;TEXT(VALUE(SUBSTITUTE(A2538,"MOV-","")),"000"))</f>
        <v/>
      </c>
    </row>
    <row r="2539" spans="18:20">
      <c r="R2539" s="22" t="str">
        <f>IF(H2539="","",H2539&amp;I2539)</f>
        <v/>
      </c>
      <c r="S2539" s="22" t="str">
        <f>IF(C2539="","",C2539&amp;I2539)</f>
        <v/>
      </c>
      <c r="T2539" t="str">
        <f>IF(OR(C2539="",I2539&lt;&gt;"ENTRADA"),"",TEXT(B2539,"AAMMDD")&amp;"-"&amp;TEXT(VALUE(SUBSTITUTE(A2539,"MOV-","")),"000"))</f>
        <v/>
      </c>
    </row>
    <row r="2540" spans="18:20">
      <c r="R2540" s="22" t="str">
        <f>IF(H2540="","",H2540&amp;I2540)</f>
        <v/>
      </c>
      <c r="S2540" s="22" t="str">
        <f>IF(C2540="","",C2540&amp;I2540)</f>
        <v/>
      </c>
      <c r="T2540" t="str">
        <f>IF(OR(C2540="",I2540&lt;&gt;"ENTRADA"),"",TEXT(B2540,"AAMMDD")&amp;"-"&amp;TEXT(VALUE(SUBSTITUTE(A2540,"MOV-","")),"000"))</f>
        <v/>
      </c>
    </row>
    <row r="2541" spans="18:20">
      <c r="R2541" s="22" t="str">
        <f>IF(H2541="","",H2541&amp;I2541)</f>
        <v/>
      </c>
      <c r="S2541" s="22" t="str">
        <f>IF(C2541="","",C2541&amp;I2541)</f>
        <v/>
      </c>
      <c r="T2541" t="str">
        <f>IF(OR(C2541="",I2541&lt;&gt;"ENTRADA"),"",TEXT(B2541,"AAMMDD")&amp;"-"&amp;TEXT(VALUE(SUBSTITUTE(A2541,"MOV-","")),"000"))</f>
        <v/>
      </c>
    </row>
    <row r="2542" spans="18:20">
      <c r="R2542" s="22" t="str">
        <f>IF(H2542="","",H2542&amp;I2542)</f>
        <v/>
      </c>
      <c r="S2542" s="22" t="str">
        <f>IF(C2542="","",C2542&amp;I2542)</f>
        <v/>
      </c>
      <c r="T2542" t="str">
        <f>IF(OR(C2542="",I2542&lt;&gt;"ENTRADA"),"",TEXT(B2542,"AAMMDD")&amp;"-"&amp;TEXT(VALUE(SUBSTITUTE(A2542,"MOV-","")),"000"))</f>
        <v/>
      </c>
    </row>
    <row r="2543" spans="18:20">
      <c r="R2543" s="22" t="str">
        <f>IF(H2543="","",H2543&amp;I2543)</f>
        <v/>
      </c>
      <c r="S2543" s="22" t="str">
        <f>IF(C2543="","",C2543&amp;I2543)</f>
        <v/>
      </c>
      <c r="T2543" t="str">
        <f>IF(OR(C2543="",I2543&lt;&gt;"ENTRADA"),"",TEXT(B2543,"AAMMDD")&amp;"-"&amp;TEXT(VALUE(SUBSTITUTE(A2543,"MOV-","")),"000"))</f>
        <v/>
      </c>
    </row>
    <row r="2544" spans="18:20">
      <c r="R2544" s="22" t="str">
        <f>IF(H2544="","",H2544&amp;I2544)</f>
        <v/>
      </c>
      <c r="S2544" s="22" t="str">
        <f>IF(C2544="","",C2544&amp;I2544)</f>
        <v/>
      </c>
      <c r="T2544" t="str">
        <f>IF(OR(C2544="",I2544&lt;&gt;"ENTRADA"),"",TEXT(B2544,"AAMMDD")&amp;"-"&amp;TEXT(VALUE(SUBSTITUTE(A2544,"MOV-","")),"000"))</f>
        <v/>
      </c>
    </row>
    <row r="2545" spans="18:20">
      <c r="R2545" s="22" t="str">
        <f>IF(H2545="","",H2545&amp;I2545)</f>
        <v/>
      </c>
      <c r="S2545" s="22" t="str">
        <f>IF(C2545="","",C2545&amp;I2545)</f>
        <v/>
      </c>
      <c r="T2545" t="str">
        <f>IF(OR(C2545="",I2545&lt;&gt;"ENTRADA"),"",TEXT(B2545,"AAMMDD")&amp;"-"&amp;TEXT(VALUE(SUBSTITUTE(A2545,"MOV-","")),"000"))</f>
        <v/>
      </c>
    </row>
    <row r="2546" spans="18:20">
      <c r="R2546" s="22" t="str">
        <f>IF(H2546="","",H2546&amp;I2546)</f>
        <v/>
      </c>
      <c r="S2546" s="22" t="str">
        <f>IF(C2546="","",C2546&amp;I2546)</f>
        <v/>
      </c>
      <c r="T2546" t="str">
        <f>IF(OR(C2546="",I2546&lt;&gt;"ENTRADA"),"",TEXT(B2546,"AAMMDD")&amp;"-"&amp;TEXT(VALUE(SUBSTITUTE(A2546,"MOV-","")),"000"))</f>
        <v/>
      </c>
    </row>
    <row r="2547" spans="18:20">
      <c r="R2547" s="22" t="str">
        <f>IF(H2547="","",H2547&amp;I2547)</f>
        <v/>
      </c>
      <c r="S2547" s="22" t="str">
        <f>IF(C2547="","",C2547&amp;I2547)</f>
        <v/>
      </c>
      <c r="T2547" t="str">
        <f>IF(OR(C2547="",I2547&lt;&gt;"ENTRADA"),"",TEXT(B2547,"AAMMDD")&amp;"-"&amp;TEXT(VALUE(SUBSTITUTE(A2547,"MOV-","")),"000"))</f>
        <v/>
      </c>
    </row>
    <row r="2548" spans="18:20">
      <c r="R2548" s="22" t="str">
        <f>IF(H2548="","",H2548&amp;I2548)</f>
        <v/>
      </c>
      <c r="S2548" s="22" t="str">
        <f>IF(C2548="","",C2548&amp;I2548)</f>
        <v/>
      </c>
      <c r="T2548" t="str">
        <f>IF(OR(C2548="",I2548&lt;&gt;"ENTRADA"),"",TEXT(B2548,"AAMMDD")&amp;"-"&amp;TEXT(VALUE(SUBSTITUTE(A2548,"MOV-","")),"000"))</f>
        <v/>
      </c>
    </row>
    <row r="2549" spans="18:20">
      <c r="R2549" s="22" t="str">
        <f>IF(H2549="","",H2549&amp;I2549)</f>
        <v/>
      </c>
      <c r="S2549" s="22" t="str">
        <f>IF(C2549="","",C2549&amp;I2549)</f>
        <v/>
      </c>
      <c r="T2549" t="str">
        <f>IF(OR(C2549="",I2549&lt;&gt;"ENTRADA"),"",TEXT(B2549,"AAMMDD")&amp;"-"&amp;TEXT(VALUE(SUBSTITUTE(A2549,"MOV-","")),"000"))</f>
        <v/>
      </c>
    </row>
    <row r="2550" spans="18:20">
      <c r="R2550" s="22" t="str">
        <f>IF(H2550="","",H2550&amp;I2550)</f>
        <v/>
      </c>
      <c r="S2550" s="22" t="str">
        <f>IF(C2550="","",C2550&amp;I2550)</f>
        <v/>
      </c>
      <c r="T2550" t="str">
        <f>IF(OR(C2550="",I2550&lt;&gt;"ENTRADA"),"",TEXT(B2550,"AAMMDD")&amp;"-"&amp;TEXT(VALUE(SUBSTITUTE(A2550,"MOV-","")),"000"))</f>
        <v/>
      </c>
    </row>
    <row r="2551" spans="18:20">
      <c r="R2551" s="22" t="str">
        <f>IF(H2551="","",H2551&amp;I2551)</f>
        <v/>
      </c>
      <c r="S2551" s="22" t="str">
        <f>IF(C2551="","",C2551&amp;I2551)</f>
        <v/>
      </c>
      <c r="T2551" t="str">
        <f>IF(OR(C2551="",I2551&lt;&gt;"ENTRADA"),"",TEXT(B2551,"AAMMDD")&amp;"-"&amp;TEXT(VALUE(SUBSTITUTE(A2551,"MOV-","")),"000"))</f>
        <v/>
      </c>
    </row>
    <row r="2552" spans="18:20">
      <c r="R2552" s="22" t="str">
        <f>IF(H2552="","",H2552&amp;I2552)</f>
        <v/>
      </c>
      <c r="S2552" s="22" t="str">
        <f>IF(C2552="","",C2552&amp;I2552)</f>
        <v/>
      </c>
      <c r="T2552" t="str">
        <f>IF(OR(C2552="",I2552&lt;&gt;"ENTRADA"),"",TEXT(B2552,"AAMMDD")&amp;"-"&amp;TEXT(VALUE(SUBSTITUTE(A2552,"MOV-","")),"000"))</f>
        <v/>
      </c>
    </row>
    <row r="2553" spans="18:20">
      <c r="R2553" s="22" t="str">
        <f>IF(H2553="","",H2553&amp;I2553)</f>
        <v/>
      </c>
      <c r="S2553" s="22" t="str">
        <f>IF(C2553="","",C2553&amp;I2553)</f>
        <v/>
      </c>
      <c r="T2553" t="str">
        <f>IF(OR(C2553="",I2553&lt;&gt;"ENTRADA"),"",TEXT(B2553,"AAMMDD")&amp;"-"&amp;TEXT(VALUE(SUBSTITUTE(A2553,"MOV-","")),"000"))</f>
        <v/>
      </c>
    </row>
    <row r="2554" spans="18:20">
      <c r="R2554" s="22" t="str">
        <f>IF(H2554="","",H2554&amp;I2554)</f>
        <v/>
      </c>
      <c r="S2554" s="22" t="str">
        <f>IF(C2554="","",C2554&amp;I2554)</f>
        <v/>
      </c>
      <c r="T2554" t="str">
        <f>IF(OR(C2554="",I2554&lt;&gt;"ENTRADA"),"",TEXT(B2554,"AAMMDD")&amp;"-"&amp;TEXT(VALUE(SUBSTITUTE(A2554,"MOV-","")),"000"))</f>
        <v/>
      </c>
    </row>
    <row r="2555" spans="18:20">
      <c r="R2555" s="22" t="str">
        <f>IF(H2555="","",H2555&amp;I2555)</f>
        <v/>
      </c>
      <c r="S2555" s="22" t="str">
        <f>IF(C2555="","",C2555&amp;I2555)</f>
        <v/>
      </c>
      <c r="T2555" t="str">
        <f>IF(OR(C2555="",I2555&lt;&gt;"ENTRADA"),"",TEXT(B2555,"AAMMDD")&amp;"-"&amp;TEXT(VALUE(SUBSTITUTE(A2555,"MOV-","")),"000"))</f>
        <v/>
      </c>
    </row>
    <row r="2556" spans="18:20">
      <c r="R2556" s="22" t="str">
        <f>IF(H2556="","",H2556&amp;I2556)</f>
        <v/>
      </c>
      <c r="S2556" s="22" t="str">
        <f>IF(C2556="","",C2556&amp;I2556)</f>
        <v/>
      </c>
      <c r="T2556" t="str">
        <f>IF(OR(C2556="",I2556&lt;&gt;"ENTRADA"),"",TEXT(B2556,"AAMMDD")&amp;"-"&amp;TEXT(VALUE(SUBSTITUTE(A2556,"MOV-","")),"000"))</f>
        <v/>
      </c>
    </row>
    <row r="2557" spans="18:20">
      <c r="R2557" s="22" t="str">
        <f>IF(H2557="","",H2557&amp;I2557)</f>
        <v/>
      </c>
      <c r="S2557" s="22" t="str">
        <f>IF(C2557="","",C2557&amp;I2557)</f>
        <v/>
      </c>
      <c r="T2557" t="str">
        <f>IF(OR(C2557="",I2557&lt;&gt;"ENTRADA"),"",TEXT(B2557,"AAMMDD")&amp;"-"&amp;TEXT(VALUE(SUBSTITUTE(A2557,"MOV-","")),"000"))</f>
        <v/>
      </c>
    </row>
    <row r="2558" spans="18:20">
      <c r="R2558" s="22" t="str">
        <f>IF(H2558="","",H2558&amp;I2558)</f>
        <v/>
      </c>
      <c r="S2558" s="22" t="str">
        <f>IF(C2558="","",C2558&amp;I2558)</f>
        <v/>
      </c>
      <c r="T2558" t="str">
        <f>IF(OR(C2558="",I2558&lt;&gt;"ENTRADA"),"",TEXT(B2558,"AAMMDD")&amp;"-"&amp;TEXT(VALUE(SUBSTITUTE(A2558,"MOV-","")),"000"))</f>
        <v/>
      </c>
    </row>
    <row r="2559" spans="18:20">
      <c r="R2559" s="22" t="str">
        <f>IF(H2559="","",H2559&amp;I2559)</f>
        <v/>
      </c>
      <c r="S2559" s="22" t="str">
        <f>IF(C2559="","",C2559&amp;I2559)</f>
        <v/>
      </c>
      <c r="T2559" t="str">
        <f>IF(OR(C2559="",I2559&lt;&gt;"ENTRADA"),"",TEXT(B2559,"AAMMDD")&amp;"-"&amp;TEXT(VALUE(SUBSTITUTE(A2559,"MOV-","")),"000"))</f>
        <v/>
      </c>
    </row>
    <row r="2560" spans="18:20">
      <c r="R2560" s="22" t="str">
        <f>IF(H2560="","",H2560&amp;I2560)</f>
        <v/>
      </c>
      <c r="S2560" s="22" t="str">
        <f>IF(C2560="","",C2560&amp;I2560)</f>
        <v/>
      </c>
      <c r="T2560" t="str">
        <f>IF(OR(C2560="",I2560&lt;&gt;"ENTRADA"),"",TEXT(B2560,"AAMMDD")&amp;"-"&amp;TEXT(VALUE(SUBSTITUTE(A2560,"MOV-","")),"000"))</f>
        <v/>
      </c>
    </row>
    <row r="2561" spans="18:20">
      <c r="R2561" s="22" t="str">
        <f>IF(H2561="","",H2561&amp;I2561)</f>
        <v/>
      </c>
      <c r="S2561" s="22" t="str">
        <f>IF(C2561="","",C2561&amp;I2561)</f>
        <v/>
      </c>
      <c r="T2561" t="str">
        <f>IF(OR(C2561="",I2561&lt;&gt;"ENTRADA"),"",TEXT(B2561,"AAMMDD")&amp;"-"&amp;TEXT(VALUE(SUBSTITUTE(A2561,"MOV-","")),"000"))</f>
        <v/>
      </c>
    </row>
    <row r="2562" spans="18:20">
      <c r="R2562" s="22" t="str">
        <f>IF(H2562="","",H2562&amp;I2562)</f>
        <v/>
      </c>
      <c r="S2562" s="22" t="str">
        <f>IF(C2562="","",C2562&amp;I2562)</f>
        <v/>
      </c>
      <c r="T2562" t="str">
        <f>IF(OR(C2562="",I2562&lt;&gt;"ENTRADA"),"",TEXT(B2562,"AAMMDD")&amp;"-"&amp;TEXT(VALUE(SUBSTITUTE(A2562,"MOV-","")),"000"))</f>
        <v/>
      </c>
    </row>
    <row r="2563" spans="18:20">
      <c r="R2563" s="22" t="str">
        <f>IF(H2563="","",H2563&amp;I2563)</f>
        <v/>
      </c>
      <c r="S2563" s="22" t="str">
        <f>IF(C2563="","",C2563&amp;I2563)</f>
        <v/>
      </c>
      <c r="T2563" t="str">
        <f>IF(OR(C2563="",I2563&lt;&gt;"ENTRADA"),"",TEXT(B2563,"AAMMDD")&amp;"-"&amp;TEXT(VALUE(SUBSTITUTE(A2563,"MOV-","")),"000"))</f>
        <v/>
      </c>
    </row>
    <row r="2564" spans="18:20">
      <c r="R2564" s="22" t="str">
        <f>IF(H2564="","",H2564&amp;I2564)</f>
        <v/>
      </c>
      <c r="S2564" s="22" t="str">
        <f>IF(C2564="","",C2564&amp;I2564)</f>
        <v/>
      </c>
      <c r="T2564" t="str">
        <f>IF(OR(C2564="",I2564&lt;&gt;"ENTRADA"),"",TEXT(B2564,"AAMMDD")&amp;"-"&amp;TEXT(VALUE(SUBSTITUTE(A2564,"MOV-","")),"000"))</f>
        <v/>
      </c>
    </row>
    <row r="2565" spans="18:20">
      <c r="R2565" s="22" t="str">
        <f>IF(H2565="","",H2565&amp;I2565)</f>
        <v/>
      </c>
      <c r="S2565" s="22" t="str">
        <f>IF(C2565="","",C2565&amp;I2565)</f>
        <v/>
      </c>
      <c r="T2565" t="str">
        <f>IF(OR(C2565="",I2565&lt;&gt;"ENTRADA"),"",TEXT(B2565,"AAMMDD")&amp;"-"&amp;TEXT(VALUE(SUBSTITUTE(A2565,"MOV-","")),"000"))</f>
        <v/>
      </c>
    </row>
    <row r="2566" spans="18:20">
      <c r="R2566" s="22" t="str">
        <f>IF(H2566="","",H2566&amp;I2566)</f>
        <v/>
      </c>
      <c r="S2566" s="22" t="str">
        <f>IF(C2566="","",C2566&amp;I2566)</f>
        <v/>
      </c>
      <c r="T2566" t="str">
        <f>IF(OR(C2566="",I2566&lt;&gt;"ENTRADA"),"",TEXT(B2566,"AAMMDD")&amp;"-"&amp;TEXT(VALUE(SUBSTITUTE(A2566,"MOV-","")),"000"))</f>
        <v/>
      </c>
    </row>
    <row r="2567" spans="18:20">
      <c r="R2567" s="22" t="str">
        <f>IF(H2567="","",H2567&amp;I2567)</f>
        <v/>
      </c>
      <c r="S2567" s="22" t="str">
        <f>IF(C2567="","",C2567&amp;I2567)</f>
        <v/>
      </c>
      <c r="T2567" t="str">
        <f>IF(OR(C2567="",I2567&lt;&gt;"ENTRADA"),"",TEXT(B2567,"AAMMDD")&amp;"-"&amp;TEXT(VALUE(SUBSTITUTE(A2567,"MOV-","")),"000"))</f>
        <v/>
      </c>
    </row>
    <row r="2568" spans="18:20">
      <c r="R2568" s="22" t="str">
        <f>IF(H2568="","",H2568&amp;I2568)</f>
        <v/>
      </c>
      <c r="S2568" s="22" t="str">
        <f>IF(C2568="","",C2568&amp;I2568)</f>
        <v/>
      </c>
      <c r="T2568" t="str">
        <f>IF(OR(C2568="",I2568&lt;&gt;"ENTRADA"),"",TEXT(B2568,"AAMMDD")&amp;"-"&amp;TEXT(VALUE(SUBSTITUTE(A2568,"MOV-","")),"000"))</f>
        <v/>
      </c>
    </row>
    <row r="2569" spans="18:20">
      <c r="R2569" s="22" t="str">
        <f>IF(H2569="","",H2569&amp;I2569)</f>
        <v/>
      </c>
      <c r="S2569" s="22" t="str">
        <f>IF(C2569="","",C2569&amp;I2569)</f>
        <v/>
      </c>
      <c r="T2569" t="str">
        <f>IF(OR(C2569="",I2569&lt;&gt;"ENTRADA"),"",TEXT(B2569,"AAMMDD")&amp;"-"&amp;TEXT(VALUE(SUBSTITUTE(A2569,"MOV-","")),"000"))</f>
        <v/>
      </c>
    </row>
    <row r="2570" spans="18:20">
      <c r="R2570" s="22" t="str">
        <f>IF(H2570="","",H2570&amp;I2570)</f>
        <v/>
      </c>
      <c r="S2570" s="22" t="str">
        <f>IF(C2570="","",C2570&amp;I2570)</f>
        <v/>
      </c>
      <c r="T2570" t="str">
        <f>IF(OR(C2570="",I2570&lt;&gt;"ENTRADA"),"",TEXT(B2570,"AAMMDD")&amp;"-"&amp;TEXT(VALUE(SUBSTITUTE(A2570,"MOV-","")),"000"))</f>
        <v/>
      </c>
    </row>
    <row r="2571" spans="18:20">
      <c r="R2571" s="22" t="str">
        <f>IF(H2571="","",H2571&amp;I2571)</f>
        <v/>
      </c>
      <c r="S2571" s="22" t="str">
        <f>IF(C2571="","",C2571&amp;I2571)</f>
        <v/>
      </c>
      <c r="T2571" t="str">
        <f>IF(OR(C2571="",I2571&lt;&gt;"ENTRADA"),"",TEXT(B2571,"AAMMDD")&amp;"-"&amp;TEXT(VALUE(SUBSTITUTE(A2571,"MOV-","")),"000"))</f>
        <v/>
      </c>
    </row>
    <row r="2572" spans="18:20">
      <c r="R2572" s="22" t="str">
        <f>IF(H2572="","",H2572&amp;I2572)</f>
        <v/>
      </c>
      <c r="S2572" s="22" t="str">
        <f>IF(C2572="","",C2572&amp;I2572)</f>
        <v/>
      </c>
      <c r="T2572" t="str">
        <f>IF(OR(C2572="",I2572&lt;&gt;"ENTRADA"),"",TEXT(B2572,"AAMMDD")&amp;"-"&amp;TEXT(VALUE(SUBSTITUTE(A2572,"MOV-","")),"000"))</f>
        <v/>
      </c>
    </row>
    <row r="2573" spans="18:20">
      <c r="R2573" s="22" t="str">
        <f>IF(H2573="","",H2573&amp;I2573)</f>
        <v/>
      </c>
      <c r="S2573" s="22" t="str">
        <f>IF(C2573="","",C2573&amp;I2573)</f>
        <v/>
      </c>
      <c r="T2573" t="str">
        <f>IF(OR(C2573="",I2573&lt;&gt;"ENTRADA"),"",TEXT(B2573,"AAMMDD")&amp;"-"&amp;TEXT(VALUE(SUBSTITUTE(A2573,"MOV-","")),"000"))</f>
        <v/>
      </c>
    </row>
    <row r="2574" spans="18:20">
      <c r="R2574" s="22" t="str">
        <f>IF(H2574="","",H2574&amp;I2574)</f>
        <v/>
      </c>
      <c r="S2574" s="22" t="str">
        <f>IF(C2574="","",C2574&amp;I2574)</f>
        <v/>
      </c>
      <c r="T2574" t="str">
        <f>IF(OR(C2574="",I2574&lt;&gt;"ENTRADA"),"",TEXT(B2574,"AAMMDD")&amp;"-"&amp;TEXT(VALUE(SUBSTITUTE(A2574,"MOV-","")),"000"))</f>
        <v/>
      </c>
    </row>
    <row r="2575" spans="18:20">
      <c r="R2575" s="22" t="str">
        <f>IF(H2575="","",H2575&amp;I2575)</f>
        <v/>
      </c>
      <c r="S2575" s="22" t="str">
        <f>IF(C2575="","",C2575&amp;I2575)</f>
        <v/>
      </c>
      <c r="T2575" t="str">
        <f>IF(OR(C2575="",I2575&lt;&gt;"ENTRADA"),"",TEXT(B2575,"AAMMDD")&amp;"-"&amp;TEXT(VALUE(SUBSTITUTE(A2575,"MOV-","")),"000"))</f>
        <v/>
      </c>
    </row>
    <row r="2576" spans="18:20">
      <c r="R2576" s="22" t="str">
        <f>IF(H2576="","",H2576&amp;I2576)</f>
        <v/>
      </c>
      <c r="S2576" s="22" t="str">
        <f>IF(C2576="","",C2576&amp;I2576)</f>
        <v/>
      </c>
      <c r="T2576" t="str">
        <f>IF(OR(C2576="",I2576&lt;&gt;"ENTRADA"),"",TEXT(B2576,"AAMMDD")&amp;"-"&amp;TEXT(VALUE(SUBSTITUTE(A2576,"MOV-","")),"000"))</f>
        <v/>
      </c>
    </row>
    <row r="2577" spans="18:20">
      <c r="R2577" s="22" t="str">
        <f>IF(H2577="","",H2577&amp;I2577)</f>
        <v/>
      </c>
      <c r="S2577" s="22" t="str">
        <f>IF(C2577="","",C2577&amp;I2577)</f>
        <v/>
      </c>
      <c r="T2577" t="str">
        <f>IF(OR(C2577="",I2577&lt;&gt;"ENTRADA"),"",TEXT(B2577,"AAMMDD")&amp;"-"&amp;TEXT(VALUE(SUBSTITUTE(A2577,"MOV-","")),"000"))</f>
        <v/>
      </c>
    </row>
    <row r="2578" spans="18:20">
      <c r="R2578" s="22" t="str">
        <f>IF(H2578="","",H2578&amp;I2578)</f>
        <v/>
      </c>
      <c r="S2578" s="22" t="str">
        <f>IF(C2578="","",C2578&amp;I2578)</f>
        <v/>
      </c>
      <c r="T2578" t="str">
        <f>IF(OR(C2578="",I2578&lt;&gt;"ENTRADA"),"",TEXT(B2578,"AAMMDD")&amp;"-"&amp;TEXT(VALUE(SUBSTITUTE(A2578,"MOV-","")),"000"))</f>
        <v/>
      </c>
    </row>
    <row r="2579" spans="18:20">
      <c r="R2579" s="22" t="str">
        <f>IF(H2579="","",H2579&amp;I2579)</f>
        <v/>
      </c>
      <c r="S2579" s="22" t="str">
        <f>IF(C2579="","",C2579&amp;I2579)</f>
        <v/>
      </c>
      <c r="T2579" t="str">
        <f>IF(OR(C2579="",I2579&lt;&gt;"ENTRADA"),"",TEXT(B2579,"AAMMDD")&amp;"-"&amp;TEXT(VALUE(SUBSTITUTE(A2579,"MOV-","")),"000"))</f>
        <v/>
      </c>
    </row>
    <row r="2580" spans="18:20">
      <c r="R2580" s="22" t="str">
        <f>IF(H2580="","",H2580&amp;I2580)</f>
        <v/>
      </c>
      <c r="S2580" s="22" t="str">
        <f>IF(C2580="","",C2580&amp;I2580)</f>
        <v/>
      </c>
      <c r="T2580" t="str">
        <f>IF(OR(C2580="",I2580&lt;&gt;"ENTRADA"),"",TEXT(B2580,"AAMMDD")&amp;"-"&amp;TEXT(VALUE(SUBSTITUTE(A2580,"MOV-","")),"000"))</f>
        <v/>
      </c>
    </row>
    <row r="2581" spans="18:20">
      <c r="R2581" s="22" t="str">
        <f>IF(H2581="","",H2581&amp;I2581)</f>
        <v/>
      </c>
      <c r="S2581" s="22" t="str">
        <f>IF(C2581="","",C2581&amp;I2581)</f>
        <v/>
      </c>
      <c r="T2581" t="str">
        <f>IF(OR(C2581="",I2581&lt;&gt;"ENTRADA"),"",TEXT(B2581,"AAMMDD")&amp;"-"&amp;TEXT(VALUE(SUBSTITUTE(A2581,"MOV-","")),"000"))</f>
        <v/>
      </c>
    </row>
    <row r="2582" spans="18:20">
      <c r="R2582" s="22" t="str">
        <f>IF(H2582="","",H2582&amp;I2582)</f>
        <v/>
      </c>
      <c r="S2582" s="22" t="str">
        <f>IF(C2582="","",C2582&amp;I2582)</f>
        <v/>
      </c>
      <c r="T2582" t="str">
        <f>IF(OR(C2582="",I2582&lt;&gt;"ENTRADA"),"",TEXT(B2582,"AAMMDD")&amp;"-"&amp;TEXT(VALUE(SUBSTITUTE(A2582,"MOV-","")),"000"))</f>
        <v/>
      </c>
    </row>
    <row r="2583" spans="18:20">
      <c r="R2583" s="22" t="str">
        <f>IF(H2583="","",H2583&amp;I2583)</f>
        <v/>
      </c>
      <c r="S2583" s="22" t="str">
        <f>IF(C2583="","",C2583&amp;I2583)</f>
        <v/>
      </c>
      <c r="T2583" t="str">
        <f>IF(OR(C2583="",I2583&lt;&gt;"ENTRADA"),"",TEXT(B2583,"AAMMDD")&amp;"-"&amp;TEXT(VALUE(SUBSTITUTE(A2583,"MOV-","")),"000"))</f>
        <v/>
      </c>
    </row>
    <row r="2584" spans="18:20">
      <c r="R2584" s="22" t="str">
        <f>IF(H2584="","",H2584&amp;I2584)</f>
        <v/>
      </c>
      <c r="S2584" s="22" t="str">
        <f>IF(C2584="","",C2584&amp;I2584)</f>
        <v/>
      </c>
      <c r="T2584" t="str">
        <f>IF(OR(C2584="",I2584&lt;&gt;"ENTRADA"),"",TEXT(B2584,"AAMMDD")&amp;"-"&amp;TEXT(VALUE(SUBSTITUTE(A2584,"MOV-","")),"000"))</f>
        <v/>
      </c>
    </row>
    <row r="2585" spans="18:20">
      <c r="R2585" s="22" t="str">
        <f>IF(H2585="","",H2585&amp;I2585)</f>
        <v/>
      </c>
      <c r="S2585" s="22" t="str">
        <f>IF(C2585="","",C2585&amp;I2585)</f>
        <v/>
      </c>
      <c r="T2585" t="str">
        <f>IF(OR(C2585="",I2585&lt;&gt;"ENTRADA"),"",TEXT(B2585,"AAMMDD")&amp;"-"&amp;TEXT(VALUE(SUBSTITUTE(A2585,"MOV-","")),"000"))</f>
        <v/>
      </c>
    </row>
    <row r="2586" spans="18:20">
      <c r="R2586" s="22" t="str">
        <f>IF(H2586="","",H2586&amp;I2586)</f>
        <v/>
      </c>
      <c r="S2586" s="22" t="str">
        <f>IF(C2586="","",C2586&amp;I2586)</f>
        <v/>
      </c>
      <c r="T2586" t="str">
        <f>IF(OR(C2586="",I2586&lt;&gt;"ENTRADA"),"",TEXT(B2586,"AAMMDD")&amp;"-"&amp;TEXT(VALUE(SUBSTITUTE(A2586,"MOV-","")),"000"))</f>
        <v/>
      </c>
    </row>
    <row r="2587" spans="18:20">
      <c r="R2587" s="22" t="str">
        <f>IF(H2587="","",H2587&amp;I2587)</f>
        <v/>
      </c>
      <c r="S2587" s="22" t="str">
        <f>IF(C2587="","",C2587&amp;I2587)</f>
        <v/>
      </c>
      <c r="T2587" t="str">
        <f>IF(OR(C2587="",I2587&lt;&gt;"ENTRADA"),"",TEXT(B2587,"AAMMDD")&amp;"-"&amp;TEXT(VALUE(SUBSTITUTE(A2587,"MOV-","")),"000"))</f>
        <v/>
      </c>
    </row>
    <row r="2588" spans="18:20">
      <c r="R2588" s="22" t="str">
        <f>IF(H2588="","",H2588&amp;I2588)</f>
        <v/>
      </c>
      <c r="S2588" s="22" t="str">
        <f>IF(C2588="","",C2588&amp;I2588)</f>
        <v/>
      </c>
      <c r="T2588" t="str">
        <f>IF(OR(C2588="",I2588&lt;&gt;"ENTRADA"),"",TEXT(B2588,"AAMMDD")&amp;"-"&amp;TEXT(VALUE(SUBSTITUTE(A2588,"MOV-","")),"000"))</f>
        <v/>
      </c>
    </row>
    <row r="2589" spans="18:20">
      <c r="R2589" s="22" t="str">
        <f>IF(H2589="","",H2589&amp;I2589)</f>
        <v/>
      </c>
      <c r="S2589" s="22" t="str">
        <f>IF(C2589="","",C2589&amp;I2589)</f>
        <v/>
      </c>
      <c r="T2589" t="str">
        <f>IF(OR(C2589="",I2589&lt;&gt;"ENTRADA"),"",TEXT(B2589,"AAMMDD")&amp;"-"&amp;TEXT(VALUE(SUBSTITUTE(A2589,"MOV-","")),"000"))</f>
        <v/>
      </c>
    </row>
    <row r="2590" spans="18:20">
      <c r="R2590" s="22" t="str">
        <f>IF(H2590="","",H2590&amp;I2590)</f>
        <v/>
      </c>
      <c r="S2590" s="22" t="str">
        <f>IF(C2590="","",C2590&amp;I2590)</f>
        <v/>
      </c>
      <c r="T2590" t="str">
        <f>IF(OR(C2590="",I2590&lt;&gt;"ENTRADA"),"",TEXT(B2590,"AAMMDD")&amp;"-"&amp;TEXT(VALUE(SUBSTITUTE(A2590,"MOV-","")),"000"))</f>
        <v/>
      </c>
    </row>
    <row r="2591" spans="18:20">
      <c r="R2591" s="22" t="str">
        <f>IF(H2591="","",H2591&amp;I2591)</f>
        <v/>
      </c>
      <c r="S2591" s="22" t="str">
        <f>IF(C2591="","",C2591&amp;I2591)</f>
        <v/>
      </c>
      <c r="T2591" t="str">
        <f>IF(OR(C2591="",I2591&lt;&gt;"ENTRADA"),"",TEXT(B2591,"AAMMDD")&amp;"-"&amp;TEXT(VALUE(SUBSTITUTE(A2591,"MOV-","")),"000"))</f>
        <v/>
      </c>
    </row>
    <row r="2592" spans="18:20">
      <c r="R2592" s="22" t="str">
        <f>IF(H2592="","",H2592&amp;I2592)</f>
        <v/>
      </c>
      <c r="S2592" s="22" t="str">
        <f>IF(C2592="","",C2592&amp;I2592)</f>
        <v/>
      </c>
      <c r="T2592" t="str">
        <f>IF(OR(C2592="",I2592&lt;&gt;"ENTRADA"),"",TEXT(B2592,"AAMMDD")&amp;"-"&amp;TEXT(VALUE(SUBSTITUTE(A2592,"MOV-","")),"000"))</f>
        <v/>
      </c>
    </row>
    <row r="2593" spans="18:20">
      <c r="R2593" s="22" t="str">
        <f>IF(H2593="","",H2593&amp;I2593)</f>
        <v/>
      </c>
      <c r="S2593" s="22" t="str">
        <f>IF(C2593="","",C2593&amp;I2593)</f>
        <v/>
      </c>
      <c r="T2593" t="str">
        <f>IF(OR(C2593="",I2593&lt;&gt;"ENTRADA"),"",TEXT(B2593,"AAMMDD")&amp;"-"&amp;TEXT(VALUE(SUBSTITUTE(A2593,"MOV-","")),"000"))</f>
        <v/>
      </c>
    </row>
    <row r="2594" spans="18:20">
      <c r="R2594" s="22" t="str">
        <f>IF(H2594="","",H2594&amp;I2594)</f>
        <v/>
      </c>
      <c r="S2594" s="22" t="str">
        <f>IF(C2594="","",C2594&amp;I2594)</f>
        <v/>
      </c>
      <c r="T2594" t="str">
        <f>IF(OR(C2594="",I2594&lt;&gt;"ENTRADA"),"",TEXT(B2594,"AAMMDD")&amp;"-"&amp;TEXT(VALUE(SUBSTITUTE(A2594,"MOV-","")),"000"))</f>
        <v/>
      </c>
    </row>
    <row r="2595" spans="18:20">
      <c r="R2595" s="22" t="str">
        <f>IF(H2595="","",H2595&amp;I2595)</f>
        <v/>
      </c>
      <c r="S2595" s="22" t="str">
        <f>IF(C2595="","",C2595&amp;I2595)</f>
        <v/>
      </c>
      <c r="T2595" t="str">
        <f>IF(OR(C2595="",I2595&lt;&gt;"ENTRADA"),"",TEXT(B2595,"AAMMDD")&amp;"-"&amp;TEXT(VALUE(SUBSTITUTE(A2595,"MOV-","")),"000"))</f>
        <v/>
      </c>
    </row>
    <row r="2596" spans="18:20">
      <c r="R2596" s="22" t="str">
        <f>IF(H2596="","",H2596&amp;I2596)</f>
        <v/>
      </c>
      <c r="S2596" s="22" t="str">
        <f>IF(C2596="","",C2596&amp;I2596)</f>
        <v/>
      </c>
      <c r="T2596" t="str">
        <f>IF(OR(C2596="",I2596&lt;&gt;"ENTRADA"),"",TEXT(B2596,"AAMMDD")&amp;"-"&amp;TEXT(VALUE(SUBSTITUTE(A2596,"MOV-","")),"000"))</f>
        <v/>
      </c>
    </row>
    <row r="2597" spans="18:20">
      <c r="R2597" s="22" t="str">
        <f>IF(H2597="","",H2597&amp;I2597)</f>
        <v/>
      </c>
      <c r="S2597" s="22" t="str">
        <f>IF(C2597="","",C2597&amp;I2597)</f>
        <v/>
      </c>
      <c r="T2597" t="str">
        <f>IF(OR(C2597="",I2597&lt;&gt;"ENTRADA"),"",TEXT(B2597,"AAMMDD")&amp;"-"&amp;TEXT(VALUE(SUBSTITUTE(A2597,"MOV-","")),"000"))</f>
        <v/>
      </c>
    </row>
    <row r="2598" spans="18:20">
      <c r="R2598" s="22" t="str">
        <f>IF(H2598="","",H2598&amp;I2598)</f>
        <v/>
      </c>
      <c r="S2598" s="22" t="str">
        <f>IF(C2598="","",C2598&amp;I2598)</f>
        <v/>
      </c>
      <c r="T2598" t="str">
        <f>IF(OR(C2598="",I2598&lt;&gt;"ENTRADA"),"",TEXT(B2598,"AAMMDD")&amp;"-"&amp;TEXT(VALUE(SUBSTITUTE(A2598,"MOV-","")),"000"))</f>
        <v/>
      </c>
    </row>
    <row r="2599" spans="18:20">
      <c r="R2599" s="22" t="str">
        <f>IF(H2599="","",H2599&amp;I2599)</f>
        <v/>
      </c>
      <c r="S2599" s="22" t="str">
        <f>IF(C2599="","",C2599&amp;I2599)</f>
        <v/>
      </c>
      <c r="T2599" t="str">
        <f>IF(OR(C2599="",I2599&lt;&gt;"ENTRADA"),"",TEXT(B2599,"AAMMDD")&amp;"-"&amp;TEXT(VALUE(SUBSTITUTE(A2599,"MOV-","")),"000"))</f>
        <v/>
      </c>
    </row>
    <row r="2600" spans="18:20">
      <c r="R2600" s="22" t="str">
        <f>IF(H2600="","",H2600&amp;I2600)</f>
        <v/>
      </c>
      <c r="S2600" s="22" t="str">
        <f>IF(C2600="","",C2600&amp;I2600)</f>
        <v/>
      </c>
      <c r="T2600" t="str">
        <f>IF(OR(C2600="",I2600&lt;&gt;"ENTRADA"),"",TEXT(B2600,"AAMMDD")&amp;"-"&amp;TEXT(VALUE(SUBSTITUTE(A2600,"MOV-","")),"000"))</f>
        <v/>
      </c>
    </row>
    <row r="2601" spans="18:20">
      <c r="R2601" s="22" t="str">
        <f>IF(H2601="","",H2601&amp;I2601)</f>
        <v/>
      </c>
      <c r="S2601" s="22" t="str">
        <f>IF(C2601="","",C2601&amp;I2601)</f>
        <v/>
      </c>
      <c r="T2601" t="str">
        <f>IF(OR(C2601="",I2601&lt;&gt;"ENTRADA"),"",TEXT(B2601,"AAMMDD")&amp;"-"&amp;TEXT(VALUE(SUBSTITUTE(A2601,"MOV-","")),"000"))</f>
        <v/>
      </c>
    </row>
    <row r="2602" spans="18:20">
      <c r="R2602" s="22" t="str">
        <f>IF(H2602="","",H2602&amp;I2602)</f>
        <v/>
      </c>
      <c r="S2602" s="22" t="str">
        <f>IF(C2602="","",C2602&amp;I2602)</f>
        <v/>
      </c>
      <c r="T2602" t="str">
        <f>IF(OR(C2602="",I2602&lt;&gt;"ENTRADA"),"",TEXT(B2602,"AAMMDD")&amp;"-"&amp;TEXT(VALUE(SUBSTITUTE(A2602,"MOV-","")),"000"))</f>
        <v/>
      </c>
    </row>
    <row r="2603" spans="18:20">
      <c r="R2603" s="22" t="str">
        <f>IF(H2603="","",H2603&amp;I2603)</f>
        <v/>
      </c>
      <c r="S2603" s="22" t="str">
        <f>IF(C2603="","",C2603&amp;I2603)</f>
        <v/>
      </c>
      <c r="T2603" t="str">
        <f>IF(OR(C2603="",I2603&lt;&gt;"ENTRADA"),"",TEXT(B2603,"AAMMDD")&amp;"-"&amp;TEXT(VALUE(SUBSTITUTE(A2603,"MOV-","")),"000"))</f>
        <v/>
      </c>
    </row>
    <row r="2604" spans="18:20">
      <c r="R2604" s="22" t="str">
        <f>IF(H2604="","",H2604&amp;I2604)</f>
        <v/>
      </c>
      <c r="S2604" s="22" t="str">
        <f>IF(C2604="","",C2604&amp;I2604)</f>
        <v/>
      </c>
      <c r="T2604" t="str">
        <f>IF(OR(C2604="",I2604&lt;&gt;"ENTRADA"),"",TEXT(B2604,"AAMMDD")&amp;"-"&amp;TEXT(VALUE(SUBSTITUTE(A2604,"MOV-","")),"000"))</f>
        <v/>
      </c>
    </row>
    <row r="2605" spans="18:20">
      <c r="R2605" s="22" t="str">
        <f>IF(H2605="","",H2605&amp;I2605)</f>
        <v/>
      </c>
      <c r="S2605" s="22" t="str">
        <f>IF(C2605="","",C2605&amp;I2605)</f>
        <v/>
      </c>
      <c r="T2605" t="str">
        <f>IF(OR(C2605="",I2605&lt;&gt;"ENTRADA"),"",TEXT(B2605,"AAMMDD")&amp;"-"&amp;TEXT(VALUE(SUBSTITUTE(A2605,"MOV-","")),"000"))</f>
        <v/>
      </c>
    </row>
    <row r="2606" spans="18:20">
      <c r="R2606" s="22" t="str">
        <f>IF(H2606="","",H2606&amp;I2606)</f>
        <v/>
      </c>
      <c r="S2606" s="22" t="str">
        <f>IF(C2606="","",C2606&amp;I2606)</f>
        <v/>
      </c>
      <c r="T2606" t="str">
        <f>IF(OR(C2606="",I2606&lt;&gt;"ENTRADA"),"",TEXT(B2606,"AAMMDD")&amp;"-"&amp;TEXT(VALUE(SUBSTITUTE(A2606,"MOV-","")),"000"))</f>
        <v/>
      </c>
    </row>
    <row r="2607" spans="18:20">
      <c r="R2607" s="22" t="str">
        <f>IF(H2607="","",H2607&amp;I2607)</f>
        <v/>
      </c>
      <c r="S2607" s="22" t="str">
        <f>IF(C2607="","",C2607&amp;I2607)</f>
        <v/>
      </c>
      <c r="T2607" t="str">
        <f>IF(OR(C2607="",I2607&lt;&gt;"ENTRADA"),"",TEXT(B2607,"AAMMDD")&amp;"-"&amp;TEXT(VALUE(SUBSTITUTE(A2607,"MOV-","")),"000"))</f>
        <v/>
      </c>
    </row>
    <row r="2608" spans="18:20">
      <c r="R2608" s="22" t="str">
        <f>IF(H2608="","",H2608&amp;I2608)</f>
        <v/>
      </c>
      <c r="S2608" s="22" t="str">
        <f>IF(C2608="","",C2608&amp;I2608)</f>
        <v/>
      </c>
      <c r="T2608" t="str">
        <f>IF(OR(C2608="",I2608&lt;&gt;"ENTRADA"),"",TEXT(B2608,"AAMMDD")&amp;"-"&amp;TEXT(VALUE(SUBSTITUTE(A2608,"MOV-","")),"000"))</f>
        <v/>
      </c>
    </row>
    <row r="2609" spans="18:20">
      <c r="R2609" s="22" t="str">
        <f>IF(H2609="","",H2609&amp;I2609)</f>
        <v/>
      </c>
      <c r="S2609" s="22" t="str">
        <f>IF(C2609="","",C2609&amp;I2609)</f>
        <v/>
      </c>
      <c r="T2609" t="str">
        <f>IF(OR(C2609="",I2609&lt;&gt;"ENTRADA"),"",TEXT(B2609,"AAMMDD")&amp;"-"&amp;TEXT(VALUE(SUBSTITUTE(A2609,"MOV-","")),"000"))</f>
        <v/>
      </c>
    </row>
    <row r="2610" spans="18:20">
      <c r="R2610" s="22" t="str">
        <f>IF(H2610="","",H2610&amp;I2610)</f>
        <v/>
      </c>
      <c r="S2610" s="22" t="str">
        <f>IF(C2610="","",C2610&amp;I2610)</f>
        <v/>
      </c>
      <c r="T2610" t="str">
        <f>IF(OR(C2610="",I2610&lt;&gt;"ENTRADA"),"",TEXT(B2610,"AAMMDD")&amp;"-"&amp;TEXT(VALUE(SUBSTITUTE(A2610,"MOV-","")),"000"))</f>
        <v/>
      </c>
    </row>
    <row r="2611" spans="18:20">
      <c r="R2611" s="22" t="str">
        <f>IF(H2611="","",H2611&amp;I2611)</f>
        <v/>
      </c>
      <c r="S2611" s="22" t="str">
        <f>IF(C2611="","",C2611&amp;I2611)</f>
        <v/>
      </c>
      <c r="T2611" t="str">
        <f>IF(OR(C2611="",I2611&lt;&gt;"ENTRADA"),"",TEXT(B2611,"AAMMDD")&amp;"-"&amp;TEXT(VALUE(SUBSTITUTE(A2611,"MOV-","")),"000"))</f>
        <v/>
      </c>
    </row>
    <row r="2612" spans="18:20">
      <c r="R2612" s="22" t="str">
        <f>IF(H2612="","",H2612&amp;I2612)</f>
        <v/>
      </c>
      <c r="S2612" s="22" t="str">
        <f>IF(C2612="","",C2612&amp;I2612)</f>
        <v/>
      </c>
      <c r="T2612" t="str">
        <f>IF(OR(C2612="",I2612&lt;&gt;"ENTRADA"),"",TEXT(B2612,"AAMMDD")&amp;"-"&amp;TEXT(VALUE(SUBSTITUTE(A2612,"MOV-","")),"000"))</f>
        <v/>
      </c>
    </row>
    <row r="2613" spans="18:20">
      <c r="R2613" s="22" t="str">
        <f>IF(H2613="","",H2613&amp;I2613)</f>
        <v/>
      </c>
      <c r="S2613" s="22" t="str">
        <f>IF(C2613="","",C2613&amp;I2613)</f>
        <v/>
      </c>
      <c r="T2613" t="str">
        <f>IF(OR(C2613="",I2613&lt;&gt;"ENTRADA"),"",TEXT(B2613,"AAMMDD")&amp;"-"&amp;TEXT(VALUE(SUBSTITUTE(A2613,"MOV-","")),"000"))</f>
        <v/>
      </c>
    </row>
    <row r="2614" spans="18:20">
      <c r="R2614" s="22" t="str">
        <f>IF(H2614="","",H2614&amp;I2614)</f>
        <v/>
      </c>
      <c r="S2614" s="22" t="str">
        <f>IF(C2614="","",C2614&amp;I2614)</f>
        <v/>
      </c>
      <c r="T2614" t="str">
        <f>IF(OR(C2614="",I2614&lt;&gt;"ENTRADA"),"",TEXT(B2614,"AAMMDD")&amp;"-"&amp;TEXT(VALUE(SUBSTITUTE(A2614,"MOV-","")),"000"))</f>
        <v/>
      </c>
    </row>
    <row r="2615" spans="18:20">
      <c r="R2615" s="22" t="str">
        <f>IF(H2615="","",H2615&amp;I2615)</f>
        <v/>
      </c>
      <c r="S2615" s="22" t="str">
        <f>IF(C2615="","",C2615&amp;I2615)</f>
        <v/>
      </c>
      <c r="T2615" t="str">
        <f>IF(OR(C2615="",I2615&lt;&gt;"ENTRADA"),"",TEXT(B2615,"AAMMDD")&amp;"-"&amp;TEXT(VALUE(SUBSTITUTE(A2615,"MOV-","")),"000"))</f>
        <v/>
      </c>
    </row>
    <row r="2616" spans="18:20">
      <c r="R2616" s="22" t="str">
        <f>IF(H2616="","",H2616&amp;I2616)</f>
        <v/>
      </c>
      <c r="S2616" s="22" t="str">
        <f>IF(C2616="","",C2616&amp;I2616)</f>
        <v/>
      </c>
      <c r="T2616" t="str">
        <f>IF(OR(C2616="",I2616&lt;&gt;"ENTRADA"),"",TEXT(B2616,"AAMMDD")&amp;"-"&amp;TEXT(VALUE(SUBSTITUTE(A2616,"MOV-","")),"000"))</f>
        <v/>
      </c>
    </row>
    <row r="2617" spans="18:20">
      <c r="R2617" s="22" t="str">
        <f>IF(H2617="","",H2617&amp;I2617)</f>
        <v/>
      </c>
      <c r="S2617" s="22" t="str">
        <f>IF(C2617="","",C2617&amp;I2617)</f>
        <v/>
      </c>
      <c r="T2617" t="str">
        <f>IF(OR(C2617="",I2617&lt;&gt;"ENTRADA"),"",TEXT(B2617,"AAMMDD")&amp;"-"&amp;TEXT(VALUE(SUBSTITUTE(A2617,"MOV-","")),"000"))</f>
        <v/>
      </c>
    </row>
    <row r="2618" spans="18:20">
      <c r="R2618" s="22" t="str">
        <f>IF(H2618="","",H2618&amp;I2618)</f>
        <v/>
      </c>
      <c r="S2618" s="22" t="str">
        <f>IF(C2618="","",C2618&amp;I2618)</f>
        <v/>
      </c>
      <c r="T2618" t="str">
        <f>IF(OR(C2618="",I2618&lt;&gt;"ENTRADA"),"",TEXT(B2618,"AAMMDD")&amp;"-"&amp;TEXT(VALUE(SUBSTITUTE(A2618,"MOV-","")),"000"))</f>
        <v/>
      </c>
    </row>
    <row r="2619" spans="18:20">
      <c r="R2619" s="22" t="str">
        <f>IF(H2619="","",H2619&amp;I2619)</f>
        <v/>
      </c>
      <c r="S2619" s="22" t="str">
        <f>IF(C2619="","",C2619&amp;I2619)</f>
        <v/>
      </c>
      <c r="T2619" t="str">
        <f>IF(OR(C2619="",I2619&lt;&gt;"ENTRADA"),"",TEXT(B2619,"AAMMDD")&amp;"-"&amp;TEXT(VALUE(SUBSTITUTE(A2619,"MOV-","")),"000"))</f>
        <v/>
      </c>
    </row>
    <row r="2620" spans="18:20">
      <c r="R2620" s="22" t="str">
        <f>IF(H2620="","",H2620&amp;I2620)</f>
        <v/>
      </c>
      <c r="S2620" s="22" t="str">
        <f>IF(C2620="","",C2620&amp;I2620)</f>
        <v/>
      </c>
      <c r="T2620" t="str">
        <f>IF(OR(C2620="",I2620&lt;&gt;"ENTRADA"),"",TEXT(B2620,"AAMMDD")&amp;"-"&amp;TEXT(VALUE(SUBSTITUTE(A2620,"MOV-","")),"000"))</f>
        <v/>
      </c>
    </row>
    <row r="2621" spans="18:20">
      <c r="R2621" s="22" t="str">
        <f>IF(H2621="","",H2621&amp;I2621)</f>
        <v/>
      </c>
      <c r="S2621" s="22" t="str">
        <f>IF(C2621="","",C2621&amp;I2621)</f>
        <v/>
      </c>
      <c r="T2621" t="str">
        <f>IF(OR(C2621="",I2621&lt;&gt;"ENTRADA"),"",TEXT(B2621,"AAMMDD")&amp;"-"&amp;TEXT(VALUE(SUBSTITUTE(A2621,"MOV-","")),"000"))</f>
        <v/>
      </c>
    </row>
    <row r="2622" spans="18:20">
      <c r="R2622" s="22" t="str">
        <f>IF(H2622="","",H2622&amp;I2622)</f>
        <v/>
      </c>
      <c r="S2622" s="22" t="str">
        <f>IF(C2622="","",C2622&amp;I2622)</f>
        <v/>
      </c>
      <c r="T2622" t="str">
        <f>IF(OR(C2622="",I2622&lt;&gt;"ENTRADA"),"",TEXT(B2622,"AAMMDD")&amp;"-"&amp;TEXT(VALUE(SUBSTITUTE(A2622,"MOV-","")),"000"))</f>
        <v/>
      </c>
    </row>
    <row r="2623" spans="18:20">
      <c r="R2623" s="22" t="str">
        <f>IF(H2623="","",H2623&amp;I2623)</f>
        <v/>
      </c>
      <c r="S2623" s="22" t="str">
        <f>IF(C2623="","",C2623&amp;I2623)</f>
        <v/>
      </c>
      <c r="T2623" t="str">
        <f>IF(OR(C2623="",I2623&lt;&gt;"ENTRADA"),"",TEXT(B2623,"AAMMDD")&amp;"-"&amp;TEXT(VALUE(SUBSTITUTE(A2623,"MOV-","")),"000"))</f>
        <v/>
      </c>
    </row>
    <row r="2624" spans="18:20">
      <c r="R2624" s="22" t="str">
        <f>IF(H2624="","",H2624&amp;I2624)</f>
        <v/>
      </c>
      <c r="S2624" s="22" t="str">
        <f>IF(C2624="","",C2624&amp;I2624)</f>
        <v/>
      </c>
      <c r="T2624" t="str">
        <f>IF(OR(C2624="",I2624&lt;&gt;"ENTRADA"),"",TEXT(B2624,"AAMMDD")&amp;"-"&amp;TEXT(VALUE(SUBSTITUTE(A2624,"MOV-","")),"000"))</f>
        <v/>
      </c>
    </row>
    <row r="2625" spans="18:20">
      <c r="R2625" s="22" t="str">
        <f>IF(H2625="","",H2625&amp;I2625)</f>
        <v/>
      </c>
      <c r="S2625" s="22" t="str">
        <f>IF(C2625="","",C2625&amp;I2625)</f>
        <v/>
      </c>
      <c r="T2625" t="str">
        <f>IF(OR(C2625="",I2625&lt;&gt;"ENTRADA"),"",TEXT(B2625,"AAMMDD")&amp;"-"&amp;TEXT(VALUE(SUBSTITUTE(A2625,"MOV-","")),"000"))</f>
        <v/>
      </c>
    </row>
    <row r="2626" spans="18:20">
      <c r="R2626" s="22" t="str">
        <f>IF(H2626="","",H2626&amp;I2626)</f>
        <v/>
      </c>
      <c r="S2626" s="22" t="str">
        <f>IF(C2626="","",C2626&amp;I2626)</f>
        <v/>
      </c>
      <c r="T2626" t="str">
        <f>IF(OR(C2626="",I2626&lt;&gt;"ENTRADA"),"",TEXT(B2626,"AAMMDD")&amp;"-"&amp;TEXT(VALUE(SUBSTITUTE(A2626,"MOV-","")),"000"))</f>
        <v/>
      </c>
    </row>
    <row r="2627" spans="18:20">
      <c r="R2627" s="22" t="str">
        <f>IF(H2627="","",H2627&amp;I2627)</f>
        <v/>
      </c>
      <c r="S2627" s="22" t="str">
        <f>IF(C2627="","",C2627&amp;I2627)</f>
        <v/>
      </c>
      <c r="T2627" t="str">
        <f>IF(OR(C2627="",I2627&lt;&gt;"ENTRADA"),"",TEXT(B2627,"AAMMDD")&amp;"-"&amp;TEXT(VALUE(SUBSTITUTE(A2627,"MOV-","")),"000"))</f>
        <v/>
      </c>
    </row>
    <row r="2628" spans="18:20">
      <c r="R2628" s="22" t="str">
        <f>IF(H2628="","",H2628&amp;I2628)</f>
        <v/>
      </c>
      <c r="S2628" s="22" t="str">
        <f>IF(C2628="","",C2628&amp;I2628)</f>
        <v/>
      </c>
      <c r="T2628" t="str">
        <f>IF(OR(C2628="",I2628&lt;&gt;"ENTRADA"),"",TEXT(B2628,"AAMMDD")&amp;"-"&amp;TEXT(VALUE(SUBSTITUTE(A2628,"MOV-","")),"000"))</f>
        <v/>
      </c>
    </row>
    <row r="2629" spans="18:20">
      <c r="R2629" s="22" t="str">
        <f>IF(H2629="","",H2629&amp;I2629)</f>
        <v/>
      </c>
      <c r="S2629" s="22" t="str">
        <f>IF(C2629="","",C2629&amp;I2629)</f>
        <v/>
      </c>
      <c r="T2629" t="str">
        <f>IF(OR(C2629="",I2629&lt;&gt;"ENTRADA"),"",TEXT(B2629,"AAMMDD")&amp;"-"&amp;TEXT(VALUE(SUBSTITUTE(A2629,"MOV-","")),"000"))</f>
        <v/>
      </c>
    </row>
    <row r="2630" spans="18:20">
      <c r="R2630" s="22" t="str">
        <f>IF(H2630="","",H2630&amp;I2630)</f>
        <v/>
      </c>
      <c r="S2630" s="22" t="str">
        <f>IF(C2630="","",C2630&amp;I2630)</f>
        <v/>
      </c>
      <c r="T2630" t="str">
        <f>IF(OR(C2630="",I2630&lt;&gt;"ENTRADA"),"",TEXT(B2630,"AAMMDD")&amp;"-"&amp;TEXT(VALUE(SUBSTITUTE(A2630,"MOV-","")),"000"))</f>
        <v/>
      </c>
    </row>
    <row r="2631" spans="18:20">
      <c r="R2631" s="22" t="str">
        <f>IF(H2631="","",H2631&amp;I2631)</f>
        <v/>
      </c>
      <c r="S2631" s="22" t="str">
        <f>IF(C2631="","",C2631&amp;I2631)</f>
        <v/>
      </c>
      <c r="T2631" t="str">
        <f>IF(OR(C2631="",I2631&lt;&gt;"ENTRADA"),"",TEXT(B2631,"AAMMDD")&amp;"-"&amp;TEXT(VALUE(SUBSTITUTE(A2631,"MOV-","")),"000"))</f>
        <v/>
      </c>
    </row>
    <row r="2632" spans="18:20">
      <c r="R2632" s="22" t="str">
        <f>IF(H2632="","",H2632&amp;I2632)</f>
        <v/>
      </c>
      <c r="S2632" s="22" t="str">
        <f>IF(C2632="","",C2632&amp;I2632)</f>
        <v/>
      </c>
      <c r="T2632" t="str">
        <f>IF(OR(C2632="",I2632&lt;&gt;"ENTRADA"),"",TEXT(B2632,"AAMMDD")&amp;"-"&amp;TEXT(VALUE(SUBSTITUTE(A2632,"MOV-","")),"000"))</f>
        <v/>
      </c>
    </row>
    <row r="2633" spans="18:20">
      <c r="R2633" s="22" t="str">
        <f>IF(H2633="","",H2633&amp;I2633)</f>
        <v/>
      </c>
      <c r="S2633" s="22" t="str">
        <f>IF(C2633="","",C2633&amp;I2633)</f>
        <v/>
      </c>
      <c r="T2633" t="str">
        <f>IF(OR(C2633="",I2633&lt;&gt;"ENTRADA"),"",TEXT(B2633,"AAMMDD")&amp;"-"&amp;TEXT(VALUE(SUBSTITUTE(A2633,"MOV-","")),"000"))</f>
        <v/>
      </c>
    </row>
    <row r="2634" spans="18:20">
      <c r="R2634" s="22" t="str">
        <f>IF(H2634="","",H2634&amp;I2634)</f>
        <v/>
      </c>
      <c r="S2634" s="22" t="str">
        <f>IF(C2634="","",C2634&amp;I2634)</f>
        <v/>
      </c>
      <c r="T2634" t="str">
        <f>IF(OR(C2634="",I2634&lt;&gt;"ENTRADA"),"",TEXT(B2634,"AAMMDD")&amp;"-"&amp;TEXT(VALUE(SUBSTITUTE(A2634,"MOV-","")),"000"))</f>
        <v/>
      </c>
    </row>
    <row r="2635" spans="18:20">
      <c r="R2635" s="22" t="str">
        <f>IF(H2635="","",H2635&amp;I2635)</f>
        <v/>
      </c>
      <c r="S2635" s="22" t="str">
        <f>IF(C2635="","",C2635&amp;I2635)</f>
        <v/>
      </c>
      <c r="T2635" t="str">
        <f>IF(OR(C2635="",I2635&lt;&gt;"ENTRADA"),"",TEXT(B2635,"AAMMDD")&amp;"-"&amp;TEXT(VALUE(SUBSTITUTE(A2635,"MOV-","")),"000"))</f>
        <v/>
      </c>
    </row>
    <row r="2636" spans="18:20">
      <c r="R2636" s="22" t="str">
        <f>IF(H2636="","",H2636&amp;I2636)</f>
        <v/>
      </c>
      <c r="S2636" s="22" t="str">
        <f>IF(C2636="","",C2636&amp;I2636)</f>
        <v/>
      </c>
      <c r="T2636" t="str">
        <f>IF(OR(C2636="",I2636&lt;&gt;"ENTRADA"),"",TEXT(B2636,"AAMMDD")&amp;"-"&amp;TEXT(VALUE(SUBSTITUTE(A2636,"MOV-","")),"000"))</f>
        <v/>
      </c>
    </row>
    <row r="2637" spans="18:20">
      <c r="R2637" s="22" t="str">
        <f>IF(H2637="","",H2637&amp;I2637)</f>
        <v/>
      </c>
      <c r="S2637" s="22" t="str">
        <f>IF(C2637="","",C2637&amp;I2637)</f>
        <v/>
      </c>
      <c r="T2637" t="str">
        <f>IF(OR(C2637="",I2637&lt;&gt;"ENTRADA"),"",TEXT(B2637,"AAMMDD")&amp;"-"&amp;TEXT(VALUE(SUBSTITUTE(A2637,"MOV-","")),"000"))</f>
        <v/>
      </c>
    </row>
    <row r="2638" spans="18:20">
      <c r="R2638" s="22" t="str">
        <f>IF(H2638="","",H2638&amp;I2638)</f>
        <v/>
      </c>
      <c r="S2638" s="22" t="str">
        <f>IF(C2638="","",C2638&amp;I2638)</f>
        <v/>
      </c>
      <c r="T2638" t="str">
        <f>IF(OR(C2638="",I2638&lt;&gt;"ENTRADA"),"",TEXT(B2638,"AAMMDD")&amp;"-"&amp;TEXT(VALUE(SUBSTITUTE(A2638,"MOV-","")),"000"))</f>
        <v/>
      </c>
    </row>
    <row r="2639" spans="18:20">
      <c r="R2639" s="22" t="str">
        <f>IF(H2639="","",H2639&amp;I2639)</f>
        <v/>
      </c>
      <c r="S2639" s="22" t="str">
        <f>IF(C2639="","",C2639&amp;I2639)</f>
        <v/>
      </c>
      <c r="T2639" t="str">
        <f>IF(OR(C2639="",I2639&lt;&gt;"ENTRADA"),"",TEXT(B2639,"AAMMDD")&amp;"-"&amp;TEXT(VALUE(SUBSTITUTE(A2639,"MOV-","")),"000"))</f>
        <v/>
      </c>
    </row>
    <row r="2640" spans="18:20">
      <c r="R2640" s="22" t="str">
        <f>IF(H2640="","",H2640&amp;I2640)</f>
        <v/>
      </c>
      <c r="S2640" s="22" t="str">
        <f>IF(C2640="","",C2640&amp;I2640)</f>
        <v/>
      </c>
      <c r="T2640" t="str">
        <f>IF(OR(C2640="",I2640&lt;&gt;"ENTRADA"),"",TEXT(B2640,"AAMMDD")&amp;"-"&amp;TEXT(VALUE(SUBSTITUTE(A2640,"MOV-","")),"000"))</f>
        <v/>
      </c>
    </row>
    <row r="2641" spans="18:20">
      <c r="R2641" s="22" t="str">
        <f>IF(H2641="","",H2641&amp;I2641)</f>
        <v/>
      </c>
      <c r="S2641" s="22" t="str">
        <f>IF(C2641="","",C2641&amp;I2641)</f>
        <v/>
      </c>
      <c r="T2641" t="str">
        <f>IF(OR(C2641="",I2641&lt;&gt;"ENTRADA"),"",TEXT(B2641,"AAMMDD")&amp;"-"&amp;TEXT(VALUE(SUBSTITUTE(A2641,"MOV-","")),"000"))</f>
        <v/>
      </c>
    </row>
    <row r="2642" spans="18:20">
      <c r="R2642" s="22" t="str">
        <f>IF(H2642="","",H2642&amp;I2642)</f>
        <v/>
      </c>
      <c r="S2642" s="22" t="str">
        <f>IF(C2642="","",C2642&amp;I2642)</f>
        <v/>
      </c>
      <c r="T2642" t="str">
        <f>IF(OR(C2642="",I2642&lt;&gt;"ENTRADA"),"",TEXT(B2642,"AAMMDD")&amp;"-"&amp;TEXT(VALUE(SUBSTITUTE(A2642,"MOV-","")),"000"))</f>
        <v/>
      </c>
    </row>
    <row r="2643" spans="18:20">
      <c r="R2643" s="22" t="str">
        <f>IF(H2643="","",H2643&amp;I2643)</f>
        <v/>
      </c>
      <c r="S2643" s="22" t="str">
        <f>IF(C2643="","",C2643&amp;I2643)</f>
        <v/>
      </c>
      <c r="T2643" t="str">
        <f>IF(OR(C2643="",I2643&lt;&gt;"ENTRADA"),"",TEXT(B2643,"AAMMDD")&amp;"-"&amp;TEXT(VALUE(SUBSTITUTE(A2643,"MOV-","")),"000"))</f>
        <v/>
      </c>
    </row>
    <row r="2644" spans="18:20">
      <c r="R2644" s="22" t="str">
        <f>IF(H2644="","",H2644&amp;I2644)</f>
        <v/>
      </c>
      <c r="S2644" s="22" t="str">
        <f>IF(C2644="","",C2644&amp;I2644)</f>
        <v/>
      </c>
      <c r="T2644" t="str">
        <f>IF(OR(C2644="",I2644&lt;&gt;"ENTRADA"),"",TEXT(B2644,"AAMMDD")&amp;"-"&amp;TEXT(VALUE(SUBSTITUTE(A2644,"MOV-","")),"000"))</f>
        <v/>
      </c>
    </row>
    <row r="2645" spans="18:20">
      <c r="R2645" s="22" t="str">
        <f>IF(H2645="","",H2645&amp;I2645)</f>
        <v/>
      </c>
      <c r="S2645" s="22" t="str">
        <f>IF(C2645="","",C2645&amp;I2645)</f>
        <v/>
      </c>
      <c r="T2645" t="str">
        <f>IF(OR(C2645="",I2645&lt;&gt;"ENTRADA"),"",TEXT(B2645,"AAMMDD")&amp;"-"&amp;TEXT(VALUE(SUBSTITUTE(A2645,"MOV-","")),"000"))</f>
        <v/>
      </c>
    </row>
    <row r="2646" spans="18:20">
      <c r="R2646" s="22" t="str">
        <f>IF(H2646="","",H2646&amp;I2646)</f>
        <v/>
      </c>
      <c r="S2646" s="22" t="str">
        <f>IF(C2646="","",C2646&amp;I2646)</f>
        <v/>
      </c>
      <c r="T2646" t="str">
        <f>IF(OR(C2646="",I2646&lt;&gt;"ENTRADA"),"",TEXT(B2646,"AAMMDD")&amp;"-"&amp;TEXT(VALUE(SUBSTITUTE(A2646,"MOV-","")),"000"))</f>
        <v/>
      </c>
    </row>
    <row r="2647" spans="18:20">
      <c r="R2647" s="22" t="str">
        <f>IF(H2647="","",H2647&amp;I2647)</f>
        <v/>
      </c>
      <c r="S2647" s="22" t="str">
        <f>IF(C2647="","",C2647&amp;I2647)</f>
        <v/>
      </c>
      <c r="T2647" t="str">
        <f>IF(OR(C2647="",I2647&lt;&gt;"ENTRADA"),"",TEXT(B2647,"AAMMDD")&amp;"-"&amp;TEXT(VALUE(SUBSTITUTE(A2647,"MOV-","")),"000"))</f>
        <v/>
      </c>
    </row>
    <row r="2648" spans="18:20">
      <c r="R2648" s="22" t="str">
        <f>IF(H2648="","",H2648&amp;I2648)</f>
        <v/>
      </c>
      <c r="S2648" s="22" t="str">
        <f>IF(C2648="","",C2648&amp;I2648)</f>
        <v/>
      </c>
      <c r="T2648" t="str">
        <f>IF(OR(C2648="",I2648&lt;&gt;"ENTRADA"),"",TEXT(B2648,"AAMMDD")&amp;"-"&amp;TEXT(VALUE(SUBSTITUTE(A2648,"MOV-","")),"000"))</f>
        <v/>
      </c>
    </row>
    <row r="2649" spans="18:20">
      <c r="R2649" s="22" t="str">
        <f>IF(H2649="","",H2649&amp;I2649)</f>
        <v/>
      </c>
      <c r="S2649" s="22" t="str">
        <f>IF(C2649="","",C2649&amp;I2649)</f>
        <v/>
      </c>
      <c r="T2649" t="str">
        <f>IF(OR(C2649="",I2649&lt;&gt;"ENTRADA"),"",TEXT(B2649,"AAMMDD")&amp;"-"&amp;TEXT(VALUE(SUBSTITUTE(A2649,"MOV-","")),"000"))</f>
        <v/>
      </c>
    </row>
    <row r="2650" spans="18:20">
      <c r="R2650" s="22" t="str">
        <f>IF(H2650="","",H2650&amp;I2650)</f>
        <v/>
      </c>
      <c r="S2650" s="22" t="str">
        <f>IF(C2650="","",C2650&amp;I2650)</f>
        <v/>
      </c>
      <c r="T2650" t="str">
        <f>IF(OR(C2650="",I2650&lt;&gt;"ENTRADA"),"",TEXT(B2650,"AAMMDD")&amp;"-"&amp;TEXT(VALUE(SUBSTITUTE(A2650,"MOV-","")),"000"))</f>
        <v/>
      </c>
    </row>
    <row r="2651" spans="18:20">
      <c r="R2651" s="22" t="str">
        <f>IF(H2651="","",H2651&amp;I2651)</f>
        <v/>
      </c>
      <c r="S2651" s="22" t="str">
        <f>IF(C2651="","",C2651&amp;I2651)</f>
        <v/>
      </c>
      <c r="T2651" t="str">
        <f>IF(OR(C2651="",I2651&lt;&gt;"ENTRADA"),"",TEXT(B2651,"AAMMDD")&amp;"-"&amp;TEXT(VALUE(SUBSTITUTE(A2651,"MOV-","")),"000"))</f>
        <v/>
      </c>
    </row>
    <row r="2652" spans="18:20">
      <c r="R2652" s="22" t="str">
        <f>IF(H2652="","",H2652&amp;I2652)</f>
        <v/>
      </c>
      <c r="S2652" s="22" t="str">
        <f>IF(C2652="","",C2652&amp;I2652)</f>
        <v/>
      </c>
      <c r="T2652" t="str">
        <f>IF(OR(C2652="",I2652&lt;&gt;"ENTRADA"),"",TEXT(B2652,"AAMMDD")&amp;"-"&amp;TEXT(VALUE(SUBSTITUTE(A2652,"MOV-","")),"000"))</f>
        <v/>
      </c>
    </row>
    <row r="2653" spans="18:20">
      <c r="R2653" s="22" t="str">
        <f>IF(H2653="","",H2653&amp;I2653)</f>
        <v/>
      </c>
      <c r="S2653" s="22" t="str">
        <f>IF(C2653="","",C2653&amp;I2653)</f>
        <v/>
      </c>
      <c r="T2653" t="str">
        <f>IF(OR(C2653="",I2653&lt;&gt;"ENTRADA"),"",TEXT(B2653,"AAMMDD")&amp;"-"&amp;TEXT(VALUE(SUBSTITUTE(A2653,"MOV-","")),"000"))</f>
        <v/>
      </c>
    </row>
    <row r="2654" spans="18:20">
      <c r="R2654" s="22" t="str">
        <f>IF(H2654="","",H2654&amp;I2654)</f>
        <v/>
      </c>
      <c r="S2654" s="22" t="str">
        <f>IF(C2654="","",C2654&amp;I2654)</f>
        <v/>
      </c>
      <c r="T2654" t="str">
        <f>IF(OR(C2654="",I2654&lt;&gt;"ENTRADA"),"",TEXT(B2654,"AAMMDD")&amp;"-"&amp;TEXT(VALUE(SUBSTITUTE(A2654,"MOV-","")),"000"))</f>
        <v/>
      </c>
    </row>
    <row r="2655" spans="18:20">
      <c r="R2655" s="22" t="str">
        <f>IF(H2655="","",H2655&amp;I2655)</f>
        <v/>
      </c>
      <c r="S2655" s="22" t="str">
        <f>IF(C2655="","",C2655&amp;I2655)</f>
        <v/>
      </c>
      <c r="T2655" t="str">
        <f>IF(OR(C2655="",I2655&lt;&gt;"ENTRADA"),"",TEXT(B2655,"AAMMDD")&amp;"-"&amp;TEXT(VALUE(SUBSTITUTE(A2655,"MOV-","")),"000"))</f>
        <v/>
      </c>
    </row>
    <row r="2656" spans="18:20">
      <c r="R2656" s="22" t="str">
        <f>IF(H2656="","",H2656&amp;I2656)</f>
        <v/>
      </c>
      <c r="S2656" s="22" t="str">
        <f>IF(C2656="","",C2656&amp;I2656)</f>
        <v/>
      </c>
      <c r="T2656" t="str">
        <f>IF(OR(C2656="",I2656&lt;&gt;"ENTRADA"),"",TEXT(B2656,"AAMMDD")&amp;"-"&amp;TEXT(VALUE(SUBSTITUTE(A2656,"MOV-","")),"000"))</f>
        <v/>
      </c>
    </row>
    <row r="2657" spans="18:20">
      <c r="R2657" s="22" t="str">
        <f>IF(H2657="","",H2657&amp;I2657)</f>
        <v/>
      </c>
      <c r="S2657" s="22" t="str">
        <f>IF(C2657="","",C2657&amp;I2657)</f>
        <v/>
      </c>
      <c r="T2657" t="str">
        <f>IF(OR(C2657="",I2657&lt;&gt;"ENTRADA"),"",TEXT(B2657,"AAMMDD")&amp;"-"&amp;TEXT(VALUE(SUBSTITUTE(A2657,"MOV-","")),"000"))</f>
        <v/>
      </c>
    </row>
    <row r="2658" spans="18:20">
      <c r="R2658" s="22" t="str">
        <f>IF(H2658="","",H2658&amp;I2658)</f>
        <v/>
      </c>
      <c r="S2658" s="22" t="str">
        <f>IF(C2658="","",C2658&amp;I2658)</f>
        <v/>
      </c>
      <c r="T2658" t="str">
        <f>IF(OR(C2658="",I2658&lt;&gt;"ENTRADA"),"",TEXT(B2658,"AAMMDD")&amp;"-"&amp;TEXT(VALUE(SUBSTITUTE(A2658,"MOV-","")),"000"))</f>
        <v/>
      </c>
    </row>
    <row r="2659" spans="18:20">
      <c r="R2659" s="22" t="str">
        <f>IF(H2659="","",H2659&amp;I2659)</f>
        <v/>
      </c>
      <c r="S2659" s="22" t="str">
        <f>IF(C2659="","",C2659&amp;I2659)</f>
        <v/>
      </c>
      <c r="T2659" t="str">
        <f>IF(OR(C2659="",I2659&lt;&gt;"ENTRADA"),"",TEXT(B2659,"AAMMDD")&amp;"-"&amp;TEXT(VALUE(SUBSTITUTE(A2659,"MOV-","")),"000"))</f>
        <v/>
      </c>
    </row>
    <row r="2660" spans="18:20">
      <c r="R2660" s="22" t="str">
        <f>IF(H2660="","",H2660&amp;I2660)</f>
        <v/>
      </c>
      <c r="S2660" s="22" t="str">
        <f>IF(C2660="","",C2660&amp;I2660)</f>
        <v/>
      </c>
      <c r="T2660" t="str">
        <f>IF(OR(C2660="",I2660&lt;&gt;"ENTRADA"),"",TEXT(B2660,"AAMMDD")&amp;"-"&amp;TEXT(VALUE(SUBSTITUTE(A2660,"MOV-","")),"000"))</f>
        <v/>
      </c>
    </row>
    <row r="2661" spans="18:20">
      <c r="R2661" s="22" t="str">
        <f>IF(H2661="","",H2661&amp;I2661)</f>
        <v/>
      </c>
      <c r="S2661" s="22" t="str">
        <f>IF(C2661="","",C2661&amp;I2661)</f>
        <v/>
      </c>
      <c r="T2661" t="str">
        <f>IF(OR(C2661="",I2661&lt;&gt;"ENTRADA"),"",TEXT(B2661,"AAMMDD")&amp;"-"&amp;TEXT(VALUE(SUBSTITUTE(A2661,"MOV-","")),"000"))</f>
        <v/>
      </c>
    </row>
    <row r="2662" spans="18:20">
      <c r="R2662" s="22" t="str">
        <f>IF(H2662="","",H2662&amp;I2662)</f>
        <v/>
      </c>
      <c r="S2662" s="22" t="str">
        <f>IF(C2662="","",C2662&amp;I2662)</f>
        <v/>
      </c>
      <c r="T2662" t="str">
        <f>IF(OR(C2662="",I2662&lt;&gt;"ENTRADA"),"",TEXT(B2662,"AAMMDD")&amp;"-"&amp;TEXT(VALUE(SUBSTITUTE(A2662,"MOV-","")),"000"))</f>
        <v/>
      </c>
    </row>
    <row r="2663" spans="18:20">
      <c r="R2663" s="22" t="str">
        <f>IF(H2663="","",H2663&amp;I2663)</f>
        <v/>
      </c>
      <c r="S2663" s="22" t="str">
        <f>IF(C2663="","",C2663&amp;I2663)</f>
        <v/>
      </c>
      <c r="T2663" t="str">
        <f>IF(OR(C2663="",I2663&lt;&gt;"ENTRADA"),"",TEXT(B2663,"AAMMDD")&amp;"-"&amp;TEXT(VALUE(SUBSTITUTE(A2663,"MOV-","")),"000"))</f>
        <v/>
      </c>
    </row>
    <row r="2664" spans="18:20">
      <c r="R2664" s="22" t="str">
        <f>IF(H2664="","",H2664&amp;I2664)</f>
        <v/>
      </c>
      <c r="S2664" s="22" t="str">
        <f>IF(C2664="","",C2664&amp;I2664)</f>
        <v/>
      </c>
      <c r="T2664" t="str">
        <f>IF(OR(C2664="",I2664&lt;&gt;"ENTRADA"),"",TEXT(B2664,"AAMMDD")&amp;"-"&amp;TEXT(VALUE(SUBSTITUTE(A2664,"MOV-","")),"000"))</f>
        <v/>
      </c>
    </row>
    <row r="2665" spans="18:20">
      <c r="R2665" s="22" t="str">
        <f>IF(H2665="","",H2665&amp;I2665)</f>
        <v/>
      </c>
      <c r="S2665" s="22" t="str">
        <f>IF(C2665="","",C2665&amp;I2665)</f>
        <v/>
      </c>
      <c r="T2665" t="str">
        <f>IF(OR(C2665="",I2665&lt;&gt;"ENTRADA"),"",TEXT(B2665,"AAMMDD")&amp;"-"&amp;TEXT(VALUE(SUBSTITUTE(A2665,"MOV-","")),"000"))</f>
        <v/>
      </c>
    </row>
    <row r="2666" spans="18:20">
      <c r="R2666" s="22" t="str">
        <f>IF(H2666="","",H2666&amp;I2666)</f>
        <v/>
      </c>
      <c r="S2666" s="22" t="str">
        <f>IF(C2666="","",C2666&amp;I2666)</f>
        <v/>
      </c>
      <c r="T2666" t="str">
        <f>IF(OR(C2666="",I2666&lt;&gt;"ENTRADA"),"",TEXT(B2666,"AAMMDD")&amp;"-"&amp;TEXT(VALUE(SUBSTITUTE(A2666,"MOV-","")),"000"))</f>
        <v/>
      </c>
    </row>
    <row r="2667" spans="18:20">
      <c r="R2667" s="22" t="str">
        <f>IF(H2667="","",H2667&amp;I2667)</f>
        <v/>
      </c>
      <c r="S2667" s="22" t="str">
        <f>IF(C2667="","",C2667&amp;I2667)</f>
        <v/>
      </c>
      <c r="T2667" t="str">
        <f>IF(OR(C2667="",I2667&lt;&gt;"ENTRADA"),"",TEXT(B2667,"AAMMDD")&amp;"-"&amp;TEXT(VALUE(SUBSTITUTE(A2667,"MOV-","")),"000"))</f>
        <v/>
      </c>
    </row>
    <row r="2668" spans="18:20">
      <c r="R2668" s="22" t="str">
        <f>IF(H2668="","",H2668&amp;I2668)</f>
        <v/>
      </c>
      <c r="S2668" s="22" t="str">
        <f>IF(C2668="","",C2668&amp;I2668)</f>
        <v/>
      </c>
      <c r="T2668" t="str">
        <f>IF(OR(C2668="",I2668&lt;&gt;"ENTRADA"),"",TEXT(B2668,"AAMMDD")&amp;"-"&amp;TEXT(VALUE(SUBSTITUTE(A2668,"MOV-","")),"000"))</f>
        <v/>
      </c>
    </row>
    <row r="2669" spans="18:20">
      <c r="R2669" s="22" t="str">
        <f>IF(H2669="","",H2669&amp;I2669)</f>
        <v/>
      </c>
      <c r="S2669" s="22" t="str">
        <f>IF(C2669="","",C2669&amp;I2669)</f>
        <v/>
      </c>
      <c r="T2669" t="str">
        <f>IF(OR(C2669="",I2669&lt;&gt;"ENTRADA"),"",TEXT(B2669,"AAMMDD")&amp;"-"&amp;TEXT(VALUE(SUBSTITUTE(A2669,"MOV-","")),"000"))</f>
        <v/>
      </c>
    </row>
    <row r="2670" spans="18:20">
      <c r="R2670" s="22" t="str">
        <f>IF(H2670="","",H2670&amp;I2670)</f>
        <v/>
      </c>
      <c r="S2670" s="22" t="str">
        <f>IF(C2670="","",C2670&amp;I2670)</f>
        <v/>
      </c>
      <c r="T2670" t="str">
        <f>IF(OR(C2670="",I2670&lt;&gt;"ENTRADA"),"",TEXT(B2670,"AAMMDD")&amp;"-"&amp;TEXT(VALUE(SUBSTITUTE(A2670,"MOV-","")),"000"))</f>
        <v/>
      </c>
    </row>
    <row r="2671" spans="18:20">
      <c r="R2671" s="22" t="str">
        <f>IF(H2671="","",H2671&amp;I2671)</f>
        <v/>
      </c>
      <c r="S2671" s="22" t="str">
        <f>IF(C2671="","",C2671&amp;I2671)</f>
        <v/>
      </c>
      <c r="T2671" t="str">
        <f>IF(OR(C2671="",I2671&lt;&gt;"ENTRADA"),"",TEXT(B2671,"AAMMDD")&amp;"-"&amp;TEXT(VALUE(SUBSTITUTE(A2671,"MOV-","")),"000"))</f>
        <v/>
      </c>
    </row>
    <row r="2672" spans="18:20">
      <c r="R2672" s="22" t="str">
        <f>IF(H2672="","",H2672&amp;I2672)</f>
        <v/>
      </c>
      <c r="S2672" s="22" t="str">
        <f>IF(C2672="","",C2672&amp;I2672)</f>
        <v/>
      </c>
      <c r="T2672" t="str">
        <f>IF(OR(C2672="",I2672&lt;&gt;"ENTRADA"),"",TEXT(B2672,"AAMMDD")&amp;"-"&amp;TEXT(VALUE(SUBSTITUTE(A2672,"MOV-","")),"000"))</f>
        <v/>
      </c>
    </row>
    <row r="2673" spans="18:20">
      <c r="R2673" s="22" t="str">
        <f>IF(H2673="","",H2673&amp;I2673)</f>
        <v/>
      </c>
      <c r="S2673" s="22" t="str">
        <f>IF(C2673="","",C2673&amp;I2673)</f>
        <v/>
      </c>
      <c r="T2673" t="str">
        <f>IF(OR(C2673="",I2673&lt;&gt;"ENTRADA"),"",TEXT(B2673,"AAMMDD")&amp;"-"&amp;TEXT(VALUE(SUBSTITUTE(A2673,"MOV-","")),"000"))</f>
        <v/>
      </c>
    </row>
    <row r="2674" spans="18:20">
      <c r="R2674" s="22" t="str">
        <f>IF(H2674="","",H2674&amp;I2674)</f>
        <v/>
      </c>
      <c r="S2674" s="22" t="str">
        <f>IF(C2674="","",C2674&amp;I2674)</f>
        <v/>
      </c>
      <c r="T2674" t="str">
        <f>IF(OR(C2674="",I2674&lt;&gt;"ENTRADA"),"",TEXT(B2674,"AAMMDD")&amp;"-"&amp;TEXT(VALUE(SUBSTITUTE(A2674,"MOV-","")),"000"))</f>
        <v/>
      </c>
    </row>
    <row r="2675" spans="18:20">
      <c r="R2675" s="22" t="str">
        <f>IF(H2675="","",H2675&amp;I2675)</f>
        <v/>
      </c>
      <c r="S2675" s="22" t="str">
        <f>IF(C2675="","",C2675&amp;I2675)</f>
        <v/>
      </c>
      <c r="T2675" t="str">
        <f>IF(OR(C2675="",I2675&lt;&gt;"ENTRADA"),"",TEXT(B2675,"AAMMDD")&amp;"-"&amp;TEXT(VALUE(SUBSTITUTE(A2675,"MOV-","")),"000"))</f>
        <v/>
      </c>
    </row>
    <row r="2676" spans="18:20">
      <c r="R2676" s="22" t="str">
        <f>IF(H2676="","",H2676&amp;I2676)</f>
        <v/>
      </c>
      <c r="S2676" s="22" t="str">
        <f>IF(C2676="","",C2676&amp;I2676)</f>
        <v/>
      </c>
      <c r="T2676" t="str">
        <f>IF(OR(C2676="",I2676&lt;&gt;"ENTRADA"),"",TEXT(B2676,"AAMMDD")&amp;"-"&amp;TEXT(VALUE(SUBSTITUTE(A2676,"MOV-","")),"000"))</f>
        <v/>
      </c>
    </row>
    <row r="2677" spans="18:20">
      <c r="R2677" s="22" t="str">
        <f>IF(H2677="","",H2677&amp;I2677)</f>
        <v/>
      </c>
      <c r="S2677" s="22" t="str">
        <f>IF(C2677="","",C2677&amp;I2677)</f>
        <v/>
      </c>
      <c r="T2677" t="str">
        <f>IF(OR(C2677="",I2677&lt;&gt;"ENTRADA"),"",TEXT(B2677,"AAMMDD")&amp;"-"&amp;TEXT(VALUE(SUBSTITUTE(A2677,"MOV-","")),"000"))</f>
        <v/>
      </c>
    </row>
    <row r="2678" spans="18:20">
      <c r="R2678" s="22" t="str">
        <f>IF(H2678="","",H2678&amp;I2678)</f>
        <v/>
      </c>
      <c r="S2678" s="22" t="str">
        <f>IF(C2678="","",C2678&amp;I2678)</f>
        <v/>
      </c>
      <c r="T2678" t="str">
        <f>IF(OR(C2678="",I2678&lt;&gt;"ENTRADA"),"",TEXT(B2678,"AAMMDD")&amp;"-"&amp;TEXT(VALUE(SUBSTITUTE(A2678,"MOV-","")),"000"))</f>
        <v/>
      </c>
    </row>
    <row r="2679" spans="18:20">
      <c r="R2679" s="22" t="str">
        <f>IF(H2679="","",H2679&amp;I2679)</f>
        <v/>
      </c>
      <c r="S2679" s="22" t="str">
        <f>IF(C2679="","",C2679&amp;I2679)</f>
        <v/>
      </c>
      <c r="T2679" t="str">
        <f>IF(OR(C2679="",I2679&lt;&gt;"ENTRADA"),"",TEXT(B2679,"AAMMDD")&amp;"-"&amp;TEXT(VALUE(SUBSTITUTE(A2679,"MOV-","")),"000"))</f>
        <v/>
      </c>
    </row>
    <row r="2680" spans="18:20">
      <c r="R2680" s="22" t="str">
        <f>IF(H2680="","",H2680&amp;I2680)</f>
        <v/>
      </c>
      <c r="S2680" s="22" t="str">
        <f>IF(C2680="","",C2680&amp;I2680)</f>
        <v/>
      </c>
      <c r="T2680" t="str">
        <f>IF(OR(C2680="",I2680&lt;&gt;"ENTRADA"),"",TEXT(B2680,"AAMMDD")&amp;"-"&amp;TEXT(VALUE(SUBSTITUTE(A2680,"MOV-","")),"000"))</f>
        <v/>
      </c>
    </row>
    <row r="2681" spans="18:20">
      <c r="R2681" s="22" t="str">
        <f>IF(H2681="","",H2681&amp;I2681)</f>
        <v/>
      </c>
      <c r="S2681" s="22" t="str">
        <f>IF(C2681="","",C2681&amp;I2681)</f>
        <v/>
      </c>
      <c r="T2681" t="str">
        <f>IF(OR(C2681="",I2681&lt;&gt;"ENTRADA"),"",TEXT(B2681,"AAMMDD")&amp;"-"&amp;TEXT(VALUE(SUBSTITUTE(A2681,"MOV-","")),"000"))</f>
        <v/>
      </c>
    </row>
    <row r="2682" spans="18:20">
      <c r="R2682" s="22" t="str">
        <f>IF(H2682="","",H2682&amp;I2682)</f>
        <v/>
      </c>
      <c r="S2682" s="22" t="str">
        <f>IF(C2682="","",C2682&amp;I2682)</f>
        <v/>
      </c>
      <c r="T2682" t="str">
        <f>IF(OR(C2682="",I2682&lt;&gt;"ENTRADA"),"",TEXT(B2682,"AAMMDD")&amp;"-"&amp;TEXT(VALUE(SUBSTITUTE(A2682,"MOV-","")),"000"))</f>
        <v/>
      </c>
    </row>
    <row r="2683" spans="18:20">
      <c r="R2683" s="22" t="str">
        <f>IF(H2683="","",H2683&amp;I2683)</f>
        <v/>
      </c>
      <c r="S2683" s="22" t="str">
        <f>IF(C2683="","",C2683&amp;I2683)</f>
        <v/>
      </c>
      <c r="T2683" t="str">
        <f>IF(OR(C2683="",I2683&lt;&gt;"ENTRADA"),"",TEXT(B2683,"AAMMDD")&amp;"-"&amp;TEXT(VALUE(SUBSTITUTE(A2683,"MOV-","")),"000"))</f>
        <v/>
      </c>
    </row>
    <row r="2684" spans="18:20">
      <c r="R2684" s="22" t="str">
        <f>IF(H2684="","",H2684&amp;I2684)</f>
        <v/>
      </c>
      <c r="S2684" s="22" t="str">
        <f>IF(C2684="","",C2684&amp;I2684)</f>
        <v/>
      </c>
      <c r="T2684" t="str">
        <f>IF(OR(C2684="",I2684&lt;&gt;"ENTRADA"),"",TEXT(B2684,"AAMMDD")&amp;"-"&amp;TEXT(VALUE(SUBSTITUTE(A2684,"MOV-","")),"000"))</f>
        <v/>
      </c>
    </row>
    <row r="2685" spans="18:20">
      <c r="R2685" s="22" t="str">
        <f>IF(H2685="","",H2685&amp;I2685)</f>
        <v/>
      </c>
      <c r="S2685" s="22" t="str">
        <f>IF(C2685="","",C2685&amp;I2685)</f>
        <v/>
      </c>
      <c r="T2685" t="str">
        <f>IF(OR(C2685="",I2685&lt;&gt;"ENTRADA"),"",TEXT(B2685,"AAMMDD")&amp;"-"&amp;TEXT(VALUE(SUBSTITUTE(A2685,"MOV-","")),"000"))</f>
        <v/>
      </c>
    </row>
    <row r="2686" spans="18:20">
      <c r="R2686" s="22" t="str">
        <f>IF(H2686="","",H2686&amp;I2686)</f>
        <v/>
      </c>
      <c r="S2686" s="22" t="str">
        <f>IF(C2686="","",C2686&amp;I2686)</f>
        <v/>
      </c>
      <c r="T2686" t="str">
        <f>IF(OR(C2686="",I2686&lt;&gt;"ENTRADA"),"",TEXT(B2686,"AAMMDD")&amp;"-"&amp;TEXT(VALUE(SUBSTITUTE(A2686,"MOV-","")),"000"))</f>
        <v/>
      </c>
    </row>
    <row r="2687" spans="18:20">
      <c r="R2687" s="22" t="str">
        <f>IF(H2687="","",H2687&amp;I2687)</f>
        <v/>
      </c>
      <c r="S2687" s="22" t="str">
        <f>IF(C2687="","",C2687&amp;I2687)</f>
        <v/>
      </c>
      <c r="T2687" t="str">
        <f>IF(OR(C2687="",I2687&lt;&gt;"ENTRADA"),"",TEXT(B2687,"AAMMDD")&amp;"-"&amp;TEXT(VALUE(SUBSTITUTE(A2687,"MOV-","")),"000"))</f>
        <v/>
      </c>
    </row>
    <row r="2688" spans="18:20">
      <c r="R2688" s="22" t="str">
        <f>IF(H2688="","",H2688&amp;I2688)</f>
        <v/>
      </c>
      <c r="S2688" s="22" t="str">
        <f>IF(C2688="","",C2688&amp;I2688)</f>
        <v/>
      </c>
      <c r="T2688" t="str">
        <f>IF(OR(C2688="",I2688&lt;&gt;"ENTRADA"),"",TEXT(B2688,"AAMMDD")&amp;"-"&amp;TEXT(VALUE(SUBSTITUTE(A2688,"MOV-","")),"000"))</f>
        <v/>
      </c>
    </row>
    <row r="2689" spans="18:20">
      <c r="R2689" s="22" t="str">
        <f>IF(H2689="","",H2689&amp;I2689)</f>
        <v/>
      </c>
      <c r="S2689" s="22" t="str">
        <f>IF(C2689="","",C2689&amp;I2689)</f>
        <v/>
      </c>
      <c r="T2689" t="str">
        <f>IF(OR(C2689="",I2689&lt;&gt;"ENTRADA"),"",TEXT(B2689,"AAMMDD")&amp;"-"&amp;TEXT(VALUE(SUBSTITUTE(A2689,"MOV-","")),"000"))</f>
        <v/>
      </c>
    </row>
    <row r="2690" spans="18:20">
      <c r="R2690" s="22" t="str">
        <f>IF(H2690="","",H2690&amp;I2690)</f>
        <v/>
      </c>
      <c r="S2690" s="22" t="str">
        <f>IF(C2690="","",C2690&amp;I2690)</f>
        <v/>
      </c>
      <c r="T2690" t="str">
        <f>IF(OR(C2690="",I2690&lt;&gt;"ENTRADA"),"",TEXT(B2690,"AAMMDD")&amp;"-"&amp;TEXT(VALUE(SUBSTITUTE(A2690,"MOV-","")),"000"))</f>
        <v/>
      </c>
    </row>
    <row r="2691" spans="18:20">
      <c r="R2691" s="22" t="str">
        <f>IF(H2691="","",H2691&amp;I2691)</f>
        <v/>
      </c>
      <c r="S2691" s="22" t="str">
        <f>IF(C2691="","",C2691&amp;I2691)</f>
        <v/>
      </c>
      <c r="T2691" t="str">
        <f>IF(OR(C2691="",I2691&lt;&gt;"ENTRADA"),"",TEXT(B2691,"AAMMDD")&amp;"-"&amp;TEXT(VALUE(SUBSTITUTE(A2691,"MOV-","")),"000"))</f>
        <v/>
      </c>
    </row>
    <row r="2692" spans="18:20">
      <c r="R2692" s="22" t="str">
        <f>IF(H2692="","",H2692&amp;I2692)</f>
        <v/>
      </c>
      <c r="S2692" s="22" t="str">
        <f>IF(C2692="","",C2692&amp;I2692)</f>
        <v/>
      </c>
      <c r="T2692" t="str">
        <f>IF(OR(C2692="",I2692&lt;&gt;"ENTRADA"),"",TEXT(B2692,"AAMMDD")&amp;"-"&amp;TEXT(VALUE(SUBSTITUTE(A2692,"MOV-","")),"000"))</f>
        <v/>
      </c>
    </row>
    <row r="2693" spans="18:20">
      <c r="R2693" s="22" t="str">
        <f>IF(H2693="","",H2693&amp;I2693)</f>
        <v/>
      </c>
      <c r="S2693" s="22" t="str">
        <f>IF(C2693="","",C2693&amp;I2693)</f>
        <v/>
      </c>
      <c r="T2693" t="str">
        <f>IF(OR(C2693="",I2693&lt;&gt;"ENTRADA"),"",TEXT(B2693,"AAMMDD")&amp;"-"&amp;TEXT(VALUE(SUBSTITUTE(A2693,"MOV-","")),"000"))</f>
        <v/>
      </c>
    </row>
    <row r="2694" spans="18:20">
      <c r="R2694" s="22" t="str">
        <f>IF(H2694="","",H2694&amp;I2694)</f>
        <v/>
      </c>
      <c r="S2694" s="22" t="str">
        <f>IF(C2694="","",C2694&amp;I2694)</f>
        <v/>
      </c>
      <c r="T2694" t="str">
        <f>IF(OR(C2694="",I2694&lt;&gt;"ENTRADA"),"",TEXT(B2694,"AAMMDD")&amp;"-"&amp;TEXT(VALUE(SUBSTITUTE(A2694,"MOV-","")),"000"))</f>
        <v/>
      </c>
    </row>
    <row r="2695" spans="18:20">
      <c r="R2695" s="22" t="str">
        <f>IF(H2695="","",H2695&amp;I2695)</f>
        <v/>
      </c>
      <c r="S2695" s="22" t="str">
        <f>IF(C2695="","",C2695&amp;I2695)</f>
        <v/>
      </c>
      <c r="T2695" t="str">
        <f>IF(OR(C2695="",I2695&lt;&gt;"ENTRADA"),"",TEXT(B2695,"AAMMDD")&amp;"-"&amp;TEXT(VALUE(SUBSTITUTE(A2695,"MOV-","")),"000"))</f>
        <v/>
      </c>
    </row>
    <row r="2696" spans="18:20">
      <c r="R2696" s="22" t="str">
        <f>IF(H2696="","",H2696&amp;I2696)</f>
        <v/>
      </c>
      <c r="S2696" s="22" t="str">
        <f>IF(C2696="","",C2696&amp;I2696)</f>
        <v/>
      </c>
      <c r="T2696" t="str">
        <f>IF(OR(C2696="",I2696&lt;&gt;"ENTRADA"),"",TEXT(B2696,"AAMMDD")&amp;"-"&amp;TEXT(VALUE(SUBSTITUTE(A2696,"MOV-","")),"000"))</f>
        <v/>
      </c>
    </row>
    <row r="2697" spans="18:20">
      <c r="R2697" s="22" t="str">
        <f>IF(H2697="","",H2697&amp;I2697)</f>
        <v/>
      </c>
      <c r="S2697" s="22" t="str">
        <f>IF(C2697="","",C2697&amp;I2697)</f>
        <v/>
      </c>
      <c r="T2697" t="str">
        <f>IF(OR(C2697="",I2697&lt;&gt;"ENTRADA"),"",TEXT(B2697,"AAMMDD")&amp;"-"&amp;TEXT(VALUE(SUBSTITUTE(A2697,"MOV-","")),"000"))</f>
        <v/>
      </c>
    </row>
    <row r="2698" spans="18:20">
      <c r="R2698" s="22" t="str">
        <f>IF(H2698="","",H2698&amp;I2698)</f>
        <v/>
      </c>
      <c r="S2698" s="22" t="str">
        <f>IF(C2698="","",C2698&amp;I2698)</f>
        <v/>
      </c>
      <c r="T2698" t="str">
        <f>IF(OR(C2698="",I2698&lt;&gt;"ENTRADA"),"",TEXT(B2698,"AAMMDD")&amp;"-"&amp;TEXT(VALUE(SUBSTITUTE(A2698,"MOV-","")),"000"))</f>
        <v/>
      </c>
    </row>
    <row r="2699" spans="18:20">
      <c r="R2699" s="22" t="str">
        <f>IF(H2699="","",H2699&amp;I2699)</f>
        <v/>
      </c>
      <c r="S2699" s="22" t="str">
        <f>IF(C2699="","",C2699&amp;I2699)</f>
        <v/>
      </c>
      <c r="T2699" t="str">
        <f>IF(OR(C2699="",I2699&lt;&gt;"ENTRADA"),"",TEXT(B2699,"AAMMDD")&amp;"-"&amp;TEXT(VALUE(SUBSTITUTE(A2699,"MOV-","")),"000"))</f>
        <v/>
      </c>
    </row>
    <row r="2700" spans="18:20">
      <c r="R2700" s="22" t="str">
        <f>IF(H2700="","",H2700&amp;I2700)</f>
        <v/>
      </c>
      <c r="S2700" s="22" t="str">
        <f>IF(C2700="","",C2700&amp;I2700)</f>
        <v/>
      </c>
      <c r="T2700" t="str">
        <f>IF(OR(C2700="",I2700&lt;&gt;"ENTRADA"),"",TEXT(B2700,"AAMMDD")&amp;"-"&amp;TEXT(VALUE(SUBSTITUTE(A2700,"MOV-","")),"000"))</f>
        <v/>
      </c>
    </row>
    <row r="2701" spans="18:20">
      <c r="R2701" s="22" t="str">
        <f>IF(H2701="","",H2701&amp;I2701)</f>
        <v/>
      </c>
      <c r="S2701" s="22" t="str">
        <f>IF(C2701="","",C2701&amp;I2701)</f>
        <v/>
      </c>
      <c r="T2701" t="str">
        <f>IF(OR(C2701="",I2701&lt;&gt;"ENTRADA"),"",TEXT(B2701,"AAMMDD")&amp;"-"&amp;TEXT(VALUE(SUBSTITUTE(A2701,"MOV-","")),"000"))</f>
        <v/>
      </c>
    </row>
    <row r="2702" spans="18:20">
      <c r="R2702" s="22" t="str">
        <f>IF(H2702="","",H2702&amp;I2702)</f>
        <v/>
      </c>
      <c r="S2702" s="22" t="str">
        <f>IF(C2702="","",C2702&amp;I2702)</f>
        <v/>
      </c>
      <c r="T2702" t="str">
        <f>IF(OR(C2702="",I2702&lt;&gt;"ENTRADA"),"",TEXT(B2702,"AAMMDD")&amp;"-"&amp;TEXT(VALUE(SUBSTITUTE(A2702,"MOV-","")),"000"))</f>
        <v/>
      </c>
    </row>
    <row r="2703" spans="18:20">
      <c r="R2703" s="22" t="str">
        <f>IF(H2703="","",H2703&amp;I2703)</f>
        <v/>
      </c>
      <c r="S2703" s="22" t="str">
        <f>IF(C2703="","",C2703&amp;I2703)</f>
        <v/>
      </c>
      <c r="T2703" t="str">
        <f>IF(OR(C2703="",I2703&lt;&gt;"ENTRADA"),"",TEXT(B2703,"AAMMDD")&amp;"-"&amp;TEXT(VALUE(SUBSTITUTE(A2703,"MOV-","")),"000"))</f>
        <v/>
      </c>
    </row>
    <row r="2704" spans="18:20">
      <c r="R2704" s="22" t="str">
        <f>IF(H2704="","",H2704&amp;I2704)</f>
        <v/>
      </c>
      <c r="S2704" s="22" t="str">
        <f>IF(C2704="","",C2704&amp;I2704)</f>
        <v/>
      </c>
      <c r="T2704" t="str">
        <f>IF(OR(C2704="",I2704&lt;&gt;"ENTRADA"),"",TEXT(B2704,"AAMMDD")&amp;"-"&amp;TEXT(VALUE(SUBSTITUTE(A2704,"MOV-","")),"000"))</f>
        <v/>
      </c>
    </row>
    <row r="2705" spans="18:20">
      <c r="R2705" s="22" t="str">
        <f>IF(H2705="","",H2705&amp;I2705)</f>
        <v/>
      </c>
      <c r="S2705" s="22" t="str">
        <f>IF(C2705="","",C2705&amp;I2705)</f>
        <v/>
      </c>
      <c r="T2705" t="str">
        <f>IF(OR(C2705="",I2705&lt;&gt;"ENTRADA"),"",TEXT(B2705,"AAMMDD")&amp;"-"&amp;TEXT(VALUE(SUBSTITUTE(A2705,"MOV-","")),"000"))</f>
        <v/>
      </c>
    </row>
    <row r="2706" spans="18:20">
      <c r="R2706" s="22" t="str">
        <f>IF(H2706="","",H2706&amp;I2706)</f>
        <v/>
      </c>
      <c r="S2706" s="22" t="str">
        <f>IF(C2706="","",C2706&amp;I2706)</f>
        <v/>
      </c>
      <c r="T2706" t="str">
        <f>IF(OR(C2706="",I2706&lt;&gt;"ENTRADA"),"",TEXT(B2706,"AAMMDD")&amp;"-"&amp;TEXT(VALUE(SUBSTITUTE(A2706,"MOV-","")),"000"))</f>
        <v/>
      </c>
    </row>
    <row r="2707" spans="18:20">
      <c r="R2707" s="22" t="str">
        <f>IF(H2707="","",H2707&amp;I2707)</f>
        <v/>
      </c>
      <c r="S2707" s="22" t="str">
        <f>IF(C2707="","",C2707&amp;I2707)</f>
        <v/>
      </c>
      <c r="T2707" t="str">
        <f>IF(OR(C2707="",I2707&lt;&gt;"ENTRADA"),"",TEXT(B2707,"AAMMDD")&amp;"-"&amp;TEXT(VALUE(SUBSTITUTE(A2707,"MOV-","")),"000"))</f>
        <v/>
      </c>
    </row>
    <row r="2708" spans="18:20">
      <c r="R2708" s="22" t="str">
        <f>IF(H2708="","",H2708&amp;I2708)</f>
        <v/>
      </c>
      <c r="S2708" s="22" t="str">
        <f>IF(C2708="","",C2708&amp;I2708)</f>
        <v/>
      </c>
      <c r="T2708" t="str">
        <f>IF(OR(C2708="",I2708&lt;&gt;"ENTRADA"),"",TEXT(B2708,"AAMMDD")&amp;"-"&amp;TEXT(VALUE(SUBSTITUTE(A2708,"MOV-","")),"000"))</f>
        <v/>
      </c>
    </row>
    <row r="2709" spans="18:20">
      <c r="R2709" s="22" t="str">
        <f>IF(H2709="","",H2709&amp;I2709)</f>
        <v/>
      </c>
      <c r="S2709" s="22" t="str">
        <f>IF(C2709="","",C2709&amp;I2709)</f>
        <v/>
      </c>
      <c r="T2709" t="str">
        <f>IF(OR(C2709="",I2709&lt;&gt;"ENTRADA"),"",TEXT(B2709,"AAMMDD")&amp;"-"&amp;TEXT(VALUE(SUBSTITUTE(A2709,"MOV-","")),"000"))</f>
        <v/>
      </c>
    </row>
    <row r="2710" spans="18:20">
      <c r="R2710" s="22" t="str">
        <f>IF(H2710="","",H2710&amp;I2710)</f>
        <v/>
      </c>
      <c r="S2710" s="22" t="str">
        <f>IF(C2710="","",C2710&amp;I2710)</f>
        <v/>
      </c>
      <c r="T2710" t="str">
        <f>IF(OR(C2710="",I2710&lt;&gt;"ENTRADA"),"",TEXT(B2710,"AAMMDD")&amp;"-"&amp;TEXT(VALUE(SUBSTITUTE(A2710,"MOV-","")),"000"))</f>
        <v/>
      </c>
    </row>
    <row r="2711" spans="18:20">
      <c r="R2711" s="22" t="str">
        <f>IF(H2711="","",H2711&amp;I2711)</f>
        <v/>
      </c>
      <c r="S2711" s="22" t="str">
        <f>IF(C2711="","",C2711&amp;I2711)</f>
        <v/>
      </c>
      <c r="T2711" t="str">
        <f>IF(OR(C2711="",I2711&lt;&gt;"ENTRADA"),"",TEXT(B2711,"AAMMDD")&amp;"-"&amp;TEXT(VALUE(SUBSTITUTE(A2711,"MOV-","")),"000"))</f>
        <v/>
      </c>
    </row>
    <row r="2712" spans="18:20">
      <c r="R2712" s="22" t="str">
        <f>IF(H2712="","",H2712&amp;I2712)</f>
        <v/>
      </c>
      <c r="S2712" s="22" t="str">
        <f>IF(C2712="","",C2712&amp;I2712)</f>
        <v/>
      </c>
      <c r="T2712" t="str">
        <f>IF(OR(C2712="",I2712&lt;&gt;"ENTRADA"),"",TEXT(B2712,"AAMMDD")&amp;"-"&amp;TEXT(VALUE(SUBSTITUTE(A2712,"MOV-","")),"000"))</f>
        <v/>
      </c>
    </row>
    <row r="2713" spans="18:20">
      <c r="R2713" s="22" t="str">
        <f>IF(H2713="","",H2713&amp;I2713)</f>
        <v/>
      </c>
      <c r="S2713" s="22" t="str">
        <f>IF(C2713="","",C2713&amp;I2713)</f>
        <v/>
      </c>
      <c r="T2713" t="str">
        <f>IF(OR(C2713="",I2713&lt;&gt;"ENTRADA"),"",TEXT(B2713,"AAMMDD")&amp;"-"&amp;TEXT(VALUE(SUBSTITUTE(A2713,"MOV-","")),"000"))</f>
        <v/>
      </c>
    </row>
    <row r="2714" spans="18:20">
      <c r="R2714" s="22" t="str">
        <f>IF(H2714="","",H2714&amp;I2714)</f>
        <v/>
      </c>
      <c r="S2714" s="22" t="str">
        <f>IF(C2714="","",C2714&amp;I2714)</f>
        <v/>
      </c>
      <c r="T2714" t="str">
        <f>IF(OR(C2714="",I2714&lt;&gt;"ENTRADA"),"",TEXT(B2714,"AAMMDD")&amp;"-"&amp;TEXT(VALUE(SUBSTITUTE(A2714,"MOV-","")),"000"))</f>
        <v/>
      </c>
    </row>
    <row r="2715" spans="18:20">
      <c r="R2715" s="22" t="str">
        <f>IF(H2715="","",H2715&amp;I2715)</f>
        <v/>
      </c>
      <c r="S2715" s="22" t="str">
        <f>IF(C2715="","",C2715&amp;I2715)</f>
        <v/>
      </c>
      <c r="T2715" t="str">
        <f>IF(OR(C2715="",I2715&lt;&gt;"ENTRADA"),"",TEXT(B2715,"AAMMDD")&amp;"-"&amp;TEXT(VALUE(SUBSTITUTE(A2715,"MOV-","")),"000"))</f>
        <v/>
      </c>
    </row>
    <row r="2716" spans="18:20">
      <c r="R2716" s="22" t="str">
        <f>IF(H2716="","",H2716&amp;I2716)</f>
        <v/>
      </c>
      <c r="S2716" s="22" t="str">
        <f>IF(C2716="","",C2716&amp;I2716)</f>
        <v/>
      </c>
      <c r="T2716" t="str">
        <f>IF(OR(C2716="",I2716&lt;&gt;"ENTRADA"),"",TEXT(B2716,"AAMMDD")&amp;"-"&amp;TEXT(VALUE(SUBSTITUTE(A2716,"MOV-","")),"000"))</f>
        <v/>
      </c>
    </row>
    <row r="2717" spans="18:20">
      <c r="R2717" s="22" t="str">
        <f>IF(H2717="","",H2717&amp;I2717)</f>
        <v/>
      </c>
      <c r="S2717" s="22" t="str">
        <f>IF(C2717="","",C2717&amp;I2717)</f>
        <v/>
      </c>
      <c r="T2717" t="str">
        <f>IF(OR(C2717="",I2717&lt;&gt;"ENTRADA"),"",TEXT(B2717,"AAMMDD")&amp;"-"&amp;TEXT(VALUE(SUBSTITUTE(A2717,"MOV-","")),"000"))</f>
        <v/>
      </c>
    </row>
    <row r="2718" spans="18:20">
      <c r="R2718" s="22" t="str">
        <f>IF(H2718="","",H2718&amp;I2718)</f>
        <v/>
      </c>
      <c r="S2718" s="22" t="str">
        <f>IF(C2718="","",C2718&amp;I2718)</f>
        <v/>
      </c>
      <c r="T2718" t="str">
        <f>IF(OR(C2718="",I2718&lt;&gt;"ENTRADA"),"",TEXT(B2718,"AAMMDD")&amp;"-"&amp;TEXT(VALUE(SUBSTITUTE(A2718,"MOV-","")),"000"))</f>
        <v/>
      </c>
    </row>
    <row r="2719" spans="18:20">
      <c r="R2719" s="22" t="str">
        <f>IF(H2719="","",H2719&amp;I2719)</f>
        <v/>
      </c>
      <c r="S2719" s="22" t="str">
        <f>IF(C2719="","",C2719&amp;I2719)</f>
        <v/>
      </c>
      <c r="T2719" t="str">
        <f>IF(OR(C2719="",I2719&lt;&gt;"ENTRADA"),"",TEXT(B2719,"AAMMDD")&amp;"-"&amp;TEXT(VALUE(SUBSTITUTE(A2719,"MOV-","")),"000"))</f>
        <v/>
      </c>
    </row>
    <row r="2720" spans="18:20">
      <c r="R2720" s="22" t="str">
        <f>IF(H2720="","",H2720&amp;I2720)</f>
        <v/>
      </c>
      <c r="S2720" s="22" t="str">
        <f>IF(C2720="","",C2720&amp;I2720)</f>
        <v/>
      </c>
      <c r="T2720" t="str">
        <f>IF(OR(C2720="",I2720&lt;&gt;"ENTRADA"),"",TEXT(B2720,"AAMMDD")&amp;"-"&amp;TEXT(VALUE(SUBSTITUTE(A2720,"MOV-","")),"000"))</f>
        <v/>
      </c>
    </row>
    <row r="2721" spans="18:20">
      <c r="R2721" s="22" t="str">
        <f>IF(H2721="","",H2721&amp;I2721)</f>
        <v/>
      </c>
      <c r="S2721" s="22" t="str">
        <f>IF(C2721="","",C2721&amp;I2721)</f>
        <v/>
      </c>
      <c r="T2721" t="str">
        <f>IF(OR(C2721="",I2721&lt;&gt;"ENTRADA"),"",TEXT(B2721,"AAMMDD")&amp;"-"&amp;TEXT(VALUE(SUBSTITUTE(A2721,"MOV-","")),"000"))</f>
        <v/>
      </c>
    </row>
    <row r="2722" spans="18:20">
      <c r="R2722" s="22" t="str">
        <f>IF(H2722="","",H2722&amp;I2722)</f>
        <v/>
      </c>
      <c r="S2722" s="22" t="str">
        <f>IF(C2722="","",C2722&amp;I2722)</f>
        <v/>
      </c>
      <c r="T2722" t="str">
        <f>IF(OR(C2722="",I2722&lt;&gt;"ENTRADA"),"",TEXT(B2722,"AAMMDD")&amp;"-"&amp;TEXT(VALUE(SUBSTITUTE(A2722,"MOV-","")),"000"))</f>
        <v/>
      </c>
    </row>
    <row r="2723" spans="18:20">
      <c r="R2723" s="22" t="str">
        <f>IF(H2723="","",H2723&amp;I2723)</f>
        <v/>
      </c>
      <c r="S2723" s="22" t="str">
        <f>IF(C2723="","",C2723&amp;I2723)</f>
        <v/>
      </c>
      <c r="T2723" t="str">
        <f>IF(OR(C2723="",I2723&lt;&gt;"ENTRADA"),"",TEXT(B2723,"AAMMDD")&amp;"-"&amp;TEXT(VALUE(SUBSTITUTE(A2723,"MOV-","")),"000"))</f>
        <v/>
      </c>
    </row>
    <row r="2724" spans="18:20">
      <c r="R2724" s="22" t="str">
        <f>IF(H2724="","",H2724&amp;I2724)</f>
        <v/>
      </c>
      <c r="S2724" s="22" t="str">
        <f>IF(C2724="","",C2724&amp;I2724)</f>
        <v/>
      </c>
      <c r="T2724" t="str">
        <f>IF(OR(C2724="",I2724&lt;&gt;"ENTRADA"),"",TEXT(B2724,"AAMMDD")&amp;"-"&amp;TEXT(VALUE(SUBSTITUTE(A2724,"MOV-","")),"000"))</f>
        <v/>
      </c>
    </row>
    <row r="2725" spans="18:20">
      <c r="R2725" s="22" t="str">
        <f>IF(H2725="","",H2725&amp;I2725)</f>
        <v/>
      </c>
      <c r="S2725" s="22" t="str">
        <f>IF(C2725="","",C2725&amp;I2725)</f>
        <v/>
      </c>
      <c r="T2725" t="str">
        <f>IF(OR(C2725="",I2725&lt;&gt;"ENTRADA"),"",TEXT(B2725,"AAMMDD")&amp;"-"&amp;TEXT(VALUE(SUBSTITUTE(A2725,"MOV-","")),"000"))</f>
        <v/>
      </c>
    </row>
    <row r="2726" spans="18:20">
      <c r="R2726" s="22" t="str">
        <f>IF(H2726="","",H2726&amp;I2726)</f>
        <v/>
      </c>
      <c r="S2726" s="22" t="str">
        <f>IF(C2726="","",C2726&amp;I2726)</f>
        <v/>
      </c>
      <c r="T2726" t="str">
        <f>IF(OR(C2726="",I2726&lt;&gt;"ENTRADA"),"",TEXT(B2726,"AAMMDD")&amp;"-"&amp;TEXT(VALUE(SUBSTITUTE(A2726,"MOV-","")),"000"))</f>
        <v/>
      </c>
    </row>
    <row r="2727" spans="18:20">
      <c r="R2727" s="22" t="str">
        <f>IF(H2727="","",H2727&amp;I2727)</f>
        <v/>
      </c>
      <c r="S2727" s="22" t="str">
        <f>IF(C2727="","",C2727&amp;I2727)</f>
        <v/>
      </c>
      <c r="T2727" t="str">
        <f>IF(OR(C2727="",I2727&lt;&gt;"ENTRADA"),"",TEXT(B2727,"AAMMDD")&amp;"-"&amp;TEXT(VALUE(SUBSTITUTE(A2727,"MOV-","")),"000"))</f>
        <v/>
      </c>
    </row>
    <row r="2728" spans="18:20">
      <c r="R2728" s="22" t="str">
        <f>IF(H2728="","",H2728&amp;I2728)</f>
        <v/>
      </c>
      <c r="S2728" s="22" t="str">
        <f>IF(C2728="","",C2728&amp;I2728)</f>
        <v/>
      </c>
      <c r="T2728" t="str">
        <f>IF(OR(C2728="",I2728&lt;&gt;"ENTRADA"),"",TEXT(B2728,"AAMMDD")&amp;"-"&amp;TEXT(VALUE(SUBSTITUTE(A2728,"MOV-","")),"000"))</f>
        <v/>
      </c>
    </row>
    <row r="2729" spans="18:20">
      <c r="R2729" s="22" t="str">
        <f>IF(H2729="","",H2729&amp;I2729)</f>
        <v/>
      </c>
      <c r="S2729" s="22" t="str">
        <f>IF(C2729="","",C2729&amp;I2729)</f>
        <v/>
      </c>
      <c r="T2729" t="str">
        <f>IF(OR(C2729="",I2729&lt;&gt;"ENTRADA"),"",TEXT(B2729,"AAMMDD")&amp;"-"&amp;TEXT(VALUE(SUBSTITUTE(A2729,"MOV-","")),"000"))</f>
        <v/>
      </c>
    </row>
    <row r="2730" spans="18:20">
      <c r="R2730" s="22" t="str">
        <f>IF(H2730="","",H2730&amp;I2730)</f>
        <v/>
      </c>
      <c r="S2730" s="22" t="str">
        <f>IF(C2730="","",C2730&amp;I2730)</f>
        <v/>
      </c>
      <c r="T2730" t="str">
        <f>IF(OR(C2730="",I2730&lt;&gt;"ENTRADA"),"",TEXT(B2730,"AAMMDD")&amp;"-"&amp;TEXT(VALUE(SUBSTITUTE(A2730,"MOV-","")),"000"))</f>
        <v/>
      </c>
    </row>
    <row r="2731" spans="18:20">
      <c r="R2731" s="22" t="str">
        <f>IF(H2731="","",H2731&amp;I2731)</f>
        <v/>
      </c>
      <c r="S2731" s="22" t="str">
        <f>IF(C2731="","",C2731&amp;I2731)</f>
        <v/>
      </c>
      <c r="T2731" t="str">
        <f>IF(OR(C2731="",I2731&lt;&gt;"ENTRADA"),"",TEXT(B2731,"AAMMDD")&amp;"-"&amp;TEXT(VALUE(SUBSTITUTE(A2731,"MOV-","")),"000"))</f>
        <v/>
      </c>
    </row>
    <row r="2732" spans="18:20">
      <c r="R2732" s="22" t="str">
        <f>IF(H2732="","",H2732&amp;I2732)</f>
        <v/>
      </c>
      <c r="S2732" s="22" t="str">
        <f>IF(C2732="","",C2732&amp;I2732)</f>
        <v/>
      </c>
      <c r="T2732" t="str">
        <f>IF(OR(C2732="",I2732&lt;&gt;"ENTRADA"),"",TEXT(B2732,"AAMMDD")&amp;"-"&amp;TEXT(VALUE(SUBSTITUTE(A2732,"MOV-","")),"000"))</f>
        <v/>
      </c>
    </row>
    <row r="2733" spans="18:20">
      <c r="R2733" s="22" t="str">
        <f>IF(H2733="","",H2733&amp;I2733)</f>
        <v/>
      </c>
      <c r="S2733" s="22" t="str">
        <f>IF(C2733="","",C2733&amp;I2733)</f>
        <v/>
      </c>
      <c r="T2733" t="str">
        <f>IF(OR(C2733="",I2733&lt;&gt;"ENTRADA"),"",TEXT(B2733,"AAMMDD")&amp;"-"&amp;TEXT(VALUE(SUBSTITUTE(A2733,"MOV-","")),"000"))</f>
        <v/>
      </c>
    </row>
    <row r="2734" spans="18:20">
      <c r="R2734" s="22" t="str">
        <f>IF(H2734="","",H2734&amp;I2734)</f>
        <v/>
      </c>
      <c r="S2734" s="22" t="str">
        <f>IF(C2734="","",C2734&amp;I2734)</f>
        <v/>
      </c>
      <c r="T2734" t="str">
        <f>IF(OR(C2734="",I2734&lt;&gt;"ENTRADA"),"",TEXT(B2734,"AAMMDD")&amp;"-"&amp;TEXT(VALUE(SUBSTITUTE(A2734,"MOV-","")),"000"))</f>
        <v/>
      </c>
    </row>
    <row r="2735" spans="18:20">
      <c r="R2735" s="22" t="str">
        <f>IF(H2735="","",H2735&amp;I2735)</f>
        <v/>
      </c>
      <c r="S2735" s="22" t="str">
        <f>IF(C2735="","",C2735&amp;I2735)</f>
        <v/>
      </c>
      <c r="T2735" t="str">
        <f>IF(OR(C2735="",I2735&lt;&gt;"ENTRADA"),"",TEXT(B2735,"AAMMDD")&amp;"-"&amp;TEXT(VALUE(SUBSTITUTE(A2735,"MOV-","")),"000"))</f>
        <v/>
      </c>
    </row>
    <row r="2736" spans="18:20">
      <c r="R2736" s="22" t="str">
        <f>IF(H2736="","",H2736&amp;I2736)</f>
        <v/>
      </c>
      <c r="S2736" s="22" t="str">
        <f>IF(C2736="","",C2736&amp;I2736)</f>
        <v/>
      </c>
      <c r="T2736" t="str">
        <f>IF(OR(C2736="",I2736&lt;&gt;"ENTRADA"),"",TEXT(B2736,"AAMMDD")&amp;"-"&amp;TEXT(VALUE(SUBSTITUTE(A2736,"MOV-","")),"000"))</f>
        <v/>
      </c>
    </row>
    <row r="2737" spans="18:20">
      <c r="R2737" s="22" t="str">
        <f>IF(H2737="","",H2737&amp;I2737)</f>
        <v/>
      </c>
      <c r="S2737" s="22" t="str">
        <f>IF(C2737="","",C2737&amp;I2737)</f>
        <v/>
      </c>
      <c r="T2737" t="str">
        <f>IF(OR(C2737="",I2737&lt;&gt;"ENTRADA"),"",TEXT(B2737,"AAMMDD")&amp;"-"&amp;TEXT(VALUE(SUBSTITUTE(A2737,"MOV-","")),"000"))</f>
        <v/>
      </c>
    </row>
    <row r="2738" spans="18:20">
      <c r="R2738" s="22" t="str">
        <f>IF(H2738="","",H2738&amp;I2738)</f>
        <v/>
      </c>
      <c r="S2738" s="22" t="str">
        <f>IF(C2738="","",C2738&amp;I2738)</f>
        <v/>
      </c>
      <c r="T2738" t="str">
        <f>IF(OR(C2738="",I2738&lt;&gt;"ENTRADA"),"",TEXT(B2738,"AAMMDD")&amp;"-"&amp;TEXT(VALUE(SUBSTITUTE(A2738,"MOV-","")),"000"))</f>
        <v/>
      </c>
    </row>
    <row r="2739" spans="18:20">
      <c r="R2739" s="22" t="str">
        <f>IF(H2739="","",H2739&amp;I2739)</f>
        <v/>
      </c>
      <c r="S2739" s="22" t="str">
        <f>IF(C2739="","",C2739&amp;I2739)</f>
        <v/>
      </c>
      <c r="T2739" t="str">
        <f>IF(OR(C2739="",I2739&lt;&gt;"ENTRADA"),"",TEXT(B2739,"AAMMDD")&amp;"-"&amp;TEXT(VALUE(SUBSTITUTE(A2739,"MOV-","")),"000"))</f>
        <v/>
      </c>
    </row>
    <row r="2740" spans="18:20">
      <c r="R2740" s="22" t="str">
        <f>IF(H2740="","",H2740&amp;I2740)</f>
        <v/>
      </c>
      <c r="S2740" s="22" t="str">
        <f>IF(C2740="","",C2740&amp;I2740)</f>
        <v/>
      </c>
      <c r="T2740" t="str">
        <f>IF(OR(C2740="",I2740&lt;&gt;"ENTRADA"),"",TEXT(B2740,"AAMMDD")&amp;"-"&amp;TEXT(VALUE(SUBSTITUTE(A2740,"MOV-","")),"000"))</f>
        <v/>
      </c>
    </row>
    <row r="2741" spans="18:20">
      <c r="R2741" s="22" t="str">
        <f>IF(H2741="","",H2741&amp;I2741)</f>
        <v/>
      </c>
      <c r="S2741" s="22" t="str">
        <f>IF(C2741="","",C2741&amp;I2741)</f>
        <v/>
      </c>
      <c r="T2741" t="str">
        <f>IF(OR(C2741="",I2741&lt;&gt;"ENTRADA"),"",TEXT(B2741,"AAMMDD")&amp;"-"&amp;TEXT(VALUE(SUBSTITUTE(A2741,"MOV-","")),"000"))</f>
        <v/>
      </c>
    </row>
    <row r="2742" spans="18:20">
      <c r="R2742" s="22" t="str">
        <f>IF(H2742="","",H2742&amp;I2742)</f>
        <v/>
      </c>
      <c r="S2742" s="22" t="str">
        <f>IF(C2742="","",C2742&amp;I2742)</f>
        <v/>
      </c>
      <c r="T2742" t="str">
        <f>IF(OR(C2742="",I2742&lt;&gt;"ENTRADA"),"",TEXT(B2742,"AAMMDD")&amp;"-"&amp;TEXT(VALUE(SUBSTITUTE(A2742,"MOV-","")),"000"))</f>
        <v/>
      </c>
    </row>
    <row r="2743" spans="18:20">
      <c r="R2743" s="22" t="str">
        <f>IF(H2743="","",H2743&amp;I2743)</f>
        <v/>
      </c>
      <c r="S2743" s="22" t="str">
        <f>IF(C2743="","",C2743&amp;I2743)</f>
        <v/>
      </c>
      <c r="T2743" t="str">
        <f>IF(OR(C2743="",I2743&lt;&gt;"ENTRADA"),"",TEXT(B2743,"AAMMDD")&amp;"-"&amp;TEXT(VALUE(SUBSTITUTE(A2743,"MOV-","")),"000"))</f>
        <v/>
      </c>
    </row>
    <row r="2744" spans="18:20">
      <c r="R2744" s="22" t="str">
        <f>IF(H2744="","",H2744&amp;I2744)</f>
        <v/>
      </c>
      <c r="S2744" s="22" t="str">
        <f>IF(C2744="","",C2744&amp;I2744)</f>
        <v/>
      </c>
      <c r="T2744" t="str">
        <f>IF(OR(C2744="",I2744&lt;&gt;"ENTRADA"),"",TEXT(B2744,"AAMMDD")&amp;"-"&amp;TEXT(VALUE(SUBSTITUTE(A2744,"MOV-","")),"000"))</f>
        <v/>
      </c>
    </row>
    <row r="2745" spans="18:20">
      <c r="R2745" s="22" t="str">
        <f>IF(H2745="","",H2745&amp;I2745)</f>
        <v/>
      </c>
      <c r="S2745" s="22" t="str">
        <f>IF(C2745="","",C2745&amp;I2745)</f>
        <v/>
      </c>
      <c r="T2745" t="str">
        <f>IF(OR(C2745="",I2745&lt;&gt;"ENTRADA"),"",TEXT(B2745,"AAMMDD")&amp;"-"&amp;TEXT(VALUE(SUBSTITUTE(A2745,"MOV-","")),"000"))</f>
        <v/>
      </c>
    </row>
    <row r="2746" spans="18:20">
      <c r="R2746" s="22" t="str">
        <f>IF(H2746="","",H2746&amp;I2746)</f>
        <v/>
      </c>
      <c r="S2746" s="22" t="str">
        <f>IF(C2746="","",C2746&amp;I2746)</f>
        <v/>
      </c>
      <c r="T2746" t="str">
        <f>IF(OR(C2746="",I2746&lt;&gt;"ENTRADA"),"",TEXT(B2746,"AAMMDD")&amp;"-"&amp;TEXT(VALUE(SUBSTITUTE(A2746,"MOV-","")),"000"))</f>
        <v/>
      </c>
    </row>
    <row r="2747" spans="18:20">
      <c r="R2747" s="22" t="str">
        <f>IF(H2747="","",H2747&amp;I2747)</f>
        <v/>
      </c>
      <c r="S2747" s="22" t="str">
        <f>IF(C2747="","",C2747&amp;I2747)</f>
        <v/>
      </c>
      <c r="T2747" t="str">
        <f>IF(OR(C2747="",I2747&lt;&gt;"ENTRADA"),"",TEXT(B2747,"AAMMDD")&amp;"-"&amp;TEXT(VALUE(SUBSTITUTE(A2747,"MOV-","")),"000"))</f>
        <v/>
      </c>
    </row>
    <row r="2748" spans="18:20">
      <c r="R2748" s="22" t="str">
        <f>IF(H2748="","",H2748&amp;I2748)</f>
        <v/>
      </c>
      <c r="S2748" s="22" t="str">
        <f>IF(C2748="","",C2748&amp;I2748)</f>
        <v/>
      </c>
      <c r="T2748" t="str">
        <f>IF(OR(C2748="",I2748&lt;&gt;"ENTRADA"),"",TEXT(B2748,"AAMMDD")&amp;"-"&amp;TEXT(VALUE(SUBSTITUTE(A2748,"MOV-","")),"000"))</f>
        <v/>
      </c>
    </row>
    <row r="2749" spans="18:20">
      <c r="R2749" s="22" t="str">
        <f>IF(H2749="","",H2749&amp;I2749)</f>
        <v/>
      </c>
      <c r="S2749" s="22" t="str">
        <f>IF(C2749="","",C2749&amp;I2749)</f>
        <v/>
      </c>
      <c r="T2749" t="str">
        <f>IF(OR(C2749="",I2749&lt;&gt;"ENTRADA"),"",TEXT(B2749,"AAMMDD")&amp;"-"&amp;TEXT(VALUE(SUBSTITUTE(A2749,"MOV-","")),"000"))</f>
        <v/>
      </c>
    </row>
    <row r="2750" spans="18:20">
      <c r="R2750" s="22" t="str">
        <f>IF(H2750="","",H2750&amp;I2750)</f>
        <v/>
      </c>
      <c r="S2750" s="22" t="str">
        <f>IF(C2750="","",C2750&amp;I2750)</f>
        <v/>
      </c>
      <c r="T2750" t="str">
        <f>IF(OR(C2750="",I2750&lt;&gt;"ENTRADA"),"",TEXT(B2750,"AAMMDD")&amp;"-"&amp;TEXT(VALUE(SUBSTITUTE(A2750,"MOV-","")),"000"))</f>
        <v/>
      </c>
    </row>
    <row r="2751" spans="18:20">
      <c r="R2751" s="22" t="str">
        <f>IF(H2751="","",H2751&amp;I2751)</f>
        <v/>
      </c>
      <c r="S2751" s="22" t="str">
        <f>IF(C2751="","",C2751&amp;I2751)</f>
        <v/>
      </c>
      <c r="T2751" t="str">
        <f>IF(OR(C2751="",I2751&lt;&gt;"ENTRADA"),"",TEXT(B2751,"AAMMDD")&amp;"-"&amp;TEXT(VALUE(SUBSTITUTE(A2751,"MOV-","")),"000"))</f>
        <v/>
      </c>
    </row>
    <row r="2752" spans="18:20">
      <c r="R2752" s="22" t="str">
        <f>IF(H2752="","",H2752&amp;I2752)</f>
        <v/>
      </c>
      <c r="S2752" s="22" t="str">
        <f>IF(C2752="","",C2752&amp;I2752)</f>
        <v/>
      </c>
      <c r="T2752" t="str">
        <f>IF(OR(C2752="",I2752&lt;&gt;"ENTRADA"),"",TEXT(B2752,"AAMMDD")&amp;"-"&amp;TEXT(VALUE(SUBSTITUTE(A2752,"MOV-","")),"000"))</f>
        <v/>
      </c>
    </row>
    <row r="2753" spans="18:20">
      <c r="R2753" s="22" t="str">
        <f>IF(H2753="","",H2753&amp;I2753)</f>
        <v/>
      </c>
      <c r="S2753" s="22" t="str">
        <f>IF(C2753="","",C2753&amp;I2753)</f>
        <v/>
      </c>
      <c r="T2753" t="str">
        <f>IF(OR(C2753="",I2753&lt;&gt;"ENTRADA"),"",TEXT(B2753,"AAMMDD")&amp;"-"&amp;TEXT(VALUE(SUBSTITUTE(A2753,"MOV-","")),"000"))</f>
        <v/>
      </c>
    </row>
    <row r="2754" spans="18:20">
      <c r="R2754" s="22" t="str">
        <f>IF(H2754="","",H2754&amp;I2754)</f>
        <v/>
      </c>
      <c r="S2754" s="22" t="str">
        <f>IF(C2754="","",C2754&amp;I2754)</f>
        <v/>
      </c>
      <c r="T2754" t="str">
        <f>IF(OR(C2754="",I2754&lt;&gt;"ENTRADA"),"",TEXT(B2754,"AAMMDD")&amp;"-"&amp;TEXT(VALUE(SUBSTITUTE(A2754,"MOV-","")),"000"))</f>
        <v/>
      </c>
    </row>
    <row r="2755" spans="18:20">
      <c r="R2755" s="22" t="str">
        <f>IF(H2755="","",H2755&amp;I2755)</f>
        <v/>
      </c>
      <c r="S2755" s="22" t="str">
        <f>IF(C2755="","",C2755&amp;I2755)</f>
        <v/>
      </c>
      <c r="T2755" t="str">
        <f>IF(OR(C2755="",I2755&lt;&gt;"ENTRADA"),"",TEXT(B2755,"AAMMDD")&amp;"-"&amp;TEXT(VALUE(SUBSTITUTE(A2755,"MOV-","")),"000"))</f>
        <v/>
      </c>
    </row>
    <row r="2756" spans="18:20">
      <c r="R2756" s="22" t="str">
        <f>IF(H2756="","",H2756&amp;I2756)</f>
        <v/>
      </c>
      <c r="S2756" s="22" t="str">
        <f>IF(C2756="","",C2756&amp;I2756)</f>
        <v/>
      </c>
      <c r="T2756" t="str">
        <f>IF(OR(C2756="",I2756&lt;&gt;"ENTRADA"),"",TEXT(B2756,"AAMMDD")&amp;"-"&amp;TEXT(VALUE(SUBSTITUTE(A2756,"MOV-","")),"000"))</f>
        <v/>
      </c>
    </row>
    <row r="2757" spans="18:20">
      <c r="R2757" s="22" t="str">
        <f>IF(H2757="","",H2757&amp;I2757)</f>
        <v/>
      </c>
      <c r="S2757" s="22" t="str">
        <f>IF(C2757="","",C2757&amp;I2757)</f>
        <v/>
      </c>
      <c r="T2757" t="str">
        <f>IF(OR(C2757="",I2757&lt;&gt;"ENTRADA"),"",TEXT(B2757,"AAMMDD")&amp;"-"&amp;TEXT(VALUE(SUBSTITUTE(A2757,"MOV-","")),"000"))</f>
        <v/>
      </c>
    </row>
    <row r="2758" spans="18:20">
      <c r="R2758" s="22" t="str">
        <f>IF(H2758="","",H2758&amp;I2758)</f>
        <v/>
      </c>
      <c r="S2758" s="22" t="str">
        <f>IF(C2758="","",C2758&amp;I2758)</f>
        <v/>
      </c>
      <c r="T2758" t="str">
        <f>IF(OR(C2758="",I2758&lt;&gt;"ENTRADA"),"",TEXT(B2758,"AAMMDD")&amp;"-"&amp;TEXT(VALUE(SUBSTITUTE(A2758,"MOV-","")),"000"))</f>
        <v/>
      </c>
    </row>
    <row r="2759" spans="18:20">
      <c r="R2759" s="22" t="str">
        <f>IF(H2759="","",H2759&amp;I2759)</f>
        <v/>
      </c>
      <c r="S2759" s="22" t="str">
        <f>IF(C2759="","",C2759&amp;I2759)</f>
        <v/>
      </c>
      <c r="T2759" t="str">
        <f>IF(OR(C2759="",I2759&lt;&gt;"ENTRADA"),"",TEXT(B2759,"AAMMDD")&amp;"-"&amp;TEXT(VALUE(SUBSTITUTE(A2759,"MOV-","")),"000"))</f>
        <v/>
      </c>
    </row>
    <row r="2760" spans="18:20">
      <c r="R2760" s="22" t="str">
        <f>IF(H2760="","",H2760&amp;I2760)</f>
        <v/>
      </c>
      <c r="S2760" s="22" t="str">
        <f>IF(C2760="","",C2760&amp;I2760)</f>
        <v/>
      </c>
      <c r="T2760" t="str">
        <f>IF(OR(C2760="",I2760&lt;&gt;"ENTRADA"),"",TEXT(B2760,"AAMMDD")&amp;"-"&amp;TEXT(VALUE(SUBSTITUTE(A2760,"MOV-","")),"000"))</f>
        <v/>
      </c>
    </row>
    <row r="2761" spans="18:20">
      <c r="R2761" s="22" t="str">
        <f>IF(H2761="","",H2761&amp;I2761)</f>
        <v/>
      </c>
      <c r="S2761" s="22" t="str">
        <f>IF(C2761="","",C2761&amp;I2761)</f>
        <v/>
      </c>
      <c r="T2761" t="str">
        <f>IF(OR(C2761="",I2761&lt;&gt;"ENTRADA"),"",TEXT(B2761,"AAMMDD")&amp;"-"&amp;TEXT(VALUE(SUBSTITUTE(A2761,"MOV-","")),"000"))</f>
        <v/>
      </c>
    </row>
    <row r="2762" spans="18:20">
      <c r="R2762" s="22" t="str">
        <f>IF(H2762="","",H2762&amp;I2762)</f>
        <v/>
      </c>
      <c r="S2762" s="22" t="str">
        <f>IF(C2762="","",C2762&amp;I2762)</f>
        <v/>
      </c>
      <c r="T2762" t="str">
        <f>IF(OR(C2762="",I2762&lt;&gt;"ENTRADA"),"",TEXT(B2762,"AAMMDD")&amp;"-"&amp;TEXT(VALUE(SUBSTITUTE(A2762,"MOV-","")),"000"))</f>
        <v/>
      </c>
    </row>
    <row r="2763" spans="18:20">
      <c r="R2763" s="22" t="str">
        <f>IF(H2763="","",H2763&amp;I2763)</f>
        <v/>
      </c>
      <c r="S2763" s="22" t="str">
        <f>IF(C2763="","",C2763&amp;I2763)</f>
        <v/>
      </c>
      <c r="T2763" t="str">
        <f>IF(OR(C2763="",I2763&lt;&gt;"ENTRADA"),"",TEXT(B2763,"AAMMDD")&amp;"-"&amp;TEXT(VALUE(SUBSTITUTE(A2763,"MOV-","")),"000"))</f>
        <v/>
      </c>
    </row>
    <row r="2764" spans="18:20">
      <c r="R2764" s="22" t="str">
        <f>IF(H2764="","",H2764&amp;I2764)</f>
        <v/>
      </c>
      <c r="S2764" s="22" t="str">
        <f>IF(C2764="","",C2764&amp;I2764)</f>
        <v/>
      </c>
      <c r="T2764" t="str">
        <f>IF(OR(C2764="",I2764&lt;&gt;"ENTRADA"),"",TEXT(B2764,"AAMMDD")&amp;"-"&amp;TEXT(VALUE(SUBSTITUTE(A2764,"MOV-","")),"000"))</f>
        <v/>
      </c>
    </row>
    <row r="2765" spans="18:20">
      <c r="R2765" s="22" t="str">
        <f>IF(H2765="","",H2765&amp;I2765)</f>
        <v/>
      </c>
      <c r="S2765" s="22" t="str">
        <f>IF(C2765="","",C2765&amp;I2765)</f>
        <v/>
      </c>
      <c r="T2765" t="str">
        <f>IF(OR(C2765="",I2765&lt;&gt;"ENTRADA"),"",TEXT(B2765,"AAMMDD")&amp;"-"&amp;TEXT(VALUE(SUBSTITUTE(A2765,"MOV-","")),"000"))</f>
        <v/>
      </c>
    </row>
    <row r="2766" spans="18:20">
      <c r="R2766" s="22" t="str">
        <f>IF(H2766="","",H2766&amp;I2766)</f>
        <v/>
      </c>
      <c r="S2766" s="22" t="str">
        <f>IF(C2766="","",C2766&amp;I2766)</f>
        <v/>
      </c>
      <c r="T2766" t="str">
        <f>IF(OR(C2766="",I2766&lt;&gt;"ENTRADA"),"",TEXT(B2766,"AAMMDD")&amp;"-"&amp;TEXT(VALUE(SUBSTITUTE(A2766,"MOV-","")),"000"))</f>
        <v/>
      </c>
    </row>
    <row r="2767" spans="18:20">
      <c r="R2767" s="22" t="str">
        <f>IF(H2767="","",H2767&amp;I2767)</f>
        <v/>
      </c>
      <c r="S2767" s="22" t="str">
        <f>IF(C2767="","",C2767&amp;I2767)</f>
        <v/>
      </c>
      <c r="T2767" t="str">
        <f>IF(OR(C2767="",I2767&lt;&gt;"ENTRADA"),"",TEXT(B2767,"AAMMDD")&amp;"-"&amp;TEXT(VALUE(SUBSTITUTE(A2767,"MOV-","")),"000"))</f>
        <v/>
      </c>
    </row>
    <row r="2768" spans="18:20">
      <c r="R2768" s="22" t="str">
        <f>IF(H2768="","",H2768&amp;I2768)</f>
        <v/>
      </c>
      <c r="S2768" s="22" t="str">
        <f>IF(C2768="","",C2768&amp;I2768)</f>
        <v/>
      </c>
      <c r="T2768" t="str">
        <f>IF(OR(C2768="",I2768&lt;&gt;"ENTRADA"),"",TEXT(B2768,"AAMMDD")&amp;"-"&amp;TEXT(VALUE(SUBSTITUTE(A2768,"MOV-","")),"000"))</f>
        <v/>
      </c>
    </row>
    <row r="2769" spans="18:20">
      <c r="R2769" s="22" t="str">
        <f>IF(H2769="","",H2769&amp;I2769)</f>
        <v/>
      </c>
      <c r="S2769" s="22" t="str">
        <f>IF(C2769="","",C2769&amp;I2769)</f>
        <v/>
      </c>
      <c r="T2769" t="str">
        <f>IF(OR(C2769="",I2769&lt;&gt;"ENTRADA"),"",TEXT(B2769,"AAMMDD")&amp;"-"&amp;TEXT(VALUE(SUBSTITUTE(A2769,"MOV-","")),"000"))</f>
        <v/>
      </c>
    </row>
    <row r="2770" spans="18:20">
      <c r="R2770" s="22" t="str">
        <f>IF(H2770="","",H2770&amp;I2770)</f>
        <v/>
      </c>
      <c r="S2770" s="22" t="str">
        <f>IF(C2770="","",C2770&amp;I2770)</f>
        <v/>
      </c>
      <c r="T2770" t="str">
        <f>IF(OR(C2770="",I2770&lt;&gt;"ENTRADA"),"",TEXT(B2770,"AAMMDD")&amp;"-"&amp;TEXT(VALUE(SUBSTITUTE(A2770,"MOV-","")),"000"))</f>
        <v/>
      </c>
    </row>
    <row r="2771" spans="18:20">
      <c r="R2771" s="22" t="str">
        <f>IF(H2771="","",H2771&amp;I2771)</f>
        <v/>
      </c>
      <c r="S2771" s="22" t="str">
        <f>IF(C2771="","",C2771&amp;I2771)</f>
        <v/>
      </c>
      <c r="T2771" t="str">
        <f>IF(OR(C2771="",I2771&lt;&gt;"ENTRADA"),"",TEXT(B2771,"AAMMDD")&amp;"-"&amp;TEXT(VALUE(SUBSTITUTE(A2771,"MOV-","")),"000"))</f>
        <v/>
      </c>
    </row>
    <row r="2772" spans="18:20">
      <c r="R2772" s="22" t="str">
        <f>IF(H2772="","",H2772&amp;I2772)</f>
        <v/>
      </c>
      <c r="S2772" s="22" t="str">
        <f>IF(C2772="","",C2772&amp;I2772)</f>
        <v/>
      </c>
      <c r="T2772" t="str">
        <f>IF(OR(C2772="",I2772&lt;&gt;"ENTRADA"),"",TEXT(B2772,"AAMMDD")&amp;"-"&amp;TEXT(VALUE(SUBSTITUTE(A2772,"MOV-","")),"000"))</f>
        <v/>
      </c>
    </row>
    <row r="2773" spans="18:20">
      <c r="R2773" s="22" t="str">
        <f>IF(H2773="","",H2773&amp;I2773)</f>
        <v/>
      </c>
      <c r="S2773" s="22" t="str">
        <f>IF(C2773="","",C2773&amp;I2773)</f>
        <v/>
      </c>
      <c r="T2773" t="str">
        <f>IF(OR(C2773="",I2773&lt;&gt;"ENTRADA"),"",TEXT(B2773,"AAMMDD")&amp;"-"&amp;TEXT(VALUE(SUBSTITUTE(A2773,"MOV-","")),"000"))</f>
        <v/>
      </c>
    </row>
    <row r="2774" spans="18:20">
      <c r="R2774" s="22" t="str">
        <f>IF(H2774="","",H2774&amp;I2774)</f>
        <v/>
      </c>
      <c r="S2774" s="22" t="str">
        <f>IF(C2774="","",C2774&amp;I2774)</f>
        <v/>
      </c>
      <c r="T2774" t="str">
        <f>IF(OR(C2774="",I2774&lt;&gt;"ENTRADA"),"",TEXT(B2774,"AAMMDD")&amp;"-"&amp;TEXT(VALUE(SUBSTITUTE(A2774,"MOV-","")),"000"))</f>
        <v/>
      </c>
    </row>
    <row r="2775" spans="18:20">
      <c r="R2775" s="22" t="str">
        <f>IF(H2775="","",H2775&amp;I2775)</f>
        <v/>
      </c>
      <c r="S2775" s="22" t="str">
        <f>IF(C2775="","",C2775&amp;I2775)</f>
        <v/>
      </c>
      <c r="T2775" t="str">
        <f>IF(OR(C2775="",I2775&lt;&gt;"ENTRADA"),"",TEXT(B2775,"AAMMDD")&amp;"-"&amp;TEXT(VALUE(SUBSTITUTE(A2775,"MOV-","")),"000"))</f>
        <v/>
      </c>
    </row>
    <row r="2776" spans="18:20">
      <c r="R2776" s="22" t="str">
        <f>IF(H2776="","",H2776&amp;I2776)</f>
        <v/>
      </c>
      <c r="S2776" s="22" t="str">
        <f>IF(C2776="","",C2776&amp;I2776)</f>
        <v/>
      </c>
      <c r="T2776" t="str">
        <f>IF(OR(C2776="",I2776&lt;&gt;"ENTRADA"),"",TEXT(B2776,"AAMMDD")&amp;"-"&amp;TEXT(VALUE(SUBSTITUTE(A2776,"MOV-","")),"000"))</f>
        <v/>
      </c>
    </row>
    <row r="2777" spans="18:20">
      <c r="R2777" s="22" t="str">
        <f>IF(H2777="","",H2777&amp;I2777)</f>
        <v/>
      </c>
      <c r="S2777" s="22" t="str">
        <f>IF(C2777="","",C2777&amp;I2777)</f>
        <v/>
      </c>
      <c r="T2777" t="str">
        <f>IF(OR(C2777="",I2777&lt;&gt;"ENTRADA"),"",TEXT(B2777,"AAMMDD")&amp;"-"&amp;TEXT(VALUE(SUBSTITUTE(A2777,"MOV-","")),"000"))</f>
        <v/>
      </c>
    </row>
    <row r="2778" spans="18:20">
      <c r="R2778" s="22" t="str">
        <f>IF(H2778="","",H2778&amp;I2778)</f>
        <v/>
      </c>
      <c r="S2778" s="22" t="str">
        <f>IF(C2778="","",C2778&amp;I2778)</f>
        <v/>
      </c>
      <c r="T2778" t="str">
        <f>IF(OR(C2778="",I2778&lt;&gt;"ENTRADA"),"",TEXT(B2778,"AAMMDD")&amp;"-"&amp;TEXT(VALUE(SUBSTITUTE(A2778,"MOV-","")),"000"))</f>
        <v/>
      </c>
    </row>
    <row r="2779" spans="18:20">
      <c r="R2779" s="22" t="str">
        <f>IF(H2779="","",H2779&amp;I2779)</f>
        <v/>
      </c>
      <c r="S2779" s="22" t="str">
        <f>IF(C2779="","",C2779&amp;I2779)</f>
        <v/>
      </c>
      <c r="T2779" t="str">
        <f>IF(OR(C2779="",I2779&lt;&gt;"ENTRADA"),"",TEXT(B2779,"AAMMDD")&amp;"-"&amp;TEXT(VALUE(SUBSTITUTE(A2779,"MOV-","")),"000"))</f>
        <v/>
      </c>
    </row>
    <row r="2780" spans="18:20">
      <c r="R2780" s="22" t="str">
        <f>IF(H2780="","",H2780&amp;I2780)</f>
        <v/>
      </c>
      <c r="S2780" s="22" t="str">
        <f>IF(C2780="","",C2780&amp;I2780)</f>
        <v/>
      </c>
      <c r="T2780" t="str">
        <f>IF(OR(C2780="",I2780&lt;&gt;"ENTRADA"),"",TEXT(B2780,"AAMMDD")&amp;"-"&amp;TEXT(VALUE(SUBSTITUTE(A2780,"MOV-","")),"000"))</f>
        <v/>
      </c>
    </row>
    <row r="2781" spans="18:20">
      <c r="R2781" s="22" t="str">
        <f>IF(H2781="","",H2781&amp;I2781)</f>
        <v/>
      </c>
      <c r="S2781" s="22" t="str">
        <f>IF(C2781="","",C2781&amp;I2781)</f>
        <v/>
      </c>
      <c r="T2781" t="str">
        <f>IF(OR(C2781="",I2781&lt;&gt;"ENTRADA"),"",TEXT(B2781,"AAMMDD")&amp;"-"&amp;TEXT(VALUE(SUBSTITUTE(A2781,"MOV-","")),"000"))</f>
        <v/>
      </c>
    </row>
    <row r="2782" spans="18:20">
      <c r="R2782" s="22" t="str">
        <f>IF(H2782="","",H2782&amp;I2782)</f>
        <v/>
      </c>
      <c r="S2782" s="22" t="str">
        <f>IF(C2782="","",C2782&amp;I2782)</f>
        <v/>
      </c>
      <c r="T2782" t="str">
        <f>IF(OR(C2782="",I2782&lt;&gt;"ENTRADA"),"",TEXT(B2782,"AAMMDD")&amp;"-"&amp;TEXT(VALUE(SUBSTITUTE(A2782,"MOV-","")),"000"))</f>
        <v/>
      </c>
    </row>
    <row r="2783" spans="18:20">
      <c r="R2783" s="22" t="str">
        <f>IF(H2783="","",H2783&amp;I2783)</f>
        <v/>
      </c>
      <c r="S2783" s="22" t="str">
        <f>IF(C2783="","",C2783&amp;I2783)</f>
        <v/>
      </c>
      <c r="T2783" t="str">
        <f>IF(OR(C2783="",I2783&lt;&gt;"ENTRADA"),"",TEXT(B2783,"AAMMDD")&amp;"-"&amp;TEXT(VALUE(SUBSTITUTE(A2783,"MOV-","")),"000"))</f>
        <v/>
      </c>
    </row>
    <row r="2784" spans="18:20">
      <c r="R2784" s="22" t="str">
        <f>IF(H2784="","",H2784&amp;I2784)</f>
        <v/>
      </c>
      <c r="S2784" s="22" t="str">
        <f>IF(C2784="","",C2784&amp;I2784)</f>
        <v/>
      </c>
      <c r="T2784" t="str">
        <f>IF(OR(C2784="",I2784&lt;&gt;"ENTRADA"),"",TEXT(B2784,"AAMMDD")&amp;"-"&amp;TEXT(VALUE(SUBSTITUTE(A2784,"MOV-","")),"000"))</f>
        <v/>
      </c>
    </row>
    <row r="2785" spans="18:20">
      <c r="R2785" s="22" t="str">
        <f>IF(H2785="","",H2785&amp;I2785)</f>
        <v/>
      </c>
      <c r="S2785" s="22" t="str">
        <f>IF(C2785="","",C2785&amp;I2785)</f>
        <v/>
      </c>
      <c r="T2785" t="str">
        <f>IF(OR(C2785="",I2785&lt;&gt;"ENTRADA"),"",TEXT(B2785,"AAMMDD")&amp;"-"&amp;TEXT(VALUE(SUBSTITUTE(A2785,"MOV-","")),"000"))</f>
        <v/>
      </c>
    </row>
    <row r="2786" spans="18:20">
      <c r="R2786" s="22" t="str">
        <f>IF(H2786="","",H2786&amp;I2786)</f>
        <v/>
      </c>
      <c r="S2786" s="22" t="str">
        <f>IF(C2786="","",C2786&amp;I2786)</f>
        <v/>
      </c>
      <c r="T2786" t="str">
        <f>IF(OR(C2786="",I2786&lt;&gt;"ENTRADA"),"",TEXT(B2786,"AAMMDD")&amp;"-"&amp;TEXT(VALUE(SUBSTITUTE(A2786,"MOV-","")),"000"))</f>
        <v/>
      </c>
    </row>
    <row r="2787" spans="18:20">
      <c r="R2787" s="22" t="str">
        <f>IF(H2787="","",H2787&amp;I2787)</f>
        <v/>
      </c>
      <c r="S2787" s="22" t="str">
        <f>IF(C2787="","",C2787&amp;I2787)</f>
        <v/>
      </c>
      <c r="T2787" t="str">
        <f>IF(OR(C2787="",I2787&lt;&gt;"ENTRADA"),"",TEXT(B2787,"AAMMDD")&amp;"-"&amp;TEXT(VALUE(SUBSTITUTE(A2787,"MOV-","")),"000"))</f>
        <v/>
      </c>
    </row>
    <row r="2788" spans="18:20">
      <c r="R2788" s="22" t="str">
        <f>IF(H2788="","",H2788&amp;I2788)</f>
        <v/>
      </c>
      <c r="S2788" s="22" t="str">
        <f>IF(C2788="","",C2788&amp;I2788)</f>
        <v/>
      </c>
      <c r="T2788" t="str">
        <f>IF(OR(C2788="",I2788&lt;&gt;"ENTRADA"),"",TEXT(B2788,"AAMMDD")&amp;"-"&amp;TEXT(VALUE(SUBSTITUTE(A2788,"MOV-","")),"000"))</f>
        <v/>
      </c>
    </row>
    <row r="2789" spans="18:20">
      <c r="R2789" s="22" t="str">
        <f>IF(H2789="","",H2789&amp;I2789)</f>
        <v/>
      </c>
      <c r="S2789" s="22" t="str">
        <f>IF(C2789="","",C2789&amp;I2789)</f>
        <v/>
      </c>
      <c r="T2789" t="str">
        <f>IF(OR(C2789="",I2789&lt;&gt;"ENTRADA"),"",TEXT(B2789,"AAMMDD")&amp;"-"&amp;TEXT(VALUE(SUBSTITUTE(A2789,"MOV-","")),"000"))</f>
        <v/>
      </c>
    </row>
    <row r="2790" spans="18:20">
      <c r="R2790" s="22" t="str">
        <f>IF(H2790="","",H2790&amp;I2790)</f>
        <v/>
      </c>
      <c r="S2790" s="22" t="str">
        <f>IF(C2790="","",C2790&amp;I2790)</f>
        <v/>
      </c>
      <c r="T2790" t="str">
        <f>IF(OR(C2790="",I2790&lt;&gt;"ENTRADA"),"",TEXT(B2790,"AAMMDD")&amp;"-"&amp;TEXT(VALUE(SUBSTITUTE(A2790,"MOV-","")),"000"))</f>
        <v/>
      </c>
    </row>
    <row r="2791" spans="18:20">
      <c r="R2791" s="22" t="str">
        <f>IF(H2791="","",H2791&amp;I2791)</f>
        <v/>
      </c>
      <c r="S2791" s="22" t="str">
        <f>IF(C2791="","",C2791&amp;I2791)</f>
        <v/>
      </c>
      <c r="T2791" t="str">
        <f>IF(OR(C2791="",I2791&lt;&gt;"ENTRADA"),"",TEXT(B2791,"AAMMDD")&amp;"-"&amp;TEXT(VALUE(SUBSTITUTE(A2791,"MOV-","")),"000"))</f>
        <v/>
      </c>
    </row>
    <row r="2792" spans="18:20">
      <c r="R2792" s="22" t="str">
        <f>IF(H2792="","",H2792&amp;I2792)</f>
        <v/>
      </c>
      <c r="S2792" s="22" t="str">
        <f>IF(C2792="","",C2792&amp;I2792)</f>
        <v/>
      </c>
      <c r="T2792" t="str">
        <f>IF(OR(C2792="",I2792&lt;&gt;"ENTRADA"),"",TEXT(B2792,"AAMMDD")&amp;"-"&amp;TEXT(VALUE(SUBSTITUTE(A2792,"MOV-","")),"000"))</f>
        <v/>
      </c>
    </row>
    <row r="2793" spans="18:20">
      <c r="R2793" s="22" t="str">
        <f>IF(H2793="","",H2793&amp;I2793)</f>
        <v/>
      </c>
      <c r="S2793" s="22" t="str">
        <f>IF(C2793="","",C2793&amp;I2793)</f>
        <v/>
      </c>
      <c r="T2793" t="str">
        <f>IF(OR(C2793="",I2793&lt;&gt;"ENTRADA"),"",TEXT(B2793,"AAMMDD")&amp;"-"&amp;TEXT(VALUE(SUBSTITUTE(A2793,"MOV-","")),"000"))</f>
        <v/>
      </c>
    </row>
    <row r="2794" spans="18:20">
      <c r="R2794" s="22" t="str">
        <f>IF(H2794="","",H2794&amp;I2794)</f>
        <v/>
      </c>
      <c r="S2794" s="22" t="str">
        <f>IF(C2794="","",C2794&amp;I2794)</f>
        <v/>
      </c>
      <c r="T2794" t="str">
        <f>IF(OR(C2794="",I2794&lt;&gt;"ENTRADA"),"",TEXT(B2794,"AAMMDD")&amp;"-"&amp;TEXT(VALUE(SUBSTITUTE(A2794,"MOV-","")),"000"))</f>
        <v/>
      </c>
    </row>
    <row r="2795" spans="18:20">
      <c r="R2795" s="22" t="str">
        <f>IF(H2795="","",H2795&amp;I2795)</f>
        <v/>
      </c>
      <c r="S2795" s="22" t="str">
        <f>IF(C2795="","",C2795&amp;I2795)</f>
        <v/>
      </c>
      <c r="T2795" t="str">
        <f>IF(OR(C2795="",I2795&lt;&gt;"ENTRADA"),"",TEXT(B2795,"AAMMDD")&amp;"-"&amp;TEXT(VALUE(SUBSTITUTE(A2795,"MOV-","")),"000"))</f>
        <v/>
      </c>
    </row>
    <row r="2796" spans="18:20">
      <c r="R2796" s="22" t="str">
        <f>IF(H2796="","",H2796&amp;I2796)</f>
        <v/>
      </c>
      <c r="S2796" s="22" t="str">
        <f>IF(C2796="","",C2796&amp;I2796)</f>
        <v/>
      </c>
      <c r="T2796" t="str">
        <f>IF(OR(C2796="",I2796&lt;&gt;"ENTRADA"),"",TEXT(B2796,"AAMMDD")&amp;"-"&amp;TEXT(VALUE(SUBSTITUTE(A2796,"MOV-","")),"000"))</f>
        <v/>
      </c>
    </row>
    <row r="2797" spans="18:20">
      <c r="R2797" s="22" t="str">
        <f>IF(H2797="","",H2797&amp;I2797)</f>
        <v/>
      </c>
      <c r="S2797" s="22" t="str">
        <f>IF(C2797="","",C2797&amp;I2797)</f>
        <v/>
      </c>
      <c r="T2797" t="str">
        <f>IF(OR(C2797="",I2797&lt;&gt;"ENTRADA"),"",TEXT(B2797,"AAMMDD")&amp;"-"&amp;TEXT(VALUE(SUBSTITUTE(A2797,"MOV-","")),"000"))</f>
        <v/>
      </c>
    </row>
    <row r="2798" spans="18:20">
      <c r="R2798" s="22" t="str">
        <f>IF(H2798="","",H2798&amp;I2798)</f>
        <v/>
      </c>
      <c r="S2798" s="22" t="str">
        <f>IF(C2798="","",C2798&amp;I2798)</f>
        <v/>
      </c>
      <c r="T2798" t="str">
        <f>IF(OR(C2798="",I2798&lt;&gt;"ENTRADA"),"",TEXT(B2798,"AAMMDD")&amp;"-"&amp;TEXT(VALUE(SUBSTITUTE(A2798,"MOV-","")),"000"))</f>
        <v/>
      </c>
    </row>
    <row r="2799" spans="18:20">
      <c r="R2799" s="22" t="str">
        <f>IF(H2799="","",H2799&amp;I2799)</f>
        <v/>
      </c>
      <c r="S2799" s="22" t="str">
        <f>IF(C2799="","",C2799&amp;I2799)</f>
        <v/>
      </c>
      <c r="T2799" t="str">
        <f>IF(OR(C2799="",I2799&lt;&gt;"ENTRADA"),"",TEXT(B2799,"AAMMDD")&amp;"-"&amp;TEXT(VALUE(SUBSTITUTE(A2799,"MOV-","")),"000"))</f>
        <v/>
      </c>
    </row>
    <row r="2800" spans="18:20">
      <c r="R2800" s="22" t="str">
        <f>IF(H2800="","",H2800&amp;I2800)</f>
        <v/>
      </c>
      <c r="S2800" s="22" t="str">
        <f>IF(C2800="","",C2800&amp;I2800)</f>
        <v/>
      </c>
      <c r="T2800" t="str">
        <f>IF(OR(C2800="",I2800&lt;&gt;"ENTRADA"),"",TEXT(B2800,"AAMMDD")&amp;"-"&amp;TEXT(VALUE(SUBSTITUTE(A2800,"MOV-","")),"000"))</f>
        <v/>
      </c>
    </row>
    <row r="2801" spans="18:20">
      <c r="R2801" s="22" t="str">
        <f>IF(H2801="","",H2801&amp;I2801)</f>
        <v/>
      </c>
      <c r="S2801" s="22" t="str">
        <f>IF(C2801="","",C2801&amp;I2801)</f>
        <v/>
      </c>
      <c r="T2801" t="str">
        <f>IF(OR(C2801="",I2801&lt;&gt;"ENTRADA"),"",TEXT(B2801,"AAMMDD")&amp;"-"&amp;TEXT(VALUE(SUBSTITUTE(A2801,"MOV-","")),"000"))</f>
        <v/>
      </c>
    </row>
    <row r="2802" spans="18:20">
      <c r="R2802" s="22" t="str">
        <f>IF(H2802="","",H2802&amp;I2802)</f>
        <v/>
      </c>
      <c r="S2802" s="22" t="str">
        <f>IF(C2802="","",C2802&amp;I2802)</f>
        <v/>
      </c>
      <c r="T2802" t="str">
        <f>IF(OR(C2802="",I2802&lt;&gt;"ENTRADA"),"",TEXT(B2802,"AAMMDD")&amp;"-"&amp;TEXT(VALUE(SUBSTITUTE(A2802,"MOV-","")),"000"))</f>
        <v/>
      </c>
    </row>
    <row r="2803" spans="18:20">
      <c r="R2803" s="22" t="str">
        <f>IF(H2803="","",H2803&amp;I2803)</f>
        <v/>
      </c>
      <c r="S2803" s="22" t="str">
        <f>IF(C2803="","",C2803&amp;I2803)</f>
        <v/>
      </c>
      <c r="T2803" t="str">
        <f>IF(OR(C2803="",I2803&lt;&gt;"ENTRADA"),"",TEXT(B2803,"AAMMDD")&amp;"-"&amp;TEXT(VALUE(SUBSTITUTE(A2803,"MOV-","")),"000"))</f>
        <v/>
      </c>
    </row>
    <row r="2804" spans="18:20">
      <c r="R2804" s="22" t="str">
        <f>IF(H2804="","",H2804&amp;I2804)</f>
        <v/>
      </c>
      <c r="S2804" s="22" t="str">
        <f>IF(C2804="","",C2804&amp;I2804)</f>
        <v/>
      </c>
      <c r="T2804" t="str">
        <f>IF(OR(C2804="",I2804&lt;&gt;"ENTRADA"),"",TEXT(B2804,"AAMMDD")&amp;"-"&amp;TEXT(VALUE(SUBSTITUTE(A2804,"MOV-","")),"000"))</f>
        <v/>
      </c>
    </row>
    <row r="2805" spans="18:20">
      <c r="R2805" s="22" t="str">
        <f>IF(H2805="","",H2805&amp;I2805)</f>
        <v/>
      </c>
      <c r="S2805" s="22" t="str">
        <f>IF(C2805="","",C2805&amp;I2805)</f>
        <v/>
      </c>
      <c r="T2805" t="str">
        <f>IF(OR(C2805="",I2805&lt;&gt;"ENTRADA"),"",TEXT(B2805,"AAMMDD")&amp;"-"&amp;TEXT(VALUE(SUBSTITUTE(A2805,"MOV-","")),"000"))</f>
        <v/>
      </c>
    </row>
    <row r="2806" spans="18:20">
      <c r="R2806" s="22" t="str">
        <f>IF(H2806="","",H2806&amp;I2806)</f>
        <v/>
      </c>
      <c r="S2806" s="22" t="str">
        <f>IF(C2806="","",C2806&amp;I2806)</f>
        <v/>
      </c>
      <c r="T2806" t="str">
        <f>IF(OR(C2806="",I2806&lt;&gt;"ENTRADA"),"",TEXT(B2806,"AAMMDD")&amp;"-"&amp;TEXT(VALUE(SUBSTITUTE(A2806,"MOV-","")),"000"))</f>
        <v/>
      </c>
    </row>
    <row r="2807" spans="18:20">
      <c r="R2807" s="22" t="str">
        <f>IF(H2807="","",H2807&amp;I2807)</f>
        <v/>
      </c>
      <c r="S2807" s="22" t="str">
        <f>IF(C2807="","",C2807&amp;I2807)</f>
        <v/>
      </c>
      <c r="T2807" t="str">
        <f>IF(OR(C2807="",I2807&lt;&gt;"ENTRADA"),"",TEXT(B2807,"AAMMDD")&amp;"-"&amp;TEXT(VALUE(SUBSTITUTE(A2807,"MOV-","")),"000"))</f>
        <v/>
      </c>
    </row>
    <row r="2808" spans="18:20">
      <c r="R2808" s="22" t="str">
        <f>IF(H2808="","",H2808&amp;I2808)</f>
        <v/>
      </c>
      <c r="S2808" s="22" t="str">
        <f>IF(C2808="","",C2808&amp;I2808)</f>
        <v/>
      </c>
      <c r="T2808" t="str">
        <f>IF(OR(C2808="",I2808&lt;&gt;"ENTRADA"),"",TEXT(B2808,"AAMMDD")&amp;"-"&amp;TEXT(VALUE(SUBSTITUTE(A2808,"MOV-","")),"000"))</f>
        <v/>
      </c>
    </row>
    <row r="2809" spans="18:20">
      <c r="R2809" s="22" t="str">
        <f>IF(H2809="","",H2809&amp;I2809)</f>
        <v/>
      </c>
      <c r="S2809" s="22" t="str">
        <f>IF(C2809="","",C2809&amp;I2809)</f>
        <v/>
      </c>
      <c r="T2809" t="str">
        <f>IF(OR(C2809="",I2809&lt;&gt;"ENTRADA"),"",TEXT(B2809,"AAMMDD")&amp;"-"&amp;TEXT(VALUE(SUBSTITUTE(A2809,"MOV-","")),"000"))</f>
        <v/>
      </c>
    </row>
    <row r="2810" spans="18:20">
      <c r="R2810" s="22" t="str">
        <f>IF(H2810="","",H2810&amp;I2810)</f>
        <v/>
      </c>
      <c r="S2810" s="22" t="str">
        <f>IF(C2810="","",C2810&amp;I2810)</f>
        <v/>
      </c>
      <c r="T2810" t="str">
        <f>IF(OR(C2810="",I2810&lt;&gt;"ENTRADA"),"",TEXT(B2810,"AAMMDD")&amp;"-"&amp;TEXT(VALUE(SUBSTITUTE(A2810,"MOV-","")),"000"))</f>
        <v/>
      </c>
    </row>
    <row r="2811" spans="18:20">
      <c r="R2811" s="22" t="str">
        <f>IF(H2811="","",H2811&amp;I2811)</f>
        <v/>
      </c>
      <c r="S2811" s="22" t="str">
        <f>IF(C2811="","",C2811&amp;I2811)</f>
        <v/>
      </c>
      <c r="T2811" t="str">
        <f>IF(OR(C2811="",I2811&lt;&gt;"ENTRADA"),"",TEXT(B2811,"AAMMDD")&amp;"-"&amp;TEXT(VALUE(SUBSTITUTE(A2811,"MOV-","")),"000"))</f>
        <v/>
      </c>
    </row>
    <row r="2812" spans="18:20">
      <c r="R2812" s="22" t="str">
        <f>IF(H2812="","",H2812&amp;I2812)</f>
        <v/>
      </c>
      <c r="S2812" s="22" t="str">
        <f>IF(C2812="","",C2812&amp;I2812)</f>
        <v/>
      </c>
      <c r="T2812" t="str">
        <f>IF(OR(C2812="",I2812&lt;&gt;"ENTRADA"),"",TEXT(B2812,"AAMMDD")&amp;"-"&amp;TEXT(VALUE(SUBSTITUTE(A2812,"MOV-","")),"000"))</f>
        <v/>
      </c>
    </row>
    <row r="2813" spans="18:20">
      <c r="R2813" s="22" t="str">
        <f>IF(H2813="","",H2813&amp;I2813)</f>
        <v/>
      </c>
      <c r="S2813" s="22" t="str">
        <f>IF(C2813="","",C2813&amp;I2813)</f>
        <v/>
      </c>
      <c r="T2813" t="str">
        <f>IF(OR(C2813="",I2813&lt;&gt;"ENTRADA"),"",TEXT(B2813,"AAMMDD")&amp;"-"&amp;TEXT(VALUE(SUBSTITUTE(A2813,"MOV-","")),"000"))</f>
        <v/>
      </c>
    </row>
    <row r="2814" spans="18:20">
      <c r="R2814" s="22" t="str">
        <f>IF(H2814="","",H2814&amp;I2814)</f>
        <v/>
      </c>
      <c r="S2814" s="22" t="str">
        <f>IF(C2814="","",C2814&amp;I2814)</f>
        <v/>
      </c>
      <c r="T2814" t="str">
        <f>IF(OR(C2814="",I2814&lt;&gt;"ENTRADA"),"",TEXT(B2814,"AAMMDD")&amp;"-"&amp;TEXT(VALUE(SUBSTITUTE(A2814,"MOV-","")),"000"))</f>
        <v/>
      </c>
    </row>
    <row r="2815" spans="18:20">
      <c r="R2815" s="22" t="str">
        <f>IF(H2815="","",H2815&amp;I2815)</f>
        <v/>
      </c>
      <c r="S2815" s="22" t="str">
        <f>IF(C2815="","",C2815&amp;I2815)</f>
        <v/>
      </c>
      <c r="T2815" t="str">
        <f>IF(OR(C2815="",I2815&lt;&gt;"ENTRADA"),"",TEXT(B2815,"AAMMDD")&amp;"-"&amp;TEXT(VALUE(SUBSTITUTE(A2815,"MOV-","")),"000"))</f>
        <v/>
      </c>
    </row>
    <row r="2816" spans="18:20">
      <c r="R2816" s="22" t="str">
        <f>IF(H2816="","",H2816&amp;I2816)</f>
        <v/>
      </c>
      <c r="S2816" s="22" t="str">
        <f>IF(C2816="","",C2816&amp;I2816)</f>
        <v/>
      </c>
      <c r="T2816" t="str">
        <f>IF(OR(C2816="",I2816&lt;&gt;"ENTRADA"),"",TEXT(B2816,"AAMMDD")&amp;"-"&amp;TEXT(VALUE(SUBSTITUTE(A2816,"MOV-","")),"000"))</f>
        <v/>
      </c>
    </row>
    <row r="2817" spans="18:20">
      <c r="R2817" s="22" t="str">
        <f>IF(H2817="","",H2817&amp;I2817)</f>
        <v/>
      </c>
      <c r="S2817" s="22" t="str">
        <f>IF(C2817="","",C2817&amp;I2817)</f>
        <v/>
      </c>
      <c r="T2817" t="str">
        <f>IF(OR(C2817="",I2817&lt;&gt;"ENTRADA"),"",TEXT(B2817,"AAMMDD")&amp;"-"&amp;TEXT(VALUE(SUBSTITUTE(A2817,"MOV-","")),"000"))</f>
        <v/>
      </c>
    </row>
    <row r="2818" spans="18:20">
      <c r="R2818" s="22" t="str">
        <f>IF(H2818="","",H2818&amp;I2818)</f>
        <v/>
      </c>
      <c r="S2818" s="22" t="str">
        <f>IF(C2818="","",C2818&amp;I2818)</f>
        <v/>
      </c>
      <c r="T2818" t="str">
        <f>IF(OR(C2818="",I2818&lt;&gt;"ENTRADA"),"",TEXT(B2818,"AAMMDD")&amp;"-"&amp;TEXT(VALUE(SUBSTITUTE(A2818,"MOV-","")),"000"))</f>
        <v/>
      </c>
    </row>
    <row r="2819" spans="18:20">
      <c r="R2819" s="22" t="str">
        <f>IF(H2819="","",H2819&amp;I2819)</f>
        <v/>
      </c>
      <c r="S2819" s="22" t="str">
        <f>IF(C2819="","",C2819&amp;I2819)</f>
        <v/>
      </c>
      <c r="T2819" t="str">
        <f>IF(OR(C2819="",I2819&lt;&gt;"ENTRADA"),"",TEXT(B2819,"AAMMDD")&amp;"-"&amp;TEXT(VALUE(SUBSTITUTE(A2819,"MOV-","")),"000"))</f>
        <v/>
      </c>
    </row>
    <row r="2820" spans="18:20">
      <c r="R2820" s="22" t="str">
        <f>IF(H2820="","",H2820&amp;I2820)</f>
        <v/>
      </c>
      <c r="S2820" s="22" t="str">
        <f>IF(C2820="","",C2820&amp;I2820)</f>
        <v/>
      </c>
      <c r="T2820" t="str">
        <f>IF(OR(C2820="",I2820&lt;&gt;"ENTRADA"),"",TEXT(B2820,"AAMMDD")&amp;"-"&amp;TEXT(VALUE(SUBSTITUTE(A2820,"MOV-","")),"000"))</f>
        <v/>
      </c>
    </row>
    <row r="2821" spans="18:20">
      <c r="R2821" s="22" t="str">
        <f>IF(H2821="","",H2821&amp;I2821)</f>
        <v/>
      </c>
      <c r="S2821" s="22" t="str">
        <f>IF(C2821="","",C2821&amp;I2821)</f>
        <v/>
      </c>
      <c r="T2821" t="str">
        <f>IF(OR(C2821="",I2821&lt;&gt;"ENTRADA"),"",TEXT(B2821,"AAMMDD")&amp;"-"&amp;TEXT(VALUE(SUBSTITUTE(A2821,"MOV-","")),"000"))</f>
        <v/>
      </c>
    </row>
    <row r="2822" spans="18:20">
      <c r="R2822" s="22" t="str">
        <f>IF(H2822="","",H2822&amp;I2822)</f>
        <v/>
      </c>
      <c r="S2822" s="22" t="str">
        <f>IF(C2822="","",C2822&amp;I2822)</f>
        <v/>
      </c>
      <c r="T2822" t="str">
        <f>IF(OR(C2822="",I2822&lt;&gt;"ENTRADA"),"",TEXT(B2822,"AAMMDD")&amp;"-"&amp;TEXT(VALUE(SUBSTITUTE(A2822,"MOV-","")),"000"))</f>
        <v/>
      </c>
    </row>
    <row r="2823" spans="18:20">
      <c r="R2823" s="22" t="str">
        <f>IF(H2823="","",H2823&amp;I2823)</f>
        <v/>
      </c>
      <c r="S2823" s="22" t="str">
        <f>IF(C2823="","",C2823&amp;I2823)</f>
        <v/>
      </c>
      <c r="T2823" t="str">
        <f>IF(OR(C2823="",I2823&lt;&gt;"ENTRADA"),"",TEXT(B2823,"AAMMDD")&amp;"-"&amp;TEXT(VALUE(SUBSTITUTE(A2823,"MOV-","")),"000"))</f>
        <v/>
      </c>
    </row>
    <row r="2824" spans="18:20">
      <c r="R2824" s="22" t="str">
        <f>IF(H2824="","",H2824&amp;I2824)</f>
        <v/>
      </c>
      <c r="S2824" s="22" t="str">
        <f>IF(C2824="","",C2824&amp;I2824)</f>
        <v/>
      </c>
      <c r="T2824" t="str">
        <f>IF(OR(C2824="",I2824&lt;&gt;"ENTRADA"),"",TEXT(B2824,"AAMMDD")&amp;"-"&amp;TEXT(VALUE(SUBSTITUTE(A2824,"MOV-","")),"000"))</f>
        <v/>
      </c>
    </row>
    <row r="2825" spans="18:20">
      <c r="R2825" s="22" t="str">
        <f>IF(H2825="","",H2825&amp;I2825)</f>
        <v/>
      </c>
      <c r="S2825" s="22" t="str">
        <f>IF(C2825="","",C2825&amp;I2825)</f>
        <v/>
      </c>
      <c r="T2825" t="str">
        <f>IF(OR(C2825="",I2825&lt;&gt;"ENTRADA"),"",TEXT(B2825,"AAMMDD")&amp;"-"&amp;TEXT(VALUE(SUBSTITUTE(A2825,"MOV-","")),"000"))</f>
        <v/>
      </c>
    </row>
    <row r="2826" spans="18:20">
      <c r="R2826" s="22" t="str">
        <f>IF(H2826="","",H2826&amp;I2826)</f>
        <v/>
      </c>
      <c r="S2826" s="22" t="str">
        <f>IF(C2826="","",C2826&amp;I2826)</f>
        <v/>
      </c>
      <c r="T2826" t="str">
        <f>IF(OR(C2826="",I2826&lt;&gt;"ENTRADA"),"",TEXT(B2826,"AAMMDD")&amp;"-"&amp;TEXT(VALUE(SUBSTITUTE(A2826,"MOV-","")),"000"))</f>
        <v/>
      </c>
    </row>
    <row r="2827" spans="18:20">
      <c r="R2827" s="22" t="str">
        <f>IF(H2827="","",H2827&amp;I2827)</f>
        <v/>
      </c>
      <c r="S2827" s="22" t="str">
        <f>IF(C2827="","",C2827&amp;I2827)</f>
        <v/>
      </c>
      <c r="T2827" t="str">
        <f>IF(OR(C2827="",I2827&lt;&gt;"ENTRADA"),"",TEXT(B2827,"AAMMDD")&amp;"-"&amp;TEXT(VALUE(SUBSTITUTE(A2827,"MOV-","")),"000"))</f>
        <v/>
      </c>
    </row>
    <row r="2828" spans="18:20">
      <c r="R2828" s="22" t="str">
        <f>IF(H2828="","",H2828&amp;I2828)</f>
        <v/>
      </c>
      <c r="S2828" s="22" t="str">
        <f>IF(C2828="","",C2828&amp;I2828)</f>
        <v/>
      </c>
      <c r="T2828" t="str">
        <f>IF(OR(C2828="",I2828&lt;&gt;"ENTRADA"),"",TEXT(B2828,"AAMMDD")&amp;"-"&amp;TEXT(VALUE(SUBSTITUTE(A2828,"MOV-","")),"000"))</f>
        <v/>
      </c>
    </row>
    <row r="2829" spans="18:20">
      <c r="R2829" s="22" t="str">
        <f>IF(H2829="","",H2829&amp;I2829)</f>
        <v/>
      </c>
      <c r="S2829" s="22" t="str">
        <f>IF(C2829="","",C2829&amp;I2829)</f>
        <v/>
      </c>
      <c r="T2829" t="str">
        <f>IF(OR(C2829="",I2829&lt;&gt;"ENTRADA"),"",TEXT(B2829,"AAMMDD")&amp;"-"&amp;TEXT(VALUE(SUBSTITUTE(A2829,"MOV-","")),"000"))</f>
        <v/>
      </c>
    </row>
    <row r="2830" spans="18:20">
      <c r="R2830" s="22" t="str">
        <f>IF(H2830="","",H2830&amp;I2830)</f>
        <v/>
      </c>
      <c r="S2830" s="22" t="str">
        <f>IF(C2830="","",C2830&amp;I2830)</f>
        <v/>
      </c>
      <c r="T2830" t="str">
        <f>IF(OR(C2830="",I2830&lt;&gt;"ENTRADA"),"",TEXT(B2830,"AAMMDD")&amp;"-"&amp;TEXT(VALUE(SUBSTITUTE(A2830,"MOV-","")),"000"))</f>
        <v/>
      </c>
    </row>
    <row r="2831" spans="18:20">
      <c r="R2831" s="22" t="str">
        <f>IF(H2831="","",H2831&amp;I2831)</f>
        <v/>
      </c>
      <c r="S2831" s="22" t="str">
        <f>IF(C2831="","",C2831&amp;I2831)</f>
        <v/>
      </c>
      <c r="T2831" t="str">
        <f>IF(OR(C2831="",I2831&lt;&gt;"ENTRADA"),"",TEXT(B2831,"AAMMDD")&amp;"-"&amp;TEXT(VALUE(SUBSTITUTE(A2831,"MOV-","")),"000"))</f>
        <v/>
      </c>
    </row>
    <row r="2832" spans="18:20">
      <c r="R2832" s="22" t="str">
        <f>IF(H2832="","",H2832&amp;I2832)</f>
        <v/>
      </c>
      <c r="S2832" s="22" t="str">
        <f>IF(C2832="","",C2832&amp;I2832)</f>
        <v/>
      </c>
      <c r="T2832" t="str">
        <f>IF(OR(C2832="",I2832&lt;&gt;"ENTRADA"),"",TEXT(B2832,"AAMMDD")&amp;"-"&amp;TEXT(VALUE(SUBSTITUTE(A2832,"MOV-","")),"000"))</f>
        <v/>
      </c>
    </row>
    <row r="2833" spans="18:20">
      <c r="R2833" s="22" t="str">
        <f>IF(H2833="","",H2833&amp;I2833)</f>
        <v/>
      </c>
      <c r="S2833" s="22" t="str">
        <f>IF(C2833="","",C2833&amp;I2833)</f>
        <v/>
      </c>
      <c r="T2833" t="str">
        <f>IF(OR(C2833="",I2833&lt;&gt;"ENTRADA"),"",TEXT(B2833,"AAMMDD")&amp;"-"&amp;TEXT(VALUE(SUBSTITUTE(A2833,"MOV-","")),"000"))</f>
        <v/>
      </c>
    </row>
    <row r="2834" spans="18:20">
      <c r="R2834" s="22" t="str">
        <f>IF(H2834="","",H2834&amp;I2834)</f>
        <v/>
      </c>
      <c r="S2834" s="22" t="str">
        <f>IF(C2834="","",C2834&amp;I2834)</f>
        <v/>
      </c>
      <c r="T2834" t="str">
        <f>IF(OR(C2834="",I2834&lt;&gt;"ENTRADA"),"",TEXT(B2834,"AAMMDD")&amp;"-"&amp;TEXT(VALUE(SUBSTITUTE(A2834,"MOV-","")),"000"))</f>
        <v/>
      </c>
    </row>
    <row r="2835" spans="18:20">
      <c r="R2835" s="22" t="str">
        <f>IF(H2835="","",H2835&amp;I2835)</f>
        <v/>
      </c>
      <c r="S2835" s="22" t="str">
        <f>IF(C2835="","",C2835&amp;I2835)</f>
        <v/>
      </c>
      <c r="T2835" t="str">
        <f>IF(OR(C2835="",I2835&lt;&gt;"ENTRADA"),"",TEXT(B2835,"AAMMDD")&amp;"-"&amp;TEXT(VALUE(SUBSTITUTE(A2835,"MOV-","")),"000"))</f>
        <v/>
      </c>
    </row>
    <row r="2836" spans="18:20">
      <c r="R2836" s="22" t="str">
        <f>IF(H2836="","",H2836&amp;I2836)</f>
        <v/>
      </c>
      <c r="S2836" s="22" t="str">
        <f>IF(C2836="","",C2836&amp;I2836)</f>
        <v/>
      </c>
      <c r="T2836" t="str">
        <f>IF(OR(C2836="",I2836&lt;&gt;"ENTRADA"),"",TEXT(B2836,"AAMMDD")&amp;"-"&amp;TEXT(VALUE(SUBSTITUTE(A2836,"MOV-","")),"000"))</f>
        <v/>
      </c>
    </row>
    <row r="2837" spans="18:20">
      <c r="R2837" s="22" t="str">
        <f>IF(H2837="","",H2837&amp;I2837)</f>
        <v/>
      </c>
      <c r="S2837" s="22" t="str">
        <f>IF(C2837="","",C2837&amp;I2837)</f>
        <v/>
      </c>
      <c r="T2837" t="str">
        <f>IF(OR(C2837="",I2837&lt;&gt;"ENTRADA"),"",TEXT(B2837,"AAMMDD")&amp;"-"&amp;TEXT(VALUE(SUBSTITUTE(A2837,"MOV-","")),"000"))</f>
        <v/>
      </c>
    </row>
    <row r="2838" spans="18:20">
      <c r="R2838" s="22" t="str">
        <f>IF(H2838="","",H2838&amp;I2838)</f>
        <v/>
      </c>
      <c r="S2838" s="22" t="str">
        <f>IF(C2838="","",C2838&amp;I2838)</f>
        <v/>
      </c>
      <c r="T2838" t="str">
        <f>IF(OR(C2838="",I2838&lt;&gt;"ENTRADA"),"",TEXT(B2838,"AAMMDD")&amp;"-"&amp;TEXT(VALUE(SUBSTITUTE(A2838,"MOV-","")),"000"))</f>
        <v/>
      </c>
    </row>
    <row r="2839" spans="18:20">
      <c r="R2839" s="22" t="str">
        <f>IF(H2839="","",H2839&amp;I2839)</f>
        <v/>
      </c>
      <c r="S2839" s="22" t="str">
        <f>IF(C2839="","",C2839&amp;I2839)</f>
        <v/>
      </c>
      <c r="T2839" t="str">
        <f>IF(OR(C2839="",I2839&lt;&gt;"ENTRADA"),"",TEXT(B2839,"AAMMDD")&amp;"-"&amp;TEXT(VALUE(SUBSTITUTE(A2839,"MOV-","")),"000"))</f>
        <v/>
      </c>
    </row>
    <row r="2840" spans="18:20">
      <c r="R2840" s="22" t="str">
        <f>IF(H2840="","",H2840&amp;I2840)</f>
        <v/>
      </c>
      <c r="S2840" s="22" t="str">
        <f>IF(C2840="","",C2840&amp;I2840)</f>
        <v/>
      </c>
      <c r="T2840" t="str">
        <f>IF(OR(C2840="",I2840&lt;&gt;"ENTRADA"),"",TEXT(B2840,"AAMMDD")&amp;"-"&amp;TEXT(VALUE(SUBSTITUTE(A2840,"MOV-","")),"000"))</f>
        <v/>
      </c>
    </row>
    <row r="2841" spans="18:20">
      <c r="R2841" s="22" t="str">
        <f>IF(H2841="","",H2841&amp;I2841)</f>
        <v/>
      </c>
      <c r="S2841" s="22" t="str">
        <f>IF(C2841="","",C2841&amp;I2841)</f>
        <v/>
      </c>
      <c r="T2841" t="str">
        <f>IF(OR(C2841="",I2841&lt;&gt;"ENTRADA"),"",TEXT(B2841,"AAMMDD")&amp;"-"&amp;TEXT(VALUE(SUBSTITUTE(A2841,"MOV-","")),"000"))</f>
        <v/>
      </c>
    </row>
    <row r="2842" spans="18:20">
      <c r="R2842" s="22" t="str">
        <f>IF(H2842="","",H2842&amp;I2842)</f>
        <v/>
      </c>
      <c r="S2842" s="22" t="str">
        <f>IF(C2842="","",C2842&amp;I2842)</f>
        <v/>
      </c>
      <c r="T2842" t="str">
        <f>IF(OR(C2842="",I2842&lt;&gt;"ENTRADA"),"",TEXT(B2842,"AAMMDD")&amp;"-"&amp;TEXT(VALUE(SUBSTITUTE(A2842,"MOV-","")),"000"))</f>
        <v/>
      </c>
    </row>
    <row r="2843" spans="18:20">
      <c r="R2843" s="22" t="str">
        <f>IF(H2843="","",H2843&amp;I2843)</f>
        <v/>
      </c>
      <c r="S2843" s="22" t="str">
        <f>IF(C2843="","",C2843&amp;I2843)</f>
        <v/>
      </c>
      <c r="T2843" t="str">
        <f>IF(OR(C2843="",I2843&lt;&gt;"ENTRADA"),"",TEXT(B2843,"AAMMDD")&amp;"-"&amp;TEXT(VALUE(SUBSTITUTE(A2843,"MOV-","")),"000"))</f>
        <v/>
      </c>
    </row>
    <row r="2844" spans="18:20">
      <c r="R2844" s="22" t="str">
        <f>IF(H2844="","",H2844&amp;I2844)</f>
        <v/>
      </c>
      <c r="S2844" s="22" t="str">
        <f>IF(C2844="","",C2844&amp;I2844)</f>
        <v/>
      </c>
      <c r="T2844" t="str">
        <f>IF(OR(C2844="",I2844&lt;&gt;"ENTRADA"),"",TEXT(B2844,"AAMMDD")&amp;"-"&amp;TEXT(VALUE(SUBSTITUTE(A2844,"MOV-","")),"000"))</f>
        <v/>
      </c>
    </row>
    <row r="2845" spans="18:20">
      <c r="R2845" s="22" t="str">
        <f>IF(H2845="","",H2845&amp;I2845)</f>
        <v/>
      </c>
      <c r="S2845" s="22" t="str">
        <f>IF(C2845="","",C2845&amp;I2845)</f>
        <v/>
      </c>
      <c r="T2845" t="str">
        <f>IF(OR(C2845="",I2845&lt;&gt;"ENTRADA"),"",TEXT(B2845,"AAMMDD")&amp;"-"&amp;TEXT(VALUE(SUBSTITUTE(A2845,"MOV-","")),"000"))</f>
        <v/>
      </c>
    </row>
    <row r="2846" spans="18:20">
      <c r="R2846" s="22" t="str">
        <f>IF(H2846="","",H2846&amp;I2846)</f>
        <v/>
      </c>
      <c r="S2846" s="22" t="str">
        <f>IF(C2846="","",C2846&amp;I2846)</f>
        <v/>
      </c>
      <c r="T2846" t="str">
        <f>IF(OR(C2846="",I2846&lt;&gt;"ENTRADA"),"",TEXT(B2846,"AAMMDD")&amp;"-"&amp;TEXT(VALUE(SUBSTITUTE(A2846,"MOV-","")),"000"))</f>
        <v/>
      </c>
    </row>
    <row r="2847" spans="18:20">
      <c r="R2847" s="22" t="str">
        <f>IF(H2847="","",H2847&amp;I2847)</f>
        <v/>
      </c>
      <c r="S2847" s="22" t="str">
        <f>IF(C2847="","",C2847&amp;I2847)</f>
        <v/>
      </c>
      <c r="T2847" t="str">
        <f>IF(OR(C2847="",I2847&lt;&gt;"ENTRADA"),"",TEXT(B2847,"AAMMDD")&amp;"-"&amp;TEXT(VALUE(SUBSTITUTE(A2847,"MOV-","")),"000"))</f>
        <v/>
      </c>
    </row>
    <row r="2848" spans="18:20">
      <c r="R2848" s="22" t="str">
        <f>IF(H2848="","",H2848&amp;I2848)</f>
        <v/>
      </c>
      <c r="S2848" s="22" t="str">
        <f>IF(C2848="","",C2848&amp;I2848)</f>
        <v/>
      </c>
      <c r="T2848" t="str">
        <f>IF(OR(C2848="",I2848&lt;&gt;"ENTRADA"),"",TEXT(B2848,"AAMMDD")&amp;"-"&amp;TEXT(VALUE(SUBSTITUTE(A2848,"MOV-","")),"000"))</f>
        <v/>
      </c>
    </row>
    <row r="2849" spans="18:20">
      <c r="R2849" s="22" t="str">
        <f>IF(H2849="","",H2849&amp;I2849)</f>
        <v/>
      </c>
      <c r="S2849" s="22" t="str">
        <f>IF(C2849="","",C2849&amp;I2849)</f>
        <v/>
      </c>
      <c r="T2849" t="str">
        <f>IF(OR(C2849="",I2849&lt;&gt;"ENTRADA"),"",TEXT(B2849,"AAMMDD")&amp;"-"&amp;TEXT(VALUE(SUBSTITUTE(A2849,"MOV-","")),"000"))</f>
        <v/>
      </c>
    </row>
    <row r="2850" spans="18:20">
      <c r="R2850" s="22" t="str">
        <f>IF(H2850="","",H2850&amp;I2850)</f>
        <v/>
      </c>
      <c r="S2850" s="22" t="str">
        <f>IF(C2850="","",C2850&amp;I2850)</f>
        <v/>
      </c>
      <c r="T2850" t="str">
        <f>IF(OR(C2850="",I2850&lt;&gt;"ENTRADA"),"",TEXT(B2850,"AAMMDD")&amp;"-"&amp;TEXT(VALUE(SUBSTITUTE(A2850,"MOV-","")),"000"))</f>
        <v/>
      </c>
    </row>
    <row r="2851" spans="18:20">
      <c r="R2851" s="22" t="str">
        <f>IF(H2851="","",H2851&amp;I2851)</f>
        <v/>
      </c>
      <c r="S2851" s="22" t="str">
        <f>IF(C2851="","",C2851&amp;I2851)</f>
        <v/>
      </c>
      <c r="T2851" t="str">
        <f>IF(OR(C2851="",I2851&lt;&gt;"ENTRADA"),"",TEXT(B2851,"AAMMDD")&amp;"-"&amp;TEXT(VALUE(SUBSTITUTE(A2851,"MOV-","")),"000"))</f>
        <v/>
      </c>
    </row>
    <row r="2852" spans="18:20">
      <c r="R2852" s="22" t="str">
        <f>IF(H2852="","",H2852&amp;I2852)</f>
        <v/>
      </c>
      <c r="S2852" s="22" t="str">
        <f>IF(C2852="","",C2852&amp;I2852)</f>
        <v/>
      </c>
      <c r="T2852" t="str">
        <f>IF(OR(C2852="",I2852&lt;&gt;"ENTRADA"),"",TEXT(B2852,"AAMMDD")&amp;"-"&amp;TEXT(VALUE(SUBSTITUTE(A2852,"MOV-","")),"000"))</f>
        <v/>
      </c>
    </row>
    <row r="2853" spans="18:20">
      <c r="R2853" s="22" t="str">
        <f>IF(H2853="","",H2853&amp;I2853)</f>
        <v/>
      </c>
      <c r="S2853" s="22" t="str">
        <f>IF(C2853="","",C2853&amp;I2853)</f>
        <v/>
      </c>
      <c r="T2853" t="str">
        <f>IF(OR(C2853="",I2853&lt;&gt;"ENTRADA"),"",TEXT(B2853,"AAMMDD")&amp;"-"&amp;TEXT(VALUE(SUBSTITUTE(A2853,"MOV-","")),"000"))</f>
        <v/>
      </c>
    </row>
    <row r="2854" spans="18:20">
      <c r="R2854" s="22" t="str">
        <f>IF(H2854="","",H2854&amp;I2854)</f>
        <v/>
      </c>
      <c r="S2854" s="22" t="str">
        <f>IF(C2854="","",C2854&amp;I2854)</f>
        <v/>
      </c>
      <c r="T2854" t="str">
        <f>IF(OR(C2854="",I2854&lt;&gt;"ENTRADA"),"",TEXT(B2854,"AAMMDD")&amp;"-"&amp;TEXT(VALUE(SUBSTITUTE(A2854,"MOV-","")),"000"))</f>
        <v/>
      </c>
    </row>
    <row r="2855" spans="18:20">
      <c r="R2855" s="22" t="str">
        <f>IF(H2855="","",H2855&amp;I2855)</f>
        <v/>
      </c>
      <c r="S2855" s="22" t="str">
        <f>IF(C2855="","",C2855&amp;I2855)</f>
        <v/>
      </c>
      <c r="T2855" t="str">
        <f>IF(OR(C2855="",I2855&lt;&gt;"ENTRADA"),"",TEXT(B2855,"AAMMDD")&amp;"-"&amp;TEXT(VALUE(SUBSTITUTE(A2855,"MOV-","")),"000"))</f>
        <v/>
      </c>
    </row>
    <row r="2856" spans="18:20">
      <c r="R2856" s="22" t="str">
        <f>IF(H2856="","",H2856&amp;I2856)</f>
        <v/>
      </c>
      <c r="S2856" s="22" t="str">
        <f>IF(C2856="","",C2856&amp;I2856)</f>
        <v/>
      </c>
      <c r="T2856" t="str">
        <f>IF(OR(C2856="",I2856&lt;&gt;"ENTRADA"),"",TEXT(B2856,"AAMMDD")&amp;"-"&amp;TEXT(VALUE(SUBSTITUTE(A2856,"MOV-","")),"000"))</f>
        <v/>
      </c>
    </row>
    <row r="2857" spans="18:20">
      <c r="R2857" s="22" t="str">
        <f>IF(H2857="","",H2857&amp;I2857)</f>
        <v/>
      </c>
      <c r="S2857" s="22" t="str">
        <f>IF(C2857="","",C2857&amp;I2857)</f>
        <v/>
      </c>
      <c r="T2857" t="str">
        <f>IF(OR(C2857="",I2857&lt;&gt;"ENTRADA"),"",TEXT(B2857,"AAMMDD")&amp;"-"&amp;TEXT(VALUE(SUBSTITUTE(A2857,"MOV-","")),"000"))</f>
        <v/>
      </c>
    </row>
    <row r="2858" spans="18:20">
      <c r="R2858" s="22" t="str">
        <f>IF(H2858="","",H2858&amp;I2858)</f>
        <v/>
      </c>
      <c r="S2858" s="22" t="str">
        <f>IF(C2858="","",C2858&amp;I2858)</f>
        <v/>
      </c>
      <c r="T2858" t="str">
        <f>IF(OR(C2858="",I2858&lt;&gt;"ENTRADA"),"",TEXT(B2858,"AAMMDD")&amp;"-"&amp;TEXT(VALUE(SUBSTITUTE(A2858,"MOV-","")),"000"))</f>
        <v/>
      </c>
    </row>
    <row r="2859" spans="18:20">
      <c r="R2859" s="22" t="str">
        <f>IF(H2859="","",H2859&amp;I2859)</f>
        <v/>
      </c>
      <c r="S2859" s="22" t="str">
        <f>IF(C2859="","",C2859&amp;I2859)</f>
        <v/>
      </c>
      <c r="T2859" t="str">
        <f>IF(OR(C2859="",I2859&lt;&gt;"ENTRADA"),"",TEXT(B2859,"AAMMDD")&amp;"-"&amp;TEXT(VALUE(SUBSTITUTE(A2859,"MOV-","")),"000"))</f>
        <v/>
      </c>
    </row>
    <row r="2860" spans="18:20">
      <c r="R2860" s="22" t="str">
        <f>IF(H2860="","",H2860&amp;I2860)</f>
        <v/>
      </c>
      <c r="S2860" s="22" t="str">
        <f>IF(C2860="","",C2860&amp;I2860)</f>
        <v/>
      </c>
      <c r="T2860" t="str">
        <f>IF(OR(C2860="",I2860&lt;&gt;"ENTRADA"),"",TEXT(B2860,"AAMMDD")&amp;"-"&amp;TEXT(VALUE(SUBSTITUTE(A2860,"MOV-","")),"000"))</f>
        <v/>
      </c>
    </row>
    <row r="2861" spans="18:20">
      <c r="R2861" s="22" t="str">
        <f>IF(H2861="","",H2861&amp;I2861)</f>
        <v/>
      </c>
      <c r="S2861" s="22" t="str">
        <f>IF(C2861="","",C2861&amp;I2861)</f>
        <v/>
      </c>
      <c r="T2861" t="str">
        <f>IF(OR(C2861="",I2861&lt;&gt;"ENTRADA"),"",TEXT(B2861,"AAMMDD")&amp;"-"&amp;TEXT(VALUE(SUBSTITUTE(A2861,"MOV-","")),"000"))</f>
        <v/>
      </c>
    </row>
    <row r="2862" spans="18:20">
      <c r="R2862" s="22" t="str">
        <f>IF(H2862="","",H2862&amp;I2862)</f>
        <v/>
      </c>
      <c r="S2862" s="22" t="str">
        <f>IF(C2862="","",C2862&amp;I2862)</f>
        <v/>
      </c>
      <c r="T2862" t="str">
        <f>IF(OR(C2862="",I2862&lt;&gt;"ENTRADA"),"",TEXT(B2862,"AAMMDD")&amp;"-"&amp;TEXT(VALUE(SUBSTITUTE(A2862,"MOV-","")),"000"))</f>
        <v/>
      </c>
    </row>
    <row r="2863" spans="18:20">
      <c r="R2863" s="22" t="str">
        <f>IF(H2863="","",H2863&amp;I2863)</f>
        <v/>
      </c>
      <c r="S2863" s="22" t="str">
        <f>IF(C2863="","",C2863&amp;I2863)</f>
        <v/>
      </c>
      <c r="T2863" t="str">
        <f>IF(OR(C2863="",I2863&lt;&gt;"ENTRADA"),"",TEXT(B2863,"AAMMDD")&amp;"-"&amp;TEXT(VALUE(SUBSTITUTE(A2863,"MOV-","")),"000"))</f>
        <v/>
      </c>
    </row>
    <row r="2864" spans="18:20">
      <c r="R2864" s="22" t="str">
        <f>IF(H2864="","",H2864&amp;I2864)</f>
        <v/>
      </c>
      <c r="S2864" s="22" t="str">
        <f>IF(C2864="","",C2864&amp;I2864)</f>
        <v/>
      </c>
      <c r="T2864" t="str">
        <f>IF(OR(C2864="",I2864&lt;&gt;"ENTRADA"),"",TEXT(B2864,"AAMMDD")&amp;"-"&amp;TEXT(VALUE(SUBSTITUTE(A2864,"MOV-","")),"000"))</f>
        <v/>
      </c>
    </row>
    <row r="2865" spans="18:20">
      <c r="R2865" s="22" t="str">
        <f>IF(H2865="","",H2865&amp;I2865)</f>
        <v/>
      </c>
      <c r="S2865" s="22" t="str">
        <f>IF(C2865="","",C2865&amp;I2865)</f>
        <v/>
      </c>
      <c r="T2865" t="str">
        <f>IF(OR(C2865="",I2865&lt;&gt;"ENTRADA"),"",TEXT(B2865,"AAMMDD")&amp;"-"&amp;TEXT(VALUE(SUBSTITUTE(A2865,"MOV-","")),"000"))</f>
        <v/>
      </c>
    </row>
    <row r="2866" spans="18:20">
      <c r="R2866" s="22" t="str">
        <f>IF(H2866="","",H2866&amp;I2866)</f>
        <v/>
      </c>
      <c r="S2866" s="22" t="str">
        <f>IF(C2866="","",C2866&amp;I2866)</f>
        <v/>
      </c>
      <c r="T2866" t="str">
        <f>IF(OR(C2866="",I2866&lt;&gt;"ENTRADA"),"",TEXT(B2866,"AAMMDD")&amp;"-"&amp;TEXT(VALUE(SUBSTITUTE(A2866,"MOV-","")),"000"))</f>
        <v/>
      </c>
    </row>
    <row r="2867" spans="18:20">
      <c r="R2867" s="22" t="str">
        <f>IF(H2867="","",H2867&amp;I2867)</f>
        <v/>
      </c>
      <c r="S2867" s="22" t="str">
        <f>IF(C2867="","",C2867&amp;I2867)</f>
        <v/>
      </c>
      <c r="T2867" t="str">
        <f>IF(OR(C2867="",I2867&lt;&gt;"ENTRADA"),"",TEXT(B2867,"AAMMDD")&amp;"-"&amp;TEXT(VALUE(SUBSTITUTE(A2867,"MOV-","")),"000"))</f>
        <v/>
      </c>
    </row>
    <row r="2868" spans="18:20">
      <c r="R2868" s="22" t="str">
        <f>IF(H2868="","",H2868&amp;I2868)</f>
        <v/>
      </c>
      <c r="S2868" s="22" t="str">
        <f>IF(C2868="","",C2868&amp;I2868)</f>
        <v/>
      </c>
      <c r="T2868" t="str">
        <f>IF(OR(C2868="",I2868&lt;&gt;"ENTRADA"),"",TEXT(B2868,"AAMMDD")&amp;"-"&amp;TEXT(VALUE(SUBSTITUTE(A2868,"MOV-","")),"000"))</f>
        <v/>
      </c>
    </row>
    <row r="2869" spans="18:20">
      <c r="R2869" s="22" t="str">
        <f>IF(H2869="","",H2869&amp;I2869)</f>
        <v/>
      </c>
      <c r="S2869" s="22" t="str">
        <f>IF(C2869="","",C2869&amp;I2869)</f>
        <v/>
      </c>
      <c r="T2869" t="str">
        <f>IF(OR(C2869="",I2869&lt;&gt;"ENTRADA"),"",TEXT(B2869,"AAMMDD")&amp;"-"&amp;TEXT(VALUE(SUBSTITUTE(A2869,"MOV-","")),"000"))</f>
        <v/>
      </c>
    </row>
    <row r="2870" spans="18:20">
      <c r="R2870" s="22" t="str">
        <f>IF(H2870="","",H2870&amp;I2870)</f>
        <v/>
      </c>
      <c r="S2870" s="22" t="str">
        <f>IF(C2870="","",C2870&amp;I2870)</f>
        <v/>
      </c>
      <c r="T2870" t="str">
        <f>IF(OR(C2870="",I2870&lt;&gt;"ENTRADA"),"",TEXT(B2870,"AAMMDD")&amp;"-"&amp;TEXT(VALUE(SUBSTITUTE(A2870,"MOV-","")),"000"))</f>
        <v/>
      </c>
    </row>
    <row r="2871" spans="18:20">
      <c r="R2871" s="22" t="str">
        <f>IF(H2871="","",H2871&amp;I2871)</f>
        <v/>
      </c>
      <c r="S2871" s="22" t="str">
        <f>IF(C2871="","",C2871&amp;I2871)</f>
        <v/>
      </c>
      <c r="T2871" t="str">
        <f>IF(OR(C2871="",I2871&lt;&gt;"ENTRADA"),"",TEXT(B2871,"AAMMDD")&amp;"-"&amp;TEXT(VALUE(SUBSTITUTE(A2871,"MOV-","")),"000"))</f>
        <v/>
      </c>
    </row>
    <row r="2872" spans="18:20">
      <c r="R2872" s="22" t="str">
        <f>IF(H2872="","",H2872&amp;I2872)</f>
        <v/>
      </c>
      <c r="S2872" s="22" t="str">
        <f>IF(C2872="","",C2872&amp;I2872)</f>
        <v/>
      </c>
      <c r="T2872" t="str">
        <f>IF(OR(C2872="",I2872&lt;&gt;"ENTRADA"),"",TEXT(B2872,"AAMMDD")&amp;"-"&amp;TEXT(VALUE(SUBSTITUTE(A2872,"MOV-","")),"000"))</f>
        <v/>
      </c>
    </row>
    <row r="2873" spans="18:20">
      <c r="R2873" s="22" t="str">
        <f>IF(H2873="","",H2873&amp;I2873)</f>
        <v/>
      </c>
      <c r="S2873" s="22" t="str">
        <f>IF(C2873="","",C2873&amp;I2873)</f>
        <v/>
      </c>
      <c r="T2873" t="str">
        <f>IF(OR(C2873="",I2873&lt;&gt;"ENTRADA"),"",TEXT(B2873,"AAMMDD")&amp;"-"&amp;TEXT(VALUE(SUBSTITUTE(A2873,"MOV-","")),"000"))</f>
        <v/>
      </c>
    </row>
    <row r="2874" spans="18:20">
      <c r="R2874" s="22" t="str">
        <f>IF(H2874="","",H2874&amp;I2874)</f>
        <v/>
      </c>
      <c r="S2874" s="22" t="str">
        <f>IF(C2874="","",C2874&amp;I2874)</f>
        <v/>
      </c>
      <c r="T2874" t="str">
        <f>IF(OR(C2874="",I2874&lt;&gt;"ENTRADA"),"",TEXT(B2874,"AAMMDD")&amp;"-"&amp;TEXT(VALUE(SUBSTITUTE(A2874,"MOV-","")),"000"))</f>
        <v/>
      </c>
    </row>
    <row r="2875" spans="18:20">
      <c r="R2875" s="22" t="str">
        <f>IF(H2875="","",H2875&amp;I2875)</f>
        <v/>
      </c>
      <c r="S2875" s="22" t="str">
        <f>IF(C2875="","",C2875&amp;I2875)</f>
        <v/>
      </c>
      <c r="T2875" t="str">
        <f>IF(OR(C2875="",I2875&lt;&gt;"ENTRADA"),"",TEXT(B2875,"AAMMDD")&amp;"-"&amp;TEXT(VALUE(SUBSTITUTE(A2875,"MOV-","")),"000"))</f>
        <v/>
      </c>
    </row>
    <row r="2876" spans="18:20">
      <c r="R2876" s="22" t="str">
        <f>IF(H2876="","",H2876&amp;I2876)</f>
        <v/>
      </c>
      <c r="S2876" s="22" t="str">
        <f>IF(C2876="","",C2876&amp;I2876)</f>
        <v/>
      </c>
      <c r="T2876" t="str">
        <f>IF(OR(C2876="",I2876&lt;&gt;"ENTRADA"),"",TEXT(B2876,"AAMMDD")&amp;"-"&amp;TEXT(VALUE(SUBSTITUTE(A2876,"MOV-","")),"000"))</f>
        <v/>
      </c>
    </row>
    <row r="2877" spans="18:20">
      <c r="R2877" s="22" t="str">
        <f>IF(H2877="","",H2877&amp;I2877)</f>
        <v/>
      </c>
      <c r="S2877" s="22" t="str">
        <f>IF(C2877="","",C2877&amp;I2877)</f>
        <v/>
      </c>
      <c r="T2877" t="str">
        <f>IF(OR(C2877="",I2877&lt;&gt;"ENTRADA"),"",TEXT(B2877,"AAMMDD")&amp;"-"&amp;TEXT(VALUE(SUBSTITUTE(A2877,"MOV-","")),"000"))</f>
        <v/>
      </c>
    </row>
    <row r="2878" spans="18:20">
      <c r="R2878" s="22" t="str">
        <f>IF(H2878="","",H2878&amp;I2878)</f>
        <v/>
      </c>
      <c r="S2878" s="22" t="str">
        <f>IF(C2878="","",C2878&amp;I2878)</f>
        <v/>
      </c>
      <c r="T2878" t="str">
        <f>IF(OR(C2878="",I2878&lt;&gt;"ENTRADA"),"",TEXT(B2878,"AAMMDD")&amp;"-"&amp;TEXT(VALUE(SUBSTITUTE(A2878,"MOV-","")),"000"))</f>
        <v/>
      </c>
    </row>
    <row r="2879" spans="18:20">
      <c r="R2879" s="22" t="str">
        <f>IF(H2879="","",H2879&amp;I2879)</f>
        <v/>
      </c>
      <c r="S2879" s="22" t="str">
        <f>IF(C2879="","",C2879&amp;I2879)</f>
        <v/>
      </c>
      <c r="T2879" t="str">
        <f>IF(OR(C2879="",I2879&lt;&gt;"ENTRADA"),"",TEXT(B2879,"AAMMDD")&amp;"-"&amp;TEXT(VALUE(SUBSTITUTE(A2879,"MOV-","")),"000"))</f>
        <v/>
      </c>
    </row>
    <row r="2880" spans="18:20">
      <c r="R2880" s="22" t="str">
        <f>IF(H2880="","",H2880&amp;I2880)</f>
        <v/>
      </c>
      <c r="S2880" s="22" t="str">
        <f>IF(C2880="","",C2880&amp;I2880)</f>
        <v/>
      </c>
      <c r="T2880" t="str">
        <f>IF(OR(C2880="",I2880&lt;&gt;"ENTRADA"),"",TEXT(B2880,"AAMMDD")&amp;"-"&amp;TEXT(VALUE(SUBSTITUTE(A2880,"MOV-","")),"000"))</f>
        <v/>
      </c>
    </row>
    <row r="2881" spans="18:20">
      <c r="R2881" s="22" t="str">
        <f>IF(H2881="","",H2881&amp;I2881)</f>
        <v/>
      </c>
      <c r="S2881" s="22" t="str">
        <f>IF(C2881="","",C2881&amp;I2881)</f>
        <v/>
      </c>
      <c r="T2881" t="str">
        <f>IF(OR(C2881="",I2881&lt;&gt;"ENTRADA"),"",TEXT(B2881,"AAMMDD")&amp;"-"&amp;TEXT(VALUE(SUBSTITUTE(A2881,"MOV-","")),"000"))</f>
        <v/>
      </c>
    </row>
    <row r="2882" spans="18:20">
      <c r="R2882" s="22" t="str">
        <f>IF(H2882="","",H2882&amp;I2882)</f>
        <v/>
      </c>
      <c r="S2882" s="22" t="str">
        <f>IF(C2882="","",C2882&amp;I2882)</f>
        <v/>
      </c>
      <c r="T2882" t="str">
        <f>IF(OR(C2882="",I2882&lt;&gt;"ENTRADA"),"",TEXT(B2882,"AAMMDD")&amp;"-"&amp;TEXT(VALUE(SUBSTITUTE(A2882,"MOV-","")),"000"))</f>
        <v/>
      </c>
    </row>
    <row r="2883" spans="18:20">
      <c r="R2883" s="22" t="str">
        <f>IF(H2883="","",H2883&amp;I2883)</f>
        <v/>
      </c>
      <c r="S2883" s="22" t="str">
        <f>IF(C2883="","",C2883&amp;I2883)</f>
        <v/>
      </c>
      <c r="T2883" t="str">
        <f>IF(OR(C2883="",I2883&lt;&gt;"ENTRADA"),"",TEXT(B2883,"AAMMDD")&amp;"-"&amp;TEXT(VALUE(SUBSTITUTE(A2883,"MOV-","")),"000"))</f>
        <v/>
      </c>
    </row>
    <row r="2884" spans="18:20">
      <c r="R2884" s="22" t="str">
        <f>IF(H2884="","",H2884&amp;I2884)</f>
        <v/>
      </c>
      <c r="S2884" s="22" t="str">
        <f>IF(C2884="","",C2884&amp;I2884)</f>
        <v/>
      </c>
      <c r="T2884" t="str">
        <f>IF(OR(C2884="",I2884&lt;&gt;"ENTRADA"),"",TEXT(B2884,"AAMMDD")&amp;"-"&amp;TEXT(VALUE(SUBSTITUTE(A2884,"MOV-","")),"000"))</f>
        <v/>
      </c>
    </row>
    <row r="2885" spans="18:20">
      <c r="R2885" s="22" t="str">
        <f>IF(H2885="","",H2885&amp;I2885)</f>
        <v/>
      </c>
      <c r="S2885" s="22" t="str">
        <f>IF(C2885="","",C2885&amp;I2885)</f>
        <v/>
      </c>
      <c r="T2885" t="str">
        <f>IF(OR(C2885="",I2885&lt;&gt;"ENTRADA"),"",TEXT(B2885,"AAMMDD")&amp;"-"&amp;TEXT(VALUE(SUBSTITUTE(A2885,"MOV-","")),"000"))</f>
        <v/>
      </c>
    </row>
    <row r="2886" spans="18:20">
      <c r="R2886" s="22" t="str">
        <f>IF(H2886="","",H2886&amp;I2886)</f>
        <v/>
      </c>
      <c r="S2886" s="22" t="str">
        <f>IF(C2886="","",C2886&amp;I2886)</f>
        <v/>
      </c>
      <c r="T2886" t="str">
        <f>IF(OR(C2886="",I2886&lt;&gt;"ENTRADA"),"",TEXT(B2886,"AAMMDD")&amp;"-"&amp;TEXT(VALUE(SUBSTITUTE(A2886,"MOV-","")),"000"))</f>
        <v/>
      </c>
    </row>
    <row r="2887" spans="18:20">
      <c r="R2887" s="22" t="str">
        <f>IF(H2887="","",H2887&amp;I2887)</f>
        <v/>
      </c>
      <c r="S2887" s="22" t="str">
        <f>IF(C2887="","",C2887&amp;I2887)</f>
        <v/>
      </c>
      <c r="T2887" t="str">
        <f>IF(OR(C2887="",I2887&lt;&gt;"ENTRADA"),"",TEXT(B2887,"AAMMDD")&amp;"-"&amp;TEXT(VALUE(SUBSTITUTE(A2887,"MOV-","")),"000"))</f>
        <v/>
      </c>
    </row>
    <row r="2888" spans="18:20">
      <c r="R2888" s="22" t="str">
        <f>IF(H2888="","",H2888&amp;I2888)</f>
        <v/>
      </c>
      <c r="S2888" s="22" t="str">
        <f>IF(C2888="","",C2888&amp;I2888)</f>
        <v/>
      </c>
      <c r="T2888" t="str">
        <f>IF(OR(C2888="",I2888&lt;&gt;"ENTRADA"),"",TEXT(B2888,"AAMMDD")&amp;"-"&amp;TEXT(VALUE(SUBSTITUTE(A2888,"MOV-","")),"000"))</f>
        <v/>
      </c>
    </row>
    <row r="2889" spans="18:20">
      <c r="R2889" s="22" t="str">
        <f>IF(H2889="","",H2889&amp;I2889)</f>
        <v/>
      </c>
      <c r="S2889" s="22" t="str">
        <f>IF(C2889="","",C2889&amp;I2889)</f>
        <v/>
      </c>
      <c r="T2889" t="str">
        <f>IF(OR(C2889="",I2889&lt;&gt;"ENTRADA"),"",TEXT(B2889,"AAMMDD")&amp;"-"&amp;TEXT(VALUE(SUBSTITUTE(A2889,"MOV-","")),"000"))</f>
        <v/>
      </c>
    </row>
    <row r="2890" spans="18:20">
      <c r="R2890" s="22" t="str">
        <f>IF(H2890="","",H2890&amp;I2890)</f>
        <v/>
      </c>
      <c r="S2890" s="22" t="str">
        <f>IF(C2890="","",C2890&amp;I2890)</f>
        <v/>
      </c>
      <c r="T2890" t="str">
        <f>IF(OR(C2890="",I2890&lt;&gt;"ENTRADA"),"",TEXT(B2890,"AAMMDD")&amp;"-"&amp;TEXT(VALUE(SUBSTITUTE(A2890,"MOV-","")),"000"))</f>
        <v/>
      </c>
    </row>
    <row r="2891" spans="18:20">
      <c r="R2891" s="22" t="str">
        <f>IF(H2891="","",H2891&amp;I2891)</f>
        <v/>
      </c>
      <c r="S2891" s="22" t="str">
        <f>IF(C2891="","",C2891&amp;I2891)</f>
        <v/>
      </c>
      <c r="T2891" t="str">
        <f>IF(OR(C2891="",I2891&lt;&gt;"ENTRADA"),"",TEXT(B2891,"AAMMDD")&amp;"-"&amp;TEXT(VALUE(SUBSTITUTE(A2891,"MOV-","")),"000"))</f>
        <v/>
      </c>
    </row>
    <row r="2892" spans="18:20">
      <c r="R2892" s="22" t="str">
        <f>IF(H2892="","",H2892&amp;I2892)</f>
        <v/>
      </c>
      <c r="S2892" s="22" t="str">
        <f>IF(C2892="","",C2892&amp;I2892)</f>
        <v/>
      </c>
      <c r="T2892" t="str">
        <f>IF(OR(C2892="",I2892&lt;&gt;"ENTRADA"),"",TEXT(B2892,"AAMMDD")&amp;"-"&amp;TEXT(VALUE(SUBSTITUTE(A2892,"MOV-","")),"000"))</f>
        <v/>
      </c>
    </row>
    <row r="2893" spans="18:20">
      <c r="R2893" s="22" t="str">
        <f>IF(H2893="","",H2893&amp;I2893)</f>
        <v/>
      </c>
      <c r="S2893" s="22" t="str">
        <f>IF(C2893="","",C2893&amp;I2893)</f>
        <v/>
      </c>
      <c r="T2893" t="str">
        <f>IF(OR(C2893="",I2893&lt;&gt;"ENTRADA"),"",TEXT(B2893,"AAMMDD")&amp;"-"&amp;TEXT(VALUE(SUBSTITUTE(A2893,"MOV-","")),"000"))</f>
        <v/>
      </c>
    </row>
    <row r="2894" spans="18:20">
      <c r="R2894" s="22" t="str">
        <f>IF(H2894="","",H2894&amp;I2894)</f>
        <v/>
      </c>
      <c r="S2894" s="22" t="str">
        <f>IF(C2894="","",C2894&amp;I2894)</f>
        <v/>
      </c>
      <c r="T2894" t="str">
        <f>IF(OR(C2894="",I2894&lt;&gt;"ENTRADA"),"",TEXT(B2894,"AAMMDD")&amp;"-"&amp;TEXT(VALUE(SUBSTITUTE(A2894,"MOV-","")),"000"))</f>
        <v/>
      </c>
    </row>
    <row r="2895" spans="18:20">
      <c r="R2895" s="22" t="str">
        <f>IF(H2895="","",H2895&amp;I2895)</f>
        <v/>
      </c>
      <c r="S2895" s="22" t="str">
        <f>IF(C2895="","",C2895&amp;I2895)</f>
        <v/>
      </c>
      <c r="T2895" t="str">
        <f>IF(OR(C2895="",I2895&lt;&gt;"ENTRADA"),"",TEXT(B2895,"AAMMDD")&amp;"-"&amp;TEXT(VALUE(SUBSTITUTE(A2895,"MOV-","")),"000"))</f>
        <v/>
      </c>
    </row>
    <row r="2896" spans="18:20">
      <c r="R2896" s="22" t="str">
        <f>IF(H2896="","",H2896&amp;I2896)</f>
        <v/>
      </c>
      <c r="S2896" s="22" t="str">
        <f>IF(C2896="","",C2896&amp;I2896)</f>
        <v/>
      </c>
      <c r="T2896" t="str">
        <f>IF(OR(C2896="",I2896&lt;&gt;"ENTRADA"),"",TEXT(B2896,"AAMMDD")&amp;"-"&amp;TEXT(VALUE(SUBSTITUTE(A2896,"MOV-","")),"000"))</f>
        <v/>
      </c>
    </row>
    <row r="2897" spans="18:20">
      <c r="R2897" s="22" t="str">
        <f>IF(H2897="","",H2897&amp;I2897)</f>
        <v/>
      </c>
      <c r="S2897" s="22" t="str">
        <f>IF(C2897="","",C2897&amp;I2897)</f>
        <v/>
      </c>
      <c r="T2897" t="str">
        <f>IF(OR(C2897="",I2897&lt;&gt;"ENTRADA"),"",TEXT(B2897,"AAMMDD")&amp;"-"&amp;TEXT(VALUE(SUBSTITUTE(A2897,"MOV-","")),"000"))</f>
        <v/>
      </c>
    </row>
    <row r="2898" spans="18:20">
      <c r="R2898" s="22" t="str">
        <f>IF(H2898="","",H2898&amp;I2898)</f>
        <v/>
      </c>
      <c r="S2898" s="22" t="str">
        <f>IF(C2898="","",C2898&amp;I2898)</f>
        <v/>
      </c>
      <c r="T2898" t="str">
        <f>IF(OR(C2898="",I2898&lt;&gt;"ENTRADA"),"",TEXT(B2898,"AAMMDD")&amp;"-"&amp;TEXT(VALUE(SUBSTITUTE(A2898,"MOV-","")),"000"))</f>
        <v/>
      </c>
    </row>
    <row r="2899" spans="18:20">
      <c r="R2899" s="22" t="str">
        <f>IF(H2899="","",H2899&amp;I2899)</f>
        <v/>
      </c>
      <c r="S2899" s="22" t="str">
        <f>IF(C2899="","",C2899&amp;I2899)</f>
        <v/>
      </c>
      <c r="T2899" t="str">
        <f>IF(OR(C2899="",I2899&lt;&gt;"ENTRADA"),"",TEXT(B2899,"AAMMDD")&amp;"-"&amp;TEXT(VALUE(SUBSTITUTE(A2899,"MOV-","")),"000"))</f>
        <v/>
      </c>
    </row>
    <row r="2900" spans="18:20">
      <c r="R2900" s="22" t="str">
        <f>IF(H2900="","",H2900&amp;I2900)</f>
        <v/>
      </c>
      <c r="S2900" s="22" t="str">
        <f>IF(C2900="","",C2900&amp;I2900)</f>
        <v/>
      </c>
      <c r="T2900" t="str">
        <f>IF(OR(C2900="",I2900&lt;&gt;"ENTRADA"),"",TEXT(B2900,"AAMMDD")&amp;"-"&amp;TEXT(VALUE(SUBSTITUTE(A2900,"MOV-","")),"000"))</f>
        <v/>
      </c>
    </row>
    <row r="2901" spans="18:20">
      <c r="R2901" s="22" t="str">
        <f>IF(H2901="","",H2901&amp;I2901)</f>
        <v/>
      </c>
      <c r="S2901" s="22" t="str">
        <f>IF(C2901="","",C2901&amp;I2901)</f>
        <v/>
      </c>
      <c r="T2901" t="str">
        <f>IF(OR(C2901="",I2901&lt;&gt;"ENTRADA"),"",TEXT(B2901,"AAMMDD")&amp;"-"&amp;TEXT(VALUE(SUBSTITUTE(A2901,"MOV-","")),"000"))</f>
        <v/>
      </c>
    </row>
    <row r="2902" spans="18:20">
      <c r="R2902" s="22" t="str">
        <f>IF(H2902="","",H2902&amp;I2902)</f>
        <v/>
      </c>
      <c r="S2902" s="22" t="str">
        <f>IF(C2902="","",C2902&amp;I2902)</f>
        <v/>
      </c>
      <c r="T2902" t="str">
        <f>IF(OR(C2902="",I2902&lt;&gt;"ENTRADA"),"",TEXT(B2902,"AAMMDD")&amp;"-"&amp;TEXT(VALUE(SUBSTITUTE(A2902,"MOV-","")),"000"))</f>
        <v/>
      </c>
    </row>
    <row r="2903" spans="18:20">
      <c r="R2903" s="22" t="str">
        <f>IF(H2903="","",H2903&amp;I2903)</f>
        <v/>
      </c>
      <c r="S2903" s="22" t="str">
        <f>IF(C2903="","",C2903&amp;I2903)</f>
        <v/>
      </c>
      <c r="T2903" t="str">
        <f>IF(OR(C2903="",I2903&lt;&gt;"ENTRADA"),"",TEXT(B2903,"AAMMDD")&amp;"-"&amp;TEXT(VALUE(SUBSTITUTE(A2903,"MOV-","")),"000"))</f>
        <v/>
      </c>
    </row>
    <row r="2904" spans="18:20">
      <c r="R2904" s="22" t="str">
        <f>IF(H2904="","",H2904&amp;I2904)</f>
        <v/>
      </c>
      <c r="S2904" s="22" t="str">
        <f>IF(C2904="","",C2904&amp;I2904)</f>
        <v/>
      </c>
      <c r="T2904" t="str">
        <f>IF(OR(C2904="",I2904&lt;&gt;"ENTRADA"),"",TEXT(B2904,"AAMMDD")&amp;"-"&amp;TEXT(VALUE(SUBSTITUTE(A2904,"MOV-","")),"000"))</f>
        <v/>
      </c>
    </row>
    <row r="2905" spans="18:20">
      <c r="R2905" s="22" t="str">
        <f>IF(H2905="","",H2905&amp;I2905)</f>
        <v/>
      </c>
      <c r="S2905" s="22" t="str">
        <f>IF(C2905="","",C2905&amp;I2905)</f>
        <v/>
      </c>
      <c r="T2905" t="str">
        <f>IF(OR(C2905="",I2905&lt;&gt;"ENTRADA"),"",TEXT(B2905,"AAMMDD")&amp;"-"&amp;TEXT(VALUE(SUBSTITUTE(A2905,"MOV-","")),"000"))</f>
        <v/>
      </c>
    </row>
    <row r="2906" spans="18:20">
      <c r="R2906" s="22" t="str">
        <f>IF(H2906="","",H2906&amp;I2906)</f>
        <v/>
      </c>
      <c r="S2906" s="22" t="str">
        <f>IF(C2906="","",C2906&amp;I2906)</f>
        <v/>
      </c>
      <c r="T2906" t="str">
        <f>IF(OR(C2906="",I2906&lt;&gt;"ENTRADA"),"",TEXT(B2906,"AAMMDD")&amp;"-"&amp;TEXT(VALUE(SUBSTITUTE(A2906,"MOV-","")),"000"))</f>
        <v/>
      </c>
    </row>
    <row r="2907" spans="18:20">
      <c r="R2907" s="22" t="str">
        <f>IF(H2907="","",H2907&amp;I2907)</f>
        <v/>
      </c>
      <c r="S2907" s="22" t="str">
        <f>IF(C2907="","",C2907&amp;I2907)</f>
        <v/>
      </c>
      <c r="T2907" t="str">
        <f>IF(OR(C2907="",I2907&lt;&gt;"ENTRADA"),"",TEXT(B2907,"AAMMDD")&amp;"-"&amp;TEXT(VALUE(SUBSTITUTE(A2907,"MOV-","")),"000"))</f>
        <v/>
      </c>
    </row>
    <row r="2908" spans="18:20">
      <c r="R2908" s="22" t="str">
        <f>IF(H2908="","",H2908&amp;I2908)</f>
        <v/>
      </c>
      <c r="S2908" s="22" t="str">
        <f>IF(C2908="","",C2908&amp;I2908)</f>
        <v/>
      </c>
      <c r="T2908" t="str">
        <f>IF(OR(C2908="",I2908&lt;&gt;"ENTRADA"),"",TEXT(B2908,"AAMMDD")&amp;"-"&amp;TEXT(VALUE(SUBSTITUTE(A2908,"MOV-","")),"000"))</f>
        <v/>
      </c>
    </row>
    <row r="2909" spans="18:20">
      <c r="R2909" s="22" t="str">
        <f>IF(H2909="","",H2909&amp;I2909)</f>
        <v/>
      </c>
      <c r="S2909" s="22" t="str">
        <f>IF(C2909="","",C2909&amp;I2909)</f>
        <v/>
      </c>
      <c r="T2909" t="str">
        <f>IF(OR(C2909="",I2909&lt;&gt;"ENTRADA"),"",TEXT(B2909,"AAMMDD")&amp;"-"&amp;TEXT(VALUE(SUBSTITUTE(A2909,"MOV-","")),"000"))</f>
        <v/>
      </c>
    </row>
    <row r="2910" spans="18:20">
      <c r="R2910" s="22" t="str">
        <f>IF(H2910="","",H2910&amp;I2910)</f>
        <v/>
      </c>
      <c r="S2910" s="22" t="str">
        <f>IF(C2910="","",C2910&amp;I2910)</f>
        <v/>
      </c>
      <c r="T2910" t="str">
        <f>IF(OR(C2910="",I2910&lt;&gt;"ENTRADA"),"",TEXT(B2910,"AAMMDD")&amp;"-"&amp;TEXT(VALUE(SUBSTITUTE(A2910,"MOV-","")),"000"))</f>
        <v/>
      </c>
    </row>
    <row r="2911" spans="18:20">
      <c r="R2911" s="22" t="str">
        <f>IF(H2911="","",H2911&amp;I2911)</f>
        <v/>
      </c>
      <c r="S2911" s="22" t="str">
        <f>IF(C2911="","",C2911&amp;I2911)</f>
        <v/>
      </c>
      <c r="T2911" t="str">
        <f>IF(OR(C2911="",I2911&lt;&gt;"ENTRADA"),"",TEXT(B2911,"AAMMDD")&amp;"-"&amp;TEXT(VALUE(SUBSTITUTE(A2911,"MOV-","")),"000"))</f>
        <v/>
      </c>
    </row>
    <row r="2912" spans="18:20">
      <c r="R2912" s="22" t="str">
        <f>IF(H2912="","",H2912&amp;I2912)</f>
        <v/>
      </c>
      <c r="S2912" s="22" t="str">
        <f>IF(C2912="","",C2912&amp;I2912)</f>
        <v/>
      </c>
      <c r="T2912" t="str">
        <f>IF(OR(C2912="",I2912&lt;&gt;"ENTRADA"),"",TEXT(B2912,"AAMMDD")&amp;"-"&amp;TEXT(VALUE(SUBSTITUTE(A2912,"MOV-","")),"000"))</f>
        <v/>
      </c>
    </row>
    <row r="2913" spans="18:20">
      <c r="R2913" s="22" t="str">
        <f>IF(H2913="","",H2913&amp;I2913)</f>
        <v/>
      </c>
      <c r="S2913" s="22" t="str">
        <f>IF(C2913="","",C2913&amp;I2913)</f>
        <v/>
      </c>
      <c r="T2913" t="str">
        <f>IF(OR(C2913="",I2913&lt;&gt;"ENTRADA"),"",TEXT(B2913,"AAMMDD")&amp;"-"&amp;TEXT(VALUE(SUBSTITUTE(A2913,"MOV-","")),"000"))</f>
        <v/>
      </c>
    </row>
    <row r="2914" spans="18:20">
      <c r="R2914" s="22" t="str">
        <f>IF(H2914="","",H2914&amp;I2914)</f>
        <v/>
      </c>
      <c r="S2914" s="22" t="str">
        <f>IF(C2914="","",C2914&amp;I2914)</f>
        <v/>
      </c>
      <c r="T2914" t="str">
        <f>IF(OR(C2914="",I2914&lt;&gt;"ENTRADA"),"",TEXT(B2914,"AAMMDD")&amp;"-"&amp;TEXT(VALUE(SUBSTITUTE(A2914,"MOV-","")),"000"))</f>
        <v/>
      </c>
    </row>
    <row r="2915" spans="18:20">
      <c r="R2915" s="22" t="str">
        <f>IF(H2915="","",H2915&amp;I2915)</f>
        <v/>
      </c>
      <c r="S2915" s="22" t="str">
        <f>IF(C2915="","",C2915&amp;I2915)</f>
        <v/>
      </c>
      <c r="T2915" t="str">
        <f>IF(OR(C2915="",I2915&lt;&gt;"ENTRADA"),"",TEXT(B2915,"AAMMDD")&amp;"-"&amp;TEXT(VALUE(SUBSTITUTE(A2915,"MOV-","")),"000"))</f>
        <v/>
      </c>
    </row>
    <row r="2916" spans="18:20">
      <c r="R2916" s="22" t="str">
        <f>IF(H2916="","",H2916&amp;I2916)</f>
        <v/>
      </c>
      <c r="S2916" s="22" t="str">
        <f>IF(C2916="","",C2916&amp;I2916)</f>
        <v/>
      </c>
      <c r="T2916" t="str">
        <f>IF(OR(C2916="",I2916&lt;&gt;"ENTRADA"),"",TEXT(B2916,"AAMMDD")&amp;"-"&amp;TEXT(VALUE(SUBSTITUTE(A2916,"MOV-","")),"000"))</f>
        <v/>
      </c>
    </row>
    <row r="2917" spans="18:20">
      <c r="R2917" s="22" t="str">
        <f>IF(H2917="","",H2917&amp;I2917)</f>
        <v/>
      </c>
      <c r="S2917" s="22" t="str">
        <f>IF(C2917="","",C2917&amp;I2917)</f>
        <v/>
      </c>
      <c r="T2917" t="str">
        <f>IF(OR(C2917="",I2917&lt;&gt;"ENTRADA"),"",TEXT(B2917,"AAMMDD")&amp;"-"&amp;TEXT(VALUE(SUBSTITUTE(A2917,"MOV-","")),"000"))</f>
        <v/>
      </c>
    </row>
    <row r="2918" spans="18:20">
      <c r="R2918" s="22" t="str">
        <f>IF(H2918="","",H2918&amp;I2918)</f>
        <v/>
      </c>
      <c r="S2918" s="22" t="str">
        <f>IF(C2918="","",C2918&amp;I2918)</f>
        <v/>
      </c>
      <c r="T2918" t="str">
        <f>IF(OR(C2918="",I2918&lt;&gt;"ENTRADA"),"",TEXT(B2918,"AAMMDD")&amp;"-"&amp;TEXT(VALUE(SUBSTITUTE(A2918,"MOV-","")),"000"))</f>
        <v/>
      </c>
    </row>
    <row r="2919" spans="18:20">
      <c r="R2919" s="22" t="str">
        <f>IF(H2919="","",H2919&amp;I2919)</f>
        <v/>
      </c>
      <c r="S2919" s="22" t="str">
        <f>IF(C2919="","",C2919&amp;I2919)</f>
        <v/>
      </c>
      <c r="T2919" t="str">
        <f>IF(OR(C2919="",I2919&lt;&gt;"ENTRADA"),"",TEXT(B2919,"AAMMDD")&amp;"-"&amp;TEXT(VALUE(SUBSTITUTE(A2919,"MOV-","")),"000"))</f>
        <v/>
      </c>
    </row>
    <row r="2920" spans="18:20">
      <c r="R2920" s="22" t="str">
        <f>IF(H2920="","",H2920&amp;I2920)</f>
        <v/>
      </c>
      <c r="S2920" s="22" t="str">
        <f>IF(C2920="","",C2920&amp;I2920)</f>
        <v/>
      </c>
      <c r="T2920" t="str">
        <f>IF(OR(C2920="",I2920&lt;&gt;"ENTRADA"),"",TEXT(B2920,"AAMMDD")&amp;"-"&amp;TEXT(VALUE(SUBSTITUTE(A2920,"MOV-","")),"000"))</f>
        <v/>
      </c>
    </row>
    <row r="2921" spans="18:20">
      <c r="R2921" s="22" t="str">
        <f>IF(H2921="","",H2921&amp;I2921)</f>
        <v/>
      </c>
      <c r="S2921" s="22" t="str">
        <f>IF(C2921="","",C2921&amp;I2921)</f>
        <v/>
      </c>
      <c r="T2921" t="str">
        <f>IF(OR(C2921="",I2921&lt;&gt;"ENTRADA"),"",TEXT(B2921,"AAMMDD")&amp;"-"&amp;TEXT(VALUE(SUBSTITUTE(A2921,"MOV-","")),"000"))</f>
        <v/>
      </c>
    </row>
    <row r="2922" spans="18:20">
      <c r="R2922" s="22" t="str">
        <f>IF(H2922="","",H2922&amp;I2922)</f>
        <v/>
      </c>
      <c r="S2922" s="22" t="str">
        <f>IF(C2922="","",C2922&amp;I2922)</f>
        <v/>
      </c>
      <c r="T2922" t="str">
        <f>IF(OR(C2922="",I2922&lt;&gt;"ENTRADA"),"",TEXT(B2922,"AAMMDD")&amp;"-"&amp;TEXT(VALUE(SUBSTITUTE(A2922,"MOV-","")),"000"))</f>
        <v/>
      </c>
    </row>
    <row r="2923" spans="18:20">
      <c r="R2923" s="22" t="str">
        <f>IF(H2923="","",H2923&amp;I2923)</f>
        <v/>
      </c>
      <c r="S2923" s="22" t="str">
        <f>IF(C2923="","",C2923&amp;I2923)</f>
        <v/>
      </c>
      <c r="T2923" t="str">
        <f>IF(OR(C2923="",I2923&lt;&gt;"ENTRADA"),"",TEXT(B2923,"AAMMDD")&amp;"-"&amp;TEXT(VALUE(SUBSTITUTE(A2923,"MOV-","")),"000"))</f>
        <v/>
      </c>
    </row>
    <row r="2924" spans="18:20">
      <c r="R2924" s="22" t="str">
        <f>IF(H2924="","",H2924&amp;I2924)</f>
        <v/>
      </c>
      <c r="S2924" s="22" t="str">
        <f>IF(C2924="","",C2924&amp;I2924)</f>
        <v/>
      </c>
      <c r="T2924" t="str">
        <f>IF(OR(C2924="",I2924&lt;&gt;"ENTRADA"),"",TEXT(B2924,"AAMMDD")&amp;"-"&amp;TEXT(VALUE(SUBSTITUTE(A2924,"MOV-","")),"000"))</f>
        <v/>
      </c>
    </row>
    <row r="2925" spans="18:20">
      <c r="R2925" s="22" t="str">
        <f>IF(H2925="","",H2925&amp;I2925)</f>
        <v/>
      </c>
      <c r="S2925" s="22" t="str">
        <f>IF(C2925="","",C2925&amp;I2925)</f>
        <v/>
      </c>
      <c r="T2925" t="str">
        <f>IF(OR(C2925="",I2925&lt;&gt;"ENTRADA"),"",TEXT(B2925,"AAMMDD")&amp;"-"&amp;TEXT(VALUE(SUBSTITUTE(A2925,"MOV-","")),"000"))</f>
        <v/>
      </c>
    </row>
    <row r="2926" spans="18:20">
      <c r="R2926" s="22" t="str">
        <f>IF(H2926="","",H2926&amp;I2926)</f>
        <v/>
      </c>
      <c r="S2926" s="22" t="str">
        <f>IF(C2926="","",C2926&amp;I2926)</f>
        <v/>
      </c>
      <c r="T2926" t="str">
        <f>IF(OR(C2926="",I2926&lt;&gt;"ENTRADA"),"",TEXT(B2926,"AAMMDD")&amp;"-"&amp;TEXT(VALUE(SUBSTITUTE(A2926,"MOV-","")),"000"))</f>
        <v/>
      </c>
    </row>
    <row r="2927" spans="18:20">
      <c r="R2927" s="22" t="str">
        <f>IF(H2927="","",H2927&amp;I2927)</f>
        <v/>
      </c>
      <c r="S2927" s="22" t="str">
        <f>IF(C2927="","",C2927&amp;I2927)</f>
        <v/>
      </c>
      <c r="T2927" t="str">
        <f>IF(OR(C2927="",I2927&lt;&gt;"ENTRADA"),"",TEXT(B2927,"AAMMDD")&amp;"-"&amp;TEXT(VALUE(SUBSTITUTE(A2927,"MOV-","")),"000"))</f>
        <v/>
      </c>
    </row>
    <row r="2928" spans="18:20">
      <c r="R2928" s="22" t="str">
        <f>IF(H2928="","",H2928&amp;I2928)</f>
        <v/>
      </c>
      <c r="S2928" s="22" t="str">
        <f>IF(C2928="","",C2928&amp;I2928)</f>
        <v/>
      </c>
      <c r="T2928" t="str">
        <f>IF(OR(C2928="",I2928&lt;&gt;"ENTRADA"),"",TEXT(B2928,"AAMMDD")&amp;"-"&amp;TEXT(VALUE(SUBSTITUTE(A2928,"MOV-","")),"000"))</f>
        <v/>
      </c>
    </row>
    <row r="2929" spans="18:20">
      <c r="R2929" s="22" t="str">
        <f>IF(H2929="","",H2929&amp;I2929)</f>
        <v/>
      </c>
      <c r="S2929" s="22" t="str">
        <f>IF(C2929="","",C2929&amp;I2929)</f>
        <v/>
      </c>
      <c r="T2929" t="str">
        <f>IF(OR(C2929="",I2929&lt;&gt;"ENTRADA"),"",TEXT(B2929,"AAMMDD")&amp;"-"&amp;TEXT(VALUE(SUBSTITUTE(A2929,"MOV-","")),"000"))</f>
        <v/>
      </c>
    </row>
    <row r="2930" spans="18:20">
      <c r="R2930" s="22" t="str">
        <f>IF(H2930="","",H2930&amp;I2930)</f>
        <v/>
      </c>
      <c r="S2930" s="22" t="str">
        <f>IF(C2930="","",C2930&amp;I2930)</f>
        <v/>
      </c>
      <c r="T2930" t="str">
        <f>IF(OR(C2930="",I2930&lt;&gt;"ENTRADA"),"",TEXT(B2930,"AAMMDD")&amp;"-"&amp;TEXT(VALUE(SUBSTITUTE(A2930,"MOV-","")),"000"))</f>
        <v/>
      </c>
    </row>
    <row r="2931" spans="18:20">
      <c r="R2931" s="22" t="str">
        <f>IF(H2931="","",H2931&amp;I2931)</f>
        <v/>
      </c>
      <c r="S2931" s="22" t="str">
        <f>IF(C2931="","",C2931&amp;I2931)</f>
        <v/>
      </c>
      <c r="T2931" t="str">
        <f>IF(OR(C2931="",I2931&lt;&gt;"ENTRADA"),"",TEXT(B2931,"AAMMDD")&amp;"-"&amp;TEXT(VALUE(SUBSTITUTE(A2931,"MOV-","")),"000"))</f>
        <v/>
      </c>
    </row>
    <row r="2932" spans="18:20">
      <c r="R2932" s="22" t="str">
        <f>IF(H2932="","",H2932&amp;I2932)</f>
        <v/>
      </c>
      <c r="S2932" s="22" t="str">
        <f>IF(C2932="","",C2932&amp;I2932)</f>
        <v/>
      </c>
      <c r="T2932" t="str">
        <f>IF(OR(C2932="",I2932&lt;&gt;"ENTRADA"),"",TEXT(B2932,"AAMMDD")&amp;"-"&amp;TEXT(VALUE(SUBSTITUTE(A2932,"MOV-","")),"000"))</f>
        <v/>
      </c>
    </row>
    <row r="2933" spans="18:20">
      <c r="R2933" s="22" t="str">
        <f>IF(H2933="","",H2933&amp;I2933)</f>
        <v/>
      </c>
      <c r="S2933" s="22" t="str">
        <f>IF(C2933="","",C2933&amp;I2933)</f>
        <v/>
      </c>
      <c r="T2933" t="str">
        <f>IF(OR(C2933="",I2933&lt;&gt;"ENTRADA"),"",TEXT(B2933,"AAMMDD")&amp;"-"&amp;TEXT(VALUE(SUBSTITUTE(A2933,"MOV-","")),"000"))</f>
        <v/>
      </c>
    </row>
    <row r="2934" spans="18:20">
      <c r="R2934" s="22" t="str">
        <f>IF(H2934="","",H2934&amp;I2934)</f>
        <v/>
      </c>
      <c r="S2934" s="22" t="str">
        <f>IF(C2934="","",C2934&amp;I2934)</f>
        <v/>
      </c>
      <c r="T2934" t="str">
        <f>IF(OR(C2934="",I2934&lt;&gt;"ENTRADA"),"",TEXT(B2934,"AAMMDD")&amp;"-"&amp;TEXT(VALUE(SUBSTITUTE(A2934,"MOV-","")),"000"))</f>
        <v/>
      </c>
    </row>
    <row r="2935" spans="18:20">
      <c r="R2935" s="22" t="str">
        <f>IF(H2935="","",H2935&amp;I2935)</f>
        <v/>
      </c>
      <c r="S2935" s="22" t="str">
        <f>IF(C2935="","",C2935&amp;I2935)</f>
        <v/>
      </c>
      <c r="T2935" t="str">
        <f>IF(OR(C2935="",I2935&lt;&gt;"ENTRADA"),"",TEXT(B2935,"AAMMDD")&amp;"-"&amp;TEXT(VALUE(SUBSTITUTE(A2935,"MOV-","")),"000"))</f>
        <v/>
      </c>
    </row>
    <row r="2936" spans="18:20">
      <c r="R2936" s="22" t="str">
        <f>IF(H2936="","",H2936&amp;I2936)</f>
        <v/>
      </c>
      <c r="S2936" s="22" t="str">
        <f>IF(C2936="","",C2936&amp;I2936)</f>
        <v/>
      </c>
      <c r="T2936" t="str">
        <f>IF(OR(C2936="",I2936&lt;&gt;"ENTRADA"),"",TEXT(B2936,"AAMMDD")&amp;"-"&amp;TEXT(VALUE(SUBSTITUTE(A2936,"MOV-","")),"000"))</f>
        <v/>
      </c>
    </row>
    <row r="2937" spans="18:20">
      <c r="R2937" s="22" t="str">
        <f>IF(H2937="","",H2937&amp;I2937)</f>
        <v/>
      </c>
      <c r="S2937" s="22" t="str">
        <f>IF(C2937="","",C2937&amp;I2937)</f>
        <v/>
      </c>
      <c r="T2937" t="str">
        <f>IF(OR(C2937="",I2937&lt;&gt;"ENTRADA"),"",TEXT(B2937,"AAMMDD")&amp;"-"&amp;TEXT(VALUE(SUBSTITUTE(A2937,"MOV-","")),"000"))</f>
        <v/>
      </c>
    </row>
    <row r="2938" spans="18:20">
      <c r="R2938" s="22" t="str">
        <f>IF(H2938="","",H2938&amp;I2938)</f>
        <v/>
      </c>
      <c r="S2938" s="22" t="str">
        <f>IF(C2938="","",C2938&amp;I2938)</f>
        <v/>
      </c>
      <c r="T2938" t="str">
        <f>IF(OR(C2938="",I2938&lt;&gt;"ENTRADA"),"",TEXT(B2938,"AAMMDD")&amp;"-"&amp;TEXT(VALUE(SUBSTITUTE(A2938,"MOV-","")),"000"))</f>
        <v/>
      </c>
    </row>
    <row r="2939" spans="18:20">
      <c r="R2939" s="22" t="str">
        <f>IF(H2939="","",H2939&amp;I2939)</f>
        <v/>
      </c>
      <c r="S2939" s="22" t="str">
        <f>IF(C2939="","",C2939&amp;I2939)</f>
        <v/>
      </c>
      <c r="T2939" t="str">
        <f>IF(OR(C2939="",I2939&lt;&gt;"ENTRADA"),"",TEXT(B2939,"AAMMDD")&amp;"-"&amp;TEXT(VALUE(SUBSTITUTE(A2939,"MOV-","")),"000"))</f>
        <v/>
      </c>
    </row>
    <row r="2940" spans="18:20">
      <c r="R2940" s="22" t="str">
        <f>IF(H2940="","",H2940&amp;I2940)</f>
        <v/>
      </c>
      <c r="S2940" s="22" t="str">
        <f>IF(C2940="","",C2940&amp;I2940)</f>
        <v/>
      </c>
      <c r="T2940" t="str">
        <f>IF(OR(C2940="",I2940&lt;&gt;"ENTRADA"),"",TEXT(B2940,"AAMMDD")&amp;"-"&amp;TEXT(VALUE(SUBSTITUTE(A2940,"MOV-","")),"000"))</f>
        <v/>
      </c>
    </row>
    <row r="2941" spans="18:20">
      <c r="R2941" s="22" t="str">
        <f>IF(H2941="","",H2941&amp;I2941)</f>
        <v/>
      </c>
      <c r="S2941" s="22" t="str">
        <f>IF(C2941="","",C2941&amp;I2941)</f>
        <v/>
      </c>
      <c r="T2941" t="str">
        <f>IF(OR(C2941="",I2941&lt;&gt;"ENTRADA"),"",TEXT(B2941,"AAMMDD")&amp;"-"&amp;TEXT(VALUE(SUBSTITUTE(A2941,"MOV-","")),"000"))</f>
        <v/>
      </c>
    </row>
    <row r="2942" spans="18:20">
      <c r="R2942" s="22" t="str">
        <f>IF(H2942="","",H2942&amp;I2942)</f>
        <v/>
      </c>
      <c r="S2942" s="22" t="str">
        <f>IF(C2942="","",C2942&amp;I2942)</f>
        <v/>
      </c>
      <c r="T2942" t="str">
        <f>IF(OR(C2942="",I2942&lt;&gt;"ENTRADA"),"",TEXT(B2942,"AAMMDD")&amp;"-"&amp;TEXT(VALUE(SUBSTITUTE(A2942,"MOV-","")),"000"))</f>
        <v/>
      </c>
    </row>
    <row r="2943" spans="18:20">
      <c r="R2943" s="22" t="str">
        <f>IF(H2943="","",H2943&amp;I2943)</f>
        <v/>
      </c>
      <c r="S2943" s="22" t="str">
        <f>IF(C2943="","",C2943&amp;I2943)</f>
        <v/>
      </c>
      <c r="T2943" t="str">
        <f>IF(OR(C2943="",I2943&lt;&gt;"ENTRADA"),"",TEXT(B2943,"AAMMDD")&amp;"-"&amp;TEXT(VALUE(SUBSTITUTE(A2943,"MOV-","")),"000"))</f>
        <v/>
      </c>
    </row>
    <row r="2944" spans="18:20">
      <c r="R2944" s="22" t="str">
        <f>IF(H2944="","",H2944&amp;I2944)</f>
        <v/>
      </c>
      <c r="S2944" s="22" t="str">
        <f>IF(C2944="","",C2944&amp;I2944)</f>
        <v/>
      </c>
      <c r="T2944" t="str">
        <f>IF(OR(C2944="",I2944&lt;&gt;"ENTRADA"),"",TEXT(B2944,"AAMMDD")&amp;"-"&amp;TEXT(VALUE(SUBSTITUTE(A2944,"MOV-","")),"000"))</f>
        <v/>
      </c>
    </row>
    <row r="2945" spans="18:20">
      <c r="R2945" s="22" t="str">
        <f>IF(H2945="","",H2945&amp;I2945)</f>
        <v/>
      </c>
      <c r="S2945" s="22" t="str">
        <f>IF(C2945="","",C2945&amp;I2945)</f>
        <v/>
      </c>
      <c r="T2945" t="str">
        <f>IF(OR(C2945="",I2945&lt;&gt;"ENTRADA"),"",TEXT(B2945,"AAMMDD")&amp;"-"&amp;TEXT(VALUE(SUBSTITUTE(A2945,"MOV-","")),"000"))</f>
        <v/>
      </c>
    </row>
    <row r="2946" spans="18:20">
      <c r="R2946" s="22" t="str">
        <f>IF(H2946="","",H2946&amp;I2946)</f>
        <v/>
      </c>
      <c r="S2946" s="22" t="str">
        <f>IF(C2946="","",C2946&amp;I2946)</f>
        <v/>
      </c>
      <c r="T2946" t="str">
        <f>IF(OR(C2946="",I2946&lt;&gt;"ENTRADA"),"",TEXT(B2946,"AAMMDD")&amp;"-"&amp;TEXT(VALUE(SUBSTITUTE(A2946,"MOV-","")),"000"))</f>
        <v/>
      </c>
    </row>
    <row r="2947" spans="18:20">
      <c r="R2947" s="22" t="str">
        <f>IF(H2947="","",H2947&amp;I2947)</f>
        <v/>
      </c>
      <c r="S2947" s="22" t="str">
        <f>IF(C2947="","",C2947&amp;I2947)</f>
        <v/>
      </c>
      <c r="T2947" t="str">
        <f>IF(OR(C2947="",I2947&lt;&gt;"ENTRADA"),"",TEXT(B2947,"AAMMDD")&amp;"-"&amp;TEXT(VALUE(SUBSTITUTE(A2947,"MOV-","")),"000"))</f>
        <v/>
      </c>
    </row>
    <row r="2948" spans="18:20">
      <c r="R2948" s="22" t="str">
        <f>IF(H2948="","",H2948&amp;I2948)</f>
        <v/>
      </c>
      <c r="S2948" s="22" t="str">
        <f>IF(C2948="","",C2948&amp;I2948)</f>
        <v/>
      </c>
      <c r="T2948" t="str">
        <f>IF(OR(C2948="",I2948&lt;&gt;"ENTRADA"),"",TEXT(B2948,"AAMMDD")&amp;"-"&amp;TEXT(VALUE(SUBSTITUTE(A2948,"MOV-","")),"000"))</f>
        <v/>
      </c>
    </row>
    <row r="2949" spans="18:20">
      <c r="R2949" s="22" t="str">
        <f>IF(H2949="","",H2949&amp;I2949)</f>
        <v/>
      </c>
      <c r="S2949" s="22" t="str">
        <f>IF(C2949="","",C2949&amp;I2949)</f>
        <v/>
      </c>
      <c r="T2949" t="str">
        <f>IF(OR(C2949="",I2949&lt;&gt;"ENTRADA"),"",TEXT(B2949,"AAMMDD")&amp;"-"&amp;TEXT(VALUE(SUBSTITUTE(A2949,"MOV-","")),"000"))</f>
        <v/>
      </c>
    </row>
    <row r="2950" spans="18:20">
      <c r="R2950" s="22" t="str">
        <f>IF(H2950="","",H2950&amp;I2950)</f>
        <v/>
      </c>
      <c r="S2950" s="22" t="str">
        <f>IF(C2950="","",C2950&amp;I2950)</f>
        <v/>
      </c>
      <c r="T2950" t="str">
        <f>IF(OR(C2950="",I2950&lt;&gt;"ENTRADA"),"",TEXT(B2950,"AAMMDD")&amp;"-"&amp;TEXT(VALUE(SUBSTITUTE(A2950,"MOV-","")),"000"))</f>
        <v/>
      </c>
    </row>
    <row r="2951" spans="18:20">
      <c r="R2951" s="22" t="str">
        <f>IF(H2951="","",H2951&amp;I2951)</f>
        <v/>
      </c>
      <c r="S2951" s="22" t="str">
        <f>IF(C2951="","",C2951&amp;I2951)</f>
        <v/>
      </c>
      <c r="T2951" t="str">
        <f>IF(OR(C2951="",I2951&lt;&gt;"ENTRADA"),"",TEXT(B2951,"AAMMDD")&amp;"-"&amp;TEXT(VALUE(SUBSTITUTE(A2951,"MOV-","")),"000"))</f>
        <v/>
      </c>
    </row>
    <row r="2952" spans="18:20">
      <c r="R2952" s="22" t="str">
        <f>IF(H2952="","",H2952&amp;I2952)</f>
        <v/>
      </c>
      <c r="S2952" s="22" t="str">
        <f>IF(C2952="","",C2952&amp;I2952)</f>
        <v/>
      </c>
      <c r="T2952" t="str">
        <f>IF(OR(C2952="",I2952&lt;&gt;"ENTRADA"),"",TEXT(B2952,"AAMMDD")&amp;"-"&amp;TEXT(VALUE(SUBSTITUTE(A2952,"MOV-","")),"000"))</f>
        <v/>
      </c>
    </row>
    <row r="2953" spans="18:20">
      <c r="R2953" s="22" t="str">
        <f>IF(H2953="","",H2953&amp;I2953)</f>
        <v/>
      </c>
      <c r="S2953" s="22" t="str">
        <f>IF(C2953="","",C2953&amp;I2953)</f>
        <v/>
      </c>
      <c r="T2953" t="str">
        <f>IF(OR(C2953="",I2953&lt;&gt;"ENTRADA"),"",TEXT(B2953,"AAMMDD")&amp;"-"&amp;TEXT(VALUE(SUBSTITUTE(A2953,"MOV-","")),"000"))</f>
        <v/>
      </c>
    </row>
    <row r="2954" spans="18:20">
      <c r="R2954" s="22" t="str">
        <f>IF(H2954="","",H2954&amp;I2954)</f>
        <v/>
      </c>
      <c r="S2954" s="22" t="str">
        <f>IF(C2954="","",C2954&amp;I2954)</f>
        <v/>
      </c>
      <c r="T2954" t="str">
        <f>IF(OR(C2954="",I2954&lt;&gt;"ENTRADA"),"",TEXT(B2954,"AAMMDD")&amp;"-"&amp;TEXT(VALUE(SUBSTITUTE(A2954,"MOV-","")),"000"))</f>
        <v/>
      </c>
    </row>
    <row r="2955" spans="18:20">
      <c r="R2955" s="22" t="str">
        <f>IF(H2955="","",H2955&amp;I2955)</f>
        <v/>
      </c>
      <c r="S2955" s="22" t="str">
        <f>IF(C2955="","",C2955&amp;I2955)</f>
        <v/>
      </c>
      <c r="T2955" t="str">
        <f>IF(OR(C2955="",I2955&lt;&gt;"ENTRADA"),"",TEXT(B2955,"AAMMDD")&amp;"-"&amp;TEXT(VALUE(SUBSTITUTE(A2955,"MOV-","")),"000"))</f>
        <v/>
      </c>
    </row>
    <row r="2956" spans="18:20">
      <c r="R2956" s="22" t="str">
        <f>IF(H2956="","",H2956&amp;I2956)</f>
        <v/>
      </c>
      <c r="S2956" s="22" t="str">
        <f>IF(C2956="","",C2956&amp;I2956)</f>
        <v/>
      </c>
      <c r="T2956" t="str">
        <f>IF(OR(C2956="",I2956&lt;&gt;"ENTRADA"),"",TEXT(B2956,"AAMMDD")&amp;"-"&amp;TEXT(VALUE(SUBSTITUTE(A2956,"MOV-","")),"000"))</f>
        <v/>
      </c>
    </row>
    <row r="2957" spans="18:20">
      <c r="R2957" s="22" t="str">
        <f>IF(H2957="","",H2957&amp;I2957)</f>
        <v/>
      </c>
      <c r="S2957" s="22" t="str">
        <f>IF(C2957="","",C2957&amp;I2957)</f>
        <v/>
      </c>
      <c r="T2957" t="str">
        <f>IF(OR(C2957="",I2957&lt;&gt;"ENTRADA"),"",TEXT(B2957,"AAMMDD")&amp;"-"&amp;TEXT(VALUE(SUBSTITUTE(A2957,"MOV-","")),"000"))</f>
        <v/>
      </c>
    </row>
    <row r="2958" spans="18:20">
      <c r="R2958" s="22" t="str">
        <f>IF(H2958="","",H2958&amp;I2958)</f>
        <v/>
      </c>
      <c r="S2958" s="22" t="str">
        <f>IF(C2958="","",C2958&amp;I2958)</f>
        <v/>
      </c>
      <c r="T2958" t="str">
        <f>IF(OR(C2958="",I2958&lt;&gt;"ENTRADA"),"",TEXT(B2958,"AAMMDD")&amp;"-"&amp;TEXT(VALUE(SUBSTITUTE(A2958,"MOV-","")),"000"))</f>
        <v/>
      </c>
    </row>
    <row r="2959" spans="18:20">
      <c r="R2959" s="22" t="str">
        <f>IF(H2959="","",H2959&amp;I2959)</f>
        <v/>
      </c>
      <c r="S2959" s="22" t="str">
        <f>IF(C2959="","",C2959&amp;I2959)</f>
        <v/>
      </c>
      <c r="T2959" t="str">
        <f>IF(OR(C2959="",I2959&lt;&gt;"ENTRADA"),"",TEXT(B2959,"AAMMDD")&amp;"-"&amp;TEXT(VALUE(SUBSTITUTE(A2959,"MOV-","")),"000"))</f>
        <v/>
      </c>
    </row>
    <row r="2960" spans="18:20">
      <c r="R2960" s="22" t="str">
        <f>IF(H2960="","",H2960&amp;I2960)</f>
        <v/>
      </c>
      <c r="S2960" s="22" t="str">
        <f>IF(C2960="","",C2960&amp;I2960)</f>
        <v/>
      </c>
      <c r="T2960" t="str">
        <f>IF(OR(C2960="",I2960&lt;&gt;"ENTRADA"),"",TEXT(B2960,"AAMMDD")&amp;"-"&amp;TEXT(VALUE(SUBSTITUTE(A2960,"MOV-","")),"000"))</f>
        <v/>
      </c>
    </row>
    <row r="2961" spans="18:20">
      <c r="R2961" s="22" t="str">
        <f>IF(H2961="","",H2961&amp;I2961)</f>
        <v/>
      </c>
      <c r="S2961" s="22" t="str">
        <f>IF(C2961="","",C2961&amp;I2961)</f>
        <v/>
      </c>
      <c r="T2961" t="str">
        <f>IF(OR(C2961="",I2961&lt;&gt;"ENTRADA"),"",TEXT(B2961,"AAMMDD")&amp;"-"&amp;TEXT(VALUE(SUBSTITUTE(A2961,"MOV-","")),"000"))</f>
        <v/>
      </c>
    </row>
    <row r="2962" spans="18:20">
      <c r="R2962" s="22" t="str">
        <f>IF(H2962="","",H2962&amp;I2962)</f>
        <v/>
      </c>
      <c r="S2962" s="22" t="str">
        <f>IF(C2962="","",C2962&amp;I2962)</f>
        <v/>
      </c>
      <c r="T2962" t="str">
        <f>IF(OR(C2962="",I2962&lt;&gt;"ENTRADA"),"",TEXT(B2962,"AAMMDD")&amp;"-"&amp;TEXT(VALUE(SUBSTITUTE(A2962,"MOV-","")),"000"))</f>
        <v/>
      </c>
    </row>
    <row r="2963" spans="18:20">
      <c r="R2963" s="22" t="str">
        <f>IF(H2963="","",H2963&amp;I2963)</f>
        <v/>
      </c>
      <c r="S2963" s="22" t="str">
        <f>IF(C2963="","",C2963&amp;I2963)</f>
        <v/>
      </c>
      <c r="T2963" t="str">
        <f>IF(OR(C2963="",I2963&lt;&gt;"ENTRADA"),"",TEXT(B2963,"AAMMDD")&amp;"-"&amp;TEXT(VALUE(SUBSTITUTE(A2963,"MOV-","")),"000"))</f>
        <v/>
      </c>
    </row>
    <row r="2964" spans="18:20">
      <c r="R2964" s="22" t="str">
        <f>IF(H2964="","",H2964&amp;I2964)</f>
        <v/>
      </c>
      <c r="S2964" s="22" t="str">
        <f>IF(C2964="","",C2964&amp;I2964)</f>
        <v/>
      </c>
      <c r="T2964" t="str">
        <f>IF(OR(C2964="",I2964&lt;&gt;"ENTRADA"),"",TEXT(B2964,"AAMMDD")&amp;"-"&amp;TEXT(VALUE(SUBSTITUTE(A2964,"MOV-","")),"000"))</f>
        <v/>
      </c>
    </row>
    <row r="2965" spans="18:20">
      <c r="R2965" s="22" t="str">
        <f>IF(H2965="","",H2965&amp;I2965)</f>
        <v/>
      </c>
      <c r="S2965" s="22" t="str">
        <f>IF(C2965="","",C2965&amp;I2965)</f>
        <v/>
      </c>
      <c r="T2965" t="str">
        <f>IF(OR(C2965="",I2965&lt;&gt;"ENTRADA"),"",TEXT(B2965,"AAMMDD")&amp;"-"&amp;TEXT(VALUE(SUBSTITUTE(A2965,"MOV-","")),"000"))</f>
        <v/>
      </c>
    </row>
    <row r="2966" spans="18:20">
      <c r="R2966" s="22" t="str">
        <f>IF(H2966="","",H2966&amp;I2966)</f>
        <v/>
      </c>
      <c r="S2966" s="22" t="str">
        <f>IF(C2966="","",C2966&amp;I2966)</f>
        <v/>
      </c>
      <c r="T2966" t="str">
        <f>IF(OR(C2966="",I2966&lt;&gt;"ENTRADA"),"",TEXT(B2966,"AAMMDD")&amp;"-"&amp;TEXT(VALUE(SUBSTITUTE(A2966,"MOV-","")),"000"))</f>
        <v/>
      </c>
    </row>
    <row r="2967" spans="18:20">
      <c r="R2967" s="22" t="str">
        <f>IF(H2967="","",H2967&amp;I2967)</f>
        <v/>
      </c>
      <c r="S2967" s="22" t="str">
        <f>IF(C2967="","",C2967&amp;I2967)</f>
        <v/>
      </c>
      <c r="T2967" t="str">
        <f>IF(OR(C2967="",I2967&lt;&gt;"ENTRADA"),"",TEXT(B2967,"AAMMDD")&amp;"-"&amp;TEXT(VALUE(SUBSTITUTE(A2967,"MOV-","")),"000"))</f>
        <v/>
      </c>
    </row>
    <row r="2968" spans="18:20">
      <c r="R2968" s="22" t="str">
        <f>IF(H2968="","",H2968&amp;I2968)</f>
        <v/>
      </c>
      <c r="S2968" s="22" t="str">
        <f>IF(C2968="","",C2968&amp;I2968)</f>
        <v/>
      </c>
      <c r="T2968" t="str">
        <f>IF(OR(C2968="",I2968&lt;&gt;"ENTRADA"),"",TEXT(B2968,"AAMMDD")&amp;"-"&amp;TEXT(VALUE(SUBSTITUTE(A2968,"MOV-","")),"000"))</f>
        <v/>
      </c>
    </row>
    <row r="2969" spans="18:20">
      <c r="R2969" s="22" t="str">
        <f>IF(H2969="","",H2969&amp;I2969)</f>
        <v/>
      </c>
      <c r="S2969" s="22" t="str">
        <f>IF(C2969="","",C2969&amp;I2969)</f>
        <v/>
      </c>
      <c r="T2969" t="str">
        <f>IF(OR(C2969="",I2969&lt;&gt;"ENTRADA"),"",TEXT(B2969,"AAMMDD")&amp;"-"&amp;TEXT(VALUE(SUBSTITUTE(A2969,"MOV-","")),"000"))</f>
        <v/>
      </c>
    </row>
    <row r="2970" spans="18:20">
      <c r="R2970" s="22" t="str">
        <f>IF(H2970="","",H2970&amp;I2970)</f>
        <v/>
      </c>
      <c r="S2970" s="22" t="str">
        <f>IF(C2970="","",C2970&amp;I2970)</f>
        <v/>
      </c>
      <c r="T2970" t="str">
        <f>IF(OR(C2970="",I2970&lt;&gt;"ENTRADA"),"",TEXT(B2970,"AAMMDD")&amp;"-"&amp;TEXT(VALUE(SUBSTITUTE(A2970,"MOV-","")),"000"))</f>
        <v/>
      </c>
    </row>
    <row r="2971" spans="18:20">
      <c r="R2971" s="22" t="str">
        <f>IF(H2971="","",H2971&amp;I2971)</f>
        <v/>
      </c>
      <c r="S2971" s="22" t="str">
        <f>IF(C2971="","",C2971&amp;I2971)</f>
        <v/>
      </c>
      <c r="T2971" t="str">
        <f>IF(OR(C2971="",I2971&lt;&gt;"ENTRADA"),"",TEXT(B2971,"AAMMDD")&amp;"-"&amp;TEXT(VALUE(SUBSTITUTE(A2971,"MOV-","")),"000"))</f>
        <v/>
      </c>
    </row>
    <row r="2972" spans="18:20">
      <c r="R2972" s="22" t="str">
        <f>IF(H2972="","",H2972&amp;I2972)</f>
        <v/>
      </c>
      <c r="S2972" s="22" t="str">
        <f>IF(C2972="","",C2972&amp;I2972)</f>
        <v/>
      </c>
      <c r="T2972" t="str">
        <f>IF(OR(C2972="",I2972&lt;&gt;"ENTRADA"),"",TEXT(B2972,"AAMMDD")&amp;"-"&amp;TEXT(VALUE(SUBSTITUTE(A2972,"MOV-","")),"000"))</f>
        <v/>
      </c>
    </row>
    <row r="2973" spans="18:20">
      <c r="R2973" s="22" t="str">
        <f>IF(H2973="","",H2973&amp;I2973)</f>
        <v/>
      </c>
      <c r="S2973" s="22" t="str">
        <f>IF(C2973="","",C2973&amp;I2973)</f>
        <v/>
      </c>
      <c r="T2973" t="str">
        <f>IF(OR(C2973="",I2973&lt;&gt;"ENTRADA"),"",TEXT(B2973,"AAMMDD")&amp;"-"&amp;TEXT(VALUE(SUBSTITUTE(A2973,"MOV-","")),"000"))</f>
        <v/>
      </c>
    </row>
    <row r="2974" spans="18:20">
      <c r="R2974" s="22" t="str">
        <f>IF(H2974="","",H2974&amp;I2974)</f>
        <v/>
      </c>
      <c r="S2974" s="22" t="str">
        <f>IF(C2974="","",C2974&amp;I2974)</f>
        <v/>
      </c>
      <c r="T2974" t="str">
        <f>IF(OR(C2974="",I2974&lt;&gt;"ENTRADA"),"",TEXT(B2974,"AAMMDD")&amp;"-"&amp;TEXT(VALUE(SUBSTITUTE(A2974,"MOV-","")),"000"))</f>
        <v/>
      </c>
    </row>
    <row r="2975" spans="18:20">
      <c r="R2975" s="22" t="str">
        <f>IF(H2975="","",H2975&amp;I2975)</f>
        <v/>
      </c>
      <c r="S2975" s="22" t="str">
        <f>IF(C2975="","",C2975&amp;I2975)</f>
        <v/>
      </c>
      <c r="T2975" t="str">
        <f>IF(OR(C2975="",I2975&lt;&gt;"ENTRADA"),"",TEXT(B2975,"AAMMDD")&amp;"-"&amp;TEXT(VALUE(SUBSTITUTE(A2975,"MOV-","")),"000"))</f>
        <v/>
      </c>
    </row>
    <row r="2976" spans="18:20">
      <c r="R2976" s="22" t="str">
        <f>IF(H2976="","",H2976&amp;I2976)</f>
        <v/>
      </c>
      <c r="S2976" s="22" t="str">
        <f>IF(C2976="","",C2976&amp;I2976)</f>
        <v/>
      </c>
      <c r="T2976" t="str">
        <f>IF(OR(C2976="",I2976&lt;&gt;"ENTRADA"),"",TEXT(B2976,"AAMMDD")&amp;"-"&amp;TEXT(VALUE(SUBSTITUTE(A2976,"MOV-","")),"000"))</f>
        <v/>
      </c>
    </row>
    <row r="2977" spans="18:20">
      <c r="R2977" s="22" t="str">
        <f>IF(H2977="","",H2977&amp;I2977)</f>
        <v/>
      </c>
      <c r="S2977" s="22" t="str">
        <f>IF(C2977="","",C2977&amp;I2977)</f>
        <v/>
      </c>
      <c r="T2977" t="str">
        <f>IF(OR(C2977="",I2977&lt;&gt;"ENTRADA"),"",TEXT(B2977,"AAMMDD")&amp;"-"&amp;TEXT(VALUE(SUBSTITUTE(A2977,"MOV-","")),"000"))</f>
        <v/>
      </c>
    </row>
    <row r="2978" spans="18:20">
      <c r="R2978" s="22" t="str">
        <f>IF(H2978="","",H2978&amp;I2978)</f>
        <v/>
      </c>
      <c r="S2978" s="22" t="str">
        <f>IF(C2978="","",C2978&amp;I2978)</f>
        <v/>
      </c>
      <c r="T2978" t="str">
        <f>IF(OR(C2978="",I2978&lt;&gt;"ENTRADA"),"",TEXT(B2978,"AAMMDD")&amp;"-"&amp;TEXT(VALUE(SUBSTITUTE(A2978,"MOV-","")),"000"))</f>
        <v/>
      </c>
    </row>
    <row r="2979" spans="18:20">
      <c r="R2979" s="22" t="str">
        <f>IF(H2979="","",H2979&amp;I2979)</f>
        <v/>
      </c>
      <c r="S2979" s="22" t="str">
        <f>IF(C2979="","",C2979&amp;I2979)</f>
        <v/>
      </c>
      <c r="T2979" t="str">
        <f>IF(OR(C2979="",I2979&lt;&gt;"ENTRADA"),"",TEXT(B2979,"AAMMDD")&amp;"-"&amp;TEXT(VALUE(SUBSTITUTE(A2979,"MOV-","")),"000"))</f>
        <v/>
      </c>
    </row>
    <row r="2980" spans="18:20">
      <c r="R2980" s="22" t="str">
        <f>IF(H2980="","",H2980&amp;I2980)</f>
        <v/>
      </c>
      <c r="S2980" s="22" t="str">
        <f>IF(C2980="","",C2980&amp;I2980)</f>
        <v/>
      </c>
      <c r="T2980" t="str">
        <f>IF(OR(C2980="",I2980&lt;&gt;"ENTRADA"),"",TEXT(B2980,"AAMMDD")&amp;"-"&amp;TEXT(VALUE(SUBSTITUTE(A2980,"MOV-","")),"000"))</f>
        <v/>
      </c>
    </row>
    <row r="2981" spans="18:20">
      <c r="R2981" s="22" t="str">
        <f>IF(H2981="","",H2981&amp;I2981)</f>
        <v/>
      </c>
      <c r="S2981" s="22" t="str">
        <f>IF(C2981="","",C2981&amp;I2981)</f>
        <v/>
      </c>
      <c r="T2981" t="str">
        <f>IF(OR(C2981="",I2981&lt;&gt;"ENTRADA"),"",TEXT(B2981,"AAMMDD")&amp;"-"&amp;TEXT(VALUE(SUBSTITUTE(A2981,"MOV-","")),"000"))</f>
        <v/>
      </c>
    </row>
    <row r="2982" spans="18:20">
      <c r="R2982" s="22" t="str">
        <f>IF(H2982="","",H2982&amp;I2982)</f>
        <v/>
      </c>
      <c r="S2982" s="22" t="str">
        <f>IF(C2982="","",C2982&amp;I2982)</f>
        <v/>
      </c>
      <c r="T2982" t="str">
        <f>IF(OR(C2982="",I2982&lt;&gt;"ENTRADA"),"",TEXT(B2982,"AAMMDD")&amp;"-"&amp;TEXT(VALUE(SUBSTITUTE(A2982,"MOV-","")),"000"))</f>
        <v/>
      </c>
    </row>
    <row r="2983" spans="18:20">
      <c r="R2983" s="22" t="str">
        <f>IF(H2983="","",H2983&amp;I2983)</f>
        <v/>
      </c>
      <c r="S2983" s="22" t="str">
        <f>IF(C2983="","",C2983&amp;I2983)</f>
        <v/>
      </c>
      <c r="T2983" t="str">
        <f>IF(OR(C2983="",I2983&lt;&gt;"ENTRADA"),"",TEXT(B2983,"AAMMDD")&amp;"-"&amp;TEXT(VALUE(SUBSTITUTE(A2983,"MOV-","")),"000"))</f>
        <v/>
      </c>
    </row>
    <row r="2984" spans="18:20">
      <c r="R2984" s="22" t="str">
        <f>IF(H2984="","",H2984&amp;I2984)</f>
        <v/>
      </c>
      <c r="S2984" s="22" t="str">
        <f>IF(C2984="","",C2984&amp;I2984)</f>
        <v/>
      </c>
      <c r="T2984" t="str">
        <f>IF(OR(C2984="",I2984&lt;&gt;"ENTRADA"),"",TEXT(B2984,"AAMMDD")&amp;"-"&amp;TEXT(VALUE(SUBSTITUTE(A2984,"MOV-","")),"000"))</f>
        <v/>
      </c>
    </row>
    <row r="2985" spans="18:20">
      <c r="R2985" s="22" t="str">
        <f>IF(H2985="","",H2985&amp;I2985)</f>
        <v/>
      </c>
      <c r="S2985" s="22" t="str">
        <f>IF(C2985="","",C2985&amp;I2985)</f>
        <v/>
      </c>
      <c r="T2985" t="str">
        <f>IF(OR(C2985="",I2985&lt;&gt;"ENTRADA"),"",TEXT(B2985,"AAMMDD")&amp;"-"&amp;TEXT(VALUE(SUBSTITUTE(A2985,"MOV-","")),"000"))</f>
        <v/>
      </c>
    </row>
    <row r="2986" spans="18:20">
      <c r="R2986" s="22" t="str">
        <f>IF(H2986="","",H2986&amp;I2986)</f>
        <v/>
      </c>
      <c r="S2986" s="22" t="str">
        <f>IF(C2986="","",C2986&amp;I2986)</f>
        <v/>
      </c>
      <c r="T2986" t="str">
        <f>IF(OR(C2986="",I2986&lt;&gt;"ENTRADA"),"",TEXT(B2986,"AAMMDD")&amp;"-"&amp;TEXT(VALUE(SUBSTITUTE(A2986,"MOV-","")),"000"))</f>
        <v/>
      </c>
    </row>
    <row r="2987" spans="18:20">
      <c r="R2987" s="22" t="str">
        <f>IF(H2987="","",H2987&amp;I2987)</f>
        <v/>
      </c>
      <c r="S2987" s="22" t="str">
        <f>IF(C2987="","",C2987&amp;I2987)</f>
        <v/>
      </c>
      <c r="T2987" t="str">
        <f>IF(OR(C2987="",I2987&lt;&gt;"ENTRADA"),"",TEXT(B2987,"AAMMDD")&amp;"-"&amp;TEXT(VALUE(SUBSTITUTE(A2987,"MOV-","")),"000"))</f>
        <v/>
      </c>
    </row>
    <row r="2988" spans="18:20">
      <c r="R2988" s="22" t="str">
        <f>IF(H2988="","",H2988&amp;I2988)</f>
        <v/>
      </c>
      <c r="S2988" s="22" t="str">
        <f>IF(C2988="","",C2988&amp;I2988)</f>
        <v/>
      </c>
      <c r="T2988" t="str">
        <f>IF(OR(C2988="",I2988&lt;&gt;"ENTRADA"),"",TEXT(B2988,"AAMMDD")&amp;"-"&amp;TEXT(VALUE(SUBSTITUTE(A2988,"MOV-","")),"000"))</f>
        <v/>
      </c>
    </row>
    <row r="2989" spans="18:20">
      <c r="R2989" s="22" t="str">
        <f>IF(H2989="","",H2989&amp;I2989)</f>
        <v/>
      </c>
      <c r="S2989" s="22" t="str">
        <f>IF(C2989="","",C2989&amp;I2989)</f>
        <v/>
      </c>
      <c r="T2989" t="str">
        <f>IF(OR(C2989="",I2989&lt;&gt;"ENTRADA"),"",TEXT(B2989,"AAMMDD")&amp;"-"&amp;TEXT(VALUE(SUBSTITUTE(A2989,"MOV-","")),"000"))</f>
        <v/>
      </c>
    </row>
    <row r="2990" spans="18:20">
      <c r="R2990" s="22" t="str">
        <f>IF(H2990="","",H2990&amp;I2990)</f>
        <v/>
      </c>
      <c r="S2990" s="22" t="str">
        <f>IF(C2990="","",C2990&amp;I2990)</f>
        <v/>
      </c>
      <c r="T2990" t="str">
        <f>IF(OR(C2990="",I2990&lt;&gt;"ENTRADA"),"",TEXT(B2990,"AAMMDD")&amp;"-"&amp;TEXT(VALUE(SUBSTITUTE(A2990,"MOV-","")),"000"))</f>
        <v/>
      </c>
    </row>
    <row r="2991" spans="18:20">
      <c r="R2991" s="22" t="str">
        <f>IF(H2991="","",H2991&amp;I2991)</f>
        <v/>
      </c>
      <c r="S2991" s="22" t="str">
        <f>IF(C2991="","",C2991&amp;I2991)</f>
        <v/>
      </c>
      <c r="T2991" t="str">
        <f>IF(OR(C2991="",I2991&lt;&gt;"ENTRADA"),"",TEXT(B2991,"AAMMDD")&amp;"-"&amp;TEXT(VALUE(SUBSTITUTE(A2991,"MOV-","")),"000"))</f>
        <v/>
      </c>
    </row>
    <row r="2992" spans="18:20">
      <c r="R2992" s="22" t="str">
        <f>IF(H2992="","",H2992&amp;I2992)</f>
        <v/>
      </c>
      <c r="S2992" s="22" t="str">
        <f>IF(C2992="","",C2992&amp;I2992)</f>
        <v/>
      </c>
      <c r="T2992" t="str">
        <f>IF(OR(C2992="",I2992&lt;&gt;"ENTRADA"),"",TEXT(B2992,"AAMMDD")&amp;"-"&amp;TEXT(VALUE(SUBSTITUTE(A2992,"MOV-","")),"000"))</f>
        <v/>
      </c>
    </row>
    <row r="2993" spans="18:20">
      <c r="R2993" s="22" t="str">
        <f>IF(H2993="","",H2993&amp;I2993)</f>
        <v/>
      </c>
      <c r="S2993" s="22" t="str">
        <f>IF(C2993="","",C2993&amp;I2993)</f>
        <v/>
      </c>
      <c r="T2993" t="str">
        <f>IF(OR(C2993="",I2993&lt;&gt;"ENTRADA"),"",TEXT(B2993,"AAMMDD")&amp;"-"&amp;TEXT(VALUE(SUBSTITUTE(A2993,"MOV-","")),"000"))</f>
        <v/>
      </c>
    </row>
    <row r="2994" spans="18:20">
      <c r="R2994" s="22" t="str">
        <f>IF(H2994="","",H2994&amp;I2994)</f>
        <v/>
      </c>
      <c r="S2994" s="22" t="str">
        <f>IF(C2994="","",C2994&amp;I2994)</f>
        <v/>
      </c>
      <c r="T2994" t="str">
        <f>IF(OR(C2994="",I2994&lt;&gt;"ENTRADA"),"",TEXT(B2994,"AAMMDD")&amp;"-"&amp;TEXT(VALUE(SUBSTITUTE(A2994,"MOV-","")),"000"))</f>
        <v/>
      </c>
    </row>
    <row r="2995" spans="18:20">
      <c r="R2995" s="22" t="str">
        <f>IF(H2995="","",H2995&amp;I2995)</f>
        <v/>
      </c>
      <c r="S2995" s="22" t="str">
        <f>IF(C2995="","",C2995&amp;I2995)</f>
        <v/>
      </c>
      <c r="T2995" t="str">
        <f>IF(OR(C2995="",I2995&lt;&gt;"ENTRADA"),"",TEXT(B2995,"AAMMDD")&amp;"-"&amp;TEXT(VALUE(SUBSTITUTE(A2995,"MOV-","")),"000"))</f>
        <v/>
      </c>
    </row>
    <row r="2996" spans="18:20">
      <c r="R2996" s="22" t="str">
        <f>IF(H2996="","",H2996&amp;I2996)</f>
        <v/>
      </c>
      <c r="S2996" s="22" t="str">
        <f>IF(C2996="","",C2996&amp;I2996)</f>
        <v/>
      </c>
      <c r="T2996" t="str">
        <f>IF(OR(C2996="",I2996&lt;&gt;"ENTRADA"),"",TEXT(B2996,"AAMMDD")&amp;"-"&amp;TEXT(VALUE(SUBSTITUTE(A2996,"MOV-","")),"000"))</f>
        <v/>
      </c>
    </row>
    <row r="2997" spans="18:20">
      <c r="R2997" s="22" t="str">
        <f>IF(H2997="","",H2997&amp;I2997)</f>
        <v/>
      </c>
      <c r="S2997" s="22" t="str">
        <f>IF(C2997="","",C2997&amp;I2997)</f>
        <v/>
      </c>
      <c r="T2997" t="str">
        <f>IF(OR(C2997="",I2997&lt;&gt;"ENTRADA"),"",TEXT(B2997,"AAMMDD")&amp;"-"&amp;TEXT(VALUE(SUBSTITUTE(A2997,"MOV-","")),"000"))</f>
        <v/>
      </c>
    </row>
    <row r="2998" spans="18:20">
      <c r="R2998" s="22" t="str">
        <f>IF(H2998="","",H2998&amp;I2998)</f>
        <v/>
      </c>
      <c r="S2998" s="22" t="str">
        <f>IF(C2998="","",C2998&amp;I2998)</f>
        <v/>
      </c>
      <c r="T2998" t="str">
        <f>IF(OR(C2998="",I2998&lt;&gt;"ENTRADA"),"",TEXT(B2998,"AAMMDD")&amp;"-"&amp;TEXT(VALUE(SUBSTITUTE(A2998,"MOV-","")),"000"))</f>
        <v/>
      </c>
    </row>
    <row r="2999" spans="18:20">
      <c r="R2999" s="22" t="str">
        <f>IF(H2999="","",H2999&amp;I2999)</f>
        <v/>
      </c>
      <c r="S2999" s="22" t="str">
        <f>IF(C2999="","",C2999&amp;I2999)</f>
        <v/>
      </c>
      <c r="T2999" t="str">
        <f>IF(OR(C2999="",I2999&lt;&gt;"ENTRADA"),"",TEXT(B2999,"AAMMDD")&amp;"-"&amp;TEXT(VALUE(SUBSTITUTE(A2999,"MOV-","")),"000"))</f>
        <v/>
      </c>
    </row>
    <row r="3000" spans="18:20">
      <c r="R3000" s="22" t="str">
        <f>IF(H3000="","",H3000&amp;I3000)</f>
        <v/>
      </c>
      <c r="S3000" s="22" t="str">
        <f>IF(C3000="","",C3000&amp;I3000)</f>
        <v/>
      </c>
      <c r="T3000" t="str">
        <f>IF(OR(C3000="",I3000&lt;&gt;"ENTRADA"),"",TEXT(B3000,"AAMMDD")&amp;"-"&amp;TEXT(VALUE(SUBSTITUTE(A3000,"MOV-","")),"000"))</f>
        <v/>
      </c>
    </row>
    <row r="3001" spans="18:20">
      <c r="R3001" s="22" t="str">
        <f>IF(H3001="","",H3001&amp;I3001)</f>
        <v/>
      </c>
      <c r="S3001" s="22" t="str">
        <f>IF(C3001="","",C3001&amp;I3001)</f>
        <v/>
      </c>
      <c r="T3001" t="str">
        <f>IF(OR(C3001="",I3001&lt;&gt;"ENTRADA"),"",TEXT(B3001,"AAMMDD")&amp;"-"&amp;TEXT(VALUE(SUBSTITUTE(A3001,"MOV-","")),"000"))</f>
        <v/>
      </c>
    </row>
    <row r="3002" spans="18:20">
      <c r="R3002" s="22" t="str">
        <f>IF(H3002="","",H3002&amp;I3002)</f>
        <v/>
      </c>
      <c r="S3002" s="22" t="str">
        <f>IF(C3002="","",C3002&amp;I3002)</f>
        <v/>
      </c>
      <c r="T3002" t="str">
        <f>IF(OR(C3002="",I3002&lt;&gt;"ENTRADA"),"",TEXT(B3002,"AAMMDD")&amp;"-"&amp;TEXT(VALUE(SUBSTITUTE(A3002,"MOV-","")),"000"))</f>
        <v/>
      </c>
    </row>
    <row r="3003" spans="18:20">
      <c r="R3003" s="22" t="str">
        <f>IF(H3003="","",H3003&amp;I3003)</f>
        <v/>
      </c>
      <c r="S3003" s="22" t="str">
        <f>IF(C3003="","",C3003&amp;I3003)</f>
        <v/>
      </c>
      <c r="T3003" t="str">
        <f>IF(OR(C3003="",I3003&lt;&gt;"ENTRADA"),"",TEXT(B3003,"AAMMDD")&amp;"-"&amp;TEXT(VALUE(SUBSTITUTE(A3003,"MOV-","")),"000"))</f>
        <v/>
      </c>
    </row>
    <row r="3004" spans="18:20">
      <c r="R3004" s="22" t="str">
        <f>IF(H3004="","",H3004&amp;I3004)</f>
        <v/>
      </c>
      <c r="S3004" s="22" t="str">
        <f>IF(C3004="","",C3004&amp;I3004)</f>
        <v/>
      </c>
      <c r="T3004" t="str">
        <f>IF(OR(C3004="",I3004&lt;&gt;"ENTRADA"),"",TEXT(B3004,"AAMMDD")&amp;"-"&amp;TEXT(VALUE(SUBSTITUTE(A3004,"MOV-","")),"000"))</f>
        <v/>
      </c>
    </row>
    <row r="3005" spans="18:20">
      <c r="R3005" s="22" t="str">
        <f>IF(H3005="","",H3005&amp;I3005)</f>
        <v/>
      </c>
      <c r="S3005" s="22" t="str">
        <f>IF(C3005="","",C3005&amp;I3005)</f>
        <v/>
      </c>
      <c r="T3005" t="str">
        <f>IF(OR(C3005="",I3005&lt;&gt;"ENTRADA"),"",TEXT(B3005,"AAMMDD")&amp;"-"&amp;TEXT(VALUE(SUBSTITUTE(A3005,"MOV-","")),"000"))</f>
        <v/>
      </c>
    </row>
    <row r="3006" spans="18:20">
      <c r="R3006" s="22" t="str">
        <f>IF(H3006="","",H3006&amp;I3006)</f>
        <v/>
      </c>
      <c r="S3006" s="22" t="str">
        <f>IF(C3006="","",C3006&amp;I3006)</f>
        <v/>
      </c>
      <c r="T3006" t="str">
        <f>IF(OR(C3006="",I3006&lt;&gt;"ENTRADA"),"",TEXT(B3006,"AAMMDD")&amp;"-"&amp;TEXT(VALUE(SUBSTITUTE(A3006,"MOV-","")),"000"))</f>
        <v/>
      </c>
    </row>
    <row r="3007" spans="18:20">
      <c r="R3007" s="22" t="str">
        <f>IF(H3007="","",H3007&amp;I3007)</f>
        <v/>
      </c>
      <c r="S3007" s="22" t="str">
        <f>IF(C3007="","",C3007&amp;I3007)</f>
        <v/>
      </c>
      <c r="T3007" t="str">
        <f>IF(OR(C3007="",I3007&lt;&gt;"ENTRADA"),"",TEXT(B3007,"AAMMDD")&amp;"-"&amp;TEXT(VALUE(SUBSTITUTE(A3007,"MOV-","")),"000"))</f>
        <v/>
      </c>
    </row>
    <row r="3008" spans="18:20">
      <c r="R3008" s="22" t="str">
        <f>IF(H3008="","",H3008&amp;I3008)</f>
        <v/>
      </c>
      <c r="S3008" s="22" t="str">
        <f>IF(C3008="","",C3008&amp;I3008)</f>
        <v/>
      </c>
      <c r="T3008" t="str">
        <f>IF(OR(C3008="",I3008&lt;&gt;"ENTRADA"),"",TEXT(B3008,"AAMMDD")&amp;"-"&amp;TEXT(VALUE(SUBSTITUTE(A3008,"MOV-","")),"000"))</f>
        <v/>
      </c>
    </row>
    <row r="3009" spans="18:20">
      <c r="R3009" s="22" t="str">
        <f>IF(H3009="","",H3009&amp;I3009)</f>
        <v/>
      </c>
      <c r="S3009" s="22" t="str">
        <f>IF(C3009="","",C3009&amp;I3009)</f>
        <v/>
      </c>
      <c r="T3009" t="str">
        <f>IF(OR(C3009="",I3009&lt;&gt;"ENTRADA"),"",TEXT(B3009,"AAMMDD")&amp;"-"&amp;TEXT(VALUE(SUBSTITUTE(A3009,"MOV-","")),"000"))</f>
        <v/>
      </c>
    </row>
    <row r="3010" spans="18:20">
      <c r="R3010" s="22" t="str">
        <f>IF(H3010="","",H3010&amp;I3010)</f>
        <v/>
      </c>
      <c r="S3010" s="22" t="str">
        <f>IF(C3010="","",C3010&amp;I3010)</f>
        <v/>
      </c>
      <c r="T3010" t="str">
        <f>IF(OR(C3010="",I3010&lt;&gt;"ENTRADA"),"",TEXT(B3010,"AAMMDD")&amp;"-"&amp;TEXT(VALUE(SUBSTITUTE(A3010,"MOV-","")),"000"))</f>
        <v/>
      </c>
    </row>
    <row r="3011" spans="18:20">
      <c r="R3011" s="22" t="str">
        <f>IF(H3011="","",H3011&amp;I3011)</f>
        <v/>
      </c>
      <c r="S3011" s="22" t="str">
        <f>IF(C3011="","",C3011&amp;I3011)</f>
        <v/>
      </c>
      <c r="T3011" t="str">
        <f>IF(OR(C3011="",I3011&lt;&gt;"ENTRADA"),"",TEXT(B3011,"AAMMDD")&amp;"-"&amp;TEXT(VALUE(SUBSTITUTE(A3011,"MOV-","")),"000"))</f>
        <v/>
      </c>
    </row>
    <row r="3012" spans="18:20">
      <c r="R3012" s="22" t="str">
        <f>IF(H3012="","",H3012&amp;I3012)</f>
        <v/>
      </c>
      <c r="S3012" s="22" t="str">
        <f>IF(C3012="","",C3012&amp;I3012)</f>
        <v/>
      </c>
      <c r="T3012" t="str">
        <f>IF(OR(C3012="",I3012&lt;&gt;"ENTRADA"),"",TEXT(B3012,"AAMMDD")&amp;"-"&amp;TEXT(VALUE(SUBSTITUTE(A3012,"MOV-","")),"000"))</f>
        <v/>
      </c>
    </row>
    <row r="3013" spans="18:20">
      <c r="R3013" s="22" t="str">
        <f>IF(H3013="","",H3013&amp;I3013)</f>
        <v/>
      </c>
      <c r="S3013" s="22" t="str">
        <f>IF(C3013="","",C3013&amp;I3013)</f>
        <v/>
      </c>
      <c r="T3013" t="str">
        <f>IF(OR(C3013="",I3013&lt;&gt;"ENTRADA"),"",TEXT(B3013,"AAMMDD")&amp;"-"&amp;TEXT(VALUE(SUBSTITUTE(A3013,"MOV-","")),"000"))</f>
        <v/>
      </c>
    </row>
    <row r="3014" spans="18:20">
      <c r="R3014" s="22" t="str">
        <f>IF(H3014="","",H3014&amp;I3014)</f>
        <v/>
      </c>
      <c r="S3014" s="22" t="str">
        <f>IF(C3014="","",C3014&amp;I3014)</f>
        <v/>
      </c>
      <c r="T3014" t="str">
        <f>IF(OR(C3014="",I3014&lt;&gt;"ENTRADA"),"",TEXT(B3014,"AAMMDD")&amp;"-"&amp;TEXT(VALUE(SUBSTITUTE(A3014,"MOV-","")),"000"))</f>
        <v/>
      </c>
    </row>
    <row r="3015" spans="18:20">
      <c r="R3015" s="22" t="str">
        <f>IF(H3015="","",H3015&amp;I3015)</f>
        <v/>
      </c>
      <c r="S3015" s="22" t="str">
        <f>IF(C3015="","",C3015&amp;I3015)</f>
        <v/>
      </c>
      <c r="T3015" t="str">
        <f>IF(OR(C3015="",I3015&lt;&gt;"ENTRADA"),"",TEXT(B3015,"AAMMDD")&amp;"-"&amp;TEXT(VALUE(SUBSTITUTE(A3015,"MOV-","")),"000"))</f>
        <v/>
      </c>
    </row>
    <row r="3016" spans="18:20">
      <c r="R3016" s="22" t="str">
        <f>IF(H3016="","",H3016&amp;I3016)</f>
        <v/>
      </c>
      <c r="S3016" s="22" t="str">
        <f>IF(C3016="","",C3016&amp;I3016)</f>
        <v/>
      </c>
      <c r="T3016" t="str">
        <f>IF(OR(C3016="",I3016&lt;&gt;"ENTRADA"),"",TEXT(B3016,"AAMMDD")&amp;"-"&amp;TEXT(VALUE(SUBSTITUTE(A3016,"MOV-","")),"000"))</f>
        <v/>
      </c>
    </row>
    <row r="3017" spans="18:20">
      <c r="R3017" s="22" t="str">
        <f>IF(H3017="","",H3017&amp;I3017)</f>
        <v/>
      </c>
      <c r="S3017" s="22" t="str">
        <f>IF(C3017="","",C3017&amp;I3017)</f>
        <v/>
      </c>
      <c r="T3017" t="str">
        <f>IF(OR(C3017="",I3017&lt;&gt;"ENTRADA"),"",TEXT(B3017,"AAMMDD")&amp;"-"&amp;TEXT(VALUE(SUBSTITUTE(A3017,"MOV-","")),"000"))</f>
        <v/>
      </c>
    </row>
    <row r="3018" spans="18:20">
      <c r="R3018" s="22" t="str">
        <f>IF(H3018="","",H3018&amp;I3018)</f>
        <v/>
      </c>
      <c r="S3018" s="22" t="str">
        <f>IF(C3018="","",C3018&amp;I3018)</f>
        <v/>
      </c>
      <c r="T3018" t="str">
        <f>IF(OR(C3018="",I3018&lt;&gt;"ENTRADA"),"",TEXT(B3018,"AAMMDD")&amp;"-"&amp;TEXT(VALUE(SUBSTITUTE(A3018,"MOV-","")),"000"))</f>
        <v/>
      </c>
    </row>
    <row r="3019" spans="18:20">
      <c r="R3019" s="22" t="str">
        <f>IF(H3019="","",H3019&amp;I3019)</f>
        <v/>
      </c>
      <c r="S3019" s="22" t="str">
        <f>IF(C3019="","",C3019&amp;I3019)</f>
        <v/>
      </c>
      <c r="T3019" t="str">
        <f>IF(OR(C3019="",I3019&lt;&gt;"ENTRADA"),"",TEXT(B3019,"AAMMDD")&amp;"-"&amp;TEXT(VALUE(SUBSTITUTE(A3019,"MOV-","")),"000"))</f>
        <v/>
      </c>
    </row>
    <row r="3020" spans="18:20">
      <c r="R3020" s="22" t="str">
        <f>IF(H3020="","",H3020&amp;I3020)</f>
        <v/>
      </c>
      <c r="S3020" s="22" t="str">
        <f>IF(C3020="","",C3020&amp;I3020)</f>
        <v/>
      </c>
      <c r="T3020" t="str">
        <f>IF(OR(C3020="",I3020&lt;&gt;"ENTRADA"),"",TEXT(B3020,"AAMMDD")&amp;"-"&amp;TEXT(VALUE(SUBSTITUTE(A3020,"MOV-","")),"000"))</f>
        <v/>
      </c>
    </row>
    <row r="3021" spans="18:20">
      <c r="R3021" s="22" t="str">
        <f>IF(H3021="","",H3021&amp;I3021)</f>
        <v/>
      </c>
      <c r="S3021" s="22" t="str">
        <f>IF(C3021="","",C3021&amp;I3021)</f>
        <v/>
      </c>
      <c r="T3021" t="str">
        <f>IF(OR(C3021="",I3021&lt;&gt;"ENTRADA"),"",TEXT(B3021,"AAMMDD")&amp;"-"&amp;TEXT(VALUE(SUBSTITUTE(A3021,"MOV-","")),"000"))</f>
        <v/>
      </c>
    </row>
    <row r="3022" spans="18:20">
      <c r="R3022" s="22" t="str">
        <f>IF(H3022="","",H3022&amp;I3022)</f>
        <v/>
      </c>
      <c r="S3022" s="22" t="str">
        <f>IF(C3022="","",C3022&amp;I3022)</f>
        <v/>
      </c>
      <c r="T3022" t="str">
        <f>IF(OR(C3022="",I3022&lt;&gt;"ENTRADA"),"",TEXT(B3022,"AAMMDD")&amp;"-"&amp;TEXT(VALUE(SUBSTITUTE(A3022,"MOV-","")),"000"))</f>
        <v/>
      </c>
    </row>
    <row r="3023" spans="18:20">
      <c r="R3023" s="22" t="str">
        <f>IF(H3023="","",H3023&amp;I3023)</f>
        <v/>
      </c>
      <c r="S3023" s="22" t="str">
        <f>IF(C3023="","",C3023&amp;I3023)</f>
        <v/>
      </c>
      <c r="T3023" t="str">
        <f>IF(OR(C3023="",I3023&lt;&gt;"ENTRADA"),"",TEXT(B3023,"AAMMDD")&amp;"-"&amp;TEXT(VALUE(SUBSTITUTE(A3023,"MOV-","")),"000"))</f>
        <v/>
      </c>
    </row>
    <row r="3024" spans="18:20">
      <c r="R3024" s="22" t="str">
        <f>IF(H3024="","",H3024&amp;I3024)</f>
        <v/>
      </c>
      <c r="S3024" s="22" t="str">
        <f>IF(C3024="","",C3024&amp;I3024)</f>
        <v/>
      </c>
      <c r="T3024" t="str">
        <f>IF(OR(C3024="",I3024&lt;&gt;"ENTRADA"),"",TEXT(B3024,"AAMMDD")&amp;"-"&amp;TEXT(VALUE(SUBSTITUTE(A3024,"MOV-","")),"000"))</f>
        <v/>
      </c>
    </row>
    <row r="3025" spans="18:20">
      <c r="R3025" s="22" t="str">
        <f>IF(H3025="","",H3025&amp;I3025)</f>
        <v/>
      </c>
      <c r="S3025" s="22" t="str">
        <f>IF(C3025="","",C3025&amp;I3025)</f>
        <v/>
      </c>
      <c r="T3025" t="str">
        <f>IF(OR(C3025="",I3025&lt;&gt;"ENTRADA"),"",TEXT(B3025,"AAMMDD")&amp;"-"&amp;TEXT(VALUE(SUBSTITUTE(A3025,"MOV-","")),"000"))</f>
        <v/>
      </c>
    </row>
    <row r="3026" spans="18:20">
      <c r="R3026" s="22" t="str">
        <f>IF(H3026="","",H3026&amp;I3026)</f>
        <v/>
      </c>
      <c r="S3026" s="22" t="str">
        <f>IF(C3026="","",C3026&amp;I3026)</f>
        <v/>
      </c>
      <c r="T3026" t="str">
        <f>IF(OR(C3026="",I3026&lt;&gt;"ENTRADA"),"",TEXT(B3026,"AAMMDD")&amp;"-"&amp;TEXT(VALUE(SUBSTITUTE(A3026,"MOV-","")),"000"))</f>
        <v/>
      </c>
    </row>
    <row r="3027" spans="18:20">
      <c r="R3027" s="22" t="str">
        <f>IF(H3027="","",H3027&amp;I3027)</f>
        <v/>
      </c>
      <c r="S3027" s="22" t="str">
        <f>IF(C3027="","",C3027&amp;I3027)</f>
        <v/>
      </c>
      <c r="T3027" t="str">
        <f>IF(OR(C3027="",I3027&lt;&gt;"ENTRADA"),"",TEXT(B3027,"AAMMDD")&amp;"-"&amp;TEXT(VALUE(SUBSTITUTE(A3027,"MOV-","")),"000"))</f>
        <v/>
      </c>
    </row>
    <row r="3028" spans="18:20">
      <c r="R3028" s="22" t="str">
        <f>IF(H3028="","",H3028&amp;I3028)</f>
        <v/>
      </c>
      <c r="S3028" s="22" t="str">
        <f>IF(C3028="","",C3028&amp;I3028)</f>
        <v/>
      </c>
      <c r="T3028" t="str">
        <f>IF(OR(C3028="",I3028&lt;&gt;"ENTRADA"),"",TEXT(B3028,"AAMMDD")&amp;"-"&amp;TEXT(VALUE(SUBSTITUTE(A3028,"MOV-","")),"000"))</f>
        <v/>
      </c>
    </row>
    <row r="3029" spans="18:20">
      <c r="R3029" s="22" t="str">
        <f>IF(H3029="","",H3029&amp;I3029)</f>
        <v/>
      </c>
      <c r="S3029" s="22" t="str">
        <f>IF(C3029="","",C3029&amp;I3029)</f>
        <v/>
      </c>
      <c r="T3029" t="str">
        <f>IF(OR(C3029="",I3029&lt;&gt;"ENTRADA"),"",TEXT(B3029,"AAMMDD")&amp;"-"&amp;TEXT(VALUE(SUBSTITUTE(A3029,"MOV-","")),"000"))</f>
        <v/>
      </c>
    </row>
    <row r="3030" spans="18:20">
      <c r="R3030" s="22" t="str">
        <f>IF(H3030="","",H3030&amp;I3030)</f>
        <v/>
      </c>
      <c r="S3030" s="22" t="str">
        <f>IF(C3030="","",C3030&amp;I3030)</f>
        <v/>
      </c>
      <c r="T3030" t="str">
        <f>IF(OR(C3030="",I3030&lt;&gt;"ENTRADA"),"",TEXT(B3030,"AAMMDD")&amp;"-"&amp;TEXT(VALUE(SUBSTITUTE(A3030,"MOV-","")),"000"))</f>
        <v/>
      </c>
    </row>
    <row r="3031" spans="18:20">
      <c r="R3031" s="22" t="str">
        <f>IF(H3031="","",H3031&amp;I3031)</f>
        <v/>
      </c>
      <c r="S3031" s="22" t="str">
        <f>IF(C3031="","",C3031&amp;I3031)</f>
        <v/>
      </c>
      <c r="T3031" t="str">
        <f>IF(OR(C3031="",I3031&lt;&gt;"ENTRADA"),"",TEXT(B3031,"AAMMDD")&amp;"-"&amp;TEXT(VALUE(SUBSTITUTE(A3031,"MOV-","")),"000"))</f>
        <v/>
      </c>
    </row>
    <row r="3032" spans="18:20">
      <c r="R3032" s="22" t="str">
        <f>IF(H3032="","",H3032&amp;I3032)</f>
        <v/>
      </c>
      <c r="S3032" s="22" t="str">
        <f>IF(C3032="","",C3032&amp;I3032)</f>
        <v/>
      </c>
      <c r="T3032" t="str">
        <f>IF(OR(C3032="",I3032&lt;&gt;"ENTRADA"),"",TEXT(B3032,"AAMMDD")&amp;"-"&amp;TEXT(VALUE(SUBSTITUTE(A3032,"MOV-","")),"000"))</f>
        <v/>
      </c>
    </row>
    <row r="3033" spans="18:20">
      <c r="R3033" s="22" t="str">
        <f>IF(H3033="","",H3033&amp;I3033)</f>
        <v/>
      </c>
      <c r="S3033" s="22" t="str">
        <f>IF(C3033="","",C3033&amp;I3033)</f>
        <v/>
      </c>
      <c r="T3033" t="str">
        <f>IF(OR(C3033="",I3033&lt;&gt;"ENTRADA"),"",TEXT(B3033,"AAMMDD")&amp;"-"&amp;TEXT(VALUE(SUBSTITUTE(A3033,"MOV-","")),"000"))</f>
        <v/>
      </c>
    </row>
    <row r="3034" spans="18:20">
      <c r="R3034" s="22" t="str">
        <f>IF(H3034="","",H3034&amp;I3034)</f>
        <v/>
      </c>
      <c r="S3034" s="22" t="str">
        <f>IF(C3034="","",C3034&amp;I3034)</f>
        <v/>
      </c>
      <c r="T3034" t="str">
        <f>IF(OR(C3034="",I3034&lt;&gt;"ENTRADA"),"",TEXT(B3034,"AAMMDD")&amp;"-"&amp;TEXT(VALUE(SUBSTITUTE(A3034,"MOV-","")),"000"))</f>
        <v/>
      </c>
    </row>
    <row r="3035" spans="18:20">
      <c r="R3035" s="22" t="str">
        <f>IF(H3035="","",H3035&amp;I3035)</f>
        <v/>
      </c>
      <c r="S3035" s="22" t="str">
        <f>IF(C3035="","",C3035&amp;I3035)</f>
        <v/>
      </c>
      <c r="T3035" t="str">
        <f>IF(OR(C3035="",I3035&lt;&gt;"ENTRADA"),"",TEXT(B3035,"AAMMDD")&amp;"-"&amp;TEXT(VALUE(SUBSTITUTE(A3035,"MOV-","")),"000"))</f>
        <v/>
      </c>
    </row>
    <row r="3036" spans="18:20">
      <c r="R3036" s="22" t="str">
        <f>IF(H3036="","",H3036&amp;I3036)</f>
        <v/>
      </c>
      <c r="S3036" s="22" t="str">
        <f>IF(C3036="","",C3036&amp;I3036)</f>
        <v/>
      </c>
      <c r="T3036" t="str">
        <f>IF(OR(C3036="",I3036&lt;&gt;"ENTRADA"),"",TEXT(B3036,"AAMMDD")&amp;"-"&amp;TEXT(VALUE(SUBSTITUTE(A3036,"MOV-","")),"000"))</f>
        <v/>
      </c>
    </row>
    <row r="3037" spans="18:20">
      <c r="R3037" s="22" t="str">
        <f>IF(H3037="","",H3037&amp;I3037)</f>
        <v/>
      </c>
      <c r="S3037" s="22" t="str">
        <f>IF(C3037="","",C3037&amp;I3037)</f>
        <v/>
      </c>
      <c r="T3037" t="str">
        <f>IF(OR(C3037="",I3037&lt;&gt;"ENTRADA"),"",TEXT(B3037,"AAMMDD")&amp;"-"&amp;TEXT(VALUE(SUBSTITUTE(A3037,"MOV-","")),"000"))</f>
        <v/>
      </c>
    </row>
    <row r="3038" spans="18:20">
      <c r="R3038" s="22" t="str">
        <f>IF(H3038="","",H3038&amp;I3038)</f>
        <v/>
      </c>
      <c r="S3038" s="22" t="str">
        <f>IF(C3038="","",C3038&amp;I3038)</f>
        <v/>
      </c>
      <c r="T3038" t="str">
        <f>IF(OR(C3038="",I3038&lt;&gt;"ENTRADA"),"",TEXT(B3038,"AAMMDD")&amp;"-"&amp;TEXT(VALUE(SUBSTITUTE(A3038,"MOV-","")),"000"))</f>
        <v/>
      </c>
    </row>
    <row r="3039" spans="18:20">
      <c r="R3039" s="22" t="str">
        <f>IF(H3039="","",H3039&amp;I3039)</f>
        <v/>
      </c>
      <c r="S3039" s="22" t="str">
        <f>IF(C3039="","",C3039&amp;I3039)</f>
        <v/>
      </c>
      <c r="T3039" t="str">
        <f>IF(OR(C3039="",I3039&lt;&gt;"ENTRADA"),"",TEXT(B3039,"AAMMDD")&amp;"-"&amp;TEXT(VALUE(SUBSTITUTE(A3039,"MOV-","")),"000"))</f>
        <v/>
      </c>
    </row>
    <row r="3040" spans="18:20">
      <c r="R3040" s="22" t="str">
        <f>IF(H3040="","",H3040&amp;I3040)</f>
        <v/>
      </c>
      <c r="S3040" s="22" t="str">
        <f>IF(C3040="","",C3040&amp;I3040)</f>
        <v/>
      </c>
      <c r="T3040" t="str">
        <f>IF(OR(C3040="",I3040&lt;&gt;"ENTRADA"),"",TEXT(B3040,"AAMMDD")&amp;"-"&amp;TEXT(VALUE(SUBSTITUTE(A3040,"MOV-","")),"000"))</f>
        <v/>
      </c>
    </row>
    <row r="3041" spans="18:20">
      <c r="R3041" s="22" t="str">
        <f>IF(H3041="","",H3041&amp;I3041)</f>
        <v/>
      </c>
      <c r="S3041" s="22" t="str">
        <f>IF(C3041="","",C3041&amp;I3041)</f>
        <v/>
      </c>
      <c r="T3041" t="str">
        <f>IF(OR(C3041="",I3041&lt;&gt;"ENTRADA"),"",TEXT(B3041,"AAMMDD")&amp;"-"&amp;TEXT(VALUE(SUBSTITUTE(A3041,"MOV-","")),"000"))</f>
        <v/>
      </c>
    </row>
    <row r="3042" spans="18:20">
      <c r="R3042" s="22" t="str">
        <f>IF(H3042="","",H3042&amp;I3042)</f>
        <v/>
      </c>
      <c r="S3042" s="22" t="str">
        <f>IF(C3042="","",C3042&amp;I3042)</f>
        <v/>
      </c>
      <c r="T3042" t="str">
        <f>IF(OR(C3042="",I3042&lt;&gt;"ENTRADA"),"",TEXT(B3042,"AAMMDD")&amp;"-"&amp;TEXT(VALUE(SUBSTITUTE(A3042,"MOV-","")),"000"))</f>
        <v/>
      </c>
    </row>
    <row r="3043" spans="18:20">
      <c r="R3043" s="22" t="str">
        <f>IF(H3043="","",H3043&amp;I3043)</f>
        <v/>
      </c>
      <c r="S3043" s="22" t="str">
        <f>IF(C3043="","",C3043&amp;I3043)</f>
        <v/>
      </c>
      <c r="T3043" t="str">
        <f>IF(OR(C3043="",I3043&lt;&gt;"ENTRADA"),"",TEXT(B3043,"AAMMDD")&amp;"-"&amp;TEXT(VALUE(SUBSTITUTE(A3043,"MOV-","")),"000"))</f>
        <v/>
      </c>
    </row>
    <row r="3044" spans="18:20">
      <c r="R3044" s="22" t="str">
        <f>IF(H3044="","",H3044&amp;I3044)</f>
        <v/>
      </c>
      <c r="S3044" s="22" t="str">
        <f>IF(C3044="","",C3044&amp;I3044)</f>
        <v/>
      </c>
      <c r="T3044" t="str">
        <f>IF(OR(C3044="",I3044&lt;&gt;"ENTRADA"),"",TEXT(B3044,"AAMMDD")&amp;"-"&amp;TEXT(VALUE(SUBSTITUTE(A3044,"MOV-","")),"000"))</f>
        <v/>
      </c>
    </row>
    <row r="3045" spans="18:20">
      <c r="R3045" s="22" t="str">
        <f>IF(H3045="","",H3045&amp;I3045)</f>
        <v/>
      </c>
      <c r="S3045" s="22" t="str">
        <f>IF(C3045="","",C3045&amp;I3045)</f>
        <v/>
      </c>
      <c r="T3045" t="str">
        <f>IF(OR(C3045="",I3045&lt;&gt;"ENTRADA"),"",TEXT(B3045,"AAMMDD")&amp;"-"&amp;TEXT(VALUE(SUBSTITUTE(A3045,"MOV-","")),"000"))</f>
        <v/>
      </c>
    </row>
    <row r="3046" spans="18:20">
      <c r="R3046" s="22" t="str">
        <f>IF(H3046="","",H3046&amp;I3046)</f>
        <v/>
      </c>
      <c r="S3046" s="22" t="str">
        <f>IF(C3046="","",C3046&amp;I3046)</f>
        <v/>
      </c>
      <c r="T3046" t="str">
        <f>IF(OR(C3046="",I3046&lt;&gt;"ENTRADA"),"",TEXT(B3046,"AAMMDD")&amp;"-"&amp;TEXT(VALUE(SUBSTITUTE(A3046,"MOV-","")),"000"))</f>
        <v/>
      </c>
    </row>
    <row r="3047" spans="18:20">
      <c r="R3047" s="22" t="str">
        <f>IF(H3047="","",H3047&amp;I3047)</f>
        <v/>
      </c>
      <c r="S3047" s="22" t="str">
        <f>IF(C3047="","",C3047&amp;I3047)</f>
        <v/>
      </c>
      <c r="T3047" t="str">
        <f>IF(OR(C3047="",I3047&lt;&gt;"ENTRADA"),"",TEXT(B3047,"AAMMDD")&amp;"-"&amp;TEXT(VALUE(SUBSTITUTE(A3047,"MOV-","")),"000"))</f>
        <v/>
      </c>
    </row>
    <row r="3048" spans="18:20">
      <c r="R3048" s="22" t="str">
        <f>IF(H3048="","",H3048&amp;I3048)</f>
        <v/>
      </c>
      <c r="S3048" s="22" t="str">
        <f>IF(C3048="","",C3048&amp;I3048)</f>
        <v/>
      </c>
      <c r="T3048" t="str">
        <f>IF(OR(C3048="",I3048&lt;&gt;"ENTRADA"),"",TEXT(B3048,"AAMMDD")&amp;"-"&amp;TEXT(VALUE(SUBSTITUTE(A3048,"MOV-","")),"000"))</f>
        <v/>
      </c>
    </row>
    <row r="3049" spans="18:20">
      <c r="R3049" s="22" t="str">
        <f>IF(H3049="","",H3049&amp;I3049)</f>
        <v/>
      </c>
      <c r="S3049" s="22" t="str">
        <f>IF(C3049="","",C3049&amp;I3049)</f>
        <v/>
      </c>
      <c r="T3049" t="str">
        <f>IF(OR(C3049="",I3049&lt;&gt;"ENTRADA"),"",TEXT(B3049,"AAMMDD")&amp;"-"&amp;TEXT(VALUE(SUBSTITUTE(A3049,"MOV-","")),"000"))</f>
        <v/>
      </c>
    </row>
    <row r="3050" spans="18:20">
      <c r="R3050" s="22" t="str">
        <f>IF(H3050="","",H3050&amp;I3050)</f>
        <v/>
      </c>
      <c r="S3050" s="22" t="str">
        <f>IF(C3050="","",C3050&amp;I3050)</f>
        <v/>
      </c>
      <c r="T3050" t="str">
        <f>IF(OR(C3050="",I3050&lt;&gt;"ENTRADA"),"",TEXT(B3050,"AAMMDD")&amp;"-"&amp;TEXT(VALUE(SUBSTITUTE(A3050,"MOV-","")),"000"))</f>
        <v/>
      </c>
    </row>
    <row r="3051" spans="18:20">
      <c r="R3051" s="22" t="str">
        <f>IF(H3051="","",H3051&amp;I3051)</f>
        <v/>
      </c>
      <c r="S3051" s="22" t="str">
        <f>IF(C3051="","",C3051&amp;I3051)</f>
        <v/>
      </c>
      <c r="T3051" t="str">
        <f>IF(OR(C3051="",I3051&lt;&gt;"ENTRADA"),"",TEXT(B3051,"AAMMDD")&amp;"-"&amp;TEXT(VALUE(SUBSTITUTE(A3051,"MOV-","")),"000"))</f>
        <v/>
      </c>
    </row>
    <row r="3052" spans="18:20">
      <c r="R3052" s="22" t="str">
        <f>IF(H3052="","",H3052&amp;I3052)</f>
        <v/>
      </c>
      <c r="S3052" s="22" t="str">
        <f>IF(C3052="","",C3052&amp;I3052)</f>
        <v/>
      </c>
      <c r="T3052" t="str">
        <f>IF(OR(C3052="",I3052&lt;&gt;"ENTRADA"),"",TEXT(B3052,"AAMMDD")&amp;"-"&amp;TEXT(VALUE(SUBSTITUTE(A3052,"MOV-","")),"000"))</f>
        <v/>
      </c>
    </row>
    <row r="3053" spans="18:20">
      <c r="R3053" s="22" t="str">
        <f>IF(H3053="","",H3053&amp;I3053)</f>
        <v/>
      </c>
      <c r="S3053" s="22" t="str">
        <f>IF(C3053="","",C3053&amp;I3053)</f>
        <v/>
      </c>
      <c r="T3053" t="str">
        <f>IF(OR(C3053="",I3053&lt;&gt;"ENTRADA"),"",TEXT(B3053,"AAMMDD")&amp;"-"&amp;TEXT(VALUE(SUBSTITUTE(A3053,"MOV-","")),"000"))</f>
        <v/>
      </c>
    </row>
    <row r="3054" spans="18:20">
      <c r="R3054" s="22" t="str">
        <f>IF(H3054="","",H3054&amp;I3054)</f>
        <v/>
      </c>
      <c r="S3054" s="22" t="str">
        <f>IF(C3054="","",C3054&amp;I3054)</f>
        <v/>
      </c>
      <c r="T3054" t="str">
        <f>IF(OR(C3054="",I3054&lt;&gt;"ENTRADA"),"",TEXT(B3054,"AAMMDD")&amp;"-"&amp;TEXT(VALUE(SUBSTITUTE(A3054,"MOV-","")),"000"))</f>
        <v/>
      </c>
    </row>
    <row r="3055" spans="18:20">
      <c r="R3055" s="22" t="str">
        <f>IF(H3055="","",H3055&amp;I3055)</f>
        <v/>
      </c>
      <c r="S3055" s="22" t="str">
        <f>IF(C3055="","",C3055&amp;I3055)</f>
        <v/>
      </c>
      <c r="T3055" t="str">
        <f>IF(OR(C3055="",I3055&lt;&gt;"ENTRADA"),"",TEXT(B3055,"AAMMDD")&amp;"-"&amp;TEXT(VALUE(SUBSTITUTE(A3055,"MOV-","")),"000"))</f>
        <v/>
      </c>
    </row>
    <row r="3056" spans="18:20">
      <c r="R3056" s="22" t="str">
        <f>IF(H3056="","",H3056&amp;I3056)</f>
        <v/>
      </c>
      <c r="S3056" s="22" t="str">
        <f>IF(C3056="","",C3056&amp;I3056)</f>
        <v/>
      </c>
      <c r="T3056" t="str">
        <f>IF(OR(C3056="",I3056&lt;&gt;"ENTRADA"),"",TEXT(B3056,"AAMMDD")&amp;"-"&amp;TEXT(VALUE(SUBSTITUTE(A3056,"MOV-","")),"000"))</f>
        <v/>
      </c>
    </row>
    <row r="3057" spans="18:20">
      <c r="R3057" s="22" t="str">
        <f>IF(H3057="","",H3057&amp;I3057)</f>
        <v/>
      </c>
      <c r="S3057" s="22" t="str">
        <f>IF(C3057="","",C3057&amp;I3057)</f>
        <v/>
      </c>
      <c r="T3057" t="str">
        <f>IF(OR(C3057="",I3057&lt;&gt;"ENTRADA"),"",TEXT(B3057,"AAMMDD")&amp;"-"&amp;TEXT(VALUE(SUBSTITUTE(A3057,"MOV-","")),"000"))</f>
        <v/>
      </c>
    </row>
    <row r="3058" spans="18:20">
      <c r="R3058" s="22" t="str">
        <f>IF(H3058="","",H3058&amp;I3058)</f>
        <v/>
      </c>
      <c r="S3058" s="22" t="str">
        <f>IF(C3058="","",C3058&amp;I3058)</f>
        <v/>
      </c>
      <c r="T3058" t="str">
        <f>IF(OR(C3058="",I3058&lt;&gt;"ENTRADA"),"",TEXT(B3058,"AAMMDD")&amp;"-"&amp;TEXT(VALUE(SUBSTITUTE(A3058,"MOV-","")),"000"))</f>
        <v/>
      </c>
    </row>
    <row r="3059" spans="18:20">
      <c r="R3059" s="22" t="str">
        <f>IF(H3059="","",H3059&amp;I3059)</f>
        <v/>
      </c>
      <c r="S3059" s="22" t="str">
        <f>IF(C3059="","",C3059&amp;I3059)</f>
        <v/>
      </c>
      <c r="T3059" t="str">
        <f>IF(OR(C3059="",I3059&lt;&gt;"ENTRADA"),"",TEXT(B3059,"AAMMDD")&amp;"-"&amp;TEXT(VALUE(SUBSTITUTE(A3059,"MOV-","")),"000"))</f>
        <v/>
      </c>
    </row>
    <row r="3060" spans="18:20">
      <c r="R3060" s="22" t="str">
        <f>IF(H3060="","",H3060&amp;I3060)</f>
        <v/>
      </c>
      <c r="S3060" s="22" t="str">
        <f>IF(C3060="","",C3060&amp;I3060)</f>
        <v/>
      </c>
      <c r="T3060" t="str">
        <f>IF(OR(C3060="",I3060&lt;&gt;"ENTRADA"),"",TEXT(B3060,"AAMMDD")&amp;"-"&amp;TEXT(VALUE(SUBSTITUTE(A3060,"MOV-","")),"000"))</f>
        <v/>
      </c>
    </row>
    <row r="3061" spans="18:20">
      <c r="R3061" s="22" t="str">
        <f>IF(H3061="","",H3061&amp;I3061)</f>
        <v/>
      </c>
      <c r="S3061" s="22" t="str">
        <f>IF(C3061="","",C3061&amp;I3061)</f>
        <v/>
      </c>
      <c r="T3061" t="str">
        <f>IF(OR(C3061="",I3061&lt;&gt;"ENTRADA"),"",TEXT(B3061,"AAMMDD")&amp;"-"&amp;TEXT(VALUE(SUBSTITUTE(A3061,"MOV-","")),"000"))</f>
        <v/>
      </c>
    </row>
    <row r="3062" spans="18:20">
      <c r="R3062" s="22" t="str">
        <f>IF(H3062="","",H3062&amp;I3062)</f>
        <v/>
      </c>
      <c r="S3062" s="22" t="str">
        <f>IF(C3062="","",C3062&amp;I3062)</f>
        <v/>
      </c>
      <c r="T3062" t="str">
        <f>IF(OR(C3062="",I3062&lt;&gt;"ENTRADA"),"",TEXT(B3062,"AAMMDD")&amp;"-"&amp;TEXT(VALUE(SUBSTITUTE(A3062,"MOV-","")),"000"))</f>
        <v/>
      </c>
    </row>
    <row r="3063" spans="18:20">
      <c r="R3063" s="22" t="str">
        <f>IF(H3063="","",H3063&amp;I3063)</f>
        <v/>
      </c>
      <c r="S3063" s="22" t="str">
        <f>IF(C3063="","",C3063&amp;I3063)</f>
        <v/>
      </c>
      <c r="T3063" t="str">
        <f>IF(OR(C3063="",I3063&lt;&gt;"ENTRADA"),"",TEXT(B3063,"AAMMDD")&amp;"-"&amp;TEXT(VALUE(SUBSTITUTE(A3063,"MOV-","")),"000"))</f>
        <v/>
      </c>
    </row>
    <row r="3064" spans="18:20">
      <c r="R3064" s="22" t="str">
        <f>IF(H3064="","",H3064&amp;I3064)</f>
        <v/>
      </c>
      <c r="S3064" s="22" t="str">
        <f>IF(C3064="","",C3064&amp;I3064)</f>
        <v/>
      </c>
      <c r="T3064" t="str">
        <f>IF(OR(C3064="",I3064&lt;&gt;"ENTRADA"),"",TEXT(B3064,"AAMMDD")&amp;"-"&amp;TEXT(VALUE(SUBSTITUTE(A3064,"MOV-","")),"000"))</f>
        <v/>
      </c>
    </row>
    <row r="3065" spans="18:20">
      <c r="R3065" s="22" t="str">
        <f>IF(H3065="","",H3065&amp;I3065)</f>
        <v/>
      </c>
      <c r="S3065" s="22" t="str">
        <f>IF(C3065="","",C3065&amp;I3065)</f>
        <v/>
      </c>
      <c r="T3065" t="str">
        <f>IF(OR(C3065="",I3065&lt;&gt;"ENTRADA"),"",TEXT(B3065,"AAMMDD")&amp;"-"&amp;TEXT(VALUE(SUBSTITUTE(A3065,"MOV-","")),"000"))</f>
        <v/>
      </c>
    </row>
    <row r="3066" spans="18:20">
      <c r="R3066" s="22" t="str">
        <f>IF(H3066="","",H3066&amp;I3066)</f>
        <v/>
      </c>
      <c r="S3066" s="22" t="str">
        <f>IF(C3066="","",C3066&amp;I3066)</f>
        <v/>
      </c>
      <c r="T3066" t="str">
        <f>IF(OR(C3066="",I3066&lt;&gt;"ENTRADA"),"",TEXT(B3066,"AAMMDD")&amp;"-"&amp;TEXT(VALUE(SUBSTITUTE(A3066,"MOV-","")),"000"))</f>
        <v/>
      </c>
    </row>
    <row r="3067" spans="18:20">
      <c r="R3067" s="22" t="str">
        <f>IF(H3067="","",H3067&amp;I3067)</f>
        <v/>
      </c>
      <c r="S3067" s="22" t="str">
        <f>IF(C3067="","",C3067&amp;I3067)</f>
        <v/>
      </c>
      <c r="T3067" t="str">
        <f>IF(OR(C3067="",I3067&lt;&gt;"ENTRADA"),"",TEXT(B3067,"AAMMDD")&amp;"-"&amp;TEXT(VALUE(SUBSTITUTE(A3067,"MOV-","")),"000"))</f>
        <v/>
      </c>
    </row>
    <row r="3068" spans="18:20">
      <c r="R3068" s="22" t="str">
        <f>IF(H3068="","",H3068&amp;I3068)</f>
        <v/>
      </c>
      <c r="S3068" s="22" t="str">
        <f>IF(C3068="","",C3068&amp;I3068)</f>
        <v/>
      </c>
      <c r="T3068" t="str">
        <f>IF(OR(C3068="",I3068&lt;&gt;"ENTRADA"),"",TEXT(B3068,"AAMMDD")&amp;"-"&amp;TEXT(VALUE(SUBSTITUTE(A3068,"MOV-","")),"000"))</f>
        <v/>
      </c>
    </row>
    <row r="3069" spans="18:20">
      <c r="R3069" s="22" t="str">
        <f>IF(H3069="","",H3069&amp;I3069)</f>
        <v/>
      </c>
      <c r="S3069" s="22" t="str">
        <f>IF(C3069="","",C3069&amp;I3069)</f>
        <v/>
      </c>
      <c r="T3069" t="str">
        <f>IF(OR(C3069="",I3069&lt;&gt;"ENTRADA"),"",TEXT(B3069,"AAMMDD")&amp;"-"&amp;TEXT(VALUE(SUBSTITUTE(A3069,"MOV-","")),"000"))</f>
        <v/>
      </c>
    </row>
    <row r="3070" spans="18:20">
      <c r="R3070" s="22" t="str">
        <f>IF(H3070="","",H3070&amp;I3070)</f>
        <v/>
      </c>
      <c r="S3070" s="22" t="str">
        <f>IF(C3070="","",C3070&amp;I3070)</f>
        <v/>
      </c>
      <c r="T3070" t="str">
        <f>IF(OR(C3070="",I3070&lt;&gt;"ENTRADA"),"",TEXT(B3070,"AAMMDD")&amp;"-"&amp;TEXT(VALUE(SUBSTITUTE(A3070,"MOV-","")),"000"))</f>
        <v/>
      </c>
    </row>
    <row r="3071" spans="18:20">
      <c r="R3071" s="22" t="str">
        <f>IF(H3071="","",H3071&amp;I3071)</f>
        <v/>
      </c>
      <c r="S3071" s="22" t="str">
        <f>IF(C3071="","",C3071&amp;I3071)</f>
        <v/>
      </c>
      <c r="T3071" t="str">
        <f>IF(OR(C3071="",I3071&lt;&gt;"ENTRADA"),"",TEXT(B3071,"AAMMDD")&amp;"-"&amp;TEXT(VALUE(SUBSTITUTE(A3071,"MOV-","")),"000"))</f>
        <v/>
      </c>
    </row>
    <row r="3072" spans="18:20">
      <c r="R3072" s="22" t="str">
        <f>IF(H3072="","",H3072&amp;I3072)</f>
        <v/>
      </c>
      <c r="S3072" s="22" t="str">
        <f>IF(C3072="","",C3072&amp;I3072)</f>
        <v/>
      </c>
      <c r="T3072" t="str">
        <f>IF(OR(C3072="",I3072&lt;&gt;"ENTRADA"),"",TEXT(B3072,"AAMMDD")&amp;"-"&amp;TEXT(VALUE(SUBSTITUTE(A3072,"MOV-","")),"000"))</f>
        <v/>
      </c>
    </row>
    <row r="3073" spans="18:20">
      <c r="R3073" s="22" t="str">
        <f>IF(H3073="","",H3073&amp;I3073)</f>
        <v/>
      </c>
      <c r="S3073" s="22" t="str">
        <f>IF(C3073="","",C3073&amp;I3073)</f>
        <v/>
      </c>
      <c r="T3073" t="str">
        <f>IF(OR(C3073="",I3073&lt;&gt;"ENTRADA"),"",TEXT(B3073,"AAMMDD")&amp;"-"&amp;TEXT(VALUE(SUBSTITUTE(A3073,"MOV-","")),"000"))</f>
        <v/>
      </c>
    </row>
    <row r="3074" spans="18:20">
      <c r="R3074" s="22" t="str">
        <f>IF(H3074="","",H3074&amp;I3074)</f>
        <v/>
      </c>
      <c r="S3074" s="22" t="str">
        <f>IF(C3074="","",C3074&amp;I3074)</f>
        <v/>
      </c>
      <c r="T3074" t="str">
        <f>IF(OR(C3074="",I3074&lt;&gt;"ENTRADA"),"",TEXT(B3074,"AAMMDD")&amp;"-"&amp;TEXT(VALUE(SUBSTITUTE(A3074,"MOV-","")),"000"))</f>
        <v/>
      </c>
    </row>
    <row r="3075" spans="18:20">
      <c r="R3075" s="22" t="str">
        <f>IF(H3075="","",H3075&amp;I3075)</f>
        <v/>
      </c>
      <c r="S3075" s="22" t="str">
        <f>IF(C3075="","",C3075&amp;I3075)</f>
        <v/>
      </c>
      <c r="T3075" t="str">
        <f>IF(OR(C3075="",I3075&lt;&gt;"ENTRADA"),"",TEXT(B3075,"AAMMDD")&amp;"-"&amp;TEXT(VALUE(SUBSTITUTE(A3075,"MOV-","")),"000"))</f>
        <v/>
      </c>
    </row>
    <row r="3076" spans="18:20">
      <c r="R3076" s="22" t="str">
        <f>IF(H3076="","",H3076&amp;I3076)</f>
        <v/>
      </c>
      <c r="S3076" s="22" t="str">
        <f>IF(C3076="","",C3076&amp;I3076)</f>
        <v/>
      </c>
      <c r="T3076" t="str">
        <f>IF(OR(C3076="",I3076&lt;&gt;"ENTRADA"),"",TEXT(B3076,"AAMMDD")&amp;"-"&amp;TEXT(VALUE(SUBSTITUTE(A3076,"MOV-","")),"000"))</f>
        <v/>
      </c>
    </row>
    <row r="3077" spans="18:20">
      <c r="R3077" s="22" t="str">
        <f>IF(H3077="","",H3077&amp;I3077)</f>
        <v/>
      </c>
      <c r="S3077" s="22" t="str">
        <f>IF(C3077="","",C3077&amp;I3077)</f>
        <v/>
      </c>
      <c r="T3077" t="str">
        <f>IF(OR(C3077="",I3077&lt;&gt;"ENTRADA"),"",TEXT(B3077,"AAMMDD")&amp;"-"&amp;TEXT(VALUE(SUBSTITUTE(A3077,"MOV-","")),"000"))</f>
        <v/>
      </c>
    </row>
    <row r="3078" spans="18:20">
      <c r="R3078" s="22" t="str">
        <f>IF(H3078="","",H3078&amp;I3078)</f>
        <v/>
      </c>
      <c r="S3078" s="22" t="str">
        <f>IF(C3078="","",C3078&amp;I3078)</f>
        <v/>
      </c>
      <c r="T3078" t="str">
        <f>IF(OR(C3078="",I3078&lt;&gt;"ENTRADA"),"",TEXT(B3078,"AAMMDD")&amp;"-"&amp;TEXT(VALUE(SUBSTITUTE(A3078,"MOV-","")),"000"))</f>
        <v/>
      </c>
    </row>
    <row r="3079" spans="18:20">
      <c r="R3079" s="22" t="str">
        <f>IF(H3079="","",H3079&amp;I3079)</f>
        <v/>
      </c>
      <c r="S3079" s="22" t="str">
        <f>IF(C3079="","",C3079&amp;I3079)</f>
        <v/>
      </c>
      <c r="T3079" t="str">
        <f>IF(OR(C3079="",I3079&lt;&gt;"ENTRADA"),"",TEXT(B3079,"AAMMDD")&amp;"-"&amp;TEXT(VALUE(SUBSTITUTE(A3079,"MOV-","")),"000"))</f>
        <v/>
      </c>
    </row>
    <row r="3080" spans="18:20">
      <c r="R3080" s="22" t="str">
        <f>IF(H3080="","",H3080&amp;I3080)</f>
        <v/>
      </c>
      <c r="S3080" s="22" t="str">
        <f>IF(C3080="","",C3080&amp;I3080)</f>
        <v/>
      </c>
      <c r="T3080" t="str">
        <f>IF(OR(C3080="",I3080&lt;&gt;"ENTRADA"),"",TEXT(B3080,"AAMMDD")&amp;"-"&amp;TEXT(VALUE(SUBSTITUTE(A3080,"MOV-","")),"000"))</f>
        <v/>
      </c>
    </row>
    <row r="3081" spans="18:20">
      <c r="R3081" s="22" t="str">
        <f>IF(H3081="","",H3081&amp;I3081)</f>
        <v/>
      </c>
      <c r="S3081" s="22" t="str">
        <f>IF(C3081="","",C3081&amp;I3081)</f>
        <v/>
      </c>
      <c r="T3081" t="str">
        <f>IF(OR(C3081="",I3081&lt;&gt;"ENTRADA"),"",TEXT(B3081,"AAMMDD")&amp;"-"&amp;TEXT(VALUE(SUBSTITUTE(A3081,"MOV-","")),"000"))</f>
        <v/>
      </c>
    </row>
    <row r="3082" spans="18:20">
      <c r="R3082" s="22" t="str">
        <f>IF(H3082="","",H3082&amp;I3082)</f>
        <v/>
      </c>
      <c r="S3082" s="22" t="str">
        <f>IF(C3082="","",C3082&amp;I3082)</f>
        <v/>
      </c>
      <c r="T3082" t="str">
        <f>IF(OR(C3082="",I3082&lt;&gt;"ENTRADA"),"",TEXT(B3082,"AAMMDD")&amp;"-"&amp;TEXT(VALUE(SUBSTITUTE(A3082,"MOV-","")),"000"))</f>
        <v/>
      </c>
    </row>
    <row r="3083" spans="18:20">
      <c r="R3083" s="22" t="str">
        <f>IF(H3083="","",H3083&amp;I3083)</f>
        <v/>
      </c>
      <c r="S3083" s="22" t="str">
        <f>IF(C3083="","",C3083&amp;I3083)</f>
        <v/>
      </c>
      <c r="T3083" t="str">
        <f>IF(OR(C3083="",I3083&lt;&gt;"ENTRADA"),"",TEXT(B3083,"AAMMDD")&amp;"-"&amp;TEXT(VALUE(SUBSTITUTE(A3083,"MOV-","")),"000"))</f>
        <v/>
      </c>
    </row>
    <row r="3084" spans="18:20">
      <c r="R3084" s="22" t="str">
        <f>IF(H3084="","",H3084&amp;I3084)</f>
        <v/>
      </c>
      <c r="S3084" s="22" t="str">
        <f>IF(C3084="","",C3084&amp;I3084)</f>
        <v/>
      </c>
      <c r="T3084" t="str">
        <f>IF(OR(C3084="",I3084&lt;&gt;"ENTRADA"),"",TEXT(B3084,"AAMMDD")&amp;"-"&amp;TEXT(VALUE(SUBSTITUTE(A3084,"MOV-","")),"000"))</f>
        <v/>
      </c>
    </row>
    <row r="3085" spans="18:20">
      <c r="R3085" s="22" t="str">
        <f>IF(H3085="","",H3085&amp;I3085)</f>
        <v/>
      </c>
      <c r="S3085" s="22" t="str">
        <f>IF(C3085="","",C3085&amp;I3085)</f>
        <v/>
      </c>
      <c r="T3085" t="str">
        <f>IF(OR(C3085="",I3085&lt;&gt;"ENTRADA"),"",TEXT(B3085,"AAMMDD")&amp;"-"&amp;TEXT(VALUE(SUBSTITUTE(A3085,"MOV-","")),"000"))</f>
        <v/>
      </c>
    </row>
    <row r="3086" spans="18:20">
      <c r="R3086" s="22" t="str">
        <f>IF(H3086="","",H3086&amp;I3086)</f>
        <v/>
      </c>
      <c r="S3086" s="22" t="str">
        <f>IF(C3086="","",C3086&amp;I3086)</f>
        <v/>
      </c>
      <c r="T3086" t="str">
        <f>IF(OR(C3086="",I3086&lt;&gt;"ENTRADA"),"",TEXT(B3086,"AAMMDD")&amp;"-"&amp;TEXT(VALUE(SUBSTITUTE(A3086,"MOV-","")),"000"))</f>
        <v/>
      </c>
    </row>
    <row r="3087" spans="18:20">
      <c r="R3087" s="22" t="str">
        <f>IF(H3087="","",H3087&amp;I3087)</f>
        <v/>
      </c>
      <c r="S3087" s="22" t="str">
        <f>IF(C3087="","",C3087&amp;I3087)</f>
        <v/>
      </c>
      <c r="T3087" t="str">
        <f>IF(OR(C3087="",I3087&lt;&gt;"ENTRADA"),"",TEXT(B3087,"AAMMDD")&amp;"-"&amp;TEXT(VALUE(SUBSTITUTE(A3087,"MOV-","")),"000"))</f>
        <v/>
      </c>
    </row>
    <row r="3088" spans="18:20">
      <c r="R3088" s="22" t="str">
        <f>IF(H3088="","",H3088&amp;I3088)</f>
        <v/>
      </c>
      <c r="S3088" s="22" t="str">
        <f>IF(C3088="","",C3088&amp;I3088)</f>
        <v/>
      </c>
      <c r="T3088" t="str">
        <f>IF(OR(C3088="",I3088&lt;&gt;"ENTRADA"),"",TEXT(B3088,"AAMMDD")&amp;"-"&amp;TEXT(VALUE(SUBSTITUTE(A3088,"MOV-","")),"000"))</f>
        <v/>
      </c>
    </row>
    <row r="3089" spans="18:20">
      <c r="R3089" s="22" t="str">
        <f>IF(H3089="","",H3089&amp;I3089)</f>
        <v/>
      </c>
      <c r="S3089" s="22" t="str">
        <f>IF(C3089="","",C3089&amp;I3089)</f>
        <v/>
      </c>
      <c r="T3089" t="str">
        <f>IF(OR(C3089="",I3089&lt;&gt;"ENTRADA"),"",TEXT(B3089,"AAMMDD")&amp;"-"&amp;TEXT(VALUE(SUBSTITUTE(A3089,"MOV-","")),"000"))</f>
        <v/>
      </c>
    </row>
    <row r="3090" spans="18:20">
      <c r="R3090" s="22" t="str">
        <f>IF(H3090="","",H3090&amp;I3090)</f>
        <v/>
      </c>
      <c r="S3090" s="22" t="str">
        <f>IF(C3090="","",C3090&amp;I3090)</f>
        <v/>
      </c>
      <c r="T3090" t="str">
        <f>IF(OR(C3090="",I3090&lt;&gt;"ENTRADA"),"",TEXT(B3090,"AAMMDD")&amp;"-"&amp;TEXT(VALUE(SUBSTITUTE(A3090,"MOV-","")),"000"))</f>
        <v/>
      </c>
    </row>
    <row r="3091" spans="18:20">
      <c r="R3091" s="22" t="str">
        <f>IF(H3091="","",H3091&amp;I3091)</f>
        <v/>
      </c>
      <c r="S3091" s="22" t="str">
        <f>IF(C3091="","",C3091&amp;I3091)</f>
        <v/>
      </c>
      <c r="T3091" t="str">
        <f>IF(OR(C3091="",I3091&lt;&gt;"ENTRADA"),"",TEXT(B3091,"AAMMDD")&amp;"-"&amp;TEXT(VALUE(SUBSTITUTE(A3091,"MOV-","")),"000"))</f>
        <v/>
      </c>
    </row>
    <row r="3092" spans="18:20">
      <c r="R3092" s="22" t="str">
        <f>IF(H3092="","",H3092&amp;I3092)</f>
        <v/>
      </c>
      <c r="S3092" s="22" t="str">
        <f>IF(C3092="","",C3092&amp;I3092)</f>
        <v/>
      </c>
      <c r="T3092" t="str">
        <f>IF(OR(C3092="",I3092&lt;&gt;"ENTRADA"),"",TEXT(B3092,"AAMMDD")&amp;"-"&amp;TEXT(VALUE(SUBSTITUTE(A3092,"MOV-","")),"000"))</f>
        <v/>
      </c>
    </row>
    <row r="3093" spans="18:20">
      <c r="R3093" s="22" t="str">
        <f>IF(H3093="","",H3093&amp;I3093)</f>
        <v/>
      </c>
      <c r="S3093" s="22" t="str">
        <f>IF(C3093="","",C3093&amp;I3093)</f>
        <v/>
      </c>
      <c r="T3093" t="str">
        <f>IF(OR(C3093="",I3093&lt;&gt;"ENTRADA"),"",TEXT(B3093,"AAMMDD")&amp;"-"&amp;TEXT(VALUE(SUBSTITUTE(A3093,"MOV-","")),"000"))</f>
        <v/>
      </c>
    </row>
    <row r="3094" spans="18:20">
      <c r="R3094" s="22" t="str">
        <f>IF(H3094="","",H3094&amp;I3094)</f>
        <v/>
      </c>
      <c r="S3094" s="22" t="str">
        <f>IF(C3094="","",C3094&amp;I3094)</f>
        <v/>
      </c>
      <c r="T3094" t="str">
        <f>IF(OR(C3094="",I3094&lt;&gt;"ENTRADA"),"",TEXT(B3094,"AAMMDD")&amp;"-"&amp;TEXT(VALUE(SUBSTITUTE(A3094,"MOV-","")),"000"))</f>
        <v/>
      </c>
    </row>
    <row r="3095" spans="18:20">
      <c r="R3095" s="22" t="str">
        <f>IF(H3095="","",H3095&amp;I3095)</f>
        <v/>
      </c>
      <c r="S3095" s="22" t="str">
        <f>IF(C3095="","",C3095&amp;I3095)</f>
        <v/>
      </c>
      <c r="T3095" t="str">
        <f>IF(OR(C3095="",I3095&lt;&gt;"ENTRADA"),"",TEXT(B3095,"AAMMDD")&amp;"-"&amp;TEXT(VALUE(SUBSTITUTE(A3095,"MOV-","")),"000"))</f>
        <v/>
      </c>
    </row>
    <row r="3096" spans="18:20">
      <c r="R3096" s="22" t="str">
        <f>IF(H3096="","",H3096&amp;I3096)</f>
        <v/>
      </c>
      <c r="S3096" s="22" t="str">
        <f>IF(C3096="","",C3096&amp;I3096)</f>
        <v/>
      </c>
      <c r="T3096" t="str">
        <f>IF(OR(C3096="",I3096&lt;&gt;"ENTRADA"),"",TEXT(B3096,"AAMMDD")&amp;"-"&amp;TEXT(VALUE(SUBSTITUTE(A3096,"MOV-","")),"000"))</f>
        <v/>
      </c>
    </row>
    <row r="3097" spans="18:20">
      <c r="R3097" s="22" t="str">
        <f>IF(H3097="","",H3097&amp;I3097)</f>
        <v/>
      </c>
      <c r="S3097" s="22" t="str">
        <f>IF(C3097="","",C3097&amp;I3097)</f>
        <v/>
      </c>
      <c r="T3097" t="str">
        <f>IF(OR(C3097="",I3097&lt;&gt;"ENTRADA"),"",TEXT(B3097,"AAMMDD")&amp;"-"&amp;TEXT(VALUE(SUBSTITUTE(A3097,"MOV-","")),"000"))</f>
        <v/>
      </c>
    </row>
    <row r="3098" spans="18:20">
      <c r="R3098" s="22" t="str">
        <f>IF(H3098="","",H3098&amp;I3098)</f>
        <v/>
      </c>
      <c r="S3098" s="22" t="str">
        <f>IF(C3098="","",C3098&amp;I3098)</f>
        <v/>
      </c>
      <c r="T3098" t="str">
        <f>IF(OR(C3098="",I3098&lt;&gt;"ENTRADA"),"",TEXT(B3098,"AAMMDD")&amp;"-"&amp;TEXT(VALUE(SUBSTITUTE(A3098,"MOV-","")),"000"))</f>
        <v/>
      </c>
    </row>
    <row r="3099" spans="18:20">
      <c r="R3099" s="22" t="str">
        <f>IF(H3099="","",H3099&amp;I3099)</f>
        <v/>
      </c>
      <c r="S3099" s="22" t="str">
        <f>IF(C3099="","",C3099&amp;I3099)</f>
        <v/>
      </c>
      <c r="T3099" t="str">
        <f>IF(OR(C3099="",I3099&lt;&gt;"ENTRADA"),"",TEXT(B3099,"AAMMDD")&amp;"-"&amp;TEXT(VALUE(SUBSTITUTE(A3099,"MOV-","")),"000"))</f>
        <v/>
      </c>
    </row>
    <row r="3100" spans="18:20">
      <c r="R3100" s="22" t="str">
        <f>IF(H3100="","",H3100&amp;I3100)</f>
        <v/>
      </c>
      <c r="S3100" s="22" t="str">
        <f>IF(C3100="","",C3100&amp;I3100)</f>
        <v/>
      </c>
      <c r="T3100" t="str">
        <f>IF(OR(C3100="",I3100&lt;&gt;"ENTRADA"),"",TEXT(B3100,"AAMMDD")&amp;"-"&amp;TEXT(VALUE(SUBSTITUTE(A3100,"MOV-","")),"000"))</f>
        <v/>
      </c>
    </row>
    <row r="3101" spans="18:20">
      <c r="R3101" s="22" t="str">
        <f>IF(H3101="","",H3101&amp;I3101)</f>
        <v/>
      </c>
      <c r="S3101" s="22" t="str">
        <f>IF(C3101="","",C3101&amp;I3101)</f>
        <v/>
      </c>
      <c r="T3101" t="str">
        <f>IF(OR(C3101="",I3101&lt;&gt;"ENTRADA"),"",TEXT(B3101,"AAMMDD")&amp;"-"&amp;TEXT(VALUE(SUBSTITUTE(A3101,"MOV-","")),"000"))</f>
        <v/>
      </c>
    </row>
    <row r="3102" spans="18:20">
      <c r="R3102" s="22" t="str">
        <f>IF(H3102="","",H3102&amp;I3102)</f>
        <v/>
      </c>
      <c r="S3102" s="22" t="str">
        <f>IF(C3102="","",C3102&amp;I3102)</f>
        <v/>
      </c>
      <c r="T3102" t="str">
        <f>IF(OR(C3102="",I3102&lt;&gt;"ENTRADA"),"",TEXT(B3102,"AAMMDD")&amp;"-"&amp;TEXT(VALUE(SUBSTITUTE(A3102,"MOV-","")),"000"))</f>
        <v/>
      </c>
    </row>
    <row r="3103" spans="18:20">
      <c r="R3103" s="22" t="str">
        <f>IF(H3103="","",H3103&amp;I3103)</f>
        <v/>
      </c>
      <c r="S3103" s="22" t="str">
        <f>IF(C3103="","",C3103&amp;I3103)</f>
        <v/>
      </c>
      <c r="T3103" t="str">
        <f>IF(OR(C3103="",I3103&lt;&gt;"ENTRADA"),"",TEXT(B3103,"AAMMDD")&amp;"-"&amp;TEXT(VALUE(SUBSTITUTE(A3103,"MOV-","")),"000"))</f>
        <v/>
      </c>
    </row>
    <row r="3104" spans="18:20">
      <c r="R3104" s="22" t="str">
        <f>IF(H3104="","",H3104&amp;I3104)</f>
        <v/>
      </c>
      <c r="S3104" s="22" t="str">
        <f>IF(C3104="","",C3104&amp;I3104)</f>
        <v/>
      </c>
      <c r="T3104" t="str">
        <f>IF(OR(C3104="",I3104&lt;&gt;"ENTRADA"),"",TEXT(B3104,"AAMMDD")&amp;"-"&amp;TEXT(VALUE(SUBSTITUTE(A3104,"MOV-","")),"000"))</f>
        <v/>
      </c>
    </row>
    <row r="3105" spans="18:20">
      <c r="R3105" s="22" t="str">
        <f>IF(H3105="","",H3105&amp;I3105)</f>
        <v/>
      </c>
      <c r="S3105" s="22" t="str">
        <f>IF(C3105="","",C3105&amp;I3105)</f>
        <v/>
      </c>
      <c r="T3105" t="str">
        <f>IF(OR(C3105="",I3105&lt;&gt;"ENTRADA"),"",TEXT(B3105,"AAMMDD")&amp;"-"&amp;TEXT(VALUE(SUBSTITUTE(A3105,"MOV-","")),"000"))</f>
        <v/>
      </c>
    </row>
    <row r="3106" spans="18:20">
      <c r="R3106" s="22" t="str">
        <f>IF(H3106="","",H3106&amp;I3106)</f>
        <v/>
      </c>
      <c r="S3106" s="22" t="str">
        <f>IF(C3106="","",C3106&amp;I3106)</f>
        <v/>
      </c>
      <c r="T3106" t="str">
        <f>IF(OR(C3106="",I3106&lt;&gt;"ENTRADA"),"",TEXT(B3106,"AAMMDD")&amp;"-"&amp;TEXT(VALUE(SUBSTITUTE(A3106,"MOV-","")),"000"))</f>
        <v/>
      </c>
    </row>
    <row r="3107" spans="18:20">
      <c r="R3107" s="22" t="str">
        <f>IF(H3107="","",H3107&amp;I3107)</f>
        <v/>
      </c>
      <c r="S3107" s="22" t="str">
        <f>IF(C3107="","",C3107&amp;I3107)</f>
        <v/>
      </c>
      <c r="T3107" t="str">
        <f>IF(OR(C3107="",I3107&lt;&gt;"ENTRADA"),"",TEXT(B3107,"AAMMDD")&amp;"-"&amp;TEXT(VALUE(SUBSTITUTE(A3107,"MOV-","")),"000"))</f>
        <v/>
      </c>
    </row>
    <row r="3108" spans="18:20">
      <c r="R3108" s="22" t="str">
        <f>IF(H3108="","",H3108&amp;I3108)</f>
        <v/>
      </c>
      <c r="S3108" s="22" t="str">
        <f>IF(C3108="","",C3108&amp;I3108)</f>
        <v/>
      </c>
      <c r="T3108" t="str">
        <f>IF(OR(C3108="",I3108&lt;&gt;"ENTRADA"),"",TEXT(B3108,"AAMMDD")&amp;"-"&amp;TEXT(VALUE(SUBSTITUTE(A3108,"MOV-","")),"000"))</f>
        <v/>
      </c>
    </row>
    <row r="3109" spans="18:20">
      <c r="R3109" s="22" t="str">
        <f>IF(H3109="","",H3109&amp;I3109)</f>
        <v/>
      </c>
      <c r="S3109" s="22" t="str">
        <f>IF(C3109="","",C3109&amp;I3109)</f>
        <v/>
      </c>
      <c r="T3109" t="str">
        <f>IF(OR(C3109="",I3109&lt;&gt;"ENTRADA"),"",TEXT(B3109,"AAMMDD")&amp;"-"&amp;TEXT(VALUE(SUBSTITUTE(A3109,"MOV-","")),"000"))</f>
        <v/>
      </c>
    </row>
    <row r="3110" spans="18:20">
      <c r="R3110" s="22" t="str">
        <f>IF(H3110="","",H3110&amp;I3110)</f>
        <v/>
      </c>
      <c r="S3110" s="22" t="str">
        <f>IF(C3110="","",C3110&amp;I3110)</f>
        <v/>
      </c>
      <c r="T3110" t="str">
        <f>IF(OR(C3110="",I3110&lt;&gt;"ENTRADA"),"",TEXT(B3110,"AAMMDD")&amp;"-"&amp;TEXT(VALUE(SUBSTITUTE(A3110,"MOV-","")),"000"))</f>
        <v/>
      </c>
    </row>
    <row r="3111" spans="18:20">
      <c r="R3111" s="22" t="str">
        <f>IF(H3111="","",H3111&amp;I3111)</f>
        <v/>
      </c>
      <c r="S3111" s="22" t="str">
        <f>IF(C3111="","",C3111&amp;I3111)</f>
        <v/>
      </c>
      <c r="T3111" t="str">
        <f>IF(OR(C3111="",I3111&lt;&gt;"ENTRADA"),"",TEXT(B3111,"AAMMDD")&amp;"-"&amp;TEXT(VALUE(SUBSTITUTE(A3111,"MOV-","")),"000"))</f>
        <v/>
      </c>
    </row>
    <row r="3112" spans="18:20">
      <c r="R3112" s="22" t="str">
        <f>IF(H3112="","",H3112&amp;I3112)</f>
        <v/>
      </c>
      <c r="S3112" s="22" t="str">
        <f>IF(C3112="","",C3112&amp;I3112)</f>
        <v/>
      </c>
      <c r="T3112" t="str">
        <f>IF(OR(C3112="",I3112&lt;&gt;"ENTRADA"),"",TEXT(B3112,"AAMMDD")&amp;"-"&amp;TEXT(VALUE(SUBSTITUTE(A3112,"MOV-","")),"000"))</f>
        <v/>
      </c>
    </row>
    <row r="3113" spans="18:20">
      <c r="R3113" s="22" t="str">
        <f>IF(H3113="","",H3113&amp;I3113)</f>
        <v/>
      </c>
      <c r="S3113" s="22" t="str">
        <f>IF(C3113="","",C3113&amp;I3113)</f>
        <v/>
      </c>
      <c r="T3113" t="str">
        <f>IF(OR(C3113="",I3113&lt;&gt;"ENTRADA"),"",TEXT(B3113,"AAMMDD")&amp;"-"&amp;TEXT(VALUE(SUBSTITUTE(A3113,"MOV-","")),"000"))</f>
        <v/>
      </c>
    </row>
    <row r="3114" spans="18:20">
      <c r="R3114" s="22" t="str">
        <f>IF(H3114="","",H3114&amp;I3114)</f>
        <v/>
      </c>
      <c r="S3114" s="22" t="str">
        <f>IF(C3114="","",C3114&amp;I3114)</f>
        <v/>
      </c>
      <c r="T3114" t="str">
        <f>IF(OR(C3114="",I3114&lt;&gt;"ENTRADA"),"",TEXT(B3114,"AAMMDD")&amp;"-"&amp;TEXT(VALUE(SUBSTITUTE(A3114,"MOV-","")),"000"))</f>
        <v/>
      </c>
    </row>
    <row r="3115" spans="18:20">
      <c r="R3115" s="22" t="str">
        <f>IF(H3115="","",H3115&amp;I3115)</f>
        <v/>
      </c>
      <c r="S3115" s="22" t="str">
        <f>IF(C3115="","",C3115&amp;I3115)</f>
        <v/>
      </c>
      <c r="T3115" t="str">
        <f>IF(OR(C3115="",I3115&lt;&gt;"ENTRADA"),"",TEXT(B3115,"AAMMDD")&amp;"-"&amp;TEXT(VALUE(SUBSTITUTE(A3115,"MOV-","")),"000"))</f>
        <v/>
      </c>
    </row>
    <row r="3116" spans="18:20">
      <c r="R3116" s="22" t="str">
        <f>IF(H3116="","",H3116&amp;I3116)</f>
        <v/>
      </c>
      <c r="S3116" s="22" t="str">
        <f>IF(C3116="","",C3116&amp;I3116)</f>
        <v/>
      </c>
      <c r="T3116" t="str">
        <f>IF(OR(C3116="",I3116&lt;&gt;"ENTRADA"),"",TEXT(B3116,"AAMMDD")&amp;"-"&amp;TEXT(VALUE(SUBSTITUTE(A3116,"MOV-","")),"000"))</f>
        <v/>
      </c>
    </row>
    <row r="3117" spans="18:20">
      <c r="R3117" s="22" t="str">
        <f>IF(H3117="","",H3117&amp;I3117)</f>
        <v/>
      </c>
      <c r="S3117" s="22" t="str">
        <f>IF(C3117="","",C3117&amp;I3117)</f>
        <v/>
      </c>
      <c r="T3117" t="str">
        <f>IF(OR(C3117="",I3117&lt;&gt;"ENTRADA"),"",TEXT(B3117,"AAMMDD")&amp;"-"&amp;TEXT(VALUE(SUBSTITUTE(A3117,"MOV-","")),"000"))</f>
        <v/>
      </c>
    </row>
    <row r="3118" spans="18:20">
      <c r="R3118" s="22" t="str">
        <f>IF(H3118="","",H3118&amp;I3118)</f>
        <v/>
      </c>
      <c r="S3118" s="22" t="str">
        <f>IF(C3118="","",C3118&amp;I3118)</f>
        <v/>
      </c>
      <c r="T3118" t="str">
        <f>IF(OR(C3118="",I3118&lt;&gt;"ENTRADA"),"",TEXT(B3118,"AAMMDD")&amp;"-"&amp;TEXT(VALUE(SUBSTITUTE(A3118,"MOV-","")),"000"))</f>
        <v/>
      </c>
    </row>
    <row r="3119" spans="18:20">
      <c r="R3119" s="22" t="str">
        <f>IF(H3119="","",H3119&amp;I3119)</f>
        <v/>
      </c>
      <c r="S3119" s="22" t="str">
        <f>IF(C3119="","",C3119&amp;I3119)</f>
        <v/>
      </c>
      <c r="T3119" t="str">
        <f>IF(OR(C3119="",I3119&lt;&gt;"ENTRADA"),"",TEXT(B3119,"AAMMDD")&amp;"-"&amp;TEXT(VALUE(SUBSTITUTE(A3119,"MOV-","")),"000"))</f>
        <v/>
      </c>
    </row>
    <row r="3120" spans="18:20">
      <c r="R3120" s="22" t="str">
        <f>IF(H3120="","",H3120&amp;I3120)</f>
        <v/>
      </c>
      <c r="S3120" s="22" t="str">
        <f>IF(C3120="","",C3120&amp;I3120)</f>
        <v/>
      </c>
      <c r="T3120" t="str">
        <f>IF(OR(C3120="",I3120&lt;&gt;"ENTRADA"),"",TEXT(B3120,"AAMMDD")&amp;"-"&amp;TEXT(VALUE(SUBSTITUTE(A3120,"MOV-","")),"000"))</f>
        <v/>
      </c>
    </row>
    <row r="3121" spans="18:20">
      <c r="R3121" s="22" t="str">
        <f>IF(H3121="","",H3121&amp;I3121)</f>
        <v/>
      </c>
      <c r="S3121" s="22" t="str">
        <f>IF(C3121="","",C3121&amp;I3121)</f>
        <v/>
      </c>
      <c r="T3121" t="str">
        <f>IF(OR(C3121="",I3121&lt;&gt;"ENTRADA"),"",TEXT(B3121,"AAMMDD")&amp;"-"&amp;TEXT(VALUE(SUBSTITUTE(A3121,"MOV-","")),"000"))</f>
        <v/>
      </c>
    </row>
    <row r="3122" spans="18:20">
      <c r="R3122" s="22" t="str">
        <f>IF(H3122="","",H3122&amp;I3122)</f>
        <v/>
      </c>
      <c r="S3122" s="22" t="str">
        <f>IF(C3122="","",C3122&amp;I3122)</f>
        <v/>
      </c>
      <c r="T3122" t="str">
        <f>IF(OR(C3122="",I3122&lt;&gt;"ENTRADA"),"",TEXT(B3122,"AAMMDD")&amp;"-"&amp;TEXT(VALUE(SUBSTITUTE(A3122,"MOV-","")),"000"))</f>
        <v/>
      </c>
    </row>
    <row r="3123" spans="18:20">
      <c r="R3123" s="22" t="str">
        <f>IF(H3123="","",H3123&amp;I3123)</f>
        <v/>
      </c>
      <c r="S3123" s="22" t="str">
        <f>IF(C3123="","",C3123&amp;I3123)</f>
        <v/>
      </c>
      <c r="T3123" t="str">
        <f>IF(OR(C3123="",I3123&lt;&gt;"ENTRADA"),"",TEXT(B3123,"AAMMDD")&amp;"-"&amp;TEXT(VALUE(SUBSTITUTE(A3123,"MOV-","")),"000"))</f>
        <v/>
      </c>
    </row>
    <row r="3124" spans="18:20">
      <c r="R3124" s="22" t="str">
        <f>IF(H3124="","",H3124&amp;I3124)</f>
        <v/>
      </c>
      <c r="S3124" s="22" t="str">
        <f>IF(C3124="","",C3124&amp;I3124)</f>
        <v/>
      </c>
      <c r="T3124" t="str">
        <f>IF(OR(C3124="",I3124&lt;&gt;"ENTRADA"),"",TEXT(B3124,"AAMMDD")&amp;"-"&amp;TEXT(VALUE(SUBSTITUTE(A3124,"MOV-","")),"000"))</f>
        <v/>
      </c>
    </row>
    <row r="3125" spans="18:20">
      <c r="R3125" s="22" t="str">
        <f>IF(H3125="","",H3125&amp;I3125)</f>
        <v/>
      </c>
      <c r="S3125" s="22" t="str">
        <f>IF(C3125="","",C3125&amp;I3125)</f>
        <v/>
      </c>
      <c r="T3125" t="str">
        <f>IF(OR(C3125="",I3125&lt;&gt;"ENTRADA"),"",TEXT(B3125,"AAMMDD")&amp;"-"&amp;TEXT(VALUE(SUBSTITUTE(A3125,"MOV-","")),"000"))</f>
        <v/>
      </c>
    </row>
    <row r="3126" spans="18:20">
      <c r="R3126" s="22" t="str">
        <f>IF(H3126="","",H3126&amp;I3126)</f>
        <v/>
      </c>
      <c r="S3126" s="22" t="str">
        <f>IF(C3126="","",C3126&amp;I3126)</f>
        <v/>
      </c>
      <c r="T3126" t="str">
        <f>IF(OR(C3126="",I3126&lt;&gt;"ENTRADA"),"",TEXT(B3126,"AAMMDD")&amp;"-"&amp;TEXT(VALUE(SUBSTITUTE(A3126,"MOV-","")),"000"))</f>
        <v/>
      </c>
    </row>
    <row r="3127" spans="18:20">
      <c r="R3127" s="22" t="str">
        <f>IF(H3127="","",H3127&amp;I3127)</f>
        <v/>
      </c>
      <c r="S3127" s="22" t="str">
        <f>IF(C3127="","",C3127&amp;I3127)</f>
        <v/>
      </c>
      <c r="T3127" t="str">
        <f>IF(OR(C3127="",I3127&lt;&gt;"ENTRADA"),"",TEXT(B3127,"AAMMDD")&amp;"-"&amp;TEXT(VALUE(SUBSTITUTE(A3127,"MOV-","")),"000"))</f>
        <v/>
      </c>
    </row>
    <row r="3128" spans="18:20">
      <c r="R3128" s="22" t="str">
        <f>IF(H3128="","",H3128&amp;I3128)</f>
        <v/>
      </c>
      <c r="S3128" s="22" t="str">
        <f>IF(C3128="","",C3128&amp;I3128)</f>
        <v/>
      </c>
      <c r="T3128" t="str">
        <f>IF(OR(C3128="",I3128&lt;&gt;"ENTRADA"),"",TEXT(B3128,"AAMMDD")&amp;"-"&amp;TEXT(VALUE(SUBSTITUTE(A3128,"MOV-","")),"000"))</f>
        <v/>
      </c>
    </row>
    <row r="3129" spans="18:20">
      <c r="R3129" s="22" t="str">
        <f>IF(H3129="","",H3129&amp;I3129)</f>
        <v/>
      </c>
      <c r="S3129" s="22" t="str">
        <f>IF(C3129="","",C3129&amp;I3129)</f>
        <v/>
      </c>
      <c r="T3129" t="str">
        <f>IF(OR(C3129="",I3129&lt;&gt;"ENTRADA"),"",TEXT(B3129,"AAMMDD")&amp;"-"&amp;TEXT(VALUE(SUBSTITUTE(A3129,"MOV-","")),"000"))</f>
        <v/>
      </c>
    </row>
    <row r="3130" spans="18:20">
      <c r="R3130" s="22" t="str">
        <f>IF(H3130="","",H3130&amp;I3130)</f>
        <v/>
      </c>
      <c r="S3130" s="22" t="str">
        <f>IF(C3130="","",C3130&amp;I3130)</f>
        <v/>
      </c>
      <c r="T3130" t="str">
        <f>IF(OR(C3130="",I3130&lt;&gt;"ENTRADA"),"",TEXT(B3130,"AAMMDD")&amp;"-"&amp;TEXT(VALUE(SUBSTITUTE(A3130,"MOV-","")),"000"))</f>
        <v/>
      </c>
    </row>
    <row r="3131" spans="18:20">
      <c r="R3131" s="22" t="str">
        <f>IF(H3131="","",H3131&amp;I3131)</f>
        <v/>
      </c>
      <c r="S3131" s="22" t="str">
        <f>IF(C3131="","",C3131&amp;I3131)</f>
        <v/>
      </c>
      <c r="T3131" t="str">
        <f>IF(OR(C3131="",I3131&lt;&gt;"ENTRADA"),"",TEXT(B3131,"AAMMDD")&amp;"-"&amp;TEXT(VALUE(SUBSTITUTE(A3131,"MOV-","")),"000"))</f>
        <v/>
      </c>
    </row>
    <row r="3132" spans="18:20">
      <c r="R3132" s="22" t="str">
        <f>IF(H3132="","",H3132&amp;I3132)</f>
        <v/>
      </c>
      <c r="S3132" s="22" t="str">
        <f>IF(C3132="","",C3132&amp;I3132)</f>
        <v/>
      </c>
      <c r="T3132" t="str">
        <f>IF(OR(C3132="",I3132&lt;&gt;"ENTRADA"),"",TEXT(B3132,"AAMMDD")&amp;"-"&amp;TEXT(VALUE(SUBSTITUTE(A3132,"MOV-","")),"000"))</f>
        <v/>
      </c>
    </row>
    <row r="3133" spans="18:20">
      <c r="R3133" s="22" t="str">
        <f>IF(H3133="","",H3133&amp;I3133)</f>
        <v/>
      </c>
      <c r="S3133" s="22" t="str">
        <f>IF(C3133="","",C3133&amp;I3133)</f>
        <v/>
      </c>
      <c r="T3133" t="str">
        <f>IF(OR(C3133="",I3133&lt;&gt;"ENTRADA"),"",TEXT(B3133,"AAMMDD")&amp;"-"&amp;TEXT(VALUE(SUBSTITUTE(A3133,"MOV-","")),"000"))</f>
        <v/>
      </c>
    </row>
    <row r="3134" spans="18:20">
      <c r="R3134" s="22" t="str">
        <f>IF(H3134="","",H3134&amp;I3134)</f>
        <v/>
      </c>
      <c r="S3134" s="22" t="str">
        <f>IF(C3134="","",C3134&amp;I3134)</f>
        <v/>
      </c>
      <c r="T3134" t="str">
        <f>IF(OR(C3134="",I3134&lt;&gt;"ENTRADA"),"",TEXT(B3134,"AAMMDD")&amp;"-"&amp;TEXT(VALUE(SUBSTITUTE(A3134,"MOV-","")),"000"))</f>
        <v/>
      </c>
    </row>
    <row r="3135" spans="18:20">
      <c r="R3135" s="22" t="str">
        <f>IF(H3135="","",H3135&amp;I3135)</f>
        <v/>
      </c>
      <c r="S3135" s="22" t="str">
        <f>IF(C3135="","",C3135&amp;I3135)</f>
        <v/>
      </c>
      <c r="T3135" t="str">
        <f>IF(OR(C3135="",I3135&lt;&gt;"ENTRADA"),"",TEXT(B3135,"AAMMDD")&amp;"-"&amp;TEXT(VALUE(SUBSTITUTE(A3135,"MOV-","")),"000"))</f>
        <v/>
      </c>
    </row>
    <row r="3136" spans="18:20">
      <c r="R3136" s="22" t="str">
        <f>IF(H3136="","",H3136&amp;I3136)</f>
        <v/>
      </c>
      <c r="S3136" s="22" t="str">
        <f>IF(C3136="","",C3136&amp;I3136)</f>
        <v/>
      </c>
      <c r="T3136" t="str">
        <f>IF(OR(C3136="",I3136&lt;&gt;"ENTRADA"),"",TEXT(B3136,"AAMMDD")&amp;"-"&amp;TEXT(VALUE(SUBSTITUTE(A3136,"MOV-","")),"000"))</f>
        <v/>
      </c>
    </row>
    <row r="3137" spans="18:20">
      <c r="R3137" s="22" t="str">
        <f>IF(H3137="","",H3137&amp;I3137)</f>
        <v/>
      </c>
      <c r="S3137" s="22" t="str">
        <f>IF(C3137="","",C3137&amp;I3137)</f>
        <v/>
      </c>
      <c r="T3137" t="str">
        <f>IF(OR(C3137="",I3137&lt;&gt;"ENTRADA"),"",TEXT(B3137,"AAMMDD")&amp;"-"&amp;TEXT(VALUE(SUBSTITUTE(A3137,"MOV-","")),"000"))</f>
        <v/>
      </c>
    </row>
    <row r="3138" spans="18:20">
      <c r="R3138" s="22" t="str">
        <f>IF(H3138="","",H3138&amp;I3138)</f>
        <v/>
      </c>
      <c r="S3138" s="22" t="str">
        <f>IF(C3138="","",C3138&amp;I3138)</f>
        <v/>
      </c>
      <c r="T3138" t="str">
        <f>IF(OR(C3138="",I3138&lt;&gt;"ENTRADA"),"",TEXT(B3138,"AAMMDD")&amp;"-"&amp;TEXT(VALUE(SUBSTITUTE(A3138,"MOV-","")),"000"))</f>
        <v/>
      </c>
    </row>
    <row r="3139" spans="18:20">
      <c r="R3139" s="22" t="str">
        <f>IF(H3139="","",H3139&amp;I3139)</f>
        <v/>
      </c>
      <c r="S3139" s="22" t="str">
        <f>IF(C3139="","",C3139&amp;I3139)</f>
        <v/>
      </c>
      <c r="T3139" t="str">
        <f>IF(OR(C3139="",I3139&lt;&gt;"ENTRADA"),"",TEXT(B3139,"AAMMDD")&amp;"-"&amp;TEXT(VALUE(SUBSTITUTE(A3139,"MOV-","")),"000"))</f>
        <v/>
      </c>
    </row>
    <row r="3140" spans="18:20">
      <c r="R3140" s="22" t="str">
        <f>IF(H3140="","",H3140&amp;I3140)</f>
        <v/>
      </c>
      <c r="S3140" s="22" t="str">
        <f>IF(C3140="","",C3140&amp;I3140)</f>
        <v/>
      </c>
      <c r="T3140" t="str">
        <f>IF(OR(C3140="",I3140&lt;&gt;"ENTRADA"),"",TEXT(B3140,"AAMMDD")&amp;"-"&amp;TEXT(VALUE(SUBSTITUTE(A3140,"MOV-","")),"000"))</f>
        <v/>
      </c>
    </row>
    <row r="3141" spans="18:20">
      <c r="R3141" s="22" t="str">
        <f>IF(H3141="","",H3141&amp;I3141)</f>
        <v/>
      </c>
      <c r="S3141" s="22" t="str">
        <f>IF(C3141="","",C3141&amp;I3141)</f>
        <v/>
      </c>
      <c r="T3141" t="str">
        <f>IF(OR(C3141="",I3141&lt;&gt;"ENTRADA"),"",TEXT(B3141,"AAMMDD")&amp;"-"&amp;TEXT(VALUE(SUBSTITUTE(A3141,"MOV-","")),"000"))</f>
        <v/>
      </c>
    </row>
    <row r="3142" spans="18:20">
      <c r="R3142" s="22" t="str">
        <f>IF(H3142="","",H3142&amp;I3142)</f>
        <v/>
      </c>
      <c r="S3142" s="22" t="str">
        <f>IF(C3142="","",C3142&amp;I3142)</f>
        <v/>
      </c>
      <c r="T3142" t="str">
        <f>IF(OR(C3142="",I3142&lt;&gt;"ENTRADA"),"",TEXT(B3142,"AAMMDD")&amp;"-"&amp;TEXT(VALUE(SUBSTITUTE(A3142,"MOV-","")),"000"))</f>
        <v/>
      </c>
    </row>
    <row r="3143" spans="18:20">
      <c r="R3143" s="22" t="str">
        <f>IF(H3143="","",H3143&amp;I3143)</f>
        <v/>
      </c>
      <c r="S3143" s="22" t="str">
        <f>IF(C3143="","",C3143&amp;I3143)</f>
        <v/>
      </c>
      <c r="T3143" t="str">
        <f>IF(OR(C3143="",I3143&lt;&gt;"ENTRADA"),"",TEXT(B3143,"AAMMDD")&amp;"-"&amp;TEXT(VALUE(SUBSTITUTE(A3143,"MOV-","")),"000"))</f>
        <v/>
      </c>
    </row>
    <row r="3144" spans="18:20">
      <c r="R3144" s="22" t="str">
        <f>IF(H3144="","",H3144&amp;I3144)</f>
        <v/>
      </c>
      <c r="S3144" s="22" t="str">
        <f>IF(C3144="","",C3144&amp;I3144)</f>
        <v/>
      </c>
      <c r="T3144" t="str">
        <f>IF(OR(C3144="",I3144&lt;&gt;"ENTRADA"),"",TEXT(B3144,"AAMMDD")&amp;"-"&amp;TEXT(VALUE(SUBSTITUTE(A3144,"MOV-","")),"000"))</f>
        <v/>
      </c>
    </row>
    <row r="3145" spans="18:20">
      <c r="R3145" s="22" t="str">
        <f>IF(H3145="","",H3145&amp;I3145)</f>
        <v/>
      </c>
      <c r="S3145" s="22" t="str">
        <f>IF(C3145="","",C3145&amp;I3145)</f>
        <v/>
      </c>
      <c r="T3145" t="str">
        <f>IF(OR(C3145="",I3145&lt;&gt;"ENTRADA"),"",TEXT(B3145,"AAMMDD")&amp;"-"&amp;TEXT(VALUE(SUBSTITUTE(A3145,"MOV-","")),"000"))</f>
        <v/>
      </c>
    </row>
    <row r="3146" spans="18:20">
      <c r="R3146" s="22" t="str">
        <f>IF(H3146="","",H3146&amp;I3146)</f>
        <v/>
      </c>
      <c r="S3146" s="22" t="str">
        <f>IF(C3146="","",C3146&amp;I3146)</f>
        <v/>
      </c>
      <c r="T3146" t="str">
        <f>IF(OR(C3146="",I3146&lt;&gt;"ENTRADA"),"",TEXT(B3146,"AAMMDD")&amp;"-"&amp;TEXT(VALUE(SUBSTITUTE(A3146,"MOV-","")),"000"))</f>
        <v/>
      </c>
    </row>
    <row r="3147" spans="18:20">
      <c r="R3147" s="22" t="str">
        <f>IF(H3147="","",H3147&amp;I3147)</f>
        <v/>
      </c>
      <c r="S3147" s="22" t="str">
        <f>IF(C3147="","",C3147&amp;I3147)</f>
        <v/>
      </c>
      <c r="T3147" t="str">
        <f>IF(OR(C3147="",I3147&lt;&gt;"ENTRADA"),"",TEXT(B3147,"AAMMDD")&amp;"-"&amp;TEXT(VALUE(SUBSTITUTE(A3147,"MOV-","")),"000"))</f>
        <v/>
      </c>
    </row>
    <row r="3148" spans="18:20">
      <c r="R3148" s="22" t="str">
        <f>IF(H3148="","",H3148&amp;I3148)</f>
        <v/>
      </c>
      <c r="S3148" s="22" t="str">
        <f>IF(C3148="","",C3148&amp;I3148)</f>
        <v/>
      </c>
      <c r="T3148" t="str">
        <f>IF(OR(C3148="",I3148&lt;&gt;"ENTRADA"),"",TEXT(B3148,"AAMMDD")&amp;"-"&amp;TEXT(VALUE(SUBSTITUTE(A3148,"MOV-","")),"000"))</f>
        <v/>
      </c>
    </row>
    <row r="3149" spans="18:20">
      <c r="R3149" s="22" t="str">
        <f>IF(H3149="","",H3149&amp;I3149)</f>
        <v/>
      </c>
      <c r="S3149" s="22" t="str">
        <f>IF(C3149="","",C3149&amp;I3149)</f>
        <v/>
      </c>
      <c r="T3149" t="str">
        <f>IF(OR(C3149="",I3149&lt;&gt;"ENTRADA"),"",TEXT(B3149,"AAMMDD")&amp;"-"&amp;TEXT(VALUE(SUBSTITUTE(A3149,"MOV-","")),"000"))</f>
        <v/>
      </c>
    </row>
    <row r="3150" spans="18:20">
      <c r="R3150" s="22" t="str">
        <f>IF(H3150="","",H3150&amp;I3150)</f>
        <v/>
      </c>
      <c r="S3150" s="22" t="str">
        <f>IF(C3150="","",C3150&amp;I3150)</f>
        <v/>
      </c>
      <c r="T3150" t="str">
        <f>IF(OR(C3150="",I3150&lt;&gt;"ENTRADA"),"",TEXT(B3150,"AAMMDD")&amp;"-"&amp;TEXT(VALUE(SUBSTITUTE(A3150,"MOV-","")),"000"))</f>
        <v/>
      </c>
    </row>
    <row r="3151" spans="18:20">
      <c r="R3151" s="22" t="str">
        <f>IF(H3151="","",H3151&amp;I3151)</f>
        <v/>
      </c>
      <c r="S3151" s="22" t="str">
        <f>IF(C3151="","",C3151&amp;I3151)</f>
        <v/>
      </c>
      <c r="T3151" t="str">
        <f>IF(OR(C3151="",I3151&lt;&gt;"ENTRADA"),"",TEXT(B3151,"AAMMDD")&amp;"-"&amp;TEXT(VALUE(SUBSTITUTE(A3151,"MOV-","")),"000"))</f>
        <v/>
      </c>
    </row>
    <row r="3152" spans="18:20">
      <c r="R3152" s="22" t="str">
        <f>IF(H3152="","",H3152&amp;I3152)</f>
        <v/>
      </c>
      <c r="S3152" s="22" t="str">
        <f>IF(C3152="","",C3152&amp;I3152)</f>
        <v/>
      </c>
      <c r="T3152" t="str">
        <f>IF(OR(C3152="",I3152&lt;&gt;"ENTRADA"),"",TEXT(B3152,"AAMMDD")&amp;"-"&amp;TEXT(VALUE(SUBSTITUTE(A3152,"MOV-","")),"000"))</f>
        <v/>
      </c>
    </row>
    <row r="3153" spans="18:20">
      <c r="R3153" s="22" t="str">
        <f>IF(H3153="","",H3153&amp;I3153)</f>
        <v/>
      </c>
      <c r="S3153" s="22" t="str">
        <f>IF(C3153="","",C3153&amp;I3153)</f>
        <v/>
      </c>
      <c r="T3153" t="str">
        <f>IF(OR(C3153="",I3153&lt;&gt;"ENTRADA"),"",TEXT(B3153,"AAMMDD")&amp;"-"&amp;TEXT(VALUE(SUBSTITUTE(A3153,"MOV-","")),"000"))</f>
        <v/>
      </c>
    </row>
    <row r="3154" spans="18:20">
      <c r="R3154" s="22" t="str">
        <f>IF(H3154="","",H3154&amp;I3154)</f>
        <v/>
      </c>
      <c r="S3154" s="22" t="str">
        <f>IF(C3154="","",C3154&amp;I3154)</f>
        <v/>
      </c>
      <c r="T3154" t="str">
        <f>IF(OR(C3154="",I3154&lt;&gt;"ENTRADA"),"",TEXT(B3154,"AAMMDD")&amp;"-"&amp;TEXT(VALUE(SUBSTITUTE(A3154,"MOV-","")),"000"))</f>
        <v/>
      </c>
    </row>
    <row r="3155" spans="18:20">
      <c r="R3155" s="22" t="str">
        <f>IF(H3155="","",H3155&amp;I3155)</f>
        <v/>
      </c>
      <c r="S3155" s="22" t="str">
        <f>IF(C3155="","",C3155&amp;I3155)</f>
        <v/>
      </c>
      <c r="T3155" t="str">
        <f>IF(OR(C3155="",I3155&lt;&gt;"ENTRADA"),"",TEXT(B3155,"AAMMDD")&amp;"-"&amp;TEXT(VALUE(SUBSTITUTE(A3155,"MOV-","")),"000"))</f>
        <v/>
      </c>
    </row>
    <row r="3156" spans="18:20">
      <c r="R3156" s="22" t="str">
        <f>IF(H3156="","",H3156&amp;I3156)</f>
        <v/>
      </c>
      <c r="S3156" s="22" t="str">
        <f>IF(C3156="","",C3156&amp;I3156)</f>
        <v/>
      </c>
      <c r="T3156" t="str">
        <f>IF(OR(C3156="",I3156&lt;&gt;"ENTRADA"),"",TEXT(B3156,"AAMMDD")&amp;"-"&amp;TEXT(VALUE(SUBSTITUTE(A3156,"MOV-","")),"000"))</f>
        <v/>
      </c>
    </row>
    <row r="3157" spans="18:20">
      <c r="R3157" s="22" t="str">
        <f>IF(H3157="","",H3157&amp;I3157)</f>
        <v/>
      </c>
      <c r="S3157" s="22" t="str">
        <f>IF(C3157="","",C3157&amp;I3157)</f>
        <v/>
      </c>
      <c r="T3157" t="str">
        <f>IF(OR(C3157="",I3157&lt;&gt;"ENTRADA"),"",TEXT(B3157,"AAMMDD")&amp;"-"&amp;TEXT(VALUE(SUBSTITUTE(A3157,"MOV-","")),"000"))</f>
        <v/>
      </c>
    </row>
    <row r="3158" spans="18:20">
      <c r="R3158" s="22" t="str">
        <f>IF(H3158="","",H3158&amp;I3158)</f>
        <v/>
      </c>
      <c r="S3158" s="22" t="str">
        <f>IF(C3158="","",C3158&amp;I3158)</f>
        <v/>
      </c>
      <c r="T3158" t="str">
        <f>IF(OR(C3158="",I3158&lt;&gt;"ENTRADA"),"",TEXT(B3158,"AAMMDD")&amp;"-"&amp;TEXT(VALUE(SUBSTITUTE(A3158,"MOV-","")),"000"))</f>
        <v/>
      </c>
    </row>
    <row r="3159" spans="18:20">
      <c r="R3159" s="22" t="str">
        <f>IF(H3159="","",H3159&amp;I3159)</f>
        <v/>
      </c>
      <c r="S3159" s="22" t="str">
        <f>IF(C3159="","",C3159&amp;I3159)</f>
        <v/>
      </c>
      <c r="T3159" t="str">
        <f>IF(OR(C3159="",I3159&lt;&gt;"ENTRADA"),"",TEXT(B3159,"AAMMDD")&amp;"-"&amp;TEXT(VALUE(SUBSTITUTE(A3159,"MOV-","")),"000"))</f>
        <v/>
      </c>
    </row>
    <row r="3160" spans="18:20">
      <c r="R3160" s="22" t="str">
        <f>IF(H3160="","",H3160&amp;I3160)</f>
        <v/>
      </c>
      <c r="S3160" s="22" t="str">
        <f>IF(C3160="","",C3160&amp;I3160)</f>
        <v/>
      </c>
      <c r="T3160" t="str">
        <f>IF(OR(C3160="",I3160&lt;&gt;"ENTRADA"),"",TEXT(B3160,"AAMMDD")&amp;"-"&amp;TEXT(VALUE(SUBSTITUTE(A3160,"MOV-","")),"000"))</f>
        <v/>
      </c>
    </row>
    <row r="3161" spans="18:20">
      <c r="R3161" s="22" t="str">
        <f>IF(H3161="","",H3161&amp;I3161)</f>
        <v/>
      </c>
      <c r="S3161" s="22" t="str">
        <f>IF(C3161="","",C3161&amp;I3161)</f>
        <v/>
      </c>
      <c r="T3161" t="str">
        <f>IF(OR(C3161="",I3161&lt;&gt;"ENTRADA"),"",TEXT(B3161,"AAMMDD")&amp;"-"&amp;TEXT(VALUE(SUBSTITUTE(A3161,"MOV-","")),"000"))</f>
        <v/>
      </c>
    </row>
    <row r="3162" spans="18:20">
      <c r="R3162" s="22" t="str">
        <f>IF(H3162="","",H3162&amp;I3162)</f>
        <v/>
      </c>
      <c r="S3162" s="22" t="str">
        <f>IF(C3162="","",C3162&amp;I3162)</f>
        <v/>
      </c>
      <c r="T3162" t="str">
        <f>IF(OR(C3162="",I3162&lt;&gt;"ENTRADA"),"",TEXT(B3162,"AAMMDD")&amp;"-"&amp;TEXT(VALUE(SUBSTITUTE(A3162,"MOV-","")),"000"))</f>
        <v/>
      </c>
    </row>
    <row r="3163" spans="18:20">
      <c r="R3163" s="22" t="str">
        <f>IF(H3163="","",H3163&amp;I3163)</f>
        <v/>
      </c>
      <c r="S3163" s="22" t="str">
        <f>IF(C3163="","",C3163&amp;I3163)</f>
        <v/>
      </c>
      <c r="T3163" t="str">
        <f>IF(OR(C3163="",I3163&lt;&gt;"ENTRADA"),"",TEXT(B3163,"AAMMDD")&amp;"-"&amp;TEXT(VALUE(SUBSTITUTE(A3163,"MOV-","")),"000"))</f>
        <v/>
      </c>
    </row>
    <row r="3164" spans="18:20">
      <c r="R3164" s="22" t="str">
        <f>IF(H3164="","",H3164&amp;I3164)</f>
        <v/>
      </c>
      <c r="S3164" s="22" t="str">
        <f>IF(C3164="","",C3164&amp;I3164)</f>
        <v/>
      </c>
      <c r="T3164" t="str">
        <f>IF(OR(C3164="",I3164&lt;&gt;"ENTRADA"),"",TEXT(B3164,"AAMMDD")&amp;"-"&amp;TEXT(VALUE(SUBSTITUTE(A3164,"MOV-","")),"000"))</f>
        <v/>
      </c>
    </row>
    <row r="3165" spans="18:20">
      <c r="R3165" s="22" t="str">
        <f>IF(H3165="","",H3165&amp;I3165)</f>
        <v/>
      </c>
      <c r="S3165" s="22" t="str">
        <f>IF(C3165="","",C3165&amp;I3165)</f>
        <v/>
      </c>
      <c r="T3165" t="str">
        <f>IF(OR(C3165="",I3165&lt;&gt;"ENTRADA"),"",TEXT(B3165,"AAMMDD")&amp;"-"&amp;TEXT(VALUE(SUBSTITUTE(A3165,"MOV-","")),"000"))</f>
        <v/>
      </c>
    </row>
    <row r="3166" spans="18:20">
      <c r="R3166" s="22" t="str">
        <f>IF(H3166="","",H3166&amp;I3166)</f>
        <v/>
      </c>
      <c r="S3166" s="22" t="str">
        <f>IF(C3166="","",C3166&amp;I3166)</f>
        <v/>
      </c>
      <c r="T3166" t="str">
        <f>IF(OR(C3166="",I3166&lt;&gt;"ENTRADA"),"",TEXT(B3166,"AAMMDD")&amp;"-"&amp;TEXT(VALUE(SUBSTITUTE(A3166,"MOV-","")),"000"))</f>
        <v/>
      </c>
    </row>
    <row r="3167" spans="18:20">
      <c r="R3167" s="22" t="str">
        <f>IF(H3167="","",H3167&amp;I3167)</f>
        <v/>
      </c>
      <c r="S3167" s="22" t="str">
        <f>IF(C3167="","",C3167&amp;I3167)</f>
        <v/>
      </c>
      <c r="T3167" t="str">
        <f>IF(OR(C3167="",I3167&lt;&gt;"ENTRADA"),"",TEXT(B3167,"AAMMDD")&amp;"-"&amp;TEXT(VALUE(SUBSTITUTE(A3167,"MOV-","")),"000"))</f>
        <v/>
      </c>
    </row>
    <row r="3168" spans="18:20">
      <c r="R3168" s="22" t="str">
        <f>IF(H3168="","",H3168&amp;I3168)</f>
        <v/>
      </c>
      <c r="S3168" s="22" t="str">
        <f>IF(C3168="","",C3168&amp;I3168)</f>
        <v/>
      </c>
      <c r="T3168" t="str">
        <f>IF(OR(C3168="",I3168&lt;&gt;"ENTRADA"),"",TEXT(B3168,"AAMMDD")&amp;"-"&amp;TEXT(VALUE(SUBSTITUTE(A3168,"MOV-","")),"000"))</f>
        <v/>
      </c>
    </row>
    <row r="3169" spans="18:20">
      <c r="R3169" s="22" t="str">
        <f>IF(H3169="","",H3169&amp;I3169)</f>
        <v/>
      </c>
      <c r="S3169" s="22" t="str">
        <f>IF(C3169="","",C3169&amp;I3169)</f>
        <v/>
      </c>
      <c r="T3169" t="str">
        <f>IF(OR(C3169="",I3169&lt;&gt;"ENTRADA"),"",TEXT(B3169,"AAMMDD")&amp;"-"&amp;TEXT(VALUE(SUBSTITUTE(A3169,"MOV-","")),"000"))</f>
        <v/>
      </c>
    </row>
    <row r="3170" spans="18:20">
      <c r="R3170" s="22" t="str">
        <f>IF(H3170="","",H3170&amp;I3170)</f>
        <v/>
      </c>
      <c r="S3170" s="22" t="str">
        <f>IF(C3170="","",C3170&amp;I3170)</f>
        <v/>
      </c>
      <c r="T3170" t="str">
        <f>IF(OR(C3170="",I3170&lt;&gt;"ENTRADA"),"",TEXT(B3170,"AAMMDD")&amp;"-"&amp;TEXT(VALUE(SUBSTITUTE(A3170,"MOV-","")),"000"))</f>
        <v/>
      </c>
    </row>
    <row r="3171" spans="18:20">
      <c r="R3171" s="22" t="str">
        <f>IF(H3171="","",H3171&amp;I3171)</f>
        <v/>
      </c>
      <c r="S3171" s="22" t="str">
        <f>IF(C3171="","",C3171&amp;I3171)</f>
        <v/>
      </c>
      <c r="T3171" t="str">
        <f>IF(OR(C3171="",I3171&lt;&gt;"ENTRADA"),"",TEXT(B3171,"AAMMDD")&amp;"-"&amp;TEXT(VALUE(SUBSTITUTE(A3171,"MOV-","")),"000"))</f>
        <v/>
      </c>
    </row>
    <row r="3172" spans="18:20">
      <c r="R3172" s="22" t="str">
        <f>IF(H3172="","",H3172&amp;I3172)</f>
        <v/>
      </c>
      <c r="S3172" s="22" t="str">
        <f>IF(C3172="","",C3172&amp;I3172)</f>
        <v/>
      </c>
      <c r="T3172" t="str">
        <f>IF(OR(C3172="",I3172&lt;&gt;"ENTRADA"),"",TEXT(B3172,"AAMMDD")&amp;"-"&amp;TEXT(VALUE(SUBSTITUTE(A3172,"MOV-","")),"000"))</f>
        <v/>
      </c>
    </row>
    <row r="3173" spans="18:20">
      <c r="R3173" s="22" t="str">
        <f>IF(H3173="","",H3173&amp;I3173)</f>
        <v/>
      </c>
      <c r="S3173" s="22" t="str">
        <f>IF(C3173="","",C3173&amp;I3173)</f>
        <v/>
      </c>
      <c r="T3173" t="str">
        <f>IF(OR(C3173="",I3173&lt;&gt;"ENTRADA"),"",TEXT(B3173,"AAMMDD")&amp;"-"&amp;TEXT(VALUE(SUBSTITUTE(A3173,"MOV-","")),"000"))</f>
        <v/>
      </c>
    </row>
    <row r="3174" spans="18:20">
      <c r="R3174" s="22" t="str">
        <f>IF(H3174="","",H3174&amp;I3174)</f>
        <v/>
      </c>
      <c r="S3174" s="22" t="str">
        <f>IF(C3174="","",C3174&amp;I3174)</f>
        <v/>
      </c>
      <c r="T3174" t="str">
        <f>IF(OR(C3174="",I3174&lt;&gt;"ENTRADA"),"",TEXT(B3174,"AAMMDD")&amp;"-"&amp;TEXT(VALUE(SUBSTITUTE(A3174,"MOV-","")),"000"))</f>
        <v/>
      </c>
    </row>
    <row r="3175" spans="18:20">
      <c r="R3175" s="22" t="str">
        <f>IF(H3175="","",H3175&amp;I3175)</f>
        <v/>
      </c>
      <c r="S3175" s="22" t="str">
        <f>IF(C3175="","",C3175&amp;I3175)</f>
        <v/>
      </c>
      <c r="T3175" t="str">
        <f>IF(OR(C3175="",I3175&lt;&gt;"ENTRADA"),"",TEXT(B3175,"AAMMDD")&amp;"-"&amp;TEXT(VALUE(SUBSTITUTE(A3175,"MOV-","")),"000"))</f>
        <v/>
      </c>
    </row>
    <row r="3176" spans="18:20">
      <c r="R3176" s="22" t="str">
        <f>IF(H3176="","",H3176&amp;I3176)</f>
        <v/>
      </c>
      <c r="S3176" s="22" t="str">
        <f>IF(C3176="","",C3176&amp;I3176)</f>
        <v/>
      </c>
      <c r="T3176" t="str">
        <f>IF(OR(C3176="",I3176&lt;&gt;"ENTRADA"),"",TEXT(B3176,"AAMMDD")&amp;"-"&amp;TEXT(VALUE(SUBSTITUTE(A3176,"MOV-","")),"000"))</f>
        <v/>
      </c>
    </row>
    <row r="3177" spans="18:20">
      <c r="R3177" s="22" t="str">
        <f>IF(H3177="","",H3177&amp;I3177)</f>
        <v/>
      </c>
      <c r="S3177" s="22" t="str">
        <f>IF(C3177="","",C3177&amp;I3177)</f>
        <v/>
      </c>
      <c r="T3177" t="str">
        <f>IF(OR(C3177="",I3177&lt;&gt;"ENTRADA"),"",TEXT(B3177,"AAMMDD")&amp;"-"&amp;TEXT(VALUE(SUBSTITUTE(A3177,"MOV-","")),"000"))</f>
        <v/>
      </c>
    </row>
    <row r="3178" spans="18:20">
      <c r="R3178" s="22" t="str">
        <f>IF(H3178="","",H3178&amp;I3178)</f>
        <v/>
      </c>
      <c r="S3178" s="22" t="str">
        <f>IF(C3178="","",C3178&amp;I3178)</f>
        <v/>
      </c>
      <c r="T3178" t="str">
        <f>IF(OR(C3178="",I3178&lt;&gt;"ENTRADA"),"",TEXT(B3178,"AAMMDD")&amp;"-"&amp;TEXT(VALUE(SUBSTITUTE(A3178,"MOV-","")),"000"))</f>
        <v/>
      </c>
    </row>
    <row r="3179" spans="18:20">
      <c r="R3179" s="22" t="str">
        <f>IF(H3179="","",H3179&amp;I3179)</f>
        <v/>
      </c>
      <c r="S3179" s="22" t="str">
        <f>IF(C3179="","",C3179&amp;I3179)</f>
        <v/>
      </c>
      <c r="T3179" t="str">
        <f>IF(OR(C3179="",I3179&lt;&gt;"ENTRADA"),"",TEXT(B3179,"AAMMDD")&amp;"-"&amp;TEXT(VALUE(SUBSTITUTE(A3179,"MOV-","")),"000"))</f>
        <v/>
      </c>
    </row>
    <row r="3180" spans="18:20">
      <c r="R3180" s="22" t="str">
        <f>IF(H3180="","",H3180&amp;I3180)</f>
        <v/>
      </c>
      <c r="S3180" s="22" t="str">
        <f>IF(C3180="","",C3180&amp;I3180)</f>
        <v/>
      </c>
      <c r="T3180" t="str">
        <f>IF(OR(C3180="",I3180&lt;&gt;"ENTRADA"),"",TEXT(B3180,"AAMMDD")&amp;"-"&amp;TEXT(VALUE(SUBSTITUTE(A3180,"MOV-","")),"000"))</f>
        <v/>
      </c>
    </row>
    <row r="3181" spans="18:20">
      <c r="R3181" s="22" t="str">
        <f>IF(H3181="","",H3181&amp;I3181)</f>
        <v/>
      </c>
      <c r="S3181" s="22" t="str">
        <f>IF(C3181="","",C3181&amp;I3181)</f>
        <v/>
      </c>
      <c r="T3181" t="str">
        <f>IF(OR(C3181="",I3181&lt;&gt;"ENTRADA"),"",TEXT(B3181,"AAMMDD")&amp;"-"&amp;TEXT(VALUE(SUBSTITUTE(A3181,"MOV-","")),"000"))</f>
        <v/>
      </c>
    </row>
    <row r="3182" spans="18:20">
      <c r="R3182" s="22" t="str">
        <f>IF(H3182="","",H3182&amp;I3182)</f>
        <v/>
      </c>
      <c r="S3182" s="22" t="str">
        <f>IF(C3182="","",C3182&amp;I3182)</f>
        <v/>
      </c>
      <c r="T3182" t="str">
        <f>IF(OR(C3182="",I3182&lt;&gt;"ENTRADA"),"",TEXT(B3182,"AAMMDD")&amp;"-"&amp;TEXT(VALUE(SUBSTITUTE(A3182,"MOV-","")),"000"))</f>
        <v/>
      </c>
    </row>
    <row r="3183" spans="18:20">
      <c r="R3183" s="22" t="str">
        <f>IF(H3183="","",H3183&amp;I3183)</f>
        <v/>
      </c>
      <c r="S3183" s="22" t="str">
        <f>IF(C3183="","",C3183&amp;I3183)</f>
        <v/>
      </c>
      <c r="T3183" t="str">
        <f>IF(OR(C3183="",I3183&lt;&gt;"ENTRADA"),"",TEXT(B3183,"AAMMDD")&amp;"-"&amp;TEXT(VALUE(SUBSTITUTE(A3183,"MOV-","")),"000"))</f>
        <v/>
      </c>
    </row>
    <row r="3184" spans="18:20">
      <c r="R3184" s="22" t="str">
        <f>IF(H3184="","",H3184&amp;I3184)</f>
        <v/>
      </c>
      <c r="S3184" s="22" t="str">
        <f>IF(C3184="","",C3184&amp;I3184)</f>
        <v/>
      </c>
      <c r="T3184" t="str">
        <f>IF(OR(C3184="",I3184&lt;&gt;"ENTRADA"),"",TEXT(B3184,"AAMMDD")&amp;"-"&amp;TEXT(VALUE(SUBSTITUTE(A3184,"MOV-","")),"000"))</f>
        <v/>
      </c>
    </row>
    <row r="3185" spans="18:20">
      <c r="R3185" s="22" t="str">
        <f>IF(H3185="","",H3185&amp;I3185)</f>
        <v/>
      </c>
      <c r="S3185" s="22" t="str">
        <f>IF(C3185="","",C3185&amp;I3185)</f>
        <v/>
      </c>
      <c r="T3185" t="str">
        <f>IF(OR(C3185="",I3185&lt;&gt;"ENTRADA"),"",TEXT(B3185,"AAMMDD")&amp;"-"&amp;TEXT(VALUE(SUBSTITUTE(A3185,"MOV-","")),"000"))</f>
        <v/>
      </c>
    </row>
    <row r="3186" spans="18:20">
      <c r="R3186" s="22" t="str">
        <f>IF(H3186="","",H3186&amp;I3186)</f>
        <v/>
      </c>
      <c r="S3186" s="22" t="str">
        <f>IF(C3186="","",C3186&amp;I3186)</f>
        <v/>
      </c>
      <c r="T3186" t="str">
        <f>IF(OR(C3186="",I3186&lt;&gt;"ENTRADA"),"",TEXT(B3186,"AAMMDD")&amp;"-"&amp;TEXT(VALUE(SUBSTITUTE(A3186,"MOV-","")),"000"))</f>
        <v/>
      </c>
    </row>
    <row r="3187" spans="18:20">
      <c r="R3187" s="22" t="str">
        <f>IF(H3187="","",H3187&amp;I3187)</f>
        <v/>
      </c>
      <c r="S3187" s="22" t="str">
        <f>IF(C3187="","",C3187&amp;I3187)</f>
        <v/>
      </c>
      <c r="T3187" t="str">
        <f>IF(OR(C3187="",I3187&lt;&gt;"ENTRADA"),"",TEXT(B3187,"AAMMDD")&amp;"-"&amp;TEXT(VALUE(SUBSTITUTE(A3187,"MOV-","")),"000"))</f>
        <v/>
      </c>
    </row>
    <row r="3188" spans="18:20">
      <c r="R3188" s="22" t="str">
        <f>IF(H3188="","",H3188&amp;I3188)</f>
        <v/>
      </c>
      <c r="S3188" s="22" t="str">
        <f>IF(C3188="","",C3188&amp;I3188)</f>
        <v/>
      </c>
      <c r="T3188" t="str">
        <f>IF(OR(C3188="",I3188&lt;&gt;"ENTRADA"),"",TEXT(B3188,"AAMMDD")&amp;"-"&amp;TEXT(VALUE(SUBSTITUTE(A3188,"MOV-","")),"000"))</f>
        <v/>
      </c>
    </row>
    <row r="3189" spans="18:20">
      <c r="R3189" s="22" t="str">
        <f>IF(H3189="","",H3189&amp;I3189)</f>
        <v/>
      </c>
      <c r="S3189" s="22" t="str">
        <f>IF(C3189="","",C3189&amp;I3189)</f>
        <v/>
      </c>
      <c r="T3189" t="str">
        <f>IF(OR(C3189="",I3189&lt;&gt;"ENTRADA"),"",TEXT(B3189,"AAMMDD")&amp;"-"&amp;TEXT(VALUE(SUBSTITUTE(A3189,"MOV-","")),"000"))</f>
        <v/>
      </c>
    </row>
    <row r="3190" spans="18:20">
      <c r="R3190" s="22" t="str">
        <f>IF(H3190="","",H3190&amp;I3190)</f>
        <v/>
      </c>
      <c r="S3190" s="22" t="str">
        <f>IF(C3190="","",C3190&amp;I3190)</f>
        <v/>
      </c>
      <c r="T3190" t="str">
        <f>IF(OR(C3190="",I3190&lt;&gt;"ENTRADA"),"",TEXT(B3190,"AAMMDD")&amp;"-"&amp;TEXT(VALUE(SUBSTITUTE(A3190,"MOV-","")),"000"))</f>
        <v/>
      </c>
    </row>
    <row r="3191" spans="18:20">
      <c r="R3191" s="22" t="str">
        <f>IF(H3191="","",H3191&amp;I3191)</f>
        <v/>
      </c>
      <c r="S3191" s="22" t="str">
        <f>IF(C3191="","",C3191&amp;I3191)</f>
        <v/>
      </c>
      <c r="T3191" t="str">
        <f>IF(OR(C3191="",I3191&lt;&gt;"ENTRADA"),"",TEXT(B3191,"AAMMDD")&amp;"-"&amp;TEXT(VALUE(SUBSTITUTE(A3191,"MOV-","")),"000"))</f>
        <v/>
      </c>
    </row>
    <row r="3192" spans="18:20">
      <c r="R3192" s="22" t="str">
        <f>IF(H3192="","",H3192&amp;I3192)</f>
        <v/>
      </c>
      <c r="S3192" s="22" t="str">
        <f>IF(C3192="","",C3192&amp;I3192)</f>
        <v/>
      </c>
      <c r="T3192" t="str">
        <f>IF(OR(C3192="",I3192&lt;&gt;"ENTRADA"),"",TEXT(B3192,"AAMMDD")&amp;"-"&amp;TEXT(VALUE(SUBSTITUTE(A3192,"MOV-","")),"000"))</f>
        <v/>
      </c>
    </row>
    <row r="3193" spans="18:20">
      <c r="R3193" s="22" t="str">
        <f>IF(H3193="","",H3193&amp;I3193)</f>
        <v/>
      </c>
      <c r="S3193" s="22" t="str">
        <f>IF(C3193="","",C3193&amp;I3193)</f>
        <v/>
      </c>
      <c r="T3193" t="str">
        <f>IF(OR(C3193="",I3193&lt;&gt;"ENTRADA"),"",TEXT(B3193,"AAMMDD")&amp;"-"&amp;TEXT(VALUE(SUBSTITUTE(A3193,"MOV-","")),"000"))</f>
        <v/>
      </c>
    </row>
    <row r="3194" spans="18:20">
      <c r="R3194" s="22" t="str">
        <f>IF(H3194="","",H3194&amp;I3194)</f>
        <v/>
      </c>
      <c r="S3194" s="22" t="str">
        <f>IF(C3194="","",C3194&amp;I3194)</f>
        <v/>
      </c>
      <c r="T3194" t="str">
        <f>IF(OR(C3194="",I3194&lt;&gt;"ENTRADA"),"",TEXT(B3194,"AAMMDD")&amp;"-"&amp;TEXT(VALUE(SUBSTITUTE(A3194,"MOV-","")),"000"))</f>
        <v/>
      </c>
    </row>
    <row r="3195" spans="18:20">
      <c r="R3195" s="22" t="str">
        <f>IF(H3195="","",H3195&amp;I3195)</f>
        <v/>
      </c>
      <c r="S3195" s="22" t="str">
        <f>IF(C3195="","",C3195&amp;I3195)</f>
        <v/>
      </c>
      <c r="T3195" t="str">
        <f>IF(OR(C3195="",I3195&lt;&gt;"ENTRADA"),"",TEXT(B3195,"AAMMDD")&amp;"-"&amp;TEXT(VALUE(SUBSTITUTE(A3195,"MOV-","")),"000"))</f>
        <v/>
      </c>
    </row>
    <row r="3196" spans="18:20">
      <c r="R3196" s="22" t="str">
        <f>IF(H3196="","",H3196&amp;I3196)</f>
        <v/>
      </c>
      <c r="S3196" s="22" t="str">
        <f>IF(C3196="","",C3196&amp;I3196)</f>
        <v/>
      </c>
      <c r="T3196" t="str">
        <f>IF(OR(C3196="",I3196&lt;&gt;"ENTRADA"),"",TEXT(B3196,"AAMMDD")&amp;"-"&amp;TEXT(VALUE(SUBSTITUTE(A3196,"MOV-","")),"000"))</f>
        <v/>
      </c>
    </row>
    <row r="3197" spans="18:20">
      <c r="R3197" s="22" t="str">
        <f>IF(H3197="","",H3197&amp;I3197)</f>
        <v/>
      </c>
      <c r="S3197" s="22" t="str">
        <f>IF(C3197="","",C3197&amp;I3197)</f>
        <v/>
      </c>
      <c r="T3197" t="str">
        <f>IF(OR(C3197="",I3197&lt;&gt;"ENTRADA"),"",TEXT(B3197,"AAMMDD")&amp;"-"&amp;TEXT(VALUE(SUBSTITUTE(A3197,"MOV-","")),"000"))</f>
        <v/>
      </c>
    </row>
    <row r="3198" spans="18:20">
      <c r="R3198" s="22" t="str">
        <f>IF(H3198="","",H3198&amp;I3198)</f>
        <v/>
      </c>
      <c r="S3198" s="22" t="str">
        <f>IF(C3198="","",C3198&amp;I3198)</f>
        <v/>
      </c>
      <c r="T3198" t="str">
        <f>IF(OR(C3198="",I3198&lt;&gt;"ENTRADA"),"",TEXT(B3198,"AAMMDD")&amp;"-"&amp;TEXT(VALUE(SUBSTITUTE(A3198,"MOV-","")),"000"))</f>
        <v/>
      </c>
    </row>
    <row r="3199" spans="18:20">
      <c r="R3199" s="22" t="str">
        <f>IF(H3199="","",H3199&amp;I3199)</f>
        <v/>
      </c>
      <c r="S3199" s="22" t="str">
        <f>IF(C3199="","",C3199&amp;I3199)</f>
        <v/>
      </c>
      <c r="T3199" t="str">
        <f>IF(OR(C3199="",I3199&lt;&gt;"ENTRADA"),"",TEXT(B3199,"AAMMDD")&amp;"-"&amp;TEXT(VALUE(SUBSTITUTE(A3199,"MOV-","")),"000"))</f>
        <v/>
      </c>
    </row>
    <row r="3200" spans="18:20">
      <c r="R3200" s="22" t="str">
        <f>IF(H3200="","",H3200&amp;I3200)</f>
        <v/>
      </c>
      <c r="S3200" s="22" t="str">
        <f>IF(C3200="","",C3200&amp;I3200)</f>
        <v/>
      </c>
      <c r="T3200" t="str">
        <f>IF(OR(C3200="",I3200&lt;&gt;"ENTRADA"),"",TEXT(B3200,"AAMMDD")&amp;"-"&amp;TEXT(VALUE(SUBSTITUTE(A3200,"MOV-","")),"000"))</f>
        <v/>
      </c>
    </row>
    <row r="3201" spans="18:20">
      <c r="R3201" s="22" t="str">
        <f>IF(H3201="","",H3201&amp;I3201)</f>
        <v/>
      </c>
      <c r="S3201" s="22" t="str">
        <f>IF(C3201="","",C3201&amp;I3201)</f>
        <v/>
      </c>
      <c r="T3201" t="str">
        <f>IF(OR(C3201="",I3201&lt;&gt;"ENTRADA"),"",TEXT(B3201,"AAMMDD")&amp;"-"&amp;TEXT(VALUE(SUBSTITUTE(A3201,"MOV-","")),"000"))</f>
        <v/>
      </c>
    </row>
    <row r="3202" spans="18:20">
      <c r="R3202" s="22" t="str">
        <f>IF(H3202="","",H3202&amp;I3202)</f>
        <v/>
      </c>
      <c r="S3202" s="22" t="str">
        <f>IF(C3202="","",C3202&amp;I3202)</f>
        <v/>
      </c>
      <c r="T3202" t="str">
        <f>IF(OR(C3202="",I3202&lt;&gt;"ENTRADA"),"",TEXT(B3202,"AAMMDD")&amp;"-"&amp;TEXT(VALUE(SUBSTITUTE(A3202,"MOV-","")),"000"))</f>
        <v/>
      </c>
    </row>
    <row r="3203" spans="18:20">
      <c r="R3203" s="22" t="str">
        <f>IF(H3203="","",H3203&amp;I3203)</f>
        <v/>
      </c>
      <c r="S3203" s="22" t="str">
        <f>IF(C3203="","",C3203&amp;I3203)</f>
        <v/>
      </c>
      <c r="T3203" t="str">
        <f>IF(OR(C3203="",I3203&lt;&gt;"ENTRADA"),"",TEXT(B3203,"AAMMDD")&amp;"-"&amp;TEXT(VALUE(SUBSTITUTE(A3203,"MOV-","")),"000"))</f>
        <v/>
      </c>
    </row>
    <row r="3204" spans="18:20">
      <c r="R3204" s="22" t="str">
        <f>IF(H3204="","",H3204&amp;I3204)</f>
        <v/>
      </c>
      <c r="S3204" s="22" t="str">
        <f>IF(C3204="","",C3204&amp;I3204)</f>
        <v/>
      </c>
      <c r="T3204" t="str">
        <f>IF(OR(C3204="",I3204&lt;&gt;"ENTRADA"),"",TEXT(B3204,"AAMMDD")&amp;"-"&amp;TEXT(VALUE(SUBSTITUTE(A3204,"MOV-","")),"000"))</f>
        <v/>
      </c>
    </row>
    <row r="3205" spans="18:20">
      <c r="R3205" s="22" t="str">
        <f>IF(H3205="","",H3205&amp;I3205)</f>
        <v/>
      </c>
      <c r="S3205" s="22" t="str">
        <f>IF(C3205="","",C3205&amp;I3205)</f>
        <v/>
      </c>
      <c r="T3205" t="str">
        <f>IF(OR(C3205="",I3205&lt;&gt;"ENTRADA"),"",TEXT(B3205,"AAMMDD")&amp;"-"&amp;TEXT(VALUE(SUBSTITUTE(A3205,"MOV-","")),"000"))</f>
        <v/>
      </c>
    </row>
    <row r="3206" spans="18:20">
      <c r="R3206" s="22" t="str">
        <f>IF(H3206="","",H3206&amp;I3206)</f>
        <v/>
      </c>
      <c r="S3206" s="22" t="str">
        <f>IF(C3206="","",C3206&amp;I3206)</f>
        <v/>
      </c>
      <c r="T3206" t="str">
        <f>IF(OR(C3206="",I3206&lt;&gt;"ENTRADA"),"",TEXT(B3206,"AAMMDD")&amp;"-"&amp;TEXT(VALUE(SUBSTITUTE(A3206,"MOV-","")),"000"))</f>
        <v/>
      </c>
    </row>
    <row r="3207" spans="18:20">
      <c r="R3207" s="22" t="str">
        <f>IF(H3207="","",H3207&amp;I3207)</f>
        <v/>
      </c>
      <c r="S3207" s="22" t="str">
        <f>IF(C3207="","",C3207&amp;I3207)</f>
        <v/>
      </c>
      <c r="T3207" t="str">
        <f>IF(OR(C3207="",I3207&lt;&gt;"ENTRADA"),"",TEXT(B3207,"AAMMDD")&amp;"-"&amp;TEXT(VALUE(SUBSTITUTE(A3207,"MOV-","")),"000"))</f>
        <v/>
      </c>
    </row>
    <row r="3208" spans="18:20">
      <c r="R3208" s="22" t="str">
        <f>IF(H3208="","",H3208&amp;I3208)</f>
        <v/>
      </c>
      <c r="S3208" s="22" t="str">
        <f>IF(C3208="","",C3208&amp;I3208)</f>
        <v/>
      </c>
      <c r="T3208" t="str">
        <f>IF(OR(C3208="",I3208&lt;&gt;"ENTRADA"),"",TEXT(B3208,"AAMMDD")&amp;"-"&amp;TEXT(VALUE(SUBSTITUTE(A3208,"MOV-","")),"000"))</f>
        <v/>
      </c>
    </row>
    <row r="3209" spans="18:20">
      <c r="R3209" s="22" t="str">
        <f>IF(H3209="","",H3209&amp;I3209)</f>
        <v/>
      </c>
      <c r="S3209" s="22" t="str">
        <f>IF(C3209="","",C3209&amp;I3209)</f>
        <v/>
      </c>
      <c r="T3209" t="str">
        <f>IF(OR(C3209="",I3209&lt;&gt;"ENTRADA"),"",TEXT(B3209,"AAMMDD")&amp;"-"&amp;TEXT(VALUE(SUBSTITUTE(A3209,"MOV-","")),"000"))</f>
        <v/>
      </c>
    </row>
    <row r="3210" spans="18:20">
      <c r="R3210" s="22" t="str">
        <f>IF(H3210="","",H3210&amp;I3210)</f>
        <v/>
      </c>
      <c r="S3210" s="22" t="str">
        <f>IF(C3210="","",C3210&amp;I3210)</f>
        <v/>
      </c>
      <c r="T3210" t="str">
        <f>IF(OR(C3210="",I3210&lt;&gt;"ENTRADA"),"",TEXT(B3210,"AAMMDD")&amp;"-"&amp;TEXT(VALUE(SUBSTITUTE(A3210,"MOV-","")),"000"))</f>
        <v/>
      </c>
    </row>
    <row r="3211" spans="18:20">
      <c r="R3211" s="22" t="str">
        <f>IF(H3211="","",H3211&amp;I3211)</f>
        <v/>
      </c>
      <c r="S3211" s="22" t="str">
        <f>IF(C3211="","",C3211&amp;I3211)</f>
        <v/>
      </c>
      <c r="T3211" t="str">
        <f>IF(OR(C3211="",I3211&lt;&gt;"ENTRADA"),"",TEXT(B3211,"AAMMDD")&amp;"-"&amp;TEXT(VALUE(SUBSTITUTE(A3211,"MOV-","")),"000"))</f>
        <v/>
      </c>
    </row>
    <row r="3212" spans="18:20">
      <c r="R3212" s="22" t="str">
        <f>IF(H3212="","",H3212&amp;I3212)</f>
        <v/>
      </c>
      <c r="S3212" s="22" t="str">
        <f>IF(C3212="","",C3212&amp;I3212)</f>
        <v/>
      </c>
      <c r="T3212" t="str">
        <f>IF(OR(C3212="",I3212&lt;&gt;"ENTRADA"),"",TEXT(B3212,"AAMMDD")&amp;"-"&amp;TEXT(VALUE(SUBSTITUTE(A3212,"MOV-","")),"000"))</f>
        <v/>
      </c>
    </row>
    <row r="3213" spans="18:20">
      <c r="R3213" s="22" t="str">
        <f>IF(H3213="","",H3213&amp;I3213)</f>
        <v/>
      </c>
      <c r="S3213" s="22" t="str">
        <f>IF(C3213="","",C3213&amp;I3213)</f>
        <v/>
      </c>
      <c r="T3213" t="str">
        <f>IF(OR(C3213="",I3213&lt;&gt;"ENTRADA"),"",TEXT(B3213,"AAMMDD")&amp;"-"&amp;TEXT(VALUE(SUBSTITUTE(A3213,"MOV-","")),"000"))</f>
        <v/>
      </c>
    </row>
    <row r="3214" spans="18:20">
      <c r="R3214" s="22" t="str">
        <f>IF(H3214="","",H3214&amp;I3214)</f>
        <v/>
      </c>
      <c r="S3214" s="22" t="str">
        <f>IF(C3214="","",C3214&amp;I3214)</f>
        <v/>
      </c>
      <c r="T3214" t="str">
        <f>IF(OR(C3214="",I3214&lt;&gt;"ENTRADA"),"",TEXT(B3214,"AAMMDD")&amp;"-"&amp;TEXT(VALUE(SUBSTITUTE(A3214,"MOV-","")),"000"))</f>
        <v/>
      </c>
    </row>
    <row r="3215" spans="18:20">
      <c r="R3215" s="22" t="str">
        <f>IF(H3215="","",H3215&amp;I3215)</f>
        <v/>
      </c>
      <c r="S3215" s="22" t="str">
        <f>IF(C3215="","",C3215&amp;I3215)</f>
        <v/>
      </c>
      <c r="T3215" t="str">
        <f>IF(OR(C3215="",I3215&lt;&gt;"ENTRADA"),"",TEXT(B3215,"AAMMDD")&amp;"-"&amp;TEXT(VALUE(SUBSTITUTE(A3215,"MOV-","")),"000"))</f>
        <v/>
      </c>
    </row>
    <row r="3216" spans="18:20">
      <c r="R3216" s="22" t="str">
        <f>IF(H3216="","",H3216&amp;I3216)</f>
        <v/>
      </c>
      <c r="S3216" s="22" t="str">
        <f>IF(C3216="","",C3216&amp;I3216)</f>
        <v/>
      </c>
      <c r="T3216" t="str">
        <f>IF(OR(C3216="",I3216&lt;&gt;"ENTRADA"),"",TEXT(B3216,"AAMMDD")&amp;"-"&amp;TEXT(VALUE(SUBSTITUTE(A3216,"MOV-","")),"000"))</f>
        <v/>
      </c>
    </row>
    <row r="3217" spans="18:20">
      <c r="R3217" s="22" t="str">
        <f>IF(H3217="","",H3217&amp;I3217)</f>
        <v/>
      </c>
      <c r="S3217" s="22" t="str">
        <f>IF(C3217="","",C3217&amp;I3217)</f>
        <v/>
      </c>
      <c r="T3217" t="str">
        <f>IF(OR(C3217="",I3217&lt;&gt;"ENTRADA"),"",TEXT(B3217,"AAMMDD")&amp;"-"&amp;TEXT(VALUE(SUBSTITUTE(A3217,"MOV-","")),"000"))</f>
        <v/>
      </c>
    </row>
    <row r="3218" spans="18:20">
      <c r="R3218" s="22" t="str">
        <f>IF(H3218="","",H3218&amp;I3218)</f>
        <v/>
      </c>
      <c r="S3218" s="22" t="str">
        <f>IF(C3218="","",C3218&amp;I3218)</f>
        <v/>
      </c>
      <c r="T3218" t="str">
        <f>IF(OR(C3218="",I3218&lt;&gt;"ENTRADA"),"",TEXT(B3218,"AAMMDD")&amp;"-"&amp;TEXT(VALUE(SUBSTITUTE(A3218,"MOV-","")),"000"))</f>
        <v/>
      </c>
    </row>
    <row r="3219" spans="18:20">
      <c r="R3219" s="22" t="str">
        <f>IF(H3219="","",H3219&amp;I3219)</f>
        <v/>
      </c>
      <c r="S3219" s="22" t="str">
        <f>IF(C3219="","",C3219&amp;I3219)</f>
        <v/>
      </c>
      <c r="T3219" t="str">
        <f>IF(OR(C3219="",I3219&lt;&gt;"ENTRADA"),"",TEXT(B3219,"AAMMDD")&amp;"-"&amp;TEXT(VALUE(SUBSTITUTE(A3219,"MOV-","")),"000"))</f>
        <v/>
      </c>
    </row>
    <row r="3220" spans="18:20">
      <c r="R3220" s="22" t="str">
        <f>IF(H3220="","",H3220&amp;I3220)</f>
        <v/>
      </c>
      <c r="S3220" s="22" t="str">
        <f>IF(C3220="","",C3220&amp;I3220)</f>
        <v/>
      </c>
      <c r="T3220" t="str">
        <f>IF(OR(C3220="",I3220&lt;&gt;"ENTRADA"),"",TEXT(B3220,"AAMMDD")&amp;"-"&amp;TEXT(VALUE(SUBSTITUTE(A3220,"MOV-","")),"000"))</f>
        <v/>
      </c>
    </row>
    <row r="3221" spans="18:20">
      <c r="R3221" s="22" t="str">
        <f>IF(H3221="","",H3221&amp;I3221)</f>
        <v/>
      </c>
      <c r="S3221" s="22" t="str">
        <f>IF(C3221="","",C3221&amp;I3221)</f>
        <v/>
      </c>
      <c r="T3221" t="str">
        <f>IF(OR(C3221="",I3221&lt;&gt;"ENTRADA"),"",TEXT(B3221,"AAMMDD")&amp;"-"&amp;TEXT(VALUE(SUBSTITUTE(A3221,"MOV-","")),"000"))</f>
        <v/>
      </c>
    </row>
    <row r="3222" spans="18:20">
      <c r="R3222" s="22" t="str">
        <f>IF(H3222="","",H3222&amp;I3222)</f>
        <v/>
      </c>
      <c r="S3222" s="22" t="str">
        <f>IF(C3222="","",C3222&amp;I3222)</f>
        <v/>
      </c>
      <c r="T3222" t="str">
        <f>IF(OR(C3222="",I3222&lt;&gt;"ENTRADA"),"",TEXT(B3222,"AAMMDD")&amp;"-"&amp;TEXT(VALUE(SUBSTITUTE(A3222,"MOV-","")),"000"))</f>
        <v/>
      </c>
    </row>
    <row r="3223" spans="18:20">
      <c r="R3223" s="22" t="str">
        <f>IF(H3223="","",H3223&amp;I3223)</f>
        <v/>
      </c>
      <c r="S3223" s="22" t="str">
        <f>IF(C3223="","",C3223&amp;I3223)</f>
        <v/>
      </c>
      <c r="T3223" t="str">
        <f>IF(OR(C3223="",I3223&lt;&gt;"ENTRADA"),"",TEXT(B3223,"AAMMDD")&amp;"-"&amp;TEXT(VALUE(SUBSTITUTE(A3223,"MOV-","")),"000"))</f>
        <v/>
      </c>
    </row>
    <row r="3224" spans="18:20">
      <c r="R3224" s="22" t="str">
        <f>IF(H3224="","",H3224&amp;I3224)</f>
        <v/>
      </c>
      <c r="S3224" s="22" t="str">
        <f>IF(C3224="","",C3224&amp;I3224)</f>
        <v/>
      </c>
      <c r="T3224" t="str">
        <f>IF(OR(C3224="",I3224&lt;&gt;"ENTRADA"),"",TEXT(B3224,"AAMMDD")&amp;"-"&amp;TEXT(VALUE(SUBSTITUTE(A3224,"MOV-","")),"000"))</f>
        <v/>
      </c>
    </row>
    <row r="3225" spans="18:20">
      <c r="R3225" s="22" t="str">
        <f>IF(H3225="","",H3225&amp;I3225)</f>
        <v/>
      </c>
      <c r="S3225" s="22" t="str">
        <f>IF(C3225="","",C3225&amp;I3225)</f>
        <v/>
      </c>
      <c r="T3225" t="str">
        <f>IF(OR(C3225="",I3225&lt;&gt;"ENTRADA"),"",TEXT(B3225,"AAMMDD")&amp;"-"&amp;TEXT(VALUE(SUBSTITUTE(A3225,"MOV-","")),"000"))</f>
        <v/>
      </c>
    </row>
    <row r="3226" spans="18:20">
      <c r="R3226" s="22" t="str">
        <f>IF(H3226="","",H3226&amp;I3226)</f>
        <v/>
      </c>
      <c r="S3226" s="22" t="str">
        <f>IF(C3226="","",C3226&amp;I3226)</f>
        <v/>
      </c>
      <c r="T3226" t="str">
        <f>IF(OR(C3226="",I3226&lt;&gt;"ENTRADA"),"",TEXT(B3226,"AAMMDD")&amp;"-"&amp;TEXT(VALUE(SUBSTITUTE(A3226,"MOV-","")),"000"))</f>
        <v/>
      </c>
    </row>
    <row r="3227" spans="18:20">
      <c r="R3227" s="22" t="str">
        <f>IF(H3227="","",H3227&amp;I3227)</f>
        <v/>
      </c>
      <c r="S3227" s="22" t="str">
        <f>IF(C3227="","",C3227&amp;I3227)</f>
        <v/>
      </c>
      <c r="T3227" t="str">
        <f>IF(OR(C3227="",I3227&lt;&gt;"ENTRADA"),"",TEXT(B3227,"AAMMDD")&amp;"-"&amp;TEXT(VALUE(SUBSTITUTE(A3227,"MOV-","")),"000"))</f>
        <v/>
      </c>
    </row>
    <row r="3228" spans="18:20">
      <c r="R3228" s="22" t="str">
        <f>IF(H3228="","",H3228&amp;I3228)</f>
        <v/>
      </c>
      <c r="S3228" s="22" t="str">
        <f>IF(C3228="","",C3228&amp;I3228)</f>
        <v/>
      </c>
      <c r="T3228" t="str">
        <f>IF(OR(C3228="",I3228&lt;&gt;"ENTRADA"),"",TEXT(B3228,"AAMMDD")&amp;"-"&amp;TEXT(VALUE(SUBSTITUTE(A3228,"MOV-","")),"000"))</f>
        <v/>
      </c>
    </row>
    <row r="3229" spans="18:20">
      <c r="R3229" s="22" t="str">
        <f>IF(H3229="","",H3229&amp;I3229)</f>
        <v/>
      </c>
      <c r="S3229" s="22" t="str">
        <f>IF(C3229="","",C3229&amp;I3229)</f>
        <v/>
      </c>
      <c r="T3229" t="str">
        <f>IF(OR(C3229="",I3229&lt;&gt;"ENTRADA"),"",TEXT(B3229,"AAMMDD")&amp;"-"&amp;TEXT(VALUE(SUBSTITUTE(A3229,"MOV-","")),"000"))</f>
        <v/>
      </c>
    </row>
    <row r="3230" spans="18:20">
      <c r="R3230" s="22" t="str">
        <f>IF(H3230="","",H3230&amp;I3230)</f>
        <v/>
      </c>
      <c r="S3230" s="22" t="str">
        <f>IF(C3230="","",C3230&amp;I3230)</f>
        <v/>
      </c>
      <c r="T3230" t="str">
        <f>IF(OR(C3230="",I3230&lt;&gt;"ENTRADA"),"",TEXT(B3230,"AAMMDD")&amp;"-"&amp;TEXT(VALUE(SUBSTITUTE(A3230,"MOV-","")),"000"))</f>
        <v/>
      </c>
    </row>
    <row r="3231" spans="18:20">
      <c r="R3231" s="22" t="str">
        <f>IF(H3231="","",H3231&amp;I3231)</f>
        <v/>
      </c>
      <c r="S3231" s="22" t="str">
        <f>IF(C3231="","",C3231&amp;I3231)</f>
        <v/>
      </c>
      <c r="T3231" t="str">
        <f>IF(OR(C3231="",I3231&lt;&gt;"ENTRADA"),"",TEXT(B3231,"AAMMDD")&amp;"-"&amp;TEXT(VALUE(SUBSTITUTE(A3231,"MOV-","")),"000"))</f>
        <v/>
      </c>
    </row>
    <row r="3232" spans="18:20">
      <c r="R3232" s="22" t="str">
        <f>IF(H3232="","",H3232&amp;I3232)</f>
        <v/>
      </c>
      <c r="S3232" s="22" t="str">
        <f>IF(C3232="","",C3232&amp;I3232)</f>
        <v/>
      </c>
      <c r="T3232" t="str">
        <f>IF(OR(C3232="",I3232&lt;&gt;"ENTRADA"),"",TEXT(B3232,"AAMMDD")&amp;"-"&amp;TEXT(VALUE(SUBSTITUTE(A3232,"MOV-","")),"000"))</f>
        <v/>
      </c>
    </row>
    <row r="3233" spans="18:20">
      <c r="R3233" s="22" t="str">
        <f>IF(H3233="","",H3233&amp;I3233)</f>
        <v/>
      </c>
      <c r="S3233" s="22" t="str">
        <f>IF(C3233="","",C3233&amp;I3233)</f>
        <v/>
      </c>
      <c r="T3233" t="str">
        <f>IF(OR(C3233="",I3233&lt;&gt;"ENTRADA"),"",TEXT(B3233,"AAMMDD")&amp;"-"&amp;TEXT(VALUE(SUBSTITUTE(A3233,"MOV-","")),"000"))</f>
        <v/>
      </c>
    </row>
    <row r="3234" spans="18:20">
      <c r="R3234" s="22" t="str">
        <f>IF(H3234="","",H3234&amp;I3234)</f>
        <v/>
      </c>
      <c r="S3234" s="22" t="str">
        <f>IF(C3234="","",C3234&amp;I3234)</f>
        <v/>
      </c>
      <c r="T3234" t="str">
        <f>IF(OR(C3234="",I3234&lt;&gt;"ENTRADA"),"",TEXT(B3234,"AAMMDD")&amp;"-"&amp;TEXT(VALUE(SUBSTITUTE(A3234,"MOV-","")),"000"))</f>
        <v/>
      </c>
    </row>
    <row r="3235" spans="18:20">
      <c r="R3235" s="22" t="str">
        <f>IF(H3235="","",H3235&amp;I3235)</f>
        <v/>
      </c>
      <c r="S3235" s="22" t="str">
        <f>IF(C3235="","",C3235&amp;I3235)</f>
        <v/>
      </c>
      <c r="T3235" t="str">
        <f>IF(OR(C3235="",I3235&lt;&gt;"ENTRADA"),"",TEXT(B3235,"AAMMDD")&amp;"-"&amp;TEXT(VALUE(SUBSTITUTE(A3235,"MOV-","")),"000"))</f>
        <v/>
      </c>
    </row>
    <row r="3236" spans="18:20">
      <c r="R3236" s="22" t="str">
        <f>IF(H3236="","",H3236&amp;I3236)</f>
        <v/>
      </c>
      <c r="S3236" s="22" t="str">
        <f>IF(C3236="","",C3236&amp;I3236)</f>
        <v/>
      </c>
      <c r="T3236" t="str">
        <f>IF(OR(C3236="",I3236&lt;&gt;"ENTRADA"),"",TEXT(B3236,"AAMMDD")&amp;"-"&amp;TEXT(VALUE(SUBSTITUTE(A3236,"MOV-","")),"000"))</f>
        <v/>
      </c>
    </row>
    <row r="3237" spans="18:20">
      <c r="R3237" s="22" t="str">
        <f>IF(H3237="","",H3237&amp;I3237)</f>
        <v/>
      </c>
      <c r="S3237" s="22" t="str">
        <f>IF(C3237="","",C3237&amp;I3237)</f>
        <v/>
      </c>
      <c r="T3237" t="str">
        <f>IF(OR(C3237="",I3237&lt;&gt;"ENTRADA"),"",TEXT(B3237,"AAMMDD")&amp;"-"&amp;TEXT(VALUE(SUBSTITUTE(A3237,"MOV-","")),"000"))</f>
        <v/>
      </c>
    </row>
    <row r="3238" spans="18:20">
      <c r="R3238" s="22" t="str">
        <f>IF(H3238="","",H3238&amp;I3238)</f>
        <v/>
      </c>
      <c r="S3238" s="22" t="str">
        <f>IF(C3238="","",C3238&amp;I3238)</f>
        <v/>
      </c>
      <c r="T3238" t="str">
        <f>IF(OR(C3238="",I3238&lt;&gt;"ENTRADA"),"",TEXT(B3238,"AAMMDD")&amp;"-"&amp;TEXT(VALUE(SUBSTITUTE(A3238,"MOV-","")),"000"))</f>
        <v/>
      </c>
    </row>
    <row r="3239" spans="18:20">
      <c r="R3239" s="22" t="str">
        <f>IF(H3239="","",H3239&amp;I3239)</f>
        <v/>
      </c>
      <c r="S3239" s="22" t="str">
        <f>IF(C3239="","",C3239&amp;I3239)</f>
        <v/>
      </c>
      <c r="T3239" t="str">
        <f>IF(OR(C3239="",I3239&lt;&gt;"ENTRADA"),"",TEXT(B3239,"AAMMDD")&amp;"-"&amp;TEXT(VALUE(SUBSTITUTE(A3239,"MOV-","")),"000"))</f>
        <v/>
      </c>
    </row>
    <row r="3240" spans="18:20">
      <c r="R3240" s="22" t="str">
        <f>IF(H3240="","",H3240&amp;I3240)</f>
        <v/>
      </c>
      <c r="S3240" s="22" t="str">
        <f>IF(C3240="","",C3240&amp;I3240)</f>
        <v/>
      </c>
      <c r="T3240" t="str">
        <f>IF(OR(C3240="",I3240&lt;&gt;"ENTRADA"),"",TEXT(B3240,"AAMMDD")&amp;"-"&amp;TEXT(VALUE(SUBSTITUTE(A3240,"MOV-","")),"000"))</f>
        <v/>
      </c>
    </row>
    <row r="3241" spans="18:20">
      <c r="R3241" s="22" t="str">
        <f>IF(H3241="","",H3241&amp;I3241)</f>
        <v/>
      </c>
      <c r="S3241" s="22" t="str">
        <f>IF(C3241="","",C3241&amp;I3241)</f>
        <v/>
      </c>
      <c r="T3241" t="str">
        <f>IF(OR(C3241="",I3241&lt;&gt;"ENTRADA"),"",TEXT(B3241,"AAMMDD")&amp;"-"&amp;TEXT(VALUE(SUBSTITUTE(A3241,"MOV-","")),"000"))</f>
        <v/>
      </c>
    </row>
    <row r="3242" spans="18:20">
      <c r="R3242" s="22" t="str">
        <f>IF(H3242="","",H3242&amp;I3242)</f>
        <v/>
      </c>
      <c r="S3242" s="22" t="str">
        <f>IF(C3242="","",C3242&amp;I3242)</f>
        <v/>
      </c>
      <c r="T3242" t="str">
        <f>IF(OR(C3242="",I3242&lt;&gt;"ENTRADA"),"",TEXT(B3242,"AAMMDD")&amp;"-"&amp;TEXT(VALUE(SUBSTITUTE(A3242,"MOV-","")),"000"))</f>
        <v/>
      </c>
    </row>
    <row r="3243" spans="18:20">
      <c r="R3243" s="22" t="str">
        <f>IF(H3243="","",H3243&amp;I3243)</f>
        <v/>
      </c>
      <c r="S3243" s="22" t="str">
        <f>IF(C3243="","",C3243&amp;I3243)</f>
        <v/>
      </c>
      <c r="T3243" t="str">
        <f>IF(OR(C3243="",I3243&lt;&gt;"ENTRADA"),"",TEXT(B3243,"AAMMDD")&amp;"-"&amp;TEXT(VALUE(SUBSTITUTE(A3243,"MOV-","")),"000"))</f>
        <v/>
      </c>
    </row>
    <row r="3244" spans="18:20">
      <c r="R3244" s="22" t="str">
        <f>IF(H3244="","",H3244&amp;I3244)</f>
        <v/>
      </c>
      <c r="S3244" s="22" t="str">
        <f>IF(C3244="","",C3244&amp;I3244)</f>
        <v/>
      </c>
      <c r="T3244" t="str">
        <f>IF(OR(C3244="",I3244&lt;&gt;"ENTRADA"),"",TEXT(B3244,"AAMMDD")&amp;"-"&amp;TEXT(VALUE(SUBSTITUTE(A3244,"MOV-","")),"000"))</f>
        <v/>
      </c>
    </row>
    <row r="3245" spans="18:20">
      <c r="R3245" s="22" t="str">
        <f>IF(H3245="","",H3245&amp;I3245)</f>
        <v/>
      </c>
      <c r="S3245" s="22" t="str">
        <f>IF(C3245="","",C3245&amp;I3245)</f>
        <v/>
      </c>
      <c r="T3245" t="str">
        <f>IF(OR(C3245="",I3245&lt;&gt;"ENTRADA"),"",TEXT(B3245,"AAMMDD")&amp;"-"&amp;TEXT(VALUE(SUBSTITUTE(A3245,"MOV-","")),"000"))</f>
        <v/>
      </c>
    </row>
    <row r="3246" spans="18:20">
      <c r="R3246" s="22" t="str">
        <f>IF(H3246="","",H3246&amp;I3246)</f>
        <v/>
      </c>
      <c r="S3246" s="22" t="str">
        <f>IF(C3246="","",C3246&amp;I3246)</f>
        <v/>
      </c>
      <c r="T3246" t="str">
        <f>IF(OR(C3246="",I3246&lt;&gt;"ENTRADA"),"",TEXT(B3246,"AAMMDD")&amp;"-"&amp;TEXT(VALUE(SUBSTITUTE(A3246,"MOV-","")),"000"))</f>
        <v/>
      </c>
    </row>
    <row r="3247" spans="18:20">
      <c r="R3247" s="22" t="str">
        <f>IF(H3247="","",H3247&amp;I3247)</f>
        <v/>
      </c>
      <c r="S3247" s="22" t="str">
        <f>IF(C3247="","",C3247&amp;I3247)</f>
        <v/>
      </c>
      <c r="T3247" t="str">
        <f>IF(OR(C3247="",I3247&lt;&gt;"ENTRADA"),"",TEXT(B3247,"AAMMDD")&amp;"-"&amp;TEXT(VALUE(SUBSTITUTE(A3247,"MOV-","")),"000"))</f>
        <v/>
      </c>
    </row>
    <row r="3248" spans="18:20">
      <c r="R3248" s="22" t="str">
        <f>IF(H3248="","",H3248&amp;I3248)</f>
        <v/>
      </c>
      <c r="S3248" s="22" t="str">
        <f>IF(C3248="","",C3248&amp;I3248)</f>
        <v/>
      </c>
      <c r="T3248" t="str">
        <f>IF(OR(C3248="",I3248&lt;&gt;"ENTRADA"),"",TEXT(B3248,"AAMMDD")&amp;"-"&amp;TEXT(VALUE(SUBSTITUTE(A3248,"MOV-","")),"000"))</f>
        <v/>
      </c>
    </row>
    <row r="3249" spans="18:20">
      <c r="R3249" s="22" t="str">
        <f>IF(H3249="","",H3249&amp;I3249)</f>
        <v/>
      </c>
      <c r="S3249" s="22" t="str">
        <f>IF(C3249="","",C3249&amp;I3249)</f>
        <v/>
      </c>
      <c r="T3249" t="str">
        <f>IF(OR(C3249="",I3249&lt;&gt;"ENTRADA"),"",TEXT(B3249,"AAMMDD")&amp;"-"&amp;TEXT(VALUE(SUBSTITUTE(A3249,"MOV-","")),"000"))</f>
        <v/>
      </c>
    </row>
    <row r="3250" spans="18:20">
      <c r="R3250" s="22" t="str">
        <f>IF(H3250="","",H3250&amp;I3250)</f>
        <v/>
      </c>
      <c r="S3250" s="22" t="str">
        <f>IF(C3250="","",C3250&amp;I3250)</f>
        <v/>
      </c>
      <c r="T3250" t="str">
        <f>IF(OR(C3250="",I3250&lt;&gt;"ENTRADA"),"",TEXT(B3250,"AAMMDD")&amp;"-"&amp;TEXT(VALUE(SUBSTITUTE(A3250,"MOV-","")),"000"))</f>
        <v/>
      </c>
    </row>
    <row r="3251" spans="18:20">
      <c r="R3251" s="22" t="str">
        <f>IF(H3251="","",H3251&amp;I3251)</f>
        <v/>
      </c>
      <c r="S3251" s="22" t="str">
        <f>IF(C3251="","",C3251&amp;I3251)</f>
        <v/>
      </c>
      <c r="T3251" t="str">
        <f>IF(OR(C3251="",I3251&lt;&gt;"ENTRADA"),"",TEXT(B3251,"AAMMDD")&amp;"-"&amp;TEXT(VALUE(SUBSTITUTE(A3251,"MOV-","")),"000"))</f>
        <v/>
      </c>
    </row>
    <row r="3252" spans="18:20">
      <c r="R3252" s="22" t="str">
        <f>IF(H3252="","",H3252&amp;I3252)</f>
        <v/>
      </c>
      <c r="S3252" s="22" t="str">
        <f>IF(C3252="","",C3252&amp;I3252)</f>
        <v/>
      </c>
      <c r="T3252" t="str">
        <f>IF(OR(C3252="",I3252&lt;&gt;"ENTRADA"),"",TEXT(B3252,"AAMMDD")&amp;"-"&amp;TEXT(VALUE(SUBSTITUTE(A3252,"MOV-","")),"000"))</f>
        <v/>
      </c>
    </row>
    <row r="3253" spans="18:20">
      <c r="R3253" s="22" t="str">
        <f>IF(H3253="","",H3253&amp;I3253)</f>
        <v/>
      </c>
      <c r="S3253" s="22" t="str">
        <f>IF(C3253="","",C3253&amp;I3253)</f>
        <v/>
      </c>
      <c r="T3253" t="str">
        <f>IF(OR(C3253="",I3253&lt;&gt;"ENTRADA"),"",TEXT(B3253,"AAMMDD")&amp;"-"&amp;TEXT(VALUE(SUBSTITUTE(A3253,"MOV-","")),"000"))</f>
        <v/>
      </c>
    </row>
    <row r="3254" spans="18:20">
      <c r="R3254" s="22" t="str">
        <f>IF(H3254="","",H3254&amp;I3254)</f>
        <v/>
      </c>
      <c r="S3254" s="22" t="str">
        <f>IF(C3254="","",C3254&amp;I3254)</f>
        <v/>
      </c>
      <c r="T3254" t="str">
        <f>IF(OR(C3254="",I3254&lt;&gt;"ENTRADA"),"",TEXT(B3254,"AAMMDD")&amp;"-"&amp;TEXT(VALUE(SUBSTITUTE(A3254,"MOV-","")),"000"))</f>
        <v/>
      </c>
    </row>
    <row r="3255" spans="18:20">
      <c r="R3255" s="22" t="str">
        <f>IF(H3255="","",H3255&amp;I3255)</f>
        <v/>
      </c>
      <c r="S3255" s="22" t="str">
        <f>IF(C3255="","",C3255&amp;I3255)</f>
        <v/>
      </c>
      <c r="T3255" t="str">
        <f>IF(OR(C3255="",I3255&lt;&gt;"ENTRADA"),"",TEXT(B3255,"AAMMDD")&amp;"-"&amp;TEXT(VALUE(SUBSTITUTE(A3255,"MOV-","")),"000"))</f>
        <v/>
      </c>
    </row>
    <row r="3256" spans="18:20">
      <c r="R3256" s="22" t="str">
        <f>IF(H3256="","",H3256&amp;I3256)</f>
        <v/>
      </c>
      <c r="S3256" s="22" t="str">
        <f>IF(C3256="","",C3256&amp;I3256)</f>
        <v/>
      </c>
      <c r="T3256" t="str">
        <f>IF(OR(C3256="",I3256&lt;&gt;"ENTRADA"),"",TEXT(B3256,"AAMMDD")&amp;"-"&amp;TEXT(VALUE(SUBSTITUTE(A3256,"MOV-","")),"000"))</f>
        <v/>
      </c>
    </row>
    <row r="3257" spans="18:20">
      <c r="R3257" s="22" t="str">
        <f>IF(H3257="","",H3257&amp;I3257)</f>
        <v/>
      </c>
      <c r="S3257" s="22" t="str">
        <f>IF(C3257="","",C3257&amp;I3257)</f>
        <v/>
      </c>
      <c r="T3257" t="str">
        <f>IF(OR(C3257="",I3257&lt;&gt;"ENTRADA"),"",TEXT(B3257,"AAMMDD")&amp;"-"&amp;TEXT(VALUE(SUBSTITUTE(A3257,"MOV-","")),"000"))</f>
        <v/>
      </c>
    </row>
    <row r="3258" spans="18:20">
      <c r="R3258" s="22" t="str">
        <f>IF(H3258="","",H3258&amp;I3258)</f>
        <v/>
      </c>
      <c r="S3258" s="22" t="str">
        <f>IF(C3258="","",C3258&amp;I3258)</f>
        <v/>
      </c>
      <c r="T3258" t="str">
        <f>IF(OR(C3258="",I3258&lt;&gt;"ENTRADA"),"",TEXT(B3258,"AAMMDD")&amp;"-"&amp;TEXT(VALUE(SUBSTITUTE(A3258,"MOV-","")),"000"))</f>
        <v/>
      </c>
    </row>
    <row r="3259" spans="18:20">
      <c r="R3259" s="22" t="str">
        <f>IF(H3259="","",H3259&amp;I3259)</f>
        <v/>
      </c>
      <c r="S3259" s="22" t="str">
        <f>IF(C3259="","",C3259&amp;I3259)</f>
        <v/>
      </c>
      <c r="T3259" t="str">
        <f>IF(OR(C3259="",I3259&lt;&gt;"ENTRADA"),"",TEXT(B3259,"AAMMDD")&amp;"-"&amp;TEXT(VALUE(SUBSTITUTE(A3259,"MOV-","")),"000"))</f>
        <v/>
      </c>
    </row>
    <row r="3260" spans="18:20">
      <c r="R3260" s="22" t="str">
        <f>IF(H3260="","",H3260&amp;I3260)</f>
        <v/>
      </c>
      <c r="S3260" s="22" t="str">
        <f>IF(C3260="","",C3260&amp;I3260)</f>
        <v/>
      </c>
      <c r="T3260" t="str">
        <f>IF(OR(C3260="",I3260&lt;&gt;"ENTRADA"),"",TEXT(B3260,"AAMMDD")&amp;"-"&amp;TEXT(VALUE(SUBSTITUTE(A3260,"MOV-","")),"000"))</f>
        <v/>
      </c>
    </row>
    <row r="3261" spans="18:20">
      <c r="R3261" s="22" t="str">
        <f>IF(H3261="","",H3261&amp;I3261)</f>
        <v/>
      </c>
      <c r="S3261" s="22" t="str">
        <f>IF(C3261="","",C3261&amp;I3261)</f>
        <v/>
      </c>
      <c r="T3261" t="str">
        <f>IF(OR(C3261="",I3261&lt;&gt;"ENTRADA"),"",TEXT(B3261,"AAMMDD")&amp;"-"&amp;TEXT(VALUE(SUBSTITUTE(A3261,"MOV-","")),"000"))</f>
        <v/>
      </c>
    </row>
    <row r="3262" spans="18:20">
      <c r="R3262" s="22" t="str">
        <f>IF(H3262="","",H3262&amp;I3262)</f>
        <v/>
      </c>
      <c r="S3262" s="22" t="str">
        <f>IF(C3262="","",C3262&amp;I3262)</f>
        <v/>
      </c>
      <c r="T3262" t="str">
        <f>IF(OR(C3262="",I3262&lt;&gt;"ENTRADA"),"",TEXT(B3262,"AAMMDD")&amp;"-"&amp;TEXT(VALUE(SUBSTITUTE(A3262,"MOV-","")),"000"))</f>
        <v/>
      </c>
    </row>
    <row r="3263" spans="18:20">
      <c r="R3263" s="22" t="str">
        <f>IF(H3263="","",H3263&amp;I3263)</f>
        <v/>
      </c>
      <c r="S3263" s="22" t="str">
        <f>IF(C3263="","",C3263&amp;I3263)</f>
        <v/>
      </c>
      <c r="T3263" t="str">
        <f>IF(OR(C3263="",I3263&lt;&gt;"ENTRADA"),"",TEXT(B3263,"AAMMDD")&amp;"-"&amp;TEXT(VALUE(SUBSTITUTE(A3263,"MOV-","")),"000"))</f>
        <v/>
      </c>
    </row>
    <row r="3264" spans="18:20">
      <c r="R3264" s="22" t="str">
        <f>IF(H3264="","",H3264&amp;I3264)</f>
        <v/>
      </c>
      <c r="S3264" s="22" t="str">
        <f>IF(C3264="","",C3264&amp;I3264)</f>
        <v/>
      </c>
      <c r="T3264" t="str">
        <f>IF(OR(C3264="",I3264&lt;&gt;"ENTRADA"),"",TEXT(B3264,"AAMMDD")&amp;"-"&amp;TEXT(VALUE(SUBSTITUTE(A3264,"MOV-","")),"000"))</f>
        <v/>
      </c>
    </row>
    <row r="3265" spans="18:20">
      <c r="R3265" s="22" t="str">
        <f>IF(H3265="","",H3265&amp;I3265)</f>
        <v/>
      </c>
      <c r="S3265" s="22" t="str">
        <f>IF(C3265="","",C3265&amp;I3265)</f>
        <v/>
      </c>
      <c r="T3265" t="str">
        <f>IF(OR(C3265="",I3265&lt;&gt;"ENTRADA"),"",TEXT(B3265,"AAMMDD")&amp;"-"&amp;TEXT(VALUE(SUBSTITUTE(A3265,"MOV-","")),"000"))</f>
        <v/>
      </c>
    </row>
    <row r="3266" spans="18:20">
      <c r="R3266" s="22" t="str">
        <f>IF(H3266="","",H3266&amp;I3266)</f>
        <v/>
      </c>
      <c r="S3266" s="22" t="str">
        <f>IF(C3266="","",C3266&amp;I3266)</f>
        <v/>
      </c>
      <c r="T3266" t="str">
        <f>IF(OR(C3266="",I3266&lt;&gt;"ENTRADA"),"",TEXT(B3266,"AAMMDD")&amp;"-"&amp;TEXT(VALUE(SUBSTITUTE(A3266,"MOV-","")),"000"))</f>
        <v/>
      </c>
    </row>
    <row r="3267" spans="18:20">
      <c r="R3267" s="22" t="str">
        <f>IF(H3267="","",H3267&amp;I3267)</f>
        <v/>
      </c>
      <c r="S3267" s="22" t="str">
        <f>IF(C3267="","",C3267&amp;I3267)</f>
        <v/>
      </c>
      <c r="T3267" t="str">
        <f>IF(OR(C3267="",I3267&lt;&gt;"ENTRADA"),"",TEXT(B3267,"AAMMDD")&amp;"-"&amp;TEXT(VALUE(SUBSTITUTE(A3267,"MOV-","")),"000"))</f>
        <v/>
      </c>
    </row>
    <row r="3268" spans="18:20">
      <c r="R3268" s="22" t="str">
        <f>IF(H3268="","",H3268&amp;I3268)</f>
        <v/>
      </c>
      <c r="S3268" s="22" t="str">
        <f>IF(C3268="","",C3268&amp;I3268)</f>
        <v/>
      </c>
      <c r="T3268" t="str">
        <f>IF(OR(C3268="",I3268&lt;&gt;"ENTRADA"),"",TEXT(B3268,"AAMMDD")&amp;"-"&amp;TEXT(VALUE(SUBSTITUTE(A3268,"MOV-","")),"000"))</f>
        <v/>
      </c>
    </row>
    <row r="3269" spans="18:20">
      <c r="R3269" s="22" t="str">
        <f>IF(H3269="","",H3269&amp;I3269)</f>
        <v/>
      </c>
      <c r="S3269" s="22" t="str">
        <f>IF(C3269="","",C3269&amp;I3269)</f>
        <v/>
      </c>
      <c r="T3269" t="str">
        <f>IF(OR(C3269="",I3269&lt;&gt;"ENTRADA"),"",TEXT(B3269,"AAMMDD")&amp;"-"&amp;TEXT(VALUE(SUBSTITUTE(A3269,"MOV-","")),"000"))</f>
        <v/>
      </c>
    </row>
    <row r="3270" spans="18:20">
      <c r="R3270" s="22" t="str">
        <f>IF(H3270="","",H3270&amp;I3270)</f>
        <v/>
      </c>
      <c r="S3270" s="22" t="str">
        <f>IF(C3270="","",C3270&amp;I3270)</f>
        <v/>
      </c>
      <c r="T3270" t="str">
        <f>IF(OR(C3270="",I3270&lt;&gt;"ENTRADA"),"",TEXT(B3270,"AAMMDD")&amp;"-"&amp;TEXT(VALUE(SUBSTITUTE(A3270,"MOV-","")),"000"))</f>
        <v/>
      </c>
    </row>
    <row r="3271" spans="18:20">
      <c r="R3271" s="22" t="str">
        <f>IF(H3271="","",H3271&amp;I3271)</f>
        <v/>
      </c>
      <c r="S3271" s="22" t="str">
        <f>IF(C3271="","",C3271&amp;I3271)</f>
        <v/>
      </c>
      <c r="T3271" t="str">
        <f>IF(OR(C3271="",I3271&lt;&gt;"ENTRADA"),"",TEXT(B3271,"AAMMDD")&amp;"-"&amp;TEXT(VALUE(SUBSTITUTE(A3271,"MOV-","")),"000"))</f>
        <v/>
      </c>
    </row>
    <row r="3272" spans="18:20">
      <c r="R3272" s="22" t="str">
        <f>IF(H3272="","",H3272&amp;I3272)</f>
        <v/>
      </c>
      <c r="S3272" s="22" t="str">
        <f>IF(C3272="","",C3272&amp;I3272)</f>
        <v/>
      </c>
      <c r="T3272" t="str">
        <f>IF(OR(C3272="",I3272&lt;&gt;"ENTRADA"),"",TEXT(B3272,"AAMMDD")&amp;"-"&amp;TEXT(VALUE(SUBSTITUTE(A3272,"MOV-","")),"000"))</f>
        <v/>
      </c>
    </row>
    <row r="3273" spans="18:20">
      <c r="R3273" s="22" t="str">
        <f>IF(H3273="","",H3273&amp;I3273)</f>
        <v/>
      </c>
      <c r="S3273" s="22" t="str">
        <f>IF(C3273="","",C3273&amp;I3273)</f>
        <v/>
      </c>
      <c r="T3273" t="str">
        <f>IF(OR(C3273="",I3273&lt;&gt;"ENTRADA"),"",TEXT(B3273,"AAMMDD")&amp;"-"&amp;TEXT(VALUE(SUBSTITUTE(A3273,"MOV-","")),"000"))</f>
        <v/>
      </c>
    </row>
    <row r="3274" spans="18:20">
      <c r="R3274" s="22" t="str">
        <f>IF(H3274="","",H3274&amp;I3274)</f>
        <v/>
      </c>
      <c r="S3274" s="22" t="str">
        <f>IF(C3274="","",C3274&amp;I3274)</f>
        <v/>
      </c>
      <c r="T3274" t="str">
        <f>IF(OR(C3274="",I3274&lt;&gt;"ENTRADA"),"",TEXT(B3274,"AAMMDD")&amp;"-"&amp;TEXT(VALUE(SUBSTITUTE(A3274,"MOV-","")),"000"))</f>
        <v/>
      </c>
    </row>
    <row r="3275" spans="18:20">
      <c r="R3275" s="22" t="str">
        <f>IF(H3275="","",H3275&amp;I3275)</f>
        <v/>
      </c>
      <c r="S3275" s="22" t="str">
        <f>IF(C3275="","",C3275&amp;I3275)</f>
        <v/>
      </c>
      <c r="T3275" t="str">
        <f>IF(OR(C3275="",I3275&lt;&gt;"ENTRADA"),"",TEXT(B3275,"AAMMDD")&amp;"-"&amp;TEXT(VALUE(SUBSTITUTE(A3275,"MOV-","")),"000"))</f>
        <v/>
      </c>
    </row>
    <row r="3276" spans="18:20">
      <c r="R3276" s="22" t="str">
        <f>IF(H3276="","",H3276&amp;I3276)</f>
        <v/>
      </c>
      <c r="S3276" s="22" t="str">
        <f>IF(C3276="","",C3276&amp;I3276)</f>
        <v/>
      </c>
      <c r="T3276" t="str">
        <f>IF(OR(C3276="",I3276&lt;&gt;"ENTRADA"),"",TEXT(B3276,"AAMMDD")&amp;"-"&amp;TEXT(VALUE(SUBSTITUTE(A3276,"MOV-","")),"000"))</f>
        <v/>
      </c>
    </row>
    <row r="3277" spans="18:20">
      <c r="R3277" s="22" t="str">
        <f>IF(H3277="","",H3277&amp;I3277)</f>
        <v/>
      </c>
      <c r="S3277" s="22" t="str">
        <f>IF(C3277="","",C3277&amp;I3277)</f>
        <v/>
      </c>
      <c r="T3277" t="str">
        <f>IF(OR(C3277="",I3277&lt;&gt;"ENTRADA"),"",TEXT(B3277,"AAMMDD")&amp;"-"&amp;TEXT(VALUE(SUBSTITUTE(A3277,"MOV-","")),"000"))</f>
        <v/>
      </c>
    </row>
    <row r="3278" spans="18:20">
      <c r="R3278" s="22" t="str">
        <f>IF(H3278="","",H3278&amp;I3278)</f>
        <v/>
      </c>
      <c r="S3278" s="22" t="str">
        <f>IF(C3278="","",C3278&amp;I3278)</f>
        <v/>
      </c>
      <c r="T3278" t="str">
        <f>IF(OR(C3278="",I3278&lt;&gt;"ENTRADA"),"",TEXT(B3278,"AAMMDD")&amp;"-"&amp;TEXT(VALUE(SUBSTITUTE(A3278,"MOV-","")),"000"))</f>
        <v/>
      </c>
    </row>
    <row r="3279" spans="18:20">
      <c r="R3279" s="22" t="str">
        <f>IF(H3279="","",H3279&amp;I3279)</f>
        <v/>
      </c>
      <c r="S3279" s="22" t="str">
        <f>IF(C3279="","",C3279&amp;I3279)</f>
        <v/>
      </c>
      <c r="T3279" t="str">
        <f>IF(OR(C3279="",I3279&lt;&gt;"ENTRADA"),"",TEXT(B3279,"AAMMDD")&amp;"-"&amp;TEXT(VALUE(SUBSTITUTE(A3279,"MOV-","")),"000"))</f>
        <v/>
      </c>
    </row>
    <row r="3280" spans="18:20">
      <c r="R3280" s="22" t="str">
        <f>IF(H3280="","",H3280&amp;I3280)</f>
        <v/>
      </c>
      <c r="S3280" s="22" t="str">
        <f>IF(C3280="","",C3280&amp;I3280)</f>
        <v/>
      </c>
      <c r="T3280" t="str">
        <f>IF(OR(C3280="",I3280&lt;&gt;"ENTRADA"),"",TEXT(B3280,"AAMMDD")&amp;"-"&amp;TEXT(VALUE(SUBSTITUTE(A3280,"MOV-","")),"000"))</f>
        <v/>
      </c>
    </row>
    <row r="3281" spans="18:20">
      <c r="R3281" s="22" t="str">
        <f>IF(H3281="","",H3281&amp;I3281)</f>
        <v/>
      </c>
      <c r="S3281" s="22" t="str">
        <f>IF(C3281="","",C3281&amp;I3281)</f>
        <v/>
      </c>
      <c r="T3281" t="str">
        <f>IF(OR(C3281="",I3281&lt;&gt;"ENTRADA"),"",TEXT(B3281,"AAMMDD")&amp;"-"&amp;TEXT(VALUE(SUBSTITUTE(A3281,"MOV-","")),"000"))</f>
        <v/>
      </c>
    </row>
    <row r="3282" spans="18:20">
      <c r="R3282" s="22" t="str">
        <f>IF(H3282="","",H3282&amp;I3282)</f>
        <v/>
      </c>
      <c r="S3282" s="22" t="str">
        <f>IF(C3282="","",C3282&amp;I3282)</f>
        <v/>
      </c>
      <c r="T3282" t="str">
        <f>IF(OR(C3282="",I3282&lt;&gt;"ENTRADA"),"",TEXT(B3282,"AAMMDD")&amp;"-"&amp;TEXT(VALUE(SUBSTITUTE(A3282,"MOV-","")),"000"))</f>
        <v/>
      </c>
    </row>
    <row r="3283" spans="18:20">
      <c r="R3283" s="22" t="str">
        <f>IF(H3283="","",H3283&amp;I3283)</f>
        <v/>
      </c>
      <c r="S3283" s="22" t="str">
        <f>IF(C3283="","",C3283&amp;I3283)</f>
        <v/>
      </c>
      <c r="T3283" t="str">
        <f>IF(OR(C3283="",I3283&lt;&gt;"ENTRADA"),"",TEXT(B3283,"AAMMDD")&amp;"-"&amp;TEXT(VALUE(SUBSTITUTE(A3283,"MOV-","")),"000"))</f>
        <v/>
      </c>
    </row>
    <row r="3284" spans="18:20">
      <c r="R3284" s="22" t="str">
        <f>IF(H3284="","",H3284&amp;I3284)</f>
        <v/>
      </c>
      <c r="S3284" s="22" t="str">
        <f>IF(C3284="","",C3284&amp;I3284)</f>
        <v/>
      </c>
      <c r="T3284" t="str">
        <f>IF(OR(C3284="",I3284&lt;&gt;"ENTRADA"),"",TEXT(B3284,"AAMMDD")&amp;"-"&amp;TEXT(VALUE(SUBSTITUTE(A3284,"MOV-","")),"000"))</f>
        <v/>
      </c>
    </row>
    <row r="3285" spans="18:20">
      <c r="R3285" s="22" t="str">
        <f>IF(H3285="","",H3285&amp;I3285)</f>
        <v/>
      </c>
      <c r="S3285" s="22" t="str">
        <f>IF(C3285="","",C3285&amp;I3285)</f>
        <v/>
      </c>
      <c r="T3285" t="str">
        <f>IF(OR(C3285="",I3285&lt;&gt;"ENTRADA"),"",TEXT(B3285,"AAMMDD")&amp;"-"&amp;TEXT(VALUE(SUBSTITUTE(A3285,"MOV-","")),"000"))</f>
        <v/>
      </c>
    </row>
    <row r="3286" spans="18:20">
      <c r="R3286" s="22" t="str">
        <f>IF(H3286="","",H3286&amp;I3286)</f>
        <v/>
      </c>
      <c r="S3286" s="22" t="str">
        <f>IF(C3286="","",C3286&amp;I3286)</f>
        <v/>
      </c>
      <c r="T3286" t="str">
        <f>IF(OR(C3286="",I3286&lt;&gt;"ENTRADA"),"",TEXT(B3286,"AAMMDD")&amp;"-"&amp;TEXT(VALUE(SUBSTITUTE(A3286,"MOV-","")),"000"))</f>
        <v/>
      </c>
    </row>
    <row r="3287" spans="18:20">
      <c r="R3287" s="22" t="str">
        <f>IF(H3287="","",H3287&amp;I3287)</f>
        <v/>
      </c>
      <c r="S3287" s="22" t="str">
        <f>IF(C3287="","",C3287&amp;I3287)</f>
        <v/>
      </c>
      <c r="T3287" t="str">
        <f>IF(OR(C3287="",I3287&lt;&gt;"ENTRADA"),"",TEXT(B3287,"AAMMDD")&amp;"-"&amp;TEXT(VALUE(SUBSTITUTE(A3287,"MOV-","")),"000"))</f>
        <v/>
      </c>
    </row>
    <row r="3288" spans="18:20">
      <c r="R3288" s="22" t="str">
        <f>IF(H3288="","",H3288&amp;I3288)</f>
        <v/>
      </c>
      <c r="S3288" s="22" t="str">
        <f>IF(C3288="","",C3288&amp;I3288)</f>
        <v/>
      </c>
      <c r="T3288" t="str">
        <f>IF(OR(C3288="",I3288&lt;&gt;"ENTRADA"),"",TEXT(B3288,"AAMMDD")&amp;"-"&amp;TEXT(VALUE(SUBSTITUTE(A3288,"MOV-","")),"000"))</f>
        <v/>
      </c>
    </row>
    <row r="3289" spans="18:20">
      <c r="R3289" s="22" t="str">
        <f>IF(H3289="","",H3289&amp;I3289)</f>
        <v/>
      </c>
      <c r="S3289" s="22" t="str">
        <f>IF(C3289="","",C3289&amp;I3289)</f>
        <v/>
      </c>
      <c r="T3289" t="str">
        <f>IF(OR(C3289="",I3289&lt;&gt;"ENTRADA"),"",TEXT(B3289,"AAMMDD")&amp;"-"&amp;TEXT(VALUE(SUBSTITUTE(A3289,"MOV-","")),"000"))</f>
        <v/>
      </c>
    </row>
    <row r="3290" spans="18:20">
      <c r="R3290" s="22" t="str">
        <f>IF(H3290="","",H3290&amp;I3290)</f>
        <v/>
      </c>
      <c r="S3290" s="22" t="str">
        <f>IF(C3290="","",C3290&amp;I3290)</f>
        <v/>
      </c>
      <c r="T3290" t="str">
        <f>IF(OR(C3290="",I3290&lt;&gt;"ENTRADA"),"",TEXT(B3290,"AAMMDD")&amp;"-"&amp;TEXT(VALUE(SUBSTITUTE(A3290,"MOV-","")),"000"))</f>
        <v/>
      </c>
    </row>
    <row r="3291" spans="18:20">
      <c r="R3291" s="22" t="str">
        <f>IF(H3291="","",H3291&amp;I3291)</f>
        <v/>
      </c>
      <c r="S3291" s="22" t="str">
        <f>IF(C3291="","",C3291&amp;I3291)</f>
        <v/>
      </c>
      <c r="T3291" t="str">
        <f>IF(OR(C3291="",I3291&lt;&gt;"ENTRADA"),"",TEXT(B3291,"AAMMDD")&amp;"-"&amp;TEXT(VALUE(SUBSTITUTE(A3291,"MOV-","")),"000"))</f>
        <v/>
      </c>
    </row>
    <row r="3292" spans="18:20">
      <c r="R3292" s="22" t="str">
        <f>IF(H3292="","",H3292&amp;I3292)</f>
        <v/>
      </c>
      <c r="S3292" s="22" t="str">
        <f>IF(C3292="","",C3292&amp;I3292)</f>
        <v/>
      </c>
      <c r="T3292" t="str">
        <f>IF(OR(C3292="",I3292&lt;&gt;"ENTRADA"),"",TEXT(B3292,"AAMMDD")&amp;"-"&amp;TEXT(VALUE(SUBSTITUTE(A3292,"MOV-","")),"000"))</f>
        <v/>
      </c>
    </row>
    <row r="3293" spans="18:20">
      <c r="R3293" s="22" t="str">
        <f>IF(H3293="","",H3293&amp;I3293)</f>
        <v/>
      </c>
      <c r="S3293" s="22" t="str">
        <f>IF(C3293="","",C3293&amp;I3293)</f>
        <v/>
      </c>
      <c r="T3293" t="str">
        <f>IF(OR(C3293="",I3293&lt;&gt;"ENTRADA"),"",TEXT(B3293,"AAMMDD")&amp;"-"&amp;TEXT(VALUE(SUBSTITUTE(A3293,"MOV-","")),"000"))</f>
        <v/>
      </c>
    </row>
    <row r="3294" spans="18:20">
      <c r="R3294" s="22" t="str">
        <f>IF(H3294="","",H3294&amp;I3294)</f>
        <v/>
      </c>
      <c r="S3294" s="22" t="str">
        <f>IF(C3294="","",C3294&amp;I3294)</f>
        <v/>
      </c>
      <c r="T3294" t="str">
        <f>IF(OR(C3294="",I3294&lt;&gt;"ENTRADA"),"",TEXT(B3294,"AAMMDD")&amp;"-"&amp;TEXT(VALUE(SUBSTITUTE(A3294,"MOV-","")),"000"))</f>
        <v/>
      </c>
    </row>
    <row r="3295" spans="18:20">
      <c r="R3295" s="22" t="str">
        <f>IF(H3295="","",H3295&amp;I3295)</f>
        <v/>
      </c>
      <c r="S3295" s="22" t="str">
        <f>IF(C3295="","",C3295&amp;I3295)</f>
        <v/>
      </c>
      <c r="T3295" t="str">
        <f>IF(OR(C3295="",I3295&lt;&gt;"ENTRADA"),"",TEXT(B3295,"AAMMDD")&amp;"-"&amp;TEXT(VALUE(SUBSTITUTE(A3295,"MOV-","")),"000"))</f>
        <v/>
      </c>
    </row>
    <row r="3296" spans="18:20">
      <c r="R3296" s="22" t="str">
        <f>IF(H3296="","",H3296&amp;I3296)</f>
        <v/>
      </c>
      <c r="S3296" s="22" t="str">
        <f>IF(C3296="","",C3296&amp;I3296)</f>
        <v/>
      </c>
      <c r="T3296" t="str">
        <f>IF(OR(C3296="",I3296&lt;&gt;"ENTRADA"),"",TEXT(B3296,"AAMMDD")&amp;"-"&amp;TEXT(VALUE(SUBSTITUTE(A3296,"MOV-","")),"000"))</f>
        <v/>
      </c>
    </row>
    <row r="3297" spans="18:20">
      <c r="R3297" s="22" t="str">
        <f>IF(H3297="","",H3297&amp;I3297)</f>
        <v/>
      </c>
      <c r="S3297" s="22" t="str">
        <f>IF(C3297="","",C3297&amp;I3297)</f>
        <v/>
      </c>
      <c r="T3297" t="str">
        <f>IF(OR(C3297="",I3297&lt;&gt;"ENTRADA"),"",TEXT(B3297,"AAMMDD")&amp;"-"&amp;TEXT(VALUE(SUBSTITUTE(A3297,"MOV-","")),"000"))</f>
        <v/>
      </c>
    </row>
    <row r="3298" spans="18:20">
      <c r="R3298" s="22" t="str">
        <f>IF(H3298="","",H3298&amp;I3298)</f>
        <v/>
      </c>
      <c r="S3298" s="22" t="str">
        <f>IF(C3298="","",C3298&amp;I3298)</f>
        <v/>
      </c>
      <c r="T3298" t="str">
        <f>IF(OR(C3298="",I3298&lt;&gt;"ENTRADA"),"",TEXT(B3298,"AAMMDD")&amp;"-"&amp;TEXT(VALUE(SUBSTITUTE(A3298,"MOV-","")),"000"))</f>
        <v/>
      </c>
    </row>
    <row r="3299" spans="18:20">
      <c r="R3299" s="22" t="str">
        <f>IF(H3299="","",H3299&amp;I3299)</f>
        <v/>
      </c>
      <c r="S3299" s="22" t="str">
        <f>IF(C3299="","",C3299&amp;I3299)</f>
        <v/>
      </c>
      <c r="T3299" t="str">
        <f>IF(OR(C3299="",I3299&lt;&gt;"ENTRADA"),"",TEXT(B3299,"AAMMDD")&amp;"-"&amp;TEXT(VALUE(SUBSTITUTE(A3299,"MOV-","")),"000"))</f>
        <v/>
      </c>
    </row>
    <row r="3300" spans="18:20">
      <c r="R3300" s="22" t="str">
        <f>IF(H3300="","",H3300&amp;I3300)</f>
        <v/>
      </c>
      <c r="S3300" s="22" t="str">
        <f>IF(C3300="","",C3300&amp;I3300)</f>
        <v/>
      </c>
      <c r="T3300" t="str">
        <f>IF(OR(C3300="",I3300&lt;&gt;"ENTRADA"),"",TEXT(B3300,"AAMMDD")&amp;"-"&amp;TEXT(VALUE(SUBSTITUTE(A3300,"MOV-","")),"000"))</f>
        <v/>
      </c>
    </row>
    <row r="3301" spans="18:20">
      <c r="R3301" s="22" t="str">
        <f>IF(H3301="","",H3301&amp;I3301)</f>
        <v/>
      </c>
      <c r="S3301" s="22" t="str">
        <f>IF(C3301="","",C3301&amp;I3301)</f>
        <v/>
      </c>
      <c r="T3301" t="str">
        <f>IF(OR(C3301="",I3301&lt;&gt;"ENTRADA"),"",TEXT(B3301,"AAMMDD")&amp;"-"&amp;TEXT(VALUE(SUBSTITUTE(A3301,"MOV-","")),"000"))</f>
        <v/>
      </c>
    </row>
    <row r="3302" spans="18:20">
      <c r="R3302" s="22" t="str">
        <f>IF(H3302="","",H3302&amp;I3302)</f>
        <v/>
      </c>
      <c r="S3302" s="22" t="str">
        <f>IF(C3302="","",C3302&amp;I3302)</f>
        <v/>
      </c>
      <c r="T3302" t="str">
        <f>IF(OR(C3302="",I3302&lt;&gt;"ENTRADA"),"",TEXT(B3302,"AAMMDD")&amp;"-"&amp;TEXT(VALUE(SUBSTITUTE(A3302,"MOV-","")),"000"))</f>
        <v/>
      </c>
    </row>
    <row r="3303" spans="18:20">
      <c r="R3303" s="22" t="str">
        <f>IF(H3303="","",H3303&amp;I3303)</f>
        <v/>
      </c>
      <c r="S3303" s="22" t="str">
        <f>IF(C3303="","",C3303&amp;I3303)</f>
        <v/>
      </c>
      <c r="T3303" t="str">
        <f>IF(OR(C3303="",I3303&lt;&gt;"ENTRADA"),"",TEXT(B3303,"AAMMDD")&amp;"-"&amp;TEXT(VALUE(SUBSTITUTE(A3303,"MOV-","")),"000"))</f>
        <v/>
      </c>
    </row>
    <row r="3304" spans="18:20">
      <c r="R3304" s="22" t="str">
        <f>IF(H3304="","",H3304&amp;I3304)</f>
        <v/>
      </c>
      <c r="S3304" s="22" t="str">
        <f>IF(C3304="","",C3304&amp;I3304)</f>
        <v/>
      </c>
      <c r="T3304" t="str">
        <f>IF(OR(C3304="",I3304&lt;&gt;"ENTRADA"),"",TEXT(B3304,"AAMMDD")&amp;"-"&amp;TEXT(VALUE(SUBSTITUTE(A3304,"MOV-","")),"000"))</f>
        <v/>
      </c>
    </row>
    <row r="3305" spans="18:20">
      <c r="R3305" s="22" t="str">
        <f>IF(H3305="","",H3305&amp;I3305)</f>
        <v/>
      </c>
      <c r="S3305" s="22" t="str">
        <f>IF(C3305="","",C3305&amp;I3305)</f>
        <v/>
      </c>
      <c r="T3305" t="str">
        <f>IF(OR(C3305="",I3305&lt;&gt;"ENTRADA"),"",TEXT(B3305,"AAMMDD")&amp;"-"&amp;TEXT(VALUE(SUBSTITUTE(A3305,"MOV-","")),"000"))</f>
        <v/>
      </c>
    </row>
    <row r="3306" spans="18:20">
      <c r="R3306" s="22" t="str">
        <f>IF(H3306="","",H3306&amp;I3306)</f>
        <v/>
      </c>
      <c r="S3306" s="22" t="str">
        <f>IF(C3306="","",C3306&amp;I3306)</f>
        <v/>
      </c>
      <c r="T3306" t="str">
        <f>IF(OR(C3306="",I3306&lt;&gt;"ENTRADA"),"",TEXT(B3306,"AAMMDD")&amp;"-"&amp;TEXT(VALUE(SUBSTITUTE(A3306,"MOV-","")),"000"))</f>
        <v/>
      </c>
    </row>
    <row r="3307" spans="18:20">
      <c r="R3307" s="22" t="str">
        <f>IF(H3307="","",H3307&amp;I3307)</f>
        <v/>
      </c>
      <c r="S3307" s="22" t="str">
        <f>IF(C3307="","",C3307&amp;I3307)</f>
        <v/>
      </c>
      <c r="T3307" t="str">
        <f>IF(OR(C3307="",I3307&lt;&gt;"ENTRADA"),"",TEXT(B3307,"AAMMDD")&amp;"-"&amp;TEXT(VALUE(SUBSTITUTE(A3307,"MOV-","")),"000"))</f>
        <v/>
      </c>
    </row>
    <row r="3308" spans="18:20">
      <c r="R3308" s="22" t="str">
        <f>IF(H3308="","",H3308&amp;I3308)</f>
        <v/>
      </c>
      <c r="S3308" s="22" t="str">
        <f>IF(C3308="","",C3308&amp;I3308)</f>
        <v/>
      </c>
      <c r="T3308" t="str">
        <f>IF(OR(C3308="",I3308&lt;&gt;"ENTRADA"),"",TEXT(B3308,"AAMMDD")&amp;"-"&amp;TEXT(VALUE(SUBSTITUTE(A3308,"MOV-","")),"000"))</f>
        <v/>
      </c>
    </row>
    <row r="3309" spans="18:20">
      <c r="R3309" s="22" t="str">
        <f>IF(H3309="","",H3309&amp;I3309)</f>
        <v/>
      </c>
      <c r="S3309" s="22" t="str">
        <f>IF(C3309="","",C3309&amp;I3309)</f>
        <v/>
      </c>
      <c r="T3309" t="str">
        <f>IF(OR(C3309="",I3309&lt;&gt;"ENTRADA"),"",TEXT(B3309,"AAMMDD")&amp;"-"&amp;TEXT(VALUE(SUBSTITUTE(A3309,"MOV-","")),"000"))</f>
        <v/>
      </c>
    </row>
    <row r="3310" spans="18:20">
      <c r="R3310" s="22" t="str">
        <f>IF(H3310="","",H3310&amp;I3310)</f>
        <v/>
      </c>
      <c r="S3310" s="22" t="str">
        <f>IF(C3310="","",C3310&amp;I3310)</f>
        <v/>
      </c>
      <c r="T3310" t="str">
        <f>IF(OR(C3310="",I3310&lt;&gt;"ENTRADA"),"",TEXT(B3310,"AAMMDD")&amp;"-"&amp;TEXT(VALUE(SUBSTITUTE(A3310,"MOV-","")),"000"))</f>
        <v/>
      </c>
    </row>
    <row r="3311" spans="18:20">
      <c r="R3311" s="22" t="str">
        <f>IF(H3311="","",H3311&amp;I3311)</f>
        <v/>
      </c>
      <c r="S3311" s="22" t="str">
        <f>IF(C3311="","",C3311&amp;I3311)</f>
        <v/>
      </c>
      <c r="T3311" t="str">
        <f>IF(OR(C3311="",I3311&lt;&gt;"ENTRADA"),"",TEXT(B3311,"AAMMDD")&amp;"-"&amp;TEXT(VALUE(SUBSTITUTE(A3311,"MOV-","")),"000"))</f>
        <v/>
      </c>
    </row>
    <row r="3312" spans="18:20">
      <c r="R3312" s="22" t="str">
        <f>IF(H3312="","",H3312&amp;I3312)</f>
        <v/>
      </c>
      <c r="S3312" s="22" t="str">
        <f>IF(C3312="","",C3312&amp;I3312)</f>
        <v/>
      </c>
      <c r="T3312" t="str">
        <f>IF(OR(C3312="",I3312&lt;&gt;"ENTRADA"),"",TEXT(B3312,"AAMMDD")&amp;"-"&amp;TEXT(VALUE(SUBSTITUTE(A3312,"MOV-","")),"000"))</f>
        <v/>
      </c>
    </row>
    <row r="3313" spans="18:20">
      <c r="R3313" s="22" t="str">
        <f>IF(H3313="","",H3313&amp;I3313)</f>
        <v/>
      </c>
      <c r="S3313" s="22" t="str">
        <f>IF(C3313="","",C3313&amp;I3313)</f>
        <v/>
      </c>
      <c r="T3313" t="str">
        <f>IF(OR(C3313="",I3313&lt;&gt;"ENTRADA"),"",TEXT(B3313,"AAMMDD")&amp;"-"&amp;TEXT(VALUE(SUBSTITUTE(A3313,"MOV-","")),"000"))</f>
        <v/>
      </c>
    </row>
    <row r="3314" spans="18:20">
      <c r="R3314" s="22" t="str">
        <f>IF(H3314="","",H3314&amp;I3314)</f>
        <v/>
      </c>
      <c r="S3314" s="22" t="str">
        <f>IF(C3314="","",C3314&amp;I3314)</f>
        <v/>
      </c>
      <c r="T3314" t="str">
        <f>IF(OR(C3314="",I3314&lt;&gt;"ENTRADA"),"",TEXT(B3314,"AAMMDD")&amp;"-"&amp;TEXT(VALUE(SUBSTITUTE(A3314,"MOV-","")),"000"))</f>
        <v/>
      </c>
    </row>
    <row r="3315" spans="18:20">
      <c r="R3315" s="22" t="str">
        <f>IF(H3315="","",H3315&amp;I3315)</f>
        <v/>
      </c>
      <c r="S3315" s="22" t="str">
        <f>IF(C3315="","",C3315&amp;I3315)</f>
        <v/>
      </c>
      <c r="T3315" t="str">
        <f>IF(OR(C3315="",I3315&lt;&gt;"ENTRADA"),"",TEXT(B3315,"AAMMDD")&amp;"-"&amp;TEXT(VALUE(SUBSTITUTE(A3315,"MOV-","")),"000"))</f>
        <v/>
      </c>
    </row>
    <row r="3316" spans="18:20">
      <c r="R3316" s="22" t="str">
        <f>IF(H3316="","",H3316&amp;I3316)</f>
        <v/>
      </c>
      <c r="S3316" s="22" t="str">
        <f>IF(C3316="","",C3316&amp;I3316)</f>
        <v/>
      </c>
      <c r="T3316" t="str">
        <f>IF(OR(C3316="",I3316&lt;&gt;"ENTRADA"),"",TEXT(B3316,"AAMMDD")&amp;"-"&amp;TEXT(VALUE(SUBSTITUTE(A3316,"MOV-","")),"000"))</f>
        <v/>
      </c>
    </row>
    <row r="3317" spans="18:20">
      <c r="R3317" s="22" t="str">
        <f>IF(H3317="","",H3317&amp;I3317)</f>
        <v/>
      </c>
      <c r="S3317" s="22" t="str">
        <f>IF(C3317="","",C3317&amp;I3317)</f>
        <v/>
      </c>
      <c r="T3317" t="str">
        <f>IF(OR(C3317="",I3317&lt;&gt;"ENTRADA"),"",TEXT(B3317,"AAMMDD")&amp;"-"&amp;TEXT(VALUE(SUBSTITUTE(A3317,"MOV-","")),"000"))</f>
        <v/>
      </c>
    </row>
    <row r="3318" spans="18:20">
      <c r="R3318" s="22" t="str">
        <f>IF(H3318="","",H3318&amp;I3318)</f>
        <v/>
      </c>
      <c r="S3318" s="22" t="str">
        <f>IF(C3318="","",C3318&amp;I3318)</f>
        <v/>
      </c>
      <c r="T3318" t="str">
        <f>IF(OR(C3318="",I3318&lt;&gt;"ENTRADA"),"",TEXT(B3318,"AAMMDD")&amp;"-"&amp;TEXT(VALUE(SUBSTITUTE(A3318,"MOV-","")),"000"))</f>
        <v/>
      </c>
    </row>
    <row r="3319" spans="18:20">
      <c r="R3319" s="22" t="str">
        <f>IF(H3319="","",H3319&amp;I3319)</f>
        <v/>
      </c>
      <c r="S3319" s="22" t="str">
        <f>IF(C3319="","",C3319&amp;I3319)</f>
        <v/>
      </c>
      <c r="T3319" t="str">
        <f>IF(OR(C3319="",I3319&lt;&gt;"ENTRADA"),"",TEXT(B3319,"AAMMDD")&amp;"-"&amp;TEXT(VALUE(SUBSTITUTE(A3319,"MOV-","")),"000"))</f>
        <v/>
      </c>
    </row>
    <row r="3320" spans="18:20">
      <c r="R3320" s="22" t="str">
        <f>IF(H3320="","",H3320&amp;I3320)</f>
        <v/>
      </c>
      <c r="S3320" s="22" t="str">
        <f>IF(C3320="","",C3320&amp;I3320)</f>
        <v/>
      </c>
      <c r="T3320" t="str">
        <f>IF(OR(C3320="",I3320&lt;&gt;"ENTRADA"),"",TEXT(B3320,"AAMMDD")&amp;"-"&amp;TEXT(VALUE(SUBSTITUTE(A3320,"MOV-","")),"000"))</f>
        <v/>
      </c>
    </row>
    <row r="3321" spans="18:20">
      <c r="R3321" s="22" t="str">
        <f>IF(H3321="","",H3321&amp;I3321)</f>
        <v/>
      </c>
      <c r="S3321" s="22" t="str">
        <f>IF(C3321="","",C3321&amp;I3321)</f>
        <v/>
      </c>
      <c r="T3321" t="str">
        <f>IF(OR(C3321="",I3321&lt;&gt;"ENTRADA"),"",TEXT(B3321,"AAMMDD")&amp;"-"&amp;TEXT(VALUE(SUBSTITUTE(A3321,"MOV-","")),"000"))</f>
        <v/>
      </c>
    </row>
    <row r="3322" spans="18:20">
      <c r="R3322" s="22" t="str">
        <f>IF(H3322="","",H3322&amp;I3322)</f>
        <v/>
      </c>
      <c r="S3322" s="22" t="str">
        <f>IF(C3322="","",C3322&amp;I3322)</f>
        <v/>
      </c>
      <c r="T3322" t="str">
        <f>IF(OR(C3322="",I3322&lt;&gt;"ENTRADA"),"",TEXT(B3322,"AAMMDD")&amp;"-"&amp;TEXT(VALUE(SUBSTITUTE(A3322,"MOV-","")),"000"))</f>
        <v/>
      </c>
    </row>
    <row r="3323" spans="18:20">
      <c r="R3323" s="22" t="str">
        <f>IF(H3323="","",H3323&amp;I3323)</f>
        <v/>
      </c>
      <c r="S3323" s="22" t="str">
        <f>IF(C3323="","",C3323&amp;I3323)</f>
        <v/>
      </c>
      <c r="T3323" t="str">
        <f>IF(OR(C3323="",I3323&lt;&gt;"ENTRADA"),"",TEXT(B3323,"AAMMDD")&amp;"-"&amp;TEXT(VALUE(SUBSTITUTE(A3323,"MOV-","")),"000"))</f>
        <v/>
      </c>
    </row>
    <row r="3324" spans="18:20">
      <c r="R3324" s="22" t="str">
        <f>IF(H3324="","",H3324&amp;I3324)</f>
        <v/>
      </c>
      <c r="S3324" s="22" t="str">
        <f>IF(C3324="","",C3324&amp;I3324)</f>
        <v/>
      </c>
      <c r="T3324" t="str">
        <f>IF(OR(C3324="",I3324&lt;&gt;"ENTRADA"),"",TEXT(B3324,"AAMMDD")&amp;"-"&amp;TEXT(VALUE(SUBSTITUTE(A3324,"MOV-","")),"000"))</f>
        <v/>
      </c>
    </row>
    <row r="3325" spans="18:20">
      <c r="R3325" s="22" t="str">
        <f>IF(H3325="","",H3325&amp;I3325)</f>
        <v/>
      </c>
      <c r="S3325" s="22" t="str">
        <f>IF(C3325="","",C3325&amp;I3325)</f>
        <v/>
      </c>
      <c r="T3325" t="str">
        <f>IF(OR(C3325="",I3325&lt;&gt;"ENTRADA"),"",TEXT(B3325,"AAMMDD")&amp;"-"&amp;TEXT(VALUE(SUBSTITUTE(A3325,"MOV-","")),"000"))</f>
        <v/>
      </c>
    </row>
    <row r="3326" spans="18:20">
      <c r="R3326" s="22" t="str">
        <f>IF(H3326="","",H3326&amp;I3326)</f>
        <v/>
      </c>
      <c r="S3326" s="22" t="str">
        <f>IF(C3326="","",C3326&amp;I3326)</f>
        <v/>
      </c>
      <c r="T3326" t="str">
        <f>IF(OR(C3326="",I3326&lt;&gt;"ENTRADA"),"",TEXT(B3326,"AAMMDD")&amp;"-"&amp;TEXT(VALUE(SUBSTITUTE(A3326,"MOV-","")),"000"))</f>
        <v/>
      </c>
    </row>
    <row r="3327" spans="18:20">
      <c r="R3327" s="22" t="str">
        <f>IF(H3327="","",H3327&amp;I3327)</f>
        <v/>
      </c>
      <c r="S3327" s="22" t="str">
        <f>IF(C3327="","",C3327&amp;I3327)</f>
        <v/>
      </c>
      <c r="T3327" t="str">
        <f>IF(OR(C3327="",I3327&lt;&gt;"ENTRADA"),"",TEXT(B3327,"AAMMDD")&amp;"-"&amp;TEXT(VALUE(SUBSTITUTE(A3327,"MOV-","")),"000"))</f>
        <v/>
      </c>
    </row>
    <row r="3328" spans="18:20">
      <c r="R3328" s="22" t="str">
        <f>IF(H3328="","",H3328&amp;I3328)</f>
        <v/>
      </c>
      <c r="S3328" s="22" t="str">
        <f>IF(C3328="","",C3328&amp;I3328)</f>
        <v/>
      </c>
      <c r="T3328" t="str">
        <f>IF(OR(C3328="",I3328&lt;&gt;"ENTRADA"),"",TEXT(B3328,"AAMMDD")&amp;"-"&amp;TEXT(VALUE(SUBSTITUTE(A3328,"MOV-","")),"000"))</f>
        <v/>
      </c>
    </row>
    <row r="3329" spans="18:20">
      <c r="R3329" s="22" t="str">
        <f>IF(H3329="","",H3329&amp;I3329)</f>
        <v/>
      </c>
      <c r="S3329" s="22" t="str">
        <f>IF(C3329="","",C3329&amp;I3329)</f>
        <v/>
      </c>
      <c r="T3329" t="str">
        <f>IF(OR(C3329="",I3329&lt;&gt;"ENTRADA"),"",TEXT(B3329,"AAMMDD")&amp;"-"&amp;TEXT(VALUE(SUBSTITUTE(A3329,"MOV-","")),"000"))</f>
        <v/>
      </c>
    </row>
    <row r="3330" spans="18:20">
      <c r="R3330" s="22" t="str">
        <f>IF(H3330="","",H3330&amp;I3330)</f>
        <v/>
      </c>
      <c r="S3330" s="22" t="str">
        <f>IF(C3330="","",C3330&amp;I3330)</f>
        <v/>
      </c>
      <c r="T3330" t="str">
        <f>IF(OR(C3330="",I3330&lt;&gt;"ENTRADA"),"",TEXT(B3330,"AAMMDD")&amp;"-"&amp;TEXT(VALUE(SUBSTITUTE(A3330,"MOV-","")),"000"))</f>
        <v/>
      </c>
    </row>
    <row r="3331" spans="18:20">
      <c r="R3331" s="22" t="str">
        <f>IF(H3331="","",H3331&amp;I3331)</f>
        <v/>
      </c>
      <c r="S3331" s="22" t="str">
        <f>IF(C3331="","",C3331&amp;I3331)</f>
        <v/>
      </c>
      <c r="T3331" t="str">
        <f>IF(OR(C3331="",I3331&lt;&gt;"ENTRADA"),"",TEXT(B3331,"AAMMDD")&amp;"-"&amp;TEXT(VALUE(SUBSTITUTE(A3331,"MOV-","")),"000"))</f>
        <v/>
      </c>
    </row>
    <row r="3332" spans="18:20">
      <c r="R3332" s="22" t="str">
        <f>IF(H3332="","",H3332&amp;I3332)</f>
        <v/>
      </c>
      <c r="S3332" s="22" t="str">
        <f>IF(C3332="","",C3332&amp;I3332)</f>
        <v/>
      </c>
      <c r="T3332" t="str">
        <f>IF(OR(C3332="",I3332&lt;&gt;"ENTRADA"),"",TEXT(B3332,"AAMMDD")&amp;"-"&amp;TEXT(VALUE(SUBSTITUTE(A3332,"MOV-","")),"000"))</f>
        <v/>
      </c>
    </row>
    <row r="3333" spans="18:20">
      <c r="R3333" s="22" t="str">
        <f>IF(H3333="","",H3333&amp;I3333)</f>
        <v/>
      </c>
      <c r="S3333" s="22" t="str">
        <f>IF(C3333="","",C3333&amp;I3333)</f>
        <v/>
      </c>
      <c r="T3333" t="str">
        <f>IF(OR(C3333="",I3333&lt;&gt;"ENTRADA"),"",TEXT(B3333,"AAMMDD")&amp;"-"&amp;TEXT(VALUE(SUBSTITUTE(A3333,"MOV-","")),"000"))</f>
        <v/>
      </c>
    </row>
    <row r="3334" spans="18:20">
      <c r="R3334" s="22" t="str">
        <f>IF(H3334="","",H3334&amp;I3334)</f>
        <v/>
      </c>
      <c r="S3334" s="22" t="str">
        <f>IF(C3334="","",C3334&amp;I3334)</f>
        <v/>
      </c>
      <c r="T3334" t="str">
        <f>IF(OR(C3334="",I3334&lt;&gt;"ENTRADA"),"",TEXT(B3334,"AAMMDD")&amp;"-"&amp;TEXT(VALUE(SUBSTITUTE(A3334,"MOV-","")),"000"))</f>
        <v/>
      </c>
    </row>
    <row r="3335" spans="18:20">
      <c r="R3335" s="22" t="str">
        <f>IF(H3335="","",H3335&amp;I3335)</f>
        <v/>
      </c>
      <c r="S3335" s="22" t="str">
        <f>IF(C3335="","",C3335&amp;I3335)</f>
        <v/>
      </c>
      <c r="T3335" t="str">
        <f>IF(OR(C3335="",I3335&lt;&gt;"ENTRADA"),"",TEXT(B3335,"AAMMDD")&amp;"-"&amp;TEXT(VALUE(SUBSTITUTE(A3335,"MOV-","")),"000"))</f>
        <v/>
      </c>
    </row>
    <row r="3336" spans="18:20">
      <c r="R3336" s="22" t="str">
        <f>IF(H3336="","",H3336&amp;I3336)</f>
        <v/>
      </c>
      <c r="S3336" s="22" t="str">
        <f>IF(C3336="","",C3336&amp;I3336)</f>
        <v/>
      </c>
      <c r="T3336" t="str">
        <f>IF(OR(C3336="",I3336&lt;&gt;"ENTRADA"),"",TEXT(B3336,"AAMMDD")&amp;"-"&amp;TEXT(VALUE(SUBSTITUTE(A3336,"MOV-","")),"000"))</f>
        <v/>
      </c>
    </row>
    <row r="3337" spans="18:20">
      <c r="R3337" s="22" t="str">
        <f>IF(H3337="","",H3337&amp;I3337)</f>
        <v/>
      </c>
      <c r="S3337" s="22" t="str">
        <f>IF(C3337="","",C3337&amp;I3337)</f>
        <v/>
      </c>
      <c r="T3337" t="str">
        <f>IF(OR(C3337="",I3337&lt;&gt;"ENTRADA"),"",TEXT(B3337,"AAMMDD")&amp;"-"&amp;TEXT(VALUE(SUBSTITUTE(A3337,"MOV-","")),"000"))</f>
        <v/>
      </c>
    </row>
    <row r="3338" spans="18:20">
      <c r="R3338" s="22" t="str">
        <f>IF(H3338="","",H3338&amp;I3338)</f>
        <v/>
      </c>
      <c r="S3338" s="22" t="str">
        <f>IF(C3338="","",C3338&amp;I3338)</f>
        <v/>
      </c>
      <c r="T3338" t="str">
        <f>IF(OR(C3338="",I3338&lt;&gt;"ENTRADA"),"",TEXT(B3338,"AAMMDD")&amp;"-"&amp;TEXT(VALUE(SUBSTITUTE(A3338,"MOV-","")),"000"))</f>
        <v/>
      </c>
    </row>
    <row r="3339" spans="18:20">
      <c r="R3339" s="22" t="str">
        <f>IF(H3339="","",H3339&amp;I3339)</f>
        <v/>
      </c>
      <c r="S3339" s="22" t="str">
        <f>IF(C3339="","",C3339&amp;I3339)</f>
        <v/>
      </c>
      <c r="T3339" t="str">
        <f>IF(OR(C3339="",I3339&lt;&gt;"ENTRADA"),"",TEXT(B3339,"AAMMDD")&amp;"-"&amp;TEXT(VALUE(SUBSTITUTE(A3339,"MOV-","")),"000"))</f>
        <v/>
      </c>
    </row>
    <row r="3340" spans="18:20">
      <c r="R3340" s="22" t="str">
        <f>IF(H3340="","",H3340&amp;I3340)</f>
        <v/>
      </c>
      <c r="S3340" s="22" t="str">
        <f>IF(C3340="","",C3340&amp;I3340)</f>
        <v/>
      </c>
      <c r="T3340" t="str">
        <f>IF(OR(C3340="",I3340&lt;&gt;"ENTRADA"),"",TEXT(B3340,"AAMMDD")&amp;"-"&amp;TEXT(VALUE(SUBSTITUTE(A3340,"MOV-","")),"000"))</f>
        <v/>
      </c>
    </row>
    <row r="3341" spans="18:20">
      <c r="R3341" s="22" t="str">
        <f>IF(H3341="","",H3341&amp;I3341)</f>
        <v/>
      </c>
      <c r="S3341" s="22" t="str">
        <f>IF(C3341="","",C3341&amp;I3341)</f>
        <v/>
      </c>
      <c r="T3341" t="str">
        <f>IF(OR(C3341="",I3341&lt;&gt;"ENTRADA"),"",TEXT(B3341,"AAMMDD")&amp;"-"&amp;TEXT(VALUE(SUBSTITUTE(A3341,"MOV-","")),"000"))</f>
        <v/>
      </c>
    </row>
    <row r="3342" spans="18:20">
      <c r="R3342" s="22" t="str">
        <f>IF(H3342="","",H3342&amp;I3342)</f>
        <v/>
      </c>
      <c r="S3342" s="22" t="str">
        <f>IF(C3342="","",C3342&amp;I3342)</f>
        <v/>
      </c>
      <c r="T3342" t="str">
        <f>IF(OR(C3342="",I3342&lt;&gt;"ENTRADA"),"",TEXT(B3342,"AAMMDD")&amp;"-"&amp;TEXT(VALUE(SUBSTITUTE(A3342,"MOV-","")),"000"))</f>
        <v/>
      </c>
    </row>
    <row r="3343" spans="18:20">
      <c r="R3343" s="22" t="str">
        <f>IF(H3343="","",H3343&amp;I3343)</f>
        <v/>
      </c>
      <c r="S3343" s="22" t="str">
        <f>IF(C3343="","",C3343&amp;I3343)</f>
        <v/>
      </c>
      <c r="T3343" t="str">
        <f>IF(OR(C3343="",I3343&lt;&gt;"ENTRADA"),"",TEXT(B3343,"AAMMDD")&amp;"-"&amp;TEXT(VALUE(SUBSTITUTE(A3343,"MOV-","")),"000"))</f>
        <v/>
      </c>
    </row>
    <row r="3344" spans="18:20">
      <c r="R3344" s="22" t="str">
        <f>IF(H3344="","",H3344&amp;I3344)</f>
        <v/>
      </c>
      <c r="S3344" s="22" t="str">
        <f>IF(C3344="","",C3344&amp;I3344)</f>
        <v/>
      </c>
      <c r="T3344" t="str">
        <f>IF(OR(C3344="",I3344&lt;&gt;"ENTRADA"),"",TEXT(B3344,"AAMMDD")&amp;"-"&amp;TEXT(VALUE(SUBSTITUTE(A3344,"MOV-","")),"000"))</f>
        <v/>
      </c>
    </row>
    <row r="3345" spans="18:20">
      <c r="R3345" s="22" t="str">
        <f>IF(H3345="","",H3345&amp;I3345)</f>
        <v/>
      </c>
      <c r="S3345" s="22" t="str">
        <f>IF(C3345="","",C3345&amp;I3345)</f>
        <v/>
      </c>
      <c r="T3345" t="str">
        <f>IF(OR(C3345="",I3345&lt;&gt;"ENTRADA"),"",TEXT(B3345,"AAMMDD")&amp;"-"&amp;TEXT(VALUE(SUBSTITUTE(A3345,"MOV-","")),"000"))</f>
        <v/>
      </c>
    </row>
    <row r="3346" spans="18:20">
      <c r="R3346" s="22" t="str">
        <f>IF(H3346="","",H3346&amp;I3346)</f>
        <v/>
      </c>
      <c r="S3346" s="22" t="str">
        <f>IF(C3346="","",C3346&amp;I3346)</f>
        <v/>
      </c>
      <c r="T3346" t="str">
        <f>IF(OR(C3346="",I3346&lt;&gt;"ENTRADA"),"",TEXT(B3346,"AAMMDD")&amp;"-"&amp;TEXT(VALUE(SUBSTITUTE(A3346,"MOV-","")),"000"))</f>
        <v/>
      </c>
    </row>
    <row r="3347" spans="18:20">
      <c r="R3347" s="22" t="str">
        <f>IF(H3347="","",H3347&amp;I3347)</f>
        <v/>
      </c>
      <c r="S3347" s="22" t="str">
        <f>IF(C3347="","",C3347&amp;I3347)</f>
        <v/>
      </c>
      <c r="T3347" t="str">
        <f>IF(OR(C3347="",I3347&lt;&gt;"ENTRADA"),"",TEXT(B3347,"AAMMDD")&amp;"-"&amp;TEXT(VALUE(SUBSTITUTE(A3347,"MOV-","")),"000"))</f>
        <v/>
      </c>
    </row>
    <row r="3348" spans="18:20">
      <c r="R3348" s="22" t="str">
        <f>IF(H3348="","",H3348&amp;I3348)</f>
        <v/>
      </c>
      <c r="S3348" s="22" t="str">
        <f>IF(C3348="","",C3348&amp;I3348)</f>
        <v/>
      </c>
      <c r="T3348" t="str">
        <f>IF(OR(C3348="",I3348&lt;&gt;"ENTRADA"),"",TEXT(B3348,"AAMMDD")&amp;"-"&amp;TEXT(VALUE(SUBSTITUTE(A3348,"MOV-","")),"000"))</f>
        <v/>
      </c>
    </row>
    <row r="3349" spans="18:20">
      <c r="R3349" s="22" t="str">
        <f>IF(H3349="","",H3349&amp;I3349)</f>
        <v/>
      </c>
      <c r="S3349" s="22" t="str">
        <f>IF(C3349="","",C3349&amp;I3349)</f>
        <v/>
      </c>
      <c r="T3349" t="str">
        <f>IF(OR(C3349="",I3349&lt;&gt;"ENTRADA"),"",TEXT(B3349,"AAMMDD")&amp;"-"&amp;TEXT(VALUE(SUBSTITUTE(A3349,"MOV-","")),"000"))</f>
        <v/>
      </c>
    </row>
    <row r="3350" spans="18:20">
      <c r="R3350" s="22" t="str">
        <f>IF(H3350="","",H3350&amp;I3350)</f>
        <v/>
      </c>
      <c r="S3350" s="22" t="str">
        <f>IF(C3350="","",C3350&amp;I3350)</f>
        <v/>
      </c>
      <c r="T3350" t="str">
        <f>IF(OR(C3350="",I3350&lt;&gt;"ENTRADA"),"",TEXT(B3350,"AAMMDD")&amp;"-"&amp;TEXT(VALUE(SUBSTITUTE(A3350,"MOV-","")),"000"))</f>
        <v/>
      </c>
    </row>
    <row r="3351" spans="18:20">
      <c r="R3351" s="22" t="str">
        <f>IF(H3351="","",H3351&amp;I3351)</f>
        <v/>
      </c>
      <c r="S3351" s="22" t="str">
        <f>IF(C3351="","",C3351&amp;I3351)</f>
        <v/>
      </c>
      <c r="T3351" t="str">
        <f>IF(OR(C3351="",I3351&lt;&gt;"ENTRADA"),"",TEXT(B3351,"AAMMDD")&amp;"-"&amp;TEXT(VALUE(SUBSTITUTE(A3351,"MOV-","")),"000"))</f>
        <v/>
      </c>
    </row>
    <row r="3352" spans="18:20">
      <c r="R3352" s="22" t="str">
        <f>IF(H3352="","",H3352&amp;I3352)</f>
        <v/>
      </c>
      <c r="S3352" s="22" t="str">
        <f>IF(C3352="","",C3352&amp;I3352)</f>
        <v/>
      </c>
      <c r="T3352" t="str">
        <f>IF(OR(C3352="",I3352&lt;&gt;"ENTRADA"),"",TEXT(B3352,"AAMMDD")&amp;"-"&amp;TEXT(VALUE(SUBSTITUTE(A3352,"MOV-","")),"000"))</f>
        <v/>
      </c>
    </row>
    <row r="3353" spans="18:20">
      <c r="R3353" s="22" t="str">
        <f>IF(H3353="","",H3353&amp;I3353)</f>
        <v/>
      </c>
      <c r="S3353" s="22" t="str">
        <f>IF(C3353="","",C3353&amp;I3353)</f>
        <v/>
      </c>
      <c r="T3353" t="str">
        <f>IF(OR(C3353="",I3353&lt;&gt;"ENTRADA"),"",TEXT(B3353,"AAMMDD")&amp;"-"&amp;TEXT(VALUE(SUBSTITUTE(A3353,"MOV-","")),"000"))</f>
        <v/>
      </c>
    </row>
    <row r="3354" spans="18:20">
      <c r="R3354" s="22" t="str">
        <f>IF(H3354="","",H3354&amp;I3354)</f>
        <v/>
      </c>
      <c r="S3354" s="22" t="str">
        <f>IF(C3354="","",C3354&amp;I3354)</f>
        <v/>
      </c>
      <c r="T3354" t="str">
        <f>IF(OR(C3354="",I3354&lt;&gt;"ENTRADA"),"",TEXT(B3354,"AAMMDD")&amp;"-"&amp;TEXT(VALUE(SUBSTITUTE(A3354,"MOV-","")),"000"))</f>
        <v/>
      </c>
    </row>
    <row r="3355" spans="18:20">
      <c r="R3355" s="22" t="str">
        <f>IF(H3355="","",H3355&amp;I3355)</f>
        <v/>
      </c>
      <c r="S3355" s="22" t="str">
        <f>IF(C3355="","",C3355&amp;I3355)</f>
        <v/>
      </c>
      <c r="T3355" t="str">
        <f>IF(OR(C3355="",I3355&lt;&gt;"ENTRADA"),"",TEXT(B3355,"AAMMDD")&amp;"-"&amp;TEXT(VALUE(SUBSTITUTE(A3355,"MOV-","")),"000"))</f>
        <v/>
      </c>
    </row>
    <row r="3356" spans="18:20">
      <c r="R3356" s="22" t="str">
        <f>IF(H3356="","",H3356&amp;I3356)</f>
        <v/>
      </c>
      <c r="S3356" s="22" t="str">
        <f>IF(C3356="","",C3356&amp;I3356)</f>
        <v/>
      </c>
      <c r="T3356" t="str">
        <f>IF(OR(C3356="",I3356&lt;&gt;"ENTRADA"),"",TEXT(B3356,"AAMMDD")&amp;"-"&amp;TEXT(VALUE(SUBSTITUTE(A3356,"MOV-","")),"000"))</f>
        <v/>
      </c>
    </row>
    <row r="3357" spans="18:20">
      <c r="R3357" s="22" t="str">
        <f>IF(H3357="","",H3357&amp;I3357)</f>
        <v/>
      </c>
      <c r="S3357" s="22" t="str">
        <f>IF(C3357="","",C3357&amp;I3357)</f>
        <v/>
      </c>
      <c r="T3357" t="str">
        <f>IF(OR(C3357="",I3357&lt;&gt;"ENTRADA"),"",TEXT(B3357,"AAMMDD")&amp;"-"&amp;TEXT(VALUE(SUBSTITUTE(A3357,"MOV-","")),"000"))</f>
        <v/>
      </c>
    </row>
    <row r="3358" spans="18:20">
      <c r="R3358" s="22" t="str">
        <f>IF(H3358="","",H3358&amp;I3358)</f>
        <v/>
      </c>
      <c r="S3358" s="22" t="str">
        <f>IF(C3358="","",C3358&amp;I3358)</f>
        <v/>
      </c>
      <c r="T3358" t="str">
        <f>IF(OR(C3358="",I3358&lt;&gt;"ENTRADA"),"",TEXT(B3358,"AAMMDD")&amp;"-"&amp;TEXT(VALUE(SUBSTITUTE(A3358,"MOV-","")),"000"))</f>
        <v/>
      </c>
    </row>
    <row r="3359" spans="18:20">
      <c r="R3359" s="22" t="str">
        <f>IF(H3359="","",H3359&amp;I3359)</f>
        <v/>
      </c>
      <c r="S3359" s="22" t="str">
        <f>IF(C3359="","",C3359&amp;I3359)</f>
        <v/>
      </c>
      <c r="T3359" t="str">
        <f>IF(OR(C3359="",I3359&lt;&gt;"ENTRADA"),"",TEXT(B3359,"AAMMDD")&amp;"-"&amp;TEXT(VALUE(SUBSTITUTE(A3359,"MOV-","")),"000"))</f>
        <v/>
      </c>
    </row>
    <row r="3360" spans="18:20">
      <c r="R3360" s="22" t="str">
        <f>IF(H3360="","",H3360&amp;I3360)</f>
        <v/>
      </c>
      <c r="S3360" s="22" t="str">
        <f>IF(C3360="","",C3360&amp;I3360)</f>
        <v/>
      </c>
      <c r="T3360" t="str">
        <f>IF(OR(C3360="",I3360&lt;&gt;"ENTRADA"),"",TEXT(B3360,"AAMMDD")&amp;"-"&amp;TEXT(VALUE(SUBSTITUTE(A3360,"MOV-","")),"000"))</f>
        <v/>
      </c>
    </row>
    <row r="3361" spans="18:20">
      <c r="R3361" s="22" t="str">
        <f>IF(H3361="","",H3361&amp;I3361)</f>
        <v/>
      </c>
      <c r="S3361" s="22" t="str">
        <f>IF(C3361="","",C3361&amp;I3361)</f>
        <v/>
      </c>
      <c r="T3361" t="str">
        <f>IF(OR(C3361="",I3361&lt;&gt;"ENTRADA"),"",TEXT(B3361,"AAMMDD")&amp;"-"&amp;TEXT(VALUE(SUBSTITUTE(A3361,"MOV-","")),"000"))</f>
        <v/>
      </c>
    </row>
    <row r="3362" spans="18:20">
      <c r="R3362" s="22" t="str">
        <f>IF(H3362="","",H3362&amp;I3362)</f>
        <v/>
      </c>
      <c r="S3362" s="22" t="str">
        <f>IF(C3362="","",C3362&amp;I3362)</f>
        <v/>
      </c>
      <c r="T3362" t="str">
        <f>IF(OR(C3362="",I3362&lt;&gt;"ENTRADA"),"",TEXT(B3362,"AAMMDD")&amp;"-"&amp;TEXT(VALUE(SUBSTITUTE(A3362,"MOV-","")),"000"))</f>
        <v/>
      </c>
    </row>
    <row r="3363" spans="18:20">
      <c r="R3363" s="22" t="str">
        <f>IF(H3363="","",H3363&amp;I3363)</f>
        <v/>
      </c>
      <c r="S3363" s="22" t="str">
        <f>IF(C3363="","",C3363&amp;I3363)</f>
        <v/>
      </c>
      <c r="T3363" t="str">
        <f>IF(OR(C3363="",I3363&lt;&gt;"ENTRADA"),"",TEXT(B3363,"AAMMDD")&amp;"-"&amp;TEXT(VALUE(SUBSTITUTE(A3363,"MOV-","")),"000"))</f>
        <v/>
      </c>
    </row>
    <row r="3364" spans="18:20">
      <c r="R3364" s="22" t="str">
        <f>IF(H3364="","",H3364&amp;I3364)</f>
        <v/>
      </c>
      <c r="S3364" s="22" t="str">
        <f>IF(C3364="","",C3364&amp;I3364)</f>
        <v/>
      </c>
      <c r="T3364" t="str">
        <f>IF(OR(C3364="",I3364&lt;&gt;"ENTRADA"),"",TEXT(B3364,"AAMMDD")&amp;"-"&amp;TEXT(VALUE(SUBSTITUTE(A3364,"MOV-","")),"000"))</f>
        <v/>
      </c>
    </row>
    <row r="3365" spans="18:20">
      <c r="R3365" s="22" t="str">
        <f>IF(H3365="","",H3365&amp;I3365)</f>
        <v/>
      </c>
      <c r="S3365" s="22" t="str">
        <f>IF(C3365="","",C3365&amp;I3365)</f>
        <v/>
      </c>
      <c r="T3365" t="str">
        <f>IF(OR(C3365="",I3365&lt;&gt;"ENTRADA"),"",TEXT(B3365,"AAMMDD")&amp;"-"&amp;TEXT(VALUE(SUBSTITUTE(A3365,"MOV-","")),"000"))</f>
        <v/>
      </c>
    </row>
    <row r="3366" spans="18:20">
      <c r="R3366" s="22" t="str">
        <f>IF(H3366="","",H3366&amp;I3366)</f>
        <v/>
      </c>
      <c r="S3366" s="22" t="str">
        <f>IF(C3366="","",C3366&amp;I3366)</f>
        <v/>
      </c>
      <c r="T3366" t="str">
        <f>IF(OR(C3366="",I3366&lt;&gt;"ENTRADA"),"",TEXT(B3366,"AAMMDD")&amp;"-"&amp;TEXT(VALUE(SUBSTITUTE(A3366,"MOV-","")),"000"))</f>
        <v/>
      </c>
    </row>
    <row r="3367" spans="18:20">
      <c r="R3367" s="22" t="str">
        <f>IF(H3367="","",H3367&amp;I3367)</f>
        <v/>
      </c>
      <c r="S3367" s="22" t="str">
        <f>IF(C3367="","",C3367&amp;I3367)</f>
        <v/>
      </c>
      <c r="T3367" t="str">
        <f>IF(OR(C3367="",I3367&lt;&gt;"ENTRADA"),"",TEXT(B3367,"AAMMDD")&amp;"-"&amp;TEXT(VALUE(SUBSTITUTE(A3367,"MOV-","")),"000"))</f>
        <v/>
      </c>
    </row>
    <row r="3368" spans="18:20">
      <c r="R3368" s="22" t="str">
        <f>IF(H3368="","",H3368&amp;I3368)</f>
        <v/>
      </c>
      <c r="S3368" s="22" t="str">
        <f>IF(C3368="","",C3368&amp;I3368)</f>
        <v/>
      </c>
      <c r="T3368" t="str">
        <f>IF(OR(C3368="",I3368&lt;&gt;"ENTRADA"),"",TEXT(B3368,"AAMMDD")&amp;"-"&amp;TEXT(VALUE(SUBSTITUTE(A3368,"MOV-","")),"000"))</f>
        <v/>
      </c>
    </row>
    <row r="3369" spans="18:20">
      <c r="R3369" s="22" t="str">
        <f>IF(H3369="","",H3369&amp;I3369)</f>
        <v/>
      </c>
      <c r="S3369" s="22" t="str">
        <f>IF(C3369="","",C3369&amp;I3369)</f>
        <v/>
      </c>
      <c r="T3369" t="str">
        <f>IF(OR(C3369="",I3369&lt;&gt;"ENTRADA"),"",TEXT(B3369,"AAMMDD")&amp;"-"&amp;TEXT(VALUE(SUBSTITUTE(A3369,"MOV-","")),"000"))</f>
        <v/>
      </c>
    </row>
    <row r="3370" spans="18:20">
      <c r="R3370" s="22" t="str">
        <f>IF(H3370="","",H3370&amp;I3370)</f>
        <v/>
      </c>
      <c r="S3370" s="22" t="str">
        <f>IF(C3370="","",C3370&amp;I3370)</f>
        <v/>
      </c>
      <c r="T3370" t="str">
        <f>IF(OR(C3370="",I3370&lt;&gt;"ENTRADA"),"",TEXT(B3370,"AAMMDD")&amp;"-"&amp;TEXT(VALUE(SUBSTITUTE(A3370,"MOV-","")),"000"))</f>
        <v/>
      </c>
    </row>
    <row r="3371" spans="18:20">
      <c r="R3371" s="22" t="str">
        <f>IF(H3371="","",H3371&amp;I3371)</f>
        <v/>
      </c>
      <c r="S3371" s="22" t="str">
        <f>IF(C3371="","",C3371&amp;I3371)</f>
        <v/>
      </c>
      <c r="T3371" t="str">
        <f>IF(OR(C3371="",I3371&lt;&gt;"ENTRADA"),"",TEXT(B3371,"AAMMDD")&amp;"-"&amp;TEXT(VALUE(SUBSTITUTE(A3371,"MOV-","")),"000"))</f>
        <v/>
      </c>
    </row>
    <row r="3372" spans="18:20">
      <c r="R3372" s="22" t="str">
        <f>IF(H3372="","",H3372&amp;I3372)</f>
        <v/>
      </c>
      <c r="S3372" s="22" t="str">
        <f>IF(C3372="","",C3372&amp;I3372)</f>
        <v/>
      </c>
      <c r="T3372" t="str">
        <f>IF(OR(C3372="",I3372&lt;&gt;"ENTRADA"),"",TEXT(B3372,"AAMMDD")&amp;"-"&amp;TEXT(VALUE(SUBSTITUTE(A3372,"MOV-","")),"000"))</f>
        <v/>
      </c>
    </row>
    <row r="3373" spans="18:20">
      <c r="R3373" s="22" t="str">
        <f>IF(H3373="","",H3373&amp;I3373)</f>
        <v/>
      </c>
      <c r="S3373" s="22" t="str">
        <f>IF(C3373="","",C3373&amp;I3373)</f>
        <v/>
      </c>
      <c r="T3373" t="str">
        <f>IF(OR(C3373="",I3373&lt;&gt;"ENTRADA"),"",TEXT(B3373,"AAMMDD")&amp;"-"&amp;TEXT(VALUE(SUBSTITUTE(A3373,"MOV-","")),"000"))</f>
        <v/>
      </c>
    </row>
    <row r="3374" spans="18:20">
      <c r="R3374" s="22" t="str">
        <f>IF(H3374="","",H3374&amp;I3374)</f>
        <v/>
      </c>
      <c r="S3374" s="22" t="str">
        <f>IF(C3374="","",C3374&amp;I3374)</f>
        <v/>
      </c>
      <c r="T3374" t="str">
        <f>IF(OR(C3374="",I3374&lt;&gt;"ENTRADA"),"",TEXT(B3374,"AAMMDD")&amp;"-"&amp;TEXT(VALUE(SUBSTITUTE(A3374,"MOV-","")),"000"))</f>
        <v/>
      </c>
    </row>
    <row r="3375" spans="18:20">
      <c r="R3375" s="22" t="str">
        <f>IF(H3375="","",H3375&amp;I3375)</f>
        <v/>
      </c>
      <c r="S3375" s="22" t="str">
        <f>IF(C3375="","",C3375&amp;I3375)</f>
        <v/>
      </c>
      <c r="T3375" t="str">
        <f>IF(OR(C3375="",I3375&lt;&gt;"ENTRADA"),"",TEXT(B3375,"AAMMDD")&amp;"-"&amp;TEXT(VALUE(SUBSTITUTE(A3375,"MOV-","")),"000"))</f>
        <v/>
      </c>
    </row>
    <row r="3376" spans="18:20">
      <c r="R3376" s="22" t="str">
        <f>IF(H3376="","",H3376&amp;I3376)</f>
        <v/>
      </c>
      <c r="S3376" s="22" t="str">
        <f>IF(C3376="","",C3376&amp;I3376)</f>
        <v/>
      </c>
      <c r="T3376" t="str">
        <f>IF(OR(C3376="",I3376&lt;&gt;"ENTRADA"),"",TEXT(B3376,"AAMMDD")&amp;"-"&amp;TEXT(VALUE(SUBSTITUTE(A3376,"MOV-","")),"000"))</f>
        <v/>
      </c>
    </row>
    <row r="3377" spans="18:20">
      <c r="R3377" s="22" t="str">
        <f>IF(H3377="","",H3377&amp;I3377)</f>
        <v/>
      </c>
      <c r="S3377" s="22" t="str">
        <f>IF(C3377="","",C3377&amp;I3377)</f>
        <v/>
      </c>
      <c r="T3377" t="str">
        <f>IF(OR(C3377="",I3377&lt;&gt;"ENTRADA"),"",TEXT(B3377,"AAMMDD")&amp;"-"&amp;TEXT(VALUE(SUBSTITUTE(A3377,"MOV-","")),"000"))</f>
        <v/>
      </c>
    </row>
    <row r="3378" spans="18:20">
      <c r="R3378" s="22" t="str">
        <f>IF(H3378="","",H3378&amp;I3378)</f>
        <v/>
      </c>
      <c r="S3378" s="22" t="str">
        <f>IF(C3378="","",C3378&amp;I3378)</f>
        <v/>
      </c>
      <c r="T3378" t="str">
        <f>IF(OR(C3378="",I3378&lt;&gt;"ENTRADA"),"",TEXT(B3378,"AAMMDD")&amp;"-"&amp;TEXT(VALUE(SUBSTITUTE(A3378,"MOV-","")),"000"))</f>
        <v/>
      </c>
    </row>
    <row r="3379" spans="18:20">
      <c r="R3379" s="22" t="str">
        <f>IF(H3379="","",H3379&amp;I3379)</f>
        <v/>
      </c>
      <c r="S3379" s="22" t="str">
        <f>IF(C3379="","",C3379&amp;I3379)</f>
        <v/>
      </c>
      <c r="T3379" t="str">
        <f>IF(OR(C3379="",I3379&lt;&gt;"ENTRADA"),"",TEXT(B3379,"AAMMDD")&amp;"-"&amp;TEXT(VALUE(SUBSTITUTE(A3379,"MOV-","")),"000"))</f>
        <v/>
      </c>
    </row>
    <row r="3380" spans="18:20">
      <c r="R3380" s="22" t="str">
        <f>IF(H3380="","",H3380&amp;I3380)</f>
        <v/>
      </c>
      <c r="S3380" s="22" t="str">
        <f>IF(C3380="","",C3380&amp;I3380)</f>
        <v/>
      </c>
      <c r="T3380" t="str">
        <f>IF(OR(C3380="",I3380&lt;&gt;"ENTRADA"),"",TEXT(B3380,"AAMMDD")&amp;"-"&amp;TEXT(VALUE(SUBSTITUTE(A3380,"MOV-","")),"000"))</f>
        <v/>
      </c>
    </row>
    <row r="3381" spans="18:20">
      <c r="R3381" s="22" t="str">
        <f>IF(H3381="","",H3381&amp;I3381)</f>
        <v/>
      </c>
      <c r="S3381" s="22" t="str">
        <f>IF(C3381="","",C3381&amp;I3381)</f>
        <v/>
      </c>
      <c r="T3381" t="str">
        <f>IF(OR(C3381="",I3381&lt;&gt;"ENTRADA"),"",TEXT(B3381,"AAMMDD")&amp;"-"&amp;TEXT(VALUE(SUBSTITUTE(A3381,"MOV-","")),"000"))</f>
        <v/>
      </c>
    </row>
    <row r="3382" spans="18:20">
      <c r="R3382" s="22" t="str">
        <f>IF(H3382="","",H3382&amp;I3382)</f>
        <v/>
      </c>
      <c r="S3382" s="22" t="str">
        <f>IF(C3382="","",C3382&amp;I3382)</f>
        <v/>
      </c>
      <c r="T3382" t="str">
        <f>IF(OR(C3382="",I3382&lt;&gt;"ENTRADA"),"",TEXT(B3382,"AAMMDD")&amp;"-"&amp;TEXT(VALUE(SUBSTITUTE(A3382,"MOV-","")),"000"))</f>
        <v/>
      </c>
    </row>
    <row r="3383" spans="18:20">
      <c r="R3383" s="22" t="str">
        <f>IF(H3383="","",H3383&amp;I3383)</f>
        <v/>
      </c>
      <c r="S3383" s="22" t="str">
        <f>IF(C3383="","",C3383&amp;I3383)</f>
        <v/>
      </c>
      <c r="T3383" t="str">
        <f>IF(OR(C3383="",I3383&lt;&gt;"ENTRADA"),"",TEXT(B3383,"AAMMDD")&amp;"-"&amp;TEXT(VALUE(SUBSTITUTE(A3383,"MOV-","")),"000"))</f>
        <v/>
      </c>
    </row>
    <row r="3384" spans="18:20">
      <c r="R3384" s="22" t="str">
        <f>IF(H3384="","",H3384&amp;I3384)</f>
        <v/>
      </c>
      <c r="S3384" s="22" t="str">
        <f>IF(C3384="","",C3384&amp;I3384)</f>
        <v/>
      </c>
      <c r="T3384" t="str">
        <f>IF(OR(C3384="",I3384&lt;&gt;"ENTRADA"),"",TEXT(B3384,"AAMMDD")&amp;"-"&amp;TEXT(VALUE(SUBSTITUTE(A3384,"MOV-","")),"000"))</f>
        <v/>
      </c>
    </row>
    <row r="3385" spans="18:20">
      <c r="R3385" s="22" t="str">
        <f>IF(H3385="","",H3385&amp;I3385)</f>
        <v/>
      </c>
      <c r="S3385" s="22" t="str">
        <f>IF(C3385="","",C3385&amp;I3385)</f>
        <v/>
      </c>
      <c r="T3385" t="str">
        <f>IF(OR(C3385="",I3385&lt;&gt;"ENTRADA"),"",TEXT(B3385,"AAMMDD")&amp;"-"&amp;TEXT(VALUE(SUBSTITUTE(A3385,"MOV-","")),"000"))</f>
        <v/>
      </c>
    </row>
    <row r="3386" spans="18:20">
      <c r="R3386" s="22" t="str">
        <f>IF(H3386="","",H3386&amp;I3386)</f>
        <v/>
      </c>
      <c r="S3386" s="22" t="str">
        <f>IF(C3386="","",C3386&amp;I3386)</f>
        <v/>
      </c>
      <c r="T3386" t="str">
        <f>IF(OR(C3386="",I3386&lt;&gt;"ENTRADA"),"",TEXT(B3386,"AAMMDD")&amp;"-"&amp;TEXT(VALUE(SUBSTITUTE(A3386,"MOV-","")),"000"))</f>
        <v/>
      </c>
    </row>
    <row r="3387" spans="18:20">
      <c r="R3387" s="22" t="str">
        <f>IF(H3387="","",H3387&amp;I3387)</f>
        <v/>
      </c>
      <c r="S3387" s="22" t="str">
        <f>IF(C3387="","",C3387&amp;I3387)</f>
        <v/>
      </c>
      <c r="T3387" t="str">
        <f>IF(OR(C3387="",I3387&lt;&gt;"ENTRADA"),"",TEXT(B3387,"AAMMDD")&amp;"-"&amp;TEXT(VALUE(SUBSTITUTE(A3387,"MOV-","")),"000"))</f>
        <v/>
      </c>
    </row>
    <row r="3388" spans="18:20">
      <c r="R3388" s="22" t="str">
        <f>IF(H3388="","",H3388&amp;I3388)</f>
        <v/>
      </c>
      <c r="S3388" s="22" t="str">
        <f>IF(C3388="","",C3388&amp;I3388)</f>
        <v/>
      </c>
      <c r="T3388" t="str">
        <f>IF(OR(C3388="",I3388&lt;&gt;"ENTRADA"),"",TEXT(B3388,"AAMMDD")&amp;"-"&amp;TEXT(VALUE(SUBSTITUTE(A3388,"MOV-","")),"000"))</f>
        <v/>
      </c>
    </row>
    <row r="3389" spans="18:20">
      <c r="R3389" s="22" t="str">
        <f>IF(H3389="","",H3389&amp;I3389)</f>
        <v/>
      </c>
      <c r="S3389" s="22" t="str">
        <f>IF(C3389="","",C3389&amp;I3389)</f>
        <v/>
      </c>
      <c r="T3389" t="str">
        <f>IF(OR(C3389="",I3389&lt;&gt;"ENTRADA"),"",TEXT(B3389,"AAMMDD")&amp;"-"&amp;TEXT(VALUE(SUBSTITUTE(A3389,"MOV-","")),"000"))</f>
        <v/>
      </c>
    </row>
    <row r="3390" spans="18:20">
      <c r="R3390" s="22" t="str">
        <f>IF(H3390="","",H3390&amp;I3390)</f>
        <v/>
      </c>
      <c r="S3390" s="22" t="str">
        <f>IF(C3390="","",C3390&amp;I3390)</f>
        <v/>
      </c>
      <c r="T3390" t="str">
        <f>IF(OR(C3390="",I3390&lt;&gt;"ENTRADA"),"",TEXT(B3390,"AAMMDD")&amp;"-"&amp;TEXT(VALUE(SUBSTITUTE(A3390,"MOV-","")),"000"))</f>
        <v/>
      </c>
    </row>
    <row r="3391" spans="18:20">
      <c r="R3391" s="22" t="str">
        <f>IF(H3391="","",H3391&amp;I3391)</f>
        <v/>
      </c>
      <c r="S3391" s="22" t="str">
        <f>IF(C3391="","",C3391&amp;I3391)</f>
        <v/>
      </c>
      <c r="T3391" t="str">
        <f>IF(OR(C3391="",I3391&lt;&gt;"ENTRADA"),"",TEXT(B3391,"AAMMDD")&amp;"-"&amp;TEXT(VALUE(SUBSTITUTE(A3391,"MOV-","")),"000"))</f>
        <v/>
      </c>
    </row>
    <row r="3392" spans="18:20">
      <c r="R3392" s="22" t="str">
        <f>IF(H3392="","",H3392&amp;I3392)</f>
        <v/>
      </c>
      <c r="S3392" s="22" t="str">
        <f>IF(C3392="","",C3392&amp;I3392)</f>
        <v/>
      </c>
      <c r="T3392" t="str">
        <f>IF(OR(C3392="",I3392&lt;&gt;"ENTRADA"),"",TEXT(B3392,"AAMMDD")&amp;"-"&amp;TEXT(VALUE(SUBSTITUTE(A3392,"MOV-","")),"000"))</f>
        <v/>
      </c>
    </row>
    <row r="3393" spans="18:20">
      <c r="R3393" s="22" t="str">
        <f>IF(H3393="","",H3393&amp;I3393)</f>
        <v/>
      </c>
      <c r="S3393" s="22" t="str">
        <f>IF(C3393="","",C3393&amp;I3393)</f>
        <v/>
      </c>
      <c r="T3393" t="str">
        <f>IF(OR(C3393="",I3393&lt;&gt;"ENTRADA"),"",TEXT(B3393,"AAMMDD")&amp;"-"&amp;TEXT(VALUE(SUBSTITUTE(A3393,"MOV-","")),"000"))</f>
        <v/>
      </c>
    </row>
    <row r="3394" spans="18:20">
      <c r="R3394" s="22" t="str">
        <f>IF(H3394="","",H3394&amp;I3394)</f>
        <v/>
      </c>
      <c r="S3394" s="22" t="str">
        <f>IF(C3394="","",C3394&amp;I3394)</f>
        <v/>
      </c>
      <c r="T3394" t="str">
        <f>IF(OR(C3394="",I3394&lt;&gt;"ENTRADA"),"",TEXT(B3394,"AAMMDD")&amp;"-"&amp;TEXT(VALUE(SUBSTITUTE(A3394,"MOV-","")),"000"))</f>
        <v/>
      </c>
    </row>
    <row r="3395" spans="18:20">
      <c r="R3395" s="22" t="str">
        <f>IF(H3395="","",H3395&amp;I3395)</f>
        <v/>
      </c>
      <c r="S3395" s="22" t="str">
        <f>IF(C3395="","",C3395&amp;I3395)</f>
        <v/>
      </c>
      <c r="T3395" t="str">
        <f>IF(OR(C3395="",I3395&lt;&gt;"ENTRADA"),"",TEXT(B3395,"AAMMDD")&amp;"-"&amp;TEXT(VALUE(SUBSTITUTE(A3395,"MOV-","")),"000"))</f>
        <v/>
      </c>
    </row>
    <row r="3396" spans="18:20">
      <c r="R3396" s="22" t="str">
        <f>IF(H3396="","",H3396&amp;I3396)</f>
        <v/>
      </c>
      <c r="S3396" s="22" t="str">
        <f>IF(C3396="","",C3396&amp;I3396)</f>
        <v/>
      </c>
      <c r="T3396" t="str">
        <f>IF(OR(C3396="",I3396&lt;&gt;"ENTRADA"),"",TEXT(B3396,"AAMMDD")&amp;"-"&amp;TEXT(VALUE(SUBSTITUTE(A3396,"MOV-","")),"000"))</f>
        <v/>
      </c>
    </row>
    <row r="3397" spans="18:20">
      <c r="R3397" s="22" t="str">
        <f>IF(H3397="","",H3397&amp;I3397)</f>
        <v/>
      </c>
      <c r="S3397" s="22" t="str">
        <f>IF(C3397="","",C3397&amp;I3397)</f>
        <v/>
      </c>
      <c r="T3397" t="str">
        <f>IF(OR(C3397="",I3397&lt;&gt;"ENTRADA"),"",TEXT(B3397,"AAMMDD")&amp;"-"&amp;TEXT(VALUE(SUBSTITUTE(A3397,"MOV-","")),"000"))</f>
        <v/>
      </c>
    </row>
    <row r="3398" spans="18:20">
      <c r="R3398" s="22" t="str">
        <f>IF(H3398="","",H3398&amp;I3398)</f>
        <v/>
      </c>
      <c r="S3398" s="22" t="str">
        <f>IF(C3398="","",C3398&amp;I3398)</f>
        <v/>
      </c>
      <c r="T3398" t="str">
        <f>IF(OR(C3398="",I3398&lt;&gt;"ENTRADA"),"",TEXT(B3398,"AAMMDD")&amp;"-"&amp;TEXT(VALUE(SUBSTITUTE(A3398,"MOV-","")),"000"))</f>
        <v/>
      </c>
    </row>
    <row r="3399" spans="18:20">
      <c r="R3399" s="22" t="str">
        <f>IF(H3399="","",H3399&amp;I3399)</f>
        <v/>
      </c>
      <c r="S3399" s="22" t="str">
        <f>IF(C3399="","",C3399&amp;I3399)</f>
        <v/>
      </c>
      <c r="T3399" t="str">
        <f>IF(OR(C3399="",I3399&lt;&gt;"ENTRADA"),"",TEXT(B3399,"AAMMDD")&amp;"-"&amp;TEXT(VALUE(SUBSTITUTE(A3399,"MOV-","")),"000"))</f>
        <v/>
      </c>
    </row>
    <row r="3400" spans="18:20">
      <c r="R3400" s="22" t="str">
        <f>IF(H3400="","",H3400&amp;I3400)</f>
        <v/>
      </c>
      <c r="S3400" s="22" t="str">
        <f>IF(C3400="","",C3400&amp;I3400)</f>
        <v/>
      </c>
      <c r="T3400" t="str">
        <f>IF(OR(C3400="",I3400&lt;&gt;"ENTRADA"),"",TEXT(B3400,"AAMMDD")&amp;"-"&amp;TEXT(VALUE(SUBSTITUTE(A3400,"MOV-","")),"000"))</f>
        <v/>
      </c>
    </row>
    <row r="3401" spans="18:20">
      <c r="R3401" s="22" t="str">
        <f>IF(H3401="","",H3401&amp;I3401)</f>
        <v/>
      </c>
      <c r="S3401" s="22" t="str">
        <f>IF(C3401="","",C3401&amp;I3401)</f>
        <v/>
      </c>
      <c r="T3401" t="str">
        <f>IF(OR(C3401="",I3401&lt;&gt;"ENTRADA"),"",TEXT(B3401,"AAMMDD")&amp;"-"&amp;TEXT(VALUE(SUBSTITUTE(A3401,"MOV-","")),"000"))</f>
        <v/>
      </c>
    </row>
    <row r="3402" spans="18:20">
      <c r="R3402" s="22" t="str">
        <f>IF(H3402="","",H3402&amp;I3402)</f>
        <v/>
      </c>
      <c r="S3402" s="22" t="str">
        <f>IF(C3402="","",C3402&amp;I3402)</f>
        <v/>
      </c>
      <c r="T3402" t="str">
        <f>IF(OR(C3402="",I3402&lt;&gt;"ENTRADA"),"",TEXT(B3402,"AAMMDD")&amp;"-"&amp;TEXT(VALUE(SUBSTITUTE(A3402,"MOV-","")),"000"))</f>
        <v/>
      </c>
    </row>
    <row r="3403" spans="18:20">
      <c r="R3403" s="22" t="str">
        <f>IF(H3403="","",H3403&amp;I3403)</f>
        <v/>
      </c>
      <c r="S3403" s="22" t="str">
        <f>IF(C3403="","",C3403&amp;I3403)</f>
        <v/>
      </c>
      <c r="T3403" t="str">
        <f>IF(OR(C3403="",I3403&lt;&gt;"ENTRADA"),"",TEXT(B3403,"AAMMDD")&amp;"-"&amp;TEXT(VALUE(SUBSTITUTE(A3403,"MOV-","")),"000"))</f>
        <v/>
      </c>
    </row>
    <row r="3404" spans="18:20">
      <c r="R3404" s="22" t="str">
        <f>IF(H3404="","",H3404&amp;I3404)</f>
        <v/>
      </c>
      <c r="S3404" s="22" t="str">
        <f>IF(C3404="","",C3404&amp;I3404)</f>
        <v/>
      </c>
      <c r="T3404" t="str">
        <f>IF(OR(C3404="",I3404&lt;&gt;"ENTRADA"),"",TEXT(B3404,"AAMMDD")&amp;"-"&amp;TEXT(VALUE(SUBSTITUTE(A3404,"MOV-","")),"000"))</f>
        <v/>
      </c>
    </row>
    <row r="3405" spans="18:20">
      <c r="R3405" s="22" t="str">
        <f>IF(H3405="","",H3405&amp;I3405)</f>
        <v/>
      </c>
      <c r="S3405" s="22" t="str">
        <f>IF(C3405="","",C3405&amp;I3405)</f>
        <v/>
      </c>
      <c r="T3405" t="str">
        <f>IF(OR(C3405="",I3405&lt;&gt;"ENTRADA"),"",TEXT(B3405,"AAMMDD")&amp;"-"&amp;TEXT(VALUE(SUBSTITUTE(A3405,"MOV-","")),"000"))</f>
        <v/>
      </c>
    </row>
    <row r="3406" spans="18:20">
      <c r="R3406" s="22" t="str">
        <f>IF(H3406="","",H3406&amp;I3406)</f>
        <v/>
      </c>
      <c r="S3406" s="22" t="str">
        <f>IF(C3406="","",C3406&amp;I3406)</f>
        <v/>
      </c>
      <c r="T3406" t="str">
        <f>IF(OR(C3406="",I3406&lt;&gt;"ENTRADA"),"",TEXT(B3406,"AAMMDD")&amp;"-"&amp;TEXT(VALUE(SUBSTITUTE(A3406,"MOV-","")),"000"))</f>
        <v/>
      </c>
    </row>
    <row r="3407" spans="18:20">
      <c r="R3407" s="22" t="str">
        <f>IF(H3407="","",H3407&amp;I3407)</f>
        <v/>
      </c>
      <c r="S3407" s="22" t="str">
        <f>IF(C3407="","",C3407&amp;I3407)</f>
        <v/>
      </c>
      <c r="T3407" t="str">
        <f>IF(OR(C3407="",I3407&lt;&gt;"ENTRADA"),"",TEXT(B3407,"AAMMDD")&amp;"-"&amp;TEXT(VALUE(SUBSTITUTE(A3407,"MOV-","")),"000"))</f>
        <v/>
      </c>
    </row>
    <row r="3408" spans="18:20">
      <c r="R3408" s="22" t="str">
        <f>IF(H3408="","",H3408&amp;I3408)</f>
        <v/>
      </c>
      <c r="S3408" s="22" t="str">
        <f>IF(C3408="","",C3408&amp;I3408)</f>
        <v/>
      </c>
      <c r="T3408" t="str">
        <f>IF(OR(C3408="",I3408&lt;&gt;"ENTRADA"),"",TEXT(B3408,"AAMMDD")&amp;"-"&amp;TEXT(VALUE(SUBSTITUTE(A3408,"MOV-","")),"000"))</f>
        <v/>
      </c>
    </row>
    <row r="3409" spans="18:20">
      <c r="R3409" s="22" t="str">
        <f>IF(H3409="","",H3409&amp;I3409)</f>
        <v/>
      </c>
      <c r="S3409" s="22" t="str">
        <f>IF(C3409="","",C3409&amp;I3409)</f>
        <v/>
      </c>
      <c r="T3409" t="str">
        <f>IF(OR(C3409="",I3409&lt;&gt;"ENTRADA"),"",TEXT(B3409,"AAMMDD")&amp;"-"&amp;TEXT(VALUE(SUBSTITUTE(A3409,"MOV-","")),"000"))</f>
        <v/>
      </c>
    </row>
    <row r="3410" spans="18:20">
      <c r="R3410" s="22" t="str">
        <f>IF(H3410="","",H3410&amp;I3410)</f>
        <v/>
      </c>
      <c r="S3410" s="22" t="str">
        <f>IF(C3410="","",C3410&amp;I3410)</f>
        <v/>
      </c>
      <c r="T3410" t="str">
        <f>IF(OR(C3410="",I3410&lt;&gt;"ENTRADA"),"",TEXT(B3410,"AAMMDD")&amp;"-"&amp;TEXT(VALUE(SUBSTITUTE(A3410,"MOV-","")),"000"))</f>
        <v/>
      </c>
    </row>
    <row r="3411" spans="18:20">
      <c r="R3411" s="22" t="str">
        <f>IF(H3411="","",H3411&amp;I3411)</f>
        <v/>
      </c>
      <c r="S3411" s="22" t="str">
        <f>IF(C3411="","",C3411&amp;I3411)</f>
        <v/>
      </c>
      <c r="T3411" t="str">
        <f>IF(OR(C3411="",I3411&lt;&gt;"ENTRADA"),"",TEXT(B3411,"AAMMDD")&amp;"-"&amp;TEXT(VALUE(SUBSTITUTE(A3411,"MOV-","")),"000"))</f>
        <v/>
      </c>
    </row>
    <row r="3412" spans="18:20">
      <c r="R3412" s="22" t="str">
        <f>IF(H3412="","",H3412&amp;I3412)</f>
        <v/>
      </c>
      <c r="S3412" s="22" t="str">
        <f>IF(C3412="","",C3412&amp;I3412)</f>
        <v/>
      </c>
      <c r="T3412" t="str">
        <f>IF(OR(C3412="",I3412&lt;&gt;"ENTRADA"),"",TEXT(B3412,"AAMMDD")&amp;"-"&amp;TEXT(VALUE(SUBSTITUTE(A3412,"MOV-","")),"000"))</f>
        <v/>
      </c>
    </row>
    <row r="3413" spans="18:20">
      <c r="R3413" s="22" t="str">
        <f>IF(H3413="","",H3413&amp;I3413)</f>
        <v/>
      </c>
      <c r="S3413" s="22" t="str">
        <f>IF(C3413="","",C3413&amp;I3413)</f>
        <v/>
      </c>
      <c r="T3413" t="str">
        <f>IF(OR(C3413="",I3413&lt;&gt;"ENTRADA"),"",TEXT(B3413,"AAMMDD")&amp;"-"&amp;TEXT(VALUE(SUBSTITUTE(A3413,"MOV-","")),"000"))</f>
        <v/>
      </c>
    </row>
    <row r="3414" spans="18:20">
      <c r="R3414" s="22" t="str">
        <f>IF(H3414="","",H3414&amp;I3414)</f>
        <v/>
      </c>
      <c r="S3414" s="22" t="str">
        <f>IF(C3414="","",C3414&amp;I3414)</f>
        <v/>
      </c>
      <c r="T3414" t="str">
        <f>IF(OR(C3414="",I3414&lt;&gt;"ENTRADA"),"",TEXT(B3414,"AAMMDD")&amp;"-"&amp;TEXT(VALUE(SUBSTITUTE(A3414,"MOV-","")),"000"))</f>
        <v/>
      </c>
    </row>
    <row r="3415" spans="18:20">
      <c r="R3415" s="22" t="str">
        <f>IF(H3415="","",H3415&amp;I3415)</f>
        <v/>
      </c>
      <c r="S3415" s="22" t="str">
        <f>IF(C3415="","",C3415&amp;I3415)</f>
        <v/>
      </c>
      <c r="T3415" t="str">
        <f>IF(OR(C3415="",I3415&lt;&gt;"ENTRADA"),"",TEXT(B3415,"AAMMDD")&amp;"-"&amp;TEXT(VALUE(SUBSTITUTE(A3415,"MOV-","")),"000"))</f>
        <v/>
      </c>
    </row>
    <row r="3416" spans="18:20">
      <c r="R3416" s="22" t="str">
        <f>IF(H3416="","",H3416&amp;I3416)</f>
        <v/>
      </c>
      <c r="S3416" s="22" t="str">
        <f>IF(C3416="","",C3416&amp;I3416)</f>
        <v/>
      </c>
      <c r="T3416" t="str">
        <f>IF(OR(C3416="",I3416&lt;&gt;"ENTRADA"),"",TEXT(B3416,"AAMMDD")&amp;"-"&amp;TEXT(VALUE(SUBSTITUTE(A3416,"MOV-","")),"000"))</f>
        <v/>
      </c>
    </row>
    <row r="3417" spans="18:20">
      <c r="R3417" s="22" t="str">
        <f>IF(H3417="","",H3417&amp;I3417)</f>
        <v/>
      </c>
      <c r="S3417" s="22" t="str">
        <f>IF(C3417="","",C3417&amp;I3417)</f>
        <v/>
      </c>
      <c r="T3417" t="str">
        <f>IF(OR(C3417="",I3417&lt;&gt;"ENTRADA"),"",TEXT(B3417,"AAMMDD")&amp;"-"&amp;TEXT(VALUE(SUBSTITUTE(A3417,"MOV-","")),"000"))</f>
        <v/>
      </c>
    </row>
    <row r="3418" spans="18:20">
      <c r="R3418" s="22" t="str">
        <f>IF(H3418="","",H3418&amp;I3418)</f>
        <v/>
      </c>
      <c r="S3418" s="22" t="str">
        <f>IF(C3418="","",C3418&amp;I3418)</f>
        <v/>
      </c>
      <c r="T3418" t="str">
        <f>IF(OR(C3418="",I3418&lt;&gt;"ENTRADA"),"",TEXT(B3418,"AAMMDD")&amp;"-"&amp;TEXT(VALUE(SUBSTITUTE(A3418,"MOV-","")),"000"))</f>
        <v/>
      </c>
    </row>
    <row r="3419" spans="18:20">
      <c r="R3419" s="22" t="str">
        <f>IF(H3419="","",H3419&amp;I3419)</f>
        <v/>
      </c>
      <c r="S3419" s="22" t="str">
        <f>IF(C3419="","",C3419&amp;I3419)</f>
        <v/>
      </c>
      <c r="T3419" t="str">
        <f>IF(OR(C3419="",I3419&lt;&gt;"ENTRADA"),"",TEXT(B3419,"AAMMDD")&amp;"-"&amp;TEXT(VALUE(SUBSTITUTE(A3419,"MOV-","")),"000"))</f>
        <v/>
      </c>
    </row>
    <row r="3420" spans="18:20">
      <c r="R3420" s="22" t="str">
        <f>IF(H3420="","",H3420&amp;I3420)</f>
        <v/>
      </c>
      <c r="S3420" s="22" t="str">
        <f>IF(C3420="","",C3420&amp;I3420)</f>
        <v/>
      </c>
      <c r="T3420" t="str">
        <f>IF(OR(C3420="",I3420&lt;&gt;"ENTRADA"),"",TEXT(B3420,"AAMMDD")&amp;"-"&amp;TEXT(VALUE(SUBSTITUTE(A3420,"MOV-","")),"000"))</f>
        <v/>
      </c>
    </row>
    <row r="3421" spans="18:20">
      <c r="R3421" s="22" t="str">
        <f>IF(H3421="","",H3421&amp;I3421)</f>
        <v/>
      </c>
      <c r="S3421" s="22" t="str">
        <f>IF(C3421="","",C3421&amp;I3421)</f>
        <v/>
      </c>
      <c r="T3421" t="str">
        <f>IF(OR(C3421="",I3421&lt;&gt;"ENTRADA"),"",TEXT(B3421,"AAMMDD")&amp;"-"&amp;TEXT(VALUE(SUBSTITUTE(A3421,"MOV-","")),"000"))</f>
        <v/>
      </c>
    </row>
    <row r="3422" spans="18:20">
      <c r="R3422" s="22" t="str">
        <f>IF(H3422="","",H3422&amp;I3422)</f>
        <v/>
      </c>
      <c r="S3422" s="22" t="str">
        <f>IF(C3422="","",C3422&amp;I3422)</f>
        <v/>
      </c>
      <c r="T3422" t="str">
        <f>IF(OR(C3422="",I3422&lt;&gt;"ENTRADA"),"",TEXT(B3422,"AAMMDD")&amp;"-"&amp;TEXT(VALUE(SUBSTITUTE(A3422,"MOV-","")),"000"))</f>
        <v/>
      </c>
    </row>
    <row r="3423" spans="18:20">
      <c r="R3423" s="22" t="str">
        <f>IF(H3423="","",H3423&amp;I3423)</f>
        <v/>
      </c>
      <c r="S3423" s="22" t="str">
        <f>IF(C3423="","",C3423&amp;I3423)</f>
        <v/>
      </c>
      <c r="T3423" t="str">
        <f>IF(OR(C3423="",I3423&lt;&gt;"ENTRADA"),"",TEXT(B3423,"AAMMDD")&amp;"-"&amp;TEXT(VALUE(SUBSTITUTE(A3423,"MOV-","")),"000"))</f>
        <v/>
      </c>
    </row>
    <row r="3424" spans="18:20">
      <c r="R3424" s="22" t="str">
        <f>IF(H3424="","",H3424&amp;I3424)</f>
        <v/>
      </c>
      <c r="S3424" s="22" t="str">
        <f>IF(C3424="","",C3424&amp;I3424)</f>
        <v/>
      </c>
      <c r="T3424" t="str">
        <f>IF(OR(C3424="",I3424&lt;&gt;"ENTRADA"),"",TEXT(B3424,"AAMMDD")&amp;"-"&amp;TEXT(VALUE(SUBSTITUTE(A3424,"MOV-","")),"000"))</f>
        <v/>
      </c>
    </row>
    <row r="3425" spans="18:20">
      <c r="R3425" s="22" t="str">
        <f>IF(H3425="","",H3425&amp;I3425)</f>
        <v/>
      </c>
      <c r="S3425" s="22" t="str">
        <f>IF(C3425="","",C3425&amp;I3425)</f>
        <v/>
      </c>
      <c r="T3425" t="str">
        <f>IF(OR(C3425="",I3425&lt;&gt;"ENTRADA"),"",TEXT(B3425,"AAMMDD")&amp;"-"&amp;TEXT(VALUE(SUBSTITUTE(A3425,"MOV-","")),"000"))</f>
        <v/>
      </c>
    </row>
    <row r="3426" spans="18:20">
      <c r="R3426" s="22" t="str">
        <f>IF(H3426="","",H3426&amp;I3426)</f>
        <v/>
      </c>
      <c r="S3426" s="22" t="str">
        <f>IF(C3426="","",C3426&amp;I3426)</f>
        <v/>
      </c>
      <c r="T3426" t="str">
        <f>IF(OR(C3426="",I3426&lt;&gt;"ENTRADA"),"",TEXT(B3426,"AAMMDD")&amp;"-"&amp;TEXT(VALUE(SUBSTITUTE(A3426,"MOV-","")),"000"))</f>
        <v/>
      </c>
    </row>
    <row r="3427" spans="18:20">
      <c r="R3427" s="22" t="str">
        <f>IF(H3427="","",H3427&amp;I3427)</f>
        <v/>
      </c>
      <c r="S3427" s="22" t="str">
        <f>IF(C3427="","",C3427&amp;I3427)</f>
        <v/>
      </c>
      <c r="T3427" t="str">
        <f>IF(OR(C3427="",I3427&lt;&gt;"ENTRADA"),"",TEXT(B3427,"AAMMDD")&amp;"-"&amp;TEXT(VALUE(SUBSTITUTE(A3427,"MOV-","")),"000"))</f>
        <v/>
      </c>
    </row>
    <row r="3428" spans="18:20">
      <c r="R3428" s="22" t="str">
        <f>IF(H3428="","",H3428&amp;I3428)</f>
        <v/>
      </c>
      <c r="S3428" s="22" t="str">
        <f>IF(C3428="","",C3428&amp;I3428)</f>
        <v/>
      </c>
      <c r="T3428" t="str">
        <f>IF(OR(C3428="",I3428&lt;&gt;"ENTRADA"),"",TEXT(B3428,"AAMMDD")&amp;"-"&amp;TEXT(VALUE(SUBSTITUTE(A3428,"MOV-","")),"000"))</f>
        <v/>
      </c>
    </row>
    <row r="3429" spans="18:20">
      <c r="R3429" s="22" t="str">
        <f>IF(H3429="","",H3429&amp;I3429)</f>
        <v/>
      </c>
      <c r="S3429" s="22" t="str">
        <f>IF(C3429="","",C3429&amp;I3429)</f>
        <v/>
      </c>
      <c r="T3429" t="str">
        <f>IF(OR(C3429="",I3429&lt;&gt;"ENTRADA"),"",TEXT(B3429,"AAMMDD")&amp;"-"&amp;TEXT(VALUE(SUBSTITUTE(A3429,"MOV-","")),"000"))</f>
        <v/>
      </c>
    </row>
    <row r="3430" spans="18:20">
      <c r="R3430" s="22" t="str">
        <f>IF(H3430="","",H3430&amp;I3430)</f>
        <v/>
      </c>
      <c r="S3430" s="22" t="str">
        <f>IF(C3430="","",C3430&amp;I3430)</f>
        <v/>
      </c>
      <c r="T3430" t="str">
        <f>IF(OR(C3430="",I3430&lt;&gt;"ENTRADA"),"",TEXT(B3430,"AAMMDD")&amp;"-"&amp;TEXT(VALUE(SUBSTITUTE(A3430,"MOV-","")),"000"))</f>
        <v/>
      </c>
    </row>
    <row r="3431" spans="18:20">
      <c r="R3431" s="22" t="str">
        <f>IF(H3431="","",H3431&amp;I3431)</f>
        <v/>
      </c>
      <c r="S3431" s="22" t="str">
        <f>IF(C3431="","",C3431&amp;I3431)</f>
        <v/>
      </c>
      <c r="T3431" t="str">
        <f>IF(OR(C3431="",I3431&lt;&gt;"ENTRADA"),"",TEXT(B3431,"AAMMDD")&amp;"-"&amp;TEXT(VALUE(SUBSTITUTE(A3431,"MOV-","")),"000"))</f>
        <v/>
      </c>
    </row>
    <row r="3432" spans="18:20">
      <c r="R3432" s="22" t="str">
        <f>IF(H3432="","",H3432&amp;I3432)</f>
        <v/>
      </c>
      <c r="S3432" s="22" t="str">
        <f>IF(C3432="","",C3432&amp;I3432)</f>
        <v/>
      </c>
      <c r="T3432" t="str">
        <f>IF(OR(C3432="",I3432&lt;&gt;"ENTRADA"),"",TEXT(B3432,"AAMMDD")&amp;"-"&amp;TEXT(VALUE(SUBSTITUTE(A3432,"MOV-","")),"000"))</f>
        <v/>
      </c>
    </row>
    <row r="3433" spans="18:20">
      <c r="R3433" s="22" t="str">
        <f>IF(H3433="","",H3433&amp;I3433)</f>
        <v/>
      </c>
      <c r="S3433" s="22" t="str">
        <f>IF(C3433="","",C3433&amp;I3433)</f>
        <v/>
      </c>
      <c r="T3433" t="str">
        <f>IF(OR(C3433="",I3433&lt;&gt;"ENTRADA"),"",TEXT(B3433,"AAMMDD")&amp;"-"&amp;TEXT(VALUE(SUBSTITUTE(A3433,"MOV-","")),"000"))</f>
        <v/>
      </c>
    </row>
    <row r="3434" spans="18:20">
      <c r="R3434" s="22" t="str">
        <f>IF(H3434="","",H3434&amp;I3434)</f>
        <v/>
      </c>
      <c r="S3434" s="22" t="str">
        <f>IF(C3434="","",C3434&amp;I3434)</f>
        <v/>
      </c>
      <c r="T3434" t="str">
        <f>IF(OR(C3434="",I3434&lt;&gt;"ENTRADA"),"",TEXT(B3434,"AAMMDD")&amp;"-"&amp;TEXT(VALUE(SUBSTITUTE(A3434,"MOV-","")),"000"))</f>
        <v/>
      </c>
    </row>
    <row r="3435" spans="18:20">
      <c r="R3435" s="22" t="str">
        <f>IF(H3435="","",H3435&amp;I3435)</f>
        <v/>
      </c>
      <c r="S3435" s="22" t="str">
        <f>IF(C3435="","",C3435&amp;I3435)</f>
        <v/>
      </c>
      <c r="T3435" t="str">
        <f>IF(OR(C3435="",I3435&lt;&gt;"ENTRADA"),"",TEXT(B3435,"AAMMDD")&amp;"-"&amp;TEXT(VALUE(SUBSTITUTE(A3435,"MOV-","")),"000"))</f>
        <v/>
      </c>
    </row>
    <row r="3436" spans="18:20">
      <c r="R3436" s="22" t="str">
        <f>IF(H3436="","",H3436&amp;I3436)</f>
        <v/>
      </c>
      <c r="S3436" s="22" t="str">
        <f>IF(C3436="","",C3436&amp;I3436)</f>
        <v/>
      </c>
      <c r="T3436" t="str">
        <f>IF(OR(C3436="",I3436&lt;&gt;"ENTRADA"),"",TEXT(B3436,"AAMMDD")&amp;"-"&amp;TEXT(VALUE(SUBSTITUTE(A3436,"MOV-","")),"000"))</f>
        <v/>
      </c>
    </row>
    <row r="3437" spans="18:20">
      <c r="R3437" s="22" t="str">
        <f>IF(H3437="","",H3437&amp;I3437)</f>
        <v/>
      </c>
      <c r="S3437" s="22" t="str">
        <f>IF(C3437="","",C3437&amp;I3437)</f>
        <v/>
      </c>
      <c r="T3437" t="str">
        <f>IF(OR(C3437="",I3437&lt;&gt;"ENTRADA"),"",TEXT(B3437,"AAMMDD")&amp;"-"&amp;TEXT(VALUE(SUBSTITUTE(A3437,"MOV-","")),"000"))</f>
        <v/>
      </c>
    </row>
    <row r="3438" spans="18:20">
      <c r="R3438" s="22" t="str">
        <f>IF(H3438="","",H3438&amp;I3438)</f>
        <v/>
      </c>
      <c r="S3438" s="22" t="str">
        <f>IF(C3438="","",C3438&amp;I3438)</f>
        <v/>
      </c>
      <c r="T3438" t="str">
        <f>IF(OR(C3438="",I3438&lt;&gt;"ENTRADA"),"",TEXT(B3438,"AAMMDD")&amp;"-"&amp;TEXT(VALUE(SUBSTITUTE(A3438,"MOV-","")),"000"))</f>
        <v/>
      </c>
    </row>
    <row r="3439" spans="18:20">
      <c r="R3439" s="22" t="str">
        <f>IF(H3439="","",H3439&amp;I3439)</f>
        <v/>
      </c>
      <c r="S3439" s="22" t="str">
        <f>IF(C3439="","",C3439&amp;I3439)</f>
        <v/>
      </c>
      <c r="T3439" t="str">
        <f>IF(OR(C3439="",I3439&lt;&gt;"ENTRADA"),"",TEXT(B3439,"AAMMDD")&amp;"-"&amp;TEXT(VALUE(SUBSTITUTE(A3439,"MOV-","")),"000"))</f>
        <v/>
      </c>
    </row>
    <row r="3440" spans="18:20">
      <c r="R3440" s="22" t="str">
        <f>IF(H3440="","",H3440&amp;I3440)</f>
        <v/>
      </c>
      <c r="S3440" s="22" t="str">
        <f>IF(C3440="","",C3440&amp;I3440)</f>
        <v/>
      </c>
      <c r="T3440" t="str">
        <f>IF(OR(C3440="",I3440&lt;&gt;"ENTRADA"),"",TEXT(B3440,"AAMMDD")&amp;"-"&amp;TEXT(VALUE(SUBSTITUTE(A3440,"MOV-","")),"000"))</f>
        <v/>
      </c>
    </row>
    <row r="3441" spans="18:20">
      <c r="R3441" s="22" t="str">
        <f>IF(H3441="","",H3441&amp;I3441)</f>
        <v/>
      </c>
      <c r="S3441" s="22" t="str">
        <f>IF(C3441="","",C3441&amp;I3441)</f>
        <v/>
      </c>
      <c r="T3441" t="str">
        <f>IF(OR(C3441="",I3441&lt;&gt;"ENTRADA"),"",TEXT(B3441,"AAMMDD")&amp;"-"&amp;TEXT(VALUE(SUBSTITUTE(A3441,"MOV-","")),"000"))</f>
        <v/>
      </c>
    </row>
    <row r="3442" spans="18:20">
      <c r="R3442" s="22" t="str">
        <f>IF(H3442="","",H3442&amp;I3442)</f>
        <v/>
      </c>
      <c r="S3442" s="22" t="str">
        <f>IF(C3442="","",C3442&amp;I3442)</f>
        <v/>
      </c>
      <c r="T3442" t="str">
        <f>IF(OR(C3442="",I3442&lt;&gt;"ENTRADA"),"",TEXT(B3442,"AAMMDD")&amp;"-"&amp;TEXT(VALUE(SUBSTITUTE(A3442,"MOV-","")),"000"))</f>
        <v/>
      </c>
    </row>
    <row r="3443" spans="18:20">
      <c r="R3443" s="22" t="str">
        <f>IF(H3443="","",H3443&amp;I3443)</f>
        <v/>
      </c>
      <c r="S3443" s="22" t="str">
        <f>IF(C3443="","",C3443&amp;I3443)</f>
        <v/>
      </c>
      <c r="T3443" t="str">
        <f>IF(OR(C3443="",I3443&lt;&gt;"ENTRADA"),"",TEXT(B3443,"AAMMDD")&amp;"-"&amp;TEXT(VALUE(SUBSTITUTE(A3443,"MOV-","")),"000"))</f>
        <v/>
      </c>
    </row>
    <row r="3444" spans="18:20">
      <c r="R3444" s="22" t="str">
        <f>IF(H3444="","",H3444&amp;I3444)</f>
        <v/>
      </c>
      <c r="S3444" s="22" t="str">
        <f>IF(C3444="","",C3444&amp;I3444)</f>
        <v/>
      </c>
      <c r="T3444" t="str">
        <f>IF(OR(C3444="",I3444&lt;&gt;"ENTRADA"),"",TEXT(B3444,"AAMMDD")&amp;"-"&amp;TEXT(VALUE(SUBSTITUTE(A3444,"MOV-","")),"000"))</f>
        <v/>
      </c>
    </row>
    <row r="3445" spans="18:20">
      <c r="R3445" s="22" t="str">
        <f>IF(H3445="","",H3445&amp;I3445)</f>
        <v/>
      </c>
      <c r="S3445" s="22" t="str">
        <f>IF(C3445="","",C3445&amp;I3445)</f>
        <v/>
      </c>
      <c r="T3445" t="str">
        <f>IF(OR(C3445="",I3445&lt;&gt;"ENTRADA"),"",TEXT(B3445,"AAMMDD")&amp;"-"&amp;TEXT(VALUE(SUBSTITUTE(A3445,"MOV-","")),"000"))</f>
        <v/>
      </c>
    </row>
    <row r="3446" spans="18:20">
      <c r="R3446" s="22" t="str">
        <f>IF(H3446="","",H3446&amp;I3446)</f>
        <v/>
      </c>
      <c r="S3446" s="22" t="str">
        <f>IF(C3446="","",C3446&amp;I3446)</f>
        <v/>
      </c>
      <c r="T3446" t="str">
        <f>IF(OR(C3446="",I3446&lt;&gt;"ENTRADA"),"",TEXT(B3446,"AAMMDD")&amp;"-"&amp;TEXT(VALUE(SUBSTITUTE(A3446,"MOV-","")),"000"))</f>
        <v/>
      </c>
    </row>
    <row r="3447" spans="18:20">
      <c r="R3447" s="22" t="str">
        <f>IF(H3447="","",H3447&amp;I3447)</f>
        <v/>
      </c>
      <c r="S3447" s="22" t="str">
        <f>IF(C3447="","",C3447&amp;I3447)</f>
        <v/>
      </c>
      <c r="T3447" t="str">
        <f>IF(OR(C3447="",I3447&lt;&gt;"ENTRADA"),"",TEXT(B3447,"AAMMDD")&amp;"-"&amp;TEXT(VALUE(SUBSTITUTE(A3447,"MOV-","")),"000"))</f>
        <v/>
      </c>
    </row>
    <row r="3448" spans="18:20">
      <c r="R3448" s="22" t="str">
        <f>IF(H3448="","",H3448&amp;I3448)</f>
        <v/>
      </c>
      <c r="S3448" s="22" t="str">
        <f>IF(C3448="","",C3448&amp;I3448)</f>
        <v/>
      </c>
      <c r="T3448" t="str">
        <f>IF(OR(C3448="",I3448&lt;&gt;"ENTRADA"),"",TEXT(B3448,"AAMMDD")&amp;"-"&amp;TEXT(VALUE(SUBSTITUTE(A3448,"MOV-","")),"000"))</f>
        <v/>
      </c>
    </row>
    <row r="3449" spans="18:20">
      <c r="R3449" s="22" t="str">
        <f>IF(H3449="","",H3449&amp;I3449)</f>
        <v/>
      </c>
      <c r="S3449" s="22" t="str">
        <f>IF(C3449="","",C3449&amp;I3449)</f>
        <v/>
      </c>
      <c r="T3449" t="str">
        <f>IF(OR(C3449="",I3449&lt;&gt;"ENTRADA"),"",TEXT(B3449,"AAMMDD")&amp;"-"&amp;TEXT(VALUE(SUBSTITUTE(A3449,"MOV-","")),"000"))</f>
        <v/>
      </c>
    </row>
    <row r="3450" spans="18:20">
      <c r="R3450" s="22" t="str">
        <f>IF(H3450="","",H3450&amp;I3450)</f>
        <v/>
      </c>
      <c r="S3450" s="22" t="str">
        <f>IF(C3450="","",C3450&amp;I3450)</f>
        <v/>
      </c>
      <c r="T3450" t="str">
        <f>IF(OR(C3450="",I3450&lt;&gt;"ENTRADA"),"",TEXT(B3450,"AAMMDD")&amp;"-"&amp;TEXT(VALUE(SUBSTITUTE(A3450,"MOV-","")),"000"))</f>
        <v/>
      </c>
    </row>
    <row r="3451" spans="18:20">
      <c r="R3451" s="22" t="str">
        <f>IF(H3451="","",H3451&amp;I3451)</f>
        <v/>
      </c>
      <c r="S3451" s="22" t="str">
        <f>IF(C3451="","",C3451&amp;I3451)</f>
        <v/>
      </c>
      <c r="T3451" t="str">
        <f>IF(OR(C3451="",I3451&lt;&gt;"ENTRADA"),"",TEXT(B3451,"AAMMDD")&amp;"-"&amp;TEXT(VALUE(SUBSTITUTE(A3451,"MOV-","")),"000"))</f>
        <v/>
      </c>
    </row>
    <row r="3452" spans="18:20">
      <c r="R3452" s="22" t="str">
        <f>IF(H3452="","",H3452&amp;I3452)</f>
        <v/>
      </c>
      <c r="S3452" s="22" t="str">
        <f>IF(C3452="","",C3452&amp;I3452)</f>
        <v/>
      </c>
      <c r="T3452" t="str">
        <f>IF(OR(C3452="",I3452&lt;&gt;"ENTRADA"),"",TEXT(B3452,"AAMMDD")&amp;"-"&amp;TEXT(VALUE(SUBSTITUTE(A3452,"MOV-","")),"000"))</f>
        <v/>
      </c>
    </row>
    <row r="3453" spans="18:20">
      <c r="R3453" s="22" t="str">
        <f>IF(H3453="","",H3453&amp;I3453)</f>
        <v/>
      </c>
      <c r="S3453" s="22" t="str">
        <f>IF(C3453="","",C3453&amp;I3453)</f>
        <v/>
      </c>
      <c r="T3453" t="str">
        <f>IF(OR(C3453="",I3453&lt;&gt;"ENTRADA"),"",TEXT(B3453,"AAMMDD")&amp;"-"&amp;TEXT(VALUE(SUBSTITUTE(A3453,"MOV-","")),"000"))</f>
        <v/>
      </c>
    </row>
    <row r="3454" spans="18:20">
      <c r="R3454" s="22" t="str">
        <f>IF(H3454="","",H3454&amp;I3454)</f>
        <v/>
      </c>
      <c r="S3454" s="22" t="str">
        <f>IF(C3454="","",C3454&amp;I3454)</f>
        <v/>
      </c>
      <c r="T3454" t="str">
        <f>IF(OR(C3454="",I3454&lt;&gt;"ENTRADA"),"",TEXT(B3454,"AAMMDD")&amp;"-"&amp;TEXT(VALUE(SUBSTITUTE(A3454,"MOV-","")),"000"))</f>
        <v/>
      </c>
    </row>
    <row r="3455" spans="18:20">
      <c r="R3455" s="22" t="str">
        <f>IF(H3455="","",H3455&amp;I3455)</f>
        <v/>
      </c>
      <c r="S3455" s="22" t="str">
        <f>IF(C3455="","",C3455&amp;I3455)</f>
        <v/>
      </c>
      <c r="T3455" t="str">
        <f>IF(OR(C3455="",I3455&lt;&gt;"ENTRADA"),"",TEXT(B3455,"AAMMDD")&amp;"-"&amp;TEXT(VALUE(SUBSTITUTE(A3455,"MOV-","")),"000"))</f>
        <v/>
      </c>
    </row>
    <row r="3456" spans="18:20">
      <c r="R3456" s="22" t="str">
        <f>IF(H3456="","",H3456&amp;I3456)</f>
        <v/>
      </c>
      <c r="S3456" s="22" t="str">
        <f>IF(C3456="","",C3456&amp;I3456)</f>
        <v/>
      </c>
      <c r="T3456" t="str">
        <f>IF(OR(C3456="",I3456&lt;&gt;"ENTRADA"),"",TEXT(B3456,"AAMMDD")&amp;"-"&amp;TEXT(VALUE(SUBSTITUTE(A3456,"MOV-","")),"000"))</f>
        <v/>
      </c>
    </row>
    <row r="3457" spans="18:20">
      <c r="R3457" s="22" t="str">
        <f>IF(H3457="","",H3457&amp;I3457)</f>
        <v/>
      </c>
      <c r="S3457" s="22" t="str">
        <f>IF(C3457="","",C3457&amp;I3457)</f>
        <v/>
      </c>
      <c r="T3457" t="str">
        <f>IF(OR(C3457="",I3457&lt;&gt;"ENTRADA"),"",TEXT(B3457,"AAMMDD")&amp;"-"&amp;TEXT(VALUE(SUBSTITUTE(A3457,"MOV-","")),"000"))</f>
        <v/>
      </c>
    </row>
    <row r="3458" spans="18:20">
      <c r="R3458" s="22" t="str">
        <f>IF(H3458="","",H3458&amp;I3458)</f>
        <v/>
      </c>
      <c r="S3458" s="22" t="str">
        <f>IF(C3458="","",C3458&amp;I3458)</f>
        <v/>
      </c>
      <c r="T3458" t="str">
        <f>IF(OR(C3458="",I3458&lt;&gt;"ENTRADA"),"",TEXT(B3458,"AAMMDD")&amp;"-"&amp;TEXT(VALUE(SUBSTITUTE(A3458,"MOV-","")),"000"))</f>
        <v/>
      </c>
    </row>
    <row r="3459" spans="18:20">
      <c r="R3459" s="22" t="str">
        <f>IF(H3459="","",H3459&amp;I3459)</f>
        <v/>
      </c>
      <c r="S3459" s="22" t="str">
        <f>IF(C3459="","",C3459&amp;I3459)</f>
        <v/>
      </c>
      <c r="T3459" t="str">
        <f>IF(OR(C3459="",I3459&lt;&gt;"ENTRADA"),"",TEXT(B3459,"AAMMDD")&amp;"-"&amp;TEXT(VALUE(SUBSTITUTE(A3459,"MOV-","")),"000"))</f>
        <v/>
      </c>
    </row>
    <row r="3460" spans="18:20">
      <c r="R3460" s="22" t="str">
        <f>IF(H3460="","",H3460&amp;I3460)</f>
        <v/>
      </c>
      <c r="S3460" s="22" t="str">
        <f>IF(C3460="","",C3460&amp;I3460)</f>
        <v/>
      </c>
      <c r="T3460" t="str">
        <f>IF(OR(C3460="",I3460&lt;&gt;"ENTRADA"),"",TEXT(B3460,"AAMMDD")&amp;"-"&amp;TEXT(VALUE(SUBSTITUTE(A3460,"MOV-","")),"000"))</f>
        <v/>
      </c>
    </row>
    <row r="3461" spans="18:20">
      <c r="R3461" s="22" t="str">
        <f>IF(H3461="","",H3461&amp;I3461)</f>
        <v/>
      </c>
      <c r="S3461" s="22" t="str">
        <f>IF(C3461="","",C3461&amp;I3461)</f>
        <v/>
      </c>
      <c r="T3461" t="str">
        <f>IF(OR(C3461="",I3461&lt;&gt;"ENTRADA"),"",TEXT(B3461,"AAMMDD")&amp;"-"&amp;TEXT(VALUE(SUBSTITUTE(A3461,"MOV-","")),"000"))</f>
        <v/>
      </c>
    </row>
    <row r="3462" spans="18:20">
      <c r="R3462" s="22" t="str">
        <f>IF(H3462="","",H3462&amp;I3462)</f>
        <v/>
      </c>
      <c r="S3462" s="22" t="str">
        <f>IF(C3462="","",C3462&amp;I3462)</f>
        <v/>
      </c>
      <c r="T3462" t="str">
        <f>IF(OR(C3462="",I3462&lt;&gt;"ENTRADA"),"",TEXT(B3462,"AAMMDD")&amp;"-"&amp;TEXT(VALUE(SUBSTITUTE(A3462,"MOV-","")),"000"))</f>
        <v/>
      </c>
    </row>
    <row r="3463" spans="18:20">
      <c r="R3463" s="22" t="str">
        <f>IF(H3463="","",H3463&amp;I3463)</f>
        <v/>
      </c>
      <c r="S3463" s="22" t="str">
        <f>IF(C3463="","",C3463&amp;I3463)</f>
        <v/>
      </c>
      <c r="T3463" t="str">
        <f>IF(OR(C3463="",I3463&lt;&gt;"ENTRADA"),"",TEXT(B3463,"AAMMDD")&amp;"-"&amp;TEXT(VALUE(SUBSTITUTE(A3463,"MOV-","")),"000"))</f>
        <v/>
      </c>
    </row>
    <row r="3464" spans="18:20">
      <c r="R3464" s="22" t="str">
        <f>IF(H3464="","",H3464&amp;I3464)</f>
        <v/>
      </c>
      <c r="S3464" s="22" t="str">
        <f>IF(C3464="","",C3464&amp;I3464)</f>
        <v/>
      </c>
      <c r="T3464" t="str">
        <f>IF(OR(C3464="",I3464&lt;&gt;"ENTRADA"),"",TEXT(B3464,"AAMMDD")&amp;"-"&amp;TEXT(VALUE(SUBSTITUTE(A3464,"MOV-","")),"000"))</f>
        <v/>
      </c>
    </row>
    <row r="3465" spans="18:20">
      <c r="R3465" s="22" t="str">
        <f>IF(H3465="","",H3465&amp;I3465)</f>
        <v/>
      </c>
      <c r="S3465" s="22" t="str">
        <f>IF(C3465="","",C3465&amp;I3465)</f>
        <v/>
      </c>
      <c r="T3465" t="str">
        <f>IF(OR(C3465="",I3465&lt;&gt;"ENTRADA"),"",TEXT(B3465,"AAMMDD")&amp;"-"&amp;TEXT(VALUE(SUBSTITUTE(A3465,"MOV-","")),"000"))</f>
        <v/>
      </c>
    </row>
    <row r="3466" spans="18:20">
      <c r="R3466" s="22" t="str">
        <f>IF(H3466="","",H3466&amp;I3466)</f>
        <v/>
      </c>
      <c r="S3466" s="22" t="str">
        <f>IF(C3466="","",C3466&amp;I3466)</f>
        <v/>
      </c>
      <c r="T3466" t="str">
        <f>IF(OR(C3466="",I3466&lt;&gt;"ENTRADA"),"",TEXT(B3466,"AAMMDD")&amp;"-"&amp;TEXT(VALUE(SUBSTITUTE(A3466,"MOV-","")),"000"))</f>
        <v/>
      </c>
    </row>
    <row r="3467" spans="18:20">
      <c r="R3467" s="22" t="str">
        <f>IF(H3467="","",H3467&amp;I3467)</f>
        <v/>
      </c>
      <c r="S3467" s="22" t="str">
        <f>IF(C3467="","",C3467&amp;I3467)</f>
        <v/>
      </c>
      <c r="T3467" t="str">
        <f>IF(OR(C3467="",I3467&lt;&gt;"ENTRADA"),"",TEXT(B3467,"AAMMDD")&amp;"-"&amp;TEXT(VALUE(SUBSTITUTE(A3467,"MOV-","")),"000"))</f>
        <v/>
      </c>
    </row>
    <row r="3468" spans="18:20">
      <c r="R3468" s="22" t="str">
        <f>IF(H3468="","",H3468&amp;I3468)</f>
        <v/>
      </c>
      <c r="S3468" s="22" t="str">
        <f>IF(C3468="","",C3468&amp;I3468)</f>
        <v/>
      </c>
      <c r="T3468" t="str">
        <f>IF(OR(C3468="",I3468&lt;&gt;"ENTRADA"),"",TEXT(B3468,"AAMMDD")&amp;"-"&amp;TEXT(VALUE(SUBSTITUTE(A3468,"MOV-","")),"000"))</f>
        <v/>
      </c>
    </row>
    <row r="3469" spans="18:20">
      <c r="R3469" s="22" t="str">
        <f>IF(H3469="","",H3469&amp;I3469)</f>
        <v/>
      </c>
      <c r="S3469" s="22" t="str">
        <f>IF(C3469="","",C3469&amp;I3469)</f>
        <v/>
      </c>
      <c r="T3469" t="str">
        <f>IF(OR(C3469="",I3469&lt;&gt;"ENTRADA"),"",TEXT(B3469,"AAMMDD")&amp;"-"&amp;TEXT(VALUE(SUBSTITUTE(A3469,"MOV-","")),"000"))</f>
        <v/>
      </c>
    </row>
    <row r="3470" spans="18:20">
      <c r="R3470" s="22" t="str">
        <f>IF(H3470="","",H3470&amp;I3470)</f>
        <v/>
      </c>
      <c r="S3470" s="22" t="str">
        <f>IF(C3470="","",C3470&amp;I3470)</f>
        <v/>
      </c>
      <c r="T3470" t="str">
        <f>IF(OR(C3470="",I3470&lt;&gt;"ENTRADA"),"",TEXT(B3470,"AAMMDD")&amp;"-"&amp;TEXT(VALUE(SUBSTITUTE(A3470,"MOV-","")),"000"))</f>
        <v/>
      </c>
    </row>
    <row r="3471" spans="18:20">
      <c r="R3471" s="22" t="str">
        <f>IF(H3471="","",H3471&amp;I3471)</f>
        <v/>
      </c>
      <c r="S3471" s="22" t="str">
        <f>IF(C3471="","",C3471&amp;I3471)</f>
        <v/>
      </c>
      <c r="T3471" t="str">
        <f>IF(OR(C3471="",I3471&lt;&gt;"ENTRADA"),"",TEXT(B3471,"AAMMDD")&amp;"-"&amp;TEXT(VALUE(SUBSTITUTE(A3471,"MOV-","")),"000"))</f>
        <v/>
      </c>
    </row>
    <row r="3472" spans="18:20">
      <c r="R3472" s="22" t="str">
        <f>IF(H3472="","",H3472&amp;I3472)</f>
        <v/>
      </c>
      <c r="S3472" s="22" t="str">
        <f>IF(C3472="","",C3472&amp;I3472)</f>
        <v/>
      </c>
      <c r="T3472" t="str">
        <f>IF(OR(C3472="",I3472&lt;&gt;"ENTRADA"),"",TEXT(B3472,"AAMMDD")&amp;"-"&amp;TEXT(VALUE(SUBSTITUTE(A3472,"MOV-","")),"000"))</f>
        <v/>
      </c>
    </row>
    <row r="3473" spans="18:20">
      <c r="R3473" s="22" t="str">
        <f>IF(H3473="","",H3473&amp;I3473)</f>
        <v/>
      </c>
      <c r="S3473" s="22" t="str">
        <f>IF(C3473="","",C3473&amp;I3473)</f>
        <v/>
      </c>
      <c r="T3473" t="str">
        <f>IF(OR(C3473="",I3473&lt;&gt;"ENTRADA"),"",TEXT(B3473,"AAMMDD")&amp;"-"&amp;TEXT(VALUE(SUBSTITUTE(A3473,"MOV-","")),"000"))</f>
        <v/>
      </c>
    </row>
    <row r="3474" spans="18:20">
      <c r="R3474" s="22" t="str">
        <f>IF(H3474="","",H3474&amp;I3474)</f>
        <v/>
      </c>
      <c r="S3474" s="22" t="str">
        <f>IF(C3474="","",C3474&amp;I3474)</f>
        <v/>
      </c>
      <c r="T3474" t="str">
        <f>IF(OR(C3474="",I3474&lt;&gt;"ENTRADA"),"",TEXT(B3474,"AAMMDD")&amp;"-"&amp;TEXT(VALUE(SUBSTITUTE(A3474,"MOV-","")),"000"))</f>
        <v/>
      </c>
    </row>
    <row r="3475" spans="18:20">
      <c r="R3475" s="22" t="str">
        <f>IF(H3475="","",H3475&amp;I3475)</f>
        <v/>
      </c>
      <c r="S3475" s="22" t="str">
        <f>IF(C3475="","",C3475&amp;I3475)</f>
        <v/>
      </c>
      <c r="T3475" t="str">
        <f>IF(OR(C3475="",I3475&lt;&gt;"ENTRADA"),"",TEXT(B3475,"AAMMDD")&amp;"-"&amp;TEXT(VALUE(SUBSTITUTE(A3475,"MOV-","")),"000"))</f>
        <v/>
      </c>
    </row>
    <row r="3476" spans="18:20">
      <c r="R3476" s="22" t="str">
        <f>IF(H3476="","",H3476&amp;I3476)</f>
        <v/>
      </c>
      <c r="S3476" s="22" t="str">
        <f>IF(C3476="","",C3476&amp;I3476)</f>
        <v/>
      </c>
      <c r="T3476" t="str">
        <f>IF(OR(C3476="",I3476&lt;&gt;"ENTRADA"),"",TEXT(B3476,"AAMMDD")&amp;"-"&amp;TEXT(VALUE(SUBSTITUTE(A3476,"MOV-","")),"000"))</f>
        <v/>
      </c>
    </row>
    <row r="3477" spans="18:20">
      <c r="R3477" s="22" t="str">
        <f>IF(H3477="","",H3477&amp;I3477)</f>
        <v/>
      </c>
      <c r="S3477" s="22" t="str">
        <f>IF(C3477="","",C3477&amp;I3477)</f>
        <v/>
      </c>
      <c r="T3477" t="str">
        <f>IF(OR(C3477="",I3477&lt;&gt;"ENTRADA"),"",TEXT(B3477,"AAMMDD")&amp;"-"&amp;TEXT(VALUE(SUBSTITUTE(A3477,"MOV-","")),"000"))</f>
        <v/>
      </c>
    </row>
    <row r="3478" spans="18:20">
      <c r="R3478" s="22" t="str">
        <f>IF(H3478="","",H3478&amp;I3478)</f>
        <v/>
      </c>
      <c r="S3478" s="22" t="str">
        <f>IF(C3478="","",C3478&amp;I3478)</f>
        <v/>
      </c>
      <c r="T3478" t="str">
        <f>IF(OR(C3478="",I3478&lt;&gt;"ENTRADA"),"",TEXT(B3478,"AAMMDD")&amp;"-"&amp;TEXT(VALUE(SUBSTITUTE(A3478,"MOV-","")),"000"))</f>
        <v/>
      </c>
    </row>
    <row r="3479" spans="18:20">
      <c r="R3479" s="22" t="str">
        <f>IF(H3479="","",H3479&amp;I3479)</f>
        <v/>
      </c>
      <c r="S3479" s="22" t="str">
        <f>IF(C3479="","",C3479&amp;I3479)</f>
        <v/>
      </c>
      <c r="T3479" t="str">
        <f>IF(OR(C3479="",I3479&lt;&gt;"ENTRADA"),"",TEXT(B3479,"AAMMDD")&amp;"-"&amp;TEXT(VALUE(SUBSTITUTE(A3479,"MOV-","")),"000"))</f>
        <v/>
      </c>
    </row>
    <row r="3480" spans="18:20">
      <c r="R3480" s="22" t="str">
        <f>IF(H3480="","",H3480&amp;I3480)</f>
        <v/>
      </c>
      <c r="S3480" s="22" t="str">
        <f>IF(C3480="","",C3480&amp;I3480)</f>
        <v/>
      </c>
      <c r="T3480" t="str">
        <f>IF(OR(C3480="",I3480&lt;&gt;"ENTRADA"),"",TEXT(B3480,"AAMMDD")&amp;"-"&amp;TEXT(VALUE(SUBSTITUTE(A3480,"MOV-","")),"000"))</f>
        <v/>
      </c>
    </row>
    <row r="3481" spans="18:20">
      <c r="R3481" s="22" t="str">
        <f>IF(H3481="","",H3481&amp;I3481)</f>
        <v/>
      </c>
      <c r="S3481" s="22" t="str">
        <f>IF(C3481="","",C3481&amp;I3481)</f>
        <v/>
      </c>
      <c r="T3481" t="str">
        <f>IF(OR(C3481="",I3481&lt;&gt;"ENTRADA"),"",TEXT(B3481,"AAMMDD")&amp;"-"&amp;TEXT(VALUE(SUBSTITUTE(A3481,"MOV-","")),"000"))</f>
        <v/>
      </c>
    </row>
    <row r="3482" spans="18:20">
      <c r="R3482" s="22" t="str">
        <f>IF(H3482="","",H3482&amp;I3482)</f>
        <v/>
      </c>
      <c r="S3482" s="22" t="str">
        <f>IF(C3482="","",C3482&amp;I3482)</f>
        <v/>
      </c>
      <c r="T3482" t="str">
        <f>IF(OR(C3482="",I3482&lt;&gt;"ENTRADA"),"",TEXT(B3482,"AAMMDD")&amp;"-"&amp;TEXT(VALUE(SUBSTITUTE(A3482,"MOV-","")),"000"))</f>
        <v/>
      </c>
    </row>
    <row r="3483" spans="18:20">
      <c r="R3483" s="22" t="str">
        <f>IF(H3483="","",H3483&amp;I3483)</f>
        <v/>
      </c>
      <c r="S3483" s="22" t="str">
        <f>IF(C3483="","",C3483&amp;I3483)</f>
        <v/>
      </c>
      <c r="T3483" t="str">
        <f>IF(OR(C3483="",I3483&lt;&gt;"ENTRADA"),"",TEXT(B3483,"AAMMDD")&amp;"-"&amp;TEXT(VALUE(SUBSTITUTE(A3483,"MOV-","")),"000"))</f>
        <v/>
      </c>
    </row>
    <row r="3484" spans="18:20">
      <c r="R3484" s="22" t="str">
        <f>IF(H3484="","",H3484&amp;I3484)</f>
        <v/>
      </c>
      <c r="S3484" s="22" t="str">
        <f>IF(C3484="","",C3484&amp;I3484)</f>
        <v/>
      </c>
      <c r="T3484" t="str">
        <f>IF(OR(C3484="",I3484&lt;&gt;"ENTRADA"),"",TEXT(B3484,"AAMMDD")&amp;"-"&amp;TEXT(VALUE(SUBSTITUTE(A3484,"MOV-","")),"000"))</f>
        <v/>
      </c>
    </row>
    <row r="3485" spans="18:20">
      <c r="R3485" s="22" t="str">
        <f>IF(H3485="","",H3485&amp;I3485)</f>
        <v/>
      </c>
      <c r="S3485" s="22" t="str">
        <f>IF(C3485="","",C3485&amp;I3485)</f>
        <v/>
      </c>
      <c r="T3485" t="str">
        <f>IF(OR(C3485="",I3485&lt;&gt;"ENTRADA"),"",TEXT(B3485,"AAMMDD")&amp;"-"&amp;TEXT(VALUE(SUBSTITUTE(A3485,"MOV-","")),"000"))</f>
        <v/>
      </c>
    </row>
    <row r="3486" spans="18:20">
      <c r="R3486" s="22" t="str">
        <f>IF(H3486="","",H3486&amp;I3486)</f>
        <v/>
      </c>
      <c r="S3486" s="22" t="str">
        <f>IF(C3486="","",C3486&amp;I3486)</f>
        <v/>
      </c>
      <c r="T3486" t="str">
        <f>IF(OR(C3486="",I3486&lt;&gt;"ENTRADA"),"",TEXT(B3486,"AAMMDD")&amp;"-"&amp;TEXT(VALUE(SUBSTITUTE(A3486,"MOV-","")),"000"))</f>
        <v/>
      </c>
    </row>
    <row r="3487" spans="18:20">
      <c r="R3487" s="22" t="str">
        <f>IF(H3487="","",H3487&amp;I3487)</f>
        <v/>
      </c>
      <c r="S3487" s="22" t="str">
        <f>IF(C3487="","",C3487&amp;I3487)</f>
        <v/>
      </c>
      <c r="T3487" t="str">
        <f>IF(OR(C3487="",I3487&lt;&gt;"ENTRADA"),"",TEXT(B3487,"AAMMDD")&amp;"-"&amp;TEXT(VALUE(SUBSTITUTE(A3487,"MOV-","")),"000"))</f>
        <v/>
      </c>
    </row>
    <row r="3488" spans="18:20">
      <c r="R3488" s="22" t="str">
        <f>IF(H3488="","",H3488&amp;I3488)</f>
        <v/>
      </c>
      <c r="S3488" s="22" t="str">
        <f>IF(C3488="","",C3488&amp;I3488)</f>
        <v/>
      </c>
      <c r="T3488" t="str">
        <f>IF(OR(C3488="",I3488&lt;&gt;"ENTRADA"),"",TEXT(B3488,"AAMMDD")&amp;"-"&amp;TEXT(VALUE(SUBSTITUTE(A3488,"MOV-","")),"000"))</f>
        <v/>
      </c>
    </row>
    <row r="3489" spans="18:20">
      <c r="R3489" s="22" t="str">
        <f>IF(H3489="","",H3489&amp;I3489)</f>
        <v/>
      </c>
      <c r="S3489" s="22" t="str">
        <f>IF(C3489="","",C3489&amp;I3489)</f>
        <v/>
      </c>
      <c r="T3489" t="str">
        <f>IF(OR(C3489="",I3489&lt;&gt;"ENTRADA"),"",TEXT(B3489,"AAMMDD")&amp;"-"&amp;TEXT(VALUE(SUBSTITUTE(A3489,"MOV-","")),"000"))</f>
        <v/>
      </c>
    </row>
    <row r="3490" spans="18:20">
      <c r="R3490" s="22" t="str">
        <f>IF(H3490="","",H3490&amp;I3490)</f>
        <v/>
      </c>
      <c r="S3490" s="22" t="str">
        <f>IF(C3490="","",C3490&amp;I3490)</f>
        <v/>
      </c>
      <c r="T3490" t="str">
        <f>IF(OR(C3490="",I3490&lt;&gt;"ENTRADA"),"",TEXT(B3490,"AAMMDD")&amp;"-"&amp;TEXT(VALUE(SUBSTITUTE(A3490,"MOV-","")),"000"))</f>
        <v/>
      </c>
    </row>
    <row r="3491" spans="18:20">
      <c r="R3491" s="22" t="str">
        <f>IF(H3491="","",H3491&amp;I3491)</f>
        <v/>
      </c>
      <c r="S3491" s="22" t="str">
        <f>IF(C3491="","",C3491&amp;I3491)</f>
        <v/>
      </c>
      <c r="T3491" t="str">
        <f>IF(OR(C3491="",I3491&lt;&gt;"ENTRADA"),"",TEXT(B3491,"AAMMDD")&amp;"-"&amp;TEXT(VALUE(SUBSTITUTE(A3491,"MOV-","")),"000"))</f>
        <v/>
      </c>
    </row>
    <row r="3492" spans="18:20">
      <c r="R3492" s="22" t="str">
        <f>IF(H3492="","",H3492&amp;I3492)</f>
        <v/>
      </c>
      <c r="S3492" s="22" t="str">
        <f>IF(C3492="","",C3492&amp;I3492)</f>
        <v/>
      </c>
      <c r="T3492" t="str">
        <f>IF(OR(C3492="",I3492&lt;&gt;"ENTRADA"),"",TEXT(B3492,"AAMMDD")&amp;"-"&amp;TEXT(VALUE(SUBSTITUTE(A3492,"MOV-","")),"000"))</f>
        <v/>
      </c>
    </row>
    <row r="3493" spans="18:20">
      <c r="R3493" s="22" t="str">
        <f>IF(H3493="","",H3493&amp;I3493)</f>
        <v/>
      </c>
      <c r="S3493" s="22" t="str">
        <f>IF(C3493="","",C3493&amp;I3493)</f>
        <v/>
      </c>
      <c r="T3493" t="str">
        <f>IF(OR(C3493="",I3493&lt;&gt;"ENTRADA"),"",TEXT(B3493,"AAMMDD")&amp;"-"&amp;TEXT(VALUE(SUBSTITUTE(A3493,"MOV-","")),"000"))</f>
        <v/>
      </c>
    </row>
    <row r="3494" spans="18:20">
      <c r="R3494" s="22" t="str">
        <f>IF(H3494="","",H3494&amp;I3494)</f>
        <v/>
      </c>
      <c r="S3494" s="22" t="str">
        <f>IF(C3494="","",C3494&amp;I3494)</f>
        <v/>
      </c>
      <c r="T3494" t="str">
        <f>IF(OR(C3494="",I3494&lt;&gt;"ENTRADA"),"",TEXT(B3494,"AAMMDD")&amp;"-"&amp;TEXT(VALUE(SUBSTITUTE(A3494,"MOV-","")),"000"))</f>
        <v/>
      </c>
    </row>
    <row r="3495" spans="18:20">
      <c r="R3495" s="22" t="str">
        <f>IF(H3495="","",H3495&amp;I3495)</f>
        <v/>
      </c>
      <c r="S3495" s="22" t="str">
        <f>IF(C3495="","",C3495&amp;I3495)</f>
        <v/>
      </c>
      <c r="T3495" t="str">
        <f>IF(OR(C3495="",I3495&lt;&gt;"ENTRADA"),"",TEXT(B3495,"AAMMDD")&amp;"-"&amp;TEXT(VALUE(SUBSTITUTE(A3495,"MOV-","")),"000"))</f>
        <v/>
      </c>
    </row>
    <row r="3496" spans="18:20">
      <c r="R3496" s="22" t="str">
        <f>IF(H3496="","",H3496&amp;I3496)</f>
        <v/>
      </c>
      <c r="S3496" s="22" t="str">
        <f>IF(C3496="","",C3496&amp;I3496)</f>
        <v/>
      </c>
      <c r="T3496" t="str">
        <f>IF(OR(C3496="",I3496&lt;&gt;"ENTRADA"),"",TEXT(B3496,"AAMMDD")&amp;"-"&amp;TEXT(VALUE(SUBSTITUTE(A3496,"MOV-","")),"000"))</f>
        <v/>
      </c>
    </row>
    <row r="3497" spans="18:20">
      <c r="R3497" s="22" t="str">
        <f>IF(H3497="","",H3497&amp;I3497)</f>
        <v/>
      </c>
      <c r="S3497" s="22" t="str">
        <f>IF(C3497="","",C3497&amp;I3497)</f>
        <v/>
      </c>
      <c r="T3497" t="str">
        <f>IF(OR(C3497="",I3497&lt;&gt;"ENTRADA"),"",TEXT(B3497,"AAMMDD")&amp;"-"&amp;TEXT(VALUE(SUBSTITUTE(A3497,"MOV-","")),"000"))</f>
        <v/>
      </c>
    </row>
    <row r="3498" spans="18:20">
      <c r="R3498" s="22" t="str">
        <f>IF(H3498="","",H3498&amp;I3498)</f>
        <v/>
      </c>
      <c r="S3498" s="22" t="str">
        <f>IF(C3498="","",C3498&amp;I3498)</f>
        <v/>
      </c>
      <c r="T3498" t="str">
        <f>IF(OR(C3498="",I3498&lt;&gt;"ENTRADA"),"",TEXT(B3498,"AAMMDD")&amp;"-"&amp;TEXT(VALUE(SUBSTITUTE(A3498,"MOV-","")),"000"))</f>
        <v/>
      </c>
    </row>
    <row r="3499" spans="18:20">
      <c r="R3499" s="22" t="str">
        <f>IF(H3499="","",H3499&amp;I3499)</f>
        <v/>
      </c>
      <c r="S3499" s="22" t="str">
        <f>IF(C3499="","",C3499&amp;I3499)</f>
        <v/>
      </c>
      <c r="T3499" t="str">
        <f>IF(OR(C3499="",I3499&lt;&gt;"ENTRADA"),"",TEXT(B3499,"AAMMDD")&amp;"-"&amp;TEXT(VALUE(SUBSTITUTE(A3499,"MOV-","")),"000"))</f>
        <v/>
      </c>
    </row>
    <row r="3500" spans="18:20">
      <c r="R3500" s="22" t="str">
        <f>IF(H3500="","",H3500&amp;I3500)</f>
        <v/>
      </c>
      <c r="S3500" s="22" t="str">
        <f>IF(C3500="","",C3500&amp;I3500)</f>
        <v/>
      </c>
      <c r="T3500" t="str">
        <f>IF(OR(C3500="",I3500&lt;&gt;"ENTRADA"),"",TEXT(B3500,"AAMMDD")&amp;"-"&amp;TEXT(VALUE(SUBSTITUTE(A3500,"MOV-","")),"000"))</f>
        <v/>
      </c>
    </row>
    <row r="3501" spans="18:20">
      <c r="R3501" s="22" t="str">
        <f>IF(H3501="","",H3501&amp;I3501)</f>
        <v/>
      </c>
      <c r="S3501" s="22" t="str">
        <f>IF(C3501="","",C3501&amp;I3501)</f>
        <v/>
      </c>
      <c r="T3501" t="str">
        <f>IF(OR(C3501="",I3501&lt;&gt;"ENTRADA"),"",TEXT(B3501,"AAMMDD")&amp;"-"&amp;TEXT(VALUE(SUBSTITUTE(A3501,"MOV-","")),"000"))</f>
        <v/>
      </c>
    </row>
    <row r="3502" spans="18:20">
      <c r="R3502" s="22" t="str">
        <f>IF(H3502="","",H3502&amp;I3502)</f>
        <v/>
      </c>
      <c r="S3502" s="22" t="str">
        <f>IF(C3502="","",C3502&amp;I3502)</f>
        <v/>
      </c>
      <c r="T3502" t="str">
        <f>IF(OR(C3502="",I3502&lt;&gt;"ENTRADA"),"",TEXT(B3502,"AAMMDD")&amp;"-"&amp;TEXT(VALUE(SUBSTITUTE(A3502,"MOV-","")),"000"))</f>
        <v/>
      </c>
    </row>
    <row r="3503" spans="18:20">
      <c r="R3503" s="22" t="str">
        <f>IF(H3503="","",H3503&amp;I3503)</f>
        <v/>
      </c>
      <c r="S3503" s="22" t="str">
        <f>IF(C3503="","",C3503&amp;I3503)</f>
        <v/>
      </c>
      <c r="T3503" t="str">
        <f>IF(OR(C3503="",I3503&lt;&gt;"ENTRADA"),"",TEXT(B3503,"AAMMDD")&amp;"-"&amp;TEXT(VALUE(SUBSTITUTE(A3503,"MOV-","")),"000"))</f>
        <v/>
      </c>
    </row>
    <row r="3504" spans="18:20">
      <c r="R3504" s="22" t="str">
        <f>IF(H3504="","",H3504&amp;I3504)</f>
        <v/>
      </c>
      <c r="S3504" s="22" t="str">
        <f>IF(C3504="","",C3504&amp;I3504)</f>
        <v/>
      </c>
      <c r="T3504" t="str">
        <f>IF(OR(C3504="",I3504&lt;&gt;"ENTRADA"),"",TEXT(B3504,"AAMMDD")&amp;"-"&amp;TEXT(VALUE(SUBSTITUTE(A3504,"MOV-","")),"000"))</f>
        <v/>
      </c>
    </row>
    <row r="3505" spans="18:20">
      <c r="R3505" s="22" t="str">
        <f>IF(H3505="","",H3505&amp;I3505)</f>
        <v/>
      </c>
      <c r="S3505" s="22" t="str">
        <f>IF(C3505="","",C3505&amp;I3505)</f>
        <v/>
      </c>
      <c r="T3505" t="str">
        <f>IF(OR(C3505="",I3505&lt;&gt;"ENTRADA"),"",TEXT(B3505,"AAMMDD")&amp;"-"&amp;TEXT(VALUE(SUBSTITUTE(A3505,"MOV-","")),"000"))</f>
        <v/>
      </c>
    </row>
    <row r="3506" spans="18:20">
      <c r="R3506" s="22" t="str">
        <f>IF(H3506="","",H3506&amp;I3506)</f>
        <v/>
      </c>
      <c r="S3506" s="22" t="str">
        <f>IF(C3506="","",C3506&amp;I3506)</f>
        <v/>
      </c>
      <c r="T3506" t="str">
        <f>IF(OR(C3506="",I3506&lt;&gt;"ENTRADA"),"",TEXT(B3506,"AAMMDD")&amp;"-"&amp;TEXT(VALUE(SUBSTITUTE(A3506,"MOV-","")),"000"))</f>
        <v/>
      </c>
    </row>
    <row r="3507" spans="18:20">
      <c r="R3507" s="22" t="str">
        <f>IF(H3507="","",H3507&amp;I3507)</f>
        <v/>
      </c>
      <c r="S3507" s="22" t="str">
        <f>IF(C3507="","",C3507&amp;I3507)</f>
        <v/>
      </c>
      <c r="T3507" t="str">
        <f>IF(OR(C3507="",I3507&lt;&gt;"ENTRADA"),"",TEXT(B3507,"AAMMDD")&amp;"-"&amp;TEXT(VALUE(SUBSTITUTE(A3507,"MOV-","")),"000"))</f>
        <v/>
      </c>
    </row>
    <row r="3508" spans="18:20">
      <c r="R3508" s="22" t="str">
        <f>IF(H3508="","",H3508&amp;I3508)</f>
        <v/>
      </c>
      <c r="S3508" s="22" t="str">
        <f>IF(C3508="","",C3508&amp;I3508)</f>
        <v/>
      </c>
      <c r="T3508" t="str">
        <f>IF(OR(C3508="",I3508&lt;&gt;"ENTRADA"),"",TEXT(B3508,"AAMMDD")&amp;"-"&amp;TEXT(VALUE(SUBSTITUTE(A3508,"MOV-","")),"000"))</f>
        <v/>
      </c>
    </row>
    <row r="3509" spans="18:20">
      <c r="R3509" s="22" t="str">
        <f>IF(H3509="","",H3509&amp;I3509)</f>
        <v/>
      </c>
      <c r="S3509" s="22" t="str">
        <f>IF(C3509="","",C3509&amp;I3509)</f>
        <v/>
      </c>
      <c r="T3509" t="str">
        <f>IF(OR(C3509="",I3509&lt;&gt;"ENTRADA"),"",TEXT(B3509,"AAMMDD")&amp;"-"&amp;TEXT(VALUE(SUBSTITUTE(A3509,"MOV-","")),"000"))</f>
        <v/>
      </c>
    </row>
    <row r="3510" spans="18:20">
      <c r="R3510" s="22" t="str">
        <f>IF(H3510="","",H3510&amp;I3510)</f>
        <v/>
      </c>
      <c r="S3510" s="22" t="str">
        <f>IF(C3510="","",C3510&amp;I3510)</f>
        <v/>
      </c>
      <c r="T3510" t="str">
        <f>IF(OR(C3510="",I3510&lt;&gt;"ENTRADA"),"",TEXT(B3510,"AAMMDD")&amp;"-"&amp;TEXT(VALUE(SUBSTITUTE(A3510,"MOV-","")),"000"))</f>
        <v/>
      </c>
    </row>
    <row r="3511" spans="18:20">
      <c r="R3511" s="22" t="str">
        <f>IF(H3511="","",H3511&amp;I3511)</f>
        <v/>
      </c>
      <c r="S3511" s="22" t="str">
        <f>IF(C3511="","",C3511&amp;I3511)</f>
        <v/>
      </c>
      <c r="T3511" t="str">
        <f>IF(OR(C3511="",I3511&lt;&gt;"ENTRADA"),"",TEXT(B3511,"AAMMDD")&amp;"-"&amp;TEXT(VALUE(SUBSTITUTE(A3511,"MOV-","")),"000"))</f>
        <v/>
      </c>
    </row>
    <row r="3512" spans="18:20">
      <c r="R3512" s="22" t="str">
        <f>IF(H3512="","",H3512&amp;I3512)</f>
        <v/>
      </c>
      <c r="S3512" s="22" t="str">
        <f>IF(C3512="","",C3512&amp;I3512)</f>
        <v/>
      </c>
      <c r="T3512" t="str">
        <f>IF(OR(C3512="",I3512&lt;&gt;"ENTRADA"),"",TEXT(B3512,"AAMMDD")&amp;"-"&amp;TEXT(VALUE(SUBSTITUTE(A3512,"MOV-","")),"000"))</f>
        <v/>
      </c>
    </row>
    <row r="3513" spans="18:20">
      <c r="R3513" s="22" t="str">
        <f>IF(H3513="","",H3513&amp;I3513)</f>
        <v/>
      </c>
      <c r="S3513" s="22" t="str">
        <f>IF(C3513="","",C3513&amp;I3513)</f>
        <v/>
      </c>
      <c r="T3513" t="str">
        <f>IF(OR(C3513="",I3513&lt;&gt;"ENTRADA"),"",TEXT(B3513,"AAMMDD")&amp;"-"&amp;TEXT(VALUE(SUBSTITUTE(A3513,"MOV-","")),"000"))</f>
        <v/>
      </c>
    </row>
    <row r="3514" spans="18:20">
      <c r="R3514" s="22" t="str">
        <f>IF(H3514="","",H3514&amp;I3514)</f>
        <v/>
      </c>
      <c r="S3514" s="22" t="str">
        <f>IF(C3514="","",C3514&amp;I3514)</f>
        <v/>
      </c>
      <c r="T3514" t="str">
        <f>IF(OR(C3514="",I3514&lt;&gt;"ENTRADA"),"",TEXT(B3514,"AAMMDD")&amp;"-"&amp;TEXT(VALUE(SUBSTITUTE(A3514,"MOV-","")),"000"))</f>
        <v/>
      </c>
    </row>
    <row r="3515" spans="18:20">
      <c r="R3515" s="22" t="str">
        <f>IF(H3515="","",H3515&amp;I3515)</f>
        <v/>
      </c>
      <c r="S3515" s="22" t="str">
        <f>IF(C3515="","",C3515&amp;I3515)</f>
        <v/>
      </c>
      <c r="T3515" t="str">
        <f>IF(OR(C3515="",I3515&lt;&gt;"ENTRADA"),"",TEXT(B3515,"AAMMDD")&amp;"-"&amp;TEXT(VALUE(SUBSTITUTE(A3515,"MOV-","")),"000"))</f>
        <v/>
      </c>
    </row>
    <row r="3516" spans="18:20">
      <c r="R3516" s="22" t="str">
        <f>IF(H3516="","",H3516&amp;I3516)</f>
        <v/>
      </c>
      <c r="S3516" s="22" t="str">
        <f>IF(C3516="","",C3516&amp;I3516)</f>
        <v/>
      </c>
      <c r="T3516" t="str">
        <f>IF(OR(C3516="",I3516&lt;&gt;"ENTRADA"),"",TEXT(B3516,"AAMMDD")&amp;"-"&amp;TEXT(VALUE(SUBSTITUTE(A3516,"MOV-","")),"000"))</f>
        <v/>
      </c>
    </row>
    <row r="3517" spans="18:20">
      <c r="R3517" s="22" t="str">
        <f>IF(H3517="","",H3517&amp;I3517)</f>
        <v/>
      </c>
      <c r="S3517" s="22" t="str">
        <f>IF(C3517="","",C3517&amp;I3517)</f>
        <v/>
      </c>
      <c r="T3517" t="str">
        <f>IF(OR(C3517="",I3517&lt;&gt;"ENTRADA"),"",TEXT(B3517,"AAMMDD")&amp;"-"&amp;TEXT(VALUE(SUBSTITUTE(A3517,"MOV-","")),"000"))</f>
        <v/>
      </c>
    </row>
    <row r="3518" spans="18:20">
      <c r="R3518" s="22" t="str">
        <f>IF(H3518="","",H3518&amp;I3518)</f>
        <v/>
      </c>
      <c r="S3518" s="22" t="str">
        <f>IF(C3518="","",C3518&amp;I3518)</f>
        <v/>
      </c>
      <c r="T3518" t="str">
        <f>IF(OR(C3518="",I3518&lt;&gt;"ENTRADA"),"",TEXT(B3518,"AAMMDD")&amp;"-"&amp;TEXT(VALUE(SUBSTITUTE(A3518,"MOV-","")),"000"))</f>
        <v/>
      </c>
    </row>
    <row r="3519" spans="18:20">
      <c r="R3519" s="22" t="str">
        <f>IF(H3519="","",H3519&amp;I3519)</f>
        <v/>
      </c>
      <c r="S3519" s="22" t="str">
        <f>IF(C3519="","",C3519&amp;I3519)</f>
        <v/>
      </c>
      <c r="T3519" t="str">
        <f>IF(OR(C3519="",I3519&lt;&gt;"ENTRADA"),"",TEXT(B3519,"AAMMDD")&amp;"-"&amp;TEXT(VALUE(SUBSTITUTE(A3519,"MOV-","")),"000"))</f>
        <v/>
      </c>
    </row>
    <row r="3520" spans="18:20">
      <c r="R3520" s="22" t="str">
        <f>IF(H3520="","",H3520&amp;I3520)</f>
        <v/>
      </c>
      <c r="S3520" s="22" t="str">
        <f>IF(C3520="","",C3520&amp;I3520)</f>
        <v/>
      </c>
      <c r="T3520" t="str">
        <f>IF(OR(C3520="",I3520&lt;&gt;"ENTRADA"),"",TEXT(B3520,"AAMMDD")&amp;"-"&amp;TEXT(VALUE(SUBSTITUTE(A3520,"MOV-","")),"000"))</f>
        <v/>
      </c>
    </row>
    <row r="3521" spans="18:20">
      <c r="R3521" s="22" t="str">
        <f>IF(H3521="","",H3521&amp;I3521)</f>
        <v/>
      </c>
      <c r="S3521" s="22" t="str">
        <f>IF(C3521="","",C3521&amp;I3521)</f>
        <v/>
      </c>
      <c r="T3521" t="str">
        <f>IF(OR(C3521="",I3521&lt;&gt;"ENTRADA"),"",TEXT(B3521,"AAMMDD")&amp;"-"&amp;TEXT(VALUE(SUBSTITUTE(A3521,"MOV-","")),"000"))</f>
        <v/>
      </c>
    </row>
    <row r="3522" spans="18:20">
      <c r="R3522" s="22" t="str">
        <f>IF(H3522="","",H3522&amp;I3522)</f>
        <v/>
      </c>
      <c r="S3522" s="22" t="str">
        <f>IF(C3522="","",C3522&amp;I3522)</f>
        <v/>
      </c>
      <c r="T3522" t="str">
        <f>IF(OR(C3522="",I3522&lt;&gt;"ENTRADA"),"",TEXT(B3522,"AAMMDD")&amp;"-"&amp;TEXT(VALUE(SUBSTITUTE(A3522,"MOV-","")),"000"))</f>
        <v/>
      </c>
    </row>
    <row r="3523" spans="18:20">
      <c r="R3523" s="22" t="str">
        <f>IF(H3523="","",H3523&amp;I3523)</f>
        <v/>
      </c>
      <c r="S3523" s="22" t="str">
        <f>IF(C3523="","",C3523&amp;I3523)</f>
        <v/>
      </c>
      <c r="T3523" t="str">
        <f>IF(OR(C3523="",I3523&lt;&gt;"ENTRADA"),"",TEXT(B3523,"AAMMDD")&amp;"-"&amp;TEXT(VALUE(SUBSTITUTE(A3523,"MOV-","")),"000"))</f>
        <v/>
      </c>
    </row>
    <row r="3524" spans="18:20">
      <c r="R3524" s="22" t="str">
        <f>IF(H3524="","",H3524&amp;I3524)</f>
        <v/>
      </c>
      <c r="S3524" s="22" t="str">
        <f>IF(C3524="","",C3524&amp;I3524)</f>
        <v/>
      </c>
      <c r="T3524" t="str">
        <f>IF(OR(C3524="",I3524&lt;&gt;"ENTRADA"),"",TEXT(B3524,"AAMMDD")&amp;"-"&amp;TEXT(VALUE(SUBSTITUTE(A3524,"MOV-","")),"000"))</f>
        <v/>
      </c>
    </row>
    <row r="3525" spans="18:20">
      <c r="R3525" s="22" t="str">
        <f>IF(H3525="","",H3525&amp;I3525)</f>
        <v/>
      </c>
      <c r="S3525" s="22" t="str">
        <f>IF(C3525="","",C3525&amp;I3525)</f>
        <v/>
      </c>
      <c r="T3525" t="str">
        <f>IF(OR(C3525="",I3525&lt;&gt;"ENTRADA"),"",TEXT(B3525,"AAMMDD")&amp;"-"&amp;TEXT(VALUE(SUBSTITUTE(A3525,"MOV-","")),"000"))</f>
        <v/>
      </c>
    </row>
    <row r="3526" spans="18:20">
      <c r="R3526" s="22" t="str">
        <f>IF(H3526="","",H3526&amp;I3526)</f>
        <v/>
      </c>
      <c r="S3526" s="22" t="str">
        <f>IF(C3526="","",C3526&amp;I3526)</f>
        <v/>
      </c>
      <c r="T3526" t="str">
        <f>IF(OR(C3526="",I3526&lt;&gt;"ENTRADA"),"",TEXT(B3526,"AAMMDD")&amp;"-"&amp;TEXT(VALUE(SUBSTITUTE(A3526,"MOV-","")),"000"))</f>
        <v/>
      </c>
    </row>
    <row r="3527" spans="18:20">
      <c r="R3527" s="22" t="str">
        <f>IF(H3527="","",H3527&amp;I3527)</f>
        <v/>
      </c>
      <c r="S3527" s="22" t="str">
        <f>IF(C3527="","",C3527&amp;I3527)</f>
        <v/>
      </c>
      <c r="T3527" t="str">
        <f>IF(OR(C3527="",I3527&lt;&gt;"ENTRADA"),"",TEXT(B3527,"AAMMDD")&amp;"-"&amp;TEXT(VALUE(SUBSTITUTE(A3527,"MOV-","")),"000"))</f>
        <v/>
      </c>
    </row>
    <row r="3528" spans="18:20">
      <c r="R3528" s="22" t="str">
        <f>IF(H3528="","",H3528&amp;I3528)</f>
        <v/>
      </c>
      <c r="S3528" s="22" t="str">
        <f>IF(C3528="","",C3528&amp;I3528)</f>
        <v/>
      </c>
      <c r="T3528" t="str">
        <f>IF(OR(C3528="",I3528&lt;&gt;"ENTRADA"),"",TEXT(B3528,"AAMMDD")&amp;"-"&amp;TEXT(VALUE(SUBSTITUTE(A3528,"MOV-","")),"000"))</f>
        <v/>
      </c>
    </row>
    <row r="3529" spans="18:20">
      <c r="R3529" s="22" t="str">
        <f>IF(H3529="","",H3529&amp;I3529)</f>
        <v/>
      </c>
      <c r="S3529" s="22" t="str">
        <f>IF(C3529="","",C3529&amp;I3529)</f>
        <v/>
      </c>
      <c r="T3529" t="str">
        <f>IF(OR(C3529="",I3529&lt;&gt;"ENTRADA"),"",TEXT(B3529,"AAMMDD")&amp;"-"&amp;TEXT(VALUE(SUBSTITUTE(A3529,"MOV-","")),"000"))</f>
        <v/>
      </c>
    </row>
    <row r="3530" spans="18:20">
      <c r="R3530" s="22" t="str">
        <f>IF(H3530="","",H3530&amp;I3530)</f>
        <v/>
      </c>
      <c r="S3530" s="22" t="str">
        <f>IF(C3530="","",C3530&amp;I3530)</f>
        <v/>
      </c>
      <c r="T3530" t="str">
        <f>IF(OR(C3530="",I3530&lt;&gt;"ENTRADA"),"",TEXT(B3530,"AAMMDD")&amp;"-"&amp;TEXT(VALUE(SUBSTITUTE(A3530,"MOV-","")),"000"))</f>
        <v/>
      </c>
    </row>
    <row r="3531" spans="18:20">
      <c r="R3531" s="22" t="str">
        <f>IF(H3531="","",H3531&amp;I3531)</f>
        <v/>
      </c>
      <c r="S3531" s="22" t="str">
        <f>IF(C3531="","",C3531&amp;I3531)</f>
        <v/>
      </c>
      <c r="T3531" t="str">
        <f>IF(OR(C3531="",I3531&lt;&gt;"ENTRADA"),"",TEXT(B3531,"AAMMDD")&amp;"-"&amp;TEXT(VALUE(SUBSTITUTE(A3531,"MOV-","")),"000"))</f>
        <v/>
      </c>
    </row>
    <row r="3532" spans="18:20">
      <c r="R3532" s="22" t="str">
        <f>IF(H3532="","",H3532&amp;I3532)</f>
        <v/>
      </c>
      <c r="S3532" s="22" t="str">
        <f>IF(C3532="","",C3532&amp;I3532)</f>
        <v/>
      </c>
      <c r="T3532" t="str">
        <f>IF(OR(C3532="",I3532&lt;&gt;"ENTRADA"),"",TEXT(B3532,"AAMMDD")&amp;"-"&amp;TEXT(VALUE(SUBSTITUTE(A3532,"MOV-","")),"000"))</f>
        <v/>
      </c>
    </row>
    <row r="3533" spans="18:20">
      <c r="R3533" s="22" t="str">
        <f>IF(H3533="","",H3533&amp;I3533)</f>
        <v/>
      </c>
      <c r="S3533" s="22" t="str">
        <f>IF(C3533="","",C3533&amp;I3533)</f>
        <v/>
      </c>
      <c r="T3533" t="str">
        <f>IF(OR(C3533="",I3533&lt;&gt;"ENTRADA"),"",TEXT(B3533,"AAMMDD")&amp;"-"&amp;TEXT(VALUE(SUBSTITUTE(A3533,"MOV-","")),"000"))</f>
        <v/>
      </c>
    </row>
    <row r="3534" spans="18:20">
      <c r="R3534" s="22" t="str">
        <f>IF(H3534="","",H3534&amp;I3534)</f>
        <v/>
      </c>
      <c r="S3534" s="22" t="str">
        <f>IF(C3534="","",C3534&amp;I3534)</f>
        <v/>
      </c>
      <c r="T3534" t="str">
        <f>IF(OR(C3534="",I3534&lt;&gt;"ENTRADA"),"",TEXT(B3534,"AAMMDD")&amp;"-"&amp;TEXT(VALUE(SUBSTITUTE(A3534,"MOV-","")),"000"))</f>
        <v/>
      </c>
    </row>
    <row r="3535" spans="18:20">
      <c r="R3535" s="22" t="str">
        <f>IF(H3535="","",H3535&amp;I3535)</f>
        <v/>
      </c>
      <c r="S3535" s="22" t="str">
        <f>IF(C3535="","",C3535&amp;I3535)</f>
        <v/>
      </c>
      <c r="T3535" t="str">
        <f>IF(OR(C3535="",I3535&lt;&gt;"ENTRADA"),"",TEXT(B3535,"AAMMDD")&amp;"-"&amp;TEXT(VALUE(SUBSTITUTE(A3535,"MOV-","")),"000"))</f>
        <v/>
      </c>
    </row>
    <row r="3536" spans="18:20">
      <c r="R3536" s="22" t="str">
        <f>IF(H3536="","",H3536&amp;I3536)</f>
        <v/>
      </c>
      <c r="S3536" s="22" t="str">
        <f>IF(C3536="","",C3536&amp;I3536)</f>
        <v/>
      </c>
      <c r="T3536" t="str">
        <f>IF(OR(C3536="",I3536&lt;&gt;"ENTRADA"),"",TEXT(B3536,"AAMMDD")&amp;"-"&amp;TEXT(VALUE(SUBSTITUTE(A3536,"MOV-","")),"000"))</f>
        <v/>
      </c>
    </row>
    <row r="3537" spans="18:20">
      <c r="R3537" s="22" t="str">
        <f>IF(H3537="","",H3537&amp;I3537)</f>
        <v/>
      </c>
      <c r="S3537" s="22" t="str">
        <f>IF(C3537="","",C3537&amp;I3537)</f>
        <v/>
      </c>
      <c r="T3537" t="str">
        <f>IF(OR(C3537="",I3537&lt;&gt;"ENTRADA"),"",TEXT(B3537,"AAMMDD")&amp;"-"&amp;TEXT(VALUE(SUBSTITUTE(A3537,"MOV-","")),"000"))</f>
        <v/>
      </c>
    </row>
    <row r="3538" spans="18:20">
      <c r="R3538" s="22" t="str">
        <f>IF(H3538="","",H3538&amp;I3538)</f>
        <v/>
      </c>
      <c r="S3538" s="22" t="str">
        <f>IF(C3538="","",C3538&amp;I3538)</f>
        <v/>
      </c>
      <c r="T3538" t="str">
        <f>IF(OR(C3538="",I3538&lt;&gt;"ENTRADA"),"",TEXT(B3538,"AAMMDD")&amp;"-"&amp;TEXT(VALUE(SUBSTITUTE(A3538,"MOV-","")),"000"))</f>
        <v/>
      </c>
    </row>
    <row r="3539" spans="18:20">
      <c r="R3539" s="22" t="str">
        <f>IF(H3539="","",H3539&amp;I3539)</f>
        <v/>
      </c>
      <c r="S3539" s="22" t="str">
        <f>IF(C3539="","",C3539&amp;I3539)</f>
        <v/>
      </c>
      <c r="T3539" t="str">
        <f>IF(OR(C3539="",I3539&lt;&gt;"ENTRADA"),"",TEXT(B3539,"AAMMDD")&amp;"-"&amp;TEXT(VALUE(SUBSTITUTE(A3539,"MOV-","")),"000"))</f>
        <v/>
      </c>
    </row>
    <row r="3540" spans="18:20">
      <c r="R3540" s="22" t="str">
        <f>IF(H3540="","",H3540&amp;I3540)</f>
        <v/>
      </c>
      <c r="S3540" s="22" t="str">
        <f>IF(C3540="","",C3540&amp;I3540)</f>
        <v/>
      </c>
      <c r="T3540" t="str">
        <f>IF(OR(C3540="",I3540&lt;&gt;"ENTRADA"),"",TEXT(B3540,"AAMMDD")&amp;"-"&amp;TEXT(VALUE(SUBSTITUTE(A3540,"MOV-","")),"000"))</f>
        <v/>
      </c>
    </row>
    <row r="3541" spans="18:20">
      <c r="R3541" s="22" t="str">
        <f>IF(H3541="","",H3541&amp;I3541)</f>
        <v/>
      </c>
      <c r="S3541" s="22" t="str">
        <f>IF(C3541="","",C3541&amp;I3541)</f>
        <v/>
      </c>
      <c r="T3541" t="str">
        <f>IF(OR(C3541="",I3541&lt;&gt;"ENTRADA"),"",TEXT(B3541,"AAMMDD")&amp;"-"&amp;TEXT(VALUE(SUBSTITUTE(A3541,"MOV-","")),"000"))</f>
        <v/>
      </c>
    </row>
    <row r="3542" spans="18:20">
      <c r="R3542" s="22" t="str">
        <f>IF(H3542="","",H3542&amp;I3542)</f>
        <v/>
      </c>
      <c r="S3542" s="22" t="str">
        <f>IF(C3542="","",C3542&amp;I3542)</f>
        <v/>
      </c>
      <c r="T3542" t="str">
        <f>IF(OR(C3542="",I3542&lt;&gt;"ENTRADA"),"",TEXT(B3542,"AAMMDD")&amp;"-"&amp;TEXT(VALUE(SUBSTITUTE(A3542,"MOV-","")),"000"))</f>
        <v/>
      </c>
    </row>
    <row r="3543" spans="18:20">
      <c r="R3543" s="22" t="str">
        <f>IF(H3543="","",H3543&amp;I3543)</f>
        <v/>
      </c>
      <c r="S3543" s="22" t="str">
        <f>IF(C3543="","",C3543&amp;I3543)</f>
        <v/>
      </c>
      <c r="T3543" t="str">
        <f>IF(OR(C3543="",I3543&lt;&gt;"ENTRADA"),"",TEXT(B3543,"AAMMDD")&amp;"-"&amp;TEXT(VALUE(SUBSTITUTE(A3543,"MOV-","")),"000"))</f>
        <v/>
      </c>
    </row>
    <row r="3544" spans="18:20">
      <c r="R3544" s="22" t="str">
        <f>IF(H3544="","",H3544&amp;I3544)</f>
        <v/>
      </c>
      <c r="S3544" s="22" t="str">
        <f>IF(C3544="","",C3544&amp;I3544)</f>
        <v/>
      </c>
      <c r="T3544" t="str">
        <f>IF(OR(C3544="",I3544&lt;&gt;"ENTRADA"),"",TEXT(B3544,"AAMMDD")&amp;"-"&amp;TEXT(VALUE(SUBSTITUTE(A3544,"MOV-","")),"000"))</f>
        <v/>
      </c>
    </row>
    <row r="3545" spans="18:20">
      <c r="R3545" s="22" t="str">
        <f>IF(H3545="","",H3545&amp;I3545)</f>
        <v/>
      </c>
      <c r="S3545" s="22" t="str">
        <f>IF(C3545="","",C3545&amp;I3545)</f>
        <v/>
      </c>
      <c r="T3545" t="str">
        <f>IF(OR(C3545="",I3545&lt;&gt;"ENTRADA"),"",TEXT(B3545,"AAMMDD")&amp;"-"&amp;TEXT(VALUE(SUBSTITUTE(A3545,"MOV-","")),"000"))</f>
        <v/>
      </c>
    </row>
    <row r="3546" spans="18:20">
      <c r="R3546" s="22" t="str">
        <f>IF(H3546="","",H3546&amp;I3546)</f>
        <v/>
      </c>
      <c r="S3546" s="22" t="str">
        <f>IF(C3546="","",C3546&amp;I3546)</f>
        <v/>
      </c>
      <c r="T3546" t="str">
        <f>IF(OR(C3546="",I3546&lt;&gt;"ENTRADA"),"",TEXT(B3546,"AAMMDD")&amp;"-"&amp;TEXT(VALUE(SUBSTITUTE(A3546,"MOV-","")),"000"))</f>
        <v/>
      </c>
    </row>
    <row r="3547" spans="18:20">
      <c r="R3547" s="22" t="str">
        <f>IF(H3547="","",H3547&amp;I3547)</f>
        <v/>
      </c>
      <c r="S3547" s="22" t="str">
        <f>IF(C3547="","",C3547&amp;I3547)</f>
        <v/>
      </c>
      <c r="T3547" t="str">
        <f>IF(OR(C3547="",I3547&lt;&gt;"ENTRADA"),"",TEXT(B3547,"AAMMDD")&amp;"-"&amp;TEXT(VALUE(SUBSTITUTE(A3547,"MOV-","")),"000"))</f>
        <v/>
      </c>
    </row>
    <row r="3548" spans="18:20">
      <c r="R3548" s="22" t="str">
        <f>IF(H3548="","",H3548&amp;I3548)</f>
        <v/>
      </c>
      <c r="S3548" s="22" t="str">
        <f>IF(C3548="","",C3548&amp;I3548)</f>
        <v/>
      </c>
      <c r="T3548" t="str">
        <f>IF(OR(C3548="",I3548&lt;&gt;"ENTRADA"),"",TEXT(B3548,"AAMMDD")&amp;"-"&amp;TEXT(VALUE(SUBSTITUTE(A3548,"MOV-","")),"000"))</f>
        <v/>
      </c>
    </row>
    <row r="3549" spans="18:20">
      <c r="R3549" s="22" t="str">
        <f>IF(H3549="","",H3549&amp;I3549)</f>
        <v/>
      </c>
      <c r="S3549" s="22" t="str">
        <f>IF(C3549="","",C3549&amp;I3549)</f>
        <v/>
      </c>
      <c r="T3549" t="str">
        <f>IF(OR(C3549="",I3549&lt;&gt;"ENTRADA"),"",TEXT(B3549,"AAMMDD")&amp;"-"&amp;TEXT(VALUE(SUBSTITUTE(A3549,"MOV-","")),"000"))</f>
        <v/>
      </c>
    </row>
    <row r="3550" spans="18:20">
      <c r="R3550" s="22" t="str">
        <f>IF(H3550="","",H3550&amp;I3550)</f>
        <v/>
      </c>
      <c r="S3550" s="22" t="str">
        <f>IF(C3550="","",C3550&amp;I3550)</f>
        <v/>
      </c>
      <c r="T3550" t="str">
        <f>IF(OR(C3550="",I3550&lt;&gt;"ENTRADA"),"",TEXT(B3550,"AAMMDD")&amp;"-"&amp;TEXT(VALUE(SUBSTITUTE(A3550,"MOV-","")),"000"))</f>
        <v/>
      </c>
    </row>
    <row r="3551" spans="18:20">
      <c r="R3551" s="22" t="str">
        <f>IF(H3551="","",H3551&amp;I3551)</f>
        <v/>
      </c>
      <c r="S3551" s="22" t="str">
        <f>IF(C3551="","",C3551&amp;I3551)</f>
        <v/>
      </c>
      <c r="T3551" t="str">
        <f>IF(OR(C3551="",I3551&lt;&gt;"ENTRADA"),"",TEXT(B3551,"AAMMDD")&amp;"-"&amp;TEXT(VALUE(SUBSTITUTE(A3551,"MOV-","")),"000"))</f>
        <v/>
      </c>
    </row>
    <row r="3552" spans="18:20">
      <c r="R3552" s="22" t="str">
        <f>IF(H3552="","",H3552&amp;I3552)</f>
        <v/>
      </c>
      <c r="S3552" s="22" t="str">
        <f>IF(C3552="","",C3552&amp;I3552)</f>
        <v/>
      </c>
      <c r="T3552" t="str">
        <f>IF(OR(C3552="",I3552&lt;&gt;"ENTRADA"),"",TEXT(B3552,"AAMMDD")&amp;"-"&amp;TEXT(VALUE(SUBSTITUTE(A3552,"MOV-","")),"000"))</f>
        <v/>
      </c>
    </row>
    <row r="3553" spans="18:20">
      <c r="R3553" s="22" t="str">
        <f>IF(H3553="","",H3553&amp;I3553)</f>
        <v/>
      </c>
      <c r="S3553" s="22" t="str">
        <f>IF(C3553="","",C3553&amp;I3553)</f>
        <v/>
      </c>
      <c r="T3553" t="str">
        <f>IF(OR(C3553="",I3553&lt;&gt;"ENTRADA"),"",TEXT(B3553,"AAMMDD")&amp;"-"&amp;TEXT(VALUE(SUBSTITUTE(A3553,"MOV-","")),"000"))</f>
        <v/>
      </c>
    </row>
    <row r="3554" spans="18:20">
      <c r="R3554" s="22" t="str">
        <f>IF(H3554="","",H3554&amp;I3554)</f>
        <v/>
      </c>
      <c r="S3554" s="22" t="str">
        <f>IF(C3554="","",C3554&amp;I3554)</f>
        <v/>
      </c>
      <c r="T3554" t="str">
        <f>IF(OR(C3554="",I3554&lt;&gt;"ENTRADA"),"",TEXT(B3554,"AAMMDD")&amp;"-"&amp;TEXT(VALUE(SUBSTITUTE(A3554,"MOV-","")),"000"))</f>
        <v/>
      </c>
    </row>
    <row r="3555" spans="18:20">
      <c r="R3555" s="22" t="str">
        <f>IF(H3555="","",H3555&amp;I3555)</f>
        <v/>
      </c>
      <c r="S3555" s="22" t="str">
        <f>IF(C3555="","",C3555&amp;I3555)</f>
        <v/>
      </c>
      <c r="T3555" t="str">
        <f>IF(OR(C3555="",I3555&lt;&gt;"ENTRADA"),"",TEXT(B3555,"AAMMDD")&amp;"-"&amp;TEXT(VALUE(SUBSTITUTE(A3555,"MOV-","")),"000"))</f>
        <v/>
      </c>
    </row>
    <row r="3556" spans="18:20">
      <c r="R3556" s="22" t="str">
        <f>IF(H3556="","",H3556&amp;I3556)</f>
        <v/>
      </c>
      <c r="S3556" s="22" t="str">
        <f>IF(C3556="","",C3556&amp;I3556)</f>
        <v/>
      </c>
      <c r="T3556" t="str">
        <f>IF(OR(C3556="",I3556&lt;&gt;"ENTRADA"),"",TEXT(B3556,"AAMMDD")&amp;"-"&amp;TEXT(VALUE(SUBSTITUTE(A3556,"MOV-","")),"000"))</f>
        <v/>
      </c>
    </row>
    <row r="3557" spans="18:20">
      <c r="R3557" s="22" t="str">
        <f>IF(H3557="","",H3557&amp;I3557)</f>
        <v/>
      </c>
      <c r="S3557" s="22" t="str">
        <f>IF(C3557="","",C3557&amp;I3557)</f>
        <v/>
      </c>
      <c r="T3557" t="str">
        <f>IF(OR(C3557="",I3557&lt;&gt;"ENTRADA"),"",TEXT(B3557,"AAMMDD")&amp;"-"&amp;TEXT(VALUE(SUBSTITUTE(A3557,"MOV-","")),"000"))</f>
        <v/>
      </c>
    </row>
    <row r="3558" spans="18:20">
      <c r="R3558" s="22" t="str">
        <f>IF(H3558="","",H3558&amp;I3558)</f>
        <v/>
      </c>
      <c r="S3558" s="22" t="str">
        <f>IF(C3558="","",C3558&amp;I3558)</f>
        <v/>
      </c>
      <c r="T3558" t="str">
        <f>IF(OR(C3558="",I3558&lt;&gt;"ENTRADA"),"",TEXT(B3558,"AAMMDD")&amp;"-"&amp;TEXT(VALUE(SUBSTITUTE(A3558,"MOV-","")),"000"))</f>
        <v/>
      </c>
    </row>
    <row r="3559" spans="18:20">
      <c r="R3559" s="22" t="str">
        <f>IF(H3559="","",H3559&amp;I3559)</f>
        <v/>
      </c>
      <c r="S3559" s="22" t="str">
        <f>IF(C3559="","",C3559&amp;I3559)</f>
        <v/>
      </c>
      <c r="T3559" t="str">
        <f>IF(OR(C3559="",I3559&lt;&gt;"ENTRADA"),"",TEXT(B3559,"AAMMDD")&amp;"-"&amp;TEXT(VALUE(SUBSTITUTE(A3559,"MOV-","")),"000"))</f>
        <v/>
      </c>
    </row>
    <row r="3560" spans="18:20">
      <c r="R3560" s="22" t="str">
        <f>IF(H3560="","",H3560&amp;I3560)</f>
        <v/>
      </c>
      <c r="S3560" s="22" t="str">
        <f>IF(C3560="","",C3560&amp;I3560)</f>
        <v/>
      </c>
      <c r="T3560" t="str">
        <f>IF(OR(C3560="",I3560&lt;&gt;"ENTRADA"),"",TEXT(B3560,"AAMMDD")&amp;"-"&amp;TEXT(VALUE(SUBSTITUTE(A3560,"MOV-","")),"000"))</f>
        <v/>
      </c>
    </row>
    <row r="3561" spans="18:20">
      <c r="R3561" s="22" t="str">
        <f>IF(H3561="","",H3561&amp;I3561)</f>
        <v/>
      </c>
      <c r="S3561" s="22" t="str">
        <f>IF(C3561="","",C3561&amp;I3561)</f>
        <v/>
      </c>
      <c r="T3561" t="str">
        <f>IF(OR(C3561="",I3561&lt;&gt;"ENTRADA"),"",TEXT(B3561,"AAMMDD")&amp;"-"&amp;TEXT(VALUE(SUBSTITUTE(A3561,"MOV-","")),"000"))</f>
        <v/>
      </c>
    </row>
    <row r="3562" spans="18:20">
      <c r="R3562" s="22" t="str">
        <f>IF(H3562="","",H3562&amp;I3562)</f>
        <v/>
      </c>
      <c r="S3562" s="22" t="str">
        <f>IF(C3562="","",C3562&amp;I3562)</f>
        <v/>
      </c>
      <c r="T3562" t="str">
        <f>IF(OR(C3562="",I3562&lt;&gt;"ENTRADA"),"",TEXT(B3562,"AAMMDD")&amp;"-"&amp;TEXT(VALUE(SUBSTITUTE(A3562,"MOV-","")),"000"))</f>
        <v/>
      </c>
    </row>
    <row r="3563" spans="18:20">
      <c r="R3563" s="22" t="str">
        <f>IF(H3563="","",H3563&amp;I3563)</f>
        <v/>
      </c>
      <c r="S3563" s="22" t="str">
        <f>IF(C3563="","",C3563&amp;I3563)</f>
        <v/>
      </c>
      <c r="T3563" t="str">
        <f>IF(OR(C3563="",I3563&lt;&gt;"ENTRADA"),"",TEXT(B3563,"AAMMDD")&amp;"-"&amp;TEXT(VALUE(SUBSTITUTE(A3563,"MOV-","")),"000"))</f>
        <v/>
      </c>
    </row>
    <row r="3564" spans="18:20">
      <c r="R3564" s="22" t="str">
        <f>IF(H3564="","",H3564&amp;I3564)</f>
        <v/>
      </c>
      <c r="S3564" s="22" t="str">
        <f>IF(C3564="","",C3564&amp;I3564)</f>
        <v/>
      </c>
      <c r="T3564" t="str">
        <f>IF(OR(C3564="",I3564&lt;&gt;"ENTRADA"),"",TEXT(B3564,"AAMMDD")&amp;"-"&amp;TEXT(VALUE(SUBSTITUTE(A3564,"MOV-","")),"000"))</f>
        <v/>
      </c>
    </row>
    <row r="3565" spans="18:20">
      <c r="R3565" s="22" t="str">
        <f>IF(H3565="","",H3565&amp;I3565)</f>
        <v/>
      </c>
      <c r="S3565" s="22" t="str">
        <f>IF(C3565="","",C3565&amp;I3565)</f>
        <v/>
      </c>
      <c r="T3565" t="str">
        <f>IF(OR(C3565="",I3565&lt;&gt;"ENTRADA"),"",TEXT(B3565,"AAMMDD")&amp;"-"&amp;TEXT(VALUE(SUBSTITUTE(A3565,"MOV-","")),"000"))</f>
        <v/>
      </c>
    </row>
    <row r="3566" spans="18:20">
      <c r="R3566" s="22" t="str">
        <f>IF(H3566="","",H3566&amp;I3566)</f>
        <v/>
      </c>
      <c r="S3566" s="22" t="str">
        <f>IF(C3566="","",C3566&amp;I3566)</f>
        <v/>
      </c>
      <c r="T3566" t="str">
        <f>IF(OR(C3566="",I3566&lt;&gt;"ENTRADA"),"",TEXT(B3566,"AAMMDD")&amp;"-"&amp;TEXT(VALUE(SUBSTITUTE(A3566,"MOV-","")),"000"))</f>
        <v/>
      </c>
    </row>
    <row r="3567" spans="18:20">
      <c r="R3567" s="22" t="str">
        <f>IF(H3567="","",H3567&amp;I3567)</f>
        <v/>
      </c>
      <c r="S3567" s="22" t="str">
        <f>IF(C3567="","",C3567&amp;I3567)</f>
        <v/>
      </c>
      <c r="T3567" t="str">
        <f>IF(OR(C3567="",I3567&lt;&gt;"ENTRADA"),"",TEXT(B3567,"AAMMDD")&amp;"-"&amp;TEXT(VALUE(SUBSTITUTE(A3567,"MOV-","")),"000"))</f>
        <v/>
      </c>
    </row>
    <row r="3568" spans="18:20">
      <c r="R3568" s="22" t="str">
        <f>IF(H3568="","",H3568&amp;I3568)</f>
        <v/>
      </c>
      <c r="S3568" s="22" t="str">
        <f>IF(C3568="","",C3568&amp;I3568)</f>
        <v/>
      </c>
      <c r="T3568" t="str">
        <f>IF(OR(C3568="",I3568&lt;&gt;"ENTRADA"),"",TEXT(B3568,"AAMMDD")&amp;"-"&amp;TEXT(VALUE(SUBSTITUTE(A3568,"MOV-","")),"000"))</f>
        <v/>
      </c>
    </row>
    <row r="3569" spans="18:20">
      <c r="R3569" s="22" t="str">
        <f>IF(H3569="","",H3569&amp;I3569)</f>
        <v/>
      </c>
      <c r="S3569" s="22" t="str">
        <f>IF(C3569="","",C3569&amp;I3569)</f>
        <v/>
      </c>
      <c r="T3569" t="str">
        <f>IF(OR(C3569="",I3569&lt;&gt;"ENTRADA"),"",TEXT(B3569,"AAMMDD")&amp;"-"&amp;TEXT(VALUE(SUBSTITUTE(A3569,"MOV-","")),"000"))</f>
        <v/>
      </c>
    </row>
    <row r="3570" spans="18:20">
      <c r="R3570" s="22" t="str">
        <f>IF(H3570="","",H3570&amp;I3570)</f>
        <v/>
      </c>
      <c r="S3570" s="22" t="str">
        <f>IF(C3570="","",C3570&amp;I3570)</f>
        <v/>
      </c>
      <c r="T3570" t="str">
        <f>IF(OR(C3570="",I3570&lt;&gt;"ENTRADA"),"",TEXT(B3570,"AAMMDD")&amp;"-"&amp;TEXT(VALUE(SUBSTITUTE(A3570,"MOV-","")),"000"))</f>
        <v/>
      </c>
    </row>
    <row r="3571" spans="18:20">
      <c r="R3571" s="22" t="str">
        <f>IF(H3571="","",H3571&amp;I3571)</f>
        <v/>
      </c>
      <c r="S3571" s="22" t="str">
        <f>IF(C3571="","",C3571&amp;I3571)</f>
        <v/>
      </c>
      <c r="T3571" t="str">
        <f>IF(OR(C3571="",I3571&lt;&gt;"ENTRADA"),"",TEXT(B3571,"AAMMDD")&amp;"-"&amp;TEXT(VALUE(SUBSTITUTE(A3571,"MOV-","")),"000"))</f>
        <v/>
      </c>
    </row>
    <row r="3572" spans="18:20">
      <c r="R3572" s="22" t="str">
        <f>IF(H3572="","",H3572&amp;I3572)</f>
        <v/>
      </c>
      <c r="S3572" s="22" t="str">
        <f>IF(C3572="","",C3572&amp;I3572)</f>
        <v/>
      </c>
      <c r="T3572" t="str">
        <f>IF(OR(C3572="",I3572&lt;&gt;"ENTRADA"),"",TEXT(B3572,"AAMMDD")&amp;"-"&amp;TEXT(VALUE(SUBSTITUTE(A3572,"MOV-","")),"000"))</f>
        <v/>
      </c>
    </row>
    <row r="3573" spans="18:20">
      <c r="R3573" s="22" t="str">
        <f>IF(H3573="","",H3573&amp;I3573)</f>
        <v/>
      </c>
      <c r="S3573" s="22" t="str">
        <f>IF(C3573="","",C3573&amp;I3573)</f>
        <v/>
      </c>
      <c r="T3573" t="str">
        <f>IF(OR(C3573="",I3573&lt;&gt;"ENTRADA"),"",TEXT(B3573,"AAMMDD")&amp;"-"&amp;TEXT(VALUE(SUBSTITUTE(A3573,"MOV-","")),"000"))</f>
        <v/>
      </c>
    </row>
    <row r="3574" spans="18:20">
      <c r="R3574" s="22" t="str">
        <f>IF(H3574="","",H3574&amp;I3574)</f>
        <v/>
      </c>
      <c r="S3574" s="22" t="str">
        <f>IF(C3574="","",C3574&amp;I3574)</f>
        <v/>
      </c>
      <c r="T3574" t="str">
        <f>IF(OR(C3574="",I3574&lt;&gt;"ENTRADA"),"",TEXT(B3574,"AAMMDD")&amp;"-"&amp;TEXT(VALUE(SUBSTITUTE(A3574,"MOV-","")),"000"))</f>
        <v/>
      </c>
    </row>
    <row r="3575" spans="18:20">
      <c r="R3575" s="22" t="str">
        <f>IF(H3575="","",H3575&amp;I3575)</f>
        <v/>
      </c>
      <c r="S3575" s="22" t="str">
        <f>IF(C3575="","",C3575&amp;I3575)</f>
        <v/>
      </c>
      <c r="T3575" t="str">
        <f>IF(OR(C3575="",I3575&lt;&gt;"ENTRADA"),"",TEXT(B3575,"AAMMDD")&amp;"-"&amp;TEXT(VALUE(SUBSTITUTE(A3575,"MOV-","")),"000"))</f>
        <v/>
      </c>
    </row>
    <row r="3576" spans="18:20">
      <c r="R3576" s="22" t="str">
        <f>IF(H3576="","",H3576&amp;I3576)</f>
        <v/>
      </c>
      <c r="S3576" s="22" t="str">
        <f>IF(C3576="","",C3576&amp;I3576)</f>
        <v/>
      </c>
      <c r="T3576" t="str">
        <f>IF(OR(C3576="",I3576&lt;&gt;"ENTRADA"),"",TEXT(B3576,"AAMMDD")&amp;"-"&amp;TEXT(VALUE(SUBSTITUTE(A3576,"MOV-","")),"000"))</f>
        <v/>
      </c>
    </row>
    <row r="3577" spans="18:20">
      <c r="R3577" s="22" t="str">
        <f>IF(H3577="","",H3577&amp;I3577)</f>
        <v/>
      </c>
      <c r="S3577" s="22" t="str">
        <f>IF(C3577="","",C3577&amp;I3577)</f>
        <v/>
      </c>
      <c r="T3577" t="str">
        <f>IF(OR(C3577="",I3577&lt;&gt;"ENTRADA"),"",TEXT(B3577,"AAMMDD")&amp;"-"&amp;TEXT(VALUE(SUBSTITUTE(A3577,"MOV-","")),"000"))</f>
        <v/>
      </c>
    </row>
    <row r="3578" spans="18:20">
      <c r="R3578" s="22" t="str">
        <f>IF(H3578="","",H3578&amp;I3578)</f>
        <v/>
      </c>
      <c r="S3578" s="22" t="str">
        <f>IF(C3578="","",C3578&amp;I3578)</f>
        <v/>
      </c>
      <c r="T3578" t="str">
        <f>IF(OR(C3578="",I3578&lt;&gt;"ENTRADA"),"",TEXT(B3578,"AAMMDD")&amp;"-"&amp;TEXT(VALUE(SUBSTITUTE(A3578,"MOV-","")),"000"))</f>
        <v/>
      </c>
    </row>
    <row r="3579" spans="18:20">
      <c r="R3579" s="22" t="str">
        <f>IF(H3579="","",H3579&amp;I3579)</f>
        <v/>
      </c>
      <c r="S3579" s="22" t="str">
        <f>IF(C3579="","",C3579&amp;I3579)</f>
        <v/>
      </c>
      <c r="T3579" t="str">
        <f>IF(OR(C3579="",I3579&lt;&gt;"ENTRADA"),"",TEXT(B3579,"AAMMDD")&amp;"-"&amp;TEXT(VALUE(SUBSTITUTE(A3579,"MOV-","")),"000"))</f>
        <v/>
      </c>
    </row>
    <row r="3580" spans="18:20">
      <c r="R3580" s="22" t="str">
        <f>IF(H3580="","",H3580&amp;I3580)</f>
        <v/>
      </c>
      <c r="S3580" s="22" t="str">
        <f>IF(C3580="","",C3580&amp;I3580)</f>
        <v/>
      </c>
      <c r="T3580" t="str">
        <f>IF(OR(C3580="",I3580&lt;&gt;"ENTRADA"),"",TEXT(B3580,"AAMMDD")&amp;"-"&amp;TEXT(VALUE(SUBSTITUTE(A3580,"MOV-","")),"000"))</f>
        <v/>
      </c>
    </row>
    <row r="3581" spans="18:20">
      <c r="R3581" s="22" t="str">
        <f>IF(H3581="","",H3581&amp;I3581)</f>
        <v/>
      </c>
      <c r="S3581" s="22" t="str">
        <f>IF(C3581="","",C3581&amp;I3581)</f>
        <v/>
      </c>
      <c r="T3581" t="str">
        <f>IF(OR(C3581="",I3581&lt;&gt;"ENTRADA"),"",TEXT(B3581,"AAMMDD")&amp;"-"&amp;TEXT(VALUE(SUBSTITUTE(A3581,"MOV-","")),"000"))</f>
        <v/>
      </c>
    </row>
    <row r="3582" spans="18:20">
      <c r="R3582" s="22" t="str">
        <f>IF(H3582="","",H3582&amp;I3582)</f>
        <v/>
      </c>
      <c r="S3582" s="22" t="str">
        <f>IF(C3582="","",C3582&amp;I3582)</f>
        <v/>
      </c>
      <c r="T3582" t="str">
        <f>IF(OR(C3582="",I3582&lt;&gt;"ENTRADA"),"",TEXT(B3582,"AAMMDD")&amp;"-"&amp;TEXT(VALUE(SUBSTITUTE(A3582,"MOV-","")),"000"))</f>
        <v/>
      </c>
    </row>
    <row r="3583" spans="18:20">
      <c r="R3583" s="22" t="str">
        <f>IF(H3583="","",H3583&amp;I3583)</f>
        <v/>
      </c>
      <c r="S3583" s="22" t="str">
        <f>IF(C3583="","",C3583&amp;I3583)</f>
        <v/>
      </c>
      <c r="T3583" t="str">
        <f>IF(OR(C3583="",I3583&lt;&gt;"ENTRADA"),"",TEXT(B3583,"AAMMDD")&amp;"-"&amp;TEXT(VALUE(SUBSTITUTE(A3583,"MOV-","")),"000"))</f>
        <v/>
      </c>
    </row>
    <row r="3584" spans="18:20">
      <c r="R3584" s="22" t="str">
        <f>IF(H3584="","",H3584&amp;I3584)</f>
        <v/>
      </c>
      <c r="S3584" s="22" t="str">
        <f>IF(C3584="","",C3584&amp;I3584)</f>
        <v/>
      </c>
      <c r="T3584" t="str">
        <f>IF(OR(C3584="",I3584&lt;&gt;"ENTRADA"),"",TEXT(B3584,"AAMMDD")&amp;"-"&amp;TEXT(VALUE(SUBSTITUTE(A3584,"MOV-","")),"000"))</f>
        <v/>
      </c>
    </row>
    <row r="3585" spans="18:20">
      <c r="R3585" s="22" t="str">
        <f>IF(H3585="","",H3585&amp;I3585)</f>
        <v/>
      </c>
      <c r="S3585" s="22" t="str">
        <f>IF(C3585="","",C3585&amp;I3585)</f>
        <v/>
      </c>
      <c r="T3585" t="str">
        <f>IF(OR(C3585="",I3585&lt;&gt;"ENTRADA"),"",TEXT(B3585,"AAMMDD")&amp;"-"&amp;TEXT(VALUE(SUBSTITUTE(A3585,"MOV-","")),"000"))</f>
        <v/>
      </c>
    </row>
    <row r="3586" spans="18:20">
      <c r="R3586" s="22" t="str">
        <f>IF(H3586="","",H3586&amp;I3586)</f>
        <v/>
      </c>
      <c r="S3586" s="22" t="str">
        <f>IF(C3586="","",C3586&amp;I3586)</f>
        <v/>
      </c>
      <c r="T3586" t="str">
        <f>IF(OR(C3586="",I3586&lt;&gt;"ENTRADA"),"",TEXT(B3586,"AAMMDD")&amp;"-"&amp;TEXT(VALUE(SUBSTITUTE(A3586,"MOV-","")),"000"))</f>
        <v/>
      </c>
    </row>
    <row r="3587" spans="18:20">
      <c r="R3587" s="22" t="str">
        <f>IF(H3587="","",H3587&amp;I3587)</f>
        <v/>
      </c>
      <c r="S3587" s="22" t="str">
        <f>IF(C3587="","",C3587&amp;I3587)</f>
        <v/>
      </c>
      <c r="T3587" t="str">
        <f>IF(OR(C3587="",I3587&lt;&gt;"ENTRADA"),"",TEXT(B3587,"AAMMDD")&amp;"-"&amp;TEXT(VALUE(SUBSTITUTE(A3587,"MOV-","")),"000"))</f>
        <v/>
      </c>
    </row>
    <row r="3588" spans="18:20">
      <c r="R3588" s="22" t="str">
        <f>IF(H3588="","",H3588&amp;I3588)</f>
        <v/>
      </c>
      <c r="S3588" s="22" t="str">
        <f>IF(C3588="","",C3588&amp;I3588)</f>
        <v/>
      </c>
      <c r="T3588" t="str">
        <f>IF(OR(C3588="",I3588&lt;&gt;"ENTRADA"),"",TEXT(B3588,"AAMMDD")&amp;"-"&amp;TEXT(VALUE(SUBSTITUTE(A3588,"MOV-","")),"000"))</f>
        <v/>
      </c>
    </row>
    <row r="3589" spans="18:20">
      <c r="R3589" s="22" t="str">
        <f>IF(H3589="","",H3589&amp;I3589)</f>
        <v/>
      </c>
      <c r="S3589" s="22" t="str">
        <f>IF(C3589="","",C3589&amp;I3589)</f>
        <v/>
      </c>
      <c r="T3589" t="str">
        <f>IF(OR(C3589="",I3589&lt;&gt;"ENTRADA"),"",TEXT(B3589,"AAMMDD")&amp;"-"&amp;TEXT(VALUE(SUBSTITUTE(A3589,"MOV-","")),"000"))</f>
        <v/>
      </c>
    </row>
    <row r="3590" spans="18:20">
      <c r="R3590" s="22" t="str">
        <f>IF(H3590="","",H3590&amp;I3590)</f>
        <v/>
      </c>
      <c r="S3590" s="22" t="str">
        <f>IF(C3590="","",C3590&amp;I3590)</f>
        <v/>
      </c>
      <c r="T3590" t="str">
        <f>IF(OR(C3590="",I3590&lt;&gt;"ENTRADA"),"",TEXT(B3590,"AAMMDD")&amp;"-"&amp;TEXT(VALUE(SUBSTITUTE(A3590,"MOV-","")),"000"))</f>
        <v/>
      </c>
    </row>
    <row r="3591" spans="18:20">
      <c r="R3591" s="22" t="str">
        <f>IF(H3591="","",H3591&amp;I3591)</f>
        <v/>
      </c>
      <c r="S3591" s="22" t="str">
        <f>IF(C3591="","",C3591&amp;I3591)</f>
        <v/>
      </c>
      <c r="T3591" t="str">
        <f>IF(OR(C3591="",I3591&lt;&gt;"ENTRADA"),"",TEXT(B3591,"AAMMDD")&amp;"-"&amp;TEXT(VALUE(SUBSTITUTE(A3591,"MOV-","")),"000"))</f>
        <v/>
      </c>
    </row>
    <row r="3592" spans="18:20">
      <c r="R3592" s="22" t="str">
        <f>IF(H3592="","",H3592&amp;I3592)</f>
        <v/>
      </c>
      <c r="S3592" s="22" t="str">
        <f>IF(C3592="","",C3592&amp;I3592)</f>
        <v/>
      </c>
      <c r="T3592" t="str">
        <f>IF(OR(C3592="",I3592&lt;&gt;"ENTRADA"),"",TEXT(B3592,"AAMMDD")&amp;"-"&amp;TEXT(VALUE(SUBSTITUTE(A3592,"MOV-","")),"000"))</f>
        <v/>
      </c>
    </row>
    <row r="3593" spans="18:20">
      <c r="R3593" s="22" t="str">
        <f>IF(H3593="","",H3593&amp;I3593)</f>
        <v/>
      </c>
      <c r="S3593" s="22" t="str">
        <f>IF(C3593="","",C3593&amp;I3593)</f>
        <v/>
      </c>
      <c r="T3593" t="str">
        <f>IF(OR(C3593="",I3593&lt;&gt;"ENTRADA"),"",TEXT(B3593,"AAMMDD")&amp;"-"&amp;TEXT(VALUE(SUBSTITUTE(A3593,"MOV-","")),"000"))</f>
        <v/>
      </c>
    </row>
    <row r="3594" spans="18:20">
      <c r="R3594" s="22" t="str">
        <f>IF(H3594="","",H3594&amp;I3594)</f>
        <v/>
      </c>
      <c r="S3594" s="22" t="str">
        <f>IF(C3594="","",C3594&amp;I3594)</f>
        <v/>
      </c>
      <c r="T3594" t="str">
        <f>IF(OR(C3594="",I3594&lt;&gt;"ENTRADA"),"",TEXT(B3594,"AAMMDD")&amp;"-"&amp;TEXT(VALUE(SUBSTITUTE(A3594,"MOV-","")),"000"))</f>
        <v/>
      </c>
    </row>
    <row r="3595" spans="18:20">
      <c r="R3595" s="22" t="str">
        <f>IF(H3595="","",H3595&amp;I3595)</f>
        <v/>
      </c>
      <c r="S3595" s="22" t="str">
        <f>IF(C3595="","",C3595&amp;I3595)</f>
        <v/>
      </c>
      <c r="T3595" t="str">
        <f>IF(OR(C3595="",I3595&lt;&gt;"ENTRADA"),"",TEXT(B3595,"AAMMDD")&amp;"-"&amp;TEXT(VALUE(SUBSTITUTE(A3595,"MOV-","")),"000"))</f>
        <v/>
      </c>
    </row>
    <row r="3596" spans="18:20">
      <c r="R3596" s="22" t="str">
        <f>IF(H3596="","",H3596&amp;I3596)</f>
        <v/>
      </c>
      <c r="S3596" s="22" t="str">
        <f>IF(C3596="","",C3596&amp;I3596)</f>
        <v/>
      </c>
      <c r="T3596" t="str">
        <f>IF(OR(C3596="",I3596&lt;&gt;"ENTRADA"),"",TEXT(B3596,"AAMMDD")&amp;"-"&amp;TEXT(VALUE(SUBSTITUTE(A3596,"MOV-","")),"000"))</f>
        <v/>
      </c>
    </row>
    <row r="3597" spans="18:20">
      <c r="R3597" s="22" t="str">
        <f>IF(H3597="","",H3597&amp;I3597)</f>
        <v/>
      </c>
      <c r="S3597" s="22" t="str">
        <f>IF(C3597="","",C3597&amp;I3597)</f>
        <v/>
      </c>
      <c r="T3597" t="str">
        <f>IF(OR(C3597="",I3597&lt;&gt;"ENTRADA"),"",TEXT(B3597,"AAMMDD")&amp;"-"&amp;TEXT(VALUE(SUBSTITUTE(A3597,"MOV-","")),"000"))</f>
        <v/>
      </c>
    </row>
    <row r="3598" spans="18:20">
      <c r="R3598" s="22" t="str">
        <f>IF(H3598="","",H3598&amp;I3598)</f>
        <v/>
      </c>
      <c r="S3598" s="22" t="str">
        <f>IF(C3598="","",C3598&amp;I3598)</f>
        <v/>
      </c>
      <c r="T3598" t="str">
        <f>IF(OR(C3598="",I3598&lt;&gt;"ENTRADA"),"",TEXT(B3598,"AAMMDD")&amp;"-"&amp;TEXT(VALUE(SUBSTITUTE(A3598,"MOV-","")),"000"))</f>
        <v/>
      </c>
    </row>
    <row r="3599" spans="18:20">
      <c r="R3599" s="22" t="str">
        <f>IF(H3599="","",H3599&amp;I3599)</f>
        <v/>
      </c>
      <c r="S3599" s="22" t="str">
        <f>IF(C3599="","",C3599&amp;I3599)</f>
        <v/>
      </c>
      <c r="T3599" t="str">
        <f>IF(OR(C3599="",I3599&lt;&gt;"ENTRADA"),"",TEXT(B3599,"AAMMDD")&amp;"-"&amp;TEXT(VALUE(SUBSTITUTE(A3599,"MOV-","")),"000"))</f>
        <v/>
      </c>
    </row>
    <row r="3600" spans="18:20">
      <c r="R3600" s="22" t="str">
        <f>IF(H3600="","",H3600&amp;I3600)</f>
        <v/>
      </c>
      <c r="S3600" s="22" t="str">
        <f>IF(C3600="","",C3600&amp;I3600)</f>
        <v/>
      </c>
      <c r="T3600" t="str">
        <f>IF(OR(C3600="",I3600&lt;&gt;"ENTRADA"),"",TEXT(B3600,"AAMMDD")&amp;"-"&amp;TEXT(VALUE(SUBSTITUTE(A3600,"MOV-","")),"000"))</f>
        <v/>
      </c>
    </row>
    <row r="3601" spans="18:20">
      <c r="R3601" s="22" t="str">
        <f>IF(H3601="","",H3601&amp;I3601)</f>
        <v/>
      </c>
      <c r="S3601" s="22" t="str">
        <f>IF(C3601="","",C3601&amp;I3601)</f>
        <v/>
      </c>
      <c r="T3601" t="str">
        <f>IF(OR(C3601="",I3601&lt;&gt;"ENTRADA"),"",TEXT(B3601,"AAMMDD")&amp;"-"&amp;TEXT(VALUE(SUBSTITUTE(A3601,"MOV-","")),"000"))</f>
        <v/>
      </c>
    </row>
    <row r="3602" spans="18:20">
      <c r="R3602" s="22" t="str">
        <f>IF(H3602="","",H3602&amp;I3602)</f>
        <v/>
      </c>
      <c r="S3602" s="22" t="str">
        <f>IF(C3602="","",C3602&amp;I3602)</f>
        <v/>
      </c>
      <c r="T3602" t="str">
        <f>IF(OR(C3602="",I3602&lt;&gt;"ENTRADA"),"",TEXT(B3602,"AAMMDD")&amp;"-"&amp;TEXT(VALUE(SUBSTITUTE(A3602,"MOV-","")),"000"))</f>
        <v/>
      </c>
    </row>
    <row r="3603" spans="18:20">
      <c r="R3603" s="22" t="str">
        <f>IF(H3603="","",H3603&amp;I3603)</f>
        <v/>
      </c>
      <c r="S3603" s="22" t="str">
        <f>IF(C3603="","",C3603&amp;I3603)</f>
        <v/>
      </c>
      <c r="T3603" t="str">
        <f>IF(OR(C3603="",I3603&lt;&gt;"ENTRADA"),"",TEXT(B3603,"AAMMDD")&amp;"-"&amp;TEXT(VALUE(SUBSTITUTE(A3603,"MOV-","")),"000"))</f>
        <v/>
      </c>
    </row>
    <row r="3604" spans="18:20">
      <c r="R3604" s="22" t="str">
        <f>IF(H3604="","",H3604&amp;I3604)</f>
        <v/>
      </c>
      <c r="S3604" s="22" t="str">
        <f>IF(C3604="","",C3604&amp;I3604)</f>
        <v/>
      </c>
      <c r="T3604" t="str">
        <f>IF(OR(C3604="",I3604&lt;&gt;"ENTRADA"),"",TEXT(B3604,"AAMMDD")&amp;"-"&amp;TEXT(VALUE(SUBSTITUTE(A3604,"MOV-","")),"000"))</f>
        <v/>
      </c>
    </row>
    <row r="3605" spans="18:20">
      <c r="R3605" s="22" t="str">
        <f>IF(H3605="","",H3605&amp;I3605)</f>
        <v/>
      </c>
      <c r="S3605" s="22" t="str">
        <f>IF(C3605="","",C3605&amp;I3605)</f>
        <v/>
      </c>
      <c r="T3605" t="str">
        <f>IF(OR(C3605="",I3605&lt;&gt;"ENTRADA"),"",TEXT(B3605,"AAMMDD")&amp;"-"&amp;TEXT(VALUE(SUBSTITUTE(A3605,"MOV-","")),"000"))</f>
        <v/>
      </c>
    </row>
    <row r="3606" spans="18:20">
      <c r="R3606" s="22" t="str">
        <f>IF(H3606="","",H3606&amp;I3606)</f>
        <v/>
      </c>
      <c r="S3606" s="22" t="str">
        <f>IF(C3606="","",C3606&amp;I3606)</f>
        <v/>
      </c>
      <c r="T3606" t="str">
        <f>IF(OR(C3606="",I3606&lt;&gt;"ENTRADA"),"",TEXT(B3606,"AAMMDD")&amp;"-"&amp;TEXT(VALUE(SUBSTITUTE(A3606,"MOV-","")),"000"))</f>
        <v/>
      </c>
    </row>
    <row r="3607" spans="18:20">
      <c r="R3607" s="22" t="str">
        <f>IF(H3607="","",H3607&amp;I3607)</f>
        <v/>
      </c>
      <c r="S3607" s="22" t="str">
        <f>IF(C3607="","",C3607&amp;I3607)</f>
        <v/>
      </c>
      <c r="T3607" t="str">
        <f>IF(OR(C3607="",I3607&lt;&gt;"ENTRADA"),"",TEXT(B3607,"AAMMDD")&amp;"-"&amp;TEXT(VALUE(SUBSTITUTE(A3607,"MOV-","")),"000"))</f>
        <v/>
      </c>
    </row>
    <row r="3608" spans="18:20">
      <c r="R3608" s="22" t="str">
        <f>IF(H3608="","",H3608&amp;I3608)</f>
        <v/>
      </c>
      <c r="S3608" s="22" t="str">
        <f>IF(C3608="","",C3608&amp;I3608)</f>
        <v/>
      </c>
      <c r="T3608" t="str">
        <f>IF(OR(C3608="",I3608&lt;&gt;"ENTRADA"),"",TEXT(B3608,"AAMMDD")&amp;"-"&amp;TEXT(VALUE(SUBSTITUTE(A3608,"MOV-","")),"000"))</f>
        <v/>
      </c>
    </row>
    <row r="3609" spans="18:20">
      <c r="R3609" s="22" t="str">
        <f>IF(H3609="","",H3609&amp;I3609)</f>
        <v/>
      </c>
      <c r="S3609" s="22" t="str">
        <f>IF(C3609="","",C3609&amp;I3609)</f>
        <v/>
      </c>
      <c r="T3609" t="str">
        <f>IF(OR(C3609="",I3609&lt;&gt;"ENTRADA"),"",TEXT(B3609,"AAMMDD")&amp;"-"&amp;TEXT(VALUE(SUBSTITUTE(A3609,"MOV-","")),"000"))</f>
        <v/>
      </c>
    </row>
    <row r="3610" spans="18:20">
      <c r="R3610" s="22" t="str">
        <f>IF(H3610="","",H3610&amp;I3610)</f>
        <v/>
      </c>
      <c r="S3610" s="22" t="str">
        <f>IF(C3610="","",C3610&amp;I3610)</f>
        <v/>
      </c>
      <c r="T3610" t="str">
        <f>IF(OR(C3610="",I3610&lt;&gt;"ENTRADA"),"",TEXT(B3610,"AAMMDD")&amp;"-"&amp;TEXT(VALUE(SUBSTITUTE(A3610,"MOV-","")),"000"))</f>
        <v/>
      </c>
    </row>
    <row r="3611" spans="18:20">
      <c r="R3611" s="22" t="str">
        <f>IF(H3611="","",H3611&amp;I3611)</f>
        <v/>
      </c>
      <c r="S3611" s="22" t="str">
        <f>IF(C3611="","",C3611&amp;I3611)</f>
        <v/>
      </c>
      <c r="T3611" t="str">
        <f>IF(OR(C3611="",I3611&lt;&gt;"ENTRADA"),"",TEXT(B3611,"AAMMDD")&amp;"-"&amp;TEXT(VALUE(SUBSTITUTE(A3611,"MOV-","")),"000"))</f>
        <v/>
      </c>
    </row>
    <row r="3612" spans="18:20">
      <c r="R3612" s="22" t="str">
        <f>IF(H3612="","",H3612&amp;I3612)</f>
        <v/>
      </c>
      <c r="S3612" s="22" t="str">
        <f>IF(C3612="","",C3612&amp;I3612)</f>
        <v/>
      </c>
      <c r="T3612" t="str">
        <f>IF(OR(C3612="",I3612&lt;&gt;"ENTRADA"),"",TEXT(B3612,"AAMMDD")&amp;"-"&amp;TEXT(VALUE(SUBSTITUTE(A3612,"MOV-","")),"000"))</f>
        <v/>
      </c>
    </row>
    <row r="3613" spans="18:20">
      <c r="R3613" s="22" t="str">
        <f>IF(H3613="","",H3613&amp;I3613)</f>
        <v/>
      </c>
      <c r="S3613" s="22" t="str">
        <f>IF(C3613="","",C3613&amp;I3613)</f>
        <v/>
      </c>
      <c r="T3613" t="str">
        <f>IF(OR(C3613="",I3613&lt;&gt;"ENTRADA"),"",TEXT(B3613,"AAMMDD")&amp;"-"&amp;TEXT(VALUE(SUBSTITUTE(A3613,"MOV-","")),"000"))</f>
        <v/>
      </c>
    </row>
    <row r="3614" spans="18:20">
      <c r="R3614" s="22" t="str">
        <f>IF(H3614="","",H3614&amp;I3614)</f>
        <v/>
      </c>
      <c r="S3614" s="22" t="str">
        <f>IF(C3614="","",C3614&amp;I3614)</f>
        <v/>
      </c>
      <c r="T3614" t="str">
        <f>IF(OR(C3614="",I3614&lt;&gt;"ENTRADA"),"",TEXT(B3614,"AAMMDD")&amp;"-"&amp;TEXT(VALUE(SUBSTITUTE(A3614,"MOV-","")),"000"))</f>
        <v/>
      </c>
    </row>
    <row r="3615" spans="18:20">
      <c r="R3615" s="22" t="str">
        <f>IF(H3615="","",H3615&amp;I3615)</f>
        <v/>
      </c>
      <c r="S3615" s="22" t="str">
        <f>IF(C3615="","",C3615&amp;I3615)</f>
        <v/>
      </c>
      <c r="T3615" t="str">
        <f>IF(OR(C3615="",I3615&lt;&gt;"ENTRADA"),"",TEXT(B3615,"AAMMDD")&amp;"-"&amp;TEXT(VALUE(SUBSTITUTE(A3615,"MOV-","")),"000"))</f>
        <v/>
      </c>
    </row>
    <row r="3616" spans="18:20">
      <c r="R3616" s="22" t="str">
        <f>IF(H3616="","",H3616&amp;I3616)</f>
        <v/>
      </c>
      <c r="S3616" s="22" t="str">
        <f>IF(C3616="","",C3616&amp;I3616)</f>
        <v/>
      </c>
      <c r="T3616" t="str">
        <f>IF(OR(C3616="",I3616&lt;&gt;"ENTRADA"),"",TEXT(B3616,"AAMMDD")&amp;"-"&amp;TEXT(VALUE(SUBSTITUTE(A3616,"MOV-","")),"000"))</f>
        <v/>
      </c>
    </row>
    <row r="3617" spans="18:20">
      <c r="R3617" s="22" t="str">
        <f>IF(H3617="","",H3617&amp;I3617)</f>
        <v/>
      </c>
      <c r="S3617" s="22" t="str">
        <f>IF(C3617="","",C3617&amp;I3617)</f>
        <v/>
      </c>
      <c r="T3617" t="str">
        <f>IF(OR(C3617="",I3617&lt;&gt;"ENTRADA"),"",TEXT(B3617,"AAMMDD")&amp;"-"&amp;TEXT(VALUE(SUBSTITUTE(A3617,"MOV-","")),"000"))</f>
        <v/>
      </c>
    </row>
    <row r="3618" spans="18:20">
      <c r="R3618" s="22" t="str">
        <f>IF(H3618="","",H3618&amp;I3618)</f>
        <v/>
      </c>
      <c r="S3618" s="22" t="str">
        <f>IF(C3618="","",C3618&amp;I3618)</f>
        <v/>
      </c>
      <c r="T3618" t="str">
        <f>IF(OR(C3618="",I3618&lt;&gt;"ENTRADA"),"",TEXT(B3618,"AAMMDD")&amp;"-"&amp;TEXT(VALUE(SUBSTITUTE(A3618,"MOV-","")),"000"))</f>
        <v/>
      </c>
    </row>
    <row r="3619" spans="18:20">
      <c r="R3619" s="22" t="str">
        <f>IF(H3619="","",H3619&amp;I3619)</f>
        <v/>
      </c>
      <c r="S3619" s="22" t="str">
        <f>IF(C3619="","",C3619&amp;I3619)</f>
        <v/>
      </c>
      <c r="T3619" t="str">
        <f>IF(OR(C3619="",I3619&lt;&gt;"ENTRADA"),"",TEXT(B3619,"AAMMDD")&amp;"-"&amp;TEXT(VALUE(SUBSTITUTE(A3619,"MOV-","")),"000"))</f>
        <v/>
      </c>
    </row>
    <row r="3620" spans="18:20">
      <c r="R3620" s="22" t="str">
        <f>IF(H3620="","",H3620&amp;I3620)</f>
        <v/>
      </c>
      <c r="S3620" s="22" t="str">
        <f>IF(C3620="","",C3620&amp;I3620)</f>
        <v/>
      </c>
      <c r="T3620" t="str">
        <f>IF(OR(C3620="",I3620&lt;&gt;"ENTRADA"),"",TEXT(B3620,"AAMMDD")&amp;"-"&amp;TEXT(VALUE(SUBSTITUTE(A3620,"MOV-","")),"000"))</f>
        <v/>
      </c>
    </row>
    <row r="3621" spans="18:20">
      <c r="R3621" s="22" t="str">
        <f>IF(H3621="","",H3621&amp;I3621)</f>
        <v/>
      </c>
      <c r="S3621" s="22" t="str">
        <f>IF(C3621="","",C3621&amp;I3621)</f>
        <v/>
      </c>
      <c r="T3621" t="str">
        <f>IF(OR(C3621="",I3621&lt;&gt;"ENTRADA"),"",TEXT(B3621,"AAMMDD")&amp;"-"&amp;TEXT(VALUE(SUBSTITUTE(A3621,"MOV-","")),"000"))</f>
        <v/>
      </c>
    </row>
    <row r="3622" spans="18:20">
      <c r="R3622" s="22" t="str">
        <f>IF(H3622="","",H3622&amp;I3622)</f>
        <v/>
      </c>
      <c r="S3622" s="22" t="str">
        <f>IF(C3622="","",C3622&amp;I3622)</f>
        <v/>
      </c>
      <c r="T3622" t="str">
        <f>IF(OR(C3622="",I3622&lt;&gt;"ENTRADA"),"",TEXT(B3622,"AAMMDD")&amp;"-"&amp;TEXT(VALUE(SUBSTITUTE(A3622,"MOV-","")),"000"))</f>
        <v/>
      </c>
    </row>
    <row r="3623" spans="18:20">
      <c r="R3623" s="22" t="str">
        <f>IF(H3623="","",H3623&amp;I3623)</f>
        <v/>
      </c>
      <c r="S3623" s="22" t="str">
        <f>IF(C3623="","",C3623&amp;I3623)</f>
        <v/>
      </c>
      <c r="T3623" t="str">
        <f>IF(OR(C3623="",I3623&lt;&gt;"ENTRADA"),"",TEXT(B3623,"AAMMDD")&amp;"-"&amp;TEXT(VALUE(SUBSTITUTE(A3623,"MOV-","")),"000"))</f>
        <v/>
      </c>
    </row>
    <row r="3624" spans="18:20">
      <c r="R3624" s="22" t="str">
        <f>IF(H3624="","",H3624&amp;I3624)</f>
        <v/>
      </c>
      <c r="S3624" s="22" t="str">
        <f>IF(C3624="","",C3624&amp;I3624)</f>
        <v/>
      </c>
      <c r="T3624" t="str">
        <f>IF(OR(C3624="",I3624&lt;&gt;"ENTRADA"),"",TEXT(B3624,"AAMMDD")&amp;"-"&amp;TEXT(VALUE(SUBSTITUTE(A3624,"MOV-","")),"000"))</f>
        <v/>
      </c>
    </row>
    <row r="3625" spans="18:20">
      <c r="R3625" s="22" t="str">
        <f>IF(H3625="","",H3625&amp;I3625)</f>
        <v/>
      </c>
      <c r="S3625" s="22" t="str">
        <f>IF(C3625="","",C3625&amp;I3625)</f>
        <v/>
      </c>
      <c r="T3625" t="str">
        <f>IF(OR(C3625="",I3625&lt;&gt;"ENTRADA"),"",TEXT(B3625,"AAMMDD")&amp;"-"&amp;TEXT(VALUE(SUBSTITUTE(A3625,"MOV-","")),"000"))</f>
        <v/>
      </c>
    </row>
    <row r="3626" spans="18:20">
      <c r="R3626" s="22" t="str">
        <f>IF(H3626="","",H3626&amp;I3626)</f>
        <v/>
      </c>
      <c r="S3626" s="22" t="str">
        <f>IF(C3626="","",C3626&amp;I3626)</f>
        <v/>
      </c>
      <c r="T3626" t="str">
        <f>IF(OR(C3626="",I3626&lt;&gt;"ENTRADA"),"",TEXT(B3626,"AAMMDD")&amp;"-"&amp;TEXT(VALUE(SUBSTITUTE(A3626,"MOV-","")),"000"))</f>
        <v/>
      </c>
    </row>
    <row r="3627" spans="18:20">
      <c r="R3627" s="22" t="str">
        <f>IF(H3627="","",H3627&amp;I3627)</f>
        <v/>
      </c>
      <c r="S3627" s="22" t="str">
        <f>IF(C3627="","",C3627&amp;I3627)</f>
        <v/>
      </c>
      <c r="T3627" t="str">
        <f>IF(OR(C3627="",I3627&lt;&gt;"ENTRADA"),"",TEXT(B3627,"AAMMDD")&amp;"-"&amp;TEXT(VALUE(SUBSTITUTE(A3627,"MOV-","")),"000"))</f>
        <v/>
      </c>
    </row>
    <row r="3628" spans="18:20">
      <c r="R3628" s="22" t="str">
        <f>IF(H3628="","",H3628&amp;I3628)</f>
        <v/>
      </c>
      <c r="S3628" s="22" t="str">
        <f>IF(C3628="","",C3628&amp;I3628)</f>
        <v/>
      </c>
      <c r="T3628" t="str">
        <f>IF(OR(C3628="",I3628&lt;&gt;"ENTRADA"),"",TEXT(B3628,"AAMMDD")&amp;"-"&amp;TEXT(VALUE(SUBSTITUTE(A3628,"MOV-","")),"000"))</f>
        <v/>
      </c>
    </row>
    <row r="3629" spans="18:20">
      <c r="R3629" s="22" t="str">
        <f>IF(H3629="","",H3629&amp;I3629)</f>
        <v/>
      </c>
      <c r="S3629" s="22" t="str">
        <f>IF(C3629="","",C3629&amp;I3629)</f>
        <v/>
      </c>
      <c r="T3629" t="str">
        <f>IF(OR(C3629="",I3629&lt;&gt;"ENTRADA"),"",TEXT(B3629,"AAMMDD")&amp;"-"&amp;TEXT(VALUE(SUBSTITUTE(A3629,"MOV-","")),"000"))</f>
        <v/>
      </c>
    </row>
    <row r="3630" spans="18:20">
      <c r="R3630" s="22" t="str">
        <f>IF(H3630="","",H3630&amp;I3630)</f>
        <v/>
      </c>
      <c r="S3630" s="22" t="str">
        <f>IF(C3630="","",C3630&amp;I3630)</f>
        <v/>
      </c>
      <c r="T3630" t="str">
        <f>IF(OR(C3630="",I3630&lt;&gt;"ENTRADA"),"",TEXT(B3630,"AAMMDD")&amp;"-"&amp;TEXT(VALUE(SUBSTITUTE(A3630,"MOV-","")),"000"))</f>
        <v/>
      </c>
    </row>
    <row r="3631" spans="18:20">
      <c r="R3631" s="22" t="str">
        <f>IF(H3631="","",H3631&amp;I3631)</f>
        <v/>
      </c>
      <c r="S3631" s="22" t="str">
        <f>IF(C3631="","",C3631&amp;I3631)</f>
        <v/>
      </c>
      <c r="T3631" t="str">
        <f>IF(OR(C3631="",I3631&lt;&gt;"ENTRADA"),"",TEXT(B3631,"AAMMDD")&amp;"-"&amp;TEXT(VALUE(SUBSTITUTE(A3631,"MOV-","")),"000"))</f>
        <v/>
      </c>
    </row>
    <row r="3632" spans="18:20">
      <c r="R3632" s="22" t="str">
        <f>IF(H3632="","",H3632&amp;I3632)</f>
        <v/>
      </c>
      <c r="S3632" s="22" t="str">
        <f>IF(C3632="","",C3632&amp;I3632)</f>
        <v/>
      </c>
      <c r="T3632" t="str">
        <f>IF(OR(C3632="",I3632&lt;&gt;"ENTRADA"),"",TEXT(B3632,"AAMMDD")&amp;"-"&amp;TEXT(VALUE(SUBSTITUTE(A3632,"MOV-","")),"000"))</f>
        <v/>
      </c>
    </row>
    <row r="3633" spans="18:20">
      <c r="R3633" s="22" t="str">
        <f>IF(H3633="","",H3633&amp;I3633)</f>
        <v/>
      </c>
      <c r="S3633" s="22" t="str">
        <f>IF(C3633="","",C3633&amp;I3633)</f>
        <v/>
      </c>
      <c r="T3633" t="str">
        <f>IF(OR(C3633="",I3633&lt;&gt;"ENTRADA"),"",TEXT(B3633,"AAMMDD")&amp;"-"&amp;TEXT(VALUE(SUBSTITUTE(A3633,"MOV-","")),"000"))</f>
        <v/>
      </c>
    </row>
    <row r="3634" spans="18:20">
      <c r="R3634" s="22" t="str">
        <f>IF(H3634="","",H3634&amp;I3634)</f>
        <v/>
      </c>
      <c r="S3634" s="22" t="str">
        <f>IF(C3634="","",C3634&amp;I3634)</f>
        <v/>
      </c>
      <c r="T3634" t="str">
        <f>IF(OR(C3634="",I3634&lt;&gt;"ENTRADA"),"",TEXT(B3634,"AAMMDD")&amp;"-"&amp;TEXT(VALUE(SUBSTITUTE(A3634,"MOV-","")),"000"))</f>
        <v/>
      </c>
    </row>
    <row r="3635" spans="18:20">
      <c r="R3635" s="22" t="str">
        <f>IF(H3635="","",H3635&amp;I3635)</f>
        <v/>
      </c>
      <c r="S3635" s="22" t="str">
        <f>IF(C3635="","",C3635&amp;I3635)</f>
        <v/>
      </c>
      <c r="T3635" t="str">
        <f>IF(OR(C3635="",I3635&lt;&gt;"ENTRADA"),"",TEXT(B3635,"AAMMDD")&amp;"-"&amp;TEXT(VALUE(SUBSTITUTE(A3635,"MOV-","")),"000"))</f>
        <v/>
      </c>
    </row>
    <row r="3636" spans="18:20">
      <c r="R3636" s="22" t="str">
        <f>IF(H3636="","",H3636&amp;I3636)</f>
        <v/>
      </c>
      <c r="S3636" s="22" t="str">
        <f>IF(C3636="","",C3636&amp;I3636)</f>
        <v/>
      </c>
      <c r="T3636" t="str">
        <f>IF(OR(C3636="",I3636&lt;&gt;"ENTRADA"),"",TEXT(B3636,"AAMMDD")&amp;"-"&amp;TEXT(VALUE(SUBSTITUTE(A3636,"MOV-","")),"000"))</f>
        <v/>
      </c>
    </row>
    <row r="3637" spans="18:20">
      <c r="R3637" s="22" t="str">
        <f>IF(H3637="","",H3637&amp;I3637)</f>
        <v/>
      </c>
      <c r="S3637" s="22" t="str">
        <f>IF(C3637="","",C3637&amp;I3637)</f>
        <v/>
      </c>
      <c r="T3637" t="str">
        <f>IF(OR(C3637="",I3637&lt;&gt;"ENTRADA"),"",TEXT(B3637,"AAMMDD")&amp;"-"&amp;TEXT(VALUE(SUBSTITUTE(A3637,"MOV-","")),"000"))</f>
        <v/>
      </c>
    </row>
    <row r="3638" spans="18:20">
      <c r="R3638" s="22" t="str">
        <f>IF(H3638="","",H3638&amp;I3638)</f>
        <v/>
      </c>
      <c r="S3638" s="22" t="str">
        <f>IF(C3638="","",C3638&amp;I3638)</f>
        <v/>
      </c>
      <c r="T3638" t="str">
        <f>IF(OR(C3638="",I3638&lt;&gt;"ENTRADA"),"",TEXT(B3638,"AAMMDD")&amp;"-"&amp;TEXT(VALUE(SUBSTITUTE(A3638,"MOV-","")),"000"))</f>
        <v/>
      </c>
    </row>
    <row r="3639" spans="18:20">
      <c r="R3639" s="22" t="str">
        <f>IF(H3639="","",H3639&amp;I3639)</f>
        <v/>
      </c>
      <c r="S3639" s="22" t="str">
        <f>IF(C3639="","",C3639&amp;I3639)</f>
        <v/>
      </c>
      <c r="T3639" t="str">
        <f>IF(OR(C3639="",I3639&lt;&gt;"ENTRADA"),"",TEXT(B3639,"AAMMDD")&amp;"-"&amp;TEXT(VALUE(SUBSTITUTE(A3639,"MOV-","")),"000"))</f>
        <v/>
      </c>
    </row>
    <row r="3640" spans="18:20">
      <c r="R3640" s="22" t="str">
        <f>IF(H3640="","",H3640&amp;I3640)</f>
        <v/>
      </c>
      <c r="S3640" s="22" t="str">
        <f>IF(C3640="","",C3640&amp;I3640)</f>
        <v/>
      </c>
      <c r="T3640" t="str">
        <f>IF(OR(C3640="",I3640&lt;&gt;"ENTRADA"),"",TEXT(B3640,"AAMMDD")&amp;"-"&amp;TEXT(VALUE(SUBSTITUTE(A3640,"MOV-","")),"000"))</f>
        <v/>
      </c>
    </row>
    <row r="3641" spans="18:20">
      <c r="R3641" s="22" t="str">
        <f>IF(H3641="","",H3641&amp;I3641)</f>
        <v/>
      </c>
      <c r="S3641" s="22" t="str">
        <f>IF(C3641="","",C3641&amp;I3641)</f>
        <v/>
      </c>
      <c r="T3641" t="str">
        <f>IF(OR(C3641="",I3641&lt;&gt;"ENTRADA"),"",TEXT(B3641,"AAMMDD")&amp;"-"&amp;TEXT(VALUE(SUBSTITUTE(A3641,"MOV-","")),"000"))</f>
        <v/>
      </c>
    </row>
    <row r="3642" spans="18:20">
      <c r="R3642" s="22" t="str">
        <f>IF(H3642="","",H3642&amp;I3642)</f>
        <v/>
      </c>
      <c r="S3642" s="22" t="str">
        <f>IF(C3642="","",C3642&amp;I3642)</f>
        <v/>
      </c>
      <c r="T3642" t="str">
        <f>IF(OR(C3642="",I3642&lt;&gt;"ENTRADA"),"",TEXT(B3642,"AAMMDD")&amp;"-"&amp;TEXT(VALUE(SUBSTITUTE(A3642,"MOV-","")),"000"))</f>
        <v/>
      </c>
    </row>
    <row r="3643" spans="18:20">
      <c r="R3643" s="22" t="str">
        <f>IF(H3643="","",H3643&amp;I3643)</f>
        <v/>
      </c>
      <c r="S3643" s="22" t="str">
        <f>IF(C3643="","",C3643&amp;I3643)</f>
        <v/>
      </c>
      <c r="T3643" t="str">
        <f>IF(OR(C3643="",I3643&lt;&gt;"ENTRADA"),"",TEXT(B3643,"AAMMDD")&amp;"-"&amp;TEXT(VALUE(SUBSTITUTE(A3643,"MOV-","")),"000"))</f>
        <v/>
      </c>
    </row>
    <row r="3644" spans="18:20">
      <c r="R3644" s="22" t="str">
        <f>IF(H3644="","",H3644&amp;I3644)</f>
        <v/>
      </c>
      <c r="S3644" s="22" t="str">
        <f>IF(C3644="","",C3644&amp;I3644)</f>
        <v/>
      </c>
      <c r="T3644" t="str">
        <f>IF(OR(C3644="",I3644&lt;&gt;"ENTRADA"),"",TEXT(B3644,"AAMMDD")&amp;"-"&amp;TEXT(VALUE(SUBSTITUTE(A3644,"MOV-","")),"000"))</f>
        <v/>
      </c>
    </row>
    <row r="3645" spans="18:20">
      <c r="R3645" s="22" t="str">
        <f>IF(H3645="","",H3645&amp;I3645)</f>
        <v/>
      </c>
      <c r="S3645" s="22" t="str">
        <f>IF(C3645="","",C3645&amp;I3645)</f>
        <v/>
      </c>
      <c r="T3645" t="str">
        <f>IF(OR(C3645="",I3645&lt;&gt;"ENTRADA"),"",TEXT(B3645,"AAMMDD")&amp;"-"&amp;TEXT(VALUE(SUBSTITUTE(A3645,"MOV-","")),"000"))</f>
        <v/>
      </c>
    </row>
    <row r="3646" spans="18:20">
      <c r="R3646" s="22" t="str">
        <f>IF(H3646="","",H3646&amp;I3646)</f>
        <v/>
      </c>
      <c r="S3646" s="22" t="str">
        <f>IF(C3646="","",C3646&amp;I3646)</f>
        <v/>
      </c>
      <c r="T3646" t="str">
        <f>IF(OR(C3646="",I3646&lt;&gt;"ENTRADA"),"",TEXT(B3646,"AAMMDD")&amp;"-"&amp;TEXT(VALUE(SUBSTITUTE(A3646,"MOV-","")),"000"))</f>
        <v/>
      </c>
    </row>
    <row r="3647" spans="18:20">
      <c r="R3647" s="22" t="str">
        <f>IF(H3647="","",H3647&amp;I3647)</f>
        <v/>
      </c>
      <c r="S3647" s="22" t="str">
        <f>IF(C3647="","",C3647&amp;I3647)</f>
        <v/>
      </c>
      <c r="T3647" t="str">
        <f>IF(OR(C3647="",I3647&lt;&gt;"ENTRADA"),"",TEXT(B3647,"AAMMDD")&amp;"-"&amp;TEXT(VALUE(SUBSTITUTE(A3647,"MOV-","")),"000"))</f>
        <v/>
      </c>
    </row>
    <row r="3648" spans="18:20">
      <c r="R3648" s="22" t="str">
        <f>IF(H3648="","",H3648&amp;I3648)</f>
        <v/>
      </c>
      <c r="S3648" s="22" t="str">
        <f>IF(C3648="","",C3648&amp;I3648)</f>
        <v/>
      </c>
      <c r="T3648" t="str">
        <f>IF(OR(C3648="",I3648&lt;&gt;"ENTRADA"),"",TEXT(B3648,"AAMMDD")&amp;"-"&amp;TEXT(VALUE(SUBSTITUTE(A3648,"MOV-","")),"000"))</f>
        <v/>
      </c>
    </row>
    <row r="3649" spans="18:20">
      <c r="R3649" s="22" t="str">
        <f>IF(H3649="","",H3649&amp;I3649)</f>
        <v/>
      </c>
      <c r="S3649" s="22" t="str">
        <f>IF(C3649="","",C3649&amp;I3649)</f>
        <v/>
      </c>
      <c r="T3649" t="str">
        <f>IF(OR(C3649="",I3649&lt;&gt;"ENTRADA"),"",TEXT(B3649,"AAMMDD")&amp;"-"&amp;TEXT(VALUE(SUBSTITUTE(A3649,"MOV-","")),"000"))</f>
        <v/>
      </c>
    </row>
    <row r="3650" spans="18:20">
      <c r="R3650" s="22" t="str">
        <f>IF(H3650="","",H3650&amp;I3650)</f>
        <v/>
      </c>
      <c r="S3650" s="22" t="str">
        <f>IF(C3650="","",C3650&amp;I3650)</f>
        <v/>
      </c>
      <c r="T3650" t="str">
        <f>IF(OR(C3650="",I3650&lt;&gt;"ENTRADA"),"",TEXT(B3650,"AAMMDD")&amp;"-"&amp;TEXT(VALUE(SUBSTITUTE(A3650,"MOV-","")),"000"))</f>
        <v/>
      </c>
    </row>
    <row r="3651" spans="18:20">
      <c r="R3651" s="22" t="str">
        <f>IF(H3651="","",H3651&amp;I3651)</f>
        <v/>
      </c>
      <c r="S3651" s="22" t="str">
        <f>IF(C3651="","",C3651&amp;I3651)</f>
        <v/>
      </c>
      <c r="T3651" t="str">
        <f>IF(OR(C3651="",I3651&lt;&gt;"ENTRADA"),"",TEXT(B3651,"AAMMDD")&amp;"-"&amp;TEXT(VALUE(SUBSTITUTE(A3651,"MOV-","")),"000"))</f>
        <v/>
      </c>
    </row>
    <row r="3652" spans="18:20">
      <c r="R3652" s="22" t="str">
        <f>IF(H3652="","",H3652&amp;I3652)</f>
        <v/>
      </c>
      <c r="S3652" s="22" t="str">
        <f>IF(C3652="","",C3652&amp;I3652)</f>
        <v/>
      </c>
      <c r="T3652" t="str">
        <f>IF(OR(C3652="",I3652&lt;&gt;"ENTRADA"),"",TEXT(B3652,"AAMMDD")&amp;"-"&amp;TEXT(VALUE(SUBSTITUTE(A3652,"MOV-","")),"000"))</f>
        <v/>
      </c>
    </row>
    <row r="3653" spans="18:20">
      <c r="R3653" s="22" t="str">
        <f>IF(H3653="","",H3653&amp;I3653)</f>
        <v/>
      </c>
      <c r="S3653" s="22" t="str">
        <f>IF(C3653="","",C3653&amp;I3653)</f>
        <v/>
      </c>
      <c r="T3653" t="str">
        <f>IF(OR(C3653="",I3653&lt;&gt;"ENTRADA"),"",TEXT(B3653,"AAMMDD")&amp;"-"&amp;TEXT(VALUE(SUBSTITUTE(A3653,"MOV-","")),"000"))</f>
        <v/>
      </c>
    </row>
    <row r="3654" spans="18:20">
      <c r="R3654" s="22" t="str">
        <f>IF(H3654="","",H3654&amp;I3654)</f>
        <v/>
      </c>
      <c r="S3654" s="22" t="str">
        <f>IF(C3654="","",C3654&amp;I3654)</f>
        <v/>
      </c>
      <c r="T3654" t="str">
        <f>IF(OR(C3654="",I3654&lt;&gt;"ENTRADA"),"",TEXT(B3654,"AAMMDD")&amp;"-"&amp;TEXT(VALUE(SUBSTITUTE(A3654,"MOV-","")),"000"))</f>
        <v/>
      </c>
    </row>
    <row r="3655" spans="18:20">
      <c r="R3655" s="22" t="str">
        <f>IF(H3655="","",H3655&amp;I3655)</f>
        <v/>
      </c>
      <c r="S3655" s="22" t="str">
        <f>IF(C3655="","",C3655&amp;I3655)</f>
        <v/>
      </c>
      <c r="T3655" t="str">
        <f>IF(OR(C3655="",I3655&lt;&gt;"ENTRADA"),"",TEXT(B3655,"AAMMDD")&amp;"-"&amp;TEXT(VALUE(SUBSTITUTE(A3655,"MOV-","")),"000"))</f>
        <v/>
      </c>
    </row>
    <row r="3656" spans="18:20">
      <c r="R3656" s="22" t="str">
        <f>IF(H3656="","",H3656&amp;I3656)</f>
        <v/>
      </c>
      <c r="S3656" s="22" t="str">
        <f>IF(C3656="","",C3656&amp;I3656)</f>
        <v/>
      </c>
      <c r="T3656" t="str">
        <f>IF(OR(C3656="",I3656&lt;&gt;"ENTRADA"),"",TEXT(B3656,"AAMMDD")&amp;"-"&amp;TEXT(VALUE(SUBSTITUTE(A3656,"MOV-","")),"000"))</f>
        <v/>
      </c>
    </row>
    <row r="3657" spans="18:20">
      <c r="R3657" s="22" t="str">
        <f>IF(H3657="","",H3657&amp;I3657)</f>
        <v/>
      </c>
      <c r="S3657" s="22" t="str">
        <f>IF(C3657="","",C3657&amp;I3657)</f>
        <v/>
      </c>
      <c r="T3657" t="str">
        <f>IF(OR(C3657="",I3657&lt;&gt;"ENTRADA"),"",TEXT(B3657,"AAMMDD")&amp;"-"&amp;TEXT(VALUE(SUBSTITUTE(A3657,"MOV-","")),"000"))</f>
        <v/>
      </c>
    </row>
    <row r="3658" spans="18:20">
      <c r="R3658" s="22" t="str">
        <f>IF(H3658="","",H3658&amp;I3658)</f>
        <v/>
      </c>
      <c r="S3658" s="22" t="str">
        <f>IF(C3658="","",C3658&amp;I3658)</f>
        <v/>
      </c>
      <c r="T3658" t="str">
        <f>IF(OR(C3658="",I3658&lt;&gt;"ENTRADA"),"",TEXT(B3658,"AAMMDD")&amp;"-"&amp;TEXT(VALUE(SUBSTITUTE(A3658,"MOV-","")),"000"))</f>
        <v/>
      </c>
    </row>
    <row r="3659" spans="18:20">
      <c r="R3659" s="22" t="str">
        <f>IF(H3659="","",H3659&amp;I3659)</f>
        <v/>
      </c>
      <c r="S3659" s="22" t="str">
        <f>IF(C3659="","",C3659&amp;I3659)</f>
        <v/>
      </c>
      <c r="T3659" t="str">
        <f>IF(OR(C3659="",I3659&lt;&gt;"ENTRADA"),"",TEXT(B3659,"AAMMDD")&amp;"-"&amp;TEXT(VALUE(SUBSTITUTE(A3659,"MOV-","")),"000"))</f>
        <v/>
      </c>
    </row>
    <row r="3660" spans="18:20">
      <c r="R3660" s="22" t="str">
        <f>IF(H3660="","",H3660&amp;I3660)</f>
        <v/>
      </c>
      <c r="S3660" s="22" t="str">
        <f>IF(C3660="","",C3660&amp;I3660)</f>
        <v/>
      </c>
      <c r="T3660" t="str">
        <f>IF(OR(C3660="",I3660&lt;&gt;"ENTRADA"),"",TEXT(B3660,"AAMMDD")&amp;"-"&amp;TEXT(VALUE(SUBSTITUTE(A3660,"MOV-","")),"000"))</f>
        <v/>
      </c>
    </row>
    <row r="3661" spans="18:20">
      <c r="R3661" s="22" t="str">
        <f>IF(H3661="","",H3661&amp;I3661)</f>
        <v/>
      </c>
      <c r="S3661" s="22" t="str">
        <f>IF(C3661="","",C3661&amp;I3661)</f>
        <v/>
      </c>
      <c r="T3661" t="str">
        <f>IF(OR(C3661="",I3661&lt;&gt;"ENTRADA"),"",TEXT(B3661,"AAMMDD")&amp;"-"&amp;TEXT(VALUE(SUBSTITUTE(A3661,"MOV-","")),"000"))</f>
        <v/>
      </c>
    </row>
    <row r="3662" spans="18:20">
      <c r="R3662" s="22" t="str">
        <f>IF(H3662="","",H3662&amp;I3662)</f>
        <v/>
      </c>
      <c r="S3662" s="22" t="str">
        <f>IF(C3662="","",C3662&amp;I3662)</f>
        <v/>
      </c>
      <c r="T3662" t="str">
        <f>IF(OR(C3662="",I3662&lt;&gt;"ENTRADA"),"",TEXT(B3662,"AAMMDD")&amp;"-"&amp;TEXT(VALUE(SUBSTITUTE(A3662,"MOV-","")),"000"))</f>
        <v/>
      </c>
    </row>
    <row r="3663" spans="18:20">
      <c r="R3663" s="22" t="str">
        <f>IF(H3663="","",H3663&amp;I3663)</f>
        <v/>
      </c>
      <c r="S3663" s="22" t="str">
        <f>IF(C3663="","",C3663&amp;I3663)</f>
        <v/>
      </c>
      <c r="T3663" t="str">
        <f>IF(OR(C3663="",I3663&lt;&gt;"ENTRADA"),"",TEXT(B3663,"AAMMDD")&amp;"-"&amp;TEXT(VALUE(SUBSTITUTE(A3663,"MOV-","")),"000"))</f>
        <v/>
      </c>
    </row>
    <row r="3664" spans="18:20">
      <c r="R3664" s="22" t="str">
        <f>IF(H3664="","",H3664&amp;I3664)</f>
        <v/>
      </c>
      <c r="S3664" s="22" t="str">
        <f>IF(C3664="","",C3664&amp;I3664)</f>
        <v/>
      </c>
      <c r="T3664" t="str">
        <f>IF(OR(C3664="",I3664&lt;&gt;"ENTRADA"),"",TEXT(B3664,"AAMMDD")&amp;"-"&amp;TEXT(VALUE(SUBSTITUTE(A3664,"MOV-","")),"000"))</f>
        <v/>
      </c>
    </row>
    <row r="3665" spans="18:20">
      <c r="R3665" s="22" t="str">
        <f>IF(H3665="","",H3665&amp;I3665)</f>
        <v/>
      </c>
      <c r="S3665" s="22" t="str">
        <f>IF(C3665="","",C3665&amp;I3665)</f>
        <v/>
      </c>
      <c r="T3665" t="str">
        <f>IF(OR(C3665="",I3665&lt;&gt;"ENTRADA"),"",TEXT(B3665,"AAMMDD")&amp;"-"&amp;TEXT(VALUE(SUBSTITUTE(A3665,"MOV-","")),"000"))</f>
        <v/>
      </c>
    </row>
    <row r="3666" spans="18:20">
      <c r="R3666" s="22" t="str">
        <f>IF(H3666="","",H3666&amp;I3666)</f>
        <v/>
      </c>
      <c r="S3666" s="22" t="str">
        <f>IF(C3666="","",C3666&amp;I3666)</f>
        <v/>
      </c>
      <c r="T3666" t="str">
        <f>IF(OR(C3666="",I3666&lt;&gt;"ENTRADA"),"",TEXT(B3666,"AAMMDD")&amp;"-"&amp;TEXT(VALUE(SUBSTITUTE(A3666,"MOV-","")),"000"))</f>
        <v/>
      </c>
    </row>
    <row r="3667" spans="18:20">
      <c r="R3667" s="22" t="str">
        <f>IF(H3667="","",H3667&amp;I3667)</f>
        <v/>
      </c>
      <c r="S3667" s="22" t="str">
        <f>IF(C3667="","",C3667&amp;I3667)</f>
        <v/>
      </c>
      <c r="T3667" t="str">
        <f>IF(OR(C3667="",I3667&lt;&gt;"ENTRADA"),"",TEXT(B3667,"AAMMDD")&amp;"-"&amp;TEXT(VALUE(SUBSTITUTE(A3667,"MOV-","")),"000"))</f>
        <v/>
      </c>
    </row>
    <row r="3668" spans="18:20">
      <c r="R3668" s="22" t="str">
        <f>IF(H3668="","",H3668&amp;I3668)</f>
        <v/>
      </c>
      <c r="S3668" s="22" t="str">
        <f>IF(C3668="","",C3668&amp;I3668)</f>
        <v/>
      </c>
      <c r="T3668" t="str">
        <f>IF(OR(C3668="",I3668&lt;&gt;"ENTRADA"),"",TEXT(B3668,"AAMMDD")&amp;"-"&amp;TEXT(VALUE(SUBSTITUTE(A3668,"MOV-","")),"000"))</f>
        <v/>
      </c>
    </row>
    <row r="3669" spans="18:20">
      <c r="R3669" s="22" t="str">
        <f>IF(H3669="","",H3669&amp;I3669)</f>
        <v/>
      </c>
      <c r="S3669" s="22" t="str">
        <f>IF(C3669="","",C3669&amp;I3669)</f>
        <v/>
      </c>
      <c r="T3669" t="str">
        <f>IF(OR(C3669="",I3669&lt;&gt;"ENTRADA"),"",TEXT(B3669,"AAMMDD")&amp;"-"&amp;TEXT(VALUE(SUBSTITUTE(A3669,"MOV-","")),"000"))</f>
        <v/>
      </c>
    </row>
    <row r="3670" spans="18:20">
      <c r="R3670" s="22" t="str">
        <f>IF(H3670="","",H3670&amp;I3670)</f>
        <v/>
      </c>
      <c r="S3670" s="22" t="str">
        <f>IF(C3670="","",C3670&amp;I3670)</f>
        <v/>
      </c>
      <c r="T3670" t="str">
        <f>IF(OR(C3670="",I3670&lt;&gt;"ENTRADA"),"",TEXT(B3670,"AAMMDD")&amp;"-"&amp;TEXT(VALUE(SUBSTITUTE(A3670,"MOV-","")),"000"))</f>
        <v/>
      </c>
    </row>
    <row r="3671" spans="18:20">
      <c r="R3671" s="22" t="str">
        <f>IF(H3671="","",H3671&amp;I3671)</f>
        <v/>
      </c>
      <c r="S3671" s="22" t="str">
        <f>IF(C3671="","",C3671&amp;I3671)</f>
        <v/>
      </c>
      <c r="T3671" t="str">
        <f>IF(OR(C3671="",I3671&lt;&gt;"ENTRADA"),"",TEXT(B3671,"AAMMDD")&amp;"-"&amp;TEXT(VALUE(SUBSTITUTE(A3671,"MOV-","")),"000"))</f>
        <v/>
      </c>
    </row>
    <row r="3672" spans="18:20">
      <c r="R3672" s="22" t="str">
        <f>IF(H3672="","",H3672&amp;I3672)</f>
        <v/>
      </c>
      <c r="S3672" s="22" t="str">
        <f>IF(C3672="","",C3672&amp;I3672)</f>
        <v/>
      </c>
      <c r="T3672" t="str">
        <f>IF(OR(C3672="",I3672&lt;&gt;"ENTRADA"),"",TEXT(B3672,"AAMMDD")&amp;"-"&amp;TEXT(VALUE(SUBSTITUTE(A3672,"MOV-","")),"000"))</f>
        <v/>
      </c>
    </row>
    <row r="3673" spans="18:20">
      <c r="R3673" s="22" t="str">
        <f>IF(H3673="","",H3673&amp;I3673)</f>
        <v/>
      </c>
      <c r="S3673" s="22" t="str">
        <f>IF(C3673="","",C3673&amp;I3673)</f>
        <v/>
      </c>
      <c r="T3673" t="str">
        <f>IF(OR(C3673="",I3673&lt;&gt;"ENTRADA"),"",TEXT(B3673,"AAMMDD")&amp;"-"&amp;TEXT(VALUE(SUBSTITUTE(A3673,"MOV-","")),"000"))</f>
        <v/>
      </c>
    </row>
    <row r="3674" spans="18:20">
      <c r="R3674" s="22" t="str">
        <f>IF(H3674="","",H3674&amp;I3674)</f>
        <v/>
      </c>
      <c r="S3674" s="22" t="str">
        <f>IF(C3674="","",C3674&amp;I3674)</f>
        <v/>
      </c>
      <c r="T3674" t="str">
        <f>IF(OR(C3674="",I3674&lt;&gt;"ENTRADA"),"",TEXT(B3674,"AAMMDD")&amp;"-"&amp;TEXT(VALUE(SUBSTITUTE(A3674,"MOV-","")),"000"))</f>
        <v/>
      </c>
    </row>
    <row r="3675" spans="18:20">
      <c r="R3675" s="22" t="str">
        <f>IF(H3675="","",H3675&amp;I3675)</f>
        <v/>
      </c>
      <c r="S3675" s="22" t="str">
        <f>IF(C3675="","",C3675&amp;I3675)</f>
        <v/>
      </c>
      <c r="T3675" t="str">
        <f>IF(OR(C3675="",I3675&lt;&gt;"ENTRADA"),"",TEXT(B3675,"AAMMDD")&amp;"-"&amp;TEXT(VALUE(SUBSTITUTE(A3675,"MOV-","")),"000"))</f>
        <v/>
      </c>
    </row>
    <row r="3676" spans="18:20">
      <c r="R3676" s="22" t="str">
        <f>IF(H3676="","",H3676&amp;I3676)</f>
        <v/>
      </c>
      <c r="S3676" s="22" t="str">
        <f>IF(C3676="","",C3676&amp;I3676)</f>
        <v/>
      </c>
      <c r="T3676" t="str">
        <f>IF(OR(C3676="",I3676&lt;&gt;"ENTRADA"),"",TEXT(B3676,"AAMMDD")&amp;"-"&amp;TEXT(VALUE(SUBSTITUTE(A3676,"MOV-","")),"000"))</f>
        <v/>
      </c>
    </row>
    <row r="3677" spans="18:20">
      <c r="R3677" s="22" t="str">
        <f>IF(H3677="","",H3677&amp;I3677)</f>
        <v/>
      </c>
      <c r="S3677" s="22" t="str">
        <f>IF(C3677="","",C3677&amp;I3677)</f>
        <v/>
      </c>
      <c r="T3677" t="str">
        <f>IF(OR(C3677="",I3677&lt;&gt;"ENTRADA"),"",TEXT(B3677,"AAMMDD")&amp;"-"&amp;TEXT(VALUE(SUBSTITUTE(A3677,"MOV-","")),"000"))</f>
        <v/>
      </c>
    </row>
    <row r="3678" spans="18:20">
      <c r="R3678" s="22" t="str">
        <f>IF(H3678="","",H3678&amp;I3678)</f>
        <v/>
      </c>
      <c r="S3678" s="22" t="str">
        <f>IF(C3678="","",C3678&amp;I3678)</f>
        <v/>
      </c>
      <c r="T3678" t="str">
        <f>IF(OR(C3678="",I3678&lt;&gt;"ENTRADA"),"",TEXT(B3678,"AAMMDD")&amp;"-"&amp;TEXT(VALUE(SUBSTITUTE(A3678,"MOV-","")),"000"))</f>
        <v/>
      </c>
    </row>
    <row r="3679" spans="18:20">
      <c r="R3679" s="22" t="str">
        <f>IF(H3679="","",H3679&amp;I3679)</f>
        <v/>
      </c>
      <c r="S3679" s="22" t="str">
        <f>IF(C3679="","",C3679&amp;I3679)</f>
        <v/>
      </c>
      <c r="T3679" t="str">
        <f>IF(OR(C3679="",I3679&lt;&gt;"ENTRADA"),"",TEXT(B3679,"AAMMDD")&amp;"-"&amp;TEXT(VALUE(SUBSTITUTE(A3679,"MOV-","")),"000"))</f>
        <v/>
      </c>
    </row>
    <row r="3680" spans="18:20">
      <c r="R3680" s="22" t="str">
        <f>IF(H3680="","",H3680&amp;I3680)</f>
        <v/>
      </c>
      <c r="S3680" s="22" t="str">
        <f>IF(C3680="","",C3680&amp;I3680)</f>
        <v/>
      </c>
      <c r="T3680" t="str">
        <f>IF(OR(C3680="",I3680&lt;&gt;"ENTRADA"),"",TEXT(B3680,"AAMMDD")&amp;"-"&amp;TEXT(VALUE(SUBSTITUTE(A3680,"MOV-","")),"000"))</f>
        <v/>
      </c>
    </row>
    <row r="3681" spans="18:20">
      <c r="R3681" s="22" t="str">
        <f>IF(H3681="","",H3681&amp;I3681)</f>
        <v/>
      </c>
      <c r="S3681" s="22" t="str">
        <f>IF(C3681="","",C3681&amp;I3681)</f>
        <v/>
      </c>
      <c r="T3681" t="str">
        <f>IF(OR(C3681="",I3681&lt;&gt;"ENTRADA"),"",TEXT(B3681,"AAMMDD")&amp;"-"&amp;TEXT(VALUE(SUBSTITUTE(A3681,"MOV-","")),"000"))</f>
        <v/>
      </c>
    </row>
    <row r="3682" spans="18:20">
      <c r="R3682" s="22" t="str">
        <f>IF(H3682="","",H3682&amp;I3682)</f>
        <v/>
      </c>
      <c r="S3682" s="22" t="str">
        <f>IF(C3682="","",C3682&amp;I3682)</f>
        <v/>
      </c>
      <c r="T3682" t="str">
        <f>IF(OR(C3682="",I3682&lt;&gt;"ENTRADA"),"",TEXT(B3682,"AAMMDD")&amp;"-"&amp;TEXT(VALUE(SUBSTITUTE(A3682,"MOV-","")),"000"))</f>
        <v/>
      </c>
    </row>
    <row r="3683" spans="18:20">
      <c r="R3683" s="22" t="str">
        <f>IF(H3683="","",H3683&amp;I3683)</f>
        <v/>
      </c>
      <c r="S3683" s="22" t="str">
        <f>IF(C3683="","",C3683&amp;I3683)</f>
        <v/>
      </c>
      <c r="T3683" t="str">
        <f>IF(OR(C3683="",I3683&lt;&gt;"ENTRADA"),"",TEXT(B3683,"AAMMDD")&amp;"-"&amp;TEXT(VALUE(SUBSTITUTE(A3683,"MOV-","")),"000"))</f>
        <v/>
      </c>
    </row>
    <row r="3684" spans="18:20">
      <c r="R3684" s="22" t="str">
        <f>IF(H3684="","",H3684&amp;I3684)</f>
        <v/>
      </c>
      <c r="S3684" s="22" t="str">
        <f>IF(C3684="","",C3684&amp;I3684)</f>
        <v/>
      </c>
      <c r="T3684" t="str">
        <f>IF(OR(C3684="",I3684&lt;&gt;"ENTRADA"),"",TEXT(B3684,"AAMMDD")&amp;"-"&amp;TEXT(VALUE(SUBSTITUTE(A3684,"MOV-","")),"000"))</f>
        <v/>
      </c>
    </row>
    <row r="3685" spans="18:20">
      <c r="R3685" s="22" t="str">
        <f>IF(H3685="","",H3685&amp;I3685)</f>
        <v/>
      </c>
      <c r="S3685" s="22" t="str">
        <f>IF(C3685="","",C3685&amp;I3685)</f>
        <v/>
      </c>
      <c r="T3685" t="str">
        <f>IF(OR(C3685="",I3685&lt;&gt;"ENTRADA"),"",TEXT(B3685,"AAMMDD")&amp;"-"&amp;TEXT(VALUE(SUBSTITUTE(A3685,"MOV-","")),"000"))</f>
        <v/>
      </c>
    </row>
    <row r="3686" spans="18:20">
      <c r="R3686" s="22" t="str">
        <f>IF(H3686="","",H3686&amp;I3686)</f>
        <v/>
      </c>
      <c r="S3686" s="22" t="str">
        <f>IF(C3686="","",C3686&amp;I3686)</f>
        <v/>
      </c>
      <c r="T3686" t="str">
        <f>IF(OR(C3686="",I3686&lt;&gt;"ENTRADA"),"",TEXT(B3686,"AAMMDD")&amp;"-"&amp;TEXT(VALUE(SUBSTITUTE(A3686,"MOV-","")),"000"))</f>
        <v/>
      </c>
    </row>
    <row r="3687" spans="18:20">
      <c r="R3687" s="22" t="str">
        <f>IF(H3687="","",H3687&amp;I3687)</f>
        <v/>
      </c>
      <c r="S3687" s="22" t="str">
        <f>IF(C3687="","",C3687&amp;I3687)</f>
        <v/>
      </c>
      <c r="T3687" t="str">
        <f>IF(OR(C3687="",I3687&lt;&gt;"ENTRADA"),"",TEXT(B3687,"AAMMDD")&amp;"-"&amp;TEXT(VALUE(SUBSTITUTE(A3687,"MOV-","")),"000"))</f>
        <v/>
      </c>
    </row>
    <row r="3688" spans="18:20">
      <c r="R3688" s="22" t="str">
        <f>IF(H3688="","",H3688&amp;I3688)</f>
        <v/>
      </c>
      <c r="S3688" s="22" t="str">
        <f>IF(C3688="","",C3688&amp;I3688)</f>
        <v/>
      </c>
      <c r="T3688" t="str">
        <f>IF(OR(C3688="",I3688&lt;&gt;"ENTRADA"),"",TEXT(B3688,"AAMMDD")&amp;"-"&amp;TEXT(VALUE(SUBSTITUTE(A3688,"MOV-","")),"000"))</f>
        <v/>
      </c>
    </row>
    <row r="3689" spans="18:20">
      <c r="R3689" s="22" t="str">
        <f>IF(H3689="","",H3689&amp;I3689)</f>
        <v/>
      </c>
      <c r="S3689" s="22" t="str">
        <f>IF(C3689="","",C3689&amp;I3689)</f>
        <v/>
      </c>
      <c r="T3689" t="str">
        <f>IF(OR(C3689="",I3689&lt;&gt;"ENTRADA"),"",TEXT(B3689,"AAMMDD")&amp;"-"&amp;TEXT(VALUE(SUBSTITUTE(A3689,"MOV-","")),"000"))</f>
        <v/>
      </c>
    </row>
    <row r="3690" spans="18:20">
      <c r="R3690" s="22" t="str">
        <f>IF(H3690="","",H3690&amp;I3690)</f>
        <v/>
      </c>
      <c r="S3690" s="22" t="str">
        <f>IF(C3690="","",C3690&amp;I3690)</f>
        <v/>
      </c>
      <c r="T3690" t="str">
        <f>IF(OR(C3690="",I3690&lt;&gt;"ENTRADA"),"",TEXT(B3690,"AAMMDD")&amp;"-"&amp;TEXT(VALUE(SUBSTITUTE(A3690,"MOV-","")),"000"))</f>
        <v/>
      </c>
    </row>
    <row r="3691" spans="18:20">
      <c r="R3691" s="22" t="str">
        <f>IF(H3691="","",H3691&amp;I3691)</f>
        <v/>
      </c>
      <c r="S3691" s="22" t="str">
        <f>IF(C3691="","",C3691&amp;I3691)</f>
        <v/>
      </c>
      <c r="T3691" t="str">
        <f>IF(OR(C3691="",I3691&lt;&gt;"ENTRADA"),"",TEXT(B3691,"AAMMDD")&amp;"-"&amp;TEXT(VALUE(SUBSTITUTE(A3691,"MOV-","")),"000"))</f>
        <v/>
      </c>
    </row>
    <row r="3692" spans="18:20">
      <c r="R3692" s="22" t="str">
        <f>IF(H3692="","",H3692&amp;I3692)</f>
        <v/>
      </c>
      <c r="S3692" s="22" t="str">
        <f>IF(C3692="","",C3692&amp;I3692)</f>
        <v/>
      </c>
      <c r="T3692" t="str">
        <f>IF(OR(C3692="",I3692&lt;&gt;"ENTRADA"),"",TEXT(B3692,"AAMMDD")&amp;"-"&amp;TEXT(VALUE(SUBSTITUTE(A3692,"MOV-","")),"000"))</f>
        <v/>
      </c>
    </row>
    <row r="3693" spans="18:20">
      <c r="R3693" s="22" t="str">
        <f>IF(H3693="","",H3693&amp;I3693)</f>
        <v/>
      </c>
      <c r="S3693" s="22" t="str">
        <f>IF(C3693="","",C3693&amp;I3693)</f>
        <v/>
      </c>
      <c r="T3693" t="str">
        <f>IF(OR(C3693="",I3693&lt;&gt;"ENTRADA"),"",TEXT(B3693,"AAMMDD")&amp;"-"&amp;TEXT(VALUE(SUBSTITUTE(A3693,"MOV-","")),"000"))</f>
        <v/>
      </c>
    </row>
    <row r="3694" spans="18:20">
      <c r="R3694" s="22" t="str">
        <f>IF(H3694="","",H3694&amp;I3694)</f>
        <v/>
      </c>
      <c r="S3694" s="22" t="str">
        <f>IF(C3694="","",C3694&amp;I3694)</f>
        <v/>
      </c>
      <c r="T3694" t="str">
        <f>IF(OR(C3694="",I3694&lt;&gt;"ENTRADA"),"",TEXT(B3694,"AAMMDD")&amp;"-"&amp;TEXT(VALUE(SUBSTITUTE(A3694,"MOV-","")),"000"))</f>
        <v/>
      </c>
    </row>
    <row r="3695" spans="18:20">
      <c r="R3695" s="22" t="str">
        <f>IF(H3695="","",H3695&amp;I3695)</f>
        <v/>
      </c>
      <c r="S3695" s="22" t="str">
        <f>IF(C3695="","",C3695&amp;I3695)</f>
        <v/>
      </c>
      <c r="T3695" t="str">
        <f>IF(OR(C3695="",I3695&lt;&gt;"ENTRADA"),"",TEXT(B3695,"AAMMDD")&amp;"-"&amp;TEXT(VALUE(SUBSTITUTE(A3695,"MOV-","")),"000"))</f>
        <v/>
      </c>
    </row>
    <row r="3696" spans="18:20">
      <c r="R3696" s="22" t="str">
        <f>IF(H3696="","",H3696&amp;I3696)</f>
        <v/>
      </c>
      <c r="S3696" s="22" t="str">
        <f>IF(C3696="","",C3696&amp;I3696)</f>
        <v/>
      </c>
      <c r="T3696" t="str">
        <f>IF(OR(C3696="",I3696&lt;&gt;"ENTRADA"),"",TEXT(B3696,"AAMMDD")&amp;"-"&amp;TEXT(VALUE(SUBSTITUTE(A3696,"MOV-","")),"000"))</f>
        <v/>
      </c>
    </row>
    <row r="3697" spans="18:20">
      <c r="R3697" s="22" t="str">
        <f>IF(H3697="","",H3697&amp;I3697)</f>
        <v/>
      </c>
      <c r="S3697" s="22" t="str">
        <f>IF(C3697="","",C3697&amp;I3697)</f>
        <v/>
      </c>
      <c r="T3697" t="str">
        <f>IF(OR(C3697="",I3697&lt;&gt;"ENTRADA"),"",TEXT(B3697,"AAMMDD")&amp;"-"&amp;TEXT(VALUE(SUBSTITUTE(A3697,"MOV-","")),"000"))</f>
        <v/>
      </c>
    </row>
    <row r="3698" spans="18:20">
      <c r="R3698" s="22" t="str">
        <f>IF(H3698="","",H3698&amp;I3698)</f>
        <v/>
      </c>
      <c r="S3698" s="22" t="str">
        <f>IF(C3698="","",C3698&amp;I3698)</f>
        <v/>
      </c>
      <c r="T3698" t="str">
        <f>IF(OR(C3698="",I3698&lt;&gt;"ENTRADA"),"",TEXT(B3698,"AAMMDD")&amp;"-"&amp;TEXT(VALUE(SUBSTITUTE(A3698,"MOV-","")),"000"))</f>
        <v/>
      </c>
    </row>
    <row r="3699" spans="18:20">
      <c r="R3699" s="22" t="str">
        <f>IF(H3699="","",H3699&amp;I3699)</f>
        <v/>
      </c>
      <c r="S3699" s="22" t="str">
        <f>IF(C3699="","",C3699&amp;I3699)</f>
        <v/>
      </c>
      <c r="T3699" t="str">
        <f>IF(OR(C3699="",I3699&lt;&gt;"ENTRADA"),"",TEXT(B3699,"AAMMDD")&amp;"-"&amp;TEXT(VALUE(SUBSTITUTE(A3699,"MOV-","")),"000"))</f>
        <v/>
      </c>
    </row>
    <row r="3700" spans="18:20">
      <c r="R3700" s="22" t="str">
        <f>IF(H3700="","",H3700&amp;I3700)</f>
        <v/>
      </c>
      <c r="S3700" s="22" t="str">
        <f>IF(C3700="","",C3700&amp;I3700)</f>
        <v/>
      </c>
      <c r="T3700" t="str">
        <f>IF(OR(C3700="",I3700&lt;&gt;"ENTRADA"),"",TEXT(B3700,"AAMMDD")&amp;"-"&amp;TEXT(VALUE(SUBSTITUTE(A3700,"MOV-","")),"000"))</f>
        <v/>
      </c>
    </row>
    <row r="3701" spans="18:20">
      <c r="R3701" s="22" t="str">
        <f>IF(H3701="","",H3701&amp;I3701)</f>
        <v/>
      </c>
      <c r="S3701" s="22" t="str">
        <f>IF(C3701="","",C3701&amp;I3701)</f>
        <v/>
      </c>
      <c r="T3701" t="str">
        <f>IF(OR(C3701="",I3701&lt;&gt;"ENTRADA"),"",TEXT(B3701,"AAMMDD")&amp;"-"&amp;TEXT(VALUE(SUBSTITUTE(A3701,"MOV-","")),"000"))</f>
        <v/>
      </c>
    </row>
    <row r="3702" spans="18:20">
      <c r="R3702" s="22" t="str">
        <f>IF(H3702="","",H3702&amp;I3702)</f>
        <v/>
      </c>
      <c r="S3702" s="22" t="str">
        <f>IF(C3702="","",C3702&amp;I3702)</f>
        <v/>
      </c>
      <c r="T3702" t="str">
        <f>IF(OR(C3702="",I3702&lt;&gt;"ENTRADA"),"",TEXT(B3702,"AAMMDD")&amp;"-"&amp;TEXT(VALUE(SUBSTITUTE(A3702,"MOV-","")),"000"))</f>
        <v/>
      </c>
    </row>
    <row r="3703" spans="18:20">
      <c r="R3703" s="22" t="str">
        <f>IF(H3703="","",H3703&amp;I3703)</f>
        <v/>
      </c>
      <c r="S3703" s="22" t="str">
        <f>IF(C3703="","",C3703&amp;I3703)</f>
        <v/>
      </c>
      <c r="T3703" t="str">
        <f>IF(OR(C3703="",I3703&lt;&gt;"ENTRADA"),"",TEXT(B3703,"AAMMDD")&amp;"-"&amp;TEXT(VALUE(SUBSTITUTE(A3703,"MOV-","")),"000"))</f>
        <v/>
      </c>
    </row>
    <row r="3704" spans="18:20">
      <c r="R3704" s="22" t="str">
        <f>IF(H3704="","",H3704&amp;I3704)</f>
        <v/>
      </c>
      <c r="S3704" s="22" t="str">
        <f>IF(C3704="","",C3704&amp;I3704)</f>
        <v/>
      </c>
      <c r="T3704" t="str">
        <f>IF(OR(C3704="",I3704&lt;&gt;"ENTRADA"),"",TEXT(B3704,"AAMMDD")&amp;"-"&amp;TEXT(VALUE(SUBSTITUTE(A3704,"MOV-","")),"000"))</f>
        <v/>
      </c>
    </row>
    <row r="3705" spans="18:20">
      <c r="R3705" s="22" t="str">
        <f>IF(H3705="","",H3705&amp;I3705)</f>
        <v/>
      </c>
      <c r="S3705" s="22" t="str">
        <f>IF(C3705="","",C3705&amp;I3705)</f>
        <v/>
      </c>
      <c r="T3705" t="str">
        <f>IF(OR(C3705="",I3705&lt;&gt;"ENTRADA"),"",TEXT(B3705,"AAMMDD")&amp;"-"&amp;TEXT(VALUE(SUBSTITUTE(A3705,"MOV-","")),"000"))</f>
        <v/>
      </c>
    </row>
    <row r="3706" spans="18:20">
      <c r="R3706" s="22" t="str">
        <f>IF(H3706="","",H3706&amp;I3706)</f>
        <v/>
      </c>
      <c r="S3706" s="22" t="str">
        <f>IF(C3706="","",C3706&amp;I3706)</f>
        <v/>
      </c>
      <c r="T3706" t="str">
        <f>IF(OR(C3706="",I3706&lt;&gt;"ENTRADA"),"",TEXT(B3706,"AAMMDD")&amp;"-"&amp;TEXT(VALUE(SUBSTITUTE(A3706,"MOV-","")),"000"))</f>
        <v/>
      </c>
    </row>
    <row r="3707" spans="18:20">
      <c r="R3707" s="22" t="str">
        <f>IF(H3707="","",H3707&amp;I3707)</f>
        <v/>
      </c>
      <c r="S3707" s="22" t="str">
        <f>IF(C3707="","",C3707&amp;I3707)</f>
        <v/>
      </c>
      <c r="T3707" t="str">
        <f>IF(OR(C3707="",I3707&lt;&gt;"ENTRADA"),"",TEXT(B3707,"AAMMDD")&amp;"-"&amp;TEXT(VALUE(SUBSTITUTE(A3707,"MOV-","")),"000"))</f>
        <v/>
      </c>
    </row>
    <row r="3708" spans="18:20">
      <c r="R3708" s="22" t="str">
        <f>IF(H3708="","",H3708&amp;I3708)</f>
        <v/>
      </c>
      <c r="S3708" s="22" t="str">
        <f>IF(C3708="","",C3708&amp;I3708)</f>
        <v/>
      </c>
      <c r="T3708" t="str">
        <f>IF(OR(C3708="",I3708&lt;&gt;"ENTRADA"),"",TEXT(B3708,"AAMMDD")&amp;"-"&amp;TEXT(VALUE(SUBSTITUTE(A3708,"MOV-","")),"000"))</f>
        <v/>
      </c>
    </row>
    <row r="3709" spans="18:20">
      <c r="R3709" s="22" t="str">
        <f>IF(H3709="","",H3709&amp;I3709)</f>
        <v/>
      </c>
      <c r="S3709" s="22" t="str">
        <f>IF(C3709="","",C3709&amp;I3709)</f>
        <v/>
      </c>
      <c r="T3709" t="str">
        <f>IF(OR(C3709="",I3709&lt;&gt;"ENTRADA"),"",TEXT(B3709,"AAMMDD")&amp;"-"&amp;TEXT(VALUE(SUBSTITUTE(A3709,"MOV-","")),"000"))</f>
        <v/>
      </c>
    </row>
    <row r="3710" spans="18:20">
      <c r="R3710" s="22" t="str">
        <f>IF(H3710="","",H3710&amp;I3710)</f>
        <v/>
      </c>
      <c r="S3710" s="22" t="str">
        <f>IF(C3710="","",C3710&amp;I3710)</f>
        <v/>
      </c>
      <c r="T3710" t="str">
        <f>IF(OR(C3710="",I3710&lt;&gt;"ENTRADA"),"",TEXT(B3710,"AAMMDD")&amp;"-"&amp;TEXT(VALUE(SUBSTITUTE(A3710,"MOV-","")),"000"))</f>
        <v/>
      </c>
    </row>
    <row r="3711" spans="18:20">
      <c r="R3711" s="22" t="str">
        <f>IF(H3711="","",H3711&amp;I3711)</f>
        <v/>
      </c>
      <c r="S3711" s="22" t="str">
        <f>IF(C3711="","",C3711&amp;I3711)</f>
        <v/>
      </c>
      <c r="T3711" t="str">
        <f>IF(OR(C3711="",I3711&lt;&gt;"ENTRADA"),"",TEXT(B3711,"AAMMDD")&amp;"-"&amp;TEXT(VALUE(SUBSTITUTE(A3711,"MOV-","")),"000"))</f>
        <v/>
      </c>
    </row>
    <row r="3712" spans="18:20">
      <c r="R3712" s="22" t="str">
        <f>IF(H3712="","",H3712&amp;I3712)</f>
        <v/>
      </c>
      <c r="S3712" s="22" t="str">
        <f>IF(C3712="","",C3712&amp;I3712)</f>
        <v/>
      </c>
      <c r="T3712" t="str">
        <f>IF(OR(C3712="",I3712&lt;&gt;"ENTRADA"),"",TEXT(B3712,"AAMMDD")&amp;"-"&amp;TEXT(VALUE(SUBSTITUTE(A3712,"MOV-","")),"000"))</f>
        <v/>
      </c>
    </row>
    <row r="3713" spans="18:20">
      <c r="R3713" s="22" t="str">
        <f>IF(H3713="","",H3713&amp;I3713)</f>
        <v/>
      </c>
      <c r="S3713" s="22" t="str">
        <f>IF(C3713="","",C3713&amp;I3713)</f>
        <v/>
      </c>
      <c r="T3713" t="str">
        <f>IF(OR(C3713="",I3713&lt;&gt;"ENTRADA"),"",TEXT(B3713,"AAMMDD")&amp;"-"&amp;TEXT(VALUE(SUBSTITUTE(A3713,"MOV-","")),"000"))</f>
        <v/>
      </c>
    </row>
    <row r="3714" spans="18:20">
      <c r="R3714" s="22" t="str">
        <f>IF(H3714="","",H3714&amp;I3714)</f>
        <v/>
      </c>
      <c r="S3714" s="22" t="str">
        <f>IF(C3714="","",C3714&amp;I3714)</f>
        <v/>
      </c>
      <c r="T3714" t="str">
        <f>IF(OR(C3714="",I3714&lt;&gt;"ENTRADA"),"",TEXT(B3714,"AAMMDD")&amp;"-"&amp;TEXT(VALUE(SUBSTITUTE(A3714,"MOV-","")),"000"))</f>
        <v/>
      </c>
    </row>
    <row r="3715" spans="18:20">
      <c r="R3715" s="22" t="str">
        <f>IF(H3715="","",H3715&amp;I3715)</f>
        <v/>
      </c>
      <c r="S3715" s="22" t="str">
        <f>IF(C3715="","",C3715&amp;I3715)</f>
        <v/>
      </c>
      <c r="T3715" t="str">
        <f>IF(OR(C3715="",I3715&lt;&gt;"ENTRADA"),"",TEXT(B3715,"AAMMDD")&amp;"-"&amp;TEXT(VALUE(SUBSTITUTE(A3715,"MOV-","")),"000"))</f>
        <v/>
      </c>
    </row>
    <row r="3716" spans="18:20">
      <c r="R3716" s="22" t="str">
        <f>IF(H3716="","",H3716&amp;I3716)</f>
        <v/>
      </c>
      <c r="S3716" s="22" t="str">
        <f>IF(C3716="","",C3716&amp;I3716)</f>
        <v/>
      </c>
      <c r="T3716" t="str">
        <f>IF(OR(C3716="",I3716&lt;&gt;"ENTRADA"),"",TEXT(B3716,"AAMMDD")&amp;"-"&amp;TEXT(VALUE(SUBSTITUTE(A3716,"MOV-","")),"000"))</f>
        <v/>
      </c>
    </row>
    <row r="3717" spans="18:20">
      <c r="R3717" s="22" t="str">
        <f>IF(H3717="","",H3717&amp;I3717)</f>
        <v/>
      </c>
      <c r="S3717" s="22" t="str">
        <f>IF(C3717="","",C3717&amp;I3717)</f>
        <v/>
      </c>
      <c r="T3717" t="str">
        <f>IF(OR(C3717="",I3717&lt;&gt;"ENTRADA"),"",TEXT(B3717,"AAMMDD")&amp;"-"&amp;TEXT(VALUE(SUBSTITUTE(A3717,"MOV-","")),"000"))</f>
        <v/>
      </c>
    </row>
    <row r="3718" spans="18:20">
      <c r="R3718" s="22" t="str">
        <f>IF(H3718="","",H3718&amp;I3718)</f>
        <v/>
      </c>
      <c r="S3718" s="22" t="str">
        <f>IF(C3718="","",C3718&amp;I3718)</f>
        <v/>
      </c>
      <c r="T3718" t="str">
        <f>IF(OR(C3718="",I3718&lt;&gt;"ENTRADA"),"",TEXT(B3718,"AAMMDD")&amp;"-"&amp;TEXT(VALUE(SUBSTITUTE(A3718,"MOV-","")),"000"))</f>
        <v/>
      </c>
    </row>
    <row r="3719" spans="18:20">
      <c r="R3719" s="22" t="str">
        <f>IF(H3719="","",H3719&amp;I3719)</f>
        <v/>
      </c>
      <c r="S3719" s="22" t="str">
        <f>IF(C3719="","",C3719&amp;I3719)</f>
        <v/>
      </c>
      <c r="T3719" t="str">
        <f>IF(OR(C3719="",I3719&lt;&gt;"ENTRADA"),"",TEXT(B3719,"AAMMDD")&amp;"-"&amp;TEXT(VALUE(SUBSTITUTE(A3719,"MOV-","")),"000"))</f>
        <v/>
      </c>
    </row>
    <row r="3720" spans="18:20">
      <c r="R3720" s="22" t="str">
        <f>IF(H3720="","",H3720&amp;I3720)</f>
        <v/>
      </c>
      <c r="S3720" s="22" t="str">
        <f>IF(C3720="","",C3720&amp;I3720)</f>
        <v/>
      </c>
      <c r="T3720" t="str">
        <f>IF(OR(C3720="",I3720&lt;&gt;"ENTRADA"),"",TEXT(B3720,"AAMMDD")&amp;"-"&amp;TEXT(VALUE(SUBSTITUTE(A3720,"MOV-","")),"000"))</f>
        <v/>
      </c>
    </row>
    <row r="3721" spans="18:20">
      <c r="R3721" s="22" t="str">
        <f>IF(H3721="","",H3721&amp;I3721)</f>
        <v/>
      </c>
      <c r="S3721" s="22" t="str">
        <f>IF(C3721="","",C3721&amp;I3721)</f>
        <v/>
      </c>
      <c r="T3721" t="str">
        <f>IF(OR(C3721="",I3721&lt;&gt;"ENTRADA"),"",TEXT(B3721,"AAMMDD")&amp;"-"&amp;TEXT(VALUE(SUBSTITUTE(A3721,"MOV-","")),"000"))</f>
        <v/>
      </c>
    </row>
    <row r="3722" spans="18:20">
      <c r="R3722" s="22" t="str">
        <f>IF(H3722="","",H3722&amp;I3722)</f>
        <v/>
      </c>
      <c r="S3722" s="22" t="str">
        <f>IF(C3722="","",C3722&amp;I3722)</f>
        <v/>
      </c>
      <c r="T3722" t="str">
        <f>IF(OR(C3722="",I3722&lt;&gt;"ENTRADA"),"",TEXT(B3722,"AAMMDD")&amp;"-"&amp;TEXT(VALUE(SUBSTITUTE(A3722,"MOV-","")),"000"))</f>
        <v/>
      </c>
    </row>
    <row r="3723" spans="18:20">
      <c r="R3723" s="22" t="str">
        <f>IF(H3723="","",H3723&amp;I3723)</f>
        <v/>
      </c>
      <c r="S3723" s="22" t="str">
        <f>IF(C3723="","",C3723&amp;I3723)</f>
        <v/>
      </c>
      <c r="T3723" t="str">
        <f>IF(OR(C3723="",I3723&lt;&gt;"ENTRADA"),"",TEXT(B3723,"AAMMDD")&amp;"-"&amp;TEXT(VALUE(SUBSTITUTE(A3723,"MOV-","")),"000"))</f>
        <v/>
      </c>
    </row>
    <row r="3724" spans="18:20">
      <c r="R3724" s="22" t="str">
        <f>IF(H3724="","",H3724&amp;I3724)</f>
        <v/>
      </c>
      <c r="S3724" s="22" t="str">
        <f>IF(C3724="","",C3724&amp;I3724)</f>
        <v/>
      </c>
      <c r="T3724" t="str">
        <f>IF(OR(C3724="",I3724&lt;&gt;"ENTRADA"),"",TEXT(B3724,"AAMMDD")&amp;"-"&amp;TEXT(VALUE(SUBSTITUTE(A3724,"MOV-","")),"000"))</f>
        <v/>
      </c>
    </row>
    <row r="3725" spans="18:20">
      <c r="R3725" s="22" t="str">
        <f>IF(H3725="","",H3725&amp;I3725)</f>
        <v/>
      </c>
      <c r="S3725" s="22" t="str">
        <f>IF(C3725="","",C3725&amp;I3725)</f>
        <v/>
      </c>
      <c r="T3725" t="str">
        <f>IF(OR(C3725="",I3725&lt;&gt;"ENTRADA"),"",TEXT(B3725,"AAMMDD")&amp;"-"&amp;TEXT(VALUE(SUBSTITUTE(A3725,"MOV-","")),"000"))</f>
        <v/>
      </c>
    </row>
    <row r="3726" spans="18:20">
      <c r="R3726" s="22" t="str">
        <f>IF(H3726="","",H3726&amp;I3726)</f>
        <v/>
      </c>
      <c r="S3726" s="22" t="str">
        <f>IF(C3726="","",C3726&amp;I3726)</f>
        <v/>
      </c>
      <c r="T3726" t="str">
        <f>IF(OR(C3726="",I3726&lt;&gt;"ENTRADA"),"",TEXT(B3726,"AAMMDD")&amp;"-"&amp;TEXT(VALUE(SUBSTITUTE(A3726,"MOV-","")),"000"))</f>
        <v/>
      </c>
    </row>
    <row r="3727" spans="18:20">
      <c r="R3727" s="22" t="str">
        <f>IF(H3727="","",H3727&amp;I3727)</f>
        <v/>
      </c>
      <c r="S3727" s="22" t="str">
        <f>IF(C3727="","",C3727&amp;I3727)</f>
        <v/>
      </c>
      <c r="T3727" t="str">
        <f>IF(OR(C3727="",I3727&lt;&gt;"ENTRADA"),"",TEXT(B3727,"AAMMDD")&amp;"-"&amp;TEXT(VALUE(SUBSTITUTE(A3727,"MOV-","")),"000"))</f>
        <v/>
      </c>
    </row>
    <row r="3728" spans="18:20">
      <c r="R3728" s="22" t="str">
        <f>IF(H3728="","",H3728&amp;I3728)</f>
        <v/>
      </c>
      <c r="S3728" s="22" t="str">
        <f>IF(C3728="","",C3728&amp;I3728)</f>
        <v/>
      </c>
      <c r="T3728" t="str">
        <f>IF(OR(C3728="",I3728&lt;&gt;"ENTRADA"),"",TEXT(B3728,"AAMMDD")&amp;"-"&amp;TEXT(VALUE(SUBSTITUTE(A3728,"MOV-","")),"000"))</f>
        <v/>
      </c>
    </row>
    <row r="3729" spans="18:20">
      <c r="R3729" s="22" t="str">
        <f>IF(H3729="","",H3729&amp;I3729)</f>
        <v/>
      </c>
      <c r="S3729" s="22" t="str">
        <f>IF(C3729="","",C3729&amp;I3729)</f>
        <v/>
      </c>
      <c r="T3729" t="str">
        <f>IF(OR(C3729="",I3729&lt;&gt;"ENTRADA"),"",TEXT(B3729,"AAMMDD")&amp;"-"&amp;TEXT(VALUE(SUBSTITUTE(A3729,"MOV-","")),"000"))</f>
        <v/>
      </c>
    </row>
    <row r="3730" spans="18:20">
      <c r="R3730" s="22" t="str">
        <f>IF(H3730="","",H3730&amp;I3730)</f>
        <v/>
      </c>
      <c r="S3730" s="22" t="str">
        <f>IF(C3730="","",C3730&amp;I3730)</f>
        <v/>
      </c>
      <c r="T3730" t="str">
        <f>IF(OR(C3730="",I3730&lt;&gt;"ENTRADA"),"",TEXT(B3730,"AAMMDD")&amp;"-"&amp;TEXT(VALUE(SUBSTITUTE(A3730,"MOV-","")),"000"))</f>
        <v/>
      </c>
    </row>
    <row r="3731" spans="18:20">
      <c r="R3731" s="22" t="str">
        <f>IF(H3731="","",H3731&amp;I3731)</f>
        <v/>
      </c>
      <c r="S3731" s="22" t="str">
        <f>IF(C3731="","",C3731&amp;I3731)</f>
        <v/>
      </c>
      <c r="T3731" t="str">
        <f>IF(OR(C3731="",I3731&lt;&gt;"ENTRADA"),"",TEXT(B3731,"AAMMDD")&amp;"-"&amp;TEXT(VALUE(SUBSTITUTE(A3731,"MOV-","")),"000"))</f>
        <v/>
      </c>
    </row>
    <row r="3732" spans="18:20">
      <c r="R3732" s="22" t="str">
        <f>IF(H3732="","",H3732&amp;I3732)</f>
        <v/>
      </c>
      <c r="S3732" s="22" t="str">
        <f>IF(C3732="","",C3732&amp;I3732)</f>
        <v/>
      </c>
      <c r="T3732" t="str">
        <f>IF(OR(C3732="",I3732&lt;&gt;"ENTRADA"),"",TEXT(B3732,"AAMMDD")&amp;"-"&amp;TEXT(VALUE(SUBSTITUTE(A3732,"MOV-","")),"000"))</f>
        <v/>
      </c>
    </row>
    <row r="3733" spans="18:20">
      <c r="R3733" s="22" t="str">
        <f>IF(H3733="","",H3733&amp;I3733)</f>
        <v/>
      </c>
      <c r="S3733" s="22" t="str">
        <f>IF(C3733="","",C3733&amp;I3733)</f>
        <v/>
      </c>
      <c r="T3733" t="str">
        <f>IF(OR(C3733="",I3733&lt;&gt;"ENTRADA"),"",TEXT(B3733,"AAMMDD")&amp;"-"&amp;TEXT(VALUE(SUBSTITUTE(A3733,"MOV-","")),"000"))</f>
        <v/>
      </c>
    </row>
    <row r="3734" spans="18:20">
      <c r="R3734" s="22" t="str">
        <f>IF(H3734="","",H3734&amp;I3734)</f>
        <v/>
      </c>
      <c r="S3734" s="22" t="str">
        <f>IF(C3734="","",C3734&amp;I3734)</f>
        <v/>
      </c>
      <c r="T3734" t="str">
        <f>IF(OR(C3734="",I3734&lt;&gt;"ENTRADA"),"",TEXT(B3734,"AAMMDD")&amp;"-"&amp;TEXT(VALUE(SUBSTITUTE(A3734,"MOV-","")),"000"))</f>
        <v/>
      </c>
    </row>
    <row r="3735" spans="18:20">
      <c r="R3735" s="22" t="str">
        <f>IF(H3735="","",H3735&amp;I3735)</f>
        <v/>
      </c>
      <c r="S3735" s="22" t="str">
        <f>IF(C3735="","",C3735&amp;I3735)</f>
        <v/>
      </c>
      <c r="T3735" t="str">
        <f>IF(OR(C3735="",I3735&lt;&gt;"ENTRADA"),"",TEXT(B3735,"AAMMDD")&amp;"-"&amp;TEXT(VALUE(SUBSTITUTE(A3735,"MOV-","")),"000"))</f>
        <v/>
      </c>
    </row>
    <row r="3736" spans="18:20">
      <c r="R3736" s="22" t="str">
        <f>IF(H3736="","",H3736&amp;I3736)</f>
        <v/>
      </c>
      <c r="S3736" s="22" t="str">
        <f>IF(C3736="","",C3736&amp;I3736)</f>
        <v/>
      </c>
      <c r="T3736" t="str">
        <f>IF(OR(C3736="",I3736&lt;&gt;"ENTRADA"),"",TEXT(B3736,"AAMMDD")&amp;"-"&amp;TEXT(VALUE(SUBSTITUTE(A3736,"MOV-","")),"000"))</f>
        <v/>
      </c>
    </row>
    <row r="3737" spans="18:20">
      <c r="R3737" s="22" t="str">
        <f>IF(H3737="","",H3737&amp;I3737)</f>
        <v/>
      </c>
      <c r="S3737" s="22" t="str">
        <f>IF(C3737="","",C3737&amp;I3737)</f>
        <v/>
      </c>
      <c r="T3737" t="str">
        <f>IF(OR(C3737="",I3737&lt;&gt;"ENTRADA"),"",TEXT(B3737,"AAMMDD")&amp;"-"&amp;TEXT(VALUE(SUBSTITUTE(A3737,"MOV-","")),"000"))</f>
        <v/>
      </c>
    </row>
    <row r="3738" spans="18:20">
      <c r="R3738" s="22" t="str">
        <f>IF(H3738="","",H3738&amp;I3738)</f>
        <v/>
      </c>
      <c r="S3738" s="22" t="str">
        <f>IF(C3738="","",C3738&amp;I3738)</f>
        <v/>
      </c>
      <c r="T3738" t="str">
        <f>IF(OR(C3738="",I3738&lt;&gt;"ENTRADA"),"",TEXT(B3738,"AAMMDD")&amp;"-"&amp;TEXT(VALUE(SUBSTITUTE(A3738,"MOV-","")),"000"))</f>
        <v/>
      </c>
    </row>
    <row r="3739" spans="18:20">
      <c r="R3739" s="22" t="str">
        <f>IF(H3739="","",H3739&amp;I3739)</f>
        <v/>
      </c>
      <c r="S3739" s="22" t="str">
        <f>IF(C3739="","",C3739&amp;I3739)</f>
        <v/>
      </c>
      <c r="T3739" t="str">
        <f>IF(OR(C3739="",I3739&lt;&gt;"ENTRADA"),"",TEXT(B3739,"AAMMDD")&amp;"-"&amp;TEXT(VALUE(SUBSTITUTE(A3739,"MOV-","")),"000"))</f>
        <v/>
      </c>
    </row>
    <row r="3740" spans="18:20">
      <c r="R3740" s="22" t="str">
        <f>IF(H3740="","",H3740&amp;I3740)</f>
        <v/>
      </c>
      <c r="S3740" s="22" t="str">
        <f>IF(C3740="","",C3740&amp;I3740)</f>
        <v/>
      </c>
      <c r="T3740" t="str">
        <f>IF(OR(C3740="",I3740&lt;&gt;"ENTRADA"),"",TEXT(B3740,"AAMMDD")&amp;"-"&amp;TEXT(VALUE(SUBSTITUTE(A3740,"MOV-","")),"000"))</f>
        <v/>
      </c>
    </row>
    <row r="3741" spans="18:20">
      <c r="R3741" s="22" t="str">
        <f>IF(H3741="","",H3741&amp;I3741)</f>
        <v/>
      </c>
      <c r="S3741" s="22" t="str">
        <f>IF(C3741="","",C3741&amp;I3741)</f>
        <v/>
      </c>
      <c r="T3741" t="str">
        <f>IF(OR(C3741="",I3741&lt;&gt;"ENTRADA"),"",TEXT(B3741,"AAMMDD")&amp;"-"&amp;TEXT(VALUE(SUBSTITUTE(A3741,"MOV-","")),"000"))</f>
        <v/>
      </c>
    </row>
    <row r="3742" spans="18:20">
      <c r="R3742" s="22" t="str">
        <f>IF(H3742="","",H3742&amp;I3742)</f>
        <v/>
      </c>
      <c r="S3742" s="22" t="str">
        <f>IF(C3742="","",C3742&amp;I3742)</f>
        <v/>
      </c>
      <c r="T3742" t="str">
        <f>IF(OR(C3742="",I3742&lt;&gt;"ENTRADA"),"",TEXT(B3742,"AAMMDD")&amp;"-"&amp;TEXT(VALUE(SUBSTITUTE(A3742,"MOV-","")),"000"))</f>
        <v/>
      </c>
    </row>
    <row r="3743" spans="18:20">
      <c r="R3743" s="22" t="str">
        <f>IF(H3743="","",H3743&amp;I3743)</f>
        <v/>
      </c>
      <c r="S3743" s="22" t="str">
        <f>IF(C3743="","",C3743&amp;I3743)</f>
        <v/>
      </c>
      <c r="T3743" t="str">
        <f>IF(OR(C3743="",I3743&lt;&gt;"ENTRADA"),"",TEXT(B3743,"AAMMDD")&amp;"-"&amp;TEXT(VALUE(SUBSTITUTE(A3743,"MOV-","")),"000"))</f>
        <v/>
      </c>
    </row>
    <row r="3744" spans="18:20">
      <c r="R3744" s="22" t="str">
        <f>IF(H3744="","",H3744&amp;I3744)</f>
        <v/>
      </c>
      <c r="S3744" s="22" t="str">
        <f>IF(C3744="","",C3744&amp;I3744)</f>
        <v/>
      </c>
      <c r="T3744" t="str">
        <f>IF(OR(C3744="",I3744&lt;&gt;"ENTRADA"),"",TEXT(B3744,"AAMMDD")&amp;"-"&amp;TEXT(VALUE(SUBSTITUTE(A3744,"MOV-","")),"000"))</f>
        <v/>
      </c>
    </row>
    <row r="3745" spans="18:20">
      <c r="R3745" s="22" t="str">
        <f>IF(H3745="","",H3745&amp;I3745)</f>
        <v/>
      </c>
      <c r="S3745" s="22" t="str">
        <f>IF(C3745="","",C3745&amp;I3745)</f>
        <v/>
      </c>
      <c r="T3745" t="str">
        <f>IF(OR(C3745="",I3745&lt;&gt;"ENTRADA"),"",TEXT(B3745,"AAMMDD")&amp;"-"&amp;TEXT(VALUE(SUBSTITUTE(A3745,"MOV-","")),"000"))</f>
        <v/>
      </c>
    </row>
    <row r="3746" spans="18:20">
      <c r="R3746" s="22" t="str">
        <f>IF(H3746="","",H3746&amp;I3746)</f>
        <v/>
      </c>
      <c r="S3746" s="22" t="str">
        <f>IF(C3746="","",C3746&amp;I3746)</f>
        <v/>
      </c>
      <c r="T3746" t="str">
        <f>IF(OR(C3746="",I3746&lt;&gt;"ENTRADA"),"",TEXT(B3746,"AAMMDD")&amp;"-"&amp;TEXT(VALUE(SUBSTITUTE(A3746,"MOV-","")),"000"))</f>
        <v/>
      </c>
    </row>
    <row r="3747" spans="18:20">
      <c r="R3747" s="22" t="str">
        <f>IF(H3747="","",H3747&amp;I3747)</f>
        <v/>
      </c>
      <c r="S3747" s="22" t="str">
        <f>IF(C3747="","",C3747&amp;I3747)</f>
        <v/>
      </c>
      <c r="T3747" t="str">
        <f>IF(OR(C3747="",I3747&lt;&gt;"ENTRADA"),"",TEXT(B3747,"AAMMDD")&amp;"-"&amp;TEXT(VALUE(SUBSTITUTE(A3747,"MOV-","")),"000"))</f>
        <v/>
      </c>
    </row>
    <row r="3748" spans="18:20">
      <c r="R3748" s="22" t="str">
        <f>IF(H3748="","",H3748&amp;I3748)</f>
        <v/>
      </c>
      <c r="S3748" s="22" t="str">
        <f>IF(C3748="","",C3748&amp;I3748)</f>
        <v/>
      </c>
      <c r="T3748" t="str">
        <f>IF(OR(C3748="",I3748&lt;&gt;"ENTRADA"),"",TEXT(B3748,"AAMMDD")&amp;"-"&amp;TEXT(VALUE(SUBSTITUTE(A3748,"MOV-","")),"000"))</f>
        <v/>
      </c>
    </row>
    <row r="3749" spans="18:20">
      <c r="R3749" s="22" t="str">
        <f>IF(H3749="","",H3749&amp;I3749)</f>
        <v/>
      </c>
      <c r="S3749" s="22" t="str">
        <f>IF(C3749="","",C3749&amp;I3749)</f>
        <v/>
      </c>
      <c r="T3749" t="str">
        <f>IF(OR(C3749="",I3749&lt;&gt;"ENTRADA"),"",TEXT(B3749,"AAMMDD")&amp;"-"&amp;TEXT(VALUE(SUBSTITUTE(A3749,"MOV-","")),"000"))</f>
        <v/>
      </c>
    </row>
    <row r="3750" spans="18:20">
      <c r="R3750" s="22" t="str">
        <f>IF(H3750="","",H3750&amp;I3750)</f>
        <v/>
      </c>
      <c r="S3750" s="22" t="str">
        <f>IF(C3750="","",C3750&amp;I3750)</f>
        <v/>
      </c>
      <c r="T3750" t="str">
        <f>IF(OR(C3750="",I3750&lt;&gt;"ENTRADA"),"",TEXT(B3750,"AAMMDD")&amp;"-"&amp;TEXT(VALUE(SUBSTITUTE(A3750,"MOV-","")),"000"))</f>
        <v/>
      </c>
    </row>
    <row r="3751" spans="18:20">
      <c r="R3751" s="22" t="str">
        <f>IF(H3751="","",H3751&amp;I3751)</f>
        <v/>
      </c>
      <c r="S3751" s="22" t="str">
        <f>IF(C3751="","",C3751&amp;I3751)</f>
        <v/>
      </c>
      <c r="T3751" t="str">
        <f>IF(OR(C3751="",I3751&lt;&gt;"ENTRADA"),"",TEXT(B3751,"AAMMDD")&amp;"-"&amp;TEXT(VALUE(SUBSTITUTE(A3751,"MOV-","")),"000"))</f>
        <v/>
      </c>
    </row>
    <row r="3752" spans="18:20">
      <c r="R3752" s="22" t="str">
        <f>IF(H3752="","",H3752&amp;I3752)</f>
        <v/>
      </c>
      <c r="S3752" s="22" t="str">
        <f>IF(C3752="","",C3752&amp;I3752)</f>
        <v/>
      </c>
      <c r="T3752" t="str">
        <f>IF(OR(C3752="",I3752&lt;&gt;"ENTRADA"),"",TEXT(B3752,"AAMMDD")&amp;"-"&amp;TEXT(VALUE(SUBSTITUTE(A3752,"MOV-","")),"000"))</f>
        <v/>
      </c>
    </row>
    <row r="3753" spans="18:20">
      <c r="R3753" s="22" t="str">
        <f>IF(H3753="","",H3753&amp;I3753)</f>
        <v/>
      </c>
      <c r="S3753" s="22" t="str">
        <f>IF(C3753="","",C3753&amp;I3753)</f>
        <v/>
      </c>
      <c r="T3753" t="str">
        <f>IF(OR(C3753="",I3753&lt;&gt;"ENTRADA"),"",TEXT(B3753,"AAMMDD")&amp;"-"&amp;TEXT(VALUE(SUBSTITUTE(A3753,"MOV-","")),"000"))</f>
        <v/>
      </c>
    </row>
    <row r="3754" spans="18:20">
      <c r="R3754" s="22" t="str">
        <f>IF(H3754="","",H3754&amp;I3754)</f>
        <v/>
      </c>
      <c r="S3754" s="22" t="str">
        <f>IF(C3754="","",C3754&amp;I3754)</f>
        <v/>
      </c>
      <c r="T3754" t="str">
        <f>IF(OR(C3754="",I3754&lt;&gt;"ENTRADA"),"",TEXT(B3754,"AAMMDD")&amp;"-"&amp;TEXT(VALUE(SUBSTITUTE(A3754,"MOV-","")),"000"))</f>
        <v/>
      </c>
    </row>
    <row r="3755" spans="18:20">
      <c r="R3755" s="22" t="str">
        <f>IF(H3755="","",H3755&amp;I3755)</f>
        <v/>
      </c>
      <c r="S3755" s="22" t="str">
        <f>IF(C3755="","",C3755&amp;I3755)</f>
        <v/>
      </c>
      <c r="T3755" t="str">
        <f>IF(OR(C3755="",I3755&lt;&gt;"ENTRADA"),"",TEXT(B3755,"AAMMDD")&amp;"-"&amp;TEXT(VALUE(SUBSTITUTE(A3755,"MOV-","")),"000"))</f>
        <v/>
      </c>
    </row>
    <row r="3756" spans="18:20">
      <c r="R3756" s="22" t="str">
        <f>IF(H3756="","",H3756&amp;I3756)</f>
        <v/>
      </c>
      <c r="S3756" s="22" t="str">
        <f>IF(C3756="","",C3756&amp;I3756)</f>
        <v/>
      </c>
      <c r="T3756" t="str">
        <f>IF(OR(C3756="",I3756&lt;&gt;"ENTRADA"),"",TEXT(B3756,"AAMMDD")&amp;"-"&amp;TEXT(VALUE(SUBSTITUTE(A3756,"MOV-","")),"000"))</f>
        <v/>
      </c>
    </row>
    <row r="3757" spans="18:20">
      <c r="R3757" s="22" t="str">
        <f>IF(H3757="","",H3757&amp;I3757)</f>
        <v/>
      </c>
      <c r="S3757" s="22" t="str">
        <f>IF(C3757="","",C3757&amp;I3757)</f>
        <v/>
      </c>
      <c r="T3757" t="str">
        <f>IF(OR(C3757="",I3757&lt;&gt;"ENTRADA"),"",TEXT(B3757,"AAMMDD")&amp;"-"&amp;TEXT(VALUE(SUBSTITUTE(A3757,"MOV-","")),"000"))</f>
        <v/>
      </c>
    </row>
    <row r="3758" spans="18:20">
      <c r="R3758" s="22" t="str">
        <f>IF(H3758="","",H3758&amp;I3758)</f>
        <v/>
      </c>
      <c r="S3758" s="22" t="str">
        <f>IF(C3758="","",C3758&amp;I3758)</f>
        <v/>
      </c>
      <c r="T3758" t="str">
        <f>IF(OR(C3758="",I3758&lt;&gt;"ENTRADA"),"",TEXT(B3758,"AAMMDD")&amp;"-"&amp;TEXT(VALUE(SUBSTITUTE(A3758,"MOV-","")),"000"))</f>
        <v/>
      </c>
    </row>
    <row r="3759" spans="18:20">
      <c r="R3759" s="22" t="str">
        <f>IF(H3759="","",H3759&amp;I3759)</f>
        <v/>
      </c>
      <c r="S3759" s="22" t="str">
        <f>IF(C3759="","",C3759&amp;I3759)</f>
        <v/>
      </c>
      <c r="T3759" t="str">
        <f>IF(OR(C3759="",I3759&lt;&gt;"ENTRADA"),"",TEXT(B3759,"AAMMDD")&amp;"-"&amp;TEXT(VALUE(SUBSTITUTE(A3759,"MOV-","")),"000"))</f>
        <v/>
      </c>
    </row>
    <row r="3760" spans="18:20">
      <c r="R3760" s="22" t="str">
        <f>IF(H3760="","",H3760&amp;I3760)</f>
        <v/>
      </c>
      <c r="S3760" s="22" t="str">
        <f>IF(C3760="","",C3760&amp;I3760)</f>
        <v/>
      </c>
      <c r="T3760" t="str">
        <f>IF(OR(C3760="",I3760&lt;&gt;"ENTRADA"),"",TEXT(B3760,"AAMMDD")&amp;"-"&amp;TEXT(VALUE(SUBSTITUTE(A3760,"MOV-","")),"000"))</f>
        <v/>
      </c>
    </row>
    <row r="3761" spans="18:20">
      <c r="R3761" s="22" t="str">
        <f>IF(H3761="","",H3761&amp;I3761)</f>
        <v/>
      </c>
      <c r="S3761" s="22" t="str">
        <f>IF(C3761="","",C3761&amp;I3761)</f>
        <v/>
      </c>
      <c r="T3761" t="str">
        <f>IF(OR(C3761="",I3761&lt;&gt;"ENTRADA"),"",TEXT(B3761,"AAMMDD")&amp;"-"&amp;TEXT(VALUE(SUBSTITUTE(A3761,"MOV-","")),"000"))</f>
        <v/>
      </c>
    </row>
    <row r="3762" spans="18:20">
      <c r="R3762" s="22" t="str">
        <f>IF(H3762="","",H3762&amp;I3762)</f>
        <v/>
      </c>
      <c r="S3762" s="22" t="str">
        <f>IF(C3762="","",C3762&amp;I3762)</f>
        <v/>
      </c>
      <c r="T3762" t="str">
        <f>IF(OR(C3762="",I3762&lt;&gt;"ENTRADA"),"",TEXT(B3762,"AAMMDD")&amp;"-"&amp;TEXT(VALUE(SUBSTITUTE(A3762,"MOV-","")),"000"))</f>
        <v/>
      </c>
    </row>
    <row r="3763" spans="18:20">
      <c r="R3763" s="22" t="str">
        <f>IF(H3763="","",H3763&amp;I3763)</f>
        <v/>
      </c>
      <c r="S3763" s="22" t="str">
        <f>IF(C3763="","",C3763&amp;I3763)</f>
        <v/>
      </c>
      <c r="T3763" t="str">
        <f>IF(OR(C3763="",I3763&lt;&gt;"ENTRADA"),"",TEXT(B3763,"AAMMDD")&amp;"-"&amp;TEXT(VALUE(SUBSTITUTE(A3763,"MOV-","")),"000"))</f>
        <v/>
      </c>
    </row>
    <row r="3764" spans="18:20">
      <c r="R3764" s="22" t="str">
        <f>IF(H3764="","",H3764&amp;I3764)</f>
        <v/>
      </c>
      <c r="S3764" s="22" t="str">
        <f>IF(C3764="","",C3764&amp;I3764)</f>
        <v/>
      </c>
      <c r="T3764" t="str">
        <f>IF(OR(C3764="",I3764&lt;&gt;"ENTRADA"),"",TEXT(B3764,"AAMMDD")&amp;"-"&amp;TEXT(VALUE(SUBSTITUTE(A3764,"MOV-","")),"000"))</f>
        <v/>
      </c>
    </row>
    <row r="3765" spans="18:20">
      <c r="R3765" s="22" t="str">
        <f>IF(H3765="","",H3765&amp;I3765)</f>
        <v/>
      </c>
      <c r="S3765" s="22" t="str">
        <f>IF(C3765="","",C3765&amp;I3765)</f>
        <v/>
      </c>
      <c r="T3765" t="str">
        <f>IF(OR(C3765="",I3765&lt;&gt;"ENTRADA"),"",TEXT(B3765,"AAMMDD")&amp;"-"&amp;TEXT(VALUE(SUBSTITUTE(A3765,"MOV-","")),"000"))</f>
        <v/>
      </c>
    </row>
    <row r="3766" spans="18:20">
      <c r="R3766" s="22" t="str">
        <f>IF(H3766="","",H3766&amp;I3766)</f>
        <v/>
      </c>
      <c r="S3766" s="22" t="str">
        <f>IF(C3766="","",C3766&amp;I3766)</f>
        <v/>
      </c>
      <c r="T3766" t="str">
        <f>IF(OR(C3766="",I3766&lt;&gt;"ENTRADA"),"",TEXT(B3766,"AAMMDD")&amp;"-"&amp;TEXT(VALUE(SUBSTITUTE(A3766,"MOV-","")),"000"))</f>
        <v/>
      </c>
    </row>
    <row r="3767" spans="18:20">
      <c r="R3767" s="22" t="str">
        <f>IF(H3767="","",H3767&amp;I3767)</f>
        <v/>
      </c>
      <c r="S3767" s="22" t="str">
        <f>IF(C3767="","",C3767&amp;I3767)</f>
        <v/>
      </c>
      <c r="T3767" t="str">
        <f>IF(OR(C3767="",I3767&lt;&gt;"ENTRADA"),"",TEXT(B3767,"AAMMDD")&amp;"-"&amp;TEXT(VALUE(SUBSTITUTE(A3767,"MOV-","")),"000"))</f>
        <v/>
      </c>
    </row>
    <row r="3768" spans="18:20">
      <c r="R3768" s="22" t="str">
        <f>IF(H3768="","",H3768&amp;I3768)</f>
        <v/>
      </c>
      <c r="S3768" s="22" t="str">
        <f>IF(C3768="","",C3768&amp;I3768)</f>
        <v/>
      </c>
      <c r="T3768" t="str">
        <f>IF(OR(C3768="",I3768&lt;&gt;"ENTRADA"),"",TEXT(B3768,"AAMMDD")&amp;"-"&amp;TEXT(VALUE(SUBSTITUTE(A3768,"MOV-","")),"000"))</f>
        <v/>
      </c>
    </row>
    <row r="3769" spans="18:20">
      <c r="R3769" s="22" t="str">
        <f>IF(H3769="","",H3769&amp;I3769)</f>
        <v/>
      </c>
      <c r="S3769" s="22" t="str">
        <f>IF(C3769="","",C3769&amp;I3769)</f>
        <v/>
      </c>
      <c r="T3769" t="str">
        <f>IF(OR(C3769="",I3769&lt;&gt;"ENTRADA"),"",TEXT(B3769,"AAMMDD")&amp;"-"&amp;TEXT(VALUE(SUBSTITUTE(A3769,"MOV-","")),"000"))</f>
        <v/>
      </c>
    </row>
    <row r="3770" spans="18:20">
      <c r="R3770" s="22" t="str">
        <f>IF(H3770="","",H3770&amp;I3770)</f>
        <v/>
      </c>
      <c r="S3770" s="22" t="str">
        <f>IF(C3770="","",C3770&amp;I3770)</f>
        <v/>
      </c>
      <c r="T3770" t="str">
        <f>IF(OR(C3770="",I3770&lt;&gt;"ENTRADA"),"",TEXT(B3770,"AAMMDD")&amp;"-"&amp;TEXT(VALUE(SUBSTITUTE(A3770,"MOV-","")),"000"))</f>
        <v/>
      </c>
    </row>
    <row r="3771" spans="18:20">
      <c r="R3771" s="22" t="str">
        <f>IF(H3771="","",H3771&amp;I3771)</f>
        <v/>
      </c>
      <c r="S3771" s="22" t="str">
        <f>IF(C3771="","",C3771&amp;I3771)</f>
        <v/>
      </c>
      <c r="T3771" t="str">
        <f>IF(OR(C3771="",I3771&lt;&gt;"ENTRADA"),"",TEXT(B3771,"AAMMDD")&amp;"-"&amp;TEXT(VALUE(SUBSTITUTE(A3771,"MOV-","")),"000"))</f>
        <v/>
      </c>
    </row>
    <row r="3772" spans="18:20">
      <c r="R3772" s="22" t="str">
        <f>IF(H3772="","",H3772&amp;I3772)</f>
        <v/>
      </c>
      <c r="S3772" s="22" t="str">
        <f>IF(C3772="","",C3772&amp;I3772)</f>
        <v/>
      </c>
      <c r="T3772" t="str">
        <f>IF(OR(C3772="",I3772&lt;&gt;"ENTRADA"),"",TEXT(B3772,"AAMMDD")&amp;"-"&amp;TEXT(VALUE(SUBSTITUTE(A3772,"MOV-","")),"000"))</f>
        <v/>
      </c>
    </row>
    <row r="3773" spans="18:20">
      <c r="R3773" s="22" t="str">
        <f>IF(H3773="","",H3773&amp;I3773)</f>
        <v/>
      </c>
      <c r="S3773" s="22" t="str">
        <f>IF(C3773="","",C3773&amp;I3773)</f>
        <v/>
      </c>
      <c r="T3773" t="str">
        <f>IF(OR(C3773="",I3773&lt;&gt;"ENTRADA"),"",TEXT(B3773,"AAMMDD")&amp;"-"&amp;TEXT(VALUE(SUBSTITUTE(A3773,"MOV-","")),"000"))</f>
        <v/>
      </c>
    </row>
    <row r="3774" spans="18:20">
      <c r="R3774" s="22" t="str">
        <f>IF(H3774="","",H3774&amp;I3774)</f>
        <v/>
      </c>
      <c r="S3774" s="22" t="str">
        <f>IF(C3774="","",C3774&amp;I3774)</f>
        <v/>
      </c>
      <c r="T3774" t="str">
        <f>IF(OR(C3774="",I3774&lt;&gt;"ENTRADA"),"",TEXT(B3774,"AAMMDD")&amp;"-"&amp;TEXT(VALUE(SUBSTITUTE(A3774,"MOV-","")),"000"))</f>
        <v/>
      </c>
    </row>
    <row r="3775" spans="18:20">
      <c r="R3775" s="22" t="str">
        <f>IF(H3775="","",H3775&amp;I3775)</f>
        <v/>
      </c>
      <c r="S3775" s="22" t="str">
        <f>IF(C3775="","",C3775&amp;I3775)</f>
        <v/>
      </c>
      <c r="T3775" t="str">
        <f>IF(OR(C3775="",I3775&lt;&gt;"ENTRADA"),"",TEXT(B3775,"AAMMDD")&amp;"-"&amp;TEXT(VALUE(SUBSTITUTE(A3775,"MOV-","")),"000"))</f>
        <v/>
      </c>
    </row>
    <row r="3776" spans="18:20">
      <c r="R3776" s="22" t="str">
        <f>IF(H3776="","",H3776&amp;I3776)</f>
        <v/>
      </c>
      <c r="S3776" s="22" t="str">
        <f>IF(C3776="","",C3776&amp;I3776)</f>
        <v/>
      </c>
      <c r="T3776" t="str">
        <f>IF(OR(C3776="",I3776&lt;&gt;"ENTRADA"),"",TEXT(B3776,"AAMMDD")&amp;"-"&amp;TEXT(VALUE(SUBSTITUTE(A3776,"MOV-","")),"000"))</f>
        <v/>
      </c>
    </row>
    <row r="3777" spans="18:20">
      <c r="R3777" s="22" t="str">
        <f>IF(H3777="","",H3777&amp;I3777)</f>
        <v/>
      </c>
      <c r="S3777" s="22" t="str">
        <f>IF(C3777="","",C3777&amp;I3777)</f>
        <v/>
      </c>
      <c r="T3777" t="str">
        <f>IF(OR(C3777="",I3777&lt;&gt;"ENTRADA"),"",TEXT(B3777,"AAMMDD")&amp;"-"&amp;TEXT(VALUE(SUBSTITUTE(A3777,"MOV-","")),"000"))</f>
        <v/>
      </c>
    </row>
    <row r="3778" spans="18:20">
      <c r="R3778" s="22" t="str">
        <f>IF(H3778="","",H3778&amp;I3778)</f>
        <v/>
      </c>
      <c r="S3778" s="22" t="str">
        <f>IF(C3778="","",C3778&amp;I3778)</f>
        <v/>
      </c>
      <c r="T3778" t="str">
        <f>IF(OR(C3778="",I3778&lt;&gt;"ENTRADA"),"",TEXT(B3778,"AAMMDD")&amp;"-"&amp;TEXT(VALUE(SUBSTITUTE(A3778,"MOV-","")),"000"))</f>
        <v/>
      </c>
    </row>
    <row r="3779" spans="18:20">
      <c r="R3779" s="22" t="str">
        <f>IF(H3779="","",H3779&amp;I3779)</f>
        <v/>
      </c>
      <c r="S3779" s="22" t="str">
        <f>IF(C3779="","",C3779&amp;I3779)</f>
        <v/>
      </c>
      <c r="T3779" t="str">
        <f>IF(OR(C3779="",I3779&lt;&gt;"ENTRADA"),"",TEXT(B3779,"AAMMDD")&amp;"-"&amp;TEXT(VALUE(SUBSTITUTE(A3779,"MOV-","")),"000"))</f>
        <v/>
      </c>
    </row>
    <row r="3780" spans="18:20">
      <c r="R3780" s="22" t="str">
        <f>IF(H3780="","",H3780&amp;I3780)</f>
        <v/>
      </c>
      <c r="S3780" s="22" t="str">
        <f>IF(C3780="","",C3780&amp;I3780)</f>
        <v/>
      </c>
      <c r="T3780" t="str">
        <f>IF(OR(C3780="",I3780&lt;&gt;"ENTRADA"),"",TEXT(B3780,"AAMMDD")&amp;"-"&amp;TEXT(VALUE(SUBSTITUTE(A3780,"MOV-","")),"000"))</f>
        <v/>
      </c>
    </row>
    <row r="3781" spans="18:20">
      <c r="R3781" s="22" t="str">
        <f>IF(H3781="","",H3781&amp;I3781)</f>
        <v/>
      </c>
      <c r="S3781" s="22" t="str">
        <f>IF(C3781="","",C3781&amp;I3781)</f>
        <v/>
      </c>
      <c r="T3781" t="str">
        <f>IF(OR(C3781="",I3781&lt;&gt;"ENTRADA"),"",TEXT(B3781,"AAMMDD")&amp;"-"&amp;TEXT(VALUE(SUBSTITUTE(A3781,"MOV-","")),"000"))</f>
        <v/>
      </c>
    </row>
    <row r="3782" spans="18:20">
      <c r="R3782" s="22" t="str">
        <f>IF(H3782="","",H3782&amp;I3782)</f>
        <v/>
      </c>
      <c r="S3782" s="22" t="str">
        <f>IF(C3782="","",C3782&amp;I3782)</f>
        <v/>
      </c>
      <c r="T3782" t="str">
        <f>IF(OR(C3782="",I3782&lt;&gt;"ENTRADA"),"",TEXT(B3782,"AAMMDD")&amp;"-"&amp;TEXT(VALUE(SUBSTITUTE(A3782,"MOV-","")),"000"))</f>
        <v/>
      </c>
    </row>
    <row r="3783" spans="18:20">
      <c r="R3783" s="22" t="str">
        <f>IF(H3783="","",H3783&amp;I3783)</f>
        <v/>
      </c>
      <c r="S3783" s="22" t="str">
        <f>IF(C3783="","",C3783&amp;I3783)</f>
        <v/>
      </c>
      <c r="T3783" t="str">
        <f>IF(OR(C3783="",I3783&lt;&gt;"ENTRADA"),"",TEXT(B3783,"AAMMDD")&amp;"-"&amp;TEXT(VALUE(SUBSTITUTE(A3783,"MOV-","")),"000"))</f>
        <v/>
      </c>
    </row>
    <row r="3784" spans="18:20">
      <c r="R3784" s="22" t="str">
        <f>IF(H3784="","",H3784&amp;I3784)</f>
        <v/>
      </c>
      <c r="S3784" s="22" t="str">
        <f>IF(C3784="","",C3784&amp;I3784)</f>
        <v/>
      </c>
      <c r="T3784" t="str">
        <f>IF(OR(C3784="",I3784&lt;&gt;"ENTRADA"),"",TEXT(B3784,"AAMMDD")&amp;"-"&amp;TEXT(VALUE(SUBSTITUTE(A3784,"MOV-","")),"000"))</f>
        <v/>
      </c>
    </row>
    <row r="3785" spans="18:20">
      <c r="R3785" s="22" t="str">
        <f>IF(H3785="","",H3785&amp;I3785)</f>
        <v/>
      </c>
      <c r="S3785" s="22" t="str">
        <f>IF(C3785="","",C3785&amp;I3785)</f>
        <v/>
      </c>
      <c r="T3785" t="str">
        <f>IF(OR(C3785="",I3785&lt;&gt;"ENTRADA"),"",TEXT(B3785,"AAMMDD")&amp;"-"&amp;TEXT(VALUE(SUBSTITUTE(A3785,"MOV-","")),"000"))</f>
        <v/>
      </c>
    </row>
    <row r="3786" spans="18:20">
      <c r="R3786" s="22" t="str">
        <f>IF(H3786="","",H3786&amp;I3786)</f>
        <v/>
      </c>
      <c r="S3786" s="22" t="str">
        <f>IF(C3786="","",C3786&amp;I3786)</f>
        <v/>
      </c>
      <c r="T3786" t="str">
        <f>IF(OR(C3786="",I3786&lt;&gt;"ENTRADA"),"",TEXT(B3786,"AAMMDD")&amp;"-"&amp;TEXT(VALUE(SUBSTITUTE(A3786,"MOV-","")),"000"))</f>
        <v/>
      </c>
    </row>
    <row r="3787" spans="18:20">
      <c r="R3787" s="22" t="str">
        <f>IF(H3787="","",H3787&amp;I3787)</f>
        <v/>
      </c>
      <c r="S3787" s="22" t="str">
        <f>IF(C3787="","",C3787&amp;I3787)</f>
        <v/>
      </c>
      <c r="T3787" t="str">
        <f>IF(OR(C3787="",I3787&lt;&gt;"ENTRADA"),"",TEXT(B3787,"AAMMDD")&amp;"-"&amp;TEXT(VALUE(SUBSTITUTE(A3787,"MOV-","")),"000"))</f>
        <v/>
      </c>
    </row>
    <row r="3788" spans="18:20">
      <c r="R3788" s="22" t="str">
        <f>IF(H3788="","",H3788&amp;I3788)</f>
        <v/>
      </c>
      <c r="S3788" s="22" t="str">
        <f>IF(C3788="","",C3788&amp;I3788)</f>
        <v/>
      </c>
      <c r="T3788" t="str">
        <f>IF(OR(C3788="",I3788&lt;&gt;"ENTRADA"),"",TEXT(B3788,"AAMMDD")&amp;"-"&amp;TEXT(VALUE(SUBSTITUTE(A3788,"MOV-","")),"000"))</f>
        <v/>
      </c>
    </row>
    <row r="3789" spans="18:20">
      <c r="R3789" s="22" t="str">
        <f>IF(H3789="","",H3789&amp;I3789)</f>
        <v/>
      </c>
      <c r="S3789" s="22" t="str">
        <f>IF(C3789="","",C3789&amp;I3789)</f>
        <v/>
      </c>
      <c r="T3789" t="str">
        <f>IF(OR(C3789="",I3789&lt;&gt;"ENTRADA"),"",TEXT(B3789,"AAMMDD")&amp;"-"&amp;TEXT(VALUE(SUBSTITUTE(A3789,"MOV-","")),"000"))</f>
        <v/>
      </c>
    </row>
    <row r="3790" spans="18:20">
      <c r="R3790" s="22" t="str">
        <f>IF(H3790="","",H3790&amp;I3790)</f>
        <v/>
      </c>
      <c r="S3790" s="22" t="str">
        <f>IF(C3790="","",C3790&amp;I3790)</f>
        <v/>
      </c>
      <c r="T3790" t="str">
        <f>IF(OR(C3790="",I3790&lt;&gt;"ENTRADA"),"",TEXT(B3790,"AAMMDD")&amp;"-"&amp;TEXT(VALUE(SUBSTITUTE(A3790,"MOV-","")),"000"))</f>
        <v/>
      </c>
    </row>
    <row r="3791" spans="18:20">
      <c r="R3791" s="22" t="str">
        <f>IF(H3791="","",H3791&amp;I3791)</f>
        <v/>
      </c>
      <c r="S3791" s="22" t="str">
        <f>IF(C3791="","",C3791&amp;I3791)</f>
        <v/>
      </c>
      <c r="T3791" t="str">
        <f>IF(OR(C3791="",I3791&lt;&gt;"ENTRADA"),"",TEXT(B3791,"AAMMDD")&amp;"-"&amp;TEXT(VALUE(SUBSTITUTE(A3791,"MOV-","")),"000"))</f>
        <v/>
      </c>
    </row>
    <row r="3792" spans="18:20">
      <c r="R3792" s="22" t="str">
        <f>IF(H3792="","",H3792&amp;I3792)</f>
        <v/>
      </c>
      <c r="S3792" s="22" t="str">
        <f>IF(C3792="","",C3792&amp;I3792)</f>
        <v/>
      </c>
      <c r="T3792" t="str">
        <f>IF(OR(C3792="",I3792&lt;&gt;"ENTRADA"),"",TEXT(B3792,"AAMMDD")&amp;"-"&amp;TEXT(VALUE(SUBSTITUTE(A3792,"MOV-","")),"000"))</f>
        <v/>
      </c>
    </row>
    <row r="3793" spans="18:20">
      <c r="R3793" s="22" t="str">
        <f>IF(H3793="","",H3793&amp;I3793)</f>
        <v/>
      </c>
      <c r="S3793" s="22" t="str">
        <f>IF(C3793="","",C3793&amp;I3793)</f>
        <v/>
      </c>
      <c r="T3793" t="str">
        <f>IF(OR(C3793="",I3793&lt;&gt;"ENTRADA"),"",TEXT(B3793,"AAMMDD")&amp;"-"&amp;TEXT(VALUE(SUBSTITUTE(A3793,"MOV-","")),"000"))</f>
        <v/>
      </c>
    </row>
    <row r="3794" spans="18:20">
      <c r="R3794" s="22" t="str">
        <f>IF(H3794="","",H3794&amp;I3794)</f>
        <v/>
      </c>
      <c r="S3794" s="22" t="str">
        <f>IF(C3794="","",C3794&amp;I3794)</f>
        <v/>
      </c>
      <c r="T3794" t="str">
        <f>IF(OR(C3794="",I3794&lt;&gt;"ENTRADA"),"",TEXT(B3794,"AAMMDD")&amp;"-"&amp;TEXT(VALUE(SUBSTITUTE(A3794,"MOV-","")),"000"))</f>
        <v/>
      </c>
    </row>
    <row r="3795" spans="18:20">
      <c r="R3795" s="22" t="str">
        <f>IF(H3795="","",H3795&amp;I3795)</f>
        <v/>
      </c>
      <c r="S3795" s="22" t="str">
        <f>IF(C3795="","",C3795&amp;I3795)</f>
        <v/>
      </c>
      <c r="T3795" t="str">
        <f>IF(OR(C3795="",I3795&lt;&gt;"ENTRADA"),"",TEXT(B3795,"AAMMDD")&amp;"-"&amp;TEXT(VALUE(SUBSTITUTE(A3795,"MOV-","")),"000"))</f>
        <v/>
      </c>
    </row>
    <row r="3796" spans="18:20">
      <c r="R3796" s="22" t="str">
        <f>IF(H3796="","",H3796&amp;I3796)</f>
        <v/>
      </c>
      <c r="S3796" s="22" t="str">
        <f>IF(C3796="","",C3796&amp;I3796)</f>
        <v/>
      </c>
      <c r="T3796" t="str">
        <f>IF(OR(C3796="",I3796&lt;&gt;"ENTRADA"),"",TEXT(B3796,"AAMMDD")&amp;"-"&amp;TEXT(VALUE(SUBSTITUTE(A3796,"MOV-","")),"000"))</f>
        <v/>
      </c>
    </row>
    <row r="3797" spans="18:20">
      <c r="R3797" s="22" t="str">
        <f>IF(H3797="","",H3797&amp;I3797)</f>
        <v/>
      </c>
      <c r="S3797" s="22" t="str">
        <f>IF(C3797="","",C3797&amp;I3797)</f>
        <v/>
      </c>
      <c r="T3797" t="str">
        <f>IF(OR(C3797="",I3797&lt;&gt;"ENTRADA"),"",TEXT(B3797,"AAMMDD")&amp;"-"&amp;TEXT(VALUE(SUBSTITUTE(A3797,"MOV-","")),"000"))</f>
        <v/>
      </c>
    </row>
    <row r="3798" spans="18:20">
      <c r="R3798" s="22" t="str">
        <f>IF(H3798="","",H3798&amp;I3798)</f>
        <v/>
      </c>
      <c r="S3798" s="22" t="str">
        <f>IF(C3798="","",C3798&amp;I3798)</f>
        <v/>
      </c>
      <c r="T3798" t="str">
        <f>IF(OR(C3798="",I3798&lt;&gt;"ENTRADA"),"",TEXT(B3798,"AAMMDD")&amp;"-"&amp;TEXT(VALUE(SUBSTITUTE(A3798,"MOV-","")),"000"))</f>
        <v/>
      </c>
    </row>
    <row r="3799" spans="18:20">
      <c r="R3799" s="22" t="str">
        <f>IF(H3799="","",H3799&amp;I3799)</f>
        <v/>
      </c>
      <c r="S3799" s="22" t="str">
        <f>IF(C3799="","",C3799&amp;I3799)</f>
        <v/>
      </c>
      <c r="T3799" t="str">
        <f>IF(OR(C3799="",I3799&lt;&gt;"ENTRADA"),"",TEXT(B3799,"AAMMDD")&amp;"-"&amp;TEXT(VALUE(SUBSTITUTE(A3799,"MOV-","")),"000"))</f>
        <v/>
      </c>
    </row>
    <row r="3800" spans="18:20">
      <c r="R3800" s="22" t="str">
        <f>IF(H3800="","",H3800&amp;I3800)</f>
        <v/>
      </c>
      <c r="S3800" s="22" t="str">
        <f>IF(C3800="","",C3800&amp;I3800)</f>
        <v/>
      </c>
      <c r="T3800" t="str">
        <f>IF(OR(C3800="",I3800&lt;&gt;"ENTRADA"),"",TEXT(B3800,"AAMMDD")&amp;"-"&amp;TEXT(VALUE(SUBSTITUTE(A3800,"MOV-","")),"000"))</f>
        <v/>
      </c>
    </row>
    <row r="3801" spans="18:20">
      <c r="R3801" s="22" t="str">
        <f>IF(H3801="","",H3801&amp;I3801)</f>
        <v/>
      </c>
      <c r="S3801" s="22" t="str">
        <f>IF(C3801="","",C3801&amp;I3801)</f>
        <v/>
      </c>
      <c r="T3801" t="str">
        <f>IF(OR(C3801="",I3801&lt;&gt;"ENTRADA"),"",TEXT(B3801,"AAMMDD")&amp;"-"&amp;TEXT(VALUE(SUBSTITUTE(A3801,"MOV-","")),"000"))</f>
        <v/>
      </c>
    </row>
    <row r="3802" spans="18:20">
      <c r="R3802" s="22" t="str">
        <f>IF(H3802="","",H3802&amp;I3802)</f>
        <v/>
      </c>
      <c r="S3802" s="22" t="str">
        <f>IF(C3802="","",C3802&amp;I3802)</f>
        <v/>
      </c>
      <c r="T3802" t="str">
        <f>IF(OR(C3802="",I3802&lt;&gt;"ENTRADA"),"",TEXT(B3802,"AAMMDD")&amp;"-"&amp;TEXT(VALUE(SUBSTITUTE(A3802,"MOV-","")),"000"))</f>
        <v/>
      </c>
    </row>
    <row r="3803" spans="18:20">
      <c r="R3803" s="22" t="str">
        <f>IF(H3803="","",H3803&amp;I3803)</f>
        <v/>
      </c>
      <c r="S3803" s="22" t="str">
        <f>IF(C3803="","",C3803&amp;I3803)</f>
        <v/>
      </c>
      <c r="T3803" t="str">
        <f>IF(OR(C3803="",I3803&lt;&gt;"ENTRADA"),"",TEXT(B3803,"AAMMDD")&amp;"-"&amp;TEXT(VALUE(SUBSTITUTE(A3803,"MOV-","")),"000"))</f>
        <v/>
      </c>
    </row>
    <row r="3804" spans="18:20">
      <c r="R3804" s="22" t="str">
        <f>IF(H3804="","",H3804&amp;I3804)</f>
        <v/>
      </c>
      <c r="S3804" s="22" t="str">
        <f>IF(C3804="","",C3804&amp;I3804)</f>
        <v/>
      </c>
      <c r="T3804" t="str">
        <f>IF(OR(C3804="",I3804&lt;&gt;"ENTRADA"),"",TEXT(B3804,"AAMMDD")&amp;"-"&amp;TEXT(VALUE(SUBSTITUTE(A3804,"MOV-","")),"000"))</f>
        <v/>
      </c>
    </row>
    <row r="3805" spans="18:20">
      <c r="R3805" s="22" t="str">
        <f>IF(H3805="","",H3805&amp;I3805)</f>
        <v/>
      </c>
      <c r="S3805" s="22" t="str">
        <f>IF(C3805="","",C3805&amp;I3805)</f>
        <v/>
      </c>
      <c r="T3805" t="str">
        <f>IF(OR(C3805="",I3805&lt;&gt;"ENTRADA"),"",TEXT(B3805,"AAMMDD")&amp;"-"&amp;TEXT(VALUE(SUBSTITUTE(A3805,"MOV-","")),"000"))</f>
        <v/>
      </c>
    </row>
    <row r="3806" spans="18:20">
      <c r="R3806" s="22" t="str">
        <f>IF(H3806="","",H3806&amp;I3806)</f>
        <v/>
      </c>
      <c r="S3806" s="22" t="str">
        <f>IF(C3806="","",C3806&amp;I3806)</f>
        <v/>
      </c>
      <c r="T3806" t="str">
        <f>IF(OR(C3806="",I3806&lt;&gt;"ENTRADA"),"",TEXT(B3806,"AAMMDD")&amp;"-"&amp;TEXT(VALUE(SUBSTITUTE(A3806,"MOV-","")),"000"))</f>
        <v/>
      </c>
    </row>
    <row r="3807" spans="18:20">
      <c r="R3807" s="22" t="str">
        <f>IF(H3807="","",H3807&amp;I3807)</f>
        <v/>
      </c>
      <c r="S3807" s="22" t="str">
        <f>IF(C3807="","",C3807&amp;I3807)</f>
        <v/>
      </c>
      <c r="T3807" t="str">
        <f>IF(OR(C3807="",I3807&lt;&gt;"ENTRADA"),"",TEXT(B3807,"AAMMDD")&amp;"-"&amp;TEXT(VALUE(SUBSTITUTE(A3807,"MOV-","")),"000"))</f>
        <v/>
      </c>
    </row>
    <row r="3808" spans="18:20">
      <c r="R3808" s="22" t="str">
        <f>IF(H3808="","",H3808&amp;I3808)</f>
        <v/>
      </c>
      <c r="S3808" s="22" t="str">
        <f>IF(C3808="","",C3808&amp;I3808)</f>
        <v/>
      </c>
      <c r="T3808" t="str">
        <f>IF(OR(C3808="",I3808&lt;&gt;"ENTRADA"),"",TEXT(B3808,"AAMMDD")&amp;"-"&amp;TEXT(VALUE(SUBSTITUTE(A3808,"MOV-","")),"000"))</f>
        <v/>
      </c>
    </row>
    <row r="3809" spans="18:20">
      <c r="R3809" s="22" t="str">
        <f>IF(H3809="","",H3809&amp;I3809)</f>
        <v/>
      </c>
      <c r="S3809" s="22" t="str">
        <f>IF(C3809="","",C3809&amp;I3809)</f>
        <v/>
      </c>
      <c r="T3809" t="str">
        <f>IF(OR(C3809="",I3809&lt;&gt;"ENTRADA"),"",TEXT(B3809,"AAMMDD")&amp;"-"&amp;TEXT(VALUE(SUBSTITUTE(A3809,"MOV-","")),"000"))</f>
        <v/>
      </c>
    </row>
    <row r="3810" spans="18:20">
      <c r="R3810" s="22" t="str">
        <f>IF(H3810="","",H3810&amp;I3810)</f>
        <v/>
      </c>
      <c r="S3810" s="22" t="str">
        <f>IF(C3810="","",C3810&amp;I3810)</f>
        <v/>
      </c>
      <c r="T3810" t="str">
        <f>IF(OR(C3810="",I3810&lt;&gt;"ENTRADA"),"",TEXT(B3810,"AAMMDD")&amp;"-"&amp;TEXT(VALUE(SUBSTITUTE(A3810,"MOV-","")),"000"))</f>
        <v/>
      </c>
    </row>
    <row r="3811" spans="18:20">
      <c r="R3811" s="22" t="str">
        <f>IF(H3811="","",H3811&amp;I3811)</f>
        <v/>
      </c>
      <c r="S3811" s="22" t="str">
        <f>IF(C3811="","",C3811&amp;I3811)</f>
        <v/>
      </c>
      <c r="T3811" t="str">
        <f>IF(OR(C3811="",I3811&lt;&gt;"ENTRADA"),"",TEXT(B3811,"AAMMDD")&amp;"-"&amp;TEXT(VALUE(SUBSTITUTE(A3811,"MOV-","")),"000"))</f>
        <v/>
      </c>
    </row>
    <row r="3812" spans="18:20">
      <c r="R3812" s="22" t="str">
        <f>IF(H3812="","",H3812&amp;I3812)</f>
        <v/>
      </c>
      <c r="S3812" s="22" t="str">
        <f>IF(C3812="","",C3812&amp;I3812)</f>
        <v/>
      </c>
      <c r="T3812" t="str">
        <f>IF(OR(C3812="",I3812&lt;&gt;"ENTRADA"),"",TEXT(B3812,"AAMMDD")&amp;"-"&amp;TEXT(VALUE(SUBSTITUTE(A3812,"MOV-","")),"000"))</f>
        <v/>
      </c>
    </row>
    <row r="3813" spans="18:20">
      <c r="R3813" s="22" t="str">
        <f>IF(H3813="","",H3813&amp;I3813)</f>
        <v/>
      </c>
      <c r="S3813" s="22" t="str">
        <f>IF(C3813="","",C3813&amp;I3813)</f>
        <v/>
      </c>
      <c r="T3813" t="str">
        <f>IF(OR(C3813="",I3813&lt;&gt;"ENTRADA"),"",TEXT(B3813,"AAMMDD")&amp;"-"&amp;TEXT(VALUE(SUBSTITUTE(A3813,"MOV-","")),"000"))</f>
        <v/>
      </c>
    </row>
    <row r="3814" spans="18:20">
      <c r="R3814" s="22" t="str">
        <f>IF(H3814="","",H3814&amp;I3814)</f>
        <v/>
      </c>
      <c r="S3814" s="22" t="str">
        <f>IF(C3814="","",C3814&amp;I3814)</f>
        <v/>
      </c>
      <c r="T3814" t="str">
        <f>IF(OR(C3814="",I3814&lt;&gt;"ENTRADA"),"",TEXT(B3814,"AAMMDD")&amp;"-"&amp;TEXT(VALUE(SUBSTITUTE(A3814,"MOV-","")),"000"))</f>
        <v/>
      </c>
    </row>
    <row r="3815" spans="18:20">
      <c r="R3815" s="22" t="str">
        <f>IF(H3815="","",H3815&amp;I3815)</f>
        <v/>
      </c>
      <c r="S3815" s="22" t="str">
        <f>IF(C3815="","",C3815&amp;I3815)</f>
        <v/>
      </c>
      <c r="T3815" t="str">
        <f>IF(OR(C3815="",I3815&lt;&gt;"ENTRADA"),"",TEXT(B3815,"AAMMDD")&amp;"-"&amp;TEXT(VALUE(SUBSTITUTE(A3815,"MOV-","")),"000"))</f>
        <v/>
      </c>
    </row>
    <row r="3816" spans="18:20">
      <c r="R3816" s="22" t="str">
        <f>IF(H3816="","",H3816&amp;I3816)</f>
        <v/>
      </c>
      <c r="S3816" s="22" t="str">
        <f>IF(C3816="","",C3816&amp;I3816)</f>
        <v/>
      </c>
      <c r="T3816" t="str">
        <f>IF(OR(C3816="",I3816&lt;&gt;"ENTRADA"),"",TEXT(B3816,"AAMMDD")&amp;"-"&amp;TEXT(VALUE(SUBSTITUTE(A3816,"MOV-","")),"000"))</f>
        <v/>
      </c>
    </row>
    <row r="3817" spans="18:20">
      <c r="R3817" s="22" t="str">
        <f>IF(H3817="","",H3817&amp;I3817)</f>
        <v/>
      </c>
      <c r="S3817" s="22" t="str">
        <f>IF(C3817="","",C3817&amp;I3817)</f>
        <v/>
      </c>
      <c r="T3817" t="str">
        <f>IF(OR(C3817="",I3817&lt;&gt;"ENTRADA"),"",TEXT(B3817,"AAMMDD")&amp;"-"&amp;TEXT(VALUE(SUBSTITUTE(A3817,"MOV-","")),"000"))</f>
        <v/>
      </c>
    </row>
    <row r="3818" spans="18:20">
      <c r="R3818" s="22" t="str">
        <f>IF(H3818="","",H3818&amp;I3818)</f>
        <v/>
      </c>
      <c r="S3818" s="22" t="str">
        <f>IF(C3818="","",C3818&amp;I3818)</f>
        <v/>
      </c>
      <c r="T3818" t="str">
        <f>IF(OR(C3818="",I3818&lt;&gt;"ENTRADA"),"",TEXT(B3818,"AAMMDD")&amp;"-"&amp;TEXT(VALUE(SUBSTITUTE(A3818,"MOV-","")),"000"))</f>
        <v/>
      </c>
    </row>
    <row r="3819" spans="18:20">
      <c r="R3819" s="22" t="str">
        <f>IF(H3819="","",H3819&amp;I3819)</f>
        <v/>
      </c>
      <c r="S3819" s="22" t="str">
        <f>IF(C3819="","",C3819&amp;I3819)</f>
        <v/>
      </c>
      <c r="T3819" t="str">
        <f>IF(OR(C3819="",I3819&lt;&gt;"ENTRADA"),"",TEXT(B3819,"AAMMDD")&amp;"-"&amp;TEXT(VALUE(SUBSTITUTE(A3819,"MOV-","")),"000"))</f>
        <v/>
      </c>
    </row>
    <row r="3820" spans="18:20">
      <c r="R3820" s="22" t="str">
        <f>IF(H3820="","",H3820&amp;I3820)</f>
        <v/>
      </c>
      <c r="S3820" s="22" t="str">
        <f>IF(C3820="","",C3820&amp;I3820)</f>
        <v/>
      </c>
      <c r="T3820" t="str">
        <f>IF(OR(C3820="",I3820&lt;&gt;"ENTRADA"),"",TEXT(B3820,"AAMMDD")&amp;"-"&amp;TEXT(VALUE(SUBSTITUTE(A3820,"MOV-","")),"000"))</f>
        <v/>
      </c>
    </row>
    <row r="3821" spans="18:20">
      <c r="R3821" s="22" t="str">
        <f>IF(H3821="","",H3821&amp;I3821)</f>
        <v/>
      </c>
      <c r="S3821" s="22" t="str">
        <f>IF(C3821="","",C3821&amp;I3821)</f>
        <v/>
      </c>
      <c r="T3821" t="str">
        <f>IF(OR(C3821="",I3821&lt;&gt;"ENTRADA"),"",TEXT(B3821,"AAMMDD")&amp;"-"&amp;TEXT(VALUE(SUBSTITUTE(A3821,"MOV-","")),"000"))</f>
        <v/>
      </c>
    </row>
    <row r="3822" spans="18:20">
      <c r="R3822" s="22" t="str">
        <f>IF(H3822="","",H3822&amp;I3822)</f>
        <v/>
      </c>
      <c r="S3822" s="22" t="str">
        <f>IF(C3822="","",C3822&amp;I3822)</f>
        <v/>
      </c>
      <c r="T3822" t="str">
        <f>IF(OR(C3822="",I3822&lt;&gt;"ENTRADA"),"",TEXT(B3822,"AAMMDD")&amp;"-"&amp;TEXT(VALUE(SUBSTITUTE(A3822,"MOV-","")),"000"))</f>
        <v/>
      </c>
    </row>
    <row r="3823" spans="18:20">
      <c r="R3823" s="22" t="str">
        <f>IF(H3823="","",H3823&amp;I3823)</f>
        <v/>
      </c>
      <c r="S3823" s="22" t="str">
        <f>IF(C3823="","",C3823&amp;I3823)</f>
        <v/>
      </c>
      <c r="T3823" t="str">
        <f>IF(OR(C3823="",I3823&lt;&gt;"ENTRADA"),"",TEXT(B3823,"AAMMDD")&amp;"-"&amp;TEXT(VALUE(SUBSTITUTE(A3823,"MOV-","")),"000"))</f>
        <v/>
      </c>
    </row>
    <row r="3824" spans="18:20">
      <c r="R3824" s="22" t="str">
        <f>IF(H3824="","",H3824&amp;I3824)</f>
        <v/>
      </c>
      <c r="S3824" s="22" t="str">
        <f>IF(C3824="","",C3824&amp;I3824)</f>
        <v/>
      </c>
      <c r="T3824" t="str">
        <f>IF(OR(C3824="",I3824&lt;&gt;"ENTRADA"),"",TEXT(B3824,"AAMMDD")&amp;"-"&amp;TEXT(VALUE(SUBSTITUTE(A3824,"MOV-","")),"000"))</f>
        <v/>
      </c>
    </row>
    <row r="3825" spans="18:20">
      <c r="R3825" s="22" t="str">
        <f>IF(H3825="","",H3825&amp;I3825)</f>
        <v/>
      </c>
      <c r="S3825" s="22" t="str">
        <f>IF(C3825="","",C3825&amp;I3825)</f>
        <v/>
      </c>
      <c r="T3825" t="str">
        <f>IF(OR(C3825="",I3825&lt;&gt;"ENTRADA"),"",TEXT(B3825,"AAMMDD")&amp;"-"&amp;TEXT(VALUE(SUBSTITUTE(A3825,"MOV-","")),"000"))</f>
        <v/>
      </c>
    </row>
    <row r="3826" spans="18:20">
      <c r="R3826" s="22" t="str">
        <f>IF(H3826="","",H3826&amp;I3826)</f>
        <v/>
      </c>
      <c r="S3826" s="22" t="str">
        <f>IF(C3826="","",C3826&amp;I3826)</f>
        <v/>
      </c>
      <c r="T3826" t="str">
        <f>IF(OR(C3826="",I3826&lt;&gt;"ENTRADA"),"",TEXT(B3826,"AAMMDD")&amp;"-"&amp;TEXT(VALUE(SUBSTITUTE(A3826,"MOV-","")),"000"))</f>
        <v/>
      </c>
    </row>
    <row r="3827" spans="18:20">
      <c r="R3827" s="22" t="str">
        <f>IF(H3827="","",H3827&amp;I3827)</f>
        <v/>
      </c>
      <c r="S3827" s="22" t="str">
        <f>IF(C3827="","",C3827&amp;I3827)</f>
        <v/>
      </c>
      <c r="T3827" t="str">
        <f>IF(OR(C3827="",I3827&lt;&gt;"ENTRADA"),"",TEXT(B3827,"AAMMDD")&amp;"-"&amp;TEXT(VALUE(SUBSTITUTE(A3827,"MOV-","")),"000"))</f>
        <v/>
      </c>
    </row>
    <row r="3828" spans="18:20">
      <c r="R3828" s="22" t="str">
        <f>IF(H3828="","",H3828&amp;I3828)</f>
        <v/>
      </c>
      <c r="S3828" s="22" t="str">
        <f>IF(C3828="","",C3828&amp;I3828)</f>
        <v/>
      </c>
      <c r="T3828" t="str">
        <f>IF(OR(C3828="",I3828&lt;&gt;"ENTRADA"),"",TEXT(B3828,"AAMMDD")&amp;"-"&amp;TEXT(VALUE(SUBSTITUTE(A3828,"MOV-","")),"000"))</f>
        <v/>
      </c>
    </row>
    <row r="3829" spans="18:20">
      <c r="R3829" s="22" t="str">
        <f>IF(H3829="","",H3829&amp;I3829)</f>
        <v/>
      </c>
      <c r="S3829" s="22" t="str">
        <f>IF(C3829="","",C3829&amp;I3829)</f>
        <v/>
      </c>
      <c r="T3829" t="str">
        <f>IF(OR(C3829="",I3829&lt;&gt;"ENTRADA"),"",TEXT(B3829,"AAMMDD")&amp;"-"&amp;TEXT(VALUE(SUBSTITUTE(A3829,"MOV-","")),"000"))</f>
        <v/>
      </c>
    </row>
    <row r="3830" spans="18:20">
      <c r="R3830" s="22" t="str">
        <f>IF(H3830="","",H3830&amp;I3830)</f>
        <v/>
      </c>
      <c r="S3830" s="22" t="str">
        <f>IF(C3830="","",C3830&amp;I3830)</f>
        <v/>
      </c>
      <c r="T3830" t="str">
        <f>IF(OR(C3830="",I3830&lt;&gt;"ENTRADA"),"",TEXT(B3830,"AAMMDD")&amp;"-"&amp;TEXT(VALUE(SUBSTITUTE(A3830,"MOV-","")),"000"))</f>
        <v/>
      </c>
    </row>
    <row r="3831" spans="18:20">
      <c r="R3831" s="22" t="str">
        <f>IF(H3831="","",H3831&amp;I3831)</f>
        <v/>
      </c>
      <c r="S3831" s="22" t="str">
        <f>IF(C3831="","",C3831&amp;I3831)</f>
        <v/>
      </c>
      <c r="T3831" t="str">
        <f>IF(OR(C3831="",I3831&lt;&gt;"ENTRADA"),"",TEXT(B3831,"AAMMDD")&amp;"-"&amp;TEXT(VALUE(SUBSTITUTE(A3831,"MOV-","")),"000"))</f>
        <v/>
      </c>
    </row>
    <row r="3832" spans="18:20">
      <c r="R3832" s="22" t="str">
        <f>IF(H3832="","",H3832&amp;I3832)</f>
        <v/>
      </c>
      <c r="S3832" s="22" t="str">
        <f>IF(C3832="","",C3832&amp;I3832)</f>
        <v/>
      </c>
      <c r="T3832" t="str">
        <f>IF(OR(C3832="",I3832&lt;&gt;"ENTRADA"),"",TEXT(B3832,"AAMMDD")&amp;"-"&amp;TEXT(VALUE(SUBSTITUTE(A3832,"MOV-","")),"000"))</f>
        <v/>
      </c>
    </row>
    <row r="3833" spans="18:20">
      <c r="R3833" s="22" t="str">
        <f>IF(H3833="","",H3833&amp;I3833)</f>
        <v/>
      </c>
      <c r="S3833" s="22" t="str">
        <f>IF(C3833="","",C3833&amp;I3833)</f>
        <v/>
      </c>
      <c r="T3833" t="str">
        <f>IF(OR(C3833="",I3833&lt;&gt;"ENTRADA"),"",TEXT(B3833,"AAMMDD")&amp;"-"&amp;TEXT(VALUE(SUBSTITUTE(A3833,"MOV-","")),"000"))</f>
        <v/>
      </c>
    </row>
    <row r="3834" spans="18:20">
      <c r="R3834" s="22" t="str">
        <f>IF(H3834="","",H3834&amp;I3834)</f>
        <v/>
      </c>
      <c r="S3834" s="22" t="str">
        <f>IF(C3834="","",C3834&amp;I3834)</f>
        <v/>
      </c>
      <c r="T3834" t="str">
        <f>IF(OR(C3834="",I3834&lt;&gt;"ENTRADA"),"",TEXT(B3834,"AAMMDD")&amp;"-"&amp;TEXT(VALUE(SUBSTITUTE(A3834,"MOV-","")),"000"))</f>
        <v/>
      </c>
    </row>
    <row r="3835" spans="18:20">
      <c r="R3835" s="22" t="str">
        <f>IF(H3835="","",H3835&amp;I3835)</f>
        <v/>
      </c>
      <c r="S3835" s="22" t="str">
        <f>IF(C3835="","",C3835&amp;I3835)</f>
        <v/>
      </c>
      <c r="T3835" t="str">
        <f>IF(OR(C3835="",I3835&lt;&gt;"ENTRADA"),"",TEXT(B3835,"AAMMDD")&amp;"-"&amp;TEXT(VALUE(SUBSTITUTE(A3835,"MOV-","")),"000"))</f>
        <v/>
      </c>
    </row>
    <row r="3836" spans="18:20">
      <c r="R3836" s="22" t="str">
        <f>IF(H3836="","",H3836&amp;I3836)</f>
        <v/>
      </c>
      <c r="S3836" s="22" t="str">
        <f>IF(C3836="","",C3836&amp;I3836)</f>
        <v/>
      </c>
      <c r="T3836" t="str">
        <f>IF(OR(C3836="",I3836&lt;&gt;"ENTRADA"),"",TEXT(B3836,"AAMMDD")&amp;"-"&amp;TEXT(VALUE(SUBSTITUTE(A3836,"MOV-","")),"000"))</f>
        <v/>
      </c>
    </row>
    <row r="3837" spans="18:20">
      <c r="R3837" s="22" t="str">
        <f>IF(H3837="","",H3837&amp;I3837)</f>
        <v/>
      </c>
      <c r="S3837" s="22" t="str">
        <f>IF(C3837="","",C3837&amp;I3837)</f>
        <v/>
      </c>
      <c r="T3837" t="str">
        <f>IF(OR(C3837="",I3837&lt;&gt;"ENTRADA"),"",TEXT(B3837,"AAMMDD")&amp;"-"&amp;TEXT(VALUE(SUBSTITUTE(A3837,"MOV-","")),"000"))</f>
        <v/>
      </c>
    </row>
    <row r="3838" spans="18:20">
      <c r="R3838" s="22" t="str">
        <f>IF(H3838="","",H3838&amp;I3838)</f>
        <v/>
      </c>
      <c r="S3838" s="22" t="str">
        <f>IF(C3838="","",C3838&amp;I3838)</f>
        <v/>
      </c>
      <c r="T3838" t="str">
        <f>IF(OR(C3838="",I3838&lt;&gt;"ENTRADA"),"",TEXT(B3838,"AAMMDD")&amp;"-"&amp;TEXT(VALUE(SUBSTITUTE(A3838,"MOV-","")),"000"))</f>
        <v/>
      </c>
    </row>
    <row r="3839" spans="18:20">
      <c r="R3839" s="22" t="str">
        <f>IF(H3839="","",H3839&amp;I3839)</f>
        <v/>
      </c>
      <c r="S3839" s="22" t="str">
        <f>IF(C3839="","",C3839&amp;I3839)</f>
        <v/>
      </c>
      <c r="T3839" t="str">
        <f>IF(OR(C3839="",I3839&lt;&gt;"ENTRADA"),"",TEXT(B3839,"AAMMDD")&amp;"-"&amp;TEXT(VALUE(SUBSTITUTE(A3839,"MOV-","")),"000"))</f>
        <v/>
      </c>
    </row>
    <row r="3840" spans="18:20">
      <c r="R3840" s="22" t="str">
        <f>IF(H3840="","",H3840&amp;I3840)</f>
        <v/>
      </c>
      <c r="S3840" s="22" t="str">
        <f>IF(C3840="","",C3840&amp;I3840)</f>
        <v/>
      </c>
      <c r="T3840" t="str">
        <f>IF(OR(C3840="",I3840&lt;&gt;"ENTRADA"),"",TEXT(B3840,"AAMMDD")&amp;"-"&amp;TEXT(VALUE(SUBSTITUTE(A3840,"MOV-","")),"000"))</f>
        <v/>
      </c>
    </row>
    <row r="3841" spans="18:20">
      <c r="R3841" s="22" t="str">
        <f>IF(H3841="","",H3841&amp;I3841)</f>
        <v/>
      </c>
      <c r="S3841" s="22" t="str">
        <f>IF(C3841="","",C3841&amp;I3841)</f>
        <v/>
      </c>
      <c r="T3841" t="str">
        <f>IF(OR(C3841="",I3841&lt;&gt;"ENTRADA"),"",TEXT(B3841,"AAMMDD")&amp;"-"&amp;TEXT(VALUE(SUBSTITUTE(A3841,"MOV-","")),"000"))</f>
        <v/>
      </c>
    </row>
    <row r="3842" spans="18:20">
      <c r="R3842" s="22" t="str">
        <f>IF(H3842="","",H3842&amp;I3842)</f>
        <v/>
      </c>
      <c r="S3842" s="22" t="str">
        <f>IF(C3842="","",C3842&amp;I3842)</f>
        <v/>
      </c>
      <c r="T3842" t="str">
        <f>IF(OR(C3842="",I3842&lt;&gt;"ENTRADA"),"",TEXT(B3842,"AAMMDD")&amp;"-"&amp;TEXT(VALUE(SUBSTITUTE(A3842,"MOV-","")),"000"))</f>
        <v/>
      </c>
    </row>
    <row r="3843" spans="18:20">
      <c r="R3843" s="22" t="str">
        <f>IF(H3843="","",H3843&amp;I3843)</f>
        <v/>
      </c>
      <c r="S3843" s="22" t="str">
        <f>IF(C3843="","",C3843&amp;I3843)</f>
        <v/>
      </c>
      <c r="T3843" t="str">
        <f>IF(OR(C3843="",I3843&lt;&gt;"ENTRADA"),"",TEXT(B3843,"AAMMDD")&amp;"-"&amp;TEXT(VALUE(SUBSTITUTE(A3843,"MOV-","")),"000"))</f>
        <v/>
      </c>
    </row>
    <row r="3844" spans="18:20">
      <c r="R3844" s="22" t="str">
        <f>IF(H3844="","",H3844&amp;I3844)</f>
        <v/>
      </c>
      <c r="S3844" s="22" t="str">
        <f>IF(C3844="","",C3844&amp;I3844)</f>
        <v/>
      </c>
      <c r="T3844" t="str">
        <f>IF(OR(C3844="",I3844&lt;&gt;"ENTRADA"),"",TEXT(B3844,"AAMMDD")&amp;"-"&amp;TEXT(VALUE(SUBSTITUTE(A3844,"MOV-","")),"000"))</f>
        <v/>
      </c>
    </row>
    <row r="3845" spans="18:20">
      <c r="R3845" s="22" t="str">
        <f>IF(H3845="","",H3845&amp;I3845)</f>
        <v/>
      </c>
      <c r="S3845" s="22" t="str">
        <f>IF(C3845="","",C3845&amp;I3845)</f>
        <v/>
      </c>
      <c r="T3845" t="str">
        <f>IF(OR(C3845="",I3845&lt;&gt;"ENTRADA"),"",TEXT(B3845,"AAMMDD")&amp;"-"&amp;TEXT(VALUE(SUBSTITUTE(A3845,"MOV-","")),"000"))</f>
        <v/>
      </c>
    </row>
    <row r="3846" spans="18:20">
      <c r="R3846" s="22" t="str">
        <f>IF(H3846="","",H3846&amp;I3846)</f>
        <v/>
      </c>
      <c r="S3846" s="22" t="str">
        <f>IF(C3846="","",C3846&amp;I3846)</f>
        <v/>
      </c>
      <c r="T3846" t="str">
        <f>IF(OR(C3846="",I3846&lt;&gt;"ENTRADA"),"",TEXT(B3846,"AAMMDD")&amp;"-"&amp;TEXT(VALUE(SUBSTITUTE(A3846,"MOV-","")),"000"))</f>
        <v/>
      </c>
    </row>
    <row r="3847" spans="18:20">
      <c r="R3847" s="22" t="str">
        <f>IF(H3847="","",H3847&amp;I3847)</f>
        <v/>
      </c>
      <c r="S3847" s="22" t="str">
        <f>IF(C3847="","",C3847&amp;I3847)</f>
        <v/>
      </c>
      <c r="T3847" t="str">
        <f>IF(OR(C3847="",I3847&lt;&gt;"ENTRADA"),"",TEXT(B3847,"AAMMDD")&amp;"-"&amp;TEXT(VALUE(SUBSTITUTE(A3847,"MOV-","")),"000"))</f>
        <v/>
      </c>
    </row>
    <row r="3848" spans="18:20">
      <c r="R3848" s="22" t="str">
        <f>IF(H3848="","",H3848&amp;I3848)</f>
        <v/>
      </c>
      <c r="S3848" s="22" t="str">
        <f>IF(C3848="","",C3848&amp;I3848)</f>
        <v/>
      </c>
      <c r="T3848" t="str">
        <f>IF(OR(C3848="",I3848&lt;&gt;"ENTRADA"),"",TEXT(B3848,"AAMMDD")&amp;"-"&amp;TEXT(VALUE(SUBSTITUTE(A3848,"MOV-","")),"000"))</f>
        <v/>
      </c>
    </row>
    <row r="3849" spans="18:20">
      <c r="R3849" s="22" t="str">
        <f>IF(H3849="","",H3849&amp;I3849)</f>
        <v/>
      </c>
      <c r="S3849" s="22" t="str">
        <f>IF(C3849="","",C3849&amp;I3849)</f>
        <v/>
      </c>
      <c r="T3849" t="str">
        <f>IF(OR(C3849="",I3849&lt;&gt;"ENTRADA"),"",TEXT(B3849,"AAMMDD")&amp;"-"&amp;TEXT(VALUE(SUBSTITUTE(A3849,"MOV-","")),"000"))</f>
        <v/>
      </c>
    </row>
    <row r="3850" spans="18:20">
      <c r="R3850" s="22" t="str">
        <f>IF(H3850="","",H3850&amp;I3850)</f>
        <v/>
      </c>
      <c r="S3850" s="22" t="str">
        <f>IF(C3850="","",C3850&amp;I3850)</f>
        <v/>
      </c>
      <c r="T3850" t="str">
        <f>IF(OR(C3850="",I3850&lt;&gt;"ENTRADA"),"",TEXT(B3850,"AAMMDD")&amp;"-"&amp;TEXT(VALUE(SUBSTITUTE(A3850,"MOV-","")),"000"))</f>
        <v/>
      </c>
    </row>
    <row r="3851" spans="18:20">
      <c r="R3851" s="22" t="str">
        <f>IF(H3851="","",H3851&amp;I3851)</f>
        <v/>
      </c>
      <c r="S3851" s="22" t="str">
        <f>IF(C3851="","",C3851&amp;I3851)</f>
        <v/>
      </c>
      <c r="T3851" t="str">
        <f>IF(OR(C3851="",I3851&lt;&gt;"ENTRADA"),"",TEXT(B3851,"AAMMDD")&amp;"-"&amp;TEXT(VALUE(SUBSTITUTE(A3851,"MOV-","")),"000"))</f>
        <v/>
      </c>
    </row>
    <row r="3852" spans="18:20">
      <c r="R3852" s="22" t="str">
        <f>IF(H3852="","",H3852&amp;I3852)</f>
        <v/>
      </c>
      <c r="S3852" s="22" t="str">
        <f>IF(C3852="","",C3852&amp;I3852)</f>
        <v/>
      </c>
      <c r="T3852" t="str">
        <f>IF(OR(C3852="",I3852&lt;&gt;"ENTRADA"),"",TEXT(B3852,"AAMMDD")&amp;"-"&amp;TEXT(VALUE(SUBSTITUTE(A3852,"MOV-","")),"000"))</f>
        <v/>
      </c>
    </row>
    <row r="3853" spans="18:20">
      <c r="R3853" s="22" t="str">
        <f>IF(H3853="","",H3853&amp;I3853)</f>
        <v/>
      </c>
      <c r="S3853" s="22" t="str">
        <f>IF(C3853="","",C3853&amp;I3853)</f>
        <v/>
      </c>
      <c r="T3853" t="str">
        <f>IF(OR(C3853="",I3853&lt;&gt;"ENTRADA"),"",TEXT(B3853,"AAMMDD")&amp;"-"&amp;TEXT(VALUE(SUBSTITUTE(A3853,"MOV-","")),"000"))</f>
        <v/>
      </c>
    </row>
    <row r="3854" spans="18:20">
      <c r="R3854" s="22" t="str">
        <f>IF(H3854="","",H3854&amp;I3854)</f>
        <v/>
      </c>
      <c r="S3854" s="22" t="str">
        <f>IF(C3854="","",C3854&amp;I3854)</f>
        <v/>
      </c>
      <c r="T3854" t="str">
        <f>IF(OR(C3854="",I3854&lt;&gt;"ENTRADA"),"",TEXT(B3854,"AAMMDD")&amp;"-"&amp;TEXT(VALUE(SUBSTITUTE(A3854,"MOV-","")),"000"))</f>
        <v/>
      </c>
    </row>
    <row r="3855" spans="18:20">
      <c r="R3855" s="22" t="str">
        <f>IF(H3855="","",H3855&amp;I3855)</f>
        <v/>
      </c>
      <c r="S3855" s="22" t="str">
        <f>IF(C3855="","",C3855&amp;I3855)</f>
        <v/>
      </c>
      <c r="T3855" t="str">
        <f>IF(OR(C3855="",I3855&lt;&gt;"ENTRADA"),"",TEXT(B3855,"AAMMDD")&amp;"-"&amp;TEXT(VALUE(SUBSTITUTE(A3855,"MOV-","")),"000"))</f>
        <v/>
      </c>
    </row>
    <row r="3856" spans="18:20">
      <c r="R3856" s="22" t="str">
        <f>IF(H3856="","",H3856&amp;I3856)</f>
        <v/>
      </c>
      <c r="S3856" s="22" t="str">
        <f>IF(C3856="","",C3856&amp;I3856)</f>
        <v/>
      </c>
      <c r="T3856" t="str">
        <f>IF(OR(C3856="",I3856&lt;&gt;"ENTRADA"),"",TEXT(B3856,"AAMMDD")&amp;"-"&amp;TEXT(VALUE(SUBSTITUTE(A3856,"MOV-","")),"000"))</f>
        <v/>
      </c>
    </row>
    <row r="3857" spans="18:20">
      <c r="R3857" s="22" t="str">
        <f>IF(H3857="","",H3857&amp;I3857)</f>
        <v/>
      </c>
      <c r="S3857" s="22" t="str">
        <f>IF(C3857="","",C3857&amp;I3857)</f>
        <v/>
      </c>
      <c r="T3857" t="str">
        <f>IF(OR(C3857="",I3857&lt;&gt;"ENTRADA"),"",TEXT(B3857,"AAMMDD")&amp;"-"&amp;TEXT(VALUE(SUBSTITUTE(A3857,"MOV-","")),"000"))</f>
        <v/>
      </c>
    </row>
    <row r="3858" spans="18:20">
      <c r="R3858" s="22" t="str">
        <f>IF(H3858="","",H3858&amp;I3858)</f>
        <v/>
      </c>
      <c r="S3858" s="22" t="str">
        <f>IF(C3858="","",C3858&amp;I3858)</f>
        <v/>
      </c>
      <c r="T3858" t="str">
        <f>IF(OR(C3858="",I3858&lt;&gt;"ENTRADA"),"",TEXT(B3858,"AAMMDD")&amp;"-"&amp;TEXT(VALUE(SUBSTITUTE(A3858,"MOV-","")),"000"))</f>
        <v/>
      </c>
    </row>
    <row r="3859" spans="18:20">
      <c r="R3859" s="22" t="str">
        <f>IF(H3859="","",H3859&amp;I3859)</f>
        <v/>
      </c>
      <c r="S3859" s="22" t="str">
        <f>IF(C3859="","",C3859&amp;I3859)</f>
        <v/>
      </c>
      <c r="T3859" t="str">
        <f>IF(OR(C3859="",I3859&lt;&gt;"ENTRADA"),"",TEXT(B3859,"AAMMDD")&amp;"-"&amp;TEXT(VALUE(SUBSTITUTE(A3859,"MOV-","")),"000"))</f>
        <v/>
      </c>
    </row>
    <row r="3860" spans="18:20">
      <c r="R3860" s="22" t="str">
        <f>IF(H3860="","",H3860&amp;I3860)</f>
        <v/>
      </c>
      <c r="S3860" s="22" t="str">
        <f>IF(C3860="","",C3860&amp;I3860)</f>
        <v/>
      </c>
      <c r="T3860" t="str">
        <f>IF(OR(C3860="",I3860&lt;&gt;"ENTRADA"),"",TEXT(B3860,"AAMMDD")&amp;"-"&amp;TEXT(VALUE(SUBSTITUTE(A3860,"MOV-","")),"000"))</f>
        <v/>
      </c>
    </row>
    <row r="3861" spans="18:20">
      <c r="R3861" s="22" t="str">
        <f>IF(H3861="","",H3861&amp;I3861)</f>
        <v/>
      </c>
      <c r="S3861" s="22" t="str">
        <f>IF(C3861="","",C3861&amp;I3861)</f>
        <v/>
      </c>
      <c r="T3861" t="str">
        <f>IF(OR(C3861="",I3861&lt;&gt;"ENTRADA"),"",TEXT(B3861,"AAMMDD")&amp;"-"&amp;TEXT(VALUE(SUBSTITUTE(A3861,"MOV-","")),"000"))</f>
        <v/>
      </c>
    </row>
    <row r="3862" spans="18:20">
      <c r="R3862" s="22" t="str">
        <f>IF(H3862="","",H3862&amp;I3862)</f>
        <v/>
      </c>
      <c r="S3862" s="22" t="str">
        <f>IF(C3862="","",C3862&amp;I3862)</f>
        <v/>
      </c>
      <c r="T3862" t="str">
        <f>IF(OR(C3862="",I3862&lt;&gt;"ENTRADA"),"",TEXT(B3862,"AAMMDD")&amp;"-"&amp;TEXT(VALUE(SUBSTITUTE(A3862,"MOV-","")),"000"))</f>
        <v/>
      </c>
    </row>
    <row r="3863" spans="18:20">
      <c r="R3863" s="22" t="str">
        <f>IF(H3863="","",H3863&amp;I3863)</f>
        <v/>
      </c>
      <c r="S3863" s="22" t="str">
        <f>IF(C3863="","",C3863&amp;I3863)</f>
        <v/>
      </c>
      <c r="T3863" t="str">
        <f>IF(OR(C3863="",I3863&lt;&gt;"ENTRADA"),"",TEXT(B3863,"AAMMDD")&amp;"-"&amp;TEXT(VALUE(SUBSTITUTE(A3863,"MOV-","")),"000"))</f>
        <v/>
      </c>
    </row>
    <row r="3864" spans="18:20">
      <c r="R3864" s="22" t="str">
        <f>IF(H3864="","",H3864&amp;I3864)</f>
        <v/>
      </c>
      <c r="S3864" s="22" t="str">
        <f>IF(C3864="","",C3864&amp;I3864)</f>
        <v/>
      </c>
      <c r="T3864" t="str">
        <f>IF(OR(C3864="",I3864&lt;&gt;"ENTRADA"),"",TEXT(B3864,"AAMMDD")&amp;"-"&amp;TEXT(VALUE(SUBSTITUTE(A3864,"MOV-","")),"000"))</f>
        <v/>
      </c>
    </row>
    <row r="3865" spans="18:20">
      <c r="R3865" s="22" t="str">
        <f>IF(H3865="","",H3865&amp;I3865)</f>
        <v/>
      </c>
      <c r="S3865" s="22" t="str">
        <f>IF(C3865="","",C3865&amp;I3865)</f>
        <v/>
      </c>
      <c r="T3865" t="str">
        <f>IF(OR(C3865="",I3865&lt;&gt;"ENTRADA"),"",TEXT(B3865,"AAMMDD")&amp;"-"&amp;TEXT(VALUE(SUBSTITUTE(A3865,"MOV-","")),"000"))</f>
        <v/>
      </c>
    </row>
    <row r="3866" spans="18:20">
      <c r="R3866" s="22" t="str">
        <f>IF(H3866="","",H3866&amp;I3866)</f>
        <v/>
      </c>
      <c r="S3866" s="22" t="str">
        <f>IF(C3866="","",C3866&amp;I3866)</f>
        <v/>
      </c>
      <c r="T3866" t="str">
        <f>IF(OR(C3866="",I3866&lt;&gt;"ENTRADA"),"",TEXT(B3866,"AAMMDD")&amp;"-"&amp;TEXT(VALUE(SUBSTITUTE(A3866,"MOV-","")),"000"))</f>
        <v/>
      </c>
    </row>
    <row r="3867" spans="18:20">
      <c r="R3867" s="22" t="str">
        <f>IF(H3867="","",H3867&amp;I3867)</f>
        <v/>
      </c>
      <c r="S3867" s="22" t="str">
        <f>IF(C3867="","",C3867&amp;I3867)</f>
        <v/>
      </c>
      <c r="T3867" t="str">
        <f>IF(OR(C3867="",I3867&lt;&gt;"ENTRADA"),"",TEXT(B3867,"AAMMDD")&amp;"-"&amp;TEXT(VALUE(SUBSTITUTE(A3867,"MOV-","")),"000"))</f>
        <v/>
      </c>
    </row>
    <row r="3868" spans="18:20">
      <c r="R3868" s="22" t="str">
        <f>IF(H3868="","",H3868&amp;I3868)</f>
        <v/>
      </c>
      <c r="S3868" s="22" t="str">
        <f>IF(C3868="","",C3868&amp;I3868)</f>
        <v/>
      </c>
      <c r="T3868" t="str">
        <f>IF(OR(C3868="",I3868&lt;&gt;"ENTRADA"),"",TEXT(B3868,"AAMMDD")&amp;"-"&amp;TEXT(VALUE(SUBSTITUTE(A3868,"MOV-","")),"000"))</f>
        <v/>
      </c>
    </row>
    <row r="3869" spans="18:20">
      <c r="R3869" s="22" t="str">
        <f>IF(H3869="","",H3869&amp;I3869)</f>
        <v/>
      </c>
      <c r="S3869" s="22" t="str">
        <f>IF(C3869="","",C3869&amp;I3869)</f>
        <v/>
      </c>
      <c r="T3869" t="str">
        <f>IF(OR(C3869="",I3869&lt;&gt;"ENTRADA"),"",TEXT(B3869,"AAMMDD")&amp;"-"&amp;TEXT(VALUE(SUBSTITUTE(A3869,"MOV-","")),"000"))</f>
        <v/>
      </c>
    </row>
    <row r="3870" spans="18:20">
      <c r="R3870" s="22" t="str">
        <f>IF(H3870="","",H3870&amp;I3870)</f>
        <v/>
      </c>
      <c r="S3870" s="22" t="str">
        <f>IF(C3870="","",C3870&amp;I3870)</f>
        <v/>
      </c>
      <c r="T3870" t="str">
        <f>IF(OR(C3870="",I3870&lt;&gt;"ENTRADA"),"",TEXT(B3870,"AAMMDD")&amp;"-"&amp;TEXT(VALUE(SUBSTITUTE(A3870,"MOV-","")),"000"))</f>
        <v/>
      </c>
    </row>
    <row r="3871" spans="18:20">
      <c r="R3871" s="22" t="str">
        <f>IF(H3871="","",H3871&amp;I3871)</f>
        <v/>
      </c>
      <c r="S3871" s="22" t="str">
        <f>IF(C3871="","",C3871&amp;I3871)</f>
        <v/>
      </c>
      <c r="T3871" t="str">
        <f>IF(OR(C3871="",I3871&lt;&gt;"ENTRADA"),"",TEXT(B3871,"AAMMDD")&amp;"-"&amp;TEXT(VALUE(SUBSTITUTE(A3871,"MOV-","")),"000"))</f>
        <v/>
      </c>
    </row>
    <row r="3872" spans="18:20">
      <c r="R3872" s="22" t="str">
        <f>IF(H3872="","",H3872&amp;I3872)</f>
        <v/>
      </c>
      <c r="S3872" s="22" t="str">
        <f>IF(C3872="","",C3872&amp;I3872)</f>
        <v/>
      </c>
      <c r="T3872" t="str">
        <f>IF(OR(C3872="",I3872&lt;&gt;"ENTRADA"),"",TEXT(B3872,"AAMMDD")&amp;"-"&amp;TEXT(VALUE(SUBSTITUTE(A3872,"MOV-","")),"000"))</f>
        <v/>
      </c>
    </row>
    <row r="3873" spans="18:20">
      <c r="R3873" s="22" t="str">
        <f>IF(H3873="","",H3873&amp;I3873)</f>
        <v/>
      </c>
      <c r="S3873" s="22" t="str">
        <f>IF(C3873="","",C3873&amp;I3873)</f>
        <v/>
      </c>
      <c r="T3873" t="str">
        <f>IF(OR(C3873="",I3873&lt;&gt;"ENTRADA"),"",TEXT(B3873,"AAMMDD")&amp;"-"&amp;TEXT(VALUE(SUBSTITUTE(A3873,"MOV-","")),"000"))</f>
        <v/>
      </c>
    </row>
    <row r="3874" spans="18:20">
      <c r="R3874" s="22" t="str">
        <f>IF(H3874="","",H3874&amp;I3874)</f>
        <v/>
      </c>
      <c r="S3874" s="22" t="str">
        <f>IF(C3874="","",C3874&amp;I3874)</f>
        <v/>
      </c>
      <c r="T3874" t="str">
        <f>IF(OR(C3874="",I3874&lt;&gt;"ENTRADA"),"",TEXT(B3874,"AAMMDD")&amp;"-"&amp;TEXT(VALUE(SUBSTITUTE(A3874,"MOV-","")),"000"))</f>
        <v/>
      </c>
    </row>
    <row r="3875" spans="18:20">
      <c r="R3875" s="22" t="str">
        <f>IF(H3875="","",H3875&amp;I3875)</f>
        <v/>
      </c>
      <c r="S3875" s="22" t="str">
        <f>IF(C3875="","",C3875&amp;I3875)</f>
        <v/>
      </c>
      <c r="T3875" t="str">
        <f>IF(OR(C3875="",I3875&lt;&gt;"ENTRADA"),"",TEXT(B3875,"AAMMDD")&amp;"-"&amp;TEXT(VALUE(SUBSTITUTE(A3875,"MOV-","")),"000"))</f>
        <v/>
      </c>
    </row>
    <row r="3876" spans="18:20">
      <c r="R3876" s="22" t="str">
        <f>IF(H3876="","",H3876&amp;I3876)</f>
        <v/>
      </c>
      <c r="S3876" s="22" t="str">
        <f>IF(C3876="","",C3876&amp;I3876)</f>
        <v/>
      </c>
      <c r="T3876" t="str">
        <f>IF(OR(C3876="",I3876&lt;&gt;"ENTRADA"),"",TEXT(B3876,"AAMMDD")&amp;"-"&amp;TEXT(VALUE(SUBSTITUTE(A3876,"MOV-","")),"000"))</f>
        <v/>
      </c>
    </row>
    <row r="3877" spans="18:20">
      <c r="R3877" s="22" t="str">
        <f>IF(H3877="","",H3877&amp;I3877)</f>
        <v/>
      </c>
      <c r="S3877" s="22" t="str">
        <f>IF(C3877="","",C3877&amp;I3877)</f>
        <v/>
      </c>
      <c r="T3877" t="str">
        <f>IF(OR(C3877="",I3877&lt;&gt;"ENTRADA"),"",TEXT(B3877,"AAMMDD")&amp;"-"&amp;TEXT(VALUE(SUBSTITUTE(A3877,"MOV-","")),"000"))</f>
        <v/>
      </c>
    </row>
    <row r="3878" spans="18:20">
      <c r="R3878" s="22" t="str">
        <f>IF(H3878="","",H3878&amp;I3878)</f>
        <v/>
      </c>
      <c r="S3878" s="22" t="str">
        <f>IF(C3878="","",C3878&amp;I3878)</f>
        <v/>
      </c>
      <c r="T3878" t="str">
        <f>IF(OR(C3878="",I3878&lt;&gt;"ENTRADA"),"",TEXT(B3878,"AAMMDD")&amp;"-"&amp;TEXT(VALUE(SUBSTITUTE(A3878,"MOV-","")),"000"))</f>
        <v/>
      </c>
    </row>
    <row r="3879" spans="18:20">
      <c r="R3879" s="22" t="str">
        <f>IF(H3879="","",H3879&amp;I3879)</f>
        <v/>
      </c>
      <c r="S3879" s="22" t="str">
        <f>IF(C3879="","",C3879&amp;I3879)</f>
        <v/>
      </c>
      <c r="T3879" t="str">
        <f>IF(OR(C3879="",I3879&lt;&gt;"ENTRADA"),"",TEXT(B3879,"AAMMDD")&amp;"-"&amp;TEXT(VALUE(SUBSTITUTE(A3879,"MOV-","")),"000"))</f>
        <v/>
      </c>
    </row>
    <row r="3880" spans="18:20">
      <c r="R3880" s="22" t="str">
        <f>IF(H3880="","",H3880&amp;I3880)</f>
        <v/>
      </c>
      <c r="S3880" s="22" t="str">
        <f>IF(C3880="","",C3880&amp;I3880)</f>
        <v/>
      </c>
      <c r="T3880" t="str">
        <f>IF(OR(C3880="",I3880&lt;&gt;"ENTRADA"),"",TEXT(B3880,"AAMMDD")&amp;"-"&amp;TEXT(VALUE(SUBSTITUTE(A3880,"MOV-","")),"000"))</f>
        <v/>
      </c>
    </row>
    <row r="3881" spans="18:20">
      <c r="R3881" s="22" t="str">
        <f>IF(H3881="","",H3881&amp;I3881)</f>
        <v/>
      </c>
      <c r="S3881" s="22" t="str">
        <f>IF(C3881="","",C3881&amp;I3881)</f>
        <v/>
      </c>
      <c r="T3881" t="str">
        <f>IF(OR(C3881="",I3881&lt;&gt;"ENTRADA"),"",TEXT(B3881,"AAMMDD")&amp;"-"&amp;TEXT(VALUE(SUBSTITUTE(A3881,"MOV-","")),"000"))</f>
        <v/>
      </c>
    </row>
    <row r="3882" spans="18:20">
      <c r="R3882" s="22" t="str">
        <f>IF(H3882="","",H3882&amp;I3882)</f>
        <v/>
      </c>
      <c r="S3882" s="22" t="str">
        <f>IF(C3882="","",C3882&amp;I3882)</f>
        <v/>
      </c>
      <c r="T3882" t="str">
        <f>IF(OR(C3882="",I3882&lt;&gt;"ENTRADA"),"",TEXT(B3882,"AAMMDD")&amp;"-"&amp;TEXT(VALUE(SUBSTITUTE(A3882,"MOV-","")),"000"))</f>
        <v/>
      </c>
    </row>
    <row r="3883" spans="18:20">
      <c r="R3883" s="22" t="str">
        <f>IF(H3883="","",H3883&amp;I3883)</f>
        <v/>
      </c>
      <c r="S3883" s="22" t="str">
        <f>IF(C3883="","",C3883&amp;I3883)</f>
        <v/>
      </c>
      <c r="T3883" t="str">
        <f>IF(OR(C3883="",I3883&lt;&gt;"ENTRADA"),"",TEXT(B3883,"AAMMDD")&amp;"-"&amp;TEXT(VALUE(SUBSTITUTE(A3883,"MOV-","")),"000"))</f>
        <v/>
      </c>
    </row>
    <row r="3884" spans="18:20">
      <c r="R3884" s="22" t="str">
        <f>IF(H3884="","",H3884&amp;I3884)</f>
        <v/>
      </c>
      <c r="S3884" s="22" t="str">
        <f>IF(C3884="","",C3884&amp;I3884)</f>
        <v/>
      </c>
      <c r="T3884" t="str">
        <f>IF(OR(C3884="",I3884&lt;&gt;"ENTRADA"),"",TEXT(B3884,"AAMMDD")&amp;"-"&amp;TEXT(VALUE(SUBSTITUTE(A3884,"MOV-","")),"000"))</f>
        <v/>
      </c>
    </row>
    <row r="3885" spans="18:20">
      <c r="R3885" s="22" t="str">
        <f>IF(H3885="","",H3885&amp;I3885)</f>
        <v/>
      </c>
      <c r="S3885" s="22" t="str">
        <f>IF(C3885="","",C3885&amp;I3885)</f>
        <v/>
      </c>
      <c r="T3885" t="str">
        <f>IF(OR(C3885="",I3885&lt;&gt;"ENTRADA"),"",TEXT(B3885,"AAMMDD")&amp;"-"&amp;TEXT(VALUE(SUBSTITUTE(A3885,"MOV-","")),"000"))</f>
        <v/>
      </c>
    </row>
    <row r="3886" spans="18:20">
      <c r="R3886" s="22" t="str">
        <f>IF(H3886="","",H3886&amp;I3886)</f>
        <v/>
      </c>
      <c r="S3886" s="22" t="str">
        <f>IF(C3886="","",C3886&amp;I3886)</f>
        <v/>
      </c>
      <c r="T3886" t="str">
        <f>IF(OR(C3886="",I3886&lt;&gt;"ENTRADA"),"",TEXT(B3886,"AAMMDD")&amp;"-"&amp;TEXT(VALUE(SUBSTITUTE(A3886,"MOV-","")),"000"))</f>
        <v/>
      </c>
    </row>
    <row r="3887" spans="18:20">
      <c r="R3887" s="22" t="str">
        <f>IF(H3887="","",H3887&amp;I3887)</f>
        <v/>
      </c>
      <c r="S3887" s="22" t="str">
        <f>IF(C3887="","",C3887&amp;I3887)</f>
        <v/>
      </c>
      <c r="T3887" t="str">
        <f>IF(OR(C3887="",I3887&lt;&gt;"ENTRADA"),"",TEXT(B3887,"AAMMDD")&amp;"-"&amp;TEXT(VALUE(SUBSTITUTE(A3887,"MOV-","")),"000"))</f>
        <v/>
      </c>
    </row>
    <row r="3888" spans="18:20">
      <c r="R3888" s="22" t="str">
        <f>IF(H3888="","",H3888&amp;I3888)</f>
        <v/>
      </c>
      <c r="S3888" s="22" t="str">
        <f>IF(C3888="","",C3888&amp;I3888)</f>
        <v/>
      </c>
      <c r="T3888" t="str">
        <f>IF(OR(C3888="",I3888&lt;&gt;"ENTRADA"),"",TEXT(B3888,"AAMMDD")&amp;"-"&amp;TEXT(VALUE(SUBSTITUTE(A3888,"MOV-","")),"000"))</f>
        <v/>
      </c>
    </row>
    <row r="3889" spans="18:20">
      <c r="R3889" s="22" t="str">
        <f>IF(H3889="","",H3889&amp;I3889)</f>
        <v/>
      </c>
      <c r="S3889" s="22" t="str">
        <f>IF(C3889="","",C3889&amp;I3889)</f>
        <v/>
      </c>
      <c r="T3889" t="str">
        <f>IF(OR(C3889="",I3889&lt;&gt;"ENTRADA"),"",TEXT(B3889,"AAMMDD")&amp;"-"&amp;TEXT(VALUE(SUBSTITUTE(A3889,"MOV-","")),"000"))</f>
        <v/>
      </c>
    </row>
    <row r="3890" spans="18:20">
      <c r="R3890" s="22" t="str">
        <f>IF(H3890="","",H3890&amp;I3890)</f>
        <v/>
      </c>
      <c r="S3890" s="22" t="str">
        <f>IF(C3890="","",C3890&amp;I3890)</f>
        <v/>
      </c>
      <c r="T3890" t="str">
        <f>IF(OR(C3890="",I3890&lt;&gt;"ENTRADA"),"",TEXT(B3890,"AAMMDD")&amp;"-"&amp;TEXT(VALUE(SUBSTITUTE(A3890,"MOV-","")),"000"))</f>
        <v/>
      </c>
    </row>
    <row r="3891" spans="18:20">
      <c r="R3891" s="22" t="str">
        <f>IF(H3891="","",H3891&amp;I3891)</f>
        <v/>
      </c>
      <c r="S3891" s="22" t="str">
        <f>IF(C3891="","",C3891&amp;I3891)</f>
        <v/>
      </c>
      <c r="T3891" t="str">
        <f>IF(OR(C3891="",I3891&lt;&gt;"ENTRADA"),"",TEXT(B3891,"AAMMDD")&amp;"-"&amp;TEXT(VALUE(SUBSTITUTE(A3891,"MOV-","")),"000"))</f>
        <v/>
      </c>
    </row>
    <row r="3892" spans="18:20">
      <c r="R3892" s="22" t="str">
        <f>IF(H3892="","",H3892&amp;I3892)</f>
        <v/>
      </c>
      <c r="S3892" s="22" t="str">
        <f>IF(C3892="","",C3892&amp;I3892)</f>
        <v/>
      </c>
      <c r="T3892" t="str">
        <f>IF(OR(C3892="",I3892&lt;&gt;"ENTRADA"),"",TEXT(B3892,"AAMMDD")&amp;"-"&amp;TEXT(VALUE(SUBSTITUTE(A3892,"MOV-","")),"000"))</f>
        <v/>
      </c>
    </row>
    <row r="3893" spans="18:20">
      <c r="R3893" s="22" t="str">
        <f>IF(H3893="","",H3893&amp;I3893)</f>
        <v/>
      </c>
      <c r="S3893" s="22" t="str">
        <f>IF(C3893="","",C3893&amp;I3893)</f>
        <v/>
      </c>
      <c r="T3893" t="str">
        <f>IF(OR(C3893="",I3893&lt;&gt;"ENTRADA"),"",TEXT(B3893,"AAMMDD")&amp;"-"&amp;TEXT(VALUE(SUBSTITUTE(A3893,"MOV-","")),"000"))</f>
        <v/>
      </c>
    </row>
    <row r="3894" spans="18:20">
      <c r="R3894" s="22" t="str">
        <f>IF(H3894="","",H3894&amp;I3894)</f>
        <v/>
      </c>
      <c r="S3894" s="22" t="str">
        <f>IF(C3894="","",C3894&amp;I3894)</f>
        <v/>
      </c>
      <c r="T3894" t="str">
        <f>IF(OR(C3894="",I3894&lt;&gt;"ENTRADA"),"",TEXT(B3894,"AAMMDD")&amp;"-"&amp;TEXT(VALUE(SUBSTITUTE(A3894,"MOV-","")),"000"))</f>
        <v/>
      </c>
    </row>
    <row r="3895" spans="18:20">
      <c r="R3895" s="22" t="str">
        <f>IF(H3895="","",H3895&amp;I3895)</f>
        <v/>
      </c>
      <c r="S3895" s="22" t="str">
        <f>IF(C3895="","",C3895&amp;I3895)</f>
        <v/>
      </c>
      <c r="T3895" t="str">
        <f>IF(OR(C3895="",I3895&lt;&gt;"ENTRADA"),"",TEXT(B3895,"AAMMDD")&amp;"-"&amp;TEXT(VALUE(SUBSTITUTE(A3895,"MOV-","")),"000"))</f>
        <v/>
      </c>
    </row>
    <row r="3896" spans="18:20">
      <c r="R3896" s="22" t="str">
        <f>IF(H3896="","",H3896&amp;I3896)</f>
        <v/>
      </c>
      <c r="S3896" s="22" t="str">
        <f>IF(C3896="","",C3896&amp;I3896)</f>
        <v/>
      </c>
      <c r="T3896" t="str">
        <f>IF(OR(C3896="",I3896&lt;&gt;"ENTRADA"),"",TEXT(B3896,"AAMMDD")&amp;"-"&amp;TEXT(VALUE(SUBSTITUTE(A3896,"MOV-","")),"000"))</f>
        <v/>
      </c>
    </row>
    <row r="3897" spans="18:20">
      <c r="R3897" s="22" t="str">
        <f>IF(H3897="","",H3897&amp;I3897)</f>
        <v/>
      </c>
      <c r="S3897" s="22" t="str">
        <f>IF(C3897="","",C3897&amp;I3897)</f>
        <v/>
      </c>
      <c r="T3897" t="str">
        <f>IF(OR(C3897="",I3897&lt;&gt;"ENTRADA"),"",TEXT(B3897,"AAMMDD")&amp;"-"&amp;TEXT(VALUE(SUBSTITUTE(A3897,"MOV-","")),"000"))</f>
        <v/>
      </c>
    </row>
    <row r="3898" spans="18:20">
      <c r="R3898" s="22" t="str">
        <f>IF(H3898="","",H3898&amp;I3898)</f>
        <v/>
      </c>
      <c r="S3898" s="22" t="str">
        <f>IF(C3898="","",C3898&amp;I3898)</f>
        <v/>
      </c>
      <c r="T3898" t="str">
        <f>IF(OR(C3898="",I3898&lt;&gt;"ENTRADA"),"",TEXT(B3898,"AAMMDD")&amp;"-"&amp;TEXT(VALUE(SUBSTITUTE(A3898,"MOV-","")),"000"))</f>
        <v/>
      </c>
    </row>
    <row r="3899" spans="18:20">
      <c r="R3899" s="22" t="str">
        <f>IF(H3899="","",H3899&amp;I3899)</f>
        <v/>
      </c>
      <c r="S3899" s="22" t="str">
        <f>IF(C3899="","",C3899&amp;I3899)</f>
        <v/>
      </c>
      <c r="T3899" t="str">
        <f>IF(OR(C3899="",I3899&lt;&gt;"ENTRADA"),"",TEXT(B3899,"AAMMDD")&amp;"-"&amp;TEXT(VALUE(SUBSTITUTE(A3899,"MOV-","")),"000"))</f>
        <v/>
      </c>
    </row>
    <row r="3900" spans="18:20">
      <c r="R3900" s="22" t="str">
        <f>IF(H3900="","",H3900&amp;I3900)</f>
        <v/>
      </c>
      <c r="S3900" s="22" t="str">
        <f>IF(C3900="","",C3900&amp;I3900)</f>
        <v/>
      </c>
      <c r="T3900" t="str">
        <f>IF(OR(C3900="",I3900&lt;&gt;"ENTRADA"),"",TEXT(B3900,"AAMMDD")&amp;"-"&amp;TEXT(VALUE(SUBSTITUTE(A3900,"MOV-","")),"000"))</f>
        <v/>
      </c>
    </row>
    <row r="3901" spans="18:20">
      <c r="R3901" s="22" t="str">
        <f>IF(H3901="","",H3901&amp;I3901)</f>
        <v/>
      </c>
      <c r="S3901" s="22" t="str">
        <f>IF(C3901="","",C3901&amp;I3901)</f>
        <v/>
      </c>
      <c r="T3901" t="str">
        <f>IF(OR(C3901="",I3901&lt;&gt;"ENTRADA"),"",TEXT(B3901,"AAMMDD")&amp;"-"&amp;TEXT(VALUE(SUBSTITUTE(A3901,"MOV-","")),"000"))</f>
        <v/>
      </c>
    </row>
    <row r="3902" spans="18:20">
      <c r="R3902" s="22" t="str">
        <f>IF(H3902="","",H3902&amp;I3902)</f>
        <v/>
      </c>
      <c r="S3902" s="22" t="str">
        <f>IF(C3902="","",C3902&amp;I3902)</f>
        <v/>
      </c>
      <c r="T3902" t="str">
        <f>IF(OR(C3902="",I3902&lt;&gt;"ENTRADA"),"",TEXT(B3902,"AAMMDD")&amp;"-"&amp;TEXT(VALUE(SUBSTITUTE(A3902,"MOV-","")),"000"))</f>
        <v/>
      </c>
    </row>
    <row r="3903" spans="18:20">
      <c r="R3903" s="22" t="str">
        <f>IF(H3903="","",H3903&amp;I3903)</f>
        <v/>
      </c>
      <c r="S3903" s="22" t="str">
        <f>IF(C3903="","",C3903&amp;I3903)</f>
        <v/>
      </c>
      <c r="T3903" t="str">
        <f>IF(OR(C3903="",I3903&lt;&gt;"ENTRADA"),"",TEXT(B3903,"AAMMDD")&amp;"-"&amp;TEXT(VALUE(SUBSTITUTE(A3903,"MOV-","")),"000"))</f>
        <v/>
      </c>
    </row>
    <row r="3904" spans="18:20">
      <c r="R3904" s="22" t="str">
        <f>IF(H3904="","",H3904&amp;I3904)</f>
        <v/>
      </c>
      <c r="S3904" s="22" t="str">
        <f>IF(C3904="","",C3904&amp;I3904)</f>
        <v/>
      </c>
      <c r="T3904" t="str">
        <f>IF(OR(C3904="",I3904&lt;&gt;"ENTRADA"),"",TEXT(B3904,"AAMMDD")&amp;"-"&amp;TEXT(VALUE(SUBSTITUTE(A3904,"MOV-","")),"000"))</f>
        <v/>
      </c>
    </row>
    <row r="3905" spans="18:20">
      <c r="R3905" s="22" t="str">
        <f>IF(H3905="","",H3905&amp;I3905)</f>
        <v/>
      </c>
      <c r="S3905" s="22" t="str">
        <f>IF(C3905="","",C3905&amp;I3905)</f>
        <v/>
      </c>
      <c r="T3905" t="str">
        <f>IF(OR(C3905="",I3905&lt;&gt;"ENTRADA"),"",TEXT(B3905,"AAMMDD")&amp;"-"&amp;TEXT(VALUE(SUBSTITUTE(A3905,"MOV-","")),"000"))</f>
        <v/>
      </c>
    </row>
    <row r="3906" spans="18:20">
      <c r="R3906" s="22" t="str">
        <f>IF(H3906="","",H3906&amp;I3906)</f>
        <v/>
      </c>
      <c r="S3906" s="22" t="str">
        <f>IF(C3906="","",C3906&amp;I3906)</f>
        <v/>
      </c>
      <c r="T3906" t="str">
        <f>IF(OR(C3906="",I3906&lt;&gt;"ENTRADA"),"",TEXT(B3906,"AAMMDD")&amp;"-"&amp;TEXT(VALUE(SUBSTITUTE(A3906,"MOV-","")),"000"))</f>
        <v/>
      </c>
    </row>
    <row r="3907" spans="18:20">
      <c r="R3907" s="22" t="str">
        <f>IF(H3907="","",H3907&amp;I3907)</f>
        <v/>
      </c>
      <c r="S3907" s="22" t="str">
        <f>IF(C3907="","",C3907&amp;I3907)</f>
        <v/>
      </c>
      <c r="T3907" t="str">
        <f>IF(OR(C3907="",I3907&lt;&gt;"ENTRADA"),"",TEXT(B3907,"AAMMDD")&amp;"-"&amp;TEXT(VALUE(SUBSTITUTE(A3907,"MOV-","")),"000"))</f>
        <v/>
      </c>
    </row>
    <row r="3908" spans="18:20">
      <c r="R3908" s="22" t="str">
        <f>IF(H3908="","",H3908&amp;I3908)</f>
        <v/>
      </c>
      <c r="S3908" s="22" t="str">
        <f>IF(C3908="","",C3908&amp;I3908)</f>
        <v/>
      </c>
      <c r="T3908" t="str">
        <f>IF(OR(C3908="",I3908&lt;&gt;"ENTRADA"),"",TEXT(B3908,"AAMMDD")&amp;"-"&amp;TEXT(VALUE(SUBSTITUTE(A3908,"MOV-","")),"000"))</f>
        <v/>
      </c>
    </row>
    <row r="3909" spans="18:20">
      <c r="R3909" s="22" t="str">
        <f>IF(H3909="","",H3909&amp;I3909)</f>
        <v/>
      </c>
      <c r="S3909" s="22" t="str">
        <f>IF(C3909="","",C3909&amp;I3909)</f>
        <v/>
      </c>
      <c r="T3909" t="str">
        <f>IF(OR(C3909="",I3909&lt;&gt;"ENTRADA"),"",TEXT(B3909,"AAMMDD")&amp;"-"&amp;TEXT(VALUE(SUBSTITUTE(A3909,"MOV-","")),"000"))</f>
        <v/>
      </c>
    </row>
    <row r="3910" spans="18:20">
      <c r="R3910" s="22" t="str">
        <f>IF(H3910="","",H3910&amp;I3910)</f>
        <v/>
      </c>
      <c r="S3910" s="22" t="str">
        <f>IF(C3910="","",C3910&amp;I3910)</f>
        <v/>
      </c>
      <c r="T3910" t="str">
        <f>IF(OR(C3910="",I3910&lt;&gt;"ENTRADA"),"",TEXT(B3910,"AAMMDD")&amp;"-"&amp;TEXT(VALUE(SUBSTITUTE(A3910,"MOV-","")),"000"))</f>
        <v/>
      </c>
    </row>
    <row r="3911" spans="18:20">
      <c r="R3911" s="22" t="str">
        <f>IF(H3911="","",H3911&amp;I3911)</f>
        <v/>
      </c>
      <c r="S3911" s="22" t="str">
        <f>IF(C3911="","",C3911&amp;I3911)</f>
        <v/>
      </c>
      <c r="T3911" t="str">
        <f>IF(OR(C3911="",I3911&lt;&gt;"ENTRADA"),"",TEXT(B3911,"AAMMDD")&amp;"-"&amp;TEXT(VALUE(SUBSTITUTE(A3911,"MOV-","")),"000"))</f>
        <v/>
      </c>
    </row>
    <row r="3912" spans="18:20">
      <c r="R3912" s="22" t="str">
        <f>IF(H3912="","",H3912&amp;I3912)</f>
        <v/>
      </c>
      <c r="S3912" s="22" t="str">
        <f>IF(C3912="","",C3912&amp;I3912)</f>
        <v/>
      </c>
      <c r="T3912" t="str">
        <f>IF(OR(C3912="",I3912&lt;&gt;"ENTRADA"),"",TEXT(B3912,"AAMMDD")&amp;"-"&amp;TEXT(VALUE(SUBSTITUTE(A3912,"MOV-","")),"000"))</f>
        <v/>
      </c>
    </row>
    <row r="3913" spans="18:20">
      <c r="R3913" s="22" t="str">
        <f>IF(H3913="","",H3913&amp;I3913)</f>
        <v/>
      </c>
      <c r="S3913" s="22" t="str">
        <f>IF(C3913="","",C3913&amp;I3913)</f>
        <v/>
      </c>
      <c r="T3913" t="str">
        <f>IF(OR(C3913="",I3913&lt;&gt;"ENTRADA"),"",TEXT(B3913,"AAMMDD")&amp;"-"&amp;TEXT(VALUE(SUBSTITUTE(A3913,"MOV-","")),"000"))</f>
        <v/>
      </c>
    </row>
    <row r="3914" spans="18:20">
      <c r="R3914" s="22" t="str">
        <f>IF(H3914="","",H3914&amp;I3914)</f>
        <v/>
      </c>
      <c r="S3914" s="22" t="str">
        <f>IF(C3914="","",C3914&amp;I3914)</f>
        <v/>
      </c>
      <c r="T3914" t="str">
        <f>IF(OR(C3914="",I3914&lt;&gt;"ENTRADA"),"",TEXT(B3914,"AAMMDD")&amp;"-"&amp;TEXT(VALUE(SUBSTITUTE(A3914,"MOV-","")),"000"))</f>
        <v/>
      </c>
    </row>
    <row r="3915" spans="18:20">
      <c r="R3915" s="22" t="str">
        <f>IF(H3915="","",H3915&amp;I3915)</f>
        <v/>
      </c>
      <c r="S3915" s="22" t="str">
        <f>IF(C3915="","",C3915&amp;I3915)</f>
        <v/>
      </c>
      <c r="T3915" t="str">
        <f>IF(OR(C3915="",I3915&lt;&gt;"ENTRADA"),"",TEXT(B3915,"AAMMDD")&amp;"-"&amp;TEXT(VALUE(SUBSTITUTE(A3915,"MOV-","")),"000"))</f>
        <v/>
      </c>
    </row>
    <row r="3916" spans="18:20">
      <c r="R3916" s="22" t="str">
        <f>IF(H3916="","",H3916&amp;I3916)</f>
        <v/>
      </c>
      <c r="S3916" s="22" t="str">
        <f>IF(C3916="","",C3916&amp;I3916)</f>
        <v/>
      </c>
      <c r="T3916" t="str">
        <f>IF(OR(C3916="",I3916&lt;&gt;"ENTRADA"),"",TEXT(B3916,"AAMMDD")&amp;"-"&amp;TEXT(VALUE(SUBSTITUTE(A3916,"MOV-","")),"000"))</f>
        <v/>
      </c>
    </row>
    <row r="3917" spans="18:20">
      <c r="R3917" s="22" t="str">
        <f>IF(H3917="","",H3917&amp;I3917)</f>
        <v/>
      </c>
      <c r="S3917" s="22" t="str">
        <f>IF(C3917="","",C3917&amp;I3917)</f>
        <v/>
      </c>
      <c r="T3917" t="str">
        <f>IF(OR(C3917="",I3917&lt;&gt;"ENTRADA"),"",TEXT(B3917,"AAMMDD")&amp;"-"&amp;TEXT(VALUE(SUBSTITUTE(A3917,"MOV-","")),"000"))</f>
        <v/>
      </c>
    </row>
    <row r="3918" spans="18:20">
      <c r="R3918" s="22" t="str">
        <f>IF(H3918="","",H3918&amp;I3918)</f>
        <v/>
      </c>
      <c r="S3918" s="22" t="str">
        <f>IF(C3918="","",C3918&amp;I3918)</f>
        <v/>
      </c>
      <c r="T3918" t="str">
        <f>IF(OR(C3918="",I3918&lt;&gt;"ENTRADA"),"",TEXT(B3918,"AAMMDD")&amp;"-"&amp;TEXT(VALUE(SUBSTITUTE(A3918,"MOV-","")),"000"))</f>
        <v/>
      </c>
    </row>
    <row r="3919" spans="18:20">
      <c r="R3919" s="22" t="str">
        <f>IF(H3919="","",H3919&amp;I3919)</f>
        <v/>
      </c>
      <c r="S3919" s="22" t="str">
        <f>IF(C3919="","",C3919&amp;I3919)</f>
        <v/>
      </c>
      <c r="T3919" t="str">
        <f>IF(OR(C3919="",I3919&lt;&gt;"ENTRADA"),"",TEXT(B3919,"AAMMDD")&amp;"-"&amp;TEXT(VALUE(SUBSTITUTE(A3919,"MOV-","")),"000"))</f>
        <v/>
      </c>
    </row>
    <row r="3920" spans="18:20">
      <c r="R3920" s="22" t="str">
        <f>IF(H3920="","",H3920&amp;I3920)</f>
        <v/>
      </c>
      <c r="S3920" s="22" t="str">
        <f>IF(C3920="","",C3920&amp;I3920)</f>
        <v/>
      </c>
      <c r="T3920" t="str">
        <f>IF(OR(C3920="",I3920&lt;&gt;"ENTRADA"),"",TEXT(B3920,"AAMMDD")&amp;"-"&amp;TEXT(VALUE(SUBSTITUTE(A3920,"MOV-","")),"000"))</f>
        <v/>
      </c>
    </row>
    <row r="3921" spans="18:20">
      <c r="R3921" s="22" t="str">
        <f>IF(H3921="","",H3921&amp;I3921)</f>
        <v/>
      </c>
      <c r="S3921" s="22" t="str">
        <f>IF(C3921="","",C3921&amp;I3921)</f>
        <v/>
      </c>
      <c r="T3921" t="str">
        <f>IF(OR(C3921="",I3921&lt;&gt;"ENTRADA"),"",TEXT(B3921,"AAMMDD")&amp;"-"&amp;TEXT(VALUE(SUBSTITUTE(A3921,"MOV-","")),"000"))</f>
        <v/>
      </c>
    </row>
    <row r="3922" spans="18:20">
      <c r="R3922" s="22" t="str">
        <f>IF(H3922="","",H3922&amp;I3922)</f>
        <v/>
      </c>
      <c r="S3922" s="22" t="str">
        <f>IF(C3922="","",C3922&amp;I3922)</f>
        <v/>
      </c>
      <c r="T3922" t="str">
        <f>IF(OR(C3922="",I3922&lt;&gt;"ENTRADA"),"",TEXT(B3922,"AAMMDD")&amp;"-"&amp;TEXT(VALUE(SUBSTITUTE(A3922,"MOV-","")),"000"))</f>
        <v/>
      </c>
    </row>
    <row r="3923" spans="18:20">
      <c r="R3923" s="22" t="str">
        <f>IF(H3923="","",H3923&amp;I3923)</f>
        <v/>
      </c>
      <c r="S3923" s="22" t="str">
        <f>IF(C3923="","",C3923&amp;I3923)</f>
        <v/>
      </c>
      <c r="T3923" t="str">
        <f>IF(OR(C3923="",I3923&lt;&gt;"ENTRADA"),"",TEXT(B3923,"AAMMDD")&amp;"-"&amp;TEXT(VALUE(SUBSTITUTE(A3923,"MOV-","")),"000"))</f>
        <v/>
      </c>
    </row>
    <row r="3924" spans="18:20">
      <c r="R3924" s="22" t="str">
        <f>IF(H3924="","",H3924&amp;I3924)</f>
        <v/>
      </c>
      <c r="S3924" s="22" t="str">
        <f>IF(C3924="","",C3924&amp;I3924)</f>
        <v/>
      </c>
      <c r="T3924" t="str">
        <f>IF(OR(C3924="",I3924&lt;&gt;"ENTRADA"),"",TEXT(B3924,"AAMMDD")&amp;"-"&amp;TEXT(VALUE(SUBSTITUTE(A3924,"MOV-","")),"000"))</f>
        <v/>
      </c>
    </row>
    <row r="3925" spans="18:20">
      <c r="R3925" s="22" t="str">
        <f>IF(H3925="","",H3925&amp;I3925)</f>
        <v/>
      </c>
      <c r="S3925" s="22" t="str">
        <f>IF(C3925="","",C3925&amp;I3925)</f>
        <v/>
      </c>
      <c r="T3925" t="str">
        <f>IF(OR(C3925="",I3925&lt;&gt;"ENTRADA"),"",TEXT(B3925,"AAMMDD")&amp;"-"&amp;TEXT(VALUE(SUBSTITUTE(A3925,"MOV-","")),"000"))</f>
        <v/>
      </c>
    </row>
    <row r="3926" spans="18:20">
      <c r="R3926" s="22" t="str">
        <f>IF(H3926="","",H3926&amp;I3926)</f>
        <v/>
      </c>
      <c r="S3926" s="22" t="str">
        <f>IF(C3926="","",C3926&amp;I3926)</f>
        <v/>
      </c>
      <c r="T3926" t="str">
        <f>IF(OR(C3926="",I3926&lt;&gt;"ENTRADA"),"",TEXT(B3926,"AAMMDD")&amp;"-"&amp;TEXT(VALUE(SUBSTITUTE(A3926,"MOV-","")),"000"))</f>
        <v/>
      </c>
    </row>
    <row r="3927" spans="18:20">
      <c r="R3927" s="22" t="str">
        <f>IF(H3927="","",H3927&amp;I3927)</f>
        <v/>
      </c>
      <c r="S3927" s="22" t="str">
        <f>IF(C3927="","",C3927&amp;I3927)</f>
        <v/>
      </c>
      <c r="T3927" t="str">
        <f>IF(OR(C3927="",I3927&lt;&gt;"ENTRADA"),"",TEXT(B3927,"AAMMDD")&amp;"-"&amp;TEXT(VALUE(SUBSTITUTE(A3927,"MOV-","")),"000"))</f>
        <v/>
      </c>
    </row>
    <row r="3928" spans="18:20">
      <c r="R3928" s="22" t="str">
        <f>IF(H3928="","",H3928&amp;I3928)</f>
        <v/>
      </c>
      <c r="S3928" s="22" t="str">
        <f>IF(C3928="","",C3928&amp;I3928)</f>
        <v/>
      </c>
      <c r="T3928" t="str">
        <f>IF(OR(C3928="",I3928&lt;&gt;"ENTRADA"),"",TEXT(B3928,"AAMMDD")&amp;"-"&amp;TEXT(VALUE(SUBSTITUTE(A3928,"MOV-","")),"000"))</f>
        <v/>
      </c>
    </row>
    <row r="3929" spans="18:20">
      <c r="R3929" s="22" t="str">
        <f>IF(H3929="","",H3929&amp;I3929)</f>
        <v/>
      </c>
      <c r="S3929" s="22" t="str">
        <f>IF(C3929="","",C3929&amp;I3929)</f>
        <v/>
      </c>
      <c r="T3929" t="str">
        <f>IF(OR(C3929="",I3929&lt;&gt;"ENTRADA"),"",TEXT(B3929,"AAMMDD")&amp;"-"&amp;TEXT(VALUE(SUBSTITUTE(A3929,"MOV-","")),"000"))</f>
        <v/>
      </c>
    </row>
    <row r="3930" spans="18:20">
      <c r="R3930" s="22" t="str">
        <f>IF(H3930="","",H3930&amp;I3930)</f>
        <v/>
      </c>
      <c r="S3930" s="22" t="str">
        <f>IF(C3930="","",C3930&amp;I3930)</f>
        <v/>
      </c>
      <c r="T3930" t="str">
        <f>IF(OR(C3930="",I3930&lt;&gt;"ENTRADA"),"",TEXT(B3930,"AAMMDD")&amp;"-"&amp;TEXT(VALUE(SUBSTITUTE(A3930,"MOV-","")),"000"))</f>
        <v/>
      </c>
    </row>
    <row r="3931" spans="18:20">
      <c r="R3931" s="22" t="str">
        <f>IF(H3931="","",H3931&amp;I3931)</f>
        <v/>
      </c>
      <c r="S3931" s="22" t="str">
        <f>IF(C3931="","",C3931&amp;I3931)</f>
        <v/>
      </c>
      <c r="T3931" t="str">
        <f>IF(OR(C3931="",I3931&lt;&gt;"ENTRADA"),"",TEXT(B3931,"AAMMDD")&amp;"-"&amp;TEXT(VALUE(SUBSTITUTE(A3931,"MOV-","")),"000"))</f>
        <v/>
      </c>
    </row>
    <row r="3932" spans="18:20">
      <c r="R3932" s="22" t="str">
        <f>IF(H3932="","",H3932&amp;I3932)</f>
        <v/>
      </c>
      <c r="S3932" s="22" t="str">
        <f>IF(C3932="","",C3932&amp;I3932)</f>
        <v/>
      </c>
      <c r="T3932" t="str">
        <f>IF(OR(C3932="",I3932&lt;&gt;"ENTRADA"),"",TEXT(B3932,"AAMMDD")&amp;"-"&amp;TEXT(VALUE(SUBSTITUTE(A3932,"MOV-","")),"000"))</f>
        <v/>
      </c>
    </row>
    <row r="3933" spans="18:20">
      <c r="R3933" s="22" t="str">
        <f>IF(H3933="","",H3933&amp;I3933)</f>
        <v/>
      </c>
      <c r="S3933" s="22" t="str">
        <f>IF(C3933="","",C3933&amp;I3933)</f>
        <v/>
      </c>
      <c r="T3933" t="str">
        <f>IF(OR(C3933="",I3933&lt;&gt;"ENTRADA"),"",TEXT(B3933,"AAMMDD")&amp;"-"&amp;TEXT(VALUE(SUBSTITUTE(A3933,"MOV-","")),"000"))</f>
        <v/>
      </c>
    </row>
    <row r="3934" spans="18:20">
      <c r="R3934" s="22" t="str">
        <f>IF(H3934="","",H3934&amp;I3934)</f>
        <v/>
      </c>
      <c r="S3934" s="22" t="str">
        <f>IF(C3934="","",C3934&amp;I3934)</f>
        <v/>
      </c>
      <c r="T3934" t="str">
        <f>IF(OR(C3934="",I3934&lt;&gt;"ENTRADA"),"",TEXT(B3934,"AAMMDD")&amp;"-"&amp;TEXT(VALUE(SUBSTITUTE(A3934,"MOV-","")),"000"))</f>
        <v/>
      </c>
    </row>
    <row r="3935" spans="18:20">
      <c r="R3935" s="22" t="str">
        <f>IF(H3935="","",H3935&amp;I3935)</f>
        <v/>
      </c>
      <c r="S3935" s="22" t="str">
        <f>IF(C3935="","",C3935&amp;I3935)</f>
        <v/>
      </c>
      <c r="T3935" t="str">
        <f>IF(OR(C3935="",I3935&lt;&gt;"ENTRADA"),"",TEXT(B3935,"AAMMDD")&amp;"-"&amp;TEXT(VALUE(SUBSTITUTE(A3935,"MOV-","")),"000"))</f>
        <v/>
      </c>
    </row>
    <row r="3936" spans="18:20">
      <c r="R3936" s="22" t="str">
        <f>IF(H3936="","",H3936&amp;I3936)</f>
        <v/>
      </c>
      <c r="S3936" s="22" t="str">
        <f>IF(C3936="","",C3936&amp;I3936)</f>
        <v/>
      </c>
      <c r="T3936" t="str">
        <f>IF(OR(C3936="",I3936&lt;&gt;"ENTRADA"),"",TEXT(B3936,"AAMMDD")&amp;"-"&amp;TEXT(VALUE(SUBSTITUTE(A3936,"MOV-","")),"000"))</f>
        <v/>
      </c>
    </row>
    <row r="3937" spans="18:20">
      <c r="R3937" s="22" t="str">
        <f>IF(H3937="","",H3937&amp;I3937)</f>
        <v/>
      </c>
      <c r="S3937" s="22" t="str">
        <f>IF(C3937="","",C3937&amp;I3937)</f>
        <v/>
      </c>
      <c r="T3937" t="str">
        <f>IF(OR(C3937="",I3937&lt;&gt;"ENTRADA"),"",TEXT(B3937,"AAMMDD")&amp;"-"&amp;TEXT(VALUE(SUBSTITUTE(A3937,"MOV-","")),"000"))</f>
        <v/>
      </c>
    </row>
    <row r="3938" spans="18:20">
      <c r="R3938" s="22" t="str">
        <f>IF(H3938="","",H3938&amp;I3938)</f>
        <v/>
      </c>
      <c r="S3938" s="22" t="str">
        <f>IF(C3938="","",C3938&amp;I3938)</f>
        <v/>
      </c>
      <c r="T3938" t="str">
        <f>IF(OR(C3938="",I3938&lt;&gt;"ENTRADA"),"",TEXT(B3938,"AAMMDD")&amp;"-"&amp;TEXT(VALUE(SUBSTITUTE(A3938,"MOV-","")),"000"))</f>
        <v/>
      </c>
    </row>
    <row r="3939" spans="18:20">
      <c r="R3939" s="22" t="str">
        <f>IF(H3939="","",H3939&amp;I3939)</f>
        <v/>
      </c>
      <c r="S3939" s="22" t="str">
        <f>IF(C3939="","",C3939&amp;I3939)</f>
        <v/>
      </c>
      <c r="T3939" t="str">
        <f>IF(OR(C3939="",I3939&lt;&gt;"ENTRADA"),"",TEXT(B3939,"AAMMDD")&amp;"-"&amp;TEXT(VALUE(SUBSTITUTE(A3939,"MOV-","")),"000"))</f>
        <v/>
      </c>
    </row>
    <row r="3940" spans="18:20">
      <c r="R3940" s="22" t="str">
        <f>IF(H3940="","",H3940&amp;I3940)</f>
        <v/>
      </c>
      <c r="S3940" s="22" t="str">
        <f>IF(C3940="","",C3940&amp;I3940)</f>
        <v/>
      </c>
      <c r="T3940" t="str">
        <f>IF(OR(C3940="",I3940&lt;&gt;"ENTRADA"),"",TEXT(B3940,"AAMMDD")&amp;"-"&amp;TEXT(VALUE(SUBSTITUTE(A3940,"MOV-","")),"000"))</f>
        <v/>
      </c>
    </row>
    <row r="3941" spans="18:20">
      <c r="R3941" s="22" t="str">
        <f>IF(H3941="","",H3941&amp;I3941)</f>
        <v/>
      </c>
      <c r="S3941" s="22" t="str">
        <f>IF(C3941="","",C3941&amp;I3941)</f>
        <v/>
      </c>
      <c r="T3941" t="str">
        <f>IF(OR(C3941="",I3941&lt;&gt;"ENTRADA"),"",TEXT(B3941,"AAMMDD")&amp;"-"&amp;TEXT(VALUE(SUBSTITUTE(A3941,"MOV-","")),"000"))</f>
        <v/>
      </c>
    </row>
    <row r="3942" spans="18:20">
      <c r="R3942" s="22" t="str">
        <f>IF(H3942="","",H3942&amp;I3942)</f>
        <v/>
      </c>
      <c r="S3942" s="22" t="str">
        <f>IF(C3942="","",C3942&amp;I3942)</f>
        <v/>
      </c>
      <c r="T3942" t="str">
        <f>IF(OR(C3942="",I3942&lt;&gt;"ENTRADA"),"",TEXT(B3942,"AAMMDD")&amp;"-"&amp;TEXT(VALUE(SUBSTITUTE(A3942,"MOV-","")),"000"))</f>
        <v/>
      </c>
    </row>
    <row r="3943" spans="18:20">
      <c r="R3943" s="22" t="str">
        <f>IF(H3943="","",H3943&amp;I3943)</f>
        <v/>
      </c>
      <c r="S3943" s="22" t="str">
        <f>IF(C3943="","",C3943&amp;I3943)</f>
        <v/>
      </c>
      <c r="T3943" t="str">
        <f>IF(OR(C3943="",I3943&lt;&gt;"ENTRADA"),"",TEXT(B3943,"AAMMDD")&amp;"-"&amp;TEXT(VALUE(SUBSTITUTE(A3943,"MOV-","")),"000"))</f>
        <v/>
      </c>
    </row>
    <row r="3944" spans="18:20">
      <c r="R3944" s="22" t="str">
        <f>IF(H3944="","",H3944&amp;I3944)</f>
        <v/>
      </c>
      <c r="S3944" s="22" t="str">
        <f>IF(C3944="","",C3944&amp;I3944)</f>
        <v/>
      </c>
      <c r="T3944" t="str">
        <f>IF(OR(C3944="",I3944&lt;&gt;"ENTRADA"),"",TEXT(B3944,"AAMMDD")&amp;"-"&amp;TEXT(VALUE(SUBSTITUTE(A3944,"MOV-","")),"000"))</f>
        <v/>
      </c>
    </row>
    <row r="3945" spans="18:20">
      <c r="R3945" s="22" t="str">
        <f>IF(H3945="","",H3945&amp;I3945)</f>
        <v/>
      </c>
      <c r="S3945" s="22" t="str">
        <f>IF(C3945="","",C3945&amp;I3945)</f>
        <v/>
      </c>
      <c r="T3945" t="str">
        <f>IF(OR(C3945="",I3945&lt;&gt;"ENTRADA"),"",TEXT(B3945,"AAMMDD")&amp;"-"&amp;TEXT(VALUE(SUBSTITUTE(A3945,"MOV-","")),"000"))</f>
        <v/>
      </c>
    </row>
    <row r="3946" spans="18:20">
      <c r="R3946" s="22" t="str">
        <f>IF(H3946="","",H3946&amp;I3946)</f>
        <v/>
      </c>
      <c r="S3946" s="22" t="str">
        <f>IF(C3946="","",C3946&amp;I3946)</f>
        <v/>
      </c>
      <c r="T3946" t="str">
        <f>IF(OR(C3946="",I3946&lt;&gt;"ENTRADA"),"",TEXT(B3946,"AAMMDD")&amp;"-"&amp;TEXT(VALUE(SUBSTITUTE(A3946,"MOV-","")),"000"))</f>
        <v/>
      </c>
    </row>
    <row r="3947" spans="18:20">
      <c r="R3947" s="22" t="str">
        <f>IF(H3947="","",H3947&amp;I3947)</f>
        <v/>
      </c>
      <c r="S3947" s="22" t="str">
        <f>IF(C3947="","",C3947&amp;I3947)</f>
        <v/>
      </c>
      <c r="T3947" t="str">
        <f>IF(OR(C3947="",I3947&lt;&gt;"ENTRADA"),"",TEXT(B3947,"AAMMDD")&amp;"-"&amp;TEXT(VALUE(SUBSTITUTE(A3947,"MOV-","")),"000"))</f>
        <v/>
      </c>
    </row>
    <row r="3948" spans="18:20">
      <c r="R3948" s="22" t="str">
        <f>IF(H3948="","",H3948&amp;I3948)</f>
        <v/>
      </c>
      <c r="S3948" s="22" t="str">
        <f>IF(C3948="","",C3948&amp;I3948)</f>
        <v/>
      </c>
      <c r="T3948" t="str">
        <f>IF(OR(C3948="",I3948&lt;&gt;"ENTRADA"),"",TEXT(B3948,"AAMMDD")&amp;"-"&amp;TEXT(VALUE(SUBSTITUTE(A3948,"MOV-","")),"000"))</f>
        <v/>
      </c>
    </row>
    <row r="3949" spans="18:20">
      <c r="R3949" s="22" t="str">
        <f>IF(H3949="","",H3949&amp;I3949)</f>
        <v/>
      </c>
      <c r="S3949" s="22" t="str">
        <f>IF(C3949="","",C3949&amp;I3949)</f>
        <v/>
      </c>
      <c r="T3949" t="str">
        <f>IF(OR(C3949="",I3949&lt;&gt;"ENTRADA"),"",TEXT(B3949,"AAMMDD")&amp;"-"&amp;TEXT(VALUE(SUBSTITUTE(A3949,"MOV-","")),"000"))</f>
        <v/>
      </c>
    </row>
    <row r="3950" spans="18:20">
      <c r="R3950" s="22" t="str">
        <f>IF(H3950="","",H3950&amp;I3950)</f>
        <v/>
      </c>
      <c r="S3950" s="22" t="str">
        <f>IF(C3950="","",C3950&amp;I3950)</f>
        <v/>
      </c>
      <c r="T3950" t="str">
        <f>IF(OR(C3950="",I3950&lt;&gt;"ENTRADA"),"",TEXT(B3950,"AAMMDD")&amp;"-"&amp;TEXT(VALUE(SUBSTITUTE(A3950,"MOV-","")),"000"))</f>
        <v/>
      </c>
    </row>
    <row r="3951" spans="18:20">
      <c r="R3951" s="22" t="str">
        <f>IF(H3951="","",H3951&amp;I3951)</f>
        <v/>
      </c>
      <c r="S3951" s="22" t="str">
        <f>IF(C3951="","",C3951&amp;I3951)</f>
        <v/>
      </c>
      <c r="T3951" t="str">
        <f>IF(OR(C3951="",I3951&lt;&gt;"ENTRADA"),"",TEXT(B3951,"AAMMDD")&amp;"-"&amp;TEXT(VALUE(SUBSTITUTE(A3951,"MOV-","")),"000"))</f>
        <v/>
      </c>
    </row>
    <row r="3952" spans="18:20">
      <c r="R3952" s="22" t="str">
        <f>IF(H3952="","",H3952&amp;I3952)</f>
        <v/>
      </c>
      <c r="S3952" s="22" t="str">
        <f>IF(C3952="","",C3952&amp;I3952)</f>
        <v/>
      </c>
      <c r="T3952" t="str">
        <f>IF(OR(C3952="",I3952&lt;&gt;"ENTRADA"),"",TEXT(B3952,"AAMMDD")&amp;"-"&amp;TEXT(VALUE(SUBSTITUTE(A3952,"MOV-","")),"000"))</f>
        <v/>
      </c>
    </row>
    <row r="3953" spans="18:20">
      <c r="R3953" s="22" t="str">
        <f>IF(H3953="","",H3953&amp;I3953)</f>
        <v/>
      </c>
      <c r="S3953" s="22" t="str">
        <f>IF(C3953="","",C3953&amp;I3953)</f>
        <v/>
      </c>
      <c r="T3953" t="str">
        <f>IF(OR(C3953="",I3953&lt;&gt;"ENTRADA"),"",TEXT(B3953,"AAMMDD")&amp;"-"&amp;TEXT(VALUE(SUBSTITUTE(A3953,"MOV-","")),"000"))</f>
        <v/>
      </c>
    </row>
    <row r="3954" spans="18:20">
      <c r="R3954" s="22" t="str">
        <f>IF(H3954="","",H3954&amp;I3954)</f>
        <v/>
      </c>
      <c r="S3954" s="22" t="str">
        <f>IF(C3954="","",C3954&amp;I3954)</f>
        <v/>
      </c>
      <c r="T3954" t="str">
        <f>IF(OR(C3954="",I3954&lt;&gt;"ENTRADA"),"",TEXT(B3954,"AAMMDD")&amp;"-"&amp;TEXT(VALUE(SUBSTITUTE(A3954,"MOV-","")),"000"))</f>
        <v/>
      </c>
    </row>
    <row r="3955" spans="18:20">
      <c r="R3955" s="22" t="str">
        <f>IF(H3955="","",H3955&amp;I3955)</f>
        <v/>
      </c>
      <c r="S3955" s="22" t="str">
        <f>IF(C3955="","",C3955&amp;I3955)</f>
        <v/>
      </c>
      <c r="T3955" t="str">
        <f>IF(OR(C3955="",I3955&lt;&gt;"ENTRADA"),"",TEXT(B3955,"AAMMDD")&amp;"-"&amp;TEXT(VALUE(SUBSTITUTE(A3955,"MOV-","")),"000"))</f>
        <v/>
      </c>
    </row>
    <row r="3956" spans="18:20">
      <c r="R3956" s="22" t="str">
        <f>IF(H3956="","",H3956&amp;I3956)</f>
        <v/>
      </c>
      <c r="S3956" s="22" t="str">
        <f>IF(C3956="","",C3956&amp;I3956)</f>
        <v/>
      </c>
      <c r="T3956" t="str">
        <f>IF(OR(C3956="",I3956&lt;&gt;"ENTRADA"),"",TEXT(B3956,"AAMMDD")&amp;"-"&amp;TEXT(VALUE(SUBSTITUTE(A3956,"MOV-","")),"000"))</f>
        <v/>
      </c>
    </row>
    <row r="3957" spans="18:20">
      <c r="R3957" s="22" t="str">
        <f>IF(H3957="","",H3957&amp;I3957)</f>
        <v/>
      </c>
      <c r="S3957" s="22" t="str">
        <f>IF(C3957="","",C3957&amp;I3957)</f>
        <v/>
      </c>
      <c r="T3957" t="str">
        <f>IF(OR(C3957="",I3957&lt;&gt;"ENTRADA"),"",TEXT(B3957,"AAMMDD")&amp;"-"&amp;TEXT(VALUE(SUBSTITUTE(A3957,"MOV-","")),"000"))</f>
        <v/>
      </c>
    </row>
    <row r="3958" spans="18:20">
      <c r="R3958" s="22" t="str">
        <f>IF(H3958="","",H3958&amp;I3958)</f>
        <v/>
      </c>
      <c r="S3958" s="22" t="str">
        <f>IF(C3958="","",C3958&amp;I3958)</f>
        <v/>
      </c>
      <c r="T3958" t="str">
        <f>IF(OR(C3958="",I3958&lt;&gt;"ENTRADA"),"",TEXT(B3958,"AAMMDD")&amp;"-"&amp;TEXT(VALUE(SUBSTITUTE(A3958,"MOV-","")),"000"))</f>
        <v/>
      </c>
    </row>
    <row r="3959" spans="18:20">
      <c r="R3959" s="22" t="str">
        <f>IF(H3959="","",H3959&amp;I3959)</f>
        <v/>
      </c>
      <c r="S3959" s="22" t="str">
        <f>IF(C3959="","",C3959&amp;I3959)</f>
        <v/>
      </c>
      <c r="T3959" t="str">
        <f>IF(OR(C3959="",I3959&lt;&gt;"ENTRADA"),"",TEXT(B3959,"AAMMDD")&amp;"-"&amp;TEXT(VALUE(SUBSTITUTE(A3959,"MOV-","")),"000"))</f>
        <v/>
      </c>
    </row>
    <row r="3960" spans="18:20">
      <c r="R3960" s="22" t="str">
        <f>IF(H3960="","",H3960&amp;I3960)</f>
        <v/>
      </c>
      <c r="S3960" s="22" t="str">
        <f>IF(C3960="","",C3960&amp;I3960)</f>
        <v/>
      </c>
      <c r="T3960" t="str">
        <f>IF(OR(C3960="",I3960&lt;&gt;"ENTRADA"),"",TEXT(B3960,"AAMMDD")&amp;"-"&amp;TEXT(VALUE(SUBSTITUTE(A3960,"MOV-","")),"000"))</f>
        <v/>
      </c>
    </row>
    <row r="3961" spans="18:20">
      <c r="R3961" s="22" t="str">
        <f>IF(H3961="","",H3961&amp;I3961)</f>
        <v/>
      </c>
      <c r="S3961" s="22" t="str">
        <f>IF(C3961="","",C3961&amp;I3961)</f>
        <v/>
      </c>
      <c r="T3961" t="str">
        <f>IF(OR(C3961="",I3961&lt;&gt;"ENTRADA"),"",TEXT(B3961,"AAMMDD")&amp;"-"&amp;TEXT(VALUE(SUBSTITUTE(A3961,"MOV-","")),"000"))</f>
        <v/>
      </c>
    </row>
    <row r="3962" spans="18:20">
      <c r="R3962" s="22" t="str">
        <f>IF(H3962="","",H3962&amp;I3962)</f>
        <v/>
      </c>
      <c r="S3962" s="22" t="str">
        <f>IF(C3962="","",C3962&amp;I3962)</f>
        <v/>
      </c>
      <c r="T3962" t="str">
        <f>IF(OR(C3962="",I3962&lt;&gt;"ENTRADA"),"",TEXT(B3962,"AAMMDD")&amp;"-"&amp;TEXT(VALUE(SUBSTITUTE(A3962,"MOV-","")),"000"))</f>
        <v/>
      </c>
    </row>
    <row r="3963" spans="18:20">
      <c r="R3963" s="22" t="str">
        <f>IF(H3963="","",H3963&amp;I3963)</f>
        <v/>
      </c>
      <c r="S3963" s="22" t="str">
        <f>IF(C3963="","",C3963&amp;I3963)</f>
        <v/>
      </c>
      <c r="T3963" t="str">
        <f>IF(OR(C3963="",I3963&lt;&gt;"ENTRADA"),"",TEXT(B3963,"AAMMDD")&amp;"-"&amp;TEXT(VALUE(SUBSTITUTE(A3963,"MOV-","")),"000"))</f>
        <v/>
      </c>
    </row>
    <row r="3964" spans="18:20">
      <c r="R3964" s="22" t="str">
        <f>IF(H3964="","",H3964&amp;I3964)</f>
        <v/>
      </c>
      <c r="S3964" s="22" t="str">
        <f>IF(C3964="","",C3964&amp;I3964)</f>
        <v/>
      </c>
      <c r="T3964" t="str">
        <f>IF(OR(C3964="",I3964&lt;&gt;"ENTRADA"),"",TEXT(B3964,"AAMMDD")&amp;"-"&amp;TEXT(VALUE(SUBSTITUTE(A3964,"MOV-","")),"000"))</f>
        <v/>
      </c>
    </row>
    <row r="3965" spans="18:20">
      <c r="R3965" s="22" t="str">
        <f>IF(H3965="","",H3965&amp;I3965)</f>
        <v/>
      </c>
      <c r="S3965" s="22" t="str">
        <f>IF(C3965="","",C3965&amp;I3965)</f>
        <v/>
      </c>
      <c r="T3965" t="str">
        <f>IF(OR(C3965="",I3965&lt;&gt;"ENTRADA"),"",TEXT(B3965,"AAMMDD")&amp;"-"&amp;TEXT(VALUE(SUBSTITUTE(A3965,"MOV-","")),"000"))</f>
        <v/>
      </c>
    </row>
    <row r="3966" spans="18:20">
      <c r="R3966" s="22" t="str">
        <f>IF(H3966="","",H3966&amp;I3966)</f>
        <v/>
      </c>
      <c r="S3966" s="22" t="str">
        <f>IF(C3966="","",C3966&amp;I3966)</f>
        <v/>
      </c>
      <c r="T3966" t="str">
        <f>IF(OR(C3966="",I3966&lt;&gt;"ENTRADA"),"",TEXT(B3966,"AAMMDD")&amp;"-"&amp;TEXT(VALUE(SUBSTITUTE(A3966,"MOV-","")),"000"))</f>
        <v/>
      </c>
    </row>
    <row r="3967" spans="18:20">
      <c r="R3967" s="22" t="str">
        <f>IF(H3967="","",H3967&amp;I3967)</f>
        <v/>
      </c>
      <c r="S3967" s="22" t="str">
        <f>IF(C3967="","",C3967&amp;I3967)</f>
        <v/>
      </c>
      <c r="T3967" t="str">
        <f>IF(OR(C3967="",I3967&lt;&gt;"ENTRADA"),"",TEXT(B3967,"AAMMDD")&amp;"-"&amp;TEXT(VALUE(SUBSTITUTE(A3967,"MOV-","")),"000"))</f>
        <v/>
      </c>
    </row>
    <row r="3968" spans="18:20">
      <c r="R3968" s="22" t="str">
        <f>IF(H3968="","",H3968&amp;I3968)</f>
        <v/>
      </c>
      <c r="S3968" s="22" t="str">
        <f>IF(C3968="","",C3968&amp;I3968)</f>
        <v/>
      </c>
      <c r="T3968" t="str">
        <f>IF(OR(C3968="",I3968&lt;&gt;"ENTRADA"),"",TEXT(B3968,"AAMMDD")&amp;"-"&amp;TEXT(VALUE(SUBSTITUTE(A3968,"MOV-","")),"000"))</f>
        <v/>
      </c>
    </row>
    <row r="3969" spans="18:20">
      <c r="R3969" s="22" t="str">
        <f>IF(H3969="","",H3969&amp;I3969)</f>
        <v/>
      </c>
      <c r="S3969" s="22" t="str">
        <f>IF(C3969="","",C3969&amp;I3969)</f>
        <v/>
      </c>
      <c r="T3969" t="str">
        <f>IF(OR(C3969="",I3969&lt;&gt;"ENTRADA"),"",TEXT(B3969,"AAMMDD")&amp;"-"&amp;TEXT(VALUE(SUBSTITUTE(A3969,"MOV-","")),"000"))</f>
        <v/>
      </c>
    </row>
    <row r="3970" spans="18:20">
      <c r="R3970" s="22" t="str">
        <f>IF(H3970="","",H3970&amp;I3970)</f>
        <v/>
      </c>
      <c r="S3970" s="22" t="str">
        <f>IF(C3970="","",C3970&amp;I3970)</f>
        <v/>
      </c>
      <c r="T3970" t="str">
        <f>IF(OR(C3970="",I3970&lt;&gt;"ENTRADA"),"",TEXT(B3970,"AAMMDD")&amp;"-"&amp;TEXT(VALUE(SUBSTITUTE(A3970,"MOV-","")),"000"))</f>
        <v/>
      </c>
    </row>
    <row r="3971" spans="18:20">
      <c r="R3971" s="22" t="str">
        <f>IF(H3971="","",H3971&amp;I3971)</f>
        <v/>
      </c>
      <c r="S3971" s="22" t="str">
        <f>IF(C3971="","",C3971&amp;I3971)</f>
        <v/>
      </c>
      <c r="T3971" t="str">
        <f>IF(OR(C3971="",I3971&lt;&gt;"ENTRADA"),"",TEXT(B3971,"AAMMDD")&amp;"-"&amp;TEXT(VALUE(SUBSTITUTE(A3971,"MOV-","")),"000"))</f>
        <v/>
      </c>
    </row>
    <row r="3972" spans="18:20">
      <c r="R3972" s="22" t="str">
        <f>IF(H3972="","",H3972&amp;I3972)</f>
        <v/>
      </c>
      <c r="S3972" s="22" t="str">
        <f>IF(C3972="","",C3972&amp;I3972)</f>
        <v/>
      </c>
      <c r="T3972" t="str">
        <f>IF(OR(C3972="",I3972&lt;&gt;"ENTRADA"),"",TEXT(B3972,"AAMMDD")&amp;"-"&amp;TEXT(VALUE(SUBSTITUTE(A3972,"MOV-","")),"000"))</f>
        <v/>
      </c>
    </row>
    <row r="3973" spans="18:20">
      <c r="R3973" s="22" t="str">
        <f>IF(H3973="","",H3973&amp;I3973)</f>
        <v/>
      </c>
      <c r="S3973" s="22" t="str">
        <f>IF(C3973="","",C3973&amp;I3973)</f>
        <v/>
      </c>
      <c r="T3973" t="str">
        <f>IF(OR(C3973="",I3973&lt;&gt;"ENTRADA"),"",TEXT(B3973,"AAMMDD")&amp;"-"&amp;TEXT(VALUE(SUBSTITUTE(A3973,"MOV-","")),"000"))</f>
        <v/>
      </c>
    </row>
    <row r="3974" spans="18:20">
      <c r="R3974" s="22" t="str">
        <f>IF(H3974="","",H3974&amp;I3974)</f>
        <v/>
      </c>
      <c r="S3974" s="22" t="str">
        <f>IF(C3974="","",C3974&amp;I3974)</f>
        <v/>
      </c>
      <c r="T3974" t="str">
        <f>IF(OR(C3974="",I3974&lt;&gt;"ENTRADA"),"",TEXT(B3974,"AAMMDD")&amp;"-"&amp;TEXT(VALUE(SUBSTITUTE(A3974,"MOV-","")),"000"))</f>
        <v/>
      </c>
    </row>
    <row r="3975" spans="18:20">
      <c r="R3975" s="22" t="str">
        <f>IF(H3975="","",H3975&amp;I3975)</f>
        <v/>
      </c>
      <c r="S3975" s="22" t="str">
        <f>IF(C3975="","",C3975&amp;I3975)</f>
        <v/>
      </c>
      <c r="T3975" t="str">
        <f>IF(OR(C3975="",I3975&lt;&gt;"ENTRADA"),"",TEXT(B3975,"AAMMDD")&amp;"-"&amp;TEXT(VALUE(SUBSTITUTE(A3975,"MOV-","")),"000"))</f>
        <v/>
      </c>
    </row>
    <row r="3976" spans="18:20">
      <c r="R3976" s="22" t="str">
        <f>IF(H3976="","",H3976&amp;I3976)</f>
        <v/>
      </c>
      <c r="S3976" s="22" t="str">
        <f>IF(C3976="","",C3976&amp;I3976)</f>
        <v/>
      </c>
      <c r="T3976" t="str">
        <f>IF(OR(C3976="",I3976&lt;&gt;"ENTRADA"),"",TEXT(B3976,"AAMMDD")&amp;"-"&amp;TEXT(VALUE(SUBSTITUTE(A3976,"MOV-","")),"000"))</f>
        <v/>
      </c>
    </row>
    <row r="3977" spans="18:20">
      <c r="R3977" s="22" t="str">
        <f>IF(H3977="","",H3977&amp;I3977)</f>
        <v/>
      </c>
      <c r="S3977" s="22" t="str">
        <f>IF(C3977="","",C3977&amp;I3977)</f>
        <v/>
      </c>
      <c r="T3977" t="str">
        <f>IF(OR(C3977="",I3977&lt;&gt;"ENTRADA"),"",TEXT(B3977,"AAMMDD")&amp;"-"&amp;TEXT(VALUE(SUBSTITUTE(A3977,"MOV-","")),"000"))</f>
        <v/>
      </c>
    </row>
    <row r="3978" spans="18:20">
      <c r="R3978" s="22" t="str">
        <f>IF(H3978="","",H3978&amp;I3978)</f>
        <v/>
      </c>
      <c r="S3978" s="22" t="str">
        <f>IF(C3978="","",C3978&amp;I3978)</f>
        <v/>
      </c>
      <c r="T3978" t="str">
        <f>IF(OR(C3978="",I3978&lt;&gt;"ENTRADA"),"",TEXT(B3978,"AAMMDD")&amp;"-"&amp;TEXT(VALUE(SUBSTITUTE(A3978,"MOV-","")),"000"))</f>
        <v/>
      </c>
    </row>
    <row r="3979" spans="18:20">
      <c r="R3979" s="22" t="str">
        <f>IF(H3979="","",H3979&amp;I3979)</f>
        <v/>
      </c>
      <c r="S3979" s="22" t="str">
        <f>IF(C3979="","",C3979&amp;I3979)</f>
        <v/>
      </c>
      <c r="T3979" t="str">
        <f>IF(OR(C3979="",I3979&lt;&gt;"ENTRADA"),"",TEXT(B3979,"AAMMDD")&amp;"-"&amp;TEXT(VALUE(SUBSTITUTE(A3979,"MOV-","")),"000"))</f>
        <v/>
      </c>
    </row>
    <row r="3980" spans="18:20">
      <c r="R3980" s="22" t="str">
        <f>IF(H3980="","",H3980&amp;I3980)</f>
        <v/>
      </c>
      <c r="S3980" s="22" t="str">
        <f>IF(C3980="","",C3980&amp;I3980)</f>
        <v/>
      </c>
      <c r="T3980" t="str">
        <f>IF(OR(C3980="",I3980&lt;&gt;"ENTRADA"),"",TEXT(B3980,"AAMMDD")&amp;"-"&amp;TEXT(VALUE(SUBSTITUTE(A3980,"MOV-","")),"000"))</f>
        <v/>
      </c>
    </row>
    <row r="3981" spans="18:20">
      <c r="R3981" s="22" t="str">
        <f>IF(H3981="","",H3981&amp;I3981)</f>
        <v/>
      </c>
      <c r="S3981" s="22" t="str">
        <f>IF(C3981="","",C3981&amp;I3981)</f>
        <v/>
      </c>
      <c r="T3981" t="str">
        <f>IF(OR(C3981="",I3981&lt;&gt;"ENTRADA"),"",TEXT(B3981,"AAMMDD")&amp;"-"&amp;TEXT(VALUE(SUBSTITUTE(A3981,"MOV-","")),"000"))</f>
        <v/>
      </c>
    </row>
    <row r="3982" spans="18:20">
      <c r="R3982" s="22" t="str">
        <f>IF(H3982="","",H3982&amp;I3982)</f>
        <v/>
      </c>
      <c r="S3982" s="22" t="str">
        <f>IF(C3982="","",C3982&amp;I3982)</f>
        <v/>
      </c>
      <c r="T3982" t="str">
        <f>IF(OR(C3982="",I3982&lt;&gt;"ENTRADA"),"",TEXT(B3982,"AAMMDD")&amp;"-"&amp;TEXT(VALUE(SUBSTITUTE(A3982,"MOV-","")),"000"))</f>
        <v/>
      </c>
    </row>
    <row r="3983" spans="18:20">
      <c r="R3983" s="22" t="str">
        <f>IF(H3983="","",H3983&amp;I3983)</f>
        <v/>
      </c>
      <c r="S3983" s="22" t="str">
        <f>IF(C3983="","",C3983&amp;I3983)</f>
        <v/>
      </c>
      <c r="T3983" t="str">
        <f>IF(OR(C3983="",I3983&lt;&gt;"ENTRADA"),"",TEXT(B3983,"AAMMDD")&amp;"-"&amp;TEXT(VALUE(SUBSTITUTE(A3983,"MOV-","")),"000"))</f>
        <v/>
      </c>
    </row>
    <row r="3984" spans="18:20">
      <c r="R3984" s="22" t="str">
        <f>IF(H3984="","",H3984&amp;I3984)</f>
        <v/>
      </c>
      <c r="S3984" s="22" t="str">
        <f>IF(C3984="","",C3984&amp;I3984)</f>
        <v/>
      </c>
      <c r="T3984" t="str">
        <f>IF(OR(C3984="",I3984&lt;&gt;"ENTRADA"),"",TEXT(B3984,"AAMMDD")&amp;"-"&amp;TEXT(VALUE(SUBSTITUTE(A3984,"MOV-","")),"000"))</f>
        <v/>
      </c>
    </row>
    <row r="3985" spans="18:20">
      <c r="R3985" s="22" t="str">
        <f>IF(H3985="","",H3985&amp;I3985)</f>
        <v/>
      </c>
      <c r="S3985" s="22" t="str">
        <f>IF(C3985="","",C3985&amp;I3985)</f>
        <v/>
      </c>
      <c r="T3985" t="str">
        <f>IF(OR(C3985="",I3985&lt;&gt;"ENTRADA"),"",TEXT(B3985,"AAMMDD")&amp;"-"&amp;TEXT(VALUE(SUBSTITUTE(A3985,"MOV-","")),"000"))</f>
        <v/>
      </c>
    </row>
    <row r="3986" spans="18:20">
      <c r="R3986" s="22" t="str">
        <f>IF(H3986="","",H3986&amp;I3986)</f>
        <v/>
      </c>
      <c r="S3986" s="22" t="str">
        <f>IF(C3986="","",C3986&amp;I3986)</f>
        <v/>
      </c>
      <c r="T3986" t="str">
        <f>IF(OR(C3986="",I3986&lt;&gt;"ENTRADA"),"",TEXT(B3986,"AAMMDD")&amp;"-"&amp;TEXT(VALUE(SUBSTITUTE(A3986,"MOV-","")),"000"))</f>
        <v/>
      </c>
    </row>
    <row r="3987" spans="18:20">
      <c r="R3987" s="22" t="str">
        <f>IF(H3987="","",H3987&amp;I3987)</f>
        <v/>
      </c>
      <c r="S3987" s="22" t="str">
        <f>IF(C3987="","",C3987&amp;I3987)</f>
        <v/>
      </c>
      <c r="T3987" t="str">
        <f>IF(OR(C3987="",I3987&lt;&gt;"ENTRADA"),"",TEXT(B3987,"AAMMDD")&amp;"-"&amp;TEXT(VALUE(SUBSTITUTE(A3987,"MOV-","")),"000"))</f>
        <v/>
      </c>
    </row>
    <row r="3988" spans="18:20">
      <c r="R3988" s="22" t="str">
        <f>IF(H3988="","",H3988&amp;I3988)</f>
        <v/>
      </c>
      <c r="S3988" s="22" t="str">
        <f>IF(C3988="","",C3988&amp;I3988)</f>
        <v/>
      </c>
      <c r="T3988" t="str">
        <f>IF(OR(C3988="",I3988&lt;&gt;"ENTRADA"),"",TEXT(B3988,"AAMMDD")&amp;"-"&amp;TEXT(VALUE(SUBSTITUTE(A3988,"MOV-","")),"000"))</f>
        <v/>
      </c>
    </row>
    <row r="3989" spans="18:20">
      <c r="R3989" s="22" t="str">
        <f>IF(H3989="","",H3989&amp;I3989)</f>
        <v/>
      </c>
      <c r="S3989" s="22" t="str">
        <f>IF(C3989="","",C3989&amp;I3989)</f>
        <v/>
      </c>
      <c r="T3989" t="str">
        <f>IF(OR(C3989="",I3989&lt;&gt;"ENTRADA"),"",TEXT(B3989,"AAMMDD")&amp;"-"&amp;TEXT(VALUE(SUBSTITUTE(A3989,"MOV-","")),"000"))</f>
        <v/>
      </c>
    </row>
    <row r="3990" spans="18:20">
      <c r="R3990" s="22" t="str">
        <f>IF(H3990="","",H3990&amp;I3990)</f>
        <v/>
      </c>
      <c r="S3990" s="22" t="str">
        <f>IF(C3990="","",C3990&amp;I3990)</f>
        <v/>
      </c>
      <c r="T3990" t="str">
        <f>IF(OR(C3990="",I3990&lt;&gt;"ENTRADA"),"",TEXT(B3990,"AAMMDD")&amp;"-"&amp;TEXT(VALUE(SUBSTITUTE(A3990,"MOV-","")),"000"))</f>
        <v/>
      </c>
    </row>
    <row r="3991" spans="18:20">
      <c r="R3991" s="22" t="str">
        <f>IF(H3991="","",H3991&amp;I3991)</f>
        <v/>
      </c>
      <c r="S3991" s="22" t="str">
        <f>IF(C3991="","",C3991&amp;I3991)</f>
        <v/>
      </c>
      <c r="T3991" t="str">
        <f>IF(OR(C3991="",I3991&lt;&gt;"ENTRADA"),"",TEXT(B3991,"AAMMDD")&amp;"-"&amp;TEXT(VALUE(SUBSTITUTE(A3991,"MOV-","")),"000"))</f>
        <v/>
      </c>
    </row>
    <row r="3992" spans="18:20">
      <c r="R3992" s="22" t="str">
        <f>IF(H3992="","",H3992&amp;I3992)</f>
        <v/>
      </c>
      <c r="S3992" s="22" t="str">
        <f>IF(C3992="","",C3992&amp;I3992)</f>
        <v/>
      </c>
      <c r="T3992" t="str">
        <f>IF(OR(C3992="",I3992&lt;&gt;"ENTRADA"),"",TEXT(B3992,"AAMMDD")&amp;"-"&amp;TEXT(VALUE(SUBSTITUTE(A3992,"MOV-","")),"000"))</f>
        <v/>
      </c>
    </row>
    <row r="3993" spans="18:20">
      <c r="R3993" s="22" t="str">
        <f>IF(H3993="","",H3993&amp;I3993)</f>
        <v/>
      </c>
      <c r="S3993" s="22" t="str">
        <f>IF(C3993="","",C3993&amp;I3993)</f>
        <v/>
      </c>
      <c r="T3993" t="str">
        <f>IF(OR(C3993="",I3993&lt;&gt;"ENTRADA"),"",TEXT(B3993,"AAMMDD")&amp;"-"&amp;TEXT(VALUE(SUBSTITUTE(A3993,"MOV-","")),"000"))</f>
        <v/>
      </c>
    </row>
    <row r="3994" spans="18:20">
      <c r="R3994" s="22" t="str">
        <f>IF(H3994="","",H3994&amp;I3994)</f>
        <v/>
      </c>
      <c r="S3994" s="22" t="str">
        <f>IF(C3994="","",C3994&amp;I3994)</f>
        <v/>
      </c>
      <c r="T3994" t="str">
        <f>IF(OR(C3994="",I3994&lt;&gt;"ENTRADA"),"",TEXT(B3994,"AAMMDD")&amp;"-"&amp;TEXT(VALUE(SUBSTITUTE(A3994,"MOV-","")),"000"))</f>
        <v/>
      </c>
    </row>
    <row r="3995" spans="18:20">
      <c r="R3995" s="22" t="str">
        <f>IF(H3995="","",H3995&amp;I3995)</f>
        <v/>
      </c>
      <c r="S3995" s="22" t="str">
        <f>IF(C3995="","",C3995&amp;I3995)</f>
        <v/>
      </c>
      <c r="T3995" t="str">
        <f>IF(OR(C3995="",I3995&lt;&gt;"ENTRADA"),"",TEXT(B3995,"AAMMDD")&amp;"-"&amp;TEXT(VALUE(SUBSTITUTE(A3995,"MOV-","")),"000"))</f>
        <v/>
      </c>
    </row>
    <row r="3996" spans="18:20">
      <c r="R3996" s="22" t="str">
        <f>IF(H3996="","",H3996&amp;I3996)</f>
        <v/>
      </c>
      <c r="S3996" s="22" t="str">
        <f>IF(C3996="","",C3996&amp;I3996)</f>
        <v/>
      </c>
      <c r="T3996" t="str">
        <f>IF(OR(C3996="",I3996&lt;&gt;"ENTRADA"),"",TEXT(B3996,"AAMMDD")&amp;"-"&amp;TEXT(VALUE(SUBSTITUTE(A3996,"MOV-","")),"000"))</f>
        <v/>
      </c>
    </row>
    <row r="3997" spans="18:20">
      <c r="R3997" s="22" t="str">
        <f>IF(H3997="","",H3997&amp;I3997)</f>
        <v/>
      </c>
      <c r="S3997" s="22" t="str">
        <f>IF(C3997="","",C3997&amp;I3997)</f>
        <v/>
      </c>
      <c r="T3997" t="str">
        <f>IF(OR(C3997="",I3997&lt;&gt;"ENTRADA"),"",TEXT(B3997,"AAMMDD")&amp;"-"&amp;TEXT(VALUE(SUBSTITUTE(A3997,"MOV-","")),"000"))</f>
        <v/>
      </c>
    </row>
    <row r="3998" spans="18:20">
      <c r="R3998" s="22" t="str">
        <f>IF(H3998="","",H3998&amp;I3998)</f>
        <v/>
      </c>
      <c r="S3998" s="22" t="str">
        <f>IF(C3998="","",C3998&amp;I3998)</f>
        <v/>
      </c>
      <c r="T3998" t="str">
        <f>IF(OR(C3998="",I3998&lt;&gt;"ENTRADA"),"",TEXT(B3998,"AAMMDD")&amp;"-"&amp;TEXT(VALUE(SUBSTITUTE(A3998,"MOV-","")),"000"))</f>
        <v/>
      </c>
    </row>
    <row r="3999" spans="18:20">
      <c r="R3999" s="22" t="str">
        <f>IF(H3999="","",H3999&amp;I3999)</f>
        <v/>
      </c>
      <c r="S3999" s="22" t="str">
        <f>IF(C3999="","",C3999&amp;I3999)</f>
        <v/>
      </c>
      <c r="T3999" t="str">
        <f>IF(OR(C3999="",I3999&lt;&gt;"ENTRADA"),"",TEXT(B3999,"AAMMDD")&amp;"-"&amp;TEXT(VALUE(SUBSTITUTE(A3999,"MOV-","")),"000"))</f>
        <v/>
      </c>
    </row>
    <row r="4000" spans="18:20">
      <c r="R4000" s="22" t="str">
        <f>IF(H4000="","",H4000&amp;I4000)</f>
        <v/>
      </c>
      <c r="S4000" s="22" t="str">
        <f>IF(C4000="","",C4000&amp;I4000)</f>
        <v/>
      </c>
      <c r="T4000" t="str">
        <f>IF(OR(C4000="",I4000&lt;&gt;"ENTRADA"),"",TEXT(B4000,"AAMMDD")&amp;"-"&amp;TEXT(VALUE(SUBSTITUTE(A4000,"MOV-","")),"000"))</f>
        <v/>
      </c>
    </row>
    <row r="4001" spans="18:20">
      <c r="R4001" s="22" t="str">
        <f>IF(H4001="","",H4001&amp;I4001)</f>
        <v/>
      </c>
      <c r="S4001" s="22" t="str">
        <f>IF(C4001="","",C4001&amp;I4001)</f>
        <v/>
      </c>
      <c r="T4001" t="str">
        <f>IF(OR(C4001="",I4001&lt;&gt;"ENTRADA"),"",TEXT(B4001,"AAMMDD")&amp;"-"&amp;TEXT(VALUE(SUBSTITUTE(A4001,"MOV-","")),"000"))</f>
        <v/>
      </c>
    </row>
    <row r="4002" spans="18:20">
      <c r="R4002" s="22" t="str">
        <f>IF(H4002="","",H4002&amp;I4002)</f>
        <v/>
      </c>
      <c r="S4002" s="22" t="str">
        <f>IF(C4002="","",C4002&amp;I4002)</f>
        <v/>
      </c>
      <c r="T4002" t="str">
        <f>IF(OR(C4002="",I4002&lt;&gt;"ENTRADA"),"",TEXT(B4002,"AAMMDD")&amp;"-"&amp;TEXT(VALUE(SUBSTITUTE(A4002,"MOV-","")),"000"))</f>
        <v/>
      </c>
    </row>
    <row r="4003" spans="18:20">
      <c r="R4003" s="22" t="str">
        <f>IF(H4003="","",H4003&amp;I4003)</f>
        <v/>
      </c>
      <c r="S4003" s="22" t="str">
        <f>IF(C4003="","",C4003&amp;I4003)</f>
        <v/>
      </c>
      <c r="T4003" t="str">
        <f>IF(OR(C4003="",I4003&lt;&gt;"ENTRADA"),"",TEXT(B4003,"AAMMDD")&amp;"-"&amp;TEXT(VALUE(SUBSTITUTE(A4003,"MOV-","")),"000"))</f>
        <v/>
      </c>
    </row>
    <row r="4004" spans="18:20">
      <c r="R4004" s="22" t="str">
        <f>IF(H4004="","",H4004&amp;I4004)</f>
        <v/>
      </c>
      <c r="S4004" s="22" t="str">
        <f>IF(C4004="","",C4004&amp;I4004)</f>
        <v/>
      </c>
      <c r="T4004" t="str">
        <f>IF(OR(C4004="",I4004&lt;&gt;"ENTRADA"),"",TEXT(B4004,"AAMMDD")&amp;"-"&amp;TEXT(VALUE(SUBSTITUTE(A4004,"MOV-","")),"000"))</f>
        <v/>
      </c>
    </row>
    <row r="4005" spans="18:20">
      <c r="R4005" s="22" t="str">
        <f>IF(H4005="","",H4005&amp;I4005)</f>
        <v/>
      </c>
      <c r="S4005" s="22" t="str">
        <f>IF(C4005="","",C4005&amp;I4005)</f>
        <v/>
      </c>
      <c r="T4005" t="str">
        <f>IF(OR(C4005="",I4005&lt;&gt;"ENTRADA"),"",TEXT(B4005,"AAMMDD")&amp;"-"&amp;TEXT(VALUE(SUBSTITUTE(A4005,"MOV-","")),"000"))</f>
        <v/>
      </c>
    </row>
    <row r="4006" spans="18:20">
      <c r="R4006" s="22" t="str">
        <f>IF(H4006="","",H4006&amp;I4006)</f>
        <v/>
      </c>
      <c r="S4006" s="22" t="str">
        <f>IF(C4006="","",C4006&amp;I4006)</f>
        <v/>
      </c>
      <c r="T4006" t="str">
        <f>IF(OR(C4006="",I4006&lt;&gt;"ENTRADA"),"",TEXT(B4006,"AAMMDD")&amp;"-"&amp;TEXT(VALUE(SUBSTITUTE(A4006,"MOV-","")),"000"))</f>
        <v/>
      </c>
    </row>
    <row r="4007" spans="18:20">
      <c r="R4007" s="22" t="str">
        <f>IF(H4007="","",H4007&amp;I4007)</f>
        <v/>
      </c>
      <c r="S4007" s="22" t="str">
        <f>IF(C4007="","",C4007&amp;I4007)</f>
        <v/>
      </c>
      <c r="T4007" t="str">
        <f>IF(OR(C4007="",I4007&lt;&gt;"ENTRADA"),"",TEXT(B4007,"AAMMDD")&amp;"-"&amp;TEXT(VALUE(SUBSTITUTE(A4007,"MOV-","")),"000"))</f>
        <v/>
      </c>
    </row>
    <row r="4008" spans="18:20">
      <c r="R4008" s="22" t="str">
        <f>IF(H4008="","",H4008&amp;I4008)</f>
        <v/>
      </c>
      <c r="S4008" s="22" t="str">
        <f>IF(C4008="","",C4008&amp;I4008)</f>
        <v/>
      </c>
      <c r="T4008" t="str">
        <f>IF(OR(C4008="",I4008&lt;&gt;"ENTRADA"),"",TEXT(B4008,"AAMMDD")&amp;"-"&amp;TEXT(VALUE(SUBSTITUTE(A4008,"MOV-","")),"000"))</f>
        <v/>
      </c>
    </row>
    <row r="4009" spans="18:20">
      <c r="R4009" s="22" t="str">
        <f>IF(H4009="","",H4009&amp;I4009)</f>
        <v/>
      </c>
      <c r="S4009" s="22" t="str">
        <f>IF(C4009="","",C4009&amp;I4009)</f>
        <v/>
      </c>
      <c r="T4009" t="str">
        <f>IF(OR(C4009="",I4009&lt;&gt;"ENTRADA"),"",TEXT(B4009,"AAMMDD")&amp;"-"&amp;TEXT(VALUE(SUBSTITUTE(A4009,"MOV-","")),"000"))</f>
        <v/>
      </c>
    </row>
    <row r="4010" spans="18:20">
      <c r="R4010" s="22" t="str">
        <f>IF(H4010="","",H4010&amp;I4010)</f>
        <v/>
      </c>
      <c r="S4010" s="22" t="str">
        <f>IF(C4010="","",C4010&amp;I4010)</f>
        <v/>
      </c>
      <c r="T4010" t="str">
        <f>IF(OR(C4010="",I4010&lt;&gt;"ENTRADA"),"",TEXT(B4010,"AAMMDD")&amp;"-"&amp;TEXT(VALUE(SUBSTITUTE(A4010,"MOV-","")),"000"))</f>
        <v/>
      </c>
    </row>
    <row r="4011" spans="18:20">
      <c r="R4011" s="22" t="str">
        <f>IF(H4011="","",H4011&amp;I4011)</f>
        <v/>
      </c>
      <c r="S4011" s="22" t="str">
        <f>IF(C4011="","",C4011&amp;I4011)</f>
        <v/>
      </c>
      <c r="T4011" t="str">
        <f>IF(OR(C4011="",I4011&lt;&gt;"ENTRADA"),"",TEXT(B4011,"AAMMDD")&amp;"-"&amp;TEXT(VALUE(SUBSTITUTE(A4011,"MOV-","")),"000"))</f>
        <v/>
      </c>
    </row>
    <row r="4012" spans="18:20">
      <c r="R4012" s="22" t="str">
        <f>IF(H4012="","",H4012&amp;I4012)</f>
        <v/>
      </c>
      <c r="S4012" s="22" t="str">
        <f>IF(C4012="","",C4012&amp;I4012)</f>
        <v/>
      </c>
      <c r="T4012" t="str">
        <f>IF(OR(C4012="",I4012&lt;&gt;"ENTRADA"),"",TEXT(B4012,"AAMMDD")&amp;"-"&amp;TEXT(VALUE(SUBSTITUTE(A4012,"MOV-","")),"000"))</f>
        <v/>
      </c>
    </row>
    <row r="4013" spans="18:20">
      <c r="R4013" s="22" t="str">
        <f>IF(H4013="","",H4013&amp;I4013)</f>
        <v/>
      </c>
      <c r="S4013" s="22" t="str">
        <f>IF(C4013="","",C4013&amp;I4013)</f>
        <v/>
      </c>
      <c r="T4013" t="str">
        <f>IF(OR(C4013="",I4013&lt;&gt;"ENTRADA"),"",TEXT(B4013,"AAMMDD")&amp;"-"&amp;TEXT(VALUE(SUBSTITUTE(A4013,"MOV-","")),"000"))</f>
        <v/>
      </c>
    </row>
    <row r="4014" spans="18:20">
      <c r="R4014" s="22" t="str">
        <f>IF(H4014="","",H4014&amp;I4014)</f>
        <v/>
      </c>
      <c r="S4014" s="22" t="str">
        <f>IF(C4014="","",C4014&amp;I4014)</f>
        <v/>
      </c>
      <c r="T4014" t="str">
        <f>IF(OR(C4014="",I4014&lt;&gt;"ENTRADA"),"",TEXT(B4014,"AAMMDD")&amp;"-"&amp;TEXT(VALUE(SUBSTITUTE(A4014,"MOV-","")),"000"))</f>
        <v/>
      </c>
    </row>
    <row r="4015" spans="18:20">
      <c r="R4015" s="22" t="str">
        <f>IF(H4015="","",H4015&amp;I4015)</f>
        <v/>
      </c>
      <c r="S4015" s="22" t="str">
        <f>IF(C4015="","",C4015&amp;I4015)</f>
        <v/>
      </c>
      <c r="T4015" t="str">
        <f>IF(OR(C4015="",I4015&lt;&gt;"ENTRADA"),"",TEXT(B4015,"AAMMDD")&amp;"-"&amp;TEXT(VALUE(SUBSTITUTE(A4015,"MOV-","")),"000"))</f>
        <v/>
      </c>
    </row>
    <row r="4016" spans="18:20">
      <c r="R4016" s="22" t="str">
        <f>IF(H4016="","",H4016&amp;I4016)</f>
        <v/>
      </c>
      <c r="S4016" s="22" t="str">
        <f>IF(C4016="","",C4016&amp;I4016)</f>
        <v/>
      </c>
      <c r="T4016" t="str">
        <f>IF(OR(C4016="",I4016&lt;&gt;"ENTRADA"),"",TEXT(B4016,"AAMMDD")&amp;"-"&amp;TEXT(VALUE(SUBSTITUTE(A4016,"MOV-","")),"000"))</f>
        <v/>
      </c>
    </row>
    <row r="4017" spans="18:20">
      <c r="R4017" s="22" t="str">
        <f>IF(H4017="","",H4017&amp;I4017)</f>
        <v/>
      </c>
      <c r="S4017" s="22" t="str">
        <f>IF(C4017="","",C4017&amp;I4017)</f>
        <v/>
      </c>
      <c r="T4017" t="str">
        <f>IF(OR(C4017="",I4017&lt;&gt;"ENTRADA"),"",TEXT(B4017,"AAMMDD")&amp;"-"&amp;TEXT(VALUE(SUBSTITUTE(A4017,"MOV-","")),"000"))</f>
        <v/>
      </c>
    </row>
    <row r="4018" spans="18:20">
      <c r="R4018" s="22" t="str">
        <f>IF(H4018="","",H4018&amp;I4018)</f>
        <v/>
      </c>
      <c r="S4018" s="22" t="str">
        <f>IF(C4018="","",C4018&amp;I4018)</f>
        <v/>
      </c>
      <c r="T4018" t="str">
        <f>IF(OR(C4018="",I4018&lt;&gt;"ENTRADA"),"",TEXT(B4018,"AAMMDD")&amp;"-"&amp;TEXT(VALUE(SUBSTITUTE(A4018,"MOV-","")),"000"))</f>
        <v/>
      </c>
    </row>
    <row r="4019" spans="18:20">
      <c r="R4019" s="22" t="str">
        <f>IF(H4019="","",H4019&amp;I4019)</f>
        <v/>
      </c>
      <c r="S4019" s="22" t="str">
        <f>IF(C4019="","",C4019&amp;I4019)</f>
        <v/>
      </c>
      <c r="T4019" t="str">
        <f>IF(OR(C4019="",I4019&lt;&gt;"ENTRADA"),"",TEXT(B4019,"AAMMDD")&amp;"-"&amp;TEXT(VALUE(SUBSTITUTE(A4019,"MOV-","")),"000"))</f>
        <v/>
      </c>
    </row>
    <row r="4020" spans="18:20">
      <c r="R4020" s="22" t="str">
        <f>IF(H4020="","",H4020&amp;I4020)</f>
        <v/>
      </c>
      <c r="S4020" s="22" t="str">
        <f>IF(C4020="","",C4020&amp;I4020)</f>
        <v/>
      </c>
      <c r="T4020" t="str">
        <f>IF(OR(C4020="",I4020&lt;&gt;"ENTRADA"),"",TEXT(B4020,"AAMMDD")&amp;"-"&amp;TEXT(VALUE(SUBSTITUTE(A4020,"MOV-","")),"000"))</f>
        <v/>
      </c>
    </row>
    <row r="4021" spans="18:20">
      <c r="R4021" s="22" t="str">
        <f>IF(H4021="","",H4021&amp;I4021)</f>
        <v/>
      </c>
      <c r="S4021" s="22" t="str">
        <f>IF(C4021="","",C4021&amp;I4021)</f>
        <v/>
      </c>
      <c r="T4021" t="str">
        <f>IF(OR(C4021="",I4021&lt;&gt;"ENTRADA"),"",TEXT(B4021,"AAMMDD")&amp;"-"&amp;TEXT(VALUE(SUBSTITUTE(A4021,"MOV-","")),"000"))</f>
        <v/>
      </c>
    </row>
    <row r="4022" spans="18:20">
      <c r="R4022" s="22" t="str">
        <f>IF(H4022="","",H4022&amp;I4022)</f>
        <v/>
      </c>
      <c r="S4022" s="22" t="str">
        <f>IF(C4022="","",C4022&amp;I4022)</f>
        <v/>
      </c>
      <c r="T4022" t="str">
        <f>IF(OR(C4022="",I4022&lt;&gt;"ENTRADA"),"",TEXT(B4022,"AAMMDD")&amp;"-"&amp;TEXT(VALUE(SUBSTITUTE(A4022,"MOV-","")),"000"))</f>
        <v/>
      </c>
    </row>
    <row r="4023" spans="18:20">
      <c r="R4023" s="22" t="str">
        <f>IF(H4023="","",H4023&amp;I4023)</f>
        <v/>
      </c>
      <c r="S4023" s="22" t="str">
        <f>IF(C4023="","",C4023&amp;I4023)</f>
        <v/>
      </c>
      <c r="T4023" t="str">
        <f>IF(OR(C4023="",I4023&lt;&gt;"ENTRADA"),"",TEXT(B4023,"AAMMDD")&amp;"-"&amp;TEXT(VALUE(SUBSTITUTE(A4023,"MOV-","")),"000"))</f>
        <v/>
      </c>
    </row>
    <row r="4024" spans="18:20">
      <c r="R4024" s="22" t="str">
        <f>IF(H4024="","",H4024&amp;I4024)</f>
        <v/>
      </c>
      <c r="S4024" s="22" t="str">
        <f>IF(C4024="","",C4024&amp;I4024)</f>
        <v/>
      </c>
      <c r="T4024" t="str">
        <f>IF(OR(C4024="",I4024&lt;&gt;"ENTRADA"),"",TEXT(B4024,"AAMMDD")&amp;"-"&amp;TEXT(VALUE(SUBSTITUTE(A4024,"MOV-","")),"000"))</f>
        <v/>
      </c>
    </row>
    <row r="4025" spans="18:20">
      <c r="R4025" s="22" t="str">
        <f>IF(H4025="","",H4025&amp;I4025)</f>
        <v/>
      </c>
      <c r="S4025" s="22" t="str">
        <f>IF(C4025="","",C4025&amp;I4025)</f>
        <v/>
      </c>
      <c r="T4025" t="str">
        <f>IF(OR(C4025="",I4025&lt;&gt;"ENTRADA"),"",TEXT(B4025,"AAMMDD")&amp;"-"&amp;TEXT(VALUE(SUBSTITUTE(A4025,"MOV-","")),"000"))</f>
        <v/>
      </c>
    </row>
    <row r="4026" spans="18:20">
      <c r="R4026" s="22" t="str">
        <f>IF(H4026="","",H4026&amp;I4026)</f>
        <v/>
      </c>
      <c r="S4026" s="22" t="str">
        <f>IF(C4026="","",C4026&amp;I4026)</f>
        <v/>
      </c>
      <c r="T4026" t="str">
        <f>IF(OR(C4026="",I4026&lt;&gt;"ENTRADA"),"",TEXT(B4026,"AAMMDD")&amp;"-"&amp;TEXT(VALUE(SUBSTITUTE(A4026,"MOV-","")),"000"))</f>
        <v/>
      </c>
    </row>
    <row r="4027" spans="18:20">
      <c r="R4027" s="22" t="str">
        <f>IF(H4027="","",H4027&amp;I4027)</f>
        <v/>
      </c>
      <c r="S4027" s="22" t="str">
        <f>IF(C4027="","",C4027&amp;I4027)</f>
        <v/>
      </c>
      <c r="T4027" t="str">
        <f>IF(OR(C4027="",I4027&lt;&gt;"ENTRADA"),"",TEXT(B4027,"AAMMDD")&amp;"-"&amp;TEXT(VALUE(SUBSTITUTE(A4027,"MOV-","")),"000"))</f>
        <v/>
      </c>
    </row>
    <row r="4028" spans="18:20">
      <c r="R4028" s="22" t="str">
        <f>IF(H4028="","",H4028&amp;I4028)</f>
        <v/>
      </c>
      <c r="S4028" s="22" t="str">
        <f>IF(C4028="","",C4028&amp;I4028)</f>
        <v/>
      </c>
      <c r="T4028" t="str">
        <f>IF(OR(C4028="",I4028&lt;&gt;"ENTRADA"),"",TEXT(B4028,"AAMMDD")&amp;"-"&amp;TEXT(VALUE(SUBSTITUTE(A4028,"MOV-","")),"000"))</f>
        <v/>
      </c>
    </row>
    <row r="4029" spans="18:20">
      <c r="R4029" s="22" t="str">
        <f>IF(H4029="","",H4029&amp;I4029)</f>
        <v/>
      </c>
      <c r="S4029" s="22" t="str">
        <f>IF(C4029="","",C4029&amp;I4029)</f>
        <v/>
      </c>
      <c r="T4029" t="str">
        <f>IF(OR(C4029="",I4029&lt;&gt;"ENTRADA"),"",TEXT(B4029,"AAMMDD")&amp;"-"&amp;TEXT(VALUE(SUBSTITUTE(A4029,"MOV-","")),"000"))</f>
        <v/>
      </c>
    </row>
    <row r="4030" spans="18:20">
      <c r="R4030" s="22" t="str">
        <f>IF(H4030="","",H4030&amp;I4030)</f>
        <v/>
      </c>
      <c r="S4030" s="22" t="str">
        <f>IF(C4030="","",C4030&amp;I4030)</f>
        <v/>
      </c>
      <c r="T4030" t="str">
        <f>IF(OR(C4030="",I4030&lt;&gt;"ENTRADA"),"",TEXT(B4030,"AAMMDD")&amp;"-"&amp;TEXT(VALUE(SUBSTITUTE(A4030,"MOV-","")),"000"))</f>
        <v/>
      </c>
    </row>
    <row r="4031" spans="18:20">
      <c r="R4031" s="22" t="str">
        <f>IF(H4031="","",H4031&amp;I4031)</f>
        <v/>
      </c>
      <c r="S4031" s="22" t="str">
        <f>IF(C4031="","",C4031&amp;I4031)</f>
        <v/>
      </c>
      <c r="T4031" t="str">
        <f>IF(OR(C4031="",I4031&lt;&gt;"ENTRADA"),"",TEXT(B4031,"AAMMDD")&amp;"-"&amp;TEXT(VALUE(SUBSTITUTE(A4031,"MOV-","")),"000"))</f>
        <v/>
      </c>
    </row>
    <row r="4032" spans="18:20">
      <c r="R4032" s="22" t="str">
        <f>IF(H4032="","",H4032&amp;I4032)</f>
        <v/>
      </c>
      <c r="S4032" s="22" t="str">
        <f>IF(C4032="","",C4032&amp;I4032)</f>
        <v/>
      </c>
      <c r="T4032" t="str">
        <f>IF(OR(C4032="",I4032&lt;&gt;"ENTRADA"),"",TEXT(B4032,"AAMMDD")&amp;"-"&amp;TEXT(VALUE(SUBSTITUTE(A4032,"MOV-","")),"000"))</f>
        <v/>
      </c>
    </row>
    <row r="4033" spans="18:20">
      <c r="R4033" s="22" t="str">
        <f>IF(H4033="","",H4033&amp;I4033)</f>
        <v/>
      </c>
      <c r="S4033" s="22" t="str">
        <f>IF(C4033="","",C4033&amp;I4033)</f>
        <v/>
      </c>
      <c r="T4033" t="str">
        <f>IF(OR(C4033="",I4033&lt;&gt;"ENTRADA"),"",TEXT(B4033,"AAMMDD")&amp;"-"&amp;TEXT(VALUE(SUBSTITUTE(A4033,"MOV-","")),"000"))</f>
        <v/>
      </c>
    </row>
    <row r="4034" spans="18:20">
      <c r="R4034" s="22" t="str">
        <f>IF(H4034="","",H4034&amp;I4034)</f>
        <v/>
      </c>
      <c r="S4034" s="22" t="str">
        <f>IF(C4034="","",C4034&amp;I4034)</f>
        <v/>
      </c>
      <c r="T4034" t="str">
        <f>IF(OR(C4034="",I4034&lt;&gt;"ENTRADA"),"",TEXT(B4034,"AAMMDD")&amp;"-"&amp;TEXT(VALUE(SUBSTITUTE(A4034,"MOV-","")),"000"))</f>
        <v/>
      </c>
    </row>
    <row r="4035" spans="18:20">
      <c r="R4035" s="22" t="str">
        <f>IF(H4035="","",H4035&amp;I4035)</f>
        <v/>
      </c>
      <c r="S4035" s="22" t="str">
        <f>IF(C4035="","",C4035&amp;I4035)</f>
        <v/>
      </c>
      <c r="T4035" t="str">
        <f>IF(OR(C4035="",I4035&lt;&gt;"ENTRADA"),"",TEXT(B4035,"AAMMDD")&amp;"-"&amp;TEXT(VALUE(SUBSTITUTE(A4035,"MOV-","")),"000"))</f>
        <v/>
      </c>
    </row>
    <row r="4036" spans="18:20">
      <c r="R4036" s="22" t="str">
        <f>IF(H4036="","",H4036&amp;I4036)</f>
        <v/>
      </c>
      <c r="S4036" s="22" t="str">
        <f>IF(C4036="","",C4036&amp;I4036)</f>
        <v/>
      </c>
      <c r="T4036" t="str">
        <f>IF(OR(C4036="",I4036&lt;&gt;"ENTRADA"),"",TEXT(B4036,"AAMMDD")&amp;"-"&amp;TEXT(VALUE(SUBSTITUTE(A4036,"MOV-","")),"000"))</f>
        <v/>
      </c>
    </row>
    <row r="4037" spans="18:20">
      <c r="R4037" s="22" t="str">
        <f>IF(H4037="","",H4037&amp;I4037)</f>
        <v/>
      </c>
      <c r="S4037" s="22" t="str">
        <f>IF(C4037="","",C4037&amp;I4037)</f>
        <v/>
      </c>
      <c r="T4037" t="str">
        <f>IF(OR(C4037="",I4037&lt;&gt;"ENTRADA"),"",TEXT(B4037,"AAMMDD")&amp;"-"&amp;TEXT(VALUE(SUBSTITUTE(A4037,"MOV-","")),"000"))</f>
        <v/>
      </c>
    </row>
    <row r="4038" spans="18:20">
      <c r="R4038" s="22" t="str">
        <f>IF(H4038="","",H4038&amp;I4038)</f>
        <v/>
      </c>
      <c r="S4038" s="22" t="str">
        <f>IF(C4038="","",C4038&amp;I4038)</f>
        <v/>
      </c>
      <c r="T4038" t="str">
        <f>IF(OR(C4038="",I4038&lt;&gt;"ENTRADA"),"",TEXT(B4038,"AAMMDD")&amp;"-"&amp;TEXT(VALUE(SUBSTITUTE(A4038,"MOV-","")),"000"))</f>
        <v/>
      </c>
    </row>
    <row r="4039" spans="18:20">
      <c r="R4039" s="22" t="str">
        <f>IF(H4039="","",H4039&amp;I4039)</f>
        <v/>
      </c>
      <c r="S4039" s="22" t="str">
        <f>IF(C4039="","",C4039&amp;I4039)</f>
        <v/>
      </c>
      <c r="T4039" t="str">
        <f>IF(OR(C4039="",I4039&lt;&gt;"ENTRADA"),"",TEXT(B4039,"AAMMDD")&amp;"-"&amp;TEXT(VALUE(SUBSTITUTE(A4039,"MOV-","")),"000"))</f>
        <v/>
      </c>
    </row>
    <row r="4040" spans="18:20">
      <c r="R4040" s="22" t="str">
        <f>IF(H4040="","",H4040&amp;I4040)</f>
        <v/>
      </c>
      <c r="S4040" s="22" t="str">
        <f>IF(C4040="","",C4040&amp;I4040)</f>
        <v/>
      </c>
      <c r="T4040" t="str">
        <f>IF(OR(C4040="",I4040&lt;&gt;"ENTRADA"),"",TEXT(B4040,"AAMMDD")&amp;"-"&amp;TEXT(VALUE(SUBSTITUTE(A4040,"MOV-","")),"000"))</f>
        <v/>
      </c>
    </row>
    <row r="4041" spans="18:20">
      <c r="R4041" s="22" t="str">
        <f>IF(H4041="","",H4041&amp;I4041)</f>
        <v/>
      </c>
      <c r="S4041" s="22" t="str">
        <f>IF(C4041="","",C4041&amp;I4041)</f>
        <v/>
      </c>
      <c r="T4041" t="str">
        <f>IF(OR(C4041="",I4041&lt;&gt;"ENTRADA"),"",TEXT(B4041,"AAMMDD")&amp;"-"&amp;TEXT(VALUE(SUBSTITUTE(A4041,"MOV-","")),"000"))</f>
        <v/>
      </c>
    </row>
    <row r="4042" spans="18:20">
      <c r="R4042" s="22" t="str">
        <f>IF(H4042="","",H4042&amp;I4042)</f>
        <v/>
      </c>
      <c r="S4042" s="22" t="str">
        <f>IF(C4042="","",C4042&amp;I4042)</f>
        <v/>
      </c>
      <c r="T4042" t="str">
        <f>IF(OR(C4042="",I4042&lt;&gt;"ENTRADA"),"",TEXT(B4042,"AAMMDD")&amp;"-"&amp;TEXT(VALUE(SUBSTITUTE(A4042,"MOV-","")),"000"))</f>
        <v/>
      </c>
    </row>
    <row r="4043" spans="18:20">
      <c r="R4043" s="22" t="str">
        <f>IF(H4043="","",H4043&amp;I4043)</f>
        <v/>
      </c>
      <c r="S4043" s="22" t="str">
        <f>IF(C4043="","",C4043&amp;I4043)</f>
        <v/>
      </c>
      <c r="T4043" t="str">
        <f>IF(OR(C4043="",I4043&lt;&gt;"ENTRADA"),"",TEXT(B4043,"AAMMDD")&amp;"-"&amp;TEXT(VALUE(SUBSTITUTE(A4043,"MOV-","")),"000"))</f>
        <v/>
      </c>
    </row>
    <row r="4044" spans="18:20">
      <c r="R4044" s="22" t="str">
        <f>IF(H4044="","",H4044&amp;I4044)</f>
        <v/>
      </c>
      <c r="S4044" s="22" t="str">
        <f>IF(C4044="","",C4044&amp;I4044)</f>
        <v/>
      </c>
      <c r="T4044" t="str">
        <f>IF(OR(C4044="",I4044&lt;&gt;"ENTRADA"),"",TEXT(B4044,"AAMMDD")&amp;"-"&amp;TEXT(VALUE(SUBSTITUTE(A4044,"MOV-","")),"000"))</f>
        <v/>
      </c>
    </row>
    <row r="4045" spans="18:20">
      <c r="R4045" s="22" t="str">
        <f>IF(H4045="","",H4045&amp;I4045)</f>
        <v/>
      </c>
      <c r="S4045" s="22" t="str">
        <f>IF(C4045="","",C4045&amp;I4045)</f>
        <v/>
      </c>
      <c r="T4045" t="str">
        <f>IF(OR(C4045="",I4045&lt;&gt;"ENTRADA"),"",TEXT(B4045,"AAMMDD")&amp;"-"&amp;TEXT(VALUE(SUBSTITUTE(A4045,"MOV-","")),"000"))</f>
        <v/>
      </c>
    </row>
    <row r="4046" spans="18:20">
      <c r="R4046" s="22" t="str">
        <f>IF(H4046="","",H4046&amp;I4046)</f>
        <v/>
      </c>
      <c r="S4046" s="22" t="str">
        <f>IF(C4046="","",C4046&amp;I4046)</f>
        <v/>
      </c>
      <c r="T4046" t="str">
        <f>IF(OR(C4046="",I4046&lt;&gt;"ENTRADA"),"",TEXT(B4046,"AAMMDD")&amp;"-"&amp;TEXT(VALUE(SUBSTITUTE(A4046,"MOV-","")),"000"))</f>
        <v/>
      </c>
    </row>
    <row r="4047" spans="18:20">
      <c r="R4047" s="22" t="str">
        <f>IF(H4047="","",H4047&amp;I4047)</f>
        <v/>
      </c>
      <c r="S4047" s="22" t="str">
        <f>IF(C4047="","",C4047&amp;I4047)</f>
        <v/>
      </c>
      <c r="T4047" t="str">
        <f>IF(OR(C4047="",I4047&lt;&gt;"ENTRADA"),"",TEXT(B4047,"AAMMDD")&amp;"-"&amp;TEXT(VALUE(SUBSTITUTE(A4047,"MOV-","")),"000"))</f>
        <v/>
      </c>
    </row>
    <row r="4048" spans="18:20">
      <c r="R4048" s="22" t="str">
        <f>IF(H4048="","",H4048&amp;I4048)</f>
        <v/>
      </c>
      <c r="S4048" s="22" t="str">
        <f>IF(C4048="","",C4048&amp;I4048)</f>
        <v/>
      </c>
      <c r="T4048" t="str">
        <f>IF(OR(C4048="",I4048&lt;&gt;"ENTRADA"),"",TEXT(B4048,"AAMMDD")&amp;"-"&amp;TEXT(VALUE(SUBSTITUTE(A4048,"MOV-","")),"000"))</f>
        <v/>
      </c>
    </row>
    <row r="4049" spans="18:20">
      <c r="R4049" s="22" t="str">
        <f>IF(H4049="","",H4049&amp;I4049)</f>
        <v/>
      </c>
      <c r="S4049" s="22" t="str">
        <f>IF(C4049="","",C4049&amp;I4049)</f>
        <v/>
      </c>
      <c r="T4049" t="str">
        <f>IF(OR(C4049="",I4049&lt;&gt;"ENTRADA"),"",TEXT(B4049,"AAMMDD")&amp;"-"&amp;TEXT(VALUE(SUBSTITUTE(A4049,"MOV-","")),"000"))</f>
        <v/>
      </c>
    </row>
    <row r="4050" spans="18:20">
      <c r="R4050" s="22" t="str">
        <f>IF(H4050="","",H4050&amp;I4050)</f>
        <v/>
      </c>
      <c r="S4050" s="22" t="str">
        <f>IF(C4050="","",C4050&amp;I4050)</f>
        <v/>
      </c>
      <c r="T4050" t="str">
        <f>IF(OR(C4050="",I4050&lt;&gt;"ENTRADA"),"",TEXT(B4050,"AAMMDD")&amp;"-"&amp;TEXT(VALUE(SUBSTITUTE(A4050,"MOV-","")),"000"))</f>
        <v/>
      </c>
    </row>
    <row r="4051" spans="18:20">
      <c r="R4051" s="22" t="str">
        <f>IF(H4051="","",H4051&amp;I4051)</f>
        <v/>
      </c>
      <c r="S4051" s="22" t="str">
        <f>IF(C4051="","",C4051&amp;I4051)</f>
        <v/>
      </c>
      <c r="T4051" t="str">
        <f>IF(OR(C4051="",I4051&lt;&gt;"ENTRADA"),"",TEXT(B4051,"AAMMDD")&amp;"-"&amp;TEXT(VALUE(SUBSTITUTE(A4051,"MOV-","")),"000"))</f>
        <v/>
      </c>
    </row>
    <row r="4052" spans="18:20">
      <c r="R4052" s="22" t="str">
        <f>IF(H4052="","",H4052&amp;I4052)</f>
        <v/>
      </c>
      <c r="S4052" s="22" t="str">
        <f>IF(C4052="","",C4052&amp;I4052)</f>
        <v/>
      </c>
      <c r="T4052" t="str">
        <f>IF(OR(C4052="",I4052&lt;&gt;"ENTRADA"),"",TEXT(B4052,"AAMMDD")&amp;"-"&amp;TEXT(VALUE(SUBSTITUTE(A4052,"MOV-","")),"000"))</f>
        <v/>
      </c>
    </row>
    <row r="4053" spans="18:20">
      <c r="R4053" s="22" t="str">
        <f>IF(H4053="","",H4053&amp;I4053)</f>
        <v/>
      </c>
      <c r="S4053" s="22" t="str">
        <f>IF(C4053="","",C4053&amp;I4053)</f>
        <v/>
      </c>
      <c r="T4053" t="str">
        <f>IF(OR(C4053="",I4053&lt;&gt;"ENTRADA"),"",TEXT(B4053,"AAMMDD")&amp;"-"&amp;TEXT(VALUE(SUBSTITUTE(A4053,"MOV-","")),"000"))</f>
        <v/>
      </c>
    </row>
    <row r="4054" spans="18:20">
      <c r="R4054" s="22" t="str">
        <f>IF(H4054="","",H4054&amp;I4054)</f>
        <v/>
      </c>
      <c r="S4054" s="22" t="str">
        <f>IF(C4054="","",C4054&amp;I4054)</f>
        <v/>
      </c>
      <c r="T4054" t="str">
        <f>IF(OR(C4054="",I4054&lt;&gt;"ENTRADA"),"",TEXT(B4054,"AAMMDD")&amp;"-"&amp;TEXT(VALUE(SUBSTITUTE(A4054,"MOV-","")),"000"))</f>
        <v/>
      </c>
    </row>
    <row r="4055" spans="18:20">
      <c r="R4055" s="22" t="str">
        <f>IF(H4055="","",H4055&amp;I4055)</f>
        <v/>
      </c>
      <c r="S4055" s="22" t="str">
        <f>IF(C4055="","",C4055&amp;I4055)</f>
        <v/>
      </c>
      <c r="T4055" t="str">
        <f>IF(OR(C4055="",I4055&lt;&gt;"ENTRADA"),"",TEXT(B4055,"AAMMDD")&amp;"-"&amp;TEXT(VALUE(SUBSTITUTE(A4055,"MOV-","")),"000"))</f>
        <v/>
      </c>
    </row>
    <row r="4056" spans="18:20">
      <c r="R4056" s="22" t="str">
        <f>IF(H4056="","",H4056&amp;I4056)</f>
        <v/>
      </c>
      <c r="S4056" s="22" t="str">
        <f>IF(C4056="","",C4056&amp;I4056)</f>
        <v/>
      </c>
      <c r="T4056" t="str">
        <f>IF(OR(C4056="",I4056&lt;&gt;"ENTRADA"),"",TEXT(B4056,"AAMMDD")&amp;"-"&amp;TEXT(VALUE(SUBSTITUTE(A4056,"MOV-","")),"000"))</f>
        <v/>
      </c>
    </row>
    <row r="4057" spans="18:20">
      <c r="R4057" s="22" t="str">
        <f>IF(H4057="","",H4057&amp;I4057)</f>
        <v/>
      </c>
      <c r="S4057" s="22" t="str">
        <f>IF(C4057="","",C4057&amp;I4057)</f>
        <v/>
      </c>
      <c r="T4057" t="str">
        <f>IF(OR(C4057="",I4057&lt;&gt;"ENTRADA"),"",TEXT(B4057,"AAMMDD")&amp;"-"&amp;TEXT(VALUE(SUBSTITUTE(A4057,"MOV-","")),"000"))</f>
        <v/>
      </c>
    </row>
    <row r="4058" spans="18:20">
      <c r="R4058" s="22" t="str">
        <f>IF(H4058="","",H4058&amp;I4058)</f>
        <v/>
      </c>
      <c r="S4058" s="22" t="str">
        <f>IF(C4058="","",C4058&amp;I4058)</f>
        <v/>
      </c>
      <c r="T4058" t="str">
        <f>IF(OR(C4058="",I4058&lt;&gt;"ENTRADA"),"",TEXT(B4058,"AAMMDD")&amp;"-"&amp;TEXT(VALUE(SUBSTITUTE(A4058,"MOV-","")),"000"))</f>
        <v/>
      </c>
    </row>
    <row r="4059" spans="18:20">
      <c r="R4059" s="22" t="str">
        <f>IF(H4059="","",H4059&amp;I4059)</f>
        <v/>
      </c>
      <c r="S4059" s="22" t="str">
        <f>IF(C4059="","",C4059&amp;I4059)</f>
        <v/>
      </c>
      <c r="T4059" t="str">
        <f>IF(OR(C4059="",I4059&lt;&gt;"ENTRADA"),"",TEXT(B4059,"AAMMDD")&amp;"-"&amp;TEXT(VALUE(SUBSTITUTE(A4059,"MOV-","")),"000"))</f>
        <v/>
      </c>
    </row>
    <row r="4060" spans="18:20">
      <c r="R4060" s="22" t="str">
        <f>IF(H4060="","",H4060&amp;I4060)</f>
        <v/>
      </c>
      <c r="S4060" s="22" t="str">
        <f>IF(C4060="","",C4060&amp;I4060)</f>
        <v/>
      </c>
      <c r="T4060" t="str">
        <f>IF(OR(C4060="",I4060&lt;&gt;"ENTRADA"),"",TEXT(B4060,"AAMMDD")&amp;"-"&amp;TEXT(VALUE(SUBSTITUTE(A4060,"MOV-","")),"000"))</f>
        <v/>
      </c>
    </row>
    <row r="4061" spans="18:20">
      <c r="R4061" s="22" t="str">
        <f>IF(H4061="","",H4061&amp;I4061)</f>
        <v/>
      </c>
      <c r="S4061" s="22" t="str">
        <f>IF(C4061="","",C4061&amp;I4061)</f>
        <v/>
      </c>
      <c r="T4061" t="str">
        <f>IF(OR(C4061="",I4061&lt;&gt;"ENTRADA"),"",TEXT(B4061,"AAMMDD")&amp;"-"&amp;TEXT(VALUE(SUBSTITUTE(A4061,"MOV-","")),"000"))</f>
        <v/>
      </c>
    </row>
    <row r="4062" spans="18:20">
      <c r="R4062" s="22" t="str">
        <f>IF(H4062="","",H4062&amp;I4062)</f>
        <v/>
      </c>
      <c r="S4062" s="22" t="str">
        <f>IF(C4062="","",C4062&amp;I4062)</f>
        <v/>
      </c>
      <c r="T4062" t="str">
        <f>IF(OR(C4062="",I4062&lt;&gt;"ENTRADA"),"",TEXT(B4062,"AAMMDD")&amp;"-"&amp;TEXT(VALUE(SUBSTITUTE(A4062,"MOV-","")),"000"))</f>
        <v/>
      </c>
    </row>
    <row r="4063" spans="18:20">
      <c r="R4063" s="22" t="str">
        <f>IF(H4063="","",H4063&amp;I4063)</f>
        <v/>
      </c>
      <c r="S4063" s="22" t="str">
        <f>IF(C4063="","",C4063&amp;I4063)</f>
        <v/>
      </c>
      <c r="T4063" t="str">
        <f>IF(OR(C4063="",I4063&lt;&gt;"ENTRADA"),"",TEXT(B4063,"AAMMDD")&amp;"-"&amp;TEXT(VALUE(SUBSTITUTE(A4063,"MOV-","")),"000"))</f>
        <v/>
      </c>
    </row>
    <row r="4064" spans="18:20">
      <c r="R4064" s="22" t="str">
        <f>IF(H4064="","",H4064&amp;I4064)</f>
        <v/>
      </c>
      <c r="S4064" s="22" t="str">
        <f>IF(C4064="","",C4064&amp;I4064)</f>
        <v/>
      </c>
      <c r="T4064" t="str">
        <f>IF(OR(C4064="",I4064&lt;&gt;"ENTRADA"),"",TEXT(B4064,"AAMMDD")&amp;"-"&amp;TEXT(VALUE(SUBSTITUTE(A4064,"MOV-","")),"000"))</f>
        <v/>
      </c>
    </row>
    <row r="4065" spans="18:20">
      <c r="R4065" s="22" t="str">
        <f>IF(H4065="","",H4065&amp;I4065)</f>
        <v/>
      </c>
      <c r="S4065" s="22" t="str">
        <f>IF(C4065="","",C4065&amp;I4065)</f>
        <v/>
      </c>
      <c r="T4065" t="str">
        <f>IF(OR(C4065="",I4065&lt;&gt;"ENTRADA"),"",TEXT(B4065,"AAMMDD")&amp;"-"&amp;TEXT(VALUE(SUBSTITUTE(A4065,"MOV-","")),"000"))</f>
        <v/>
      </c>
    </row>
    <row r="4066" spans="18:20">
      <c r="R4066" s="22" t="str">
        <f>IF(H4066="","",H4066&amp;I4066)</f>
        <v/>
      </c>
      <c r="S4066" s="22" t="str">
        <f>IF(C4066="","",C4066&amp;I4066)</f>
        <v/>
      </c>
      <c r="T4066" t="str">
        <f>IF(OR(C4066="",I4066&lt;&gt;"ENTRADA"),"",TEXT(B4066,"AAMMDD")&amp;"-"&amp;TEXT(VALUE(SUBSTITUTE(A4066,"MOV-","")),"000"))</f>
        <v/>
      </c>
    </row>
    <row r="4067" spans="18:20">
      <c r="R4067" s="22" t="str">
        <f>IF(H4067="","",H4067&amp;I4067)</f>
        <v/>
      </c>
      <c r="S4067" s="22" t="str">
        <f>IF(C4067="","",C4067&amp;I4067)</f>
        <v/>
      </c>
      <c r="T4067" t="str">
        <f>IF(OR(C4067="",I4067&lt;&gt;"ENTRADA"),"",TEXT(B4067,"AAMMDD")&amp;"-"&amp;TEXT(VALUE(SUBSTITUTE(A4067,"MOV-","")),"000"))</f>
        <v/>
      </c>
    </row>
    <row r="4068" spans="18:20">
      <c r="R4068" s="22" t="str">
        <f>IF(H4068="","",H4068&amp;I4068)</f>
        <v/>
      </c>
      <c r="S4068" s="22" t="str">
        <f>IF(C4068="","",C4068&amp;I4068)</f>
        <v/>
      </c>
      <c r="T4068" t="str">
        <f>IF(OR(C4068="",I4068&lt;&gt;"ENTRADA"),"",TEXT(B4068,"AAMMDD")&amp;"-"&amp;TEXT(VALUE(SUBSTITUTE(A4068,"MOV-","")),"000"))</f>
        <v/>
      </c>
    </row>
    <row r="4069" spans="18:20">
      <c r="R4069" s="22" t="str">
        <f>IF(H4069="","",H4069&amp;I4069)</f>
        <v/>
      </c>
      <c r="S4069" s="22" t="str">
        <f>IF(C4069="","",C4069&amp;I4069)</f>
        <v/>
      </c>
      <c r="T4069" t="str">
        <f>IF(OR(C4069="",I4069&lt;&gt;"ENTRADA"),"",TEXT(B4069,"AAMMDD")&amp;"-"&amp;TEXT(VALUE(SUBSTITUTE(A4069,"MOV-","")),"000"))</f>
        <v/>
      </c>
    </row>
    <row r="4070" spans="18:20">
      <c r="R4070" s="22" t="str">
        <f>IF(H4070="","",H4070&amp;I4070)</f>
        <v/>
      </c>
      <c r="S4070" s="22" t="str">
        <f>IF(C4070="","",C4070&amp;I4070)</f>
        <v/>
      </c>
      <c r="T4070" t="str">
        <f>IF(OR(C4070="",I4070&lt;&gt;"ENTRADA"),"",TEXT(B4070,"AAMMDD")&amp;"-"&amp;TEXT(VALUE(SUBSTITUTE(A4070,"MOV-","")),"000"))</f>
        <v/>
      </c>
    </row>
    <row r="4071" spans="18:20">
      <c r="R4071" s="22" t="str">
        <f>IF(H4071="","",H4071&amp;I4071)</f>
        <v/>
      </c>
      <c r="S4071" s="22" t="str">
        <f>IF(C4071="","",C4071&amp;I4071)</f>
        <v/>
      </c>
      <c r="T4071" t="str">
        <f>IF(OR(C4071="",I4071&lt;&gt;"ENTRADA"),"",TEXT(B4071,"AAMMDD")&amp;"-"&amp;TEXT(VALUE(SUBSTITUTE(A4071,"MOV-","")),"000"))</f>
        <v/>
      </c>
    </row>
    <row r="4072" spans="18:20">
      <c r="R4072" s="22" t="str">
        <f>IF(H4072="","",H4072&amp;I4072)</f>
        <v/>
      </c>
      <c r="S4072" s="22" t="str">
        <f>IF(C4072="","",C4072&amp;I4072)</f>
        <v/>
      </c>
      <c r="T4072" t="str">
        <f>IF(OR(C4072="",I4072&lt;&gt;"ENTRADA"),"",TEXT(B4072,"AAMMDD")&amp;"-"&amp;TEXT(VALUE(SUBSTITUTE(A4072,"MOV-","")),"000"))</f>
        <v/>
      </c>
    </row>
    <row r="4073" spans="18:20">
      <c r="R4073" s="22" t="str">
        <f>IF(H4073="","",H4073&amp;I4073)</f>
        <v/>
      </c>
      <c r="S4073" s="22" t="str">
        <f>IF(C4073="","",C4073&amp;I4073)</f>
        <v/>
      </c>
      <c r="T4073" t="str">
        <f>IF(OR(C4073="",I4073&lt;&gt;"ENTRADA"),"",TEXT(B4073,"AAMMDD")&amp;"-"&amp;TEXT(VALUE(SUBSTITUTE(A4073,"MOV-","")),"000"))</f>
        <v/>
      </c>
    </row>
    <row r="4074" spans="18:20">
      <c r="R4074" s="22" t="str">
        <f>IF(H4074="","",H4074&amp;I4074)</f>
        <v/>
      </c>
      <c r="S4074" s="22" t="str">
        <f>IF(C4074="","",C4074&amp;I4074)</f>
        <v/>
      </c>
      <c r="T4074" t="str">
        <f>IF(OR(C4074="",I4074&lt;&gt;"ENTRADA"),"",TEXT(B4074,"AAMMDD")&amp;"-"&amp;TEXT(VALUE(SUBSTITUTE(A4074,"MOV-","")),"000"))</f>
        <v/>
      </c>
    </row>
    <row r="4075" spans="18:20">
      <c r="R4075" s="22" t="str">
        <f>IF(H4075="","",H4075&amp;I4075)</f>
        <v/>
      </c>
      <c r="S4075" s="22" t="str">
        <f>IF(C4075="","",C4075&amp;I4075)</f>
        <v/>
      </c>
      <c r="T4075" t="str">
        <f>IF(OR(C4075="",I4075&lt;&gt;"ENTRADA"),"",TEXT(B4075,"AAMMDD")&amp;"-"&amp;TEXT(VALUE(SUBSTITUTE(A4075,"MOV-","")),"000"))</f>
        <v/>
      </c>
    </row>
    <row r="4076" spans="18:20">
      <c r="R4076" s="22" t="str">
        <f>IF(H4076="","",H4076&amp;I4076)</f>
        <v/>
      </c>
      <c r="S4076" s="22" t="str">
        <f>IF(C4076="","",C4076&amp;I4076)</f>
        <v/>
      </c>
      <c r="T4076" t="str">
        <f>IF(OR(C4076="",I4076&lt;&gt;"ENTRADA"),"",TEXT(B4076,"AAMMDD")&amp;"-"&amp;TEXT(VALUE(SUBSTITUTE(A4076,"MOV-","")),"000"))</f>
        <v/>
      </c>
    </row>
    <row r="4077" spans="18:20">
      <c r="R4077" s="22" t="str">
        <f>IF(H4077="","",H4077&amp;I4077)</f>
        <v/>
      </c>
      <c r="S4077" s="22" t="str">
        <f>IF(C4077="","",C4077&amp;I4077)</f>
        <v/>
      </c>
      <c r="T4077" t="str">
        <f>IF(OR(C4077="",I4077&lt;&gt;"ENTRADA"),"",TEXT(B4077,"AAMMDD")&amp;"-"&amp;TEXT(VALUE(SUBSTITUTE(A4077,"MOV-","")),"000"))</f>
        <v/>
      </c>
    </row>
    <row r="4078" spans="18:20">
      <c r="R4078" s="22" t="str">
        <f>IF(H4078="","",H4078&amp;I4078)</f>
        <v/>
      </c>
      <c r="S4078" s="22" t="str">
        <f>IF(C4078="","",C4078&amp;I4078)</f>
        <v/>
      </c>
      <c r="T4078" t="str">
        <f>IF(OR(C4078="",I4078&lt;&gt;"ENTRADA"),"",TEXT(B4078,"AAMMDD")&amp;"-"&amp;TEXT(VALUE(SUBSTITUTE(A4078,"MOV-","")),"000"))</f>
        <v/>
      </c>
    </row>
    <row r="4079" spans="18:20">
      <c r="R4079" s="22" t="str">
        <f>IF(H4079="","",H4079&amp;I4079)</f>
        <v/>
      </c>
      <c r="S4079" s="22" t="str">
        <f>IF(C4079="","",C4079&amp;I4079)</f>
        <v/>
      </c>
      <c r="T4079" t="str">
        <f>IF(OR(C4079="",I4079&lt;&gt;"ENTRADA"),"",TEXT(B4079,"AAMMDD")&amp;"-"&amp;TEXT(VALUE(SUBSTITUTE(A4079,"MOV-","")),"000"))</f>
        <v/>
      </c>
    </row>
    <row r="4080" spans="18:20">
      <c r="R4080" s="22" t="str">
        <f>IF(H4080="","",H4080&amp;I4080)</f>
        <v/>
      </c>
      <c r="S4080" s="22" t="str">
        <f>IF(C4080="","",C4080&amp;I4080)</f>
        <v/>
      </c>
      <c r="T4080" t="str">
        <f>IF(OR(C4080="",I4080&lt;&gt;"ENTRADA"),"",TEXT(B4080,"AAMMDD")&amp;"-"&amp;TEXT(VALUE(SUBSTITUTE(A4080,"MOV-","")),"000"))</f>
        <v/>
      </c>
    </row>
    <row r="4081" spans="18:20">
      <c r="R4081" s="22" t="str">
        <f>IF(H4081="","",H4081&amp;I4081)</f>
        <v/>
      </c>
      <c r="S4081" s="22" t="str">
        <f>IF(C4081="","",C4081&amp;I4081)</f>
        <v/>
      </c>
      <c r="T4081" t="str">
        <f>IF(OR(C4081="",I4081&lt;&gt;"ENTRADA"),"",TEXT(B4081,"AAMMDD")&amp;"-"&amp;TEXT(VALUE(SUBSTITUTE(A4081,"MOV-","")),"000"))</f>
        <v/>
      </c>
    </row>
    <row r="4082" spans="18:20">
      <c r="R4082" s="22" t="str">
        <f>IF(H4082="","",H4082&amp;I4082)</f>
        <v/>
      </c>
      <c r="S4082" s="22" t="str">
        <f>IF(C4082="","",C4082&amp;I4082)</f>
        <v/>
      </c>
      <c r="T4082" t="str">
        <f>IF(OR(C4082="",I4082&lt;&gt;"ENTRADA"),"",TEXT(B4082,"AAMMDD")&amp;"-"&amp;TEXT(VALUE(SUBSTITUTE(A4082,"MOV-","")),"000"))</f>
        <v/>
      </c>
    </row>
    <row r="4083" spans="18:20">
      <c r="R4083" s="22" t="str">
        <f>IF(H4083="","",H4083&amp;I4083)</f>
        <v/>
      </c>
      <c r="S4083" s="22" t="str">
        <f>IF(C4083="","",C4083&amp;I4083)</f>
        <v/>
      </c>
      <c r="T4083" t="str">
        <f>IF(OR(C4083="",I4083&lt;&gt;"ENTRADA"),"",TEXT(B4083,"AAMMDD")&amp;"-"&amp;TEXT(VALUE(SUBSTITUTE(A4083,"MOV-","")),"000"))</f>
        <v/>
      </c>
    </row>
    <row r="4084" spans="18:20">
      <c r="R4084" s="22" t="str">
        <f>IF(H4084="","",H4084&amp;I4084)</f>
        <v/>
      </c>
      <c r="S4084" s="22" t="str">
        <f>IF(C4084="","",C4084&amp;I4084)</f>
        <v/>
      </c>
      <c r="T4084" t="str">
        <f>IF(OR(C4084="",I4084&lt;&gt;"ENTRADA"),"",TEXT(B4084,"AAMMDD")&amp;"-"&amp;TEXT(VALUE(SUBSTITUTE(A4084,"MOV-","")),"000"))</f>
        <v/>
      </c>
    </row>
    <row r="4085" spans="18:20">
      <c r="R4085" s="22" t="str">
        <f>IF(H4085="","",H4085&amp;I4085)</f>
        <v/>
      </c>
      <c r="S4085" s="22" t="str">
        <f>IF(C4085="","",C4085&amp;I4085)</f>
        <v/>
      </c>
      <c r="T4085" t="str">
        <f>IF(OR(C4085="",I4085&lt;&gt;"ENTRADA"),"",TEXT(B4085,"AAMMDD")&amp;"-"&amp;TEXT(VALUE(SUBSTITUTE(A4085,"MOV-","")),"000"))</f>
        <v/>
      </c>
    </row>
    <row r="4086" spans="18:20">
      <c r="R4086" s="22" t="str">
        <f>IF(H4086="","",H4086&amp;I4086)</f>
        <v/>
      </c>
      <c r="S4086" s="22" t="str">
        <f>IF(C4086="","",C4086&amp;I4086)</f>
        <v/>
      </c>
      <c r="T4086" t="str">
        <f>IF(OR(C4086="",I4086&lt;&gt;"ENTRADA"),"",TEXT(B4086,"AAMMDD")&amp;"-"&amp;TEXT(VALUE(SUBSTITUTE(A4086,"MOV-","")),"000"))</f>
        <v/>
      </c>
    </row>
    <row r="4087" spans="18:20">
      <c r="R4087" s="22" t="str">
        <f>IF(H4087="","",H4087&amp;I4087)</f>
        <v/>
      </c>
      <c r="S4087" s="22" t="str">
        <f>IF(C4087="","",C4087&amp;I4087)</f>
        <v/>
      </c>
      <c r="T4087" t="str">
        <f>IF(OR(C4087="",I4087&lt;&gt;"ENTRADA"),"",TEXT(B4087,"AAMMDD")&amp;"-"&amp;TEXT(VALUE(SUBSTITUTE(A4087,"MOV-","")),"000"))</f>
        <v/>
      </c>
    </row>
    <row r="4088" spans="18:20">
      <c r="R4088" s="22" t="str">
        <f>IF(H4088="","",H4088&amp;I4088)</f>
        <v/>
      </c>
      <c r="S4088" s="22" t="str">
        <f>IF(C4088="","",C4088&amp;I4088)</f>
        <v/>
      </c>
      <c r="T4088" t="str">
        <f>IF(OR(C4088="",I4088&lt;&gt;"ENTRADA"),"",TEXT(B4088,"AAMMDD")&amp;"-"&amp;TEXT(VALUE(SUBSTITUTE(A4088,"MOV-","")),"000"))</f>
        <v/>
      </c>
    </row>
    <row r="4089" spans="18:20">
      <c r="R4089" s="22" t="str">
        <f>IF(H4089="","",H4089&amp;I4089)</f>
        <v/>
      </c>
      <c r="S4089" s="22" t="str">
        <f>IF(C4089="","",C4089&amp;I4089)</f>
        <v/>
      </c>
      <c r="T4089" t="str">
        <f>IF(OR(C4089="",I4089&lt;&gt;"ENTRADA"),"",TEXT(B4089,"AAMMDD")&amp;"-"&amp;TEXT(VALUE(SUBSTITUTE(A4089,"MOV-","")),"000"))</f>
        <v/>
      </c>
    </row>
    <row r="4090" spans="18:20">
      <c r="R4090" s="22" t="str">
        <f>IF(H4090="","",H4090&amp;I4090)</f>
        <v/>
      </c>
      <c r="S4090" s="22" t="str">
        <f>IF(C4090="","",C4090&amp;I4090)</f>
        <v/>
      </c>
      <c r="T4090" t="str">
        <f>IF(OR(C4090="",I4090&lt;&gt;"ENTRADA"),"",TEXT(B4090,"AAMMDD")&amp;"-"&amp;TEXT(VALUE(SUBSTITUTE(A4090,"MOV-","")),"000"))</f>
        <v/>
      </c>
    </row>
    <row r="4091" spans="18:20">
      <c r="R4091" s="22" t="str">
        <f>IF(H4091="","",H4091&amp;I4091)</f>
        <v/>
      </c>
      <c r="S4091" s="22" t="str">
        <f>IF(C4091="","",C4091&amp;I4091)</f>
        <v/>
      </c>
      <c r="T4091" t="str">
        <f>IF(OR(C4091="",I4091&lt;&gt;"ENTRADA"),"",TEXT(B4091,"AAMMDD")&amp;"-"&amp;TEXT(VALUE(SUBSTITUTE(A4091,"MOV-","")),"000"))</f>
        <v/>
      </c>
    </row>
    <row r="4092" spans="18:20">
      <c r="R4092" s="22" t="str">
        <f>IF(H4092="","",H4092&amp;I4092)</f>
        <v/>
      </c>
      <c r="S4092" s="22" t="str">
        <f>IF(C4092="","",C4092&amp;I4092)</f>
        <v/>
      </c>
      <c r="T4092" t="str">
        <f>IF(OR(C4092="",I4092&lt;&gt;"ENTRADA"),"",TEXT(B4092,"AAMMDD")&amp;"-"&amp;TEXT(VALUE(SUBSTITUTE(A4092,"MOV-","")),"000"))</f>
        <v/>
      </c>
    </row>
    <row r="4093" spans="18:20">
      <c r="R4093" s="22" t="str">
        <f>IF(H4093="","",H4093&amp;I4093)</f>
        <v/>
      </c>
      <c r="S4093" s="22" t="str">
        <f>IF(C4093="","",C4093&amp;I4093)</f>
        <v/>
      </c>
      <c r="T4093" t="str">
        <f>IF(OR(C4093="",I4093&lt;&gt;"ENTRADA"),"",TEXT(B4093,"AAMMDD")&amp;"-"&amp;TEXT(VALUE(SUBSTITUTE(A4093,"MOV-","")),"000"))</f>
        <v/>
      </c>
    </row>
    <row r="4094" spans="18:20">
      <c r="R4094" s="22" t="str">
        <f>IF(H4094="","",H4094&amp;I4094)</f>
        <v/>
      </c>
      <c r="S4094" s="22" t="str">
        <f>IF(C4094="","",C4094&amp;I4094)</f>
        <v/>
      </c>
      <c r="T4094" t="str">
        <f>IF(OR(C4094="",I4094&lt;&gt;"ENTRADA"),"",TEXT(B4094,"AAMMDD")&amp;"-"&amp;TEXT(VALUE(SUBSTITUTE(A4094,"MOV-","")),"000"))</f>
        <v/>
      </c>
    </row>
    <row r="4095" spans="18:20">
      <c r="R4095" s="22" t="str">
        <f>IF(H4095="","",H4095&amp;I4095)</f>
        <v/>
      </c>
      <c r="S4095" s="22" t="str">
        <f>IF(C4095="","",C4095&amp;I4095)</f>
        <v/>
      </c>
      <c r="T4095" t="str">
        <f>IF(OR(C4095="",I4095&lt;&gt;"ENTRADA"),"",TEXT(B4095,"AAMMDD")&amp;"-"&amp;TEXT(VALUE(SUBSTITUTE(A4095,"MOV-","")),"000"))</f>
        <v/>
      </c>
    </row>
    <row r="4096" spans="18:20">
      <c r="R4096" s="22" t="str">
        <f>IF(H4096="","",H4096&amp;I4096)</f>
        <v/>
      </c>
      <c r="S4096" s="22" t="str">
        <f>IF(C4096="","",C4096&amp;I4096)</f>
        <v/>
      </c>
      <c r="T4096" t="str">
        <f>IF(OR(C4096="",I4096&lt;&gt;"ENTRADA"),"",TEXT(B4096,"AAMMDD")&amp;"-"&amp;TEXT(VALUE(SUBSTITUTE(A4096,"MOV-","")),"000"))</f>
        <v/>
      </c>
    </row>
    <row r="4097" spans="18:20">
      <c r="R4097" s="22" t="str">
        <f>IF(H4097="","",H4097&amp;I4097)</f>
        <v/>
      </c>
      <c r="S4097" s="22" t="str">
        <f>IF(C4097="","",C4097&amp;I4097)</f>
        <v/>
      </c>
      <c r="T4097" t="str">
        <f>IF(OR(C4097="",I4097&lt;&gt;"ENTRADA"),"",TEXT(B4097,"AAMMDD")&amp;"-"&amp;TEXT(VALUE(SUBSTITUTE(A4097,"MOV-","")),"000"))</f>
        <v/>
      </c>
    </row>
    <row r="4098" spans="18:20">
      <c r="R4098" s="22" t="str">
        <f>IF(H4098="","",H4098&amp;I4098)</f>
        <v/>
      </c>
      <c r="S4098" s="22" t="str">
        <f>IF(C4098="","",C4098&amp;I4098)</f>
        <v/>
      </c>
      <c r="T4098" t="str">
        <f>IF(OR(C4098="",I4098&lt;&gt;"ENTRADA"),"",TEXT(B4098,"AAMMDD")&amp;"-"&amp;TEXT(VALUE(SUBSTITUTE(A4098,"MOV-","")),"000"))</f>
        <v/>
      </c>
    </row>
    <row r="4099" spans="18:20">
      <c r="R4099" s="22" t="str">
        <f>IF(H4099="","",H4099&amp;I4099)</f>
        <v/>
      </c>
      <c r="S4099" s="22" t="str">
        <f>IF(C4099="","",C4099&amp;I4099)</f>
        <v/>
      </c>
      <c r="T4099" t="str">
        <f>IF(OR(C4099="",I4099&lt;&gt;"ENTRADA"),"",TEXT(B4099,"AAMMDD")&amp;"-"&amp;TEXT(VALUE(SUBSTITUTE(A4099,"MOV-","")),"000"))</f>
        <v/>
      </c>
    </row>
    <row r="4100" spans="18:20">
      <c r="R4100" s="22" t="str">
        <f>IF(H4100="","",H4100&amp;I4100)</f>
        <v/>
      </c>
      <c r="S4100" s="22" t="str">
        <f>IF(C4100="","",C4100&amp;I4100)</f>
        <v/>
      </c>
      <c r="T4100" t="str">
        <f>IF(OR(C4100="",I4100&lt;&gt;"ENTRADA"),"",TEXT(B4100,"AAMMDD")&amp;"-"&amp;TEXT(VALUE(SUBSTITUTE(A4100,"MOV-","")),"000"))</f>
        <v/>
      </c>
    </row>
    <row r="4101" spans="18:20">
      <c r="R4101" s="22" t="str">
        <f>IF(H4101="","",H4101&amp;I4101)</f>
        <v/>
      </c>
      <c r="S4101" s="22" t="str">
        <f>IF(C4101="","",C4101&amp;I4101)</f>
        <v/>
      </c>
      <c r="T4101" t="str">
        <f>IF(OR(C4101="",I4101&lt;&gt;"ENTRADA"),"",TEXT(B4101,"AAMMDD")&amp;"-"&amp;TEXT(VALUE(SUBSTITUTE(A4101,"MOV-","")),"000"))</f>
        <v/>
      </c>
    </row>
    <row r="4102" spans="18:20">
      <c r="R4102" s="22" t="str">
        <f>IF(H4102="","",H4102&amp;I4102)</f>
        <v/>
      </c>
      <c r="S4102" s="22" t="str">
        <f>IF(C4102="","",C4102&amp;I4102)</f>
        <v/>
      </c>
      <c r="T4102" t="str">
        <f>IF(OR(C4102="",I4102&lt;&gt;"ENTRADA"),"",TEXT(B4102,"AAMMDD")&amp;"-"&amp;TEXT(VALUE(SUBSTITUTE(A4102,"MOV-","")),"000"))</f>
        <v/>
      </c>
    </row>
    <row r="4103" spans="18:20">
      <c r="R4103" s="22" t="str">
        <f>IF(H4103="","",H4103&amp;I4103)</f>
        <v/>
      </c>
      <c r="S4103" s="22" t="str">
        <f>IF(C4103="","",C4103&amp;I4103)</f>
        <v/>
      </c>
      <c r="T4103" t="str">
        <f>IF(OR(C4103="",I4103&lt;&gt;"ENTRADA"),"",TEXT(B4103,"AAMMDD")&amp;"-"&amp;TEXT(VALUE(SUBSTITUTE(A4103,"MOV-","")),"000"))</f>
        <v/>
      </c>
    </row>
    <row r="4104" spans="18:20">
      <c r="R4104" s="22" t="str">
        <f>IF(H4104="","",H4104&amp;I4104)</f>
        <v/>
      </c>
      <c r="S4104" s="22" t="str">
        <f>IF(C4104="","",C4104&amp;I4104)</f>
        <v/>
      </c>
      <c r="T4104" t="str">
        <f>IF(OR(C4104="",I4104&lt;&gt;"ENTRADA"),"",TEXT(B4104,"AAMMDD")&amp;"-"&amp;TEXT(VALUE(SUBSTITUTE(A4104,"MOV-","")),"000"))</f>
        <v/>
      </c>
    </row>
    <row r="4105" spans="18:20">
      <c r="R4105" s="22" t="str">
        <f>IF(H4105="","",H4105&amp;I4105)</f>
        <v/>
      </c>
      <c r="S4105" s="22" t="str">
        <f>IF(C4105="","",C4105&amp;I4105)</f>
        <v/>
      </c>
      <c r="T4105" t="str">
        <f>IF(OR(C4105="",I4105&lt;&gt;"ENTRADA"),"",TEXT(B4105,"AAMMDD")&amp;"-"&amp;TEXT(VALUE(SUBSTITUTE(A4105,"MOV-","")),"000"))</f>
        <v/>
      </c>
    </row>
    <row r="4106" spans="18:20">
      <c r="R4106" s="22" t="str">
        <f>IF(H4106="","",H4106&amp;I4106)</f>
        <v/>
      </c>
      <c r="S4106" s="22" t="str">
        <f>IF(C4106="","",C4106&amp;I4106)</f>
        <v/>
      </c>
      <c r="T4106" t="str">
        <f>IF(OR(C4106="",I4106&lt;&gt;"ENTRADA"),"",TEXT(B4106,"AAMMDD")&amp;"-"&amp;TEXT(VALUE(SUBSTITUTE(A4106,"MOV-","")),"000"))</f>
        <v/>
      </c>
    </row>
    <row r="4107" spans="18:20">
      <c r="R4107" s="22" t="str">
        <f>IF(H4107="","",H4107&amp;I4107)</f>
        <v/>
      </c>
      <c r="S4107" s="22" t="str">
        <f>IF(C4107="","",C4107&amp;I4107)</f>
        <v/>
      </c>
      <c r="T4107" t="str">
        <f>IF(OR(C4107="",I4107&lt;&gt;"ENTRADA"),"",TEXT(B4107,"AAMMDD")&amp;"-"&amp;TEXT(VALUE(SUBSTITUTE(A4107,"MOV-","")),"000"))</f>
        <v/>
      </c>
    </row>
    <row r="4108" spans="18:20">
      <c r="R4108" s="22" t="str">
        <f>IF(H4108="","",H4108&amp;I4108)</f>
        <v/>
      </c>
      <c r="S4108" s="22" t="str">
        <f>IF(C4108="","",C4108&amp;I4108)</f>
        <v/>
      </c>
      <c r="T4108" t="str">
        <f>IF(OR(C4108="",I4108&lt;&gt;"ENTRADA"),"",TEXT(B4108,"AAMMDD")&amp;"-"&amp;TEXT(VALUE(SUBSTITUTE(A4108,"MOV-","")),"000"))</f>
        <v/>
      </c>
    </row>
    <row r="4109" spans="18:20">
      <c r="R4109" s="22" t="str">
        <f>IF(H4109="","",H4109&amp;I4109)</f>
        <v/>
      </c>
      <c r="S4109" s="22" t="str">
        <f>IF(C4109="","",C4109&amp;I4109)</f>
        <v/>
      </c>
      <c r="T4109" t="str">
        <f>IF(OR(C4109="",I4109&lt;&gt;"ENTRADA"),"",TEXT(B4109,"AAMMDD")&amp;"-"&amp;TEXT(VALUE(SUBSTITUTE(A4109,"MOV-","")),"000"))</f>
        <v/>
      </c>
    </row>
    <row r="4110" spans="18:20">
      <c r="R4110" s="22" t="str">
        <f>IF(H4110="","",H4110&amp;I4110)</f>
        <v/>
      </c>
      <c r="S4110" s="22" t="str">
        <f>IF(C4110="","",C4110&amp;I4110)</f>
        <v/>
      </c>
      <c r="T4110" t="str">
        <f>IF(OR(C4110="",I4110&lt;&gt;"ENTRADA"),"",TEXT(B4110,"AAMMDD")&amp;"-"&amp;TEXT(VALUE(SUBSTITUTE(A4110,"MOV-","")),"000"))</f>
        <v/>
      </c>
    </row>
    <row r="4111" spans="18:20">
      <c r="R4111" s="22" t="str">
        <f>IF(H4111="","",H4111&amp;I4111)</f>
        <v/>
      </c>
      <c r="S4111" s="22" t="str">
        <f>IF(C4111="","",C4111&amp;I4111)</f>
        <v/>
      </c>
      <c r="T4111" t="str">
        <f>IF(OR(C4111="",I4111&lt;&gt;"ENTRADA"),"",TEXT(B4111,"AAMMDD")&amp;"-"&amp;TEXT(VALUE(SUBSTITUTE(A4111,"MOV-","")),"000"))</f>
        <v/>
      </c>
    </row>
    <row r="4112" spans="18:20">
      <c r="R4112" s="22" t="str">
        <f>IF(H4112="","",H4112&amp;I4112)</f>
        <v/>
      </c>
      <c r="S4112" s="22" t="str">
        <f>IF(C4112="","",C4112&amp;I4112)</f>
        <v/>
      </c>
      <c r="T4112" t="str">
        <f>IF(OR(C4112="",I4112&lt;&gt;"ENTRADA"),"",TEXT(B4112,"AAMMDD")&amp;"-"&amp;TEXT(VALUE(SUBSTITUTE(A4112,"MOV-","")),"000"))</f>
        <v/>
      </c>
    </row>
    <row r="4113" spans="18:20">
      <c r="R4113" s="22" t="str">
        <f>IF(H4113="","",H4113&amp;I4113)</f>
        <v/>
      </c>
      <c r="S4113" s="22" t="str">
        <f>IF(C4113="","",C4113&amp;I4113)</f>
        <v/>
      </c>
      <c r="T4113" t="str">
        <f>IF(OR(C4113="",I4113&lt;&gt;"ENTRADA"),"",TEXT(B4113,"AAMMDD")&amp;"-"&amp;TEXT(VALUE(SUBSTITUTE(A4113,"MOV-","")),"000"))</f>
        <v/>
      </c>
    </row>
    <row r="4114" spans="18:20">
      <c r="R4114" s="22" t="str">
        <f>IF(H4114="","",H4114&amp;I4114)</f>
        <v/>
      </c>
      <c r="S4114" s="22" t="str">
        <f>IF(C4114="","",C4114&amp;I4114)</f>
        <v/>
      </c>
      <c r="T4114" t="str">
        <f>IF(OR(C4114="",I4114&lt;&gt;"ENTRADA"),"",TEXT(B4114,"AAMMDD")&amp;"-"&amp;TEXT(VALUE(SUBSTITUTE(A4114,"MOV-","")),"000"))</f>
        <v/>
      </c>
    </row>
    <row r="4115" spans="18:20">
      <c r="R4115" s="22" t="str">
        <f>IF(H4115="","",H4115&amp;I4115)</f>
        <v/>
      </c>
      <c r="S4115" s="22" t="str">
        <f>IF(C4115="","",C4115&amp;I4115)</f>
        <v/>
      </c>
      <c r="T4115" t="str">
        <f>IF(OR(C4115="",I4115&lt;&gt;"ENTRADA"),"",TEXT(B4115,"AAMMDD")&amp;"-"&amp;TEXT(VALUE(SUBSTITUTE(A4115,"MOV-","")),"000"))</f>
        <v/>
      </c>
    </row>
    <row r="4116" spans="18:20">
      <c r="R4116" s="22" t="str">
        <f>IF(H4116="","",H4116&amp;I4116)</f>
        <v/>
      </c>
      <c r="S4116" s="22" t="str">
        <f>IF(C4116="","",C4116&amp;I4116)</f>
        <v/>
      </c>
      <c r="T4116" t="str">
        <f>IF(OR(C4116="",I4116&lt;&gt;"ENTRADA"),"",TEXT(B4116,"AAMMDD")&amp;"-"&amp;TEXT(VALUE(SUBSTITUTE(A4116,"MOV-","")),"000"))</f>
        <v/>
      </c>
    </row>
    <row r="4117" spans="18:20">
      <c r="R4117" s="22" t="str">
        <f>IF(H4117="","",H4117&amp;I4117)</f>
        <v/>
      </c>
      <c r="S4117" s="22" t="str">
        <f>IF(C4117="","",C4117&amp;I4117)</f>
        <v/>
      </c>
      <c r="T4117" t="str">
        <f>IF(OR(C4117="",I4117&lt;&gt;"ENTRADA"),"",TEXT(B4117,"AAMMDD")&amp;"-"&amp;TEXT(VALUE(SUBSTITUTE(A4117,"MOV-","")),"000"))</f>
        <v/>
      </c>
    </row>
    <row r="4118" spans="18:20">
      <c r="R4118" s="22" t="str">
        <f>IF(H4118="","",H4118&amp;I4118)</f>
        <v/>
      </c>
      <c r="S4118" s="22" t="str">
        <f>IF(C4118="","",C4118&amp;I4118)</f>
        <v/>
      </c>
      <c r="T4118" t="str">
        <f>IF(OR(C4118="",I4118&lt;&gt;"ENTRADA"),"",TEXT(B4118,"AAMMDD")&amp;"-"&amp;TEXT(VALUE(SUBSTITUTE(A4118,"MOV-","")),"000"))</f>
        <v/>
      </c>
    </row>
    <row r="4119" spans="18:20">
      <c r="R4119" s="22" t="str">
        <f>IF(H4119="","",H4119&amp;I4119)</f>
        <v/>
      </c>
      <c r="S4119" s="22" t="str">
        <f>IF(C4119="","",C4119&amp;I4119)</f>
        <v/>
      </c>
      <c r="T4119" t="str">
        <f>IF(OR(C4119="",I4119&lt;&gt;"ENTRADA"),"",TEXT(B4119,"AAMMDD")&amp;"-"&amp;TEXT(VALUE(SUBSTITUTE(A4119,"MOV-","")),"000"))</f>
        <v/>
      </c>
    </row>
    <row r="4120" spans="18:20">
      <c r="R4120" s="22" t="str">
        <f>IF(H4120="","",H4120&amp;I4120)</f>
        <v/>
      </c>
      <c r="S4120" s="22" t="str">
        <f>IF(C4120="","",C4120&amp;I4120)</f>
        <v/>
      </c>
      <c r="T4120" t="str">
        <f>IF(OR(C4120="",I4120&lt;&gt;"ENTRADA"),"",TEXT(B4120,"AAMMDD")&amp;"-"&amp;TEXT(VALUE(SUBSTITUTE(A4120,"MOV-","")),"000"))</f>
        <v/>
      </c>
    </row>
    <row r="4121" spans="18:20">
      <c r="R4121" s="22" t="str">
        <f>IF(H4121="","",H4121&amp;I4121)</f>
        <v/>
      </c>
      <c r="S4121" s="22" t="str">
        <f>IF(C4121="","",C4121&amp;I4121)</f>
        <v/>
      </c>
      <c r="T4121" t="str">
        <f>IF(OR(C4121="",I4121&lt;&gt;"ENTRADA"),"",TEXT(B4121,"AAMMDD")&amp;"-"&amp;TEXT(VALUE(SUBSTITUTE(A4121,"MOV-","")),"000"))</f>
        <v/>
      </c>
    </row>
    <row r="4122" spans="18:20">
      <c r="R4122" s="22" t="str">
        <f>IF(H4122="","",H4122&amp;I4122)</f>
        <v/>
      </c>
      <c r="S4122" s="22" t="str">
        <f>IF(C4122="","",C4122&amp;I4122)</f>
        <v/>
      </c>
      <c r="T4122" t="str">
        <f>IF(OR(C4122="",I4122&lt;&gt;"ENTRADA"),"",TEXT(B4122,"AAMMDD")&amp;"-"&amp;TEXT(VALUE(SUBSTITUTE(A4122,"MOV-","")),"000"))</f>
        <v/>
      </c>
    </row>
    <row r="4123" spans="18:20">
      <c r="R4123" s="22" t="str">
        <f>IF(H4123="","",H4123&amp;I4123)</f>
        <v/>
      </c>
      <c r="S4123" s="22" t="str">
        <f>IF(C4123="","",C4123&amp;I4123)</f>
        <v/>
      </c>
      <c r="T4123" t="str">
        <f>IF(OR(C4123="",I4123&lt;&gt;"ENTRADA"),"",TEXT(B4123,"AAMMDD")&amp;"-"&amp;TEXT(VALUE(SUBSTITUTE(A4123,"MOV-","")),"000"))</f>
        <v/>
      </c>
    </row>
    <row r="4124" spans="18:20">
      <c r="R4124" s="22" t="str">
        <f>IF(H4124="","",H4124&amp;I4124)</f>
        <v/>
      </c>
      <c r="S4124" s="22" t="str">
        <f>IF(C4124="","",C4124&amp;I4124)</f>
        <v/>
      </c>
      <c r="T4124" t="str">
        <f>IF(OR(C4124="",I4124&lt;&gt;"ENTRADA"),"",TEXT(B4124,"AAMMDD")&amp;"-"&amp;TEXT(VALUE(SUBSTITUTE(A4124,"MOV-","")),"000"))</f>
        <v/>
      </c>
    </row>
    <row r="4125" spans="18:20">
      <c r="R4125" s="22" t="str">
        <f>IF(H4125="","",H4125&amp;I4125)</f>
        <v/>
      </c>
      <c r="S4125" s="22" t="str">
        <f>IF(C4125="","",C4125&amp;I4125)</f>
        <v/>
      </c>
      <c r="T4125" t="str">
        <f>IF(OR(C4125="",I4125&lt;&gt;"ENTRADA"),"",TEXT(B4125,"AAMMDD")&amp;"-"&amp;TEXT(VALUE(SUBSTITUTE(A4125,"MOV-","")),"000"))</f>
        <v/>
      </c>
    </row>
    <row r="4126" spans="18:20">
      <c r="R4126" s="22" t="str">
        <f>IF(H4126="","",H4126&amp;I4126)</f>
        <v/>
      </c>
      <c r="S4126" s="22" t="str">
        <f>IF(C4126="","",C4126&amp;I4126)</f>
        <v/>
      </c>
      <c r="T4126" t="str">
        <f>IF(OR(C4126="",I4126&lt;&gt;"ENTRADA"),"",TEXT(B4126,"AAMMDD")&amp;"-"&amp;TEXT(VALUE(SUBSTITUTE(A4126,"MOV-","")),"000"))</f>
        <v/>
      </c>
    </row>
    <row r="4127" spans="18:20">
      <c r="R4127" s="22" t="str">
        <f>IF(H4127="","",H4127&amp;I4127)</f>
        <v/>
      </c>
      <c r="S4127" s="22" t="str">
        <f>IF(C4127="","",C4127&amp;I4127)</f>
        <v/>
      </c>
      <c r="T4127" t="str">
        <f>IF(OR(C4127="",I4127&lt;&gt;"ENTRADA"),"",TEXT(B4127,"AAMMDD")&amp;"-"&amp;TEXT(VALUE(SUBSTITUTE(A4127,"MOV-","")),"000"))</f>
        <v/>
      </c>
    </row>
    <row r="4128" spans="18:20">
      <c r="R4128" s="22" t="str">
        <f>IF(H4128="","",H4128&amp;I4128)</f>
        <v/>
      </c>
      <c r="S4128" s="22" t="str">
        <f>IF(C4128="","",C4128&amp;I4128)</f>
        <v/>
      </c>
      <c r="T4128" t="str">
        <f>IF(OR(C4128="",I4128&lt;&gt;"ENTRADA"),"",TEXT(B4128,"AAMMDD")&amp;"-"&amp;TEXT(VALUE(SUBSTITUTE(A4128,"MOV-","")),"000"))</f>
        <v/>
      </c>
    </row>
    <row r="4129" spans="18:20">
      <c r="R4129" s="22" t="str">
        <f>IF(H4129="","",H4129&amp;I4129)</f>
        <v/>
      </c>
      <c r="S4129" s="22" t="str">
        <f>IF(C4129="","",C4129&amp;I4129)</f>
        <v/>
      </c>
      <c r="T4129" t="str">
        <f>IF(OR(C4129="",I4129&lt;&gt;"ENTRADA"),"",TEXT(B4129,"AAMMDD")&amp;"-"&amp;TEXT(VALUE(SUBSTITUTE(A4129,"MOV-","")),"000"))</f>
        <v/>
      </c>
    </row>
    <row r="4130" spans="18:20">
      <c r="R4130" s="22" t="str">
        <f>IF(H4130="","",H4130&amp;I4130)</f>
        <v/>
      </c>
      <c r="S4130" s="22" t="str">
        <f>IF(C4130="","",C4130&amp;I4130)</f>
        <v/>
      </c>
      <c r="T4130" t="str">
        <f>IF(OR(C4130="",I4130&lt;&gt;"ENTRADA"),"",TEXT(B4130,"AAMMDD")&amp;"-"&amp;TEXT(VALUE(SUBSTITUTE(A4130,"MOV-","")),"000"))</f>
        <v/>
      </c>
    </row>
    <row r="4131" spans="18:20">
      <c r="R4131" s="22" t="str">
        <f>IF(H4131="","",H4131&amp;I4131)</f>
        <v/>
      </c>
      <c r="S4131" s="22" t="str">
        <f>IF(C4131="","",C4131&amp;I4131)</f>
        <v/>
      </c>
      <c r="T4131" t="str">
        <f>IF(OR(C4131="",I4131&lt;&gt;"ENTRADA"),"",TEXT(B4131,"AAMMDD")&amp;"-"&amp;TEXT(VALUE(SUBSTITUTE(A4131,"MOV-","")),"000"))</f>
        <v/>
      </c>
    </row>
    <row r="4132" spans="18:20">
      <c r="R4132" s="22" t="str">
        <f>IF(H4132="","",H4132&amp;I4132)</f>
        <v/>
      </c>
      <c r="S4132" s="22" t="str">
        <f>IF(C4132="","",C4132&amp;I4132)</f>
        <v/>
      </c>
      <c r="T4132" t="str">
        <f>IF(OR(C4132="",I4132&lt;&gt;"ENTRADA"),"",TEXT(B4132,"AAMMDD")&amp;"-"&amp;TEXT(VALUE(SUBSTITUTE(A4132,"MOV-","")),"000"))</f>
        <v/>
      </c>
    </row>
    <row r="4133" spans="18:20">
      <c r="R4133" s="22" t="str">
        <f>IF(H4133="","",H4133&amp;I4133)</f>
        <v/>
      </c>
      <c r="S4133" s="22" t="str">
        <f>IF(C4133="","",C4133&amp;I4133)</f>
        <v/>
      </c>
      <c r="T4133" t="str">
        <f>IF(OR(C4133="",I4133&lt;&gt;"ENTRADA"),"",TEXT(B4133,"AAMMDD")&amp;"-"&amp;TEXT(VALUE(SUBSTITUTE(A4133,"MOV-","")),"000"))</f>
        <v/>
      </c>
    </row>
    <row r="4134" spans="18:20">
      <c r="R4134" s="22" t="str">
        <f>IF(H4134="","",H4134&amp;I4134)</f>
        <v/>
      </c>
      <c r="S4134" s="22" t="str">
        <f>IF(C4134="","",C4134&amp;I4134)</f>
        <v/>
      </c>
      <c r="T4134" t="str">
        <f>IF(OR(C4134="",I4134&lt;&gt;"ENTRADA"),"",TEXT(B4134,"AAMMDD")&amp;"-"&amp;TEXT(VALUE(SUBSTITUTE(A4134,"MOV-","")),"000"))</f>
        <v/>
      </c>
    </row>
    <row r="4135" spans="18:20">
      <c r="R4135" s="22" t="str">
        <f>IF(H4135="","",H4135&amp;I4135)</f>
        <v/>
      </c>
      <c r="S4135" s="22" t="str">
        <f>IF(C4135="","",C4135&amp;I4135)</f>
        <v/>
      </c>
      <c r="T4135" t="str">
        <f>IF(OR(C4135="",I4135&lt;&gt;"ENTRADA"),"",TEXT(B4135,"AAMMDD")&amp;"-"&amp;TEXT(VALUE(SUBSTITUTE(A4135,"MOV-","")),"000"))</f>
        <v/>
      </c>
    </row>
    <row r="4136" spans="18:20">
      <c r="R4136" s="22" t="str">
        <f>IF(H4136="","",H4136&amp;I4136)</f>
        <v/>
      </c>
      <c r="S4136" s="22" t="str">
        <f>IF(C4136="","",C4136&amp;I4136)</f>
        <v/>
      </c>
      <c r="T4136" t="str">
        <f>IF(OR(C4136="",I4136&lt;&gt;"ENTRADA"),"",TEXT(B4136,"AAMMDD")&amp;"-"&amp;TEXT(VALUE(SUBSTITUTE(A4136,"MOV-","")),"000"))</f>
        <v/>
      </c>
    </row>
    <row r="4137" spans="18:20">
      <c r="R4137" s="22" t="str">
        <f>IF(H4137="","",H4137&amp;I4137)</f>
        <v/>
      </c>
      <c r="S4137" s="22" t="str">
        <f>IF(C4137="","",C4137&amp;I4137)</f>
        <v/>
      </c>
      <c r="T4137" t="str">
        <f>IF(OR(C4137="",I4137&lt;&gt;"ENTRADA"),"",TEXT(B4137,"AAMMDD")&amp;"-"&amp;TEXT(VALUE(SUBSTITUTE(A4137,"MOV-","")),"000"))</f>
        <v/>
      </c>
    </row>
    <row r="4138" spans="18:20">
      <c r="R4138" s="22" t="str">
        <f>IF(H4138="","",H4138&amp;I4138)</f>
        <v/>
      </c>
      <c r="S4138" s="22" t="str">
        <f>IF(C4138="","",C4138&amp;I4138)</f>
        <v/>
      </c>
      <c r="T4138" t="str">
        <f>IF(OR(C4138="",I4138&lt;&gt;"ENTRADA"),"",TEXT(B4138,"AAMMDD")&amp;"-"&amp;TEXT(VALUE(SUBSTITUTE(A4138,"MOV-","")),"000"))</f>
        <v/>
      </c>
    </row>
    <row r="4139" spans="18:20">
      <c r="R4139" s="22" t="str">
        <f>IF(H4139="","",H4139&amp;I4139)</f>
        <v/>
      </c>
      <c r="S4139" s="22" t="str">
        <f>IF(C4139="","",C4139&amp;I4139)</f>
        <v/>
      </c>
      <c r="T4139" t="str">
        <f>IF(OR(C4139="",I4139&lt;&gt;"ENTRADA"),"",TEXT(B4139,"AAMMDD")&amp;"-"&amp;TEXT(VALUE(SUBSTITUTE(A4139,"MOV-","")),"000"))</f>
        <v/>
      </c>
    </row>
    <row r="4140" spans="18:20">
      <c r="R4140" s="22" t="str">
        <f>IF(H4140="","",H4140&amp;I4140)</f>
        <v/>
      </c>
      <c r="S4140" s="22" t="str">
        <f>IF(C4140="","",C4140&amp;I4140)</f>
        <v/>
      </c>
      <c r="T4140" t="str">
        <f>IF(OR(C4140="",I4140&lt;&gt;"ENTRADA"),"",TEXT(B4140,"AAMMDD")&amp;"-"&amp;TEXT(VALUE(SUBSTITUTE(A4140,"MOV-","")),"000"))</f>
        <v/>
      </c>
    </row>
    <row r="4141" spans="18:20">
      <c r="R4141" s="22" t="str">
        <f>IF(H4141="","",H4141&amp;I4141)</f>
        <v/>
      </c>
      <c r="S4141" s="22" t="str">
        <f>IF(C4141="","",C4141&amp;I4141)</f>
        <v/>
      </c>
      <c r="T4141" t="str">
        <f>IF(OR(C4141="",I4141&lt;&gt;"ENTRADA"),"",TEXT(B4141,"AAMMDD")&amp;"-"&amp;TEXT(VALUE(SUBSTITUTE(A4141,"MOV-","")),"000"))</f>
        <v/>
      </c>
    </row>
    <row r="4142" spans="18:20">
      <c r="R4142" s="22" t="str">
        <f>IF(H4142="","",H4142&amp;I4142)</f>
        <v/>
      </c>
      <c r="S4142" s="22" t="str">
        <f>IF(C4142="","",C4142&amp;I4142)</f>
        <v/>
      </c>
      <c r="T4142" t="str">
        <f>IF(OR(C4142="",I4142&lt;&gt;"ENTRADA"),"",TEXT(B4142,"AAMMDD")&amp;"-"&amp;TEXT(VALUE(SUBSTITUTE(A4142,"MOV-","")),"000"))</f>
        <v/>
      </c>
    </row>
    <row r="4143" spans="18:20">
      <c r="R4143" s="22" t="str">
        <f>IF(H4143="","",H4143&amp;I4143)</f>
        <v/>
      </c>
      <c r="S4143" s="22" t="str">
        <f>IF(C4143="","",C4143&amp;I4143)</f>
        <v/>
      </c>
      <c r="T4143" t="str">
        <f>IF(OR(C4143="",I4143&lt;&gt;"ENTRADA"),"",TEXT(B4143,"AAMMDD")&amp;"-"&amp;TEXT(VALUE(SUBSTITUTE(A4143,"MOV-","")),"000"))</f>
        <v/>
      </c>
    </row>
    <row r="4144" spans="18:20">
      <c r="R4144" s="22" t="str">
        <f>IF(H4144="","",H4144&amp;I4144)</f>
        <v/>
      </c>
      <c r="S4144" s="22" t="str">
        <f>IF(C4144="","",C4144&amp;I4144)</f>
        <v/>
      </c>
      <c r="T4144" t="str">
        <f>IF(OR(C4144="",I4144&lt;&gt;"ENTRADA"),"",TEXT(B4144,"AAMMDD")&amp;"-"&amp;TEXT(VALUE(SUBSTITUTE(A4144,"MOV-","")),"000"))</f>
        <v/>
      </c>
    </row>
    <row r="4145" spans="18:20">
      <c r="R4145" s="22" t="str">
        <f>IF(H4145="","",H4145&amp;I4145)</f>
        <v/>
      </c>
      <c r="S4145" s="22" t="str">
        <f>IF(C4145="","",C4145&amp;I4145)</f>
        <v/>
      </c>
      <c r="T4145" t="str">
        <f>IF(OR(C4145="",I4145&lt;&gt;"ENTRADA"),"",TEXT(B4145,"AAMMDD")&amp;"-"&amp;TEXT(VALUE(SUBSTITUTE(A4145,"MOV-","")),"000"))</f>
        <v/>
      </c>
    </row>
    <row r="4146" spans="18:20">
      <c r="R4146" s="22" t="str">
        <f>IF(H4146="","",H4146&amp;I4146)</f>
        <v/>
      </c>
      <c r="S4146" s="22" t="str">
        <f>IF(C4146="","",C4146&amp;I4146)</f>
        <v/>
      </c>
      <c r="T4146" t="str">
        <f>IF(OR(C4146="",I4146&lt;&gt;"ENTRADA"),"",TEXT(B4146,"AAMMDD")&amp;"-"&amp;TEXT(VALUE(SUBSTITUTE(A4146,"MOV-","")),"000"))</f>
        <v/>
      </c>
    </row>
    <row r="4147" spans="18:20">
      <c r="R4147" s="22" t="str">
        <f>IF(H4147="","",H4147&amp;I4147)</f>
        <v/>
      </c>
      <c r="S4147" s="22" t="str">
        <f>IF(C4147="","",C4147&amp;I4147)</f>
        <v/>
      </c>
      <c r="T4147" t="str">
        <f>IF(OR(C4147="",I4147&lt;&gt;"ENTRADA"),"",TEXT(B4147,"AAMMDD")&amp;"-"&amp;TEXT(VALUE(SUBSTITUTE(A4147,"MOV-","")),"000"))</f>
        <v/>
      </c>
    </row>
    <row r="4148" spans="18:20">
      <c r="R4148" s="22" t="str">
        <f>IF(H4148="","",H4148&amp;I4148)</f>
        <v/>
      </c>
      <c r="S4148" s="22" t="str">
        <f>IF(C4148="","",C4148&amp;I4148)</f>
        <v/>
      </c>
      <c r="T4148" t="str">
        <f>IF(OR(C4148="",I4148&lt;&gt;"ENTRADA"),"",TEXT(B4148,"AAMMDD")&amp;"-"&amp;TEXT(VALUE(SUBSTITUTE(A4148,"MOV-","")),"000"))</f>
        <v/>
      </c>
    </row>
    <row r="4149" spans="18:20">
      <c r="R4149" s="22" t="str">
        <f>IF(H4149="","",H4149&amp;I4149)</f>
        <v/>
      </c>
      <c r="S4149" s="22" t="str">
        <f>IF(C4149="","",C4149&amp;I4149)</f>
        <v/>
      </c>
      <c r="T4149" t="str">
        <f>IF(OR(C4149="",I4149&lt;&gt;"ENTRADA"),"",TEXT(B4149,"AAMMDD")&amp;"-"&amp;TEXT(VALUE(SUBSTITUTE(A4149,"MOV-","")),"000"))</f>
        <v/>
      </c>
    </row>
    <row r="4150" spans="18:20">
      <c r="R4150" s="22" t="str">
        <f>IF(H4150="","",H4150&amp;I4150)</f>
        <v/>
      </c>
      <c r="S4150" s="22" t="str">
        <f>IF(C4150="","",C4150&amp;I4150)</f>
        <v/>
      </c>
      <c r="T4150" t="str">
        <f>IF(OR(C4150="",I4150&lt;&gt;"ENTRADA"),"",TEXT(B4150,"AAMMDD")&amp;"-"&amp;TEXT(VALUE(SUBSTITUTE(A4150,"MOV-","")),"000"))</f>
        <v/>
      </c>
    </row>
    <row r="4151" spans="18:20">
      <c r="R4151" s="22" t="str">
        <f>IF(H4151="","",H4151&amp;I4151)</f>
        <v/>
      </c>
      <c r="S4151" s="22" t="str">
        <f>IF(C4151="","",C4151&amp;I4151)</f>
        <v/>
      </c>
      <c r="T4151" t="str">
        <f>IF(OR(C4151="",I4151&lt;&gt;"ENTRADA"),"",TEXT(B4151,"AAMMDD")&amp;"-"&amp;TEXT(VALUE(SUBSTITUTE(A4151,"MOV-","")),"000"))</f>
        <v/>
      </c>
    </row>
    <row r="4152" spans="18:20">
      <c r="R4152" s="22" t="str">
        <f>IF(H4152="","",H4152&amp;I4152)</f>
        <v/>
      </c>
      <c r="S4152" s="22" t="str">
        <f>IF(C4152="","",C4152&amp;I4152)</f>
        <v/>
      </c>
      <c r="T4152" t="str">
        <f>IF(OR(C4152="",I4152&lt;&gt;"ENTRADA"),"",TEXT(B4152,"AAMMDD")&amp;"-"&amp;TEXT(VALUE(SUBSTITUTE(A4152,"MOV-","")),"000"))</f>
        <v/>
      </c>
    </row>
    <row r="4153" spans="18:20">
      <c r="R4153" s="22" t="str">
        <f>IF(H4153="","",H4153&amp;I4153)</f>
        <v/>
      </c>
      <c r="S4153" s="22" t="str">
        <f>IF(C4153="","",C4153&amp;I4153)</f>
        <v/>
      </c>
      <c r="T4153" t="str">
        <f>IF(OR(C4153="",I4153&lt;&gt;"ENTRADA"),"",TEXT(B4153,"AAMMDD")&amp;"-"&amp;TEXT(VALUE(SUBSTITUTE(A4153,"MOV-","")),"000"))</f>
        <v/>
      </c>
    </row>
    <row r="4154" spans="18:20">
      <c r="R4154" s="22" t="str">
        <f>IF(H4154="","",H4154&amp;I4154)</f>
        <v/>
      </c>
      <c r="S4154" s="22" t="str">
        <f>IF(C4154="","",C4154&amp;I4154)</f>
        <v/>
      </c>
      <c r="T4154" t="str">
        <f>IF(OR(C4154="",I4154&lt;&gt;"ENTRADA"),"",TEXT(B4154,"AAMMDD")&amp;"-"&amp;TEXT(VALUE(SUBSTITUTE(A4154,"MOV-","")),"000"))</f>
        <v/>
      </c>
    </row>
    <row r="4155" spans="18:20">
      <c r="R4155" s="22" t="str">
        <f>IF(H4155="","",H4155&amp;I4155)</f>
        <v/>
      </c>
      <c r="S4155" s="22" t="str">
        <f>IF(C4155="","",C4155&amp;I4155)</f>
        <v/>
      </c>
      <c r="T4155" t="str">
        <f>IF(OR(C4155="",I4155&lt;&gt;"ENTRADA"),"",TEXT(B4155,"AAMMDD")&amp;"-"&amp;TEXT(VALUE(SUBSTITUTE(A4155,"MOV-","")),"000"))</f>
        <v/>
      </c>
    </row>
    <row r="4156" spans="18:20">
      <c r="R4156" s="22" t="str">
        <f>IF(H4156="","",H4156&amp;I4156)</f>
        <v/>
      </c>
      <c r="S4156" s="22" t="str">
        <f>IF(C4156="","",C4156&amp;I4156)</f>
        <v/>
      </c>
      <c r="T4156" t="str">
        <f>IF(OR(C4156="",I4156&lt;&gt;"ENTRADA"),"",TEXT(B4156,"AAMMDD")&amp;"-"&amp;TEXT(VALUE(SUBSTITUTE(A4156,"MOV-","")),"000"))</f>
        <v/>
      </c>
    </row>
    <row r="4157" spans="18:20">
      <c r="R4157" s="22" t="str">
        <f>IF(H4157="","",H4157&amp;I4157)</f>
        <v/>
      </c>
      <c r="S4157" s="22" t="str">
        <f>IF(C4157="","",C4157&amp;I4157)</f>
        <v/>
      </c>
      <c r="T4157" t="str">
        <f>IF(OR(C4157="",I4157&lt;&gt;"ENTRADA"),"",TEXT(B4157,"AAMMDD")&amp;"-"&amp;TEXT(VALUE(SUBSTITUTE(A4157,"MOV-","")),"000"))</f>
        <v/>
      </c>
    </row>
    <row r="4158" spans="18:20">
      <c r="R4158" s="22" t="str">
        <f>IF(H4158="","",H4158&amp;I4158)</f>
        <v/>
      </c>
      <c r="S4158" s="22" t="str">
        <f>IF(C4158="","",C4158&amp;I4158)</f>
        <v/>
      </c>
      <c r="T4158" t="str">
        <f>IF(OR(C4158="",I4158&lt;&gt;"ENTRADA"),"",TEXT(B4158,"AAMMDD")&amp;"-"&amp;TEXT(VALUE(SUBSTITUTE(A4158,"MOV-","")),"000"))</f>
        <v/>
      </c>
    </row>
    <row r="4159" spans="18:20">
      <c r="R4159" s="22" t="str">
        <f>IF(H4159="","",H4159&amp;I4159)</f>
        <v/>
      </c>
      <c r="S4159" s="22" t="str">
        <f>IF(C4159="","",C4159&amp;I4159)</f>
        <v/>
      </c>
      <c r="T4159" t="str">
        <f>IF(OR(C4159="",I4159&lt;&gt;"ENTRADA"),"",TEXT(B4159,"AAMMDD")&amp;"-"&amp;TEXT(VALUE(SUBSTITUTE(A4159,"MOV-","")),"000"))</f>
        <v/>
      </c>
    </row>
    <row r="4160" spans="18:20">
      <c r="R4160" s="22" t="str">
        <f>IF(H4160="","",H4160&amp;I4160)</f>
        <v/>
      </c>
      <c r="S4160" s="22" t="str">
        <f>IF(C4160="","",C4160&amp;I4160)</f>
        <v/>
      </c>
      <c r="T4160" t="str">
        <f>IF(OR(C4160="",I4160&lt;&gt;"ENTRADA"),"",TEXT(B4160,"AAMMDD")&amp;"-"&amp;TEXT(VALUE(SUBSTITUTE(A4160,"MOV-","")),"000"))</f>
        <v/>
      </c>
    </row>
    <row r="4161" spans="18:20">
      <c r="R4161" s="22" t="str">
        <f>IF(H4161="","",H4161&amp;I4161)</f>
        <v/>
      </c>
      <c r="S4161" s="22" t="str">
        <f>IF(C4161="","",C4161&amp;I4161)</f>
        <v/>
      </c>
      <c r="T4161" t="str">
        <f>IF(OR(C4161="",I4161&lt;&gt;"ENTRADA"),"",TEXT(B4161,"AAMMDD")&amp;"-"&amp;TEXT(VALUE(SUBSTITUTE(A4161,"MOV-","")),"000"))</f>
        <v/>
      </c>
    </row>
    <row r="4162" spans="18:20">
      <c r="R4162" s="22" t="str">
        <f>IF(H4162="","",H4162&amp;I4162)</f>
        <v/>
      </c>
      <c r="S4162" s="22" t="str">
        <f>IF(C4162="","",C4162&amp;I4162)</f>
        <v/>
      </c>
      <c r="T4162" t="str">
        <f>IF(OR(C4162="",I4162&lt;&gt;"ENTRADA"),"",TEXT(B4162,"AAMMDD")&amp;"-"&amp;TEXT(VALUE(SUBSTITUTE(A4162,"MOV-","")),"000"))</f>
        <v/>
      </c>
    </row>
    <row r="4163" spans="18:20">
      <c r="R4163" s="22" t="str">
        <f>IF(H4163="","",H4163&amp;I4163)</f>
        <v/>
      </c>
      <c r="S4163" s="22" t="str">
        <f>IF(C4163="","",C4163&amp;I4163)</f>
        <v/>
      </c>
      <c r="T4163" t="str">
        <f>IF(OR(C4163="",I4163&lt;&gt;"ENTRADA"),"",TEXT(B4163,"AAMMDD")&amp;"-"&amp;TEXT(VALUE(SUBSTITUTE(A4163,"MOV-","")),"000"))</f>
        <v/>
      </c>
    </row>
    <row r="4164" spans="18:20">
      <c r="R4164" s="22" t="str">
        <f>IF(H4164="","",H4164&amp;I4164)</f>
        <v/>
      </c>
      <c r="S4164" s="22" t="str">
        <f>IF(C4164="","",C4164&amp;I4164)</f>
        <v/>
      </c>
      <c r="T4164" t="str">
        <f>IF(OR(C4164="",I4164&lt;&gt;"ENTRADA"),"",TEXT(B4164,"AAMMDD")&amp;"-"&amp;TEXT(VALUE(SUBSTITUTE(A4164,"MOV-","")),"000"))</f>
        <v/>
      </c>
    </row>
    <row r="4165" spans="18:20">
      <c r="R4165" s="22" t="str">
        <f>IF(H4165="","",H4165&amp;I4165)</f>
        <v/>
      </c>
      <c r="S4165" s="22" t="str">
        <f>IF(C4165="","",C4165&amp;I4165)</f>
        <v/>
      </c>
      <c r="T4165" t="str">
        <f>IF(OR(C4165="",I4165&lt;&gt;"ENTRADA"),"",TEXT(B4165,"AAMMDD")&amp;"-"&amp;TEXT(VALUE(SUBSTITUTE(A4165,"MOV-","")),"000"))</f>
        <v/>
      </c>
    </row>
    <row r="4166" spans="18:20">
      <c r="R4166" s="22" t="str">
        <f>IF(H4166="","",H4166&amp;I4166)</f>
        <v/>
      </c>
      <c r="S4166" s="22" t="str">
        <f>IF(C4166="","",C4166&amp;I4166)</f>
        <v/>
      </c>
      <c r="T4166" t="str">
        <f>IF(OR(C4166="",I4166&lt;&gt;"ENTRADA"),"",TEXT(B4166,"AAMMDD")&amp;"-"&amp;TEXT(VALUE(SUBSTITUTE(A4166,"MOV-","")),"000"))</f>
        <v/>
      </c>
    </row>
    <row r="4167" spans="18:20">
      <c r="R4167" s="22" t="str">
        <f>IF(H4167="","",H4167&amp;I4167)</f>
        <v/>
      </c>
      <c r="S4167" s="22" t="str">
        <f>IF(C4167="","",C4167&amp;I4167)</f>
        <v/>
      </c>
      <c r="T4167" t="str">
        <f>IF(OR(C4167="",I4167&lt;&gt;"ENTRADA"),"",TEXT(B4167,"AAMMDD")&amp;"-"&amp;TEXT(VALUE(SUBSTITUTE(A4167,"MOV-","")),"000"))</f>
        <v/>
      </c>
    </row>
    <row r="4168" spans="18:20">
      <c r="R4168" s="22" t="str">
        <f>IF(H4168="","",H4168&amp;I4168)</f>
        <v/>
      </c>
      <c r="S4168" s="22" t="str">
        <f>IF(C4168="","",C4168&amp;I4168)</f>
        <v/>
      </c>
      <c r="T4168" t="str">
        <f>IF(OR(C4168="",I4168&lt;&gt;"ENTRADA"),"",TEXT(B4168,"AAMMDD")&amp;"-"&amp;TEXT(VALUE(SUBSTITUTE(A4168,"MOV-","")),"000"))</f>
        <v/>
      </c>
    </row>
    <row r="4169" spans="18:20">
      <c r="R4169" s="22" t="str">
        <f>IF(H4169="","",H4169&amp;I4169)</f>
        <v/>
      </c>
      <c r="S4169" s="22" t="str">
        <f>IF(C4169="","",C4169&amp;I4169)</f>
        <v/>
      </c>
      <c r="T4169" t="str">
        <f>IF(OR(C4169="",I4169&lt;&gt;"ENTRADA"),"",TEXT(B4169,"AAMMDD")&amp;"-"&amp;TEXT(VALUE(SUBSTITUTE(A4169,"MOV-","")),"000"))</f>
        <v/>
      </c>
    </row>
    <row r="4170" spans="18:20">
      <c r="R4170" s="22" t="str">
        <f>IF(H4170="","",H4170&amp;I4170)</f>
        <v/>
      </c>
      <c r="S4170" s="22" t="str">
        <f>IF(C4170="","",C4170&amp;I4170)</f>
        <v/>
      </c>
      <c r="T4170" t="str">
        <f>IF(OR(C4170="",I4170&lt;&gt;"ENTRADA"),"",TEXT(B4170,"AAMMDD")&amp;"-"&amp;TEXT(VALUE(SUBSTITUTE(A4170,"MOV-","")),"000"))</f>
        <v/>
      </c>
    </row>
    <row r="4171" spans="18:20">
      <c r="R4171" s="22" t="str">
        <f>IF(H4171="","",H4171&amp;I4171)</f>
        <v/>
      </c>
      <c r="S4171" s="22" t="str">
        <f>IF(C4171="","",C4171&amp;I4171)</f>
        <v/>
      </c>
      <c r="T4171" t="str">
        <f>IF(OR(C4171="",I4171&lt;&gt;"ENTRADA"),"",TEXT(B4171,"AAMMDD")&amp;"-"&amp;TEXT(VALUE(SUBSTITUTE(A4171,"MOV-","")),"000"))</f>
        <v/>
      </c>
    </row>
    <row r="4172" spans="18:20">
      <c r="R4172" s="22" t="str">
        <f>IF(H4172="","",H4172&amp;I4172)</f>
        <v/>
      </c>
      <c r="S4172" s="22" t="str">
        <f>IF(C4172="","",C4172&amp;I4172)</f>
        <v/>
      </c>
      <c r="T4172" t="str">
        <f>IF(OR(C4172="",I4172&lt;&gt;"ENTRADA"),"",TEXT(B4172,"AAMMDD")&amp;"-"&amp;TEXT(VALUE(SUBSTITUTE(A4172,"MOV-","")),"000"))</f>
        <v/>
      </c>
    </row>
    <row r="4173" spans="18:20">
      <c r="R4173" s="22" t="str">
        <f>IF(H4173="","",H4173&amp;I4173)</f>
        <v/>
      </c>
      <c r="S4173" s="22" t="str">
        <f>IF(C4173="","",C4173&amp;I4173)</f>
        <v/>
      </c>
      <c r="T4173" t="str">
        <f>IF(OR(C4173="",I4173&lt;&gt;"ENTRADA"),"",TEXT(B4173,"AAMMDD")&amp;"-"&amp;TEXT(VALUE(SUBSTITUTE(A4173,"MOV-","")),"000"))</f>
        <v/>
      </c>
    </row>
    <row r="4174" spans="18:20">
      <c r="R4174" s="22" t="str">
        <f>IF(H4174="","",H4174&amp;I4174)</f>
        <v/>
      </c>
      <c r="S4174" s="22" t="str">
        <f>IF(C4174="","",C4174&amp;I4174)</f>
        <v/>
      </c>
      <c r="T4174" t="str">
        <f>IF(OR(C4174="",I4174&lt;&gt;"ENTRADA"),"",TEXT(B4174,"AAMMDD")&amp;"-"&amp;TEXT(VALUE(SUBSTITUTE(A4174,"MOV-","")),"000"))</f>
        <v/>
      </c>
    </row>
    <row r="4175" spans="18:20">
      <c r="R4175" s="22" t="str">
        <f>IF(H4175="","",H4175&amp;I4175)</f>
        <v/>
      </c>
      <c r="S4175" s="22" t="str">
        <f>IF(C4175="","",C4175&amp;I4175)</f>
        <v/>
      </c>
      <c r="T4175" t="str">
        <f>IF(OR(C4175="",I4175&lt;&gt;"ENTRADA"),"",TEXT(B4175,"AAMMDD")&amp;"-"&amp;TEXT(VALUE(SUBSTITUTE(A4175,"MOV-","")),"000"))</f>
        <v/>
      </c>
    </row>
    <row r="4176" spans="18:20">
      <c r="R4176" s="22" t="str">
        <f>IF(H4176="","",H4176&amp;I4176)</f>
        <v/>
      </c>
      <c r="S4176" s="22" t="str">
        <f>IF(C4176="","",C4176&amp;I4176)</f>
        <v/>
      </c>
      <c r="T4176" t="str">
        <f>IF(OR(C4176="",I4176&lt;&gt;"ENTRADA"),"",TEXT(B4176,"AAMMDD")&amp;"-"&amp;TEXT(VALUE(SUBSTITUTE(A4176,"MOV-","")),"000"))</f>
        <v/>
      </c>
    </row>
    <row r="4177" spans="18:20">
      <c r="R4177" s="22" t="str">
        <f>IF(H4177="","",H4177&amp;I4177)</f>
        <v/>
      </c>
      <c r="S4177" s="22" t="str">
        <f>IF(C4177="","",C4177&amp;I4177)</f>
        <v/>
      </c>
      <c r="T4177" t="str">
        <f>IF(OR(C4177="",I4177&lt;&gt;"ENTRADA"),"",TEXT(B4177,"AAMMDD")&amp;"-"&amp;TEXT(VALUE(SUBSTITUTE(A4177,"MOV-","")),"000"))</f>
        <v/>
      </c>
    </row>
    <row r="4178" spans="18:20">
      <c r="R4178" s="22" t="str">
        <f>IF(H4178="","",H4178&amp;I4178)</f>
        <v/>
      </c>
      <c r="S4178" s="22" t="str">
        <f>IF(C4178="","",C4178&amp;I4178)</f>
        <v/>
      </c>
      <c r="T4178" t="str">
        <f>IF(OR(C4178="",I4178&lt;&gt;"ENTRADA"),"",TEXT(B4178,"AAMMDD")&amp;"-"&amp;TEXT(VALUE(SUBSTITUTE(A4178,"MOV-","")),"000"))</f>
        <v/>
      </c>
    </row>
    <row r="4179" spans="18:20">
      <c r="R4179" s="22" t="str">
        <f>IF(H4179="","",H4179&amp;I4179)</f>
        <v/>
      </c>
      <c r="S4179" s="22" t="str">
        <f>IF(C4179="","",C4179&amp;I4179)</f>
        <v/>
      </c>
      <c r="T4179" t="str">
        <f>IF(OR(C4179="",I4179&lt;&gt;"ENTRADA"),"",TEXT(B4179,"AAMMDD")&amp;"-"&amp;TEXT(VALUE(SUBSTITUTE(A4179,"MOV-","")),"000"))</f>
        <v/>
      </c>
    </row>
    <row r="4180" spans="18:20">
      <c r="R4180" s="22" t="str">
        <f>IF(H4180="","",H4180&amp;I4180)</f>
        <v/>
      </c>
      <c r="S4180" s="22" t="str">
        <f>IF(C4180="","",C4180&amp;I4180)</f>
        <v/>
      </c>
      <c r="T4180" t="str">
        <f>IF(OR(C4180="",I4180&lt;&gt;"ENTRADA"),"",TEXT(B4180,"AAMMDD")&amp;"-"&amp;TEXT(VALUE(SUBSTITUTE(A4180,"MOV-","")),"000"))</f>
        <v/>
      </c>
    </row>
    <row r="4181" spans="18:20">
      <c r="R4181" s="22" t="str">
        <f>IF(H4181="","",H4181&amp;I4181)</f>
        <v/>
      </c>
      <c r="S4181" s="22" t="str">
        <f>IF(C4181="","",C4181&amp;I4181)</f>
        <v/>
      </c>
      <c r="T4181" t="str">
        <f>IF(OR(C4181="",I4181&lt;&gt;"ENTRADA"),"",TEXT(B4181,"AAMMDD")&amp;"-"&amp;TEXT(VALUE(SUBSTITUTE(A4181,"MOV-","")),"000"))</f>
        <v/>
      </c>
    </row>
    <row r="4182" spans="18:20">
      <c r="R4182" s="22" t="str">
        <f>IF(H4182="","",H4182&amp;I4182)</f>
        <v/>
      </c>
      <c r="S4182" s="22" t="str">
        <f>IF(C4182="","",C4182&amp;I4182)</f>
        <v/>
      </c>
      <c r="T4182" t="str">
        <f>IF(OR(C4182="",I4182&lt;&gt;"ENTRADA"),"",TEXT(B4182,"AAMMDD")&amp;"-"&amp;TEXT(VALUE(SUBSTITUTE(A4182,"MOV-","")),"000"))</f>
        <v/>
      </c>
    </row>
    <row r="4183" spans="18:20">
      <c r="R4183" s="22" t="str">
        <f>IF(H4183="","",H4183&amp;I4183)</f>
        <v/>
      </c>
      <c r="S4183" s="22" t="str">
        <f>IF(C4183="","",C4183&amp;I4183)</f>
        <v/>
      </c>
      <c r="T4183" t="str">
        <f>IF(OR(C4183="",I4183&lt;&gt;"ENTRADA"),"",TEXT(B4183,"AAMMDD")&amp;"-"&amp;TEXT(VALUE(SUBSTITUTE(A4183,"MOV-","")),"000"))</f>
        <v/>
      </c>
    </row>
    <row r="4184" spans="18:20">
      <c r="R4184" s="22" t="str">
        <f>IF(H4184="","",H4184&amp;I4184)</f>
        <v/>
      </c>
      <c r="S4184" s="22" t="str">
        <f>IF(C4184="","",C4184&amp;I4184)</f>
        <v/>
      </c>
      <c r="T4184" t="str">
        <f>IF(OR(C4184="",I4184&lt;&gt;"ENTRADA"),"",TEXT(B4184,"AAMMDD")&amp;"-"&amp;TEXT(VALUE(SUBSTITUTE(A4184,"MOV-","")),"000"))</f>
        <v/>
      </c>
    </row>
    <row r="4185" spans="18:20">
      <c r="R4185" s="22" t="str">
        <f>IF(H4185="","",H4185&amp;I4185)</f>
        <v/>
      </c>
      <c r="S4185" s="22" t="str">
        <f>IF(C4185="","",C4185&amp;I4185)</f>
        <v/>
      </c>
      <c r="T4185" t="str">
        <f>IF(OR(C4185="",I4185&lt;&gt;"ENTRADA"),"",TEXT(B4185,"AAMMDD")&amp;"-"&amp;TEXT(VALUE(SUBSTITUTE(A4185,"MOV-","")),"000"))</f>
        <v/>
      </c>
    </row>
    <row r="4186" spans="18:20">
      <c r="R4186" s="22" t="str">
        <f>IF(H4186="","",H4186&amp;I4186)</f>
        <v/>
      </c>
      <c r="S4186" s="22" t="str">
        <f>IF(C4186="","",C4186&amp;I4186)</f>
        <v/>
      </c>
      <c r="T4186" t="str">
        <f>IF(OR(C4186="",I4186&lt;&gt;"ENTRADA"),"",TEXT(B4186,"AAMMDD")&amp;"-"&amp;TEXT(VALUE(SUBSTITUTE(A4186,"MOV-","")),"000"))</f>
        <v/>
      </c>
    </row>
    <row r="4187" spans="18:20">
      <c r="R4187" s="22" t="str">
        <f>IF(H4187="","",H4187&amp;I4187)</f>
        <v/>
      </c>
      <c r="S4187" s="22" t="str">
        <f>IF(C4187="","",C4187&amp;I4187)</f>
        <v/>
      </c>
      <c r="T4187" t="str">
        <f>IF(OR(C4187="",I4187&lt;&gt;"ENTRADA"),"",TEXT(B4187,"AAMMDD")&amp;"-"&amp;TEXT(VALUE(SUBSTITUTE(A4187,"MOV-","")),"000"))</f>
        <v/>
      </c>
    </row>
    <row r="4188" spans="18:20">
      <c r="R4188" s="22" t="str">
        <f>IF(H4188="","",H4188&amp;I4188)</f>
        <v/>
      </c>
      <c r="S4188" s="22" t="str">
        <f>IF(C4188="","",C4188&amp;I4188)</f>
        <v/>
      </c>
      <c r="T4188" t="str">
        <f>IF(OR(C4188="",I4188&lt;&gt;"ENTRADA"),"",TEXT(B4188,"AAMMDD")&amp;"-"&amp;TEXT(VALUE(SUBSTITUTE(A4188,"MOV-","")),"000"))</f>
        <v/>
      </c>
    </row>
    <row r="4189" spans="18:20">
      <c r="R4189" s="22" t="str">
        <f>IF(H4189="","",H4189&amp;I4189)</f>
        <v/>
      </c>
      <c r="S4189" s="22" t="str">
        <f>IF(C4189="","",C4189&amp;I4189)</f>
        <v/>
      </c>
      <c r="T4189" t="str">
        <f>IF(OR(C4189="",I4189&lt;&gt;"ENTRADA"),"",TEXT(B4189,"AAMMDD")&amp;"-"&amp;TEXT(VALUE(SUBSTITUTE(A4189,"MOV-","")),"000"))</f>
        <v/>
      </c>
    </row>
    <row r="4190" spans="18:20">
      <c r="R4190" s="22" t="str">
        <f>IF(H4190="","",H4190&amp;I4190)</f>
        <v/>
      </c>
      <c r="S4190" s="22" t="str">
        <f>IF(C4190="","",C4190&amp;I4190)</f>
        <v/>
      </c>
      <c r="T4190" t="str">
        <f>IF(OR(C4190="",I4190&lt;&gt;"ENTRADA"),"",TEXT(B4190,"AAMMDD")&amp;"-"&amp;TEXT(VALUE(SUBSTITUTE(A4190,"MOV-","")),"000"))</f>
        <v/>
      </c>
    </row>
    <row r="4191" spans="18:20">
      <c r="R4191" s="22" t="str">
        <f>IF(H4191="","",H4191&amp;I4191)</f>
        <v/>
      </c>
      <c r="S4191" s="22" t="str">
        <f>IF(C4191="","",C4191&amp;I4191)</f>
        <v/>
      </c>
      <c r="T4191" t="str">
        <f>IF(OR(C4191="",I4191&lt;&gt;"ENTRADA"),"",TEXT(B4191,"AAMMDD")&amp;"-"&amp;TEXT(VALUE(SUBSTITUTE(A4191,"MOV-","")),"000"))</f>
        <v/>
      </c>
    </row>
    <row r="4192" spans="18:20">
      <c r="R4192" s="22" t="str">
        <f>IF(H4192="","",H4192&amp;I4192)</f>
        <v/>
      </c>
      <c r="S4192" s="22" t="str">
        <f>IF(C4192="","",C4192&amp;I4192)</f>
        <v/>
      </c>
      <c r="T4192" t="str">
        <f>IF(OR(C4192="",I4192&lt;&gt;"ENTRADA"),"",TEXT(B4192,"AAMMDD")&amp;"-"&amp;TEXT(VALUE(SUBSTITUTE(A4192,"MOV-","")),"000"))</f>
        <v/>
      </c>
    </row>
    <row r="4193" spans="18:20">
      <c r="R4193" s="22" t="str">
        <f>IF(H4193="","",H4193&amp;I4193)</f>
        <v/>
      </c>
      <c r="S4193" s="22" t="str">
        <f>IF(C4193="","",C4193&amp;I4193)</f>
        <v/>
      </c>
      <c r="T4193" t="str">
        <f>IF(OR(C4193="",I4193&lt;&gt;"ENTRADA"),"",TEXT(B4193,"AAMMDD")&amp;"-"&amp;TEXT(VALUE(SUBSTITUTE(A4193,"MOV-","")),"000"))</f>
        <v/>
      </c>
    </row>
    <row r="4194" spans="18:20">
      <c r="R4194" s="22" t="str">
        <f>IF(H4194="","",H4194&amp;I4194)</f>
        <v/>
      </c>
      <c r="S4194" s="22" t="str">
        <f>IF(C4194="","",C4194&amp;I4194)</f>
        <v/>
      </c>
      <c r="T4194" t="str">
        <f>IF(OR(C4194="",I4194&lt;&gt;"ENTRADA"),"",TEXT(B4194,"AAMMDD")&amp;"-"&amp;TEXT(VALUE(SUBSTITUTE(A4194,"MOV-","")),"000"))</f>
        <v/>
      </c>
    </row>
    <row r="4195" spans="18:20">
      <c r="R4195" s="22" t="str">
        <f>IF(H4195="","",H4195&amp;I4195)</f>
        <v/>
      </c>
      <c r="S4195" s="22" t="str">
        <f>IF(C4195="","",C4195&amp;I4195)</f>
        <v/>
      </c>
      <c r="T4195" t="str">
        <f>IF(OR(C4195="",I4195&lt;&gt;"ENTRADA"),"",TEXT(B4195,"AAMMDD")&amp;"-"&amp;TEXT(VALUE(SUBSTITUTE(A4195,"MOV-","")),"000"))</f>
        <v/>
      </c>
    </row>
    <row r="4196" spans="18:20">
      <c r="R4196" s="22" t="str">
        <f>IF(H4196="","",H4196&amp;I4196)</f>
        <v/>
      </c>
      <c r="S4196" s="22" t="str">
        <f>IF(C4196="","",C4196&amp;I4196)</f>
        <v/>
      </c>
      <c r="T4196" t="str">
        <f>IF(OR(C4196="",I4196&lt;&gt;"ENTRADA"),"",TEXT(B4196,"AAMMDD")&amp;"-"&amp;TEXT(VALUE(SUBSTITUTE(A4196,"MOV-","")),"000"))</f>
        <v/>
      </c>
    </row>
    <row r="4197" spans="18:20">
      <c r="R4197" s="22" t="str">
        <f>IF(H4197="","",H4197&amp;I4197)</f>
        <v/>
      </c>
      <c r="S4197" s="22" t="str">
        <f>IF(C4197="","",C4197&amp;I4197)</f>
        <v/>
      </c>
      <c r="T4197" t="str">
        <f>IF(OR(C4197="",I4197&lt;&gt;"ENTRADA"),"",TEXT(B4197,"AAMMDD")&amp;"-"&amp;TEXT(VALUE(SUBSTITUTE(A4197,"MOV-","")),"000"))</f>
        <v/>
      </c>
    </row>
    <row r="4198" spans="18:20">
      <c r="R4198" s="22" t="str">
        <f>IF(H4198="","",H4198&amp;I4198)</f>
        <v/>
      </c>
      <c r="S4198" s="22" t="str">
        <f>IF(C4198="","",C4198&amp;I4198)</f>
        <v/>
      </c>
      <c r="T4198" t="str">
        <f>IF(OR(C4198="",I4198&lt;&gt;"ENTRADA"),"",TEXT(B4198,"AAMMDD")&amp;"-"&amp;TEXT(VALUE(SUBSTITUTE(A4198,"MOV-","")),"000"))</f>
        <v/>
      </c>
    </row>
    <row r="4199" spans="18:20">
      <c r="R4199" s="22" t="str">
        <f>IF(H4199="","",H4199&amp;I4199)</f>
        <v/>
      </c>
      <c r="S4199" s="22" t="str">
        <f>IF(C4199="","",C4199&amp;I4199)</f>
        <v/>
      </c>
      <c r="T4199" t="str">
        <f>IF(OR(C4199="",I4199&lt;&gt;"ENTRADA"),"",TEXT(B4199,"AAMMDD")&amp;"-"&amp;TEXT(VALUE(SUBSTITUTE(A4199,"MOV-","")),"000"))</f>
        <v/>
      </c>
    </row>
    <row r="4200" spans="18:20">
      <c r="R4200" s="22" t="str">
        <f>IF(H4200="","",H4200&amp;I4200)</f>
        <v/>
      </c>
      <c r="S4200" s="22" t="str">
        <f>IF(C4200="","",C4200&amp;I4200)</f>
        <v/>
      </c>
      <c r="T4200" t="str">
        <f>IF(OR(C4200="",I4200&lt;&gt;"ENTRADA"),"",TEXT(B4200,"AAMMDD")&amp;"-"&amp;TEXT(VALUE(SUBSTITUTE(A4200,"MOV-","")),"000"))</f>
        <v/>
      </c>
    </row>
    <row r="4201" spans="18:20">
      <c r="R4201" s="22" t="str">
        <f>IF(H4201="","",H4201&amp;I4201)</f>
        <v/>
      </c>
      <c r="S4201" s="22" t="str">
        <f>IF(C4201="","",C4201&amp;I4201)</f>
        <v/>
      </c>
      <c r="T4201" t="str">
        <f>IF(OR(C4201="",I4201&lt;&gt;"ENTRADA"),"",TEXT(B4201,"AAMMDD")&amp;"-"&amp;TEXT(VALUE(SUBSTITUTE(A4201,"MOV-","")),"000"))</f>
        <v/>
      </c>
    </row>
    <row r="4202" spans="18:20">
      <c r="R4202" s="22" t="str">
        <f>IF(H4202="","",H4202&amp;I4202)</f>
        <v/>
      </c>
      <c r="S4202" s="22" t="str">
        <f>IF(C4202="","",C4202&amp;I4202)</f>
        <v/>
      </c>
      <c r="T4202" t="str">
        <f>IF(OR(C4202="",I4202&lt;&gt;"ENTRADA"),"",TEXT(B4202,"AAMMDD")&amp;"-"&amp;TEXT(VALUE(SUBSTITUTE(A4202,"MOV-","")),"000"))</f>
        <v/>
      </c>
    </row>
    <row r="4203" spans="18:20">
      <c r="R4203" s="22" t="str">
        <f>IF(H4203="","",H4203&amp;I4203)</f>
        <v/>
      </c>
      <c r="S4203" s="22" t="str">
        <f>IF(C4203="","",C4203&amp;I4203)</f>
        <v/>
      </c>
      <c r="T4203" t="str">
        <f>IF(OR(C4203="",I4203&lt;&gt;"ENTRADA"),"",TEXT(B4203,"AAMMDD")&amp;"-"&amp;TEXT(VALUE(SUBSTITUTE(A4203,"MOV-","")),"000"))</f>
        <v/>
      </c>
    </row>
    <row r="4204" spans="18:20">
      <c r="R4204" s="22" t="str">
        <f>IF(H4204="","",H4204&amp;I4204)</f>
        <v/>
      </c>
      <c r="S4204" s="22" t="str">
        <f>IF(C4204="","",C4204&amp;I4204)</f>
        <v/>
      </c>
      <c r="T4204" t="str">
        <f>IF(OR(C4204="",I4204&lt;&gt;"ENTRADA"),"",TEXT(B4204,"AAMMDD")&amp;"-"&amp;TEXT(VALUE(SUBSTITUTE(A4204,"MOV-","")),"000"))</f>
        <v/>
      </c>
    </row>
    <row r="4205" spans="18:20">
      <c r="R4205" s="22" t="str">
        <f>IF(H4205="","",H4205&amp;I4205)</f>
        <v/>
      </c>
      <c r="S4205" s="22" t="str">
        <f>IF(C4205="","",C4205&amp;I4205)</f>
        <v/>
      </c>
      <c r="T4205" t="str">
        <f>IF(OR(C4205="",I4205&lt;&gt;"ENTRADA"),"",TEXT(B4205,"AAMMDD")&amp;"-"&amp;TEXT(VALUE(SUBSTITUTE(A4205,"MOV-","")),"000"))</f>
        <v/>
      </c>
    </row>
    <row r="4206" spans="18:20">
      <c r="R4206" s="22" t="str">
        <f>IF(H4206="","",H4206&amp;I4206)</f>
        <v/>
      </c>
      <c r="S4206" s="22" t="str">
        <f>IF(C4206="","",C4206&amp;I4206)</f>
        <v/>
      </c>
      <c r="T4206" t="str">
        <f>IF(OR(C4206="",I4206&lt;&gt;"ENTRADA"),"",TEXT(B4206,"AAMMDD")&amp;"-"&amp;TEXT(VALUE(SUBSTITUTE(A4206,"MOV-","")),"000"))</f>
        <v/>
      </c>
    </row>
    <row r="4207" spans="18:20">
      <c r="R4207" s="22" t="str">
        <f>IF(H4207="","",H4207&amp;I4207)</f>
        <v/>
      </c>
      <c r="S4207" s="22" t="str">
        <f>IF(C4207="","",C4207&amp;I4207)</f>
        <v/>
      </c>
      <c r="T4207" t="str">
        <f>IF(OR(C4207="",I4207&lt;&gt;"ENTRADA"),"",TEXT(B4207,"AAMMDD")&amp;"-"&amp;TEXT(VALUE(SUBSTITUTE(A4207,"MOV-","")),"000"))</f>
        <v/>
      </c>
    </row>
    <row r="4208" spans="18:20">
      <c r="R4208" s="22" t="str">
        <f>IF(H4208="","",H4208&amp;I4208)</f>
        <v/>
      </c>
      <c r="S4208" s="22" t="str">
        <f>IF(C4208="","",C4208&amp;I4208)</f>
        <v/>
      </c>
      <c r="T4208" t="str">
        <f>IF(OR(C4208="",I4208&lt;&gt;"ENTRADA"),"",TEXT(B4208,"AAMMDD")&amp;"-"&amp;TEXT(VALUE(SUBSTITUTE(A4208,"MOV-","")),"000"))</f>
        <v/>
      </c>
    </row>
    <row r="4209" spans="18:20">
      <c r="R4209" s="22" t="str">
        <f>IF(H4209="","",H4209&amp;I4209)</f>
        <v/>
      </c>
      <c r="S4209" s="22" t="str">
        <f>IF(C4209="","",C4209&amp;I4209)</f>
        <v/>
      </c>
      <c r="T4209" t="str">
        <f>IF(OR(C4209="",I4209&lt;&gt;"ENTRADA"),"",TEXT(B4209,"AAMMDD")&amp;"-"&amp;TEXT(VALUE(SUBSTITUTE(A4209,"MOV-","")),"000"))</f>
        <v/>
      </c>
    </row>
    <row r="4210" spans="18:20">
      <c r="R4210" s="22" t="str">
        <f>IF(H4210="","",H4210&amp;I4210)</f>
        <v/>
      </c>
      <c r="S4210" s="22" t="str">
        <f>IF(C4210="","",C4210&amp;I4210)</f>
        <v/>
      </c>
      <c r="T4210" t="str">
        <f>IF(OR(C4210="",I4210&lt;&gt;"ENTRADA"),"",TEXT(B4210,"AAMMDD")&amp;"-"&amp;TEXT(VALUE(SUBSTITUTE(A4210,"MOV-","")),"000"))</f>
        <v/>
      </c>
    </row>
    <row r="4211" spans="18:20">
      <c r="R4211" s="22" t="str">
        <f>IF(H4211="","",H4211&amp;I4211)</f>
        <v/>
      </c>
      <c r="S4211" s="22" t="str">
        <f>IF(C4211="","",C4211&amp;I4211)</f>
        <v/>
      </c>
      <c r="T4211" t="str">
        <f>IF(OR(C4211="",I4211&lt;&gt;"ENTRADA"),"",TEXT(B4211,"AAMMDD")&amp;"-"&amp;TEXT(VALUE(SUBSTITUTE(A4211,"MOV-","")),"000"))</f>
        <v/>
      </c>
    </row>
    <row r="4212" spans="18:20">
      <c r="R4212" s="22" t="str">
        <f>IF(H4212="","",H4212&amp;I4212)</f>
        <v/>
      </c>
      <c r="S4212" s="22" t="str">
        <f>IF(C4212="","",C4212&amp;I4212)</f>
        <v/>
      </c>
      <c r="T4212" t="str">
        <f>IF(OR(C4212="",I4212&lt;&gt;"ENTRADA"),"",TEXT(B4212,"AAMMDD")&amp;"-"&amp;TEXT(VALUE(SUBSTITUTE(A4212,"MOV-","")),"000"))</f>
        <v/>
      </c>
    </row>
    <row r="4213" spans="18:20">
      <c r="R4213" s="22" t="str">
        <f>IF(H4213="","",H4213&amp;I4213)</f>
        <v/>
      </c>
      <c r="S4213" s="22" t="str">
        <f>IF(C4213="","",C4213&amp;I4213)</f>
        <v/>
      </c>
      <c r="T4213" t="str">
        <f>IF(OR(C4213="",I4213&lt;&gt;"ENTRADA"),"",TEXT(B4213,"AAMMDD")&amp;"-"&amp;TEXT(VALUE(SUBSTITUTE(A4213,"MOV-","")),"000"))</f>
        <v/>
      </c>
    </row>
    <row r="4214" spans="18:20">
      <c r="R4214" s="22" t="str">
        <f>IF(H4214="","",H4214&amp;I4214)</f>
        <v/>
      </c>
      <c r="S4214" s="22" t="str">
        <f>IF(C4214="","",C4214&amp;I4214)</f>
        <v/>
      </c>
      <c r="T4214" t="str">
        <f>IF(OR(C4214="",I4214&lt;&gt;"ENTRADA"),"",TEXT(B4214,"AAMMDD")&amp;"-"&amp;TEXT(VALUE(SUBSTITUTE(A4214,"MOV-","")),"000"))</f>
        <v/>
      </c>
    </row>
    <row r="4215" spans="18:20">
      <c r="R4215" s="22" t="str">
        <f>IF(H4215="","",H4215&amp;I4215)</f>
        <v/>
      </c>
      <c r="S4215" s="22" t="str">
        <f>IF(C4215="","",C4215&amp;I4215)</f>
        <v/>
      </c>
      <c r="T4215" t="str">
        <f>IF(OR(C4215="",I4215&lt;&gt;"ENTRADA"),"",TEXT(B4215,"AAMMDD")&amp;"-"&amp;TEXT(VALUE(SUBSTITUTE(A4215,"MOV-","")),"000"))</f>
        <v/>
      </c>
    </row>
    <row r="4216" spans="18:20">
      <c r="R4216" s="22" t="str">
        <f>IF(H4216="","",H4216&amp;I4216)</f>
        <v/>
      </c>
      <c r="S4216" s="22" t="str">
        <f>IF(C4216="","",C4216&amp;I4216)</f>
        <v/>
      </c>
      <c r="T4216" t="str">
        <f>IF(OR(C4216="",I4216&lt;&gt;"ENTRADA"),"",TEXT(B4216,"AAMMDD")&amp;"-"&amp;TEXT(VALUE(SUBSTITUTE(A4216,"MOV-","")),"000"))</f>
        <v/>
      </c>
    </row>
    <row r="4217" spans="18:20">
      <c r="R4217" s="22" t="str">
        <f>IF(H4217="","",H4217&amp;I4217)</f>
        <v/>
      </c>
      <c r="S4217" s="22" t="str">
        <f>IF(C4217="","",C4217&amp;I4217)</f>
        <v/>
      </c>
      <c r="T4217" t="str">
        <f>IF(OR(C4217="",I4217&lt;&gt;"ENTRADA"),"",TEXT(B4217,"AAMMDD")&amp;"-"&amp;TEXT(VALUE(SUBSTITUTE(A4217,"MOV-","")),"000"))</f>
        <v/>
      </c>
    </row>
    <row r="4218" spans="18:20">
      <c r="R4218" s="22" t="str">
        <f>IF(H4218="","",H4218&amp;I4218)</f>
        <v/>
      </c>
      <c r="S4218" s="22" t="str">
        <f>IF(C4218="","",C4218&amp;I4218)</f>
        <v/>
      </c>
      <c r="T4218" t="str">
        <f>IF(OR(C4218="",I4218&lt;&gt;"ENTRADA"),"",TEXT(B4218,"AAMMDD")&amp;"-"&amp;TEXT(VALUE(SUBSTITUTE(A4218,"MOV-","")),"000"))</f>
        <v/>
      </c>
    </row>
    <row r="4219" spans="18:20">
      <c r="R4219" s="22" t="str">
        <f>IF(H4219="","",H4219&amp;I4219)</f>
        <v/>
      </c>
      <c r="S4219" s="22" t="str">
        <f>IF(C4219="","",C4219&amp;I4219)</f>
        <v/>
      </c>
      <c r="T4219" t="str">
        <f>IF(OR(C4219="",I4219&lt;&gt;"ENTRADA"),"",TEXT(B4219,"AAMMDD")&amp;"-"&amp;TEXT(VALUE(SUBSTITUTE(A4219,"MOV-","")),"000"))</f>
        <v/>
      </c>
    </row>
    <row r="4220" spans="18:20">
      <c r="R4220" s="22" t="str">
        <f>IF(H4220="","",H4220&amp;I4220)</f>
        <v/>
      </c>
      <c r="S4220" s="22" t="str">
        <f>IF(C4220="","",C4220&amp;I4220)</f>
        <v/>
      </c>
      <c r="T4220" t="str">
        <f>IF(OR(C4220="",I4220&lt;&gt;"ENTRADA"),"",TEXT(B4220,"AAMMDD")&amp;"-"&amp;TEXT(VALUE(SUBSTITUTE(A4220,"MOV-","")),"000"))</f>
        <v/>
      </c>
    </row>
    <row r="4221" spans="18:20">
      <c r="R4221" s="22" t="str">
        <f>IF(H4221="","",H4221&amp;I4221)</f>
        <v/>
      </c>
      <c r="S4221" s="22" t="str">
        <f>IF(C4221="","",C4221&amp;I4221)</f>
        <v/>
      </c>
      <c r="T4221" t="str">
        <f>IF(OR(C4221="",I4221&lt;&gt;"ENTRADA"),"",TEXT(B4221,"AAMMDD")&amp;"-"&amp;TEXT(VALUE(SUBSTITUTE(A4221,"MOV-","")),"000"))</f>
        <v/>
      </c>
    </row>
    <row r="4222" spans="18:20">
      <c r="R4222" s="22" t="str">
        <f>IF(H4222="","",H4222&amp;I4222)</f>
        <v/>
      </c>
      <c r="S4222" s="22" t="str">
        <f>IF(C4222="","",C4222&amp;I4222)</f>
        <v/>
      </c>
      <c r="T4222" t="str">
        <f>IF(OR(C4222="",I4222&lt;&gt;"ENTRADA"),"",TEXT(B4222,"AAMMDD")&amp;"-"&amp;TEXT(VALUE(SUBSTITUTE(A4222,"MOV-","")),"000"))</f>
        <v/>
      </c>
    </row>
    <row r="4223" spans="18:20">
      <c r="R4223" s="22" t="str">
        <f>IF(H4223="","",H4223&amp;I4223)</f>
        <v/>
      </c>
      <c r="S4223" s="22" t="str">
        <f>IF(C4223="","",C4223&amp;I4223)</f>
        <v/>
      </c>
      <c r="T4223" t="str">
        <f>IF(OR(C4223="",I4223&lt;&gt;"ENTRADA"),"",TEXT(B4223,"AAMMDD")&amp;"-"&amp;TEXT(VALUE(SUBSTITUTE(A4223,"MOV-","")),"000"))</f>
        <v/>
      </c>
    </row>
    <row r="4224" spans="18:20">
      <c r="R4224" s="22" t="str">
        <f>IF(H4224="","",H4224&amp;I4224)</f>
        <v/>
      </c>
      <c r="S4224" s="22" t="str">
        <f>IF(C4224="","",C4224&amp;I4224)</f>
        <v/>
      </c>
      <c r="T4224" t="str">
        <f>IF(OR(C4224="",I4224&lt;&gt;"ENTRADA"),"",TEXT(B4224,"AAMMDD")&amp;"-"&amp;TEXT(VALUE(SUBSTITUTE(A4224,"MOV-","")),"000"))</f>
        <v/>
      </c>
    </row>
    <row r="4225" spans="18:20">
      <c r="R4225" s="22" t="str">
        <f>IF(H4225="","",H4225&amp;I4225)</f>
        <v/>
      </c>
      <c r="S4225" s="22" t="str">
        <f>IF(C4225="","",C4225&amp;I4225)</f>
        <v/>
      </c>
      <c r="T4225" t="str">
        <f>IF(OR(C4225="",I4225&lt;&gt;"ENTRADA"),"",TEXT(B4225,"AAMMDD")&amp;"-"&amp;TEXT(VALUE(SUBSTITUTE(A4225,"MOV-","")),"000"))</f>
        <v/>
      </c>
    </row>
    <row r="4226" spans="18:20">
      <c r="R4226" s="22" t="str">
        <f>IF(H4226="","",H4226&amp;I4226)</f>
        <v/>
      </c>
      <c r="S4226" s="22" t="str">
        <f>IF(C4226="","",C4226&amp;I4226)</f>
        <v/>
      </c>
      <c r="T4226" t="str">
        <f>IF(OR(C4226="",I4226&lt;&gt;"ENTRADA"),"",TEXT(B4226,"AAMMDD")&amp;"-"&amp;TEXT(VALUE(SUBSTITUTE(A4226,"MOV-","")),"000"))</f>
        <v/>
      </c>
    </row>
    <row r="4227" spans="18:20">
      <c r="R4227" s="22" t="str">
        <f>IF(H4227="","",H4227&amp;I4227)</f>
        <v/>
      </c>
      <c r="S4227" s="22" t="str">
        <f>IF(C4227="","",C4227&amp;I4227)</f>
        <v/>
      </c>
      <c r="T4227" t="str">
        <f>IF(OR(C4227="",I4227&lt;&gt;"ENTRADA"),"",TEXT(B4227,"AAMMDD")&amp;"-"&amp;TEXT(VALUE(SUBSTITUTE(A4227,"MOV-","")),"000"))</f>
        <v/>
      </c>
    </row>
    <row r="4228" spans="18:20">
      <c r="R4228" s="22" t="str">
        <f>IF(H4228="","",H4228&amp;I4228)</f>
        <v/>
      </c>
      <c r="S4228" s="22" t="str">
        <f>IF(C4228="","",C4228&amp;I4228)</f>
        <v/>
      </c>
      <c r="T4228" t="str">
        <f>IF(OR(C4228="",I4228&lt;&gt;"ENTRADA"),"",TEXT(B4228,"AAMMDD")&amp;"-"&amp;TEXT(VALUE(SUBSTITUTE(A4228,"MOV-","")),"000"))</f>
        <v/>
      </c>
    </row>
    <row r="4229" spans="18:20">
      <c r="R4229" s="22" t="str">
        <f>IF(H4229="","",H4229&amp;I4229)</f>
        <v/>
      </c>
      <c r="S4229" s="22" t="str">
        <f>IF(C4229="","",C4229&amp;I4229)</f>
        <v/>
      </c>
      <c r="T4229" t="str">
        <f>IF(OR(C4229="",I4229&lt;&gt;"ENTRADA"),"",TEXT(B4229,"AAMMDD")&amp;"-"&amp;TEXT(VALUE(SUBSTITUTE(A4229,"MOV-","")),"000"))</f>
        <v/>
      </c>
    </row>
    <row r="4230" spans="18:20">
      <c r="R4230" s="22" t="str">
        <f>IF(H4230="","",H4230&amp;I4230)</f>
        <v/>
      </c>
      <c r="S4230" s="22" t="str">
        <f>IF(C4230="","",C4230&amp;I4230)</f>
        <v/>
      </c>
      <c r="T4230" t="str">
        <f>IF(OR(C4230="",I4230&lt;&gt;"ENTRADA"),"",TEXT(B4230,"AAMMDD")&amp;"-"&amp;TEXT(VALUE(SUBSTITUTE(A4230,"MOV-","")),"000"))</f>
        <v/>
      </c>
    </row>
    <row r="4231" spans="18:20">
      <c r="R4231" s="22" t="str">
        <f>IF(H4231="","",H4231&amp;I4231)</f>
        <v/>
      </c>
      <c r="S4231" s="22" t="str">
        <f>IF(C4231="","",C4231&amp;I4231)</f>
        <v/>
      </c>
      <c r="T4231" t="str">
        <f>IF(OR(C4231="",I4231&lt;&gt;"ENTRADA"),"",TEXT(B4231,"AAMMDD")&amp;"-"&amp;TEXT(VALUE(SUBSTITUTE(A4231,"MOV-","")),"000"))</f>
        <v/>
      </c>
    </row>
    <row r="4232" spans="18:20">
      <c r="R4232" s="22" t="str">
        <f>IF(H4232="","",H4232&amp;I4232)</f>
        <v/>
      </c>
      <c r="S4232" s="22" t="str">
        <f>IF(C4232="","",C4232&amp;I4232)</f>
        <v/>
      </c>
      <c r="T4232" t="str">
        <f>IF(OR(C4232="",I4232&lt;&gt;"ENTRADA"),"",TEXT(B4232,"AAMMDD")&amp;"-"&amp;TEXT(VALUE(SUBSTITUTE(A4232,"MOV-","")),"000"))</f>
        <v/>
      </c>
    </row>
    <row r="4233" spans="18:20">
      <c r="R4233" s="22" t="str">
        <f>IF(H4233="","",H4233&amp;I4233)</f>
        <v/>
      </c>
      <c r="S4233" s="22" t="str">
        <f>IF(C4233="","",C4233&amp;I4233)</f>
        <v/>
      </c>
      <c r="T4233" t="str">
        <f>IF(OR(C4233="",I4233&lt;&gt;"ENTRADA"),"",TEXT(B4233,"AAMMDD")&amp;"-"&amp;TEXT(VALUE(SUBSTITUTE(A4233,"MOV-","")),"000"))</f>
        <v/>
      </c>
    </row>
    <row r="4234" spans="18:20">
      <c r="R4234" s="22" t="str">
        <f>IF(H4234="","",H4234&amp;I4234)</f>
        <v/>
      </c>
      <c r="S4234" s="22" t="str">
        <f>IF(C4234="","",C4234&amp;I4234)</f>
        <v/>
      </c>
      <c r="T4234" t="str">
        <f>IF(OR(C4234="",I4234&lt;&gt;"ENTRADA"),"",TEXT(B4234,"AAMMDD")&amp;"-"&amp;TEXT(VALUE(SUBSTITUTE(A4234,"MOV-","")),"000"))</f>
        <v/>
      </c>
    </row>
    <row r="4235" spans="18:20">
      <c r="R4235" s="22" t="str">
        <f>IF(H4235="","",H4235&amp;I4235)</f>
        <v/>
      </c>
      <c r="S4235" s="22" t="str">
        <f>IF(C4235="","",C4235&amp;I4235)</f>
        <v/>
      </c>
      <c r="T4235" t="str">
        <f>IF(OR(C4235="",I4235&lt;&gt;"ENTRADA"),"",TEXT(B4235,"AAMMDD")&amp;"-"&amp;TEXT(VALUE(SUBSTITUTE(A4235,"MOV-","")),"000"))</f>
        <v/>
      </c>
    </row>
    <row r="4236" spans="18:20">
      <c r="R4236" s="22" t="str">
        <f>IF(H4236="","",H4236&amp;I4236)</f>
        <v/>
      </c>
      <c r="S4236" s="22" t="str">
        <f>IF(C4236="","",C4236&amp;I4236)</f>
        <v/>
      </c>
      <c r="T4236" t="str">
        <f>IF(OR(C4236="",I4236&lt;&gt;"ENTRADA"),"",TEXT(B4236,"AAMMDD")&amp;"-"&amp;TEXT(VALUE(SUBSTITUTE(A4236,"MOV-","")),"000"))</f>
        <v/>
      </c>
    </row>
    <row r="4237" spans="18:20">
      <c r="R4237" s="22" t="str">
        <f>IF(H4237="","",H4237&amp;I4237)</f>
        <v/>
      </c>
      <c r="S4237" s="22" t="str">
        <f>IF(C4237="","",C4237&amp;I4237)</f>
        <v/>
      </c>
      <c r="T4237" t="str">
        <f>IF(OR(C4237="",I4237&lt;&gt;"ENTRADA"),"",TEXT(B4237,"AAMMDD")&amp;"-"&amp;TEXT(VALUE(SUBSTITUTE(A4237,"MOV-","")),"000"))</f>
        <v/>
      </c>
    </row>
    <row r="4238" spans="18:20">
      <c r="R4238" s="22" t="str">
        <f>IF(H4238="","",H4238&amp;I4238)</f>
        <v/>
      </c>
      <c r="S4238" s="22" t="str">
        <f>IF(C4238="","",C4238&amp;I4238)</f>
        <v/>
      </c>
      <c r="T4238" t="str">
        <f>IF(OR(C4238="",I4238&lt;&gt;"ENTRADA"),"",TEXT(B4238,"AAMMDD")&amp;"-"&amp;TEXT(VALUE(SUBSTITUTE(A4238,"MOV-","")),"000"))</f>
        <v/>
      </c>
    </row>
    <row r="4239" spans="18:20">
      <c r="R4239" s="22" t="str">
        <f>IF(H4239="","",H4239&amp;I4239)</f>
        <v/>
      </c>
      <c r="S4239" s="22" t="str">
        <f>IF(C4239="","",C4239&amp;I4239)</f>
        <v/>
      </c>
      <c r="T4239" t="str">
        <f>IF(OR(C4239="",I4239&lt;&gt;"ENTRADA"),"",TEXT(B4239,"AAMMDD")&amp;"-"&amp;TEXT(VALUE(SUBSTITUTE(A4239,"MOV-","")),"000"))</f>
        <v/>
      </c>
    </row>
    <row r="4240" spans="18:20">
      <c r="R4240" s="22" t="str">
        <f>IF(H4240="","",H4240&amp;I4240)</f>
        <v/>
      </c>
      <c r="S4240" s="22" t="str">
        <f>IF(C4240="","",C4240&amp;I4240)</f>
        <v/>
      </c>
      <c r="T4240" t="str">
        <f>IF(OR(C4240="",I4240&lt;&gt;"ENTRADA"),"",TEXT(B4240,"AAMMDD")&amp;"-"&amp;TEXT(VALUE(SUBSTITUTE(A4240,"MOV-","")),"000"))</f>
        <v/>
      </c>
    </row>
    <row r="4241" spans="18:20">
      <c r="R4241" s="22" t="str">
        <f>IF(H4241="","",H4241&amp;I4241)</f>
        <v/>
      </c>
      <c r="S4241" s="22" t="str">
        <f>IF(C4241="","",C4241&amp;I4241)</f>
        <v/>
      </c>
      <c r="T4241" t="str">
        <f>IF(OR(C4241="",I4241&lt;&gt;"ENTRADA"),"",TEXT(B4241,"AAMMDD")&amp;"-"&amp;TEXT(VALUE(SUBSTITUTE(A4241,"MOV-","")),"000"))</f>
        <v/>
      </c>
    </row>
    <row r="4242" spans="18:20">
      <c r="R4242" s="22" t="str">
        <f>IF(H4242="","",H4242&amp;I4242)</f>
        <v/>
      </c>
      <c r="S4242" s="22" t="str">
        <f>IF(C4242="","",C4242&amp;I4242)</f>
        <v/>
      </c>
      <c r="T4242" t="str">
        <f>IF(OR(C4242="",I4242&lt;&gt;"ENTRADA"),"",TEXT(B4242,"AAMMDD")&amp;"-"&amp;TEXT(VALUE(SUBSTITUTE(A4242,"MOV-","")),"000"))</f>
        <v/>
      </c>
    </row>
    <row r="4243" spans="18:20">
      <c r="R4243" s="22" t="str">
        <f>IF(H4243="","",H4243&amp;I4243)</f>
        <v/>
      </c>
      <c r="S4243" s="22" t="str">
        <f>IF(C4243="","",C4243&amp;I4243)</f>
        <v/>
      </c>
      <c r="T4243" t="str">
        <f>IF(OR(C4243="",I4243&lt;&gt;"ENTRADA"),"",TEXT(B4243,"AAMMDD")&amp;"-"&amp;TEXT(VALUE(SUBSTITUTE(A4243,"MOV-","")),"000"))</f>
        <v/>
      </c>
    </row>
    <row r="4244" spans="18:20">
      <c r="R4244" s="22" t="str">
        <f>IF(H4244="","",H4244&amp;I4244)</f>
        <v/>
      </c>
      <c r="S4244" s="22" t="str">
        <f>IF(C4244="","",C4244&amp;I4244)</f>
        <v/>
      </c>
      <c r="T4244" t="str">
        <f>IF(OR(C4244="",I4244&lt;&gt;"ENTRADA"),"",TEXT(B4244,"AAMMDD")&amp;"-"&amp;TEXT(VALUE(SUBSTITUTE(A4244,"MOV-","")),"000"))</f>
        <v/>
      </c>
    </row>
    <row r="4245" spans="18:20">
      <c r="R4245" s="22" t="str">
        <f>IF(H4245="","",H4245&amp;I4245)</f>
        <v/>
      </c>
      <c r="S4245" s="22" t="str">
        <f>IF(C4245="","",C4245&amp;I4245)</f>
        <v/>
      </c>
      <c r="T4245" t="str">
        <f>IF(OR(C4245="",I4245&lt;&gt;"ENTRADA"),"",TEXT(B4245,"AAMMDD")&amp;"-"&amp;TEXT(VALUE(SUBSTITUTE(A4245,"MOV-","")),"000"))</f>
        <v/>
      </c>
    </row>
    <row r="4246" spans="18:20">
      <c r="R4246" s="22" t="str">
        <f>IF(H4246="","",H4246&amp;I4246)</f>
        <v/>
      </c>
      <c r="S4246" s="22" t="str">
        <f>IF(C4246="","",C4246&amp;I4246)</f>
        <v/>
      </c>
      <c r="T4246" t="str">
        <f>IF(OR(C4246="",I4246&lt;&gt;"ENTRADA"),"",TEXT(B4246,"AAMMDD")&amp;"-"&amp;TEXT(VALUE(SUBSTITUTE(A4246,"MOV-","")),"000"))</f>
        <v/>
      </c>
    </row>
    <row r="4247" spans="18:20">
      <c r="R4247" s="22" t="str">
        <f>IF(H4247="","",H4247&amp;I4247)</f>
        <v/>
      </c>
      <c r="S4247" s="22" t="str">
        <f>IF(C4247="","",C4247&amp;I4247)</f>
        <v/>
      </c>
      <c r="T4247" t="str">
        <f>IF(OR(C4247="",I4247&lt;&gt;"ENTRADA"),"",TEXT(B4247,"AAMMDD")&amp;"-"&amp;TEXT(VALUE(SUBSTITUTE(A4247,"MOV-","")),"000"))</f>
        <v/>
      </c>
    </row>
    <row r="4248" spans="18:20">
      <c r="R4248" s="22" t="str">
        <f>IF(H4248="","",H4248&amp;I4248)</f>
        <v/>
      </c>
      <c r="S4248" s="22" t="str">
        <f>IF(C4248="","",C4248&amp;I4248)</f>
        <v/>
      </c>
      <c r="T4248" t="str">
        <f>IF(OR(C4248="",I4248&lt;&gt;"ENTRADA"),"",TEXT(B4248,"AAMMDD")&amp;"-"&amp;TEXT(VALUE(SUBSTITUTE(A4248,"MOV-","")),"000"))</f>
        <v/>
      </c>
    </row>
    <row r="4249" spans="18:20">
      <c r="R4249" s="22" t="str">
        <f>IF(H4249="","",H4249&amp;I4249)</f>
        <v/>
      </c>
      <c r="S4249" s="22" t="str">
        <f>IF(C4249="","",C4249&amp;I4249)</f>
        <v/>
      </c>
      <c r="T4249" t="str">
        <f>IF(OR(C4249="",I4249&lt;&gt;"ENTRADA"),"",TEXT(B4249,"AAMMDD")&amp;"-"&amp;TEXT(VALUE(SUBSTITUTE(A4249,"MOV-","")),"000"))</f>
        <v/>
      </c>
    </row>
    <row r="4250" spans="18:20">
      <c r="R4250" s="22" t="str">
        <f>IF(H4250="","",H4250&amp;I4250)</f>
        <v/>
      </c>
      <c r="S4250" s="22" t="str">
        <f>IF(C4250="","",C4250&amp;I4250)</f>
        <v/>
      </c>
      <c r="T4250" t="str">
        <f>IF(OR(C4250="",I4250&lt;&gt;"ENTRADA"),"",TEXT(B4250,"AAMMDD")&amp;"-"&amp;TEXT(VALUE(SUBSTITUTE(A4250,"MOV-","")),"000"))</f>
        <v/>
      </c>
    </row>
    <row r="4251" spans="18:20">
      <c r="R4251" s="22" t="str">
        <f>IF(H4251="","",H4251&amp;I4251)</f>
        <v/>
      </c>
      <c r="S4251" s="22" t="str">
        <f>IF(C4251="","",C4251&amp;I4251)</f>
        <v/>
      </c>
      <c r="T4251" t="str">
        <f>IF(OR(C4251="",I4251&lt;&gt;"ENTRADA"),"",TEXT(B4251,"AAMMDD")&amp;"-"&amp;TEXT(VALUE(SUBSTITUTE(A4251,"MOV-","")),"000"))</f>
        <v/>
      </c>
    </row>
    <row r="4252" spans="18:20">
      <c r="R4252" s="22" t="str">
        <f>IF(H4252="","",H4252&amp;I4252)</f>
        <v/>
      </c>
      <c r="S4252" s="22" t="str">
        <f>IF(C4252="","",C4252&amp;I4252)</f>
        <v/>
      </c>
      <c r="T4252" t="str">
        <f>IF(OR(C4252="",I4252&lt;&gt;"ENTRADA"),"",TEXT(B4252,"AAMMDD")&amp;"-"&amp;TEXT(VALUE(SUBSTITUTE(A4252,"MOV-","")),"000"))</f>
        <v/>
      </c>
    </row>
    <row r="4253" spans="18:20">
      <c r="R4253" s="22" t="str">
        <f>IF(H4253="","",H4253&amp;I4253)</f>
        <v/>
      </c>
      <c r="S4253" s="22" t="str">
        <f>IF(C4253="","",C4253&amp;I4253)</f>
        <v/>
      </c>
      <c r="T4253" t="str">
        <f>IF(OR(C4253="",I4253&lt;&gt;"ENTRADA"),"",TEXT(B4253,"AAMMDD")&amp;"-"&amp;TEXT(VALUE(SUBSTITUTE(A4253,"MOV-","")),"000"))</f>
        <v/>
      </c>
    </row>
    <row r="4254" spans="18:20">
      <c r="R4254" s="22" t="str">
        <f>IF(H4254="","",H4254&amp;I4254)</f>
        <v/>
      </c>
      <c r="S4254" s="22" t="str">
        <f>IF(C4254="","",C4254&amp;I4254)</f>
        <v/>
      </c>
      <c r="T4254" t="str">
        <f>IF(OR(C4254="",I4254&lt;&gt;"ENTRADA"),"",TEXT(B4254,"AAMMDD")&amp;"-"&amp;TEXT(VALUE(SUBSTITUTE(A4254,"MOV-","")),"000"))</f>
        <v/>
      </c>
    </row>
    <row r="4255" spans="18:20">
      <c r="R4255" s="22" t="str">
        <f>IF(H4255="","",H4255&amp;I4255)</f>
        <v/>
      </c>
      <c r="S4255" s="22" t="str">
        <f>IF(C4255="","",C4255&amp;I4255)</f>
        <v/>
      </c>
      <c r="T4255" t="str">
        <f>IF(OR(C4255="",I4255&lt;&gt;"ENTRADA"),"",TEXT(B4255,"AAMMDD")&amp;"-"&amp;TEXT(VALUE(SUBSTITUTE(A4255,"MOV-","")),"000"))</f>
        <v/>
      </c>
    </row>
    <row r="4256" spans="18:20">
      <c r="R4256" s="22" t="str">
        <f>IF(H4256="","",H4256&amp;I4256)</f>
        <v/>
      </c>
      <c r="S4256" s="22" t="str">
        <f>IF(C4256="","",C4256&amp;I4256)</f>
        <v/>
      </c>
      <c r="T4256" t="str">
        <f>IF(OR(C4256="",I4256&lt;&gt;"ENTRADA"),"",TEXT(B4256,"AAMMDD")&amp;"-"&amp;TEXT(VALUE(SUBSTITUTE(A4256,"MOV-","")),"000"))</f>
        <v/>
      </c>
    </row>
    <row r="4257" spans="18:20">
      <c r="R4257" s="22" t="str">
        <f>IF(H4257="","",H4257&amp;I4257)</f>
        <v/>
      </c>
      <c r="S4257" s="22" t="str">
        <f>IF(C4257="","",C4257&amp;I4257)</f>
        <v/>
      </c>
      <c r="T4257" t="str">
        <f>IF(OR(C4257="",I4257&lt;&gt;"ENTRADA"),"",TEXT(B4257,"AAMMDD")&amp;"-"&amp;TEXT(VALUE(SUBSTITUTE(A4257,"MOV-","")),"000"))</f>
        <v/>
      </c>
    </row>
    <row r="4258" spans="18:20">
      <c r="R4258" s="22" t="str">
        <f>IF(H4258="","",H4258&amp;I4258)</f>
        <v/>
      </c>
      <c r="S4258" s="22" t="str">
        <f>IF(C4258="","",C4258&amp;I4258)</f>
        <v/>
      </c>
      <c r="T4258" t="str">
        <f>IF(OR(C4258="",I4258&lt;&gt;"ENTRADA"),"",TEXT(B4258,"AAMMDD")&amp;"-"&amp;TEXT(VALUE(SUBSTITUTE(A4258,"MOV-","")),"000"))</f>
        <v/>
      </c>
    </row>
    <row r="4259" spans="18:20">
      <c r="R4259" s="22" t="str">
        <f>IF(H4259="","",H4259&amp;I4259)</f>
        <v/>
      </c>
      <c r="S4259" s="22" t="str">
        <f>IF(C4259="","",C4259&amp;I4259)</f>
        <v/>
      </c>
      <c r="T4259" t="str">
        <f>IF(OR(C4259="",I4259&lt;&gt;"ENTRADA"),"",TEXT(B4259,"AAMMDD")&amp;"-"&amp;TEXT(VALUE(SUBSTITUTE(A4259,"MOV-","")),"000"))</f>
        <v/>
      </c>
    </row>
    <row r="4260" spans="18:20">
      <c r="R4260" s="22" t="str">
        <f>IF(H4260="","",H4260&amp;I4260)</f>
        <v/>
      </c>
      <c r="S4260" s="22" t="str">
        <f>IF(C4260="","",C4260&amp;I4260)</f>
        <v/>
      </c>
      <c r="T4260" t="str">
        <f>IF(OR(C4260="",I4260&lt;&gt;"ENTRADA"),"",TEXT(B4260,"AAMMDD")&amp;"-"&amp;TEXT(VALUE(SUBSTITUTE(A4260,"MOV-","")),"000"))</f>
        <v/>
      </c>
    </row>
    <row r="4261" spans="18:20">
      <c r="R4261" s="22" t="str">
        <f>IF(H4261="","",H4261&amp;I4261)</f>
        <v/>
      </c>
      <c r="S4261" s="22" t="str">
        <f>IF(C4261="","",C4261&amp;I4261)</f>
        <v/>
      </c>
      <c r="T4261" t="str">
        <f>IF(OR(C4261="",I4261&lt;&gt;"ENTRADA"),"",TEXT(B4261,"AAMMDD")&amp;"-"&amp;TEXT(VALUE(SUBSTITUTE(A4261,"MOV-","")),"000"))</f>
        <v/>
      </c>
    </row>
    <row r="4262" spans="18:20">
      <c r="R4262" s="22" t="str">
        <f>IF(H4262="","",H4262&amp;I4262)</f>
        <v/>
      </c>
      <c r="S4262" s="22" t="str">
        <f>IF(C4262="","",C4262&amp;I4262)</f>
        <v/>
      </c>
      <c r="T4262" t="str">
        <f>IF(OR(C4262="",I4262&lt;&gt;"ENTRADA"),"",TEXT(B4262,"AAMMDD")&amp;"-"&amp;TEXT(VALUE(SUBSTITUTE(A4262,"MOV-","")),"000"))</f>
        <v/>
      </c>
    </row>
    <row r="4263" spans="18:20">
      <c r="R4263" s="22" t="str">
        <f>IF(H4263="","",H4263&amp;I4263)</f>
        <v/>
      </c>
      <c r="S4263" s="22" t="str">
        <f>IF(C4263="","",C4263&amp;I4263)</f>
        <v/>
      </c>
      <c r="T4263" t="str">
        <f>IF(OR(C4263="",I4263&lt;&gt;"ENTRADA"),"",TEXT(B4263,"AAMMDD")&amp;"-"&amp;TEXT(VALUE(SUBSTITUTE(A4263,"MOV-","")),"000"))</f>
        <v/>
      </c>
    </row>
    <row r="4264" spans="18:20">
      <c r="R4264" s="22" t="str">
        <f>IF(H4264="","",H4264&amp;I4264)</f>
        <v/>
      </c>
      <c r="S4264" s="22" t="str">
        <f>IF(C4264="","",C4264&amp;I4264)</f>
        <v/>
      </c>
      <c r="T4264" t="str">
        <f>IF(OR(C4264="",I4264&lt;&gt;"ENTRADA"),"",TEXT(B4264,"AAMMDD")&amp;"-"&amp;TEXT(VALUE(SUBSTITUTE(A4264,"MOV-","")),"000"))</f>
        <v/>
      </c>
    </row>
    <row r="4265" spans="18:20">
      <c r="R4265" s="22" t="str">
        <f>IF(H4265="","",H4265&amp;I4265)</f>
        <v/>
      </c>
      <c r="S4265" s="22" t="str">
        <f>IF(C4265="","",C4265&amp;I4265)</f>
        <v/>
      </c>
      <c r="T4265" t="str">
        <f>IF(OR(C4265="",I4265&lt;&gt;"ENTRADA"),"",TEXT(B4265,"AAMMDD")&amp;"-"&amp;TEXT(VALUE(SUBSTITUTE(A4265,"MOV-","")),"000"))</f>
        <v/>
      </c>
    </row>
    <row r="4266" spans="18:20">
      <c r="R4266" s="22" t="str">
        <f>IF(H4266="","",H4266&amp;I4266)</f>
        <v/>
      </c>
      <c r="S4266" s="22" t="str">
        <f>IF(C4266="","",C4266&amp;I4266)</f>
        <v/>
      </c>
      <c r="T4266" t="str">
        <f>IF(OR(C4266="",I4266&lt;&gt;"ENTRADA"),"",TEXT(B4266,"AAMMDD")&amp;"-"&amp;TEXT(VALUE(SUBSTITUTE(A4266,"MOV-","")),"000"))</f>
        <v/>
      </c>
    </row>
    <row r="4267" spans="18:20">
      <c r="R4267" s="22" t="str">
        <f>IF(H4267="","",H4267&amp;I4267)</f>
        <v/>
      </c>
      <c r="S4267" s="22" t="str">
        <f>IF(C4267="","",C4267&amp;I4267)</f>
        <v/>
      </c>
      <c r="T4267" t="str">
        <f>IF(OR(C4267="",I4267&lt;&gt;"ENTRADA"),"",TEXT(B4267,"AAMMDD")&amp;"-"&amp;TEXT(VALUE(SUBSTITUTE(A4267,"MOV-","")),"000"))</f>
        <v/>
      </c>
    </row>
    <row r="4268" spans="18:20">
      <c r="R4268" s="22" t="str">
        <f>IF(H4268="","",H4268&amp;I4268)</f>
        <v/>
      </c>
      <c r="S4268" s="22" t="str">
        <f>IF(C4268="","",C4268&amp;I4268)</f>
        <v/>
      </c>
      <c r="T4268" t="str">
        <f>IF(OR(C4268="",I4268&lt;&gt;"ENTRADA"),"",TEXT(B4268,"AAMMDD")&amp;"-"&amp;TEXT(VALUE(SUBSTITUTE(A4268,"MOV-","")),"000"))</f>
        <v/>
      </c>
    </row>
    <row r="4269" spans="18:20">
      <c r="R4269" s="22" t="str">
        <f>IF(H4269="","",H4269&amp;I4269)</f>
        <v/>
      </c>
      <c r="S4269" s="22" t="str">
        <f>IF(C4269="","",C4269&amp;I4269)</f>
        <v/>
      </c>
      <c r="T4269" t="str">
        <f>IF(OR(C4269="",I4269&lt;&gt;"ENTRADA"),"",TEXT(B4269,"AAMMDD")&amp;"-"&amp;TEXT(VALUE(SUBSTITUTE(A4269,"MOV-","")),"000"))</f>
        <v/>
      </c>
    </row>
    <row r="4270" spans="18:20">
      <c r="R4270" s="22" t="str">
        <f>IF(H4270="","",H4270&amp;I4270)</f>
        <v/>
      </c>
      <c r="S4270" s="22" t="str">
        <f>IF(C4270="","",C4270&amp;I4270)</f>
        <v/>
      </c>
      <c r="T4270" t="str">
        <f>IF(OR(C4270="",I4270&lt;&gt;"ENTRADA"),"",TEXT(B4270,"AAMMDD")&amp;"-"&amp;TEXT(VALUE(SUBSTITUTE(A4270,"MOV-","")),"000"))</f>
        <v/>
      </c>
    </row>
    <row r="4271" spans="18:20">
      <c r="R4271" s="22" t="str">
        <f>IF(H4271="","",H4271&amp;I4271)</f>
        <v/>
      </c>
      <c r="S4271" s="22" t="str">
        <f>IF(C4271="","",C4271&amp;I4271)</f>
        <v/>
      </c>
      <c r="T4271" t="str">
        <f>IF(OR(C4271="",I4271&lt;&gt;"ENTRADA"),"",TEXT(B4271,"AAMMDD")&amp;"-"&amp;TEXT(VALUE(SUBSTITUTE(A4271,"MOV-","")),"000"))</f>
        <v/>
      </c>
    </row>
    <row r="4272" spans="18:20">
      <c r="R4272" s="22" t="str">
        <f>IF(H4272="","",H4272&amp;I4272)</f>
        <v/>
      </c>
      <c r="S4272" s="22" t="str">
        <f>IF(C4272="","",C4272&amp;I4272)</f>
        <v/>
      </c>
      <c r="T4272" t="str">
        <f>IF(OR(C4272="",I4272&lt;&gt;"ENTRADA"),"",TEXT(B4272,"AAMMDD")&amp;"-"&amp;TEXT(VALUE(SUBSTITUTE(A4272,"MOV-","")),"000"))</f>
        <v/>
      </c>
    </row>
    <row r="4273" spans="18:20">
      <c r="R4273" s="22" t="str">
        <f>IF(H4273="","",H4273&amp;I4273)</f>
        <v/>
      </c>
      <c r="S4273" s="22" t="str">
        <f>IF(C4273="","",C4273&amp;I4273)</f>
        <v/>
      </c>
      <c r="T4273" t="str">
        <f>IF(OR(C4273="",I4273&lt;&gt;"ENTRADA"),"",TEXT(B4273,"AAMMDD")&amp;"-"&amp;TEXT(VALUE(SUBSTITUTE(A4273,"MOV-","")),"000"))</f>
        <v/>
      </c>
    </row>
    <row r="4274" spans="18:20">
      <c r="R4274" s="22" t="str">
        <f>IF(H4274="","",H4274&amp;I4274)</f>
        <v/>
      </c>
      <c r="S4274" s="22" t="str">
        <f>IF(C4274="","",C4274&amp;I4274)</f>
        <v/>
      </c>
      <c r="T4274" t="str">
        <f>IF(OR(C4274="",I4274&lt;&gt;"ENTRADA"),"",TEXT(B4274,"AAMMDD")&amp;"-"&amp;TEXT(VALUE(SUBSTITUTE(A4274,"MOV-","")),"000"))</f>
        <v/>
      </c>
    </row>
    <row r="4275" spans="18:20">
      <c r="R4275" s="22" t="str">
        <f>IF(H4275="","",H4275&amp;I4275)</f>
        <v/>
      </c>
      <c r="S4275" s="22" t="str">
        <f>IF(C4275="","",C4275&amp;I4275)</f>
        <v/>
      </c>
      <c r="T4275" t="str">
        <f>IF(OR(C4275="",I4275&lt;&gt;"ENTRADA"),"",TEXT(B4275,"AAMMDD")&amp;"-"&amp;TEXT(VALUE(SUBSTITUTE(A4275,"MOV-","")),"000"))</f>
        <v/>
      </c>
    </row>
    <row r="4276" spans="18:20">
      <c r="R4276" s="22" t="str">
        <f>IF(H4276="","",H4276&amp;I4276)</f>
        <v/>
      </c>
      <c r="S4276" s="22" t="str">
        <f>IF(C4276="","",C4276&amp;I4276)</f>
        <v/>
      </c>
      <c r="T4276" t="str">
        <f>IF(OR(C4276="",I4276&lt;&gt;"ENTRADA"),"",TEXT(B4276,"AAMMDD")&amp;"-"&amp;TEXT(VALUE(SUBSTITUTE(A4276,"MOV-","")),"000"))</f>
        <v/>
      </c>
    </row>
    <row r="4277" spans="18:20">
      <c r="R4277" s="22" t="str">
        <f>IF(H4277="","",H4277&amp;I4277)</f>
        <v/>
      </c>
      <c r="S4277" s="22" t="str">
        <f>IF(C4277="","",C4277&amp;I4277)</f>
        <v/>
      </c>
      <c r="T4277" t="str">
        <f>IF(OR(C4277="",I4277&lt;&gt;"ENTRADA"),"",TEXT(B4277,"AAMMDD")&amp;"-"&amp;TEXT(VALUE(SUBSTITUTE(A4277,"MOV-","")),"000"))</f>
        <v/>
      </c>
    </row>
    <row r="4278" spans="18:20">
      <c r="R4278" s="22" t="str">
        <f>IF(H4278="","",H4278&amp;I4278)</f>
        <v/>
      </c>
      <c r="S4278" s="22" t="str">
        <f>IF(C4278="","",C4278&amp;I4278)</f>
        <v/>
      </c>
      <c r="T4278" t="str">
        <f>IF(OR(C4278="",I4278&lt;&gt;"ENTRADA"),"",TEXT(B4278,"AAMMDD")&amp;"-"&amp;TEXT(VALUE(SUBSTITUTE(A4278,"MOV-","")),"000"))</f>
        <v/>
      </c>
    </row>
    <row r="4279" spans="18:20">
      <c r="R4279" s="22" t="str">
        <f>IF(H4279="","",H4279&amp;I4279)</f>
        <v/>
      </c>
      <c r="S4279" s="22" t="str">
        <f>IF(C4279="","",C4279&amp;I4279)</f>
        <v/>
      </c>
      <c r="T4279" t="str">
        <f>IF(OR(C4279="",I4279&lt;&gt;"ENTRADA"),"",TEXT(B4279,"AAMMDD")&amp;"-"&amp;TEXT(VALUE(SUBSTITUTE(A4279,"MOV-","")),"000"))</f>
        <v/>
      </c>
    </row>
    <row r="4280" spans="18:20">
      <c r="R4280" s="22" t="str">
        <f>IF(H4280="","",H4280&amp;I4280)</f>
        <v/>
      </c>
      <c r="S4280" s="22" t="str">
        <f>IF(C4280="","",C4280&amp;I4280)</f>
        <v/>
      </c>
      <c r="T4280" t="str">
        <f>IF(OR(C4280="",I4280&lt;&gt;"ENTRADA"),"",TEXT(B4280,"AAMMDD")&amp;"-"&amp;TEXT(VALUE(SUBSTITUTE(A4280,"MOV-","")),"000"))</f>
        <v/>
      </c>
    </row>
    <row r="4281" spans="18:20">
      <c r="R4281" s="22" t="str">
        <f>IF(H4281="","",H4281&amp;I4281)</f>
        <v/>
      </c>
      <c r="S4281" s="22" t="str">
        <f>IF(C4281="","",C4281&amp;I4281)</f>
        <v/>
      </c>
      <c r="T4281" t="str">
        <f>IF(OR(C4281="",I4281&lt;&gt;"ENTRADA"),"",TEXT(B4281,"AAMMDD")&amp;"-"&amp;TEXT(VALUE(SUBSTITUTE(A4281,"MOV-","")),"000"))</f>
        <v/>
      </c>
    </row>
    <row r="4282" spans="18:20">
      <c r="R4282" s="22" t="str">
        <f>IF(H4282="","",H4282&amp;I4282)</f>
        <v/>
      </c>
      <c r="S4282" s="22" t="str">
        <f>IF(C4282="","",C4282&amp;I4282)</f>
        <v/>
      </c>
      <c r="T4282" t="str">
        <f>IF(OR(C4282="",I4282&lt;&gt;"ENTRADA"),"",TEXT(B4282,"AAMMDD")&amp;"-"&amp;TEXT(VALUE(SUBSTITUTE(A4282,"MOV-","")),"000"))</f>
        <v/>
      </c>
    </row>
    <row r="4283" spans="18:20">
      <c r="R4283" s="22" t="str">
        <f>IF(H4283="","",H4283&amp;I4283)</f>
        <v/>
      </c>
      <c r="S4283" s="22" t="str">
        <f>IF(C4283="","",C4283&amp;I4283)</f>
        <v/>
      </c>
      <c r="T4283" t="str">
        <f>IF(OR(C4283="",I4283&lt;&gt;"ENTRADA"),"",TEXT(B4283,"AAMMDD")&amp;"-"&amp;TEXT(VALUE(SUBSTITUTE(A4283,"MOV-","")),"000"))</f>
        <v/>
      </c>
    </row>
    <row r="4284" spans="18:20">
      <c r="R4284" s="22" t="str">
        <f>IF(H4284="","",H4284&amp;I4284)</f>
        <v/>
      </c>
      <c r="S4284" s="22" t="str">
        <f>IF(C4284="","",C4284&amp;I4284)</f>
        <v/>
      </c>
      <c r="T4284" t="str">
        <f>IF(OR(C4284="",I4284&lt;&gt;"ENTRADA"),"",TEXT(B4284,"AAMMDD")&amp;"-"&amp;TEXT(VALUE(SUBSTITUTE(A4284,"MOV-","")),"000"))</f>
        <v/>
      </c>
    </row>
    <row r="4285" spans="18:20">
      <c r="R4285" s="22" t="str">
        <f>IF(H4285="","",H4285&amp;I4285)</f>
        <v/>
      </c>
      <c r="S4285" s="22" t="str">
        <f>IF(C4285="","",C4285&amp;I4285)</f>
        <v/>
      </c>
      <c r="T4285" t="str">
        <f>IF(OR(C4285="",I4285&lt;&gt;"ENTRADA"),"",TEXT(B4285,"AAMMDD")&amp;"-"&amp;TEXT(VALUE(SUBSTITUTE(A4285,"MOV-","")),"000"))</f>
        <v/>
      </c>
    </row>
    <row r="4286" spans="18:20">
      <c r="R4286" s="22" t="str">
        <f>IF(H4286="","",H4286&amp;I4286)</f>
        <v/>
      </c>
      <c r="S4286" s="22" t="str">
        <f>IF(C4286="","",C4286&amp;I4286)</f>
        <v/>
      </c>
      <c r="T4286" t="str">
        <f>IF(OR(C4286="",I4286&lt;&gt;"ENTRADA"),"",TEXT(B4286,"AAMMDD")&amp;"-"&amp;TEXT(VALUE(SUBSTITUTE(A4286,"MOV-","")),"000"))</f>
        <v/>
      </c>
    </row>
    <row r="4287" spans="18:20">
      <c r="R4287" s="22" t="str">
        <f>IF(H4287="","",H4287&amp;I4287)</f>
        <v/>
      </c>
      <c r="S4287" s="22" t="str">
        <f>IF(C4287="","",C4287&amp;I4287)</f>
        <v/>
      </c>
      <c r="T4287" t="str">
        <f>IF(OR(C4287="",I4287&lt;&gt;"ENTRADA"),"",TEXT(B4287,"AAMMDD")&amp;"-"&amp;TEXT(VALUE(SUBSTITUTE(A4287,"MOV-","")),"000"))</f>
        <v/>
      </c>
    </row>
    <row r="4288" spans="18:20">
      <c r="R4288" s="22" t="str">
        <f>IF(H4288="","",H4288&amp;I4288)</f>
        <v/>
      </c>
      <c r="S4288" s="22" t="str">
        <f>IF(C4288="","",C4288&amp;I4288)</f>
        <v/>
      </c>
      <c r="T4288" t="str">
        <f>IF(OR(C4288="",I4288&lt;&gt;"ENTRADA"),"",TEXT(B4288,"AAMMDD")&amp;"-"&amp;TEXT(VALUE(SUBSTITUTE(A4288,"MOV-","")),"000"))</f>
        <v/>
      </c>
    </row>
    <row r="4289" spans="18:20">
      <c r="R4289" s="22" t="str">
        <f>IF(H4289="","",H4289&amp;I4289)</f>
        <v/>
      </c>
      <c r="S4289" s="22" t="str">
        <f>IF(C4289="","",C4289&amp;I4289)</f>
        <v/>
      </c>
      <c r="T4289" t="str">
        <f>IF(OR(C4289="",I4289&lt;&gt;"ENTRADA"),"",TEXT(B4289,"AAMMDD")&amp;"-"&amp;TEXT(VALUE(SUBSTITUTE(A4289,"MOV-","")),"000"))</f>
        <v/>
      </c>
    </row>
    <row r="4290" spans="18:20">
      <c r="R4290" s="22" t="str">
        <f>IF(H4290="","",H4290&amp;I4290)</f>
        <v/>
      </c>
      <c r="S4290" s="22" t="str">
        <f>IF(C4290="","",C4290&amp;I4290)</f>
        <v/>
      </c>
      <c r="T4290" t="str">
        <f>IF(OR(C4290="",I4290&lt;&gt;"ENTRADA"),"",TEXT(B4290,"AAMMDD")&amp;"-"&amp;TEXT(VALUE(SUBSTITUTE(A4290,"MOV-","")),"000"))</f>
        <v/>
      </c>
    </row>
    <row r="4291" spans="18:20">
      <c r="R4291" s="22" t="str">
        <f>IF(H4291="","",H4291&amp;I4291)</f>
        <v/>
      </c>
      <c r="S4291" s="22" t="str">
        <f>IF(C4291="","",C4291&amp;I4291)</f>
        <v/>
      </c>
      <c r="T4291" t="str">
        <f>IF(OR(C4291="",I4291&lt;&gt;"ENTRADA"),"",TEXT(B4291,"AAMMDD")&amp;"-"&amp;TEXT(VALUE(SUBSTITUTE(A4291,"MOV-","")),"000"))</f>
        <v/>
      </c>
    </row>
    <row r="4292" spans="18:20">
      <c r="R4292" s="22" t="str">
        <f>IF(H4292="","",H4292&amp;I4292)</f>
        <v/>
      </c>
      <c r="S4292" s="22" t="str">
        <f>IF(C4292="","",C4292&amp;I4292)</f>
        <v/>
      </c>
      <c r="T4292" t="str">
        <f>IF(OR(C4292="",I4292&lt;&gt;"ENTRADA"),"",TEXT(B4292,"AAMMDD")&amp;"-"&amp;TEXT(VALUE(SUBSTITUTE(A4292,"MOV-","")),"000"))</f>
        <v/>
      </c>
    </row>
    <row r="4293" spans="18:20">
      <c r="R4293" s="22" t="str">
        <f>IF(H4293="","",H4293&amp;I4293)</f>
        <v/>
      </c>
      <c r="S4293" s="22" t="str">
        <f>IF(C4293="","",C4293&amp;I4293)</f>
        <v/>
      </c>
      <c r="T4293" t="str">
        <f>IF(OR(C4293="",I4293&lt;&gt;"ENTRADA"),"",TEXT(B4293,"AAMMDD")&amp;"-"&amp;TEXT(VALUE(SUBSTITUTE(A4293,"MOV-","")),"000"))</f>
        <v/>
      </c>
    </row>
    <row r="4294" spans="18:20">
      <c r="R4294" s="22" t="str">
        <f>IF(H4294="","",H4294&amp;I4294)</f>
        <v/>
      </c>
      <c r="S4294" s="22" t="str">
        <f>IF(C4294="","",C4294&amp;I4294)</f>
        <v/>
      </c>
      <c r="T4294" t="str">
        <f>IF(OR(C4294="",I4294&lt;&gt;"ENTRADA"),"",TEXT(B4294,"AAMMDD")&amp;"-"&amp;TEXT(VALUE(SUBSTITUTE(A4294,"MOV-","")),"000"))</f>
        <v/>
      </c>
    </row>
    <row r="4295" spans="18:20">
      <c r="R4295" s="22" t="str">
        <f>IF(H4295="","",H4295&amp;I4295)</f>
        <v/>
      </c>
      <c r="S4295" s="22" t="str">
        <f>IF(C4295="","",C4295&amp;I4295)</f>
        <v/>
      </c>
      <c r="T4295" t="str">
        <f>IF(OR(C4295="",I4295&lt;&gt;"ENTRADA"),"",TEXT(B4295,"AAMMDD")&amp;"-"&amp;TEXT(VALUE(SUBSTITUTE(A4295,"MOV-","")),"000"))</f>
        <v/>
      </c>
    </row>
    <row r="4296" spans="18:20">
      <c r="R4296" s="22" t="str">
        <f>IF(H4296="","",H4296&amp;I4296)</f>
        <v/>
      </c>
      <c r="S4296" s="22" t="str">
        <f>IF(C4296="","",C4296&amp;I4296)</f>
        <v/>
      </c>
      <c r="T4296" t="str">
        <f>IF(OR(C4296="",I4296&lt;&gt;"ENTRADA"),"",TEXT(B4296,"AAMMDD")&amp;"-"&amp;TEXT(VALUE(SUBSTITUTE(A4296,"MOV-","")),"000"))</f>
        <v/>
      </c>
    </row>
    <row r="4297" spans="18:20">
      <c r="R4297" s="22" t="str">
        <f>IF(H4297="","",H4297&amp;I4297)</f>
        <v/>
      </c>
      <c r="S4297" s="22" t="str">
        <f>IF(C4297="","",C4297&amp;I4297)</f>
        <v/>
      </c>
      <c r="T4297" t="str">
        <f>IF(OR(C4297="",I4297&lt;&gt;"ENTRADA"),"",TEXT(B4297,"AAMMDD")&amp;"-"&amp;TEXT(VALUE(SUBSTITUTE(A4297,"MOV-","")),"000"))</f>
        <v/>
      </c>
    </row>
    <row r="4298" spans="18:20">
      <c r="R4298" s="22" t="str">
        <f>IF(H4298="","",H4298&amp;I4298)</f>
        <v/>
      </c>
      <c r="S4298" s="22" t="str">
        <f>IF(C4298="","",C4298&amp;I4298)</f>
        <v/>
      </c>
      <c r="T4298" t="str">
        <f>IF(OR(C4298="",I4298&lt;&gt;"ENTRADA"),"",TEXT(B4298,"AAMMDD")&amp;"-"&amp;TEXT(VALUE(SUBSTITUTE(A4298,"MOV-","")),"000"))</f>
        <v/>
      </c>
    </row>
    <row r="4299" spans="18:20">
      <c r="R4299" s="22" t="str">
        <f>IF(H4299="","",H4299&amp;I4299)</f>
        <v/>
      </c>
      <c r="S4299" s="22" t="str">
        <f>IF(C4299="","",C4299&amp;I4299)</f>
        <v/>
      </c>
      <c r="T4299" t="str">
        <f>IF(OR(C4299="",I4299&lt;&gt;"ENTRADA"),"",TEXT(B4299,"AAMMDD")&amp;"-"&amp;TEXT(VALUE(SUBSTITUTE(A4299,"MOV-","")),"000"))</f>
        <v/>
      </c>
    </row>
    <row r="4300" spans="18:20">
      <c r="R4300" s="22" t="str">
        <f>IF(H4300="","",H4300&amp;I4300)</f>
        <v/>
      </c>
      <c r="S4300" s="22" t="str">
        <f>IF(C4300="","",C4300&amp;I4300)</f>
        <v/>
      </c>
      <c r="T4300" t="str">
        <f>IF(OR(C4300="",I4300&lt;&gt;"ENTRADA"),"",TEXT(B4300,"AAMMDD")&amp;"-"&amp;TEXT(VALUE(SUBSTITUTE(A4300,"MOV-","")),"000"))</f>
        <v/>
      </c>
    </row>
    <row r="4301" spans="18:20">
      <c r="R4301" s="22" t="str">
        <f>IF(H4301="","",H4301&amp;I4301)</f>
        <v/>
      </c>
      <c r="S4301" s="22" t="str">
        <f>IF(C4301="","",C4301&amp;I4301)</f>
        <v/>
      </c>
      <c r="T4301" t="str">
        <f>IF(OR(C4301="",I4301&lt;&gt;"ENTRADA"),"",TEXT(B4301,"AAMMDD")&amp;"-"&amp;TEXT(VALUE(SUBSTITUTE(A4301,"MOV-","")),"000"))</f>
        <v/>
      </c>
    </row>
    <row r="4302" spans="18:20">
      <c r="R4302" s="22" t="str">
        <f>IF(H4302="","",H4302&amp;I4302)</f>
        <v/>
      </c>
      <c r="S4302" s="22" t="str">
        <f>IF(C4302="","",C4302&amp;I4302)</f>
        <v/>
      </c>
      <c r="T4302" t="str">
        <f>IF(OR(C4302="",I4302&lt;&gt;"ENTRADA"),"",TEXT(B4302,"AAMMDD")&amp;"-"&amp;TEXT(VALUE(SUBSTITUTE(A4302,"MOV-","")),"000"))</f>
        <v/>
      </c>
    </row>
    <row r="4303" spans="18:20">
      <c r="R4303" s="22" t="str">
        <f>IF(H4303="","",H4303&amp;I4303)</f>
        <v/>
      </c>
      <c r="S4303" s="22" t="str">
        <f>IF(C4303="","",C4303&amp;I4303)</f>
        <v/>
      </c>
      <c r="T4303" t="str">
        <f>IF(OR(C4303="",I4303&lt;&gt;"ENTRADA"),"",TEXT(B4303,"AAMMDD")&amp;"-"&amp;TEXT(VALUE(SUBSTITUTE(A4303,"MOV-","")),"000"))</f>
        <v/>
      </c>
    </row>
    <row r="4304" spans="18:20">
      <c r="R4304" s="22" t="str">
        <f>IF(H4304="","",H4304&amp;I4304)</f>
        <v/>
      </c>
      <c r="S4304" s="22" t="str">
        <f>IF(C4304="","",C4304&amp;I4304)</f>
        <v/>
      </c>
      <c r="T4304" t="str">
        <f>IF(OR(C4304="",I4304&lt;&gt;"ENTRADA"),"",TEXT(B4304,"AAMMDD")&amp;"-"&amp;TEXT(VALUE(SUBSTITUTE(A4304,"MOV-","")),"000"))</f>
        <v/>
      </c>
    </row>
    <row r="4305" spans="18:20">
      <c r="R4305" s="22" t="str">
        <f>IF(H4305="","",H4305&amp;I4305)</f>
        <v/>
      </c>
      <c r="S4305" s="22" t="str">
        <f>IF(C4305="","",C4305&amp;I4305)</f>
        <v/>
      </c>
      <c r="T4305" t="str">
        <f>IF(OR(C4305="",I4305&lt;&gt;"ENTRADA"),"",TEXT(B4305,"AAMMDD")&amp;"-"&amp;TEXT(VALUE(SUBSTITUTE(A4305,"MOV-","")),"000"))</f>
        <v/>
      </c>
    </row>
    <row r="4306" spans="18:20">
      <c r="R4306" s="22" t="str">
        <f>IF(H4306="","",H4306&amp;I4306)</f>
        <v/>
      </c>
      <c r="S4306" s="22" t="str">
        <f>IF(C4306="","",C4306&amp;I4306)</f>
        <v/>
      </c>
      <c r="T4306" t="str">
        <f>IF(OR(C4306="",I4306&lt;&gt;"ENTRADA"),"",TEXT(B4306,"AAMMDD")&amp;"-"&amp;TEXT(VALUE(SUBSTITUTE(A4306,"MOV-","")),"000"))</f>
        <v/>
      </c>
    </row>
    <row r="4307" spans="18:20">
      <c r="R4307" s="22" t="str">
        <f>IF(H4307="","",H4307&amp;I4307)</f>
        <v/>
      </c>
      <c r="S4307" s="22" t="str">
        <f>IF(C4307="","",C4307&amp;I4307)</f>
        <v/>
      </c>
      <c r="T4307" t="str">
        <f>IF(OR(C4307="",I4307&lt;&gt;"ENTRADA"),"",TEXT(B4307,"AAMMDD")&amp;"-"&amp;TEXT(VALUE(SUBSTITUTE(A4307,"MOV-","")),"000"))</f>
        <v/>
      </c>
    </row>
    <row r="4308" spans="18:20">
      <c r="R4308" s="22" t="str">
        <f>IF(H4308="","",H4308&amp;I4308)</f>
        <v/>
      </c>
      <c r="S4308" s="22" t="str">
        <f>IF(C4308="","",C4308&amp;I4308)</f>
        <v/>
      </c>
      <c r="T4308" t="str">
        <f>IF(OR(C4308="",I4308&lt;&gt;"ENTRADA"),"",TEXT(B4308,"AAMMDD")&amp;"-"&amp;TEXT(VALUE(SUBSTITUTE(A4308,"MOV-","")),"000"))</f>
        <v/>
      </c>
    </row>
    <row r="4309" spans="18:20">
      <c r="R4309" s="22" t="str">
        <f>IF(H4309="","",H4309&amp;I4309)</f>
        <v/>
      </c>
      <c r="S4309" s="22" t="str">
        <f>IF(C4309="","",C4309&amp;I4309)</f>
        <v/>
      </c>
      <c r="T4309" t="str">
        <f>IF(OR(C4309="",I4309&lt;&gt;"ENTRADA"),"",TEXT(B4309,"AAMMDD")&amp;"-"&amp;TEXT(VALUE(SUBSTITUTE(A4309,"MOV-","")),"000"))</f>
        <v/>
      </c>
    </row>
    <row r="4310" spans="18:20">
      <c r="R4310" s="22" t="str">
        <f>IF(H4310="","",H4310&amp;I4310)</f>
        <v/>
      </c>
      <c r="S4310" s="22" t="str">
        <f>IF(C4310="","",C4310&amp;I4310)</f>
        <v/>
      </c>
      <c r="T4310" t="str">
        <f>IF(OR(C4310="",I4310&lt;&gt;"ENTRADA"),"",TEXT(B4310,"AAMMDD")&amp;"-"&amp;TEXT(VALUE(SUBSTITUTE(A4310,"MOV-","")),"000"))</f>
        <v/>
      </c>
    </row>
    <row r="4311" spans="18:20">
      <c r="R4311" s="22" t="str">
        <f>IF(H4311="","",H4311&amp;I4311)</f>
        <v/>
      </c>
      <c r="S4311" s="22" t="str">
        <f>IF(C4311="","",C4311&amp;I4311)</f>
        <v/>
      </c>
      <c r="T4311" t="str">
        <f>IF(OR(C4311="",I4311&lt;&gt;"ENTRADA"),"",TEXT(B4311,"AAMMDD")&amp;"-"&amp;TEXT(VALUE(SUBSTITUTE(A4311,"MOV-","")),"000"))</f>
        <v/>
      </c>
    </row>
    <row r="4312" spans="18:20">
      <c r="R4312" s="22" t="str">
        <f>IF(H4312="","",H4312&amp;I4312)</f>
        <v/>
      </c>
      <c r="S4312" s="22" t="str">
        <f>IF(C4312="","",C4312&amp;I4312)</f>
        <v/>
      </c>
      <c r="T4312" t="str">
        <f>IF(OR(C4312="",I4312&lt;&gt;"ENTRADA"),"",TEXT(B4312,"AAMMDD")&amp;"-"&amp;TEXT(VALUE(SUBSTITUTE(A4312,"MOV-","")),"000"))</f>
        <v/>
      </c>
    </row>
    <row r="4313" spans="18:20">
      <c r="R4313" s="22" t="str">
        <f>IF(H4313="","",H4313&amp;I4313)</f>
        <v/>
      </c>
      <c r="S4313" s="22" t="str">
        <f>IF(C4313="","",C4313&amp;I4313)</f>
        <v/>
      </c>
      <c r="T4313" t="str">
        <f>IF(OR(C4313="",I4313&lt;&gt;"ENTRADA"),"",TEXT(B4313,"AAMMDD")&amp;"-"&amp;TEXT(VALUE(SUBSTITUTE(A4313,"MOV-","")),"000"))</f>
        <v/>
      </c>
    </row>
    <row r="4314" spans="18:20">
      <c r="R4314" s="22" t="str">
        <f>IF(H4314="","",H4314&amp;I4314)</f>
        <v/>
      </c>
      <c r="S4314" s="22" t="str">
        <f>IF(C4314="","",C4314&amp;I4314)</f>
        <v/>
      </c>
      <c r="T4314" t="str">
        <f>IF(OR(C4314="",I4314&lt;&gt;"ENTRADA"),"",TEXT(B4314,"AAMMDD")&amp;"-"&amp;TEXT(VALUE(SUBSTITUTE(A4314,"MOV-","")),"000"))</f>
        <v/>
      </c>
    </row>
    <row r="4315" spans="18:20">
      <c r="R4315" s="22" t="str">
        <f>IF(H4315="","",H4315&amp;I4315)</f>
        <v/>
      </c>
      <c r="S4315" s="22" t="str">
        <f>IF(C4315="","",C4315&amp;I4315)</f>
        <v/>
      </c>
      <c r="T4315" t="str">
        <f>IF(OR(C4315="",I4315&lt;&gt;"ENTRADA"),"",TEXT(B4315,"AAMMDD")&amp;"-"&amp;TEXT(VALUE(SUBSTITUTE(A4315,"MOV-","")),"000"))</f>
        <v/>
      </c>
    </row>
    <row r="4316" spans="18:20">
      <c r="R4316" s="22" t="str">
        <f>IF(H4316="","",H4316&amp;I4316)</f>
        <v/>
      </c>
      <c r="S4316" s="22" t="str">
        <f>IF(C4316="","",C4316&amp;I4316)</f>
        <v/>
      </c>
      <c r="T4316" t="str">
        <f>IF(OR(C4316="",I4316&lt;&gt;"ENTRADA"),"",TEXT(B4316,"AAMMDD")&amp;"-"&amp;TEXT(VALUE(SUBSTITUTE(A4316,"MOV-","")),"000"))</f>
        <v/>
      </c>
    </row>
    <row r="4317" spans="18:20">
      <c r="R4317" s="22" t="str">
        <f>IF(H4317="","",H4317&amp;I4317)</f>
        <v/>
      </c>
      <c r="S4317" s="22" t="str">
        <f>IF(C4317="","",C4317&amp;I4317)</f>
        <v/>
      </c>
      <c r="T4317" t="str">
        <f>IF(OR(C4317="",I4317&lt;&gt;"ENTRADA"),"",TEXT(B4317,"AAMMDD")&amp;"-"&amp;TEXT(VALUE(SUBSTITUTE(A4317,"MOV-","")),"000"))</f>
        <v/>
      </c>
    </row>
    <row r="4318" spans="18:20">
      <c r="R4318" s="22" t="str">
        <f>IF(H4318="","",H4318&amp;I4318)</f>
        <v/>
      </c>
      <c r="S4318" s="22" t="str">
        <f>IF(C4318="","",C4318&amp;I4318)</f>
        <v/>
      </c>
      <c r="T4318" t="str">
        <f>IF(OR(C4318="",I4318&lt;&gt;"ENTRADA"),"",TEXT(B4318,"AAMMDD")&amp;"-"&amp;TEXT(VALUE(SUBSTITUTE(A4318,"MOV-","")),"000"))</f>
        <v/>
      </c>
    </row>
    <row r="4319" spans="18:20">
      <c r="R4319" s="22" t="str">
        <f>IF(H4319="","",H4319&amp;I4319)</f>
        <v/>
      </c>
      <c r="S4319" s="22" t="str">
        <f>IF(C4319="","",C4319&amp;I4319)</f>
        <v/>
      </c>
      <c r="T4319" t="str">
        <f>IF(OR(C4319="",I4319&lt;&gt;"ENTRADA"),"",TEXT(B4319,"AAMMDD")&amp;"-"&amp;TEXT(VALUE(SUBSTITUTE(A4319,"MOV-","")),"000"))</f>
        <v/>
      </c>
    </row>
    <row r="4320" spans="18:20">
      <c r="R4320" s="22" t="str">
        <f>IF(H4320="","",H4320&amp;I4320)</f>
        <v/>
      </c>
      <c r="S4320" s="22" t="str">
        <f>IF(C4320="","",C4320&amp;I4320)</f>
        <v/>
      </c>
      <c r="T4320" t="str">
        <f>IF(OR(C4320="",I4320&lt;&gt;"ENTRADA"),"",TEXT(B4320,"AAMMDD")&amp;"-"&amp;TEXT(VALUE(SUBSTITUTE(A4320,"MOV-","")),"000"))</f>
        <v/>
      </c>
    </row>
    <row r="4321" spans="18:20">
      <c r="R4321" s="22" t="str">
        <f>IF(H4321="","",H4321&amp;I4321)</f>
        <v/>
      </c>
      <c r="S4321" s="22" t="str">
        <f>IF(C4321="","",C4321&amp;I4321)</f>
        <v/>
      </c>
      <c r="T4321" t="str">
        <f>IF(OR(C4321="",I4321&lt;&gt;"ENTRADA"),"",TEXT(B4321,"AAMMDD")&amp;"-"&amp;TEXT(VALUE(SUBSTITUTE(A4321,"MOV-","")),"000"))</f>
        <v/>
      </c>
    </row>
    <row r="4322" spans="18:20">
      <c r="R4322" s="22" t="str">
        <f>IF(H4322="","",H4322&amp;I4322)</f>
        <v/>
      </c>
      <c r="S4322" s="22" t="str">
        <f>IF(C4322="","",C4322&amp;I4322)</f>
        <v/>
      </c>
      <c r="T4322" t="str">
        <f>IF(OR(C4322="",I4322&lt;&gt;"ENTRADA"),"",TEXT(B4322,"AAMMDD")&amp;"-"&amp;TEXT(VALUE(SUBSTITUTE(A4322,"MOV-","")),"000"))</f>
        <v/>
      </c>
    </row>
    <row r="4323" spans="18:20">
      <c r="R4323" s="22" t="str">
        <f>IF(H4323="","",H4323&amp;I4323)</f>
        <v/>
      </c>
      <c r="S4323" s="22" t="str">
        <f>IF(C4323="","",C4323&amp;I4323)</f>
        <v/>
      </c>
      <c r="T4323" t="str">
        <f>IF(OR(C4323="",I4323&lt;&gt;"ENTRADA"),"",TEXT(B4323,"AAMMDD")&amp;"-"&amp;TEXT(VALUE(SUBSTITUTE(A4323,"MOV-","")),"000"))</f>
        <v/>
      </c>
    </row>
    <row r="4324" spans="18:20">
      <c r="R4324" s="22" t="str">
        <f>IF(H4324="","",H4324&amp;I4324)</f>
        <v/>
      </c>
      <c r="S4324" s="22" t="str">
        <f>IF(C4324="","",C4324&amp;I4324)</f>
        <v/>
      </c>
      <c r="T4324" t="str">
        <f>IF(OR(C4324="",I4324&lt;&gt;"ENTRADA"),"",TEXT(B4324,"AAMMDD")&amp;"-"&amp;TEXT(VALUE(SUBSTITUTE(A4324,"MOV-","")),"000"))</f>
        <v/>
      </c>
    </row>
    <row r="4325" spans="18:20">
      <c r="R4325" s="22" t="str">
        <f>IF(H4325="","",H4325&amp;I4325)</f>
        <v/>
      </c>
      <c r="S4325" s="22" t="str">
        <f>IF(C4325="","",C4325&amp;I4325)</f>
        <v/>
      </c>
      <c r="T4325" t="str">
        <f>IF(OR(C4325="",I4325&lt;&gt;"ENTRADA"),"",TEXT(B4325,"AAMMDD")&amp;"-"&amp;TEXT(VALUE(SUBSTITUTE(A4325,"MOV-","")),"000"))</f>
        <v/>
      </c>
    </row>
    <row r="4326" spans="18:20">
      <c r="R4326" s="22" t="str">
        <f>IF(H4326="","",H4326&amp;I4326)</f>
        <v/>
      </c>
      <c r="S4326" s="22" t="str">
        <f>IF(C4326="","",C4326&amp;I4326)</f>
        <v/>
      </c>
      <c r="T4326" t="str">
        <f>IF(OR(C4326="",I4326&lt;&gt;"ENTRADA"),"",TEXT(B4326,"AAMMDD")&amp;"-"&amp;TEXT(VALUE(SUBSTITUTE(A4326,"MOV-","")),"000"))</f>
        <v/>
      </c>
    </row>
    <row r="4327" spans="18:20">
      <c r="R4327" s="22" t="str">
        <f>IF(H4327="","",H4327&amp;I4327)</f>
        <v/>
      </c>
      <c r="S4327" s="22" t="str">
        <f>IF(C4327="","",C4327&amp;I4327)</f>
        <v/>
      </c>
      <c r="T4327" t="str">
        <f>IF(OR(C4327="",I4327&lt;&gt;"ENTRADA"),"",TEXT(B4327,"AAMMDD")&amp;"-"&amp;TEXT(VALUE(SUBSTITUTE(A4327,"MOV-","")),"000"))</f>
        <v/>
      </c>
    </row>
    <row r="4328" spans="18:20">
      <c r="R4328" s="22" t="str">
        <f>IF(H4328="","",H4328&amp;I4328)</f>
        <v/>
      </c>
      <c r="S4328" s="22" t="str">
        <f>IF(C4328="","",C4328&amp;I4328)</f>
        <v/>
      </c>
      <c r="T4328" t="str">
        <f>IF(OR(C4328="",I4328&lt;&gt;"ENTRADA"),"",TEXT(B4328,"AAMMDD")&amp;"-"&amp;TEXT(VALUE(SUBSTITUTE(A4328,"MOV-","")),"000"))</f>
        <v/>
      </c>
    </row>
    <row r="4329" spans="18:20">
      <c r="R4329" s="22" t="str">
        <f>IF(H4329="","",H4329&amp;I4329)</f>
        <v/>
      </c>
      <c r="S4329" s="22" t="str">
        <f>IF(C4329="","",C4329&amp;I4329)</f>
        <v/>
      </c>
      <c r="T4329" t="str">
        <f>IF(OR(C4329="",I4329&lt;&gt;"ENTRADA"),"",TEXT(B4329,"AAMMDD")&amp;"-"&amp;TEXT(VALUE(SUBSTITUTE(A4329,"MOV-","")),"000"))</f>
        <v/>
      </c>
    </row>
    <row r="4330" spans="18:20">
      <c r="R4330" s="22" t="str">
        <f>IF(H4330="","",H4330&amp;I4330)</f>
        <v/>
      </c>
      <c r="S4330" s="22" t="str">
        <f>IF(C4330="","",C4330&amp;I4330)</f>
        <v/>
      </c>
      <c r="T4330" t="str">
        <f>IF(OR(C4330="",I4330&lt;&gt;"ENTRADA"),"",TEXT(B4330,"AAMMDD")&amp;"-"&amp;TEXT(VALUE(SUBSTITUTE(A4330,"MOV-","")),"000"))</f>
        <v/>
      </c>
    </row>
    <row r="4331" spans="18:20">
      <c r="R4331" s="22" t="str">
        <f>IF(H4331="","",H4331&amp;I4331)</f>
        <v/>
      </c>
      <c r="S4331" s="22" t="str">
        <f>IF(C4331="","",C4331&amp;I4331)</f>
        <v/>
      </c>
      <c r="T4331" t="str">
        <f>IF(OR(C4331="",I4331&lt;&gt;"ENTRADA"),"",TEXT(B4331,"AAMMDD")&amp;"-"&amp;TEXT(VALUE(SUBSTITUTE(A4331,"MOV-","")),"000"))</f>
        <v/>
      </c>
    </row>
    <row r="4332" spans="18:20">
      <c r="R4332" s="22" t="str">
        <f>IF(H4332="","",H4332&amp;I4332)</f>
        <v/>
      </c>
      <c r="S4332" s="22" t="str">
        <f>IF(C4332="","",C4332&amp;I4332)</f>
        <v/>
      </c>
      <c r="T4332" t="str">
        <f>IF(OR(C4332="",I4332&lt;&gt;"ENTRADA"),"",TEXT(B4332,"AAMMDD")&amp;"-"&amp;TEXT(VALUE(SUBSTITUTE(A4332,"MOV-","")),"000"))</f>
        <v/>
      </c>
    </row>
    <row r="4333" spans="18:20">
      <c r="R4333" s="22" t="str">
        <f>IF(H4333="","",H4333&amp;I4333)</f>
        <v/>
      </c>
      <c r="S4333" s="22" t="str">
        <f>IF(C4333="","",C4333&amp;I4333)</f>
        <v/>
      </c>
      <c r="T4333" t="str">
        <f>IF(OR(C4333="",I4333&lt;&gt;"ENTRADA"),"",TEXT(B4333,"AAMMDD")&amp;"-"&amp;TEXT(VALUE(SUBSTITUTE(A4333,"MOV-","")),"000"))</f>
        <v/>
      </c>
    </row>
    <row r="4334" spans="18:20">
      <c r="R4334" s="22" t="str">
        <f>IF(H4334="","",H4334&amp;I4334)</f>
        <v/>
      </c>
      <c r="S4334" s="22" t="str">
        <f>IF(C4334="","",C4334&amp;I4334)</f>
        <v/>
      </c>
      <c r="T4334" t="str">
        <f>IF(OR(C4334="",I4334&lt;&gt;"ENTRADA"),"",TEXT(B4334,"AAMMDD")&amp;"-"&amp;TEXT(VALUE(SUBSTITUTE(A4334,"MOV-","")),"000"))</f>
        <v/>
      </c>
    </row>
    <row r="4335" spans="18:20">
      <c r="R4335" s="22" t="str">
        <f>IF(H4335="","",H4335&amp;I4335)</f>
        <v/>
      </c>
      <c r="S4335" s="22" t="str">
        <f>IF(C4335="","",C4335&amp;I4335)</f>
        <v/>
      </c>
      <c r="T4335" t="str">
        <f>IF(OR(C4335="",I4335&lt;&gt;"ENTRADA"),"",TEXT(B4335,"AAMMDD")&amp;"-"&amp;TEXT(VALUE(SUBSTITUTE(A4335,"MOV-","")),"000"))</f>
        <v/>
      </c>
    </row>
    <row r="4336" spans="18:20">
      <c r="R4336" s="22" t="str">
        <f>IF(H4336="","",H4336&amp;I4336)</f>
        <v/>
      </c>
      <c r="S4336" s="22" t="str">
        <f>IF(C4336="","",C4336&amp;I4336)</f>
        <v/>
      </c>
      <c r="T4336" t="str">
        <f>IF(OR(C4336="",I4336&lt;&gt;"ENTRADA"),"",TEXT(B4336,"AAMMDD")&amp;"-"&amp;TEXT(VALUE(SUBSTITUTE(A4336,"MOV-","")),"000"))</f>
        <v/>
      </c>
    </row>
    <row r="4337" spans="18:20">
      <c r="R4337" s="22" t="str">
        <f>IF(H4337="","",H4337&amp;I4337)</f>
        <v/>
      </c>
      <c r="S4337" s="22" t="str">
        <f>IF(C4337="","",C4337&amp;I4337)</f>
        <v/>
      </c>
      <c r="T4337" t="str">
        <f>IF(OR(C4337="",I4337&lt;&gt;"ENTRADA"),"",TEXT(B4337,"AAMMDD")&amp;"-"&amp;TEXT(VALUE(SUBSTITUTE(A4337,"MOV-","")),"000"))</f>
        <v/>
      </c>
    </row>
    <row r="4338" spans="18:20">
      <c r="R4338" s="22" t="str">
        <f>IF(H4338="","",H4338&amp;I4338)</f>
        <v/>
      </c>
      <c r="S4338" s="22" t="str">
        <f>IF(C4338="","",C4338&amp;I4338)</f>
        <v/>
      </c>
      <c r="T4338" t="str">
        <f>IF(OR(C4338="",I4338&lt;&gt;"ENTRADA"),"",TEXT(B4338,"AAMMDD")&amp;"-"&amp;TEXT(VALUE(SUBSTITUTE(A4338,"MOV-","")),"000"))</f>
        <v/>
      </c>
    </row>
    <row r="4339" spans="18:20">
      <c r="R4339" s="22" t="str">
        <f>IF(H4339="","",H4339&amp;I4339)</f>
        <v/>
      </c>
      <c r="S4339" s="22" t="str">
        <f>IF(C4339="","",C4339&amp;I4339)</f>
        <v/>
      </c>
      <c r="T4339" t="str">
        <f>IF(OR(C4339="",I4339&lt;&gt;"ENTRADA"),"",TEXT(B4339,"AAMMDD")&amp;"-"&amp;TEXT(VALUE(SUBSTITUTE(A4339,"MOV-","")),"000"))</f>
        <v/>
      </c>
    </row>
    <row r="4340" spans="18:20">
      <c r="R4340" s="22" t="str">
        <f>IF(H4340="","",H4340&amp;I4340)</f>
        <v/>
      </c>
      <c r="S4340" s="22" t="str">
        <f>IF(C4340="","",C4340&amp;I4340)</f>
        <v/>
      </c>
      <c r="T4340" t="str">
        <f>IF(OR(C4340="",I4340&lt;&gt;"ENTRADA"),"",TEXT(B4340,"AAMMDD")&amp;"-"&amp;TEXT(VALUE(SUBSTITUTE(A4340,"MOV-","")),"000"))</f>
        <v/>
      </c>
    </row>
    <row r="4341" spans="18:20">
      <c r="R4341" s="22" t="str">
        <f>IF(H4341="","",H4341&amp;I4341)</f>
        <v/>
      </c>
      <c r="S4341" s="22" t="str">
        <f>IF(C4341="","",C4341&amp;I4341)</f>
        <v/>
      </c>
      <c r="T4341" t="str">
        <f>IF(OR(C4341="",I4341&lt;&gt;"ENTRADA"),"",TEXT(B4341,"AAMMDD")&amp;"-"&amp;TEXT(VALUE(SUBSTITUTE(A4341,"MOV-","")),"000"))</f>
        <v/>
      </c>
    </row>
    <row r="4342" spans="18:20">
      <c r="R4342" s="22" t="str">
        <f>IF(H4342="","",H4342&amp;I4342)</f>
        <v/>
      </c>
      <c r="S4342" s="22" t="str">
        <f>IF(C4342="","",C4342&amp;I4342)</f>
        <v/>
      </c>
      <c r="T4342" t="str">
        <f>IF(OR(C4342="",I4342&lt;&gt;"ENTRADA"),"",TEXT(B4342,"AAMMDD")&amp;"-"&amp;TEXT(VALUE(SUBSTITUTE(A4342,"MOV-","")),"000"))</f>
        <v/>
      </c>
    </row>
    <row r="4343" spans="18:20">
      <c r="R4343" s="22" t="str">
        <f>IF(H4343="","",H4343&amp;I4343)</f>
        <v/>
      </c>
      <c r="S4343" s="22" t="str">
        <f>IF(C4343="","",C4343&amp;I4343)</f>
        <v/>
      </c>
      <c r="T4343" t="str">
        <f>IF(OR(C4343="",I4343&lt;&gt;"ENTRADA"),"",TEXT(B4343,"AAMMDD")&amp;"-"&amp;TEXT(VALUE(SUBSTITUTE(A4343,"MOV-","")),"000"))</f>
        <v/>
      </c>
    </row>
    <row r="4344" spans="18:20">
      <c r="R4344" s="22" t="str">
        <f>IF(H4344="","",H4344&amp;I4344)</f>
        <v/>
      </c>
      <c r="S4344" s="22" t="str">
        <f>IF(C4344="","",C4344&amp;I4344)</f>
        <v/>
      </c>
      <c r="T4344" t="str">
        <f>IF(OR(C4344="",I4344&lt;&gt;"ENTRADA"),"",TEXT(B4344,"AAMMDD")&amp;"-"&amp;TEXT(VALUE(SUBSTITUTE(A4344,"MOV-","")),"000"))</f>
        <v/>
      </c>
    </row>
    <row r="4345" spans="18:20">
      <c r="R4345" s="22" t="str">
        <f>IF(H4345="","",H4345&amp;I4345)</f>
        <v/>
      </c>
      <c r="S4345" s="22" t="str">
        <f>IF(C4345="","",C4345&amp;I4345)</f>
        <v/>
      </c>
      <c r="T4345" t="str">
        <f>IF(OR(C4345="",I4345&lt;&gt;"ENTRADA"),"",TEXT(B4345,"AAMMDD")&amp;"-"&amp;TEXT(VALUE(SUBSTITUTE(A4345,"MOV-","")),"000"))</f>
        <v/>
      </c>
    </row>
    <row r="4346" spans="18:20">
      <c r="R4346" s="22" t="str">
        <f>IF(H4346="","",H4346&amp;I4346)</f>
        <v/>
      </c>
      <c r="S4346" s="22" t="str">
        <f>IF(C4346="","",C4346&amp;I4346)</f>
        <v/>
      </c>
      <c r="T4346" t="str">
        <f>IF(OR(C4346="",I4346&lt;&gt;"ENTRADA"),"",TEXT(B4346,"AAMMDD")&amp;"-"&amp;TEXT(VALUE(SUBSTITUTE(A4346,"MOV-","")),"000"))</f>
        <v/>
      </c>
    </row>
    <row r="4347" spans="18:20">
      <c r="R4347" s="22" t="str">
        <f>IF(H4347="","",H4347&amp;I4347)</f>
        <v/>
      </c>
      <c r="S4347" s="22" t="str">
        <f>IF(C4347="","",C4347&amp;I4347)</f>
        <v/>
      </c>
      <c r="T4347" t="str">
        <f>IF(OR(C4347="",I4347&lt;&gt;"ENTRADA"),"",TEXT(B4347,"AAMMDD")&amp;"-"&amp;TEXT(VALUE(SUBSTITUTE(A4347,"MOV-","")),"000"))</f>
        <v/>
      </c>
    </row>
    <row r="4348" spans="18:20">
      <c r="R4348" s="22" t="str">
        <f>IF(H4348="","",H4348&amp;I4348)</f>
        <v/>
      </c>
      <c r="S4348" s="22" t="str">
        <f>IF(C4348="","",C4348&amp;I4348)</f>
        <v/>
      </c>
      <c r="T4348" t="str">
        <f>IF(OR(C4348="",I4348&lt;&gt;"ENTRADA"),"",TEXT(B4348,"AAMMDD")&amp;"-"&amp;TEXT(VALUE(SUBSTITUTE(A4348,"MOV-","")),"000"))</f>
        <v/>
      </c>
    </row>
    <row r="4349" spans="18:20">
      <c r="R4349" s="22" t="str">
        <f>IF(H4349="","",H4349&amp;I4349)</f>
        <v/>
      </c>
      <c r="S4349" s="22" t="str">
        <f>IF(C4349="","",C4349&amp;I4349)</f>
        <v/>
      </c>
      <c r="T4349" t="str">
        <f>IF(OR(C4349="",I4349&lt;&gt;"ENTRADA"),"",TEXT(B4349,"AAMMDD")&amp;"-"&amp;TEXT(VALUE(SUBSTITUTE(A4349,"MOV-","")),"000"))</f>
        <v/>
      </c>
    </row>
    <row r="4350" spans="18:20">
      <c r="R4350" s="22" t="str">
        <f>IF(H4350="","",H4350&amp;I4350)</f>
        <v/>
      </c>
      <c r="S4350" s="22" t="str">
        <f>IF(C4350="","",C4350&amp;I4350)</f>
        <v/>
      </c>
      <c r="T4350" t="str">
        <f>IF(OR(C4350="",I4350&lt;&gt;"ENTRADA"),"",TEXT(B4350,"AAMMDD")&amp;"-"&amp;TEXT(VALUE(SUBSTITUTE(A4350,"MOV-","")),"000"))</f>
        <v/>
      </c>
    </row>
    <row r="4351" spans="18:20">
      <c r="R4351" s="22" t="str">
        <f>IF(H4351="","",H4351&amp;I4351)</f>
        <v/>
      </c>
      <c r="S4351" s="22" t="str">
        <f>IF(C4351="","",C4351&amp;I4351)</f>
        <v/>
      </c>
      <c r="T4351" t="str">
        <f>IF(OR(C4351="",I4351&lt;&gt;"ENTRADA"),"",TEXT(B4351,"AAMMDD")&amp;"-"&amp;TEXT(VALUE(SUBSTITUTE(A4351,"MOV-","")),"000"))</f>
        <v/>
      </c>
    </row>
    <row r="4352" spans="18:20">
      <c r="R4352" s="22" t="str">
        <f>IF(H4352="","",H4352&amp;I4352)</f>
        <v/>
      </c>
      <c r="S4352" s="22" t="str">
        <f>IF(C4352="","",C4352&amp;I4352)</f>
        <v/>
      </c>
      <c r="T4352" t="str">
        <f>IF(OR(C4352="",I4352&lt;&gt;"ENTRADA"),"",TEXT(B4352,"AAMMDD")&amp;"-"&amp;TEXT(VALUE(SUBSTITUTE(A4352,"MOV-","")),"000"))</f>
        <v/>
      </c>
    </row>
    <row r="4353" spans="18:20">
      <c r="R4353" s="22" t="str">
        <f>IF(H4353="","",H4353&amp;I4353)</f>
        <v/>
      </c>
      <c r="S4353" s="22" t="str">
        <f>IF(C4353="","",C4353&amp;I4353)</f>
        <v/>
      </c>
      <c r="T4353" t="str">
        <f>IF(OR(C4353="",I4353&lt;&gt;"ENTRADA"),"",TEXT(B4353,"AAMMDD")&amp;"-"&amp;TEXT(VALUE(SUBSTITUTE(A4353,"MOV-","")),"000"))</f>
        <v/>
      </c>
    </row>
    <row r="4354" spans="18:20">
      <c r="R4354" s="22" t="str">
        <f>IF(H4354="","",H4354&amp;I4354)</f>
        <v/>
      </c>
      <c r="S4354" s="22" t="str">
        <f>IF(C4354="","",C4354&amp;I4354)</f>
        <v/>
      </c>
      <c r="T4354" t="str">
        <f>IF(OR(C4354="",I4354&lt;&gt;"ENTRADA"),"",TEXT(B4354,"AAMMDD")&amp;"-"&amp;TEXT(VALUE(SUBSTITUTE(A4354,"MOV-","")),"000"))</f>
        <v/>
      </c>
    </row>
    <row r="4355" spans="18:20">
      <c r="R4355" s="22" t="str">
        <f>IF(H4355="","",H4355&amp;I4355)</f>
        <v/>
      </c>
      <c r="S4355" s="22" t="str">
        <f>IF(C4355="","",C4355&amp;I4355)</f>
        <v/>
      </c>
      <c r="T4355" t="str">
        <f>IF(OR(C4355="",I4355&lt;&gt;"ENTRADA"),"",TEXT(B4355,"AAMMDD")&amp;"-"&amp;TEXT(VALUE(SUBSTITUTE(A4355,"MOV-","")),"000"))</f>
        <v/>
      </c>
    </row>
    <row r="4356" spans="18:20">
      <c r="R4356" s="22" t="str">
        <f>IF(H4356="","",H4356&amp;I4356)</f>
        <v/>
      </c>
      <c r="S4356" s="22" t="str">
        <f>IF(C4356="","",C4356&amp;I4356)</f>
        <v/>
      </c>
      <c r="T4356" t="str">
        <f>IF(OR(C4356="",I4356&lt;&gt;"ENTRADA"),"",TEXT(B4356,"AAMMDD")&amp;"-"&amp;TEXT(VALUE(SUBSTITUTE(A4356,"MOV-","")),"000"))</f>
        <v/>
      </c>
    </row>
    <row r="4357" spans="18:20">
      <c r="R4357" s="22" t="str">
        <f>IF(H4357="","",H4357&amp;I4357)</f>
        <v/>
      </c>
      <c r="S4357" s="22" t="str">
        <f>IF(C4357="","",C4357&amp;I4357)</f>
        <v/>
      </c>
      <c r="T4357" t="str">
        <f>IF(OR(C4357="",I4357&lt;&gt;"ENTRADA"),"",TEXT(B4357,"AAMMDD")&amp;"-"&amp;TEXT(VALUE(SUBSTITUTE(A4357,"MOV-","")),"000"))</f>
        <v/>
      </c>
    </row>
    <row r="4358" spans="18:20">
      <c r="R4358" s="22" t="str">
        <f>IF(H4358="","",H4358&amp;I4358)</f>
        <v/>
      </c>
      <c r="S4358" s="22" t="str">
        <f>IF(C4358="","",C4358&amp;I4358)</f>
        <v/>
      </c>
      <c r="T4358" t="str">
        <f>IF(OR(C4358="",I4358&lt;&gt;"ENTRADA"),"",TEXT(B4358,"AAMMDD")&amp;"-"&amp;TEXT(VALUE(SUBSTITUTE(A4358,"MOV-","")),"000"))</f>
        <v/>
      </c>
    </row>
    <row r="4359" spans="18:20">
      <c r="R4359" s="22" t="str">
        <f>IF(H4359="","",H4359&amp;I4359)</f>
        <v/>
      </c>
      <c r="S4359" s="22" t="str">
        <f>IF(C4359="","",C4359&amp;I4359)</f>
        <v/>
      </c>
      <c r="T4359" t="str">
        <f>IF(OR(C4359="",I4359&lt;&gt;"ENTRADA"),"",TEXT(B4359,"AAMMDD")&amp;"-"&amp;TEXT(VALUE(SUBSTITUTE(A4359,"MOV-","")),"000"))</f>
        <v/>
      </c>
    </row>
    <row r="4360" spans="18:20">
      <c r="R4360" s="22" t="str">
        <f>IF(H4360="","",H4360&amp;I4360)</f>
        <v/>
      </c>
      <c r="S4360" s="22" t="str">
        <f>IF(C4360="","",C4360&amp;I4360)</f>
        <v/>
      </c>
      <c r="T4360" t="str">
        <f>IF(OR(C4360="",I4360&lt;&gt;"ENTRADA"),"",TEXT(B4360,"AAMMDD")&amp;"-"&amp;TEXT(VALUE(SUBSTITUTE(A4360,"MOV-","")),"000"))</f>
        <v/>
      </c>
    </row>
    <row r="4361" spans="18:20">
      <c r="R4361" s="22" t="str">
        <f>IF(H4361="","",H4361&amp;I4361)</f>
        <v/>
      </c>
      <c r="S4361" s="22" t="str">
        <f>IF(C4361="","",C4361&amp;I4361)</f>
        <v/>
      </c>
      <c r="T4361" t="str">
        <f>IF(OR(C4361="",I4361&lt;&gt;"ENTRADA"),"",TEXT(B4361,"AAMMDD")&amp;"-"&amp;TEXT(VALUE(SUBSTITUTE(A4361,"MOV-","")),"000"))</f>
        <v/>
      </c>
    </row>
    <row r="4362" spans="18:20">
      <c r="R4362" s="22" t="str">
        <f>IF(H4362="","",H4362&amp;I4362)</f>
        <v/>
      </c>
      <c r="S4362" s="22" t="str">
        <f>IF(C4362="","",C4362&amp;I4362)</f>
        <v/>
      </c>
      <c r="T4362" t="str">
        <f>IF(OR(C4362="",I4362&lt;&gt;"ENTRADA"),"",TEXT(B4362,"AAMMDD")&amp;"-"&amp;TEXT(VALUE(SUBSTITUTE(A4362,"MOV-","")),"000"))</f>
        <v/>
      </c>
    </row>
    <row r="4363" spans="18:20">
      <c r="R4363" s="22" t="str">
        <f>IF(H4363="","",H4363&amp;I4363)</f>
        <v/>
      </c>
      <c r="S4363" s="22" t="str">
        <f>IF(C4363="","",C4363&amp;I4363)</f>
        <v/>
      </c>
      <c r="T4363" t="str">
        <f>IF(OR(C4363="",I4363&lt;&gt;"ENTRADA"),"",TEXT(B4363,"AAMMDD")&amp;"-"&amp;TEXT(VALUE(SUBSTITUTE(A4363,"MOV-","")),"000"))</f>
        <v/>
      </c>
    </row>
    <row r="4364" spans="18:20">
      <c r="R4364" s="22" t="str">
        <f>IF(H4364="","",H4364&amp;I4364)</f>
        <v/>
      </c>
      <c r="S4364" s="22" t="str">
        <f>IF(C4364="","",C4364&amp;I4364)</f>
        <v/>
      </c>
      <c r="T4364" t="str">
        <f>IF(OR(C4364="",I4364&lt;&gt;"ENTRADA"),"",TEXT(B4364,"AAMMDD")&amp;"-"&amp;TEXT(VALUE(SUBSTITUTE(A4364,"MOV-","")),"000"))</f>
        <v/>
      </c>
    </row>
    <row r="4365" spans="18:20">
      <c r="R4365" s="22" t="str">
        <f>IF(H4365="","",H4365&amp;I4365)</f>
        <v/>
      </c>
      <c r="S4365" s="22" t="str">
        <f>IF(C4365="","",C4365&amp;I4365)</f>
        <v/>
      </c>
      <c r="T4365" t="str">
        <f>IF(OR(C4365="",I4365&lt;&gt;"ENTRADA"),"",TEXT(B4365,"AAMMDD")&amp;"-"&amp;TEXT(VALUE(SUBSTITUTE(A4365,"MOV-","")),"000"))</f>
        <v/>
      </c>
    </row>
    <row r="4366" spans="18:20">
      <c r="R4366" s="22" t="str">
        <f>IF(H4366="","",H4366&amp;I4366)</f>
        <v/>
      </c>
      <c r="S4366" s="22" t="str">
        <f>IF(C4366="","",C4366&amp;I4366)</f>
        <v/>
      </c>
      <c r="T4366" t="str">
        <f>IF(OR(C4366="",I4366&lt;&gt;"ENTRADA"),"",TEXT(B4366,"AAMMDD")&amp;"-"&amp;TEXT(VALUE(SUBSTITUTE(A4366,"MOV-","")),"000"))</f>
        <v/>
      </c>
    </row>
    <row r="4367" spans="18:20">
      <c r="R4367" s="22" t="str">
        <f>IF(H4367="","",H4367&amp;I4367)</f>
        <v/>
      </c>
      <c r="S4367" s="22" t="str">
        <f>IF(C4367="","",C4367&amp;I4367)</f>
        <v/>
      </c>
      <c r="T4367" t="str">
        <f>IF(OR(C4367="",I4367&lt;&gt;"ENTRADA"),"",TEXT(B4367,"AAMMDD")&amp;"-"&amp;TEXT(VALUE(SUBSTITUTE(A4367,"MOV-","")),"000"))</f>
        <v/>
      </c>
    </row>
    <row r="4368" spans="18:20">
      <c r="R4368" s="22" t="str">
        <f>IF(H4368="","",H4368&amp;I4368)</f>
        <v/>
      </c>
      <c r="S4368" s="22" t="str">
        <f>IF(C4368="","",C4368&amp;I4368)</f>
        <v/>
      </c>
      <c r="T4368" t="str">
        <f>IF(OR(C4368="",I4368&lt;&gt;"ENTRADA"),"",TEXT(B4368,"AAMMDD")&amp;"-"&amp;TEXT(VALUE(SUBSTITUTE(A4368,"MOV-","")),"000"))</f>
        <v/>
      </c>
    </row>
    <row r="4369" spans="18:20">
      <c r="R4369" s="22" t="str">
        <f>IF(H4369="","",H4369&amp;I4369)</f>
        <v/>
      </c>
      <c r="S4369" s="22" t="str">
        <f>IF(C4369="","",C4369&amp;I4369)</f>
        <v/>
      </c>
      <c r="T4369" t="str">
        <f>IF(OR(C4369="",I4369&lt;&gt;"ENTRADA"),"",TEXT(B4369,"AAMMDD")&amp;"-"&amp;TEXT(VALUE(SUBSTITUTE(A4369,"MOV-","")),"000"))</f>
        <v/>
      </c>
    </row>
    <row r="4370" spans="18:20">
      <c r="R4370" s="22" t="str">
        <f>IF(H4370="","",H4370&amp;I4370)</f>
        <v/>
      </c>
      <c r="S4370" s="22" t="str">
        <f>IF(C4370="","",C4370&amp;I4370)</f>
        <v/>
      </c>
      <c r="T4370" t="str">
        <f>IF(OR(C4370="",I4370&lt;&gt;"ENTRADA"),"",TEXT(B4370,"AAMMDD")&amp;"-"&amp;TEXT(VALUE(SUBSTITUTE(A4370,"MOV-","")),"000"))</f>
        <v/>
      </c>
    </row>
    <row r="4371" spans="18:20">
      <c r="R4371" s="22" t="str">
        <f>IF(H4371="","",H4371&amp;I4371)</f>
        <v/>
      </c>
      <c r="S4371" s="22" t="str">
        <f>IF(C4371="","",C4371&amp;I4371)</f>
        <v/>
      </c>
      <c r="T4371" t="str">
        <f>IF(OR(C4371="",I4371&lt;&gt;"ENTRADA"),"",TEXT(B4371,"AAMMDD")&amp;"-"&amp;TEXT(VALUE(SUBSTITUTE(A4371,"MOV-","")),"000"))</f>
        <v/>
      </c>
    </row>
    <row r="4372" spans="18:20">
      <c r="R4372" s="22" t="str">
        <f>IF(H4372="","",H4372&amp;I4372)</f>
        <v/>
      </c>
      <c r="S4372" s="22" t="str">
        <f>IF(C4372="","",C4372&amp;I4372)</f>
        <v/>
      </c>
      <c r="T4372" t="str">
        <f>IF(OR(C4372="",I4372&lt;&gt;"ENTRADA"),"",TEXT(B4372,"AAMMDD")&amp;"-"&amp;TEXT(VALUE(SUBSTITUTE(A4372,"MOV-","")),"000"))</f>
        <v/>
      </c>
    </row>
    <row r="4373" spans="18:20">
      <c r="R4373" s="22" t="str">
        <f>IF(H4373="","",H4373&amp;I4373)</f>
        <v/>
      </c>
      <c r="S4373" s="22" t="str">
        <f>IF(C4373="","",C4373&amp;I4373)</f>
        <v/>
      </c>
      <c r="T4373" t="str">
        <f>IF(OR(C4373="",I4373&lt;&gt;"ENTRADA"),"",TEXT(B4373,"AAMMDD")&amp;"-"&amp;TEXT(VALUE(SUBSTITUTE(A4373,"MOV-","")),"000"))</f>
        <v/>
      </c>
    </row>
    <row r="4374" spans="18:20">
      <c r="R4374" s="22" t="str">
        <f>IF(H4374="","",H4374&amp;I4374)</f>
        <v/>
      </c>
      <c r="S4374" s="22" t="str">
        <f>IF(C4374="","",C4374&amp;I4374)</f>
        <v/>
      </c>
      <c r="T4374" t="str">
        <f>IF(OR(C4374="",I4374&lt;&gt;"ENTRADA"),"",TEXT(B4374,"AAMMDD")&amp;"-"&amp;TEXT(VALUE(SUBSTITUTE(A4374,"MOV-","")),"000"))</f>
        <v/>
      </c>
    </row>
    <row r="4375" spans="18:20">
      <c r="R4375" s="22" t="str">
        <f>IF(H4375="","",H4375&amp;I4375)</f>
        <v/>
      </c>
      <c r="S4375" s="22" t="str">
        <f>IF(C4375="","",C4375&amp;I4375)</f>
        <v/>
      </c>
      <c r="T4375" t="str">
        <f>IF(OR(C4375="",I4375&lt;&gt;"ENTRADA"),"",TEXT(B4375,"AAMMDD")&amp;"-"&amp;TEXT(VALUE(SUBSTITUTE(A4375,"MOV-","")),"000"))</f>
        <v/>
      </c>
    </row>
    <row r="4376" spans="18:20">
      <c r="R4376" s="22" t="str">
        <f>IF(H4376="","",H4376&amp;I4376)</f>
        <v/>
      </c>
      <c r="S4376" s="22" t="str">
        <f>IF(C4376="","",C4376&amp;I4376)</f>
        <v/>
      </c>
      <c r="T4376" t="str">
        <f>IF(OR(C4376="",I4376&lt;&gt;"ENTRADA"),"",TEXT(B4376,"AAMMDD")&amp;"-"&amp;TEXT(VALUE(SUBSTITUTE(A4376,"MOV-","")),"000"))</f>
        <v/>
      </c>
    </row>
    <row r="4377" spans="18:20">
      <c r="R4377" s="22" t="str">
        <f>IF(H4377="","",H4377&amp;I4377)</f>
        <v/>
      </c>
      <c r="S4377" s="22" t="str">
        <f>IF(C4377="","",C4377&amp;I4377)</f>
        <v/>
      </c>
      <c r="T4377" t="str">
        <f>IF(OR(C4377="",I4377&lt;&gt;"ENTRADA"),"",TEXT(B4377,"AAMMDD")&amp;"-"&amp;TEXT(VALUE(SUBSTITUTE(A4377,"MOV-","")),"000"))</f>
        <v/>
      </c>
    </row>
    <row r="4378" spans="18:20">
      <c r="R4378" s="22" t="str">
        <f>IF(H4378="","",H4378&amp;I4378)</f>
        <v/>
      </c>
      <c r="S4378" s="22" t="str">
        <f>IF(C4378="","",C4378&amp;I4378)</f>
        <v/>
      </c>
      <c r="T4378" t="str">
        <f>IF(OR(C4378="",I4378&lt;&gt;"ENTRADA"),"",TEXT(B4378,"AAMMDD")&amp;"-"&amp;TEXT(VALUE(SUBSTITUTE(A4378,"MOV-","")),"000"))</f>
        <v/>
      </c>
    </row>
    <row r="4379" spans="18:20">
      <c r="R4379" s="22" t="str">
        <f>IF(H4379="","",H4379&amp;I4379)</f>
        <v/>
      </c>
      <c r="S4379" s="22" t="str">
        <f>IF(C4379="","",C4379&amp;I4379)</f>
        <v/>
      </c>
      <c r="T4379" t="str">
        <f>IF(OR(C4379="",I4379&lt;&gt;"ENTRADA"),"",TEXT(B4379,"AAMMDD")&amp;"-"&amp;TEXT(VALUE(SUBSTITUTE(A4379,"MOV-","")),"000"))</f>
        <v/>
      </c>
    </row>
    <row r="4380" spans="18:20">
      <c r="R4380" s="22" t="str">
        <f>IF(H4380="","",H4380&amp;I4380)</f>
        <v/>
      </c>
      <c r="S4380" s="22" t="str">
        <f>IF(C4380="","",C4380&amp;I4380)</f>
        <v/>
      </c>
      <c r="T4380" t="str">
        <f>IF(OR(C4380="",I4380&lt;&gt;"ENTRADA"),"",TEXT(B4380,"AAMMDD")&amp;"-"&amp;TEXT(VALUE(SUBSTITUTE(A4380,"MOV-","")),"000"))</f>
        <v/>
      </c>
    </row>
    <row r="4381" spans="18:20">
      <c r="R4381" s="22" t="str">
        <f>IF(H4381="","",H4381&amp;I4381)</f>
        <v/>
      </c>
      <c r="S4381" s="22" t="str">
        <f>IF(C4381="","",C4381&amp;I4381)</f>
        <v/>
      </c>
      <c r="T4381" t="str">
        <f>IF(OR(C4381="",I4381&lt;&gt;"ENTRADA"),"",TEXT(B4381,"AAMMDD")&amp;"-"&amp;TEXT(VALUE(SUBSTITUTE(A4381,"MOV-","")),"000"))</f>
        <v/>
      </c>
    </row>
    <row r="4382" spans="18:20">
      <c r="R4382" s="22" t="str">
        <f>IF(H4382="","",H4382&amp;I4382)</f>
        <v/>
      </c>
      <c r="S4382" s="22" t="str">
        <f>IF(C4382="","",C4382&amp;I4382)</f>
        <v/>
      </c>
      <c r="T4382" t="str">
        <f>IF(OR(C4382="",I4382&lt;&gt;"ENTRADA"),"",TEXT(B4382,"AAMMDD")&amp;"-"&amp;TEXT(VALUE(SUBSTITUTE(A4382,"MOV-","")),"000"))</f>
        <v/>
      </c>
    </row>
    <row r="4383" spans="18:20">
      <c r="R4383" s="22" t="str">
        <f>IF(H4383="","",H4383&amp;I4383)</f>
        <v/>
      </c>
      <c r="S4383" s="22" t="str">
        <f>IF(C4383="","",C4383&amp;I4383)</f>
        <v/>
      </c>
      <c r="T4383" t="str">
        <f>IF(OR(C4383="",I4383&lt;&gt;"ENTRADA"),"",TEXT(B4383,"AAMMDD")&amp;"-"&amp;TEXT(VALUE(SUBSTITUTE(A4383,"MOV-","")),"000"))</f>
        <v/>
      </c>
    </row>
    <row r="4384" spans="18:20">
      <c r="R4384" s="22" t="str">
        <f>IF(H4384="","",H4384&amp;I4384)</f>
        <v/>
      </c>
      <c r="S4384" s="22" t="str">
        <f>IF(C4384="","",C4384&amp;I4384)</f>
        <v/>
      </c>
      <c r="T4384" t="str">
        <f>IF(OR(C4384="",I4384&lt;&gt;"ENTRADA"),"",TEXT(B4384,"AAMMDD")&amp;"-"&amp;TEXT(VALUE(SUBSTITUTE(A4384,"MOV-","")),"000"))</f>
        <v/>
      </c>
    </row>
    <row r="4385" spans="18:20">
      <c r="R4385" s="22" t="str">
        <f>IF(H4385="","",H4385&amp;I4385)</f>
        <v/>
      </c>
      <c r="S4385" s="22" t="str">
        <f>IF(C4385="","",C4385&amp;I4385)</f>
        <v/>
      </c>
      <c r="T4385" t="str">
        <f>IF(OR(C4385="",I4385&lt;&gt;"ENTRADA"),"",TEXT(B4385,"AAMMDD")&amp;"-"&amp;TEXT(VALUE(SUBSTITUTE(A4385,"MOV-","")),"000"))</f>
        <v/>
      </c>
    </row>
    <row r="4386" spans="18:20">
      <c r="R4386" s="22" t="str">
        <f>IF(H4386="","",H4386&amp;I4386)</f>
        <v/>
      </c>
      <c r="S4386" s="22" t="str">
        <f>IF(C4386="","",C4386&amp;I4386)</f>
        <v/>
      </c>
      <c r="T4386" t="str">
        <f>IF(OR(C4386="",I4386&lt;&gt;"ENTRADA"),"",TEXT(B4386,"AAMMDD")&amp;"-"&amp;TEXT(VALUE(SUBSTITUTE(A4386,"MOV-","")),"000"))</f>
        <v/>
      </c>
    </row>
    <row r="4387" spans="18:20">
      <c r="R4387" s="22" t="str">
        <f>IF(H4387="","",H4387&amp;I4387)</f>
        <v/>
      </c>
      <c r="S4387" s="22" t="str">
        <f>IF(C4387="","",C4387&amp;I4387)</f>
        <v/>
      </c>
      <c r="T4387" t="str">
        <f>IF(OR(C4387="",I4387&lt;&gt;"ENTRADA"),"",TEXT(B4387,"AAMMDD")&amp;"-"&amp;TEXT(VALUE(SUBSTITUTE(A4387,"MOV-","")),"000"))</f>
        <v/>
      </c>
    </row>
    <row r="4388" spans="18:20">
      <c r="R4388" s="22" t="str">
        <f>IF(H4388="","",H4388&amp;I4388)</f>
        <v/>
      </c>
      <c r="S4388" s="22" t="str">
        <f>IF(C4388="","",C4388&amp;I4388)</f>
        <v/>
      </c>
      <c r="T4388" t="str">
        <f>IF(OR(C4388="",I4388&lt;&gt;"ENTRADA"),"",TEXT(B4388,"AAMMDD")&amp;"-"&amp;TEXT(VALUE(SUBSTITUTE(A4388,"MOV-","")),"000"))</f>
        <v/>
      </c>
    </row>
    <row r="4389" spans="18:20">
      <c r="R4389" s="22" t="str">
        <f>IF(H4389="","",H4389&amp;I4389)</f>
        <v/>
      </c>
      <c r="S4389" s="22" t="str">
        <f>IF(C4389="","",C4389&amp;I4389)</f>
        <v/>
      </c>
      <c r="T4389" t="str">
        <f>IF(OR(C4389="",I4389&lt;&gt;"ENTRADA"),"",TEXT(B4389,"AAMMDD")&amp;"-"&amp;TEXT(VALUE(SUBSTITUTE(A4389,"MOV-","")),"000"))</f>
        <v/>
      </c>
    </row>
    <row r="4390" spans="18:20">
      <c r="R4390" s="22" t="str">
        <f>IF(H4390="","",H4390&amp;I4390)</f>
        <v/>
      </c>
      <c r="S4390" s="22" t="str">
        <f>IF(C4390="","",C4390&amp;I4390)</f>
        <v/>
      </c>
      <c r="T4390" t="str">
        <f>IF(OR(C4390="",I4390&lt;&gt;"ENTRADA"),"",TEXT(B4390,"AAMMDD")&amp;"-"&amp;TEXT(VALUE(SUBSTITUTE(A4390,"MOV-","")),"000"))</f>
        <v/>
      </c>
    </row>
    <row r="4391" spans="18:20">
      <c r="R4391" s="22" t="str">
        <f>IF(H4391="","",H4391&amp;I4391)</f>
        <v/>
      </c>
      <c r="S4391" s="22" t="str">
        <f>IF(C4391="","",C4391&amp;I4391)</f>
        <v/>
      </c>
      <c r="T4391" t="str">
        <f>IF(OR(C4391="",I4391&lt;&gt;"ENTRADA"),"",TEXT(B4391,"AAMMDD")&amp;"-"&amp;TEXT(VALUE(SUBSTITUTE(A4391,"MOV-","")),"000"))</f>
        <v/>
      </c>
    </row>
    <row r="4392" spans="18:20">
      <c r="R4392" s="22" t="str">
        <f>IF(H4392="","",H4392&amp;I4392)</f>
        <v/>
      </c>
      <c r="S4392" s="22" t="str">
        <f>IF(C4392="","",C4392&amp;I4392)</f>
        <v/>
      </c>
      <c r="T4392" t="str">
        <f>IF(OR(C4392="",I4392&lt;&gt;"ENTRADA"),"",TEXT(B4392,"AAMMDD")&amp;"-"&amp;TEXT(VALUE(SUBSTITUTE(A4392,"MOV-","")),"000"))</f>
        <v/>
      </c>
    </row>
    <row r="4393" spans="18:20">
      <c r="R4393" s="22" t="str">
        <f>IF(H4393="","",H4393&amp;I4393)</f>
        <v/>
      </c>
      <c r="S4393" s="22" t="str">
        <f>IF(C4393="","",C4393&amp;I4393)</f>
        <v/>
      </c>
      <c r="T4393" t="str">
        <f>IF(OR(C4393="",I4393&lt;&gt;"ENTRADA"),"",TEXT(B4393,"AAMMDD")&amp;"-"&amp;TEXT(VALUE(SUBSTITUTE(A4393,"MOV-","")),"000"))</f>
        <v/>
      </c>
    </row>
    <row r="4394" spans="18:20">
      <c r="R4394" s="22" t="str">
        <f>IF(H4394="","",H4394&amp;I4394)</f>
        <v/>
      </c>
      <c r="S4394" s="22" t="str">
        <f>IF(C4394="","",C4394&amp;I4394)</f>
        <v/>
      </c>
      <c r="T4394" t="str">
        <f>IF(OR(C4394="",I4394&lt;&gt;"ENTRADA"),"",TEXT(B4394,"AAMMDD")&amp;"-"&amp;TEXT(VALUE(SUBSTITUTE(A4394,"MOV-","")),"000"))</f>
        <v/>
      </c>
    </row>
    <row r="4395" spans="18:20">
      <c r="R4395" s="22" t="str">
        <f>IF(H4395="","",H4395&amp;I4395)</f>
        <v/>
      </c>
      <c r="S4395" s="22" t="str">
        <f>IF(C4395="","",C4395&amp;I4395)</f>
        <v/>
      </c>
      <c r="T4395" t="str">
        <f>IF(OR(C4395="",I4395&lt;&gt;"ENTRADA"),"",TEXT(B4395,"AAMMDD")&amp;"-"&amp;TEXT(VALUE(SUBSTITUTE(A4395,"MOV-","")),"000"))</f>
        <v/>
      </c>
    </row>
    <row r="4396" spans="18:20">
      <c r="R4396" s="22" t="str">
        <f>IF(H4396="","",H4396&amp;I4396)</f>
        <v/>
      </c>
      <c r="S4396" s="22" t="str">
        <f>IF(C4396="","",C4396&amp;I4396)</f>
        <v/>
      </c>
      <c r="T4396" t="str">
        <f>IF(OR(C4396="",I4396&lt;&gt;"ENTRADA"),"",TEXT(B4396,"AAMMDD")&amp;"-"&amp;TEXT(VALUE(SUBSTITUTE(A4396,"MOV-","")),"000"))</f>
        <v/>
      </c>
    </row>
    <row r="4397" spans="18:20">
      <c r="R4397" s="22" t="str">
        <f>IF(H4397="","",H4397&amp;I4397)</f>
        <v/>
      </c>
      <c r="S4397" s="22" t="str">
        <f>IF(C4397="","",C4397&amp;I4397)</f>
        <v/>
      </c>
      <c r="T4397" t="str">
        <f>IF(OR(C4397="",I4397&lt;&gt;"ENTRADA"),"",TEXT(B4397,"AAMMDD")&amp;"-"&amp;TEXT(VALUE(SUBSTITUTE(A4397,"MOV-","")),"000"))</f>
        <v/>
      </c>
    </row>
    <row r="4398" spans="18:20">
      <c r="R4398" s="22" t="str">
        <f>IF(H4398="","",H4398&amp;I4398)</f>
        <v/>
      </c>
      <c r="S4398" s="22" t="str">
        <f>IF(C4398="","",C4398&amp;I4398)</f>
        <v/>
      </c>
      <c r="T4398" t="str">
        <f>IF(OR(C4398="",I4398&lt;&gt;"ENTRADA"),"",TEXT(B4398,"AAMMDD")&amp;"-"&amp;TEXT(VALUE(SUBSTITUTE(A4398,"MOV-","")),"000"))</f>
        <v/>
      </c>
    </row>
    <row r="4399" spans="18:20">
      <c r="R4399" s="22" t="str">
        <f>IF(H4399="","",H4399&amp;I4399)</f>
        <v/>
      </c>
      <c r="S4399" s="22" t="str">
        <f>IF(C4399="","",C4399&amp;I4399)</f>
        <v/>
      </c>
      <c r="T4399" t="str">
        <f>IF(OR(C4399="",I4399&lt;&gt;"ENTRADA"),"",TEXT(B4399,"AAMMDD")&amp;"-"&amp;TEXT(VALUE(SUBSTITUTE(A4399,"MOV-","")),"000"))</f>
        <v/>
      </c>
    </row>
    <row r="4400" spans="18:20">
      <c r="R4400" s="22" t="str">
        <f>IF(H4400="","",H4400&amp;I4400)</f>
        <v/>
      </c>
      <c r="S4400" s="22" t="str">
        <f>IF(C4400="","",C4400&amp;I4400)</f>
        <v/>
      </c>
      <c r="T4400" t="str">
        <f>IF(OR(C4400="",I4400&lt;&gt;"ENTRADA"),"",TEXT(B4400,"AAMMDD")&amp;"-"&amp;TEXT(VALUE(SUBSTITUTE(A4400,"MOV-","")),"000"))</f>
        <v/>
      </c>
    </row>
    <row r="4401" spans="18:20">
      <c r="R4401" s="22" t="str">
        <f>IF(H4401="","",H4401&amp;I4401)</f>
        <v/>
      </c>
      <c r="S4401" s="22" t="str">
        <f>IF(C4401="","",C4401&amp;I4401)</f>
        <v/>
      </c>
      <c r="T4401" t="str">
        <f>IF(OR(C4401="",I4401&lt;&gt;"ENTRADA"),"",TEXT(B4401,"AAMMDD")&amp;"-"&amp;TEXT(VALUE(SUBSTITUTE(A4401,"MOV-","")),"000"))</f>
        <v/>
      </c>
    </row>
    <row r="4402" spans="18:20">
      <c r="R4402" s="22" t="str">
        <f>IF(H4402="","",H4402&amp;I4402)</f>
        <v/>
      </c>
      <c r="S4402" s="22" t="str">
        <f>IF(C4402="","",C4402&amp;I4402)</f>
        <v/>
      </c>
      <c r="T4402" t="str">
        <f>IF(OR(C4402="",I4402&lt;&gt;"ENTRADA"),"",TEXT(B4402,"AAMMDD")&amp;"-"&amp;TEXT(VALUE(SUBSTITUTE(A4402,"MOV-","")),"000"))</f>
        <v/>
      </c>
    </row>
    <row r="4403" spans="18:20">
      <c r="R4403" s="22" t="str">
        <f>IF(H4403="","",H4403&amp;I4403)</f>
        <v/>
      </c>
      <c r="S4403" s="22" t="str">
        <f>IF(C4403="","",C4403&amp;I4403)</f>
        <v/>
      </c>
      <c r="T4403" t="str">
        <f>IF(OR(C4403="",I4403&lt;&gt;"ENTRADA"),"",TEXT(B4403,"AAMMDD")&amp;"-"&amp;TEXT(VALUE(SUBSTITUTE(A4403,"MOV-","")),"000"))</f>
        <v/>
      </c>
    </row>
    <row r="4404" spans="18:20">
      <c r="R4404" s="22" t="str">
        <f>IF(H4404="","",H4404&amp;I4404)</f>
        <v/>
      </c>
      <c r="S4404" s="22" t="str">
        <f>IF(C4404="","",C4404&amp;I4404)</f>
        <v/>
      </c>
      <c r="T4404" t="str">
        <f>IF(OR(C4404="",I4404&lt;&gt;"ENTRADA"),"",TEXT(B4404,"AAMMDD")&amp;"-"&amp;TEXT(VALUE(SUBSTITUTE(A4404,"MOV-","")),"000"))</f>
        <v/>
      </c>
    </row>
    <row r="4405" spans="18:20">
      <c r="R4405" s="22" t="str">
        <f>IF(H4405="","",H4405&amp;I4405)</f>
        <v/>
      </c>
      <c r="S4405" s="22" t="str">
        <f>IF(C4405="","",C4405&amp;I4405)</f>
        <v/>
      </c>
      <c r="T4405" t="str">
        <f>IF(OR(C4405="",I4405&lt;&gt;"ENTRADA"),"",TEXT(B4405,"AAMMDD")&amp;"-"&amp;TEXT(VALUE(SUBSTITUTE(A4405,"MOV-","")),"000"))</f>
        <v/>
      </c>
    </row>
    <row r="4406" spans="18:20">
      <c r="R4406" s="22" t="str">
        <f>IF(H4406="","",H4406&amp;I4406)</f>
        <v/>
      </c>
      <c r="S4406" s="22" t="str">
        <f>IF(C4406="","",C4406&amp;I4406)</f>
        <v/>
      </c>
      <c r="T4406" t="str">
        <f>IF(OR(C4406="",I4406&lt;&gt;"ENTRADA"),"",TEXT(B4406,"AAMMDD")&amp;"-"&amp;TEXT(VALUE(SUBSTITUTE(A4406,"MOV-","")),"000"))</f>
        <v/>
      </c>
    </row>
    <row r="4407" spans="18:20">
      <c r="R4407" s="22" t="str">
        <f>IF(H4407="","",H4407&amp;I4407)</f>
        <v/>
      </c>
      <c r="S4407" s="22" t="str">
        <f>IF(C4407="","",C4407&amp;I4407)</f>
        <v/>
      </c>
      <c r="T4407" t="str">
        <f>IF(OR(C4407="",I4407&lt;&gt;"ENTRADA"),"",TEXT(B4407,"AAMMDD")&amp;"-"&amp;TEXT(VALUE(SUBSTITUTE(A4407,"MOV-","")),"000"))</f>
        <v/>
      </c>
    </row>
    <row r="4408" spans="18:20">
      <c r="R4408" s="22" t="str">
        <f>IF(H4408="","",H4408&amp;I4408)</f>
        <v/>
      </c>
      <c r="S4408" s="22" t="str">
        <f>IF(C4408="","",C4408&amp;I4408)</f>
        <v/>
      </c>
      <c r="T4408" t="str">
        <f>IF(OR(C4408="",I4408&lt;&gt;"ENTRADA"),"",TEXT(B4408,"AAMMDD")&amp;"-"&amp;TEXT(VALUE(SUBSTITUTE(A4408,"MOV-","")),"000"))</f>
        <v/>
      </c>
    </row>
    <row r="4409" spans="18:20">
      <c r="R4409" s="22" t="str">
        <f>IF(H4409="","",H4409&amp;I4409)</f>
        <v/>
      </c>
      <c r="S4409" s="22" t="str">
        <f>IF(C4409="","",C4409&amp;I4409)</f>
        <v/>
      </c>
      <c r="T4409" t="str">
        <f>IF(OR(C4409="",I4409&lt;&gt;"ENTRADA"),"",TEXT(B4409,"AAMMDD")&amp;"-"&amp;TEXT(VALUE(SUBSTITUTE(A4409,"MOV-","")),"000"))</f>
        <v/>
      </c>
    </row>
    <row r="4410" spans="18:20">
      <c r="R4410" s="22" t="str">
        <f>IF(H4410="","",H4410&amp;I4410)</f>
        <v/>
      </c>
      <c r="S4410" s="22" t="str">
        <f>IF(C4410="","",C4410&amp;I4410)</f>
        <v/>
      </c>
      <c r="T4410" t="str">
        <f>IF(OR(C4410="",I4410&lt;&gt;"ENTRADA"),"",TEXT(B4410,"AAMMDD")&amp;"-"&amp;TEXT(VALUE(SUBSTITUTE(A4410,"MOV-","")),"000"))</f>
        <v/>
      </c>
    </row>
    <row r="4411" spans="18:20">
      <c r="R4411" s="22" t="str">
        <f>IF(H4411="","",H4411&amp;I4411)</f>
        <v/>
      </c>
      <c r="S4411" s="22" t="str">
        <f>IF(C4411="","",C4411&amp;I4411)</f>
        <v/>
      </c>
      <c r="T4411" t="str">
        <f>IF(OR(C4411="",I4411&lt;&gt;"ENTRADA"),"",TEXT(B4411,"AAMMDD")&amp;"-"&amp;TEXT(VALUE(SUBSTITUTE(A4411,"MOV-","")),"000"))</f>
        <v/>
      </c>
    </row>
    <row r="4412" spans="18:20">
      <c r="R4412" s="22" t="str">
        <f>IF(H4412="","",H4412&amp;I4412)</f>
        <v/>
      </c>
      <c r="S4412" s="22" t="str">
        <f>IF(C4412="","",C4412&amp;I4412)</f>
        <v/>
      </c>
      <c r="T4412" t="str">
        <f>IF(OR(C4412="",I4412&lt;&gt;"ENTRADA"),"",TEXT(B4412,"AAMMDD")&amp;"-"&amp;TEXT(VALUE(SUBSTITUTE(A4412,"MOV-","")),"000"))</f>
        <v/>
      </c>
    </row>
    <row r="4413" spans="18:20">
      <c r="R4413" s="22" t="str">
        <f>IF(H4413="","",H4413&amp;I4413)</f>
        <v/>
      </c>
      <c r="S4413" s="22" t="str">
        <f>IF(C4413="","",C4413&amp;I4413)</f>
        <v/>
      </c>
      <c r="T4413" t="str">
        <f>IF(OR(C4413="",I4413&lt;&gt;"ENTRADA"),"",TEXT(B4413,"AAMMDD")&amp;"-"&amp;TEXT(VALUE(SUBSTITUTE(A4413,"MOV-","")),"000"))</f>
        <v/>
      </c>
    </row>
    <row r="4414" spans="18:20">
      <c r="R4414" s="22" t="str">
        <f>IF(H4414="","",H4414&amp;I4414)</f>
        <v/>
      </c>
      <c r="S4414" s="22" t="str">
        <f>IF(C4414="","",C4414&amp;I4414)</f>
        <v/>
      </c>
      <c r="T4414" t="str">
        <f>IF(OR(C4414="",I4414&lt;&gt;"ENTRADA"),"",TEXT(B4414,"AAMMDD")&amp;"-"&amp;TEXT(VALUE(SUBSTITUTE(A4414,"MOV-","")),"000"))</f>
        <v/>
      </c>
    </row>
    <row r="4415" spans="18:20">
      <c r="R4415" s="22" t="str">
        <f>IF(H4415="","",H4415&amp;I4415)</f>
        <v/>
      </c>
      <c r="S4415" s="22" t="str">
        <f>IF(C4415="","",C4415&amp;I4415)</f>
        <v/>
      </c>
      <c r="T4415" t="str">
        <f>IF(OR(C4415="",I4415&lt;&gt;"ENTRADA"),"",TEXT(B4415,"AAMMDD")&amp;"-"&amp;TEXT(VALUE(SUBSTITUTE(A4415,"MOV-","")),"000"))</f>
        <v/>
      </c>
    </row>
    <row r="4416" spans="18:20">
      <c r="R4416" s="22" t="str">
        <f>IF(H4416="","",H4416&amp;I4416)</f>
        <v/>
      </c>
      <c r="S4416" s="22" t="str">
        <f>IF(C4416="","",C4416&amp;I4416)</f>
        <v/>
      </c>
      <c r="T4416" t="str">
        <f>IF(OR(C4416="",I4416&lt;&gt;"ENTRADA"),"",TEXT(B4416,"AAMMDD")&amp;"-"&amp;TEXT(VALUE(SUBSTITUTE(A4416,"MOV-","")),"000"))</f>
        <v/>
      </c>
    </row>
    <row r="4417" spans="18:20">
      <c r="R4417" s="22" t="str">
        <f>IF(H4417="","",H4417&amp;I4417)</f>
        <v/>
      </c>
      <c r="S4417" s="22" t="str">
        <f>IF(C4417="","",C4417&amp;I4417)</f>
        <v/>
      </c>
      <c r="T4417" t="str">
        <f>IF(OR(C4417="",I4417&lt;&gt;"ENTRADA"),"",TEXT(B4417,"AAMMDD")&amp;"-"&amp;TEXT(VALUE(SUBSTITUTE(A4417,"MOV-","")),"000"))</f>
        <v/>
      </c>
    </row>
    <row r="4418" spans="18:20">
      <c r="R4418" s="22" t="str">
        <f>IF(H4418="","",H4418&amp;I4418)</f>
        <v/>
      </c>
      <c r="S4418" s="22" t="str">
        <f>IF(C4418="","",C4418&amp;I4418)</f>
        <v/>
      </c>
      <c r="T4418" t="str">
        <f>IF(OR(C4418="",I4418&lt;&gt;"ENTRADA"),"",TEXT(B4418,"AAMMDD")&amp;"-"&amp;TEXT(VALUE(SUBSTITUTE(A4418,"MOV-","")),"000"))</f>
        <v/>
      </c>
    </row>
    <row r="4419" spans="18:20">
      <c r="R4419" s="22" t="str">
        <f>IF(H4419="","",H4419&amp;I4419)</f>
        <v/>
      </c>
      <c r="S4419" s="22" t="str">
        <f>IF(C4419="","",C4419&amp;I4419)</f>
        <v/>
      </c>
      <c r="T4419" t="str">
        <f>IF(OR(C4419="",I4419&lt;&gt;"ENTRADA"),"",TEXT(B4419,"AAMMDD")&amp;"-"&amp;TEXT(VALUE(SUBSTITUTE(A4419,"MOV-","")),"000"))</f>
        <v/>
      </c>
    </row>
    <row r="4420" spans="18:20">
      <c r="R4420" s="22" t="str">
        <f>IF(H4420="","",H4420&amp;I4420)</f>
        <v/>
      </c>
      <c r="S4420" s="22" t="str">
        <f>IF(C4420="","",C4420&amp;I4420)</f>
        <v/>
      </c>
      <c r="T4420" t="str">
        <f>IF(OR(C4420="",I4420&lt;&gt;"ENTRADA"),"",TEXT(B4420,"AAMMDD")&amp;"-"&amp;TEXT(VALUE(SUBSTITUTE(A4420,"MOV-","")),"000"))</f>
        <v/>
      </c>
    </row>
    <row r="4421" spans="18:20">
      <c r="R4421" s="22" t="str">
        <f>IF(H4421="","",H4421&amp;I4421)</f>
        <v/>
      </c>
      <c r="S4421" s="22" t="str">
        <f>IF(C4421="","",C4421&amp;I4421)</f>
        <v/>
      </c>
      <c r="T4421" t="str">
        <f>IF(OR(C4421="",I4421&lt;&gt;"ENTRADA"),"",TEXT(B4421,"AAMMDD")&amp;"-"&amp;TEXT(VALUE(SUBSTITUTE(A4421,"MOV-","")),"000"))</f>
        <v/>
      </c>
    </row>
    <row r="4422" spans="18:20">
      <c r="R4422" s="22" t="str">
        <f>IF(H4422="","",H4422&amp;I4422)</f>
        <v/>
      </c>
      <c r="S4422" s="22" t="str">
        <f>IF(C4422="","",C4422&amp;I4422)</f>
        <v/>
      </c>
      <c r="T4422" t="str">
        <f>IF(OR(C4422="",I4422&lt;&gt;"ENTRADA"),"",TEXT(B4422,"AAMMDD")&amp;"-"&amp;TEXT(VALUE(SUBSTITUTE(A4422,"MOV-","")),"000"))</f>
        <v/>
      </c>
    </row>
    <row r="4423" spans="18:20">
      <c r="R4423" s="22" t="str">
        <f>IF(H4423="","",H4423&amp;I4423)</f>
        <v/>
      </c>
      <c r="S4423" s="22" t="str">
        <f>IF(C4423="","",C4423&amp;I4423)</f>
        <v/>
      </c>
      <c r="T4423" t="str">
        <f>IF(OR(C4423="",I4423&lt;&gt;"ENTRADA"),"",TEXT(B4423,"AAMMDD")&amp;"-"&amp;TEXT(VALUE(SUBSTITUTE(A4423,"MOV-","")),"000"))</f>
        <v/>
      </c>
    </row>
    <row r="4424" spans="18:20">
      <c r="R4424" s="22" t="str">
        <f>IF(H4424="","",H4424&amp;I4424)</f>
        <v/>
      </c>
      <c r="S4424" s="22" t="str">
        <f>IF(C4424="","",C4424&amp;I4424)</f>
        <v/>
      </c>
      <c r="T4424" t="str">
        <f>IF(OR(C4424="",I4424&lt;&gt;"ENTRADA"),"",TEXT(B4424,"AAMMDD")&amp;"-"&amp;TEXT(VALUE(SUBSTITUTE(A4424,"MOV-","")),"000"))</f>
        <v/>
      </c>
    </row>
    <row r="4425" spans="18:20">
      <c r="R4425" s="22" t="str">
        <f>IF(H4425="","",H4425&amp;I4425)</f>
        <v/>
      </c>
      <c r="S4425" s="22" t="str">
        <f>IF(C4425="","",C4425&amp;I4425)</f>
        <v/>
      </c>
      <c r="T4425" t="str">
        <f>IF(OR(C4425="",I4425&lt;&gt;"ENTRADA"),"",TEXT(B4425,"AAMMDD")&amp;"-"&amp;TEXT(VALUE(SUBSTITUTE(A4425,"MOV-","")),"000"))</f>
        <v/>
      </c>
    </row>
    <row r="4426" spans="18:20">
      <c r="R4426" s="22" t="str">
        <f>IF(H4426="","",H4426&amp;I4426)</f>
        <v/>
      </c>
      <c r="S4426" s="22" t="str">
        <f>IF(C4426="","",C4426&amp;I4426)</f>
        <v/>
      </c>
      <c r="T4426" t="str">
        <f>IF(OR(C4426="",I4426&lt;&gt;"ENTRADA"),"",TEXT(B4426,"AAMMDD")&amp;"-"&amp;TEXT(VALUE(SUBSTITUTE(A4426,"MOV-","")),"000"))</f>
        <v/>
      </c>
    </row>
    <row r="4427" spans="18:20">
      <c r="R4427" s="22" t="str">
        <f>IF(H4427="","",H4427&amp;I4427)</f>
        <v/>
      </c>
      <c r="S4427" s="22" t="str">
        <f>IF(C4427="","",C4427&amp;I4427)</f>
        <v/>
      </c>
      <c r="T4427" t="str">
        <f>IF(OR(C4427="",I4427&lt;&gt;"ENTRADA"),"",TEXT(B4427,"AAMMDD")&amp;"-"&amp;TEXT(VALUE(SUBSTITUTE(A4427,"MOV-","")),"000"))</f>
        <v/>
      </c>
    </row>
    <row r="4428" spans="18:20">
      <c r="R4428" s="22" t="str">
        <f>IF(H4428="","",H4428&amp;I4428)</f>
        <v/>
      </c>
      <c r="S4428" s="22" t="str">
        <f>IF(C4428="","",C4428&amp;I4428)</f>
        <v/>
      </c>
      <c r="T4428" t="str">
        <f>IF(OR(C4428="",I4428&lt;&gt;"ENTRADA"),"",TEXT(B4428,"AAMMDD")&amp;"-"&amp;TEXT(VALUE(SUBSTITUTE(A4428,"MOV-","")),"000"))</f>
        <v/>
      </c>
    </row>
    <row r="4429" spans="18:20">
      <c r="R4429" s="22" t="str">
        <f>IF(H4429="","",H4429&amp;I4429)</f>
        <v/>
      </c>
      <c r="S4429" s="22" t="str">
        <f>IF(C4429="","",C4429&amp;I4429)</f>
        <v/>
      </c>
      <c r="T4429" t="str">
        <f>IF(OR(C4429="",I4429&lt;&gt;"ENTRADA"),"",TEXT(B4429,"AAMMDD")&amp;"-"&amp;TEXT(VALUE(SUBSTITUTE(A4429,"MOV-","")),"000"))</f>
        <v/>
      </c>
    </row>
    <row r="4430" spans="18:20">
      <c r="R4430" s="22" t="str">
        <f>IF(H4430="","",H4430&amp;I4430)</f>
        <v/>
      </c>
      <c r="S4430" s="22" t="str">
        <f>IF(C4430="","",C4430&amp;I4430)</f>
        <v/>
      </c>
      <c r="T4430" t="str">
        <f>IF(OR(C4430="",I4430&lt;&gt;"ENTRADA"),"",TEXT(B4430,"AAMMDD")&amp;"-"&amp;TEXT(VALUE(SUBSTITUTE(A4430,"MOV-","")),"000"))</f>
        <v/>
      </c>
    </row>
    <row r="4431" spans="18:20">
      <c r="R4431" s="22" t="str">
        <f>IF(H4431="","",H4431&amp;I4431)</f>
        <v/>
      </c>
      <c r="S4431" s="22" t="str">
        <f>IF(C4431="","",C4431&amp;I4431)</f>
        <v/>
      </c>
      <c r="T4431" t="str">
        <f>IF(OR(C4431="",I4431&lt;&gt;"ENTRADA"),"",TEXT(B4431,"AAMMDD")&amp;"-"&amp;TEXT(VALUE(SUBSTITUTE(A4431,"MOV-","")),"000"))</f>
        <v/>
      </c>
    </row>
    <row r="4432" spans="18:20">
      <c r="R4432" s="22" t="str">
        <f>IF(H4432="","",H4432&amp;I4432)</f>
        <v/>
      </c>
      <c r="S4432" s="22" t="str">
        <f>IF(C4432="","",C4432&amp;I4432)</f>
        <v/>
      </c>
      <c r="T4432" t="str">
        <f>IF(OR(C4432="",I4432&lt;&gt;"ENTRADA"),"",TEXT(B4432,"AAMMDD")&amp;"-"&amp;TEXT(VALUE(SUBSTITUTE(A4432,"MOV-","")),"000"))</f>
        <v/>
      </c>
    </row>
    <row r="4433" spans="18:20">
      <c r="R4433" s="22" t="str">
        <f>IF(H4433="","",H4433&amp;I4433)</f>
        <v/>
      </c>
      <c r="S4433" s="22" t="str">
        <f>IF(C4433="","",C4433&amp;I4433)</f>
        <v/>
      </c>
      <c r="T4433" t="str">
        <f>IF(OR(C4433="",I4433&lt;&gt;"ENTRADA"),"",TEXT(B4433,"AAMMDD")&amp;"-"&amp;TEXT(VALUE(SUBSTITUTE(A4433,"MOV-","")),"000"))</f>
        <v/>
      </c>
    </row>
    <row r="4434" spans="18:20">
      <c r="R4434" s="22" t="str">
        <f>IF(H4434="","",H4434&amp;I4434)</f>
        <v/>
      </c>
      <c r="S4434" s="22" t="str">
        <f>IF(C4434="","",C4434&amp;I4434)</f>
        <v/>
      </c>
      <c r="T4434" t="str">
        <f>IF(OR(C4434="",I4434&lt;&gt;"ENTRADA"),"",TEXT(B4434,"AAMMDD")&amp;"-"&amp;TEXT(VALUE(SUBSTITUTE(A4434,"MOV-","")),"000"))</f>
        <v/>
      </c>
    </row>
    <row r="4435" spans="18:20">
      <c r="R4435" s="22" t="str">
        <f>IF(H4435="","",H4435&amp;I4435)</f>
        <v/>
      </c>
      <c r="S4435" s="22" t="str">
        <f>IF(C4435="","",C4435&amp;I4435)</f>
        <v/>
      </c>
      <c r="T4435" t="str">
        <f>IF(OR(C4435="",I4435&lt;&gt;"ENTRADA"),"",TEXT(B4435,"AAMMDD")&amp;"-"&amp;TEXT(VALUE(SUBSTITUTE(A4435,"MOV-","")),"000"))</f>
        <v/>
      </c>
    </row>
    <row r="4436" spans="18:20">
      <c r="R4436" s="22" t="str">
        <f>IF(H4436="","",H4436&amp;I4436)</f>
        <v/>
      </c>
      <c r="S4436" s="22" t="str">
        <f>IF(C4436="","",C4436&amp;I4436)</f>
        <v/>
      </c>
      <c r="T4436" t="str">
        <f>IF(OR(C4436="",I4436&lt;&gt;"ENTRADA"),"",TEXT(B4436,"AAMMDD")&amp;"-"&amp;TEXT(VALUE(SUBSTITUTE(A4436,"MOV-","")),"000"))</f>
        <v/>
      </c>
    </row>
    <row r="4437" spans="18:20">
      <c r="R4437" s="22" t="str">
        <f>IF(H4437="","",H4437&amp;I4437)</f>
        <v/>
      </c>
      <c r="S4437" s="22" t="str">
        <f>IF(C4437="","",C4437&amp;I4437)</f>
        <v/>
      </c>
      <c r="T4437" t="str">
        <f>IF(OR(C4437="",I4437&lt;&gt;"ENTRADA"),"",TEXT(B4437,"AAMMDD")&amp;"-"&amp;TEXT(VALUE(SUBSTITUTE(A4437,"MOV-","")),"000"))</f>
        <v/>
      </c>
    </row>
    <row r="4438" spans="18:20">
      <c r="R4438" s="22" t="str">
        <f>IF(H4438="","",H4438&amp;I4438)</f>
        <v/>
      </c>
      <c r="S4438" s="22" t="str">
        <f>IF(C4438="","",C4438&amp;I4438)</f>
        <v/>
      </c>
      <c r="T4438" t="str">
        <f>IF(OR(C4438="",I4438&lt;&gt;"ENTRADA"),"",TEXT(B4438,"AAMMDD")&amp;"-"&amp;TEXT(VALUE(SUBSTITUTE(A4438,"MOV-","")),"000"))</f>
        <v/>
      </c>
    </row>
    <row r="4439" spans="18:20">
      <c r="R4439" s="22" t="str">
        <f>IF(H4439="","",H4439&amp;I4439)</f>
        <v/>
      </c>
      <c r="S4439" s="22" t="str">
        <f>IF(C4439="","",C4439&amp;I4439)</f>
        <v/>
      </c>
      <c r="T4439" t="str">
        <f>IF(OR(C4439="",I4439&lt;&gt;"ENTRADA"),"",TEXT(B4439,"AAMMDD")&amp;"-"&amp;TEXT(VALUE(SUBSTITUTE(A4439,"MOV-","")),"000"))</f>
        <v/>
      </c>
    </row>
    <row r="4440" spans="18:20">
      <c r="R4440" s="22" t="str">
        <f>IF(H4440="","",H4440&amp;I4440)</f>
        <v/>
      </c>
      <c r="S4440" s="22" t="str">
        <f>IF(C4440="","",C4440&amp;I4440)</f>
        <v/>
      </c>
      <c r="T4440" t="str">
        <f>IF(OR(C4440="",I4440&lt;&gt;"ENTRADA"),"",TEXT(B4440,"AAMMDD")&amp;"-"&amp;TEXT(VALUE(SUBSTITUTE(A4440,"MOV-","")),"000"))</f>
        <v/>
      </c>
    </row>
    <row r="4441" spans="18:20">
      <c r="R4441" s="22" t="str">
        <f>IF(H4441="","",H4441&amp;I4441)</f>
        <v/>
      </c>
      <c r="S4441" s="22" t="str">
        <f>IF(C4441="","",C4441&amp;I4441)</f>
        <v/>
      </c>
      <c r="T4441" t="str">
        <f>IF(OR(C4441="",I4441&lt;&gt;"ENTRADA"),"",TEXT(B4441,"AAMMDD")&amp;"-"&amp;TEXT(VALUE(SUBSTITUTE(A4441,"MOV-","")),"000"))</f>
        <v/>
      </c>
    </row>
    <row r="4442" spans="18:20">
      <c r="R4442" s="22" t="str">
        <f>IF(H4442="","",H4442&amp;I4442)</f>
        <v/>
      </c>
      <c r="S4442" s="22" t="str">
        <f>IF(C4442="","",C4442&amp;I4442)</f>
        <v/>
      </c>
      <c r="T4442" t="str">
        <f>IF(OR(C4442="",I4442&lt;&gt;"ENTRADA"),"",TEXT(B4442,"AAMMDD")&amp;"-"&amp;TEXT(VALUE(SUBSTITUTE(A4442,"MOV-","")),"000"))</f>
        <v/>
      </c>
    </row>
    <row r="4443" spans="18:20">
      <c r="R4443" s="22" t="str">
        <f>IF(H4443="","",H4443&amp;I4443)</f>
        <v/>
      </c>
      <c r="S4443" s="22" t="str">
        <f>IF(C4443="","",C4443&amp;I4443)</f>
        <v/>
      </c>
      <c r="T4443" t="str">
        <f>IF(OR(C4443="",I4443&lt;&gt;"ENTRADA"),"",TEXT(B4443,"AAMMDD")&amp;"-"&amp;TEXT(VALUE(SUBSTITUTE(A4443,"MOV-","")),"000"))</f>
        <v/>
      </c>
    </row>
    <row r="4444" spans="18:20">
      <c r="R4444" s="22" t="str">
        <f>IF(H4444="","",H4444&amp;I4444)</f>
        <v/>
      </c>
      <c r="S4444" s="22" t="str">
        <f>IF(C4444="","",C4444&amp;I4444)</f>
        <v/>
      </c>
      <c r="T4444" t="str">
        <f>IF(OR(C4444="",I4444&lt;&gt;"ENTRADA"),"",TEXT(B4444,"AAMMDD")&amp;"-"&amp;TEXT(VALUE(SUBSTITUTE(A4444,"MOV-","")),"000"))</f>
        <v/>
      </c>
    </row>
    <row r="4445" spans="18:20">
      <c r="R4445" s="22" t="str">
        <f>IF(H4445="","",H4445&amp;I4445)</f>
        <v/>
      </c>
      <c r="S4445" s="22" t="str">
        <f>IF(C4445="","",C4445&amp;I4445)</f>
        <v/>
      </c>
      <c r="T4445" t="str">
        <f>IF(OR(C4445="",I4445&lt;&gt;"ENTRADA"),"",TEXT(B4445,"AAMMDD")&amp;"-"&amp;TEXT(VALUE(SUBSTITUTE(A4445,"MOV-","")),"000"))</f>
        <v/>
      </c>
    </row>
    <row r="4446" spans="18:20">
      <c r="R4446" s="22" t="str">
        <f>IF(H4446="","",H4446&amp;I4446)</f>
        <v/>
      </c>
      <c r="S4446" s="22" t="str">
        <f>IF(C4446="","",C4446&amp;I4446)</f>
        <v/>
      </c>
      <c r="T4446" t="str">
        <f>IF(OR(C4446="",I4446&lt;&gt;"ENTRADA"),"",TEXT(B4446,"AAMMDD")&amp;"-"&amp;TEXT(VALUE(SUBSTITUTE(A4446,"MOV-","")),"000"))</f>
        <v/>
      </c>
    </row>
    <row r="4447" spans="18:20">
      <c r="R4447" s="22" t="str">
        <f>IF(H4447="","",H4447&amp;I4447)</f>
        <v/>
      </c>
      <c r="S4447" s="22" t="str">
        <f>IF(C4447="","",C4447&amp;I4447)</f>
        <v/>
      </c>
      <c r="T4447" t="str">
        <f>IF(OR(C4447="",I4447&lt;&gt;"ENTRADA"),"",TEXT(B4447,"AAMMDD")&amp;"-"&amp;TEXT(VALUE(SUBSTITUTE(A4447,"MOV-","")),"000"))</f>
        <v/>
      </c>
    </row>
    <row r="4448" spans="18:20">
      <c r="R4448" s="22" t="str">
        <f>IF(H4448="","",H4448&amp;I4448)</f>
        <v/>
      </c>
      <c r="S4448" s="22" t="str">
        <f>IF(C4448="","",C4448&amp;I4448)</f>
        <v/>
      </c>
      <c r="T4448" t="str">
        <f>IF(OR(C4448="",I4448&lt;&gt;"ENTRADA"),"",TEXT(B4448,"AAMMDD")&amp;"-"&amp;TEXT(VALUE(SUBSTITUTE(A4448,"MOV-","")),"000"))</f>
        <v/>
      </c>
    </row>
    <row r="4449" spans="18:20">
      <c r="R4449" s="22" t="str">
        <f>IF(H4449="","",H4449&amp;I4449)</f>
        <v/>
      </c>
      <c r="S4449" s="22" t="str">
        <f>IF(C4449="","",C4449&amp;I4449)</f>
        <v/>
      </c>
      <c r="T4449" t="str">
        <f>IF(OR(C4449="",I4449&lt;&gt;"ENTRADA"),"",TEXT(B4449,"AAMMDD")&amp;"-"&amp;TEXT(VALUE(SUBSTITUTE(A4449,"MOV-","")),"000"))</f>
        <v/>
      </c>
    </row>
    <row r="4450" spans="18:20">
      <c r="R4450" s="22" t="str">
        <f>IF(H4450="","",H4450&amp;I4450)</f>
        <v/>
      </c>
      <c r="S4450" s="22" t="str">
        <f>IF(C4450="","",C4450&amp;I4450)</f>
        <v/>
      </c>
      <c r="T4450" t="str">
        <f>IF(OR(C4450="",I4450&lt;&gt;"ENTRADA"),"",TEXT(B4450,"AAMMDD")&amp;"-"&amp;TEXT(VALUE(SUBSTITUTE(A4450,"MOV-","")),"000"))</f>
        <v/>
      </c>
    </row>
    <row r="4451" spans="18:20">
      <c r="R4451" s="22" t="str">
        <f>IF(H4451="","",H4451&amp;I4451)</f>
        <v/>
      </c>
      <c r="S4451" s="22" t="str">
        <f>IF(C4451="","",C4451&amp;I4451)</f>
        <v/>
      </c>
      <c r="T4451" t="str">
        <f>IF(OR(C4451="",I4451&lt;&gt;"ENTRADA"),"",TEXT(B4451,"AAMMDD")&amp;"-"&amp;TEXT(VALUE(SUBSTITUTE(A4451,"MOV-","")),"000"))</f>
        <v/>
      </c>
    </row>
    <row r="4452" spans="18:20">
      <c r="R4452" s="22" t="str">
        <f>IF(H4452="","",H4452&amp;I4452)</f>
        <v/>
      </c>
      <c r="S4452" s="22" t="str">
        <f>IF(C4452="","",C4452&amp;I4452)</f>
        <v/>
      </c>
      <c r="T4452" t="str">
        <f>IF(OR(C4452="",I4452&lt;&gt;"ENTRADA"),"",TEXT(B4452,"AAMMDD")&amp;"-"&amp;TEXT(VALUE(SUBSTITUTE(A4452,"MOV-","")),"000"))</f>
        <v/>
      </c>
    </row>
    <row r="4453" spans="18:20">
      <c r="R4453" s="22" t="str">
        <f>IF(H4453="","",H4453&amp;I4453)</f>
        <v/>
      </c>
      <c r="S4453" s="22" t="str">
        <f>IF(C4453="","",C4453&amp;I4453)</f>
        <v/>
      </c>
      <c r="T4453" t="str">
        <f>IF(OR(C4453="",I4453&lt;&gt;"ENTRADA"),"",TEXT(B4453,"AAMMDD")&amp;"-"&amp;TEXT(VALUE(SUBSTITUTE(A4453,"MOV-","")),"000"))</f>
        <v/>
      </c>
    </row>
    <row r="4454" spans="18:20">
      <c r="R4454" s="22" t="str">
        <f>IF(H4454="","",H4454&amp;I4454)</f>
        <v/>
      </c>
      <c r="S4454" s="22" t="str">
        <f>IF(C4454="","",C4454&amp;I4454)</f>
        <v/>
      </c>
      <c r="T4454" t="str">
        <f>IF(OR(C4454="",I4454&lt;&gt;"ENTRADA"),"",TEXT(B4454,"AAMMDD")&amp;"-"&amp;TEXT(VALUE(SUBSTITUTE(A4454,"MOV-","")),"000"))</f>
        <v/>
      </c>
    </row>
    <row r="4455" spans="18:20">
      <c r="R4455" s="22" t="str">
        <f>IF(H4455="","",H4455&amp;I4455)</f>
        <v/>
      </c>
      <c r="S4455" s="22" t="str">
        <f>IF(C4455="","",C4455&amp;I4455)</f>
        <v/>
      </c>
      <c r="T4455" t="str">
        <f>IF(OR(C4455="",I4455&lt;&gt;"ENTRADA"),"",TEXT(B4455,"AAMMDD")&amp;"-"&amp;TEXT(VALUE(SUBSTITUTE(A4455,"MOV-","")),"000"))</f>
        <v/>
      </c>
    </row>
    <row r="4456" spans="18:20">
      <c r="R4456" s="22" t="str">
        <f>IF(H4456="","",H4456&amp;I4456)</f>
        <v/>
      </c>
      <c r="S4456" s="22" t="str">
        <f>IF(C4456="","",C4456&amp;I4456)</f>
        <v/>
      </c>
      <c r="T4456" t="str">
        <f>IF(OR(C4456="",I4456&lt;&gt;"ENTRADA"),"",TEXT(B4456,"AAMMDD")&amp;"-"&amp;TEXT(VALUE(SUBSTITUTE(A4456,"MOV-","")),"000"))</f>
        <v/>
      </c>
    </row>
    <row r="4457" spans="18:20">
      <c r="R4457" s="22" t="str">
        <f>IF(H4457="","",H4457&amp;I4457)</f>
        <v/>
      </c>
      <c r="S4457" s="22" t="str">
        <f>IF(C4457="","",C4457&amp;I4457)</f>
        <v/>
      </c>
      <c r="T4457" t="str">
        <f>IF(OR(C4457="",I4457&lt;&gt;"ENTRADA"),"",TEXT(B4457,"AAMMDD")&amp;"-"&amp;TEXT(VALUE(SUBSTITUTE(A4457,"MOV-","")),"000"))</f>
        <v/>
      </c>
    </row>
    <row r="4458" spans="18:20">
      <c r="R4458" s="22" t="str">
        <f>IF(H4458="","",H4458&amp;I4458)</f>
        <v/>
      </c>
      <c r="S4458" s="22" t="str">
        <f>IF(C4458="","",C4458&amp;I4458)</f>
        <v/>
      </c>
      <c r="T4458" t="str">
        <f>IF(OR(C4458="",I4458&lt;&gt;"ENTRADA"),"",TEXT(B4458,"AAMMDD")&amp;"-"&amp;TEXT(VALUE(SUBSTITUTE(A4458,"MOV-","")),"000"))</f>
        <v/>
      </c>
    </row>
    <row r="4459" spans="18:20">
      <c r="R4459" s="22" t="str">
        <f>IF(H4459="","",H4459&amp;I4459)</f>
        <v/>
      </c>
      <c r="S4459" s="22" t="str">
        <f>IF(C4459="","",C4459&amp;I4459)</f>
        <v/>
      </c>
      <c r="T4459" t="str">
        <f>IF(OR(C4459="",I4459&lt;&gt;"ENTRADA"),"",TEXT(B4459,"AAMMDD")&amp;"-"&amp;TEXT(VALUE(SUBSTITUTE(A4459,"MOV-","")),"000"))</f>
        <v/>
      </c>
    </row>
    <row r="4460" spans="18:20">
      <c r="R4460" s="22" t="str">
        <f>IF(H4460="","",H4460&amp;I4460)</f>
        <v/>
      </c>
      <c r="S4460" s="22" t="str">
        <f>IF(C4460="","",C4460&amp;I4460)</f>
        <v/>
      </c>
      <c r="T4460" t="str">
        <f>IF(OR(C4460="",I4460&lt;&gt;"ENTRADA"),"",TEXT(B4460,"AAMMDD")&amp;"-"&amp;TEXT(VALUE(SUBSTITUTE(A4460,"MOV-","")),"000"))</f>
        <v/>
      </c>
    </row>
    <row r="4461" spans="18:20">
      <c r="R4461" s="22" t="str">
        <f>IF(H4461="","",H4461&amp;I4461)</f>
        <v/>
      </c>
      <c r="S4461" s="22" t="str">
        <f>IF(C4461="","",C4461&amp;I4461)</f>
        <v/>
      </c>
      <c r="T4461" t="str">
        <f>IF(OR(C4461="",I4461&lt;&gt;"ENTRADA"),"",TEXT(B4461,"AAMMDD")&amp;"-"&amp;TEXT(VALUE(SUBSTITUTE(A4461,"MOV-","")),"000"))</f>
        <v/>
      </c>
    </row>
    <row r="4462" spans="18:20">
      <c r="R4462" s="22" t="str">
        <f>IF(H4462="","",H4462&amp;I4462)</f>
        <v/>
      </c>
      <c r="S4462" s="22" t="str">
        <f>IF(C4462="","",C4462&amp;I4462)</f>
        <v/>
      </c>
      <c r="T4462" t="str">
        <f>IF(OR(C4462="",I4462&lt;&gt;"ENTRADA"),"",TEXT(B4462,"AAMMDD")&amp;"-"&amp;TEXT(VALUE(SUBSTITUTE(A4462,"MOV-","")),"000"))</f>
        <v/>
      </c>
    </row>
    <row r="4463" spans="18:20">
      <c r="R4463" s="22" t="str">
        <f>IF(H4463="","",H4463&amp;I4463)</f>
        <v/>
      </c>
      <c r="S4463" s="22" t="str">
        <f>IF(C4463="","",C4463&amp;I4463)</f>
        <v/>
      </c>
      <c r="T4463" t="str">
        <f>IF(OR(C4463="",I4463&lt;&gt;"ENTRADA"),"",TEXT(B4463,"AAMMDD")&amp;"-"&amp;TEXT(VALUE(SUBSTITUTE(A4463,"MOV-","")),"000"))</f>
        <v/>
      </c>
    </row>
    <row r="4464" spans="18:20">
      <c r="R4464" s="22" t="str">
        <f>IF(H4464="","",H4464&amp;I4464)</f>
        <v/>
      </c>
      <c r="S4464" s="22" t="str">
        <f>IF(C4464="","",C4464&amp;I4464)</f>
        <v/>
      </c>
      <c r="T4464" t="str">
        <f>IF(OR(C4464="",I4464&lt;&gt;"ENTRADA"),"",TEXT(B4464,"AAMMDD")&amp;"-"&amp;TEXT(VALUE(SUBSTITUTE(A4464,"MOV-","")),"000"))</f>
        <v/>
      </c>
    </row>
    <row r="4465" spans="18:20">
      <c r="R4465" s="22" t="str">
        <f>IF(H4465="","",H4465&amp;I4465)</f>
        <v/>
      </c>
      <c r="S4465" s="22" t="str">
        <f>IF(C4465="","",C4465&amp;I4465)</f>
        <v/>
      </c>
      <c r="T4465" t="str">
        <f>IF(OR(C4465="",I4465&lt;&gt;"ENTRADA"),"",TEXT(B4465,"AAMMDD")&amp;"-"&amp;TEXT(VALUE(SUBSTITUTE(A4465,"MOV-","")),"000"))</f>
        <v/>
      </c>
    </row>
    <row r="4466" spans="18:20">
      <c r="R4466" s="22" t="str">
        <f>IF(H4466="","",H4466&amp;I4466)</f>
        <v/>
      </c>
      <c r="S4466" s="22" t="str">
        <f>IF(C4466="","",C4466&amp;I4466)</f>
        <v/>
      </c>
      <c r="T4466" t="str">
        <f>IF(OR(C4466="",I4466&lt;&gt;"ENTRADA"),"",TEXT(B4466,"AAMMDD")&amp;"-"&amp;TEXT(VALUE(SUBSTITUTE(A4466,"MOV-","")),"000"))</f>
        <v/>
      </c>
    </row>
    <row r="4467" spans="18:20">
      <c r="R4467" s="22" t="str">
        <f>IF(H4467="","",H4467&amp;I4467)</f>
        <v/>
      </c>
      <c r="S4467" s="22" t="str">
        <f>IF(C4467="","",C4467&amp;I4467)</f>
        <v/>
      </c>
      <c r="T4467" t="str">
        <f>IF(OR(C4467="",I4467&lt;&gt;"ENTRADA"),"",TEXT(B4467,"AAMMDD")&amp;"-"&amp;TEXT(VALUE(SUBSTITUTE(A4467,"MOV-","")),"000"))</f>
        <v/>
      </c>
    </row>
    <row r="4468" spans="18:20">
      <c r="R4468" s="22" t="str">
        <f>IF(H4468="","",H4468&amp;I4468)</f>
        <v/>
      </c>
      <c r="S4468" s="22" t="str">
        <f>IF(C4468="","",C4468&amp;I4468)</f>
        <v/>
      </c>
      <c r="T4468" t="str">
        <f>IF(OR(C4468="",I4468&lt;&gt;"ENTRADA"),"",TEXT(B4468,"AAMMDD")&amp;"-"&amp;TEXT(VALUE(SUBSTITUTE(A4468,"MOV-","")),"000"))</f>
        <v/>
      </c>
    </row>
    <row r="4469" spans="18:20">
      <c r="R4469" s="22" t="str">
        <f>IF(H4469="","",H4469&amp;I4469)</f>
        <v/>
      </c>
      <c r="S4469" s="22" t="str">
        <f>IF(C4469="","",C4469&amp;I4469)</f>
        <v/>
      </c>
      <c r="T4469" t="str">
        <f>IF(OR(C4469="",I4469&lt;&gt;"ENTRADA"),"",TEXT(B4469,"AAMMDD")&amp;"-"&amp;TEXT(VALUE(SUBSTITUTE(A4469,"MOV-","")),"000"))</f>
        <v/>
      </c>
    </row>
    <row r="4470" spans="18:20">
      <c r="R4470" s="22" t="str">
        <f>IF(H4470="","",H4470&amp;I4470)</f>
        <v/>
      </c>
      <c r="S4470" s="22" t="str">
        <f>IF(C4470="","",C4470&amp;I4470)</f>
        <v/>
      </c>
      <c r="T4470" t="str">
        <f>IF(OR(C4470="",I4470&lt;&gt;"ENTRADA"),"",TEXT(B4470,"AAMMDD")&amp;"-"&amp;TEXT(VALUE(SUBSTITUTE(A4470,"MOV-","")),"000"))</f>
        <v/>
      </c>
    </row>
    <row r="4471" spans="18:20">
      <c r="R4471" s="22" t="str">
        <f>IF(H4471="","",H4471&amp;I4471)</f>
        <v/>
      </c>
      <c r="S4471" s="22" t="str">
        <f>IF(C4471="","",C4471&amp;I4471)</f>
        <v/>
      </c>
      <c r="T4471" t="str">
        <f>IF(OR(C4471="",I4471&lt;&gt;"ENTRADA"),"",TEXT(B4471,"AAMMDD")&amp;"-"&amp;TEXT(VALUE(SUBSTITUTE(A4471,"MOV-","")),"000"))</f>
        <v/>
      </c>
    </row>
    <row r="4472" spans="18:20">
      <c r="R4472" s="22" t="str">
        <f>IF(H4472="","",H4472&amp;I4472)</f>
        <v/>
      </c>
      <c r="S4472" s="22" t="str">
        <f>IF(C4472="","",C4472&amp;I4472)</f>
        <v/>
      </c>
      <c r="T4472" t="str">
        <f>IF(OR(C4472="",I4472&lt;&gt;"ENTRADA"),"",TEXT(B4472,"AAMMDD")&amp;"-"&amp;TEXT(VALUE(SUBSTITUTE(A4472,"MOV-","")),"000"))</f>
        <v/>
      </c>
    </row>
    <row r="4473" spans="18:20">
      <c r="R4473" s="22" t="str">
        <f>IF(H4473="","",H4473&amp;I4473)</f>
        <v/>
      </c>
      <c r="S4473" s="22" t="str">
        <f>IF(C4473="","",C4473&amp;I4473)</f>
        <v/>
      </c>
      <c r="T4473" t="str">
        <f>IF(OR(C4473="",I4473&lt;&gt;"ENTRADA"),"",TEXT(B4473,"AAMMDD")&amp;"-"&amp;TEXT(VALUE(SUBSTITUTE(A4473,"MOV-","")),"000"))</f>
        <v/>
      </c>
    </row>
    <row r="4474" spans="18:20">
      <c r="R4474" s="22" t="str">
        <f>IF(H4474="","",H4474&amp;I4474)</f>
        <v/>
      </c>
      <c r="S4474" s="22" t="str">
        <f>IF(C4474="","",C4474&amp;I4474)</f>
        <v/>
      </c>
      <c r="T4474" t="str">
        <f>IF(OR(C4474="",I4474&lt;&gt;"ENTRADA"),"",TEXT(B4474,"AAMMDD")&amp;"-"&amp;TEXT(VALUE(SUBSTITUTE(A4474,"MOV-","")),"000"))</f>
        <v/>
      </c>
    </row>
    <row r="4475" spans="18:20">
      <c r="R4475" s="22" t="str">
        <f>IF(H4475="","",H4475&amp;I4475)</f>
        <v/>
      </c>
      <c r="S4475" s="22" t="str">
        <f>IF(C4475="","",C4475&amp;I4475)</f>
        <v/>
      </c>
      <c r="T4475" t="str">
        <f>IF(OR(C4475="",I4475&lt;&gt;"ENTRADA"),"",TEXT(B4475,"AAMMDD")&amp;"-"&amp;TEXT(VALUE(SUBSTITUTE(A4475,"MOV-","")),"000"))</f>
        <v/>
      </c>
    </row>
    <row r="4476" spans="18:20">
      <c r="R4476" s="22" t="str">
        <f>IF(H4476="","",H4476&amp;I4476)</f>
        <v/>
      </c>
      <c r="S4476" s="22" t="str">
        <f>IF(C4476="","",C4476&amp;I4476)</f>
        <v/>
      </c>
      <c r="T4476" t="str">
        <f>IF(OR(C4476="",I4476&lt;&gt;"ENTRADA"),"",TEXT(B4476,"AAMMDD")&amp;"-"&amp;TEXT(VALUE(SUBSTITUTE(A4476,"MOV-","")),"000"))</f>
        <v/>
      </c>
    </row>
    <row r="4477" spans="18:20">
      <c r="R4477" s="22" t="str">
        <f>IF(H4477="","",H4477&amp;I4477)</f>
        <v/>
      </c>
      <c r="S4477" s="22" t="str">
        <f>IF(C4477="","",C4477&amp;I4477)</f>
        <v/>
      </c>
      <c r="T4477" t="str">
        <f>IF(OR(C4477="",I4477&lt;&gt;"ENTRADA"),"",TEXT(B4477,"AAMMDD")&amp;"-"&amp;TEXT(VALUE(SUBSTITUTE(A4477,"MOV-","")),"000"))</f>
        <v/>
      </c>
    </row>
    <row r="4478" spans="18:20">
      <c r="R4478" s="22" t="str">
        <f>IF(H4478="","",H4478&amp;I4478)</f>
        <v/>
      </c>
      <c r="S4478" s="22" t="str">
        <f>IF(C4478="","",C4478&amp;I4478)</f>
        <v/>
      </c>
      <c r="T4478" t="str">
        <f>IF(OR(C4478="",I4478&lt;&gt;"ENTRADA"),"",TEXT(B4478,"AAMMDD")&amp;"-"&amp;TEXT(VALUE(SUBSTITUTE(A4478,"MOV-","")),"000"))</f>
        <v/>
      </c>
    </row>
    <row r="4479" spans="18:20">
      <c r="R4479" s="22" t="str">
        <f>IF(H4479="","",H4479&amp;I4479)</f>
        <v/>
      </c>
      <c r="S4479" s="22" t="str">
        <f>IF(C4479="","",C4479&amp;I4479)</f>
        <v/>
      </c>
      <c r="T4479" t="str">
        <f>IF(OR(C4479="",I4479&lt;&gt;"ENTRADA"),"",TEXT(B4479,"AAMMDD")&amp;"-"&amp;TEXT(VALUE(SUBSTITUTE(A4479,"MOV-","")),"000"))</f>
        <v/>
      </c>
    </row>
    <row r="4480" spans="18:20">
      <c r="R4480" s="22" t="str">
        <f>IF(H4480="","",H4480&amp;I4480)</f>
        <v/>
      </c>
      <c r="S4480" s="22" t="str">
        <f>IF(C4480="","",C4480&amp;I4480)</f>
        <v/>
      </c>
      <c r="T4480" t="str">
        <f>IF(OR(C4480="",I4480&lt;&gt;"ENTRADA"),"",TEXT(B4480,"AAMMDD")&amp;"-"&amp;TEXT(VALUE(SUBSTITUTE(A4480,"MOV-","")),"000"))</f>
        <v/>
      </c>
    </row>
    <row r="4481" spans="18:20">
      <c r="R4481" s="22" t="str">
        <f>IF(H4481="","",H4481&amp;I4481)</f>
        <v/>
      </c>
      <c r="S4481" s="22" t="str">
        <f>IF(C4481="","",C4481&amp;I4481)</f>
        <v/>
      </c>
      <c r="T4481" t="str">
        <f>IF(OR(C4481="",I4481&lt;&gt;"ENTRADA"),"",TEXT(B4481,"AAMMDD")&amp;"-"&amp;TEXT(VALUE(SUBSTITUTE(A4481,"MOV-","")),"000"))</f>
        <v/>
      </c>
    </row>
    <row r="4482" spans="18:20">
      <c r="R4482" s="22" t="str">
        <f>IF(H4482="","",H4482&amp;I4482)</f>
        <v/>
      </c>
      <c r="S4482" s="22" t="str">
        <f>IF(C4482="","",C4482&amp;I4482)</f>
        <v/>
      </c>
      <c r="T4482" t="str">
        <f>IF(OR(C4482="",I4482&lt;&gt;"ENTRADA"),"",TEXT(B4482,"AAMMDD")&amp;"-"&amp;TEXT(VALUE(SUBSTITUTE(A4482,"MOV-","")),"000"))</f>
        <v/>
      </c>
    </row>
    <row r="4483" spans="18:20">
      <c r="R4483" s="22" t="str">
        <f>IF(H4483="","",H4483&amp;I4483)</f>
        <v/>
      </c>
      <c r="S4483" s="22" t="str">
        <f>IF(C4483="","",C4483&amp;I4483)</f>
        <v/>
      </c>
      <c r="T4483" t="str">
        <f>IF(OR(C4483="",I4483&lt;&gt;"ENTRADA"),"",TEXT(B4483,"AAMMDD")&amp;"-"&amp;TEXT(VALUE(SUBSTITUTE(A4483,"MOV-","")),"000"))</f>
        <v/>
      </c>
    </row>
    <row r="4484" spans="18:20">
      <c r="R4484" s="22" t="str">
        <f>IF(H4484="","",H4484&amp;I4484)</f>
        <v/>
      </c>
      <c r="S4484" s="22" t="str">
        <f>IF(C4484="","",C4484&amp;I4484)</f>
        <v/>
      </c>
      <c r="T4484" t="str">
        <f>IF(OR(C4484="",I4484&lt;&gt;"ENTRADA"),"",TEXT(B4484,"AAMMDD")&amp;"-"&amp;TEXT(VALUE(SUBSTITUTE(A4484,"MOV-","")),"000"))</f>
        <v/>
      </c>
    </row>
    <row r="4485" spans="18:20">
      <c r="R4485" s="22" t="str">
        <f>IF(H4485="","",H4485&amp;I4485)</f>
        <v/>
      </c>
      <c r="S4485" s="22" t="str">
        <f>IF(C4485="","",C4485&amp;I4485)</f>
        <v/>
      </c>
      <c r="T4485" t="str">
        <f>IF(OR(C4485="",I4485&lt;&gt;"ENTRADA"),"",TEXT(B4485,"AAMMDD")&amp;"-"&amp;TEXT(VALUE(SUBSTITUTE(A4485,"MOV-","")),"000"))</f>
        <v/>
      </c>
    </row>
    <row r="4486" spans="18:20">
      <c r="R4486" s="22" t="str">
        <f>IF(H4486="","",H4486&amp;I4486)</f>
        <v/>
      </c>
      <c r="S4486" s="22" t="str">
        <f>IF(C4486="","",C4486&amp;I4486)</f>
        <v/>
      </c>
      <c r="T4486" t="str">
        <f>IF(OR(C4486="",I4486&lt;&gt;"ENTRADA"),"",TEXT(B4486,"AAMMDD")&amp;"-"&amp;TEXT(VALUE(SUBSTITUTE(A4486,"MOV-","")),"000"))</f>
        <v/>
      </c>
    </row>
    <row r="4487" spans="18:20">
      <c r="R4487" s="22" t="str">
        <f>IF(H4487="","",H4487&amp;I4487)</f>
        <v/>
      </c>
      <c r="S4487" s="22" t="str">
        <f>IF(C4487="","",C4487&amp;I4487)</f>
        <v/>
      </c>
      <c r="T4487" t="str">
        <f>IF(OR(C4487="",I4487&lt;&gt;"ENTRADA"),"",TEXT(B4487,"AAMMDD")&amp;"-"&amp;TEXT(VALUE(SUBSTITUTE(A4487,"MOV-","")),"000"))</f>
        <v/>
      </c>
    </row>
    <row r="4488" spans="18:20">
      <c r="R4488" s="22" t="str">
        <f>IF(H4488="","",H4488&amp;I4488)</f>
        <v/>
      </c>
      <c r="S4488" s="22" t="str">
        <f>IF(C4488="","",C4488&amp;I4488)</f>
        <v/>
      </c>
      <c r="T4488" t="str">
        <f>IF(OR(C4488="",I4488&lt;&gt;"ENTRADA"),"",TEXT(B4488,"AAMMDD")&amp;"-"&amp;TEXT(VALUE(SUBSTITUTE(A4488,"MOV-","")),"000"))</f>
        <v/>
      </c>
    </row>
    <row r="4489" spans="18:20">
      <c r="R4489" s="22" t="str">
        <f>IF(H4489="","",H4489&amp;I4489)</f>
        <v/>
      </c>
      <c r="S4489" s="22" t="str">
        <f>IF(C4489="","",C4489&amp;I4489)</f>
        <v/>
      </c>
      <c r="T4489" t="str">
        <f>IF(OR(C4489="",I4489&lt;&gt;"ENTRADA"),"",TEXT(B4489,"AAMMDD")&amp;"-"&amp;TEXT(VALUE(SUBSTITUTE(A4489,"MOV-","")),"000"))</f>
        <v/>
      </c>
    </row>
    <row r="4490" spans="18:20">
      <c r="R4490" s="22" t="str">
        <f>IF(H4490="","",H4490&amp;I4490)</f>
        <v/>
      </c>
      <c r="S4490" s="22" t="str">
        <f>IF(C4490="","",C4490&amp;I4490)</f>
        <v/>
      </c>
      <c r="T4490" t="str">
        <f>IF(OR(C4490="",I4490&lt;&gt;"ENTRADA"),"",TEXT(B4490,"AAMMDD")&amp;"-"&amp;TEXT(VALUE(SUBSTITUTE(A4490,"MOV-","")),"000"))</f>
        <v/>
      </c>
    </row>
    <row r="4491" spans="18:20">
      <c r="R4491" s="22" t="str">
        <f>IF(H4491="","",H4491&amp;I4491)</f>
        <v/>
      </c>
      <c r="S4491" s="22" t="str">
        <f>IF(C4491="","",C4491&amp;I4491)</f>
        <v/>
      </c>
      <c r="T4491" t="str">
        <f>IF(OR(C4491="",I4491&lt;&gt;"ENTRADA"),"",TEXT(B4491,"AAMMDD")&amp;"-"&amp;TEXT(VALUE(SUBSTITUTE(A4491,"MOV-","")),"000"))</f>
        <v/>
      </c>
    </row>
    <row r="4492" spans="18:20">
      <c r="R4492" s="22" t="str">
        <f>IF(H4492="","",H4492&amp;I4492)</f>
        <v/>
      </c>
      <c r="S4492" s="22" t="str">
        <f>IF(C4492="","",C4492&amp;I4492)</f>
        <v/>
      </c>
      <c r="T4492" t="str">
        <f>IF(OR(C4492="",I4492&lt;&gt;"ENTRADA"),"",TEXT(B4492,"AAMMDD")&amp;"-"&amp;TEXT(VALUE(SUBSTITUTE(A4492,"MOV-","")),"000"))</f>
        <v/>
      </c>
    </row>
    <row r="4493" spans="18:20">
      <c r="R4493" s="22" t="str">
        <f>IF(H4493="","",H4493&amp;I4493)</f>
        <v/>
      </c>
      <c r="S4493" s="22" t="str">
        <f>IF(C4493="","",C4493&amp;I4493)</f>
        <v/>
      </c>
      <c r="T4493" t="str">
        <f>IF(OR(C4493="",I4493&lt;&gt;"ENTRADA"),"",TEXT(B4493,"AAMMDD")&amp;"-"&amp;TEXT(VALUE(SUBSTITUTE(A4493,"MOV-","")),"000"))</f>
        <v/>
      </c>
    </row>
    <row r="4494" spans="18:20">
      <c r="R4494" s="22" t="str">
        <f>IF(H4494="","",H4494&amp;I4494)</f>
        <v/>
      </c>
      <c r="S4494" s="22" t="str">
        <f>IF(C4494="","",C4494&amp;I4494)</f>
        <v/>
      </c>
      <c r="T4494" t="str">
        <f>IF(OR(C4494="",I4494&lt;&gt;"ENTRADA"),"",TEXT(B4494,"AAMMDD")&amp;"-"&amp;TEXT(VALUE(SUBSTITUTE(A4494,"MOV-","")),"000"))</f>
        <v/>
      </c>
    </row>
    <row r="4495" spans="18:20">
      <c r="R4495" s="22" t="str">
        <f>IF(H4495="","",H4495&amp;I4495)</f>
        <v/>
      </c>
      <c r="S4495" s="22" t="str">
        <f>IF(C4495="","",C4495&amp;I4495)</f>
        <v/>
      </c>
      <c r="T4495" t="str">
        <f>IF(OR(C4495="",I4495&lt;&gt;"ENTRADA"),"",TEXT(B4495,"AAMMDD")&amp;"-"&amp;TEXT(VALUE(SUBSTITUTE(A4495,"MOV-","")),"000"))</f>
        <v/>
      </c>
    </row>
    <row r="4496" spans="18:20">
      <c r="R4496" s="22" t="str">
        <f>IF(H4496="","",H4496&amp;I4496)</f>
        <v/>
      </c>
      <c r="S4496" s="22" t="str">
        <f>IF(C4496="","",C4496&amp;I4496)</f>
        <v/>
      </c>
      <c r="T4496" t="str">
        <f>IF(OR(C4496="",I4496&lt;&gt;"ENTRADA"),"",TEXT(B4496,"AAMMDD")&amp;"-"&amp;TEXT(VALUE(SUBSTITUTE(A4496,"MOV-","")),"000"))</f>
        <v/>
      </c>
    </row>
    <row r="4497" spans="18:20">
      <c r="R4497" s="22" t="str">
        <f>IF(H4497="","",H4497&amp;I4497)</f>
        <v/>
      </c>
      <c r="S4497" s="22" t="str">
        <f>IF(C4497="","",C4497&amp;I4497)</f>
        <v/>
      </c>
      <c r="T4497" t="str">
        <f>IF(OR(C4497="",I4497&lt;&gt;"ENTRADA"),"",TEXT(B4497,"AAMMDD")&amp;"-"&amp;TEXT(VALUE(SUBSTITUTE(A4497,"MOV-","")),"000"))</f>
        <v/>
      </c>
    </row>
    <row r="4498" spans="18:20">
      <c r="R4498" s="22" t="str">
        <f>IF(H4498="","",H4498&amp;I4498)</f>
        <v/>
      </c>
      <c r="S4498" s="22" t="str">
        <f>IF(C4498="","",C4498&amp;I4498)</f>
        <v/>
      </c>
      <c r="T4498" t="str">
        <f>IF(OR(C4498="",I4498&lt;&gt;"ENTRADA"),"",TEXT(B4498,"AAMMDD")&amp;"-"&amp;TEXT(VALUE(SUBSTITUTE(A4498,"MOV-","")),"000"))</f>
        <v/>
      </c>
    </row>
    <row r="4499" spans="18:20">
      <c r="R4499" s="22" t="str">
        <f>IF(H4499="","",H4499&amp;I4499)</f>
        <v/>
      </c>
      <c r="S4499" s="22" t="str">
        <f>IF(C4499="","",C4499&amp;I4499)</f>
        <v/>
      </c>
      <c r="T4499" t="str">
        <f>IF(OR(C4499="",I4499&lt;&gt;"ENTRADA"),"",TEXT(B4499,"AAMMDD")&amp;"-"&amp;TEXT(VALUE(SUBSTITUTE(A4499,"MOV-","")),"000"))</f>
        <v/>
      </c>
    </row>
    <row r="4500" spans="18:20">
      <c r="R4500" s="22" t="str">
        <f>IF(H4500="","",H4500&amp;I4500)</f>
        <v/>
      </c>
      <c r="S4500" s="22" t="str">
        <f>IF(C4500="","",C4500&amp;I4500)</f>
        <v/>
      </c>
      <c r="T4500" t="str">
        <f>IF(OR(C4500="",I4500&lt;&gt;"ENTRADA"),"",TEXT(B4500,"AAMMDD")&amp;"-"&amp;TEXT(VALUE(SUBSTITUTE(A4500,"MOV-","")),"000"))</f>
        <v/>
      </c>
    </row>
    <row r="4501" spans="18:20">
      <c r="R4501" s="22" t="str">
        <f>IF(H4501="","",H4501&amp;I4501)</f>
        <v/>
      </c>
      <c r="S4501" s="22" t="str">
        <f>IF(C4501="","",C4501&amp;I4501)</f>
        <v/>
      </c>
      <c r="T4501" t="str">
        <f>IF(OR(C4501="",I4501&lt;&gt;"ENTRADA"),"",TEXT(B4501,"AAMMDD")&amp;"-"&amp;TEXT(VALUE(SUBSTITUTE(A4501,"MOV-","")),"000"))</f>
        <v/>
      </c>
    </row>
    <row r="4502" spans="18:20">
      <c r="R4502" s="22" t="str">
        <f>IF(H4502="","",H4502&amp;I4502)</f>
        <v/>
      </c>
      <c r="S4502" s="22" t="str">
        <f>IF(C4502="","",C4502&amp;I4502)</f>
        <v/>
      </c>
      <c r="T4502" t="str">
        <f>IF(OR(C4502="",I4502&lt;&gt;"ENTRADA"),"",TEXT(B4502,"AAMMDD")&amp;"-"&amp;TEXT(VALUE(SUBSTITUTE(A4502,"MOV-","")),"000"))</f>
        <v/>
      </c>
    </row>
    <row r="4503" spans="18:20">
      <c r="R4503" s="22" t="str">
        <f>IF(H4503="","",H4503&amp;I4503)</f>
        <v/>
      </c>
      <c r="S4503" s="22" t="str">
        <f>IF(C4503="","",C4503&amp;I4503)</f>
        <v/>
      </c>
      <c r="T4503" t="str">
        <f>IF(OR(C4503="",I4503&lt;&gt;"ENTRADA"),"",TEXT(B4503,"AAMMDD")&amp;"-"&amp;TEXT(VALUE(SUBSTITUTE(A4503,"MOV-","")),"000"))</f>
        <v/>
      </c>
    </row>
    <row r="4504" spans="18:20">
      <c r="R4504" s="22" t="str">
        <f>IF(H4504="","",H4504&amp;I4504)</f>
        <v/>
      </c>
      <c r="S4504" s="22" t="str">
        <f>IF(C4504="","",C4504&amp;I4504)</f>
        <v/>
      </c>
      <c r="T4504" t="str">
        <f>IF(OR(C4504="",I4504&lt;&gt;"ENTRADA"),"",TEXT(B4504,"AAMMDD")&amp;"-"&amp;TEXT(VALUE(SUBSTITUTE(A4504,"MOV-","")),"000"))</f>
        <v/>
      </c>
    </row>
    <row r="4505" spans="18:20">
      <c r="R4505" s="22" t="str">
        <f>IF(H4505="","",H4505&amp;I4505)</f>
        <v/>
      </c>
      <c r="S4505" s="22" t="str">
        <f>IF(C4505="","",C4505&amp;I4505)</f>
        <v/>
      </c>
      <c r="T4505" t="str">
        <f>IF(OR(C4505="",I4505&lt;&gt;"ENTRADA"),"",TEXT(B4505,"AAMMDD")&amp;"-"&amp;TEXT(VALUE(SUBSTITUTE(A4505,"MOV-","")),"000"))</f>
        <v/>
      </c>
    </row>
    <row r="4506" spans="18:20">
      <c r="R4506" s="22" t="str">
        <f>IF(H4506="","",H4506&amp;I4506)</f>
        <v/>
      </c>
      <c r="S4506" s="22" t="str">
        <f>IF(C4506="","",C4506&amp;I4506)</f>
        <v/>
      </c>
      <c r="T4506" t="str">
        <f>IF(OR(C4506="",I4506&lt;&gt;"ENTRADA"),"",TEXT(B4506,"AAMMDD")&amp;"-"&amp;TEXT(VALUE(SUBSTITUTE(A4506,"MOV-","")),"000"))</f>
        <v/>
      </c>
    </row>
    <row r="4507" spans="18:20">
      <c r="R4507" s="22" t="str">
        <f>IF(H4507="","",H4507&amp;I4507)</f>
        <v/>
      </c>
      <c r="S4507" s="22" t="str">
        <f>IF(C4507="","",C4507&amp;I4507)</f>
        <v/>
      </c>
      <c r="T4507" t="str">
        <f>IF(OR(C4507="",I4507&lt;&gt;"ENTRADA"),"",TEXT(B4507,"AAMMDD")&amp;"-"&amp;TEXT(VALUE(SUBSTITUTE(A4507,"MOV-","")),"000"))</f>
        <v/>
      </c>
    </row>
    <row r="4508" spans="18:20">
      <c r="R4508" s="22" t="str">
        <f>IF(H4508="","",H4508&amp;I4508)</f>
        <v/>
      </c>
      <c r="S4508" s="22" t="str">
        <f>IF(C4508="","",C4508&amp;I4508)</f>
        <v/>
      </c>
      <c r="T4508" t="str">
        <f>IF(OR(C4508="",I4508&lt;&gt;"ENTRADA"),"",TEXT(B4508,"AAMMDD")&amp;"-"&amp;TEXT(VALUE(SUBSTITUTE(A4508,"MOV-","")),"000"))</f>
        <v/>
      </c>
    </row>
    <row r="4509" spans="18:20">
      <c r="R4509" s="22" t="str">
        <f>IF(H4509="","",H4509&amp;I4509)</f>
        <v/>
      </c>
      <c r="S4509" s="22" t="str">
        <f>IF(C4509="","",C4509&amp;I4509)</f>
        <v/>
      </c>
      <c r="T4509" t="str">
        <f>IF(OR(C4509="",I4509&lt;&gt;"ENTRADA"),"",TEXT(B4509,"AAMMDD")&amp;"-"&amp;TEXT(VALUE(SUBSTITUTE(A4509,"MOV-","")),"000"))</f>
        <v/>
      </c>
    </row>
    <row r="4510" spans="18:20">
      <c r="R4510" s="22" t="str">
        <f>IF(H4510="","",H4510&amp;I4510)</f>
        <v/>
      </c>
      <c r="S4510" s="22" t="str">
        <f>IF(C4510="","",C4510&amp;I4510)</f>
        <v/>
      </c>
      <c r="T4510" t="str">
        <f>IF(OR(C4510="",I4510&lt;&gt;"ENTRADA"),"",TEXT(B4510,"AAMMDD")&amp;"-"&amp;TEXT(VALUE(SUBSTITUTE(A4510,"MOV-","")),"000"))</f>
        <v/>
      </c>
    </row>
    <row r="4511" spans="18:20">
      <c r="R4511" s="22" t="str">
        <f>IF(H4511="","",H4511&amp;I4511)</f>
        <v/>
      </c>
      <c r="S4511" s="22" t="str">
        <f>IF(C4511="","",C4511&amp;I4511)</f>
        <v/>
      </c>
      <c r="T4511" t="str">
        <f>IF(OR(C4511="",I4511&lt;&gt;"ENTRADA"),"",TEXT(B4511,"AAMMDD")&amp;"-"&amp;TEXT(VALUE(SUBSTITUTE(A4511,"MOV-","")),"000"))</f>
        <v/>
      </c>
    </row>
    <row r="4512" spans="18:20">
      <c r="R4512" s="22" t="str">
        <f>IF(H4512="","",H4512&amp;I4512)</f>
        <v/>
      </c>
      <c r="S4512" s="22" t="str">
        <f>IF(C4512="","",C4512&amp;I4512)</f>
        <v/>
      </c>
      <c r="T4512" t="str">
        <f>IF(OR(C4512="",I4512&lt;&gt;"ENTRADA"),"",TEXT(B4512,"AAMMDD")&amp;"-"&amp;TEXT(VALUE(SUBSTITUTE(A4512,"MOV-","")),"000"))</f>
        <v/>
      </c>
    </row>
    <row r="4513" spans="18:20">
      <c r="R4513" s="22" t="str">
        <f>IF(H4513="","",H4513&amp;I4513)</f>
        <v/>
      </c>
      <c r="S4513" s="22" t="str">
        <f>IF(C4513="","",C4513&amp;I4513)</f>
        <v/>
      </c>
      <c r="T4513" t="str">
        <f>IF(OR(C4513="",I4513&lt;&gt;"ENTRADA"),"",TEXT(B4513,"AAMMDD")&amp;"-"&amp;TEXT(VALUE(SUBSTITUTE(A4513,"MOV-","")),"000"))</f>
        <v/>
      </c>
    </row>
    <row r="4514" spans="18:20">
      <c r="R4514" s="22" t="str">
        <f>IF(H4514="","",H4514&amp;I4514)</f>
        <v/>
      </c>
      <c r="S4514" s="22" t="str">
        <f>IF(C4514="","",C4514&amp;I4514)</f>
        <v/>
      </c>
      <c r="T4514" t="str">
        <f>IF(OR(C4514="",I4514&lt;&gt;"ENTRADA"),"",TEXT(B4514,"AAMMDD")&amp;"-"&amp;TEXT(VALUE(SUBSTITUTE(A4514,"MOV-","")),"000"))</f>
        <v/>
      </c>
    </row>
    <row r="4515" spans="18:20">
      <c r="R4515" s="22" t="str">
        <f>IF(H4515="","",H4515&amp;I4515)</f>
        <v/>
      </c>
      <c r="S4515" s="22" t="str">
        <f>IF(C4515="","",C4515&amp;I4515)</f>
        <v/>
      </c>
      <c r="T4515" t="str">
        <f>IF(OR(C4515="",I4515&lt;&gt;"ENTRADA"),"",TEXT(B4515,"AAMMDD")&amp;"-"&amp;TEXT(VALUE(SUBSTITUTE(A4515,"MOV-","")),"000"))</f>
        <v/>
      </c>
    </row>
    <row r="4516" spans="18:20">
      <c r="R4516" s="22" t="str">
        <f>IF(H4516="","",H4516&amp;I4516)</f>
        <v/>
      </c>
      <c r="S4516" s="22" t="str">
        <f>IF(C4516="","",C4516&amp;I4516)</f>
        <v/>
      </c>
      <c r="T4516" t="str">
        <f>IF(OR(C4516="",I4516&lt;&gt;"ENTRADA"),"",TEXT(B4516,"AAMMDD")&amp;"-"&amp;TEXT(VALUE(SUBSTITUTE(A4516,"MOV-","")),"000"))</f>
        <v/>
      </c>
    </row>
    <row r="4517" spans="18:20">
      <c r="R4517" s="22" t="str">
        <f>IF(H4517="","",H4517&amp;I4517)</f>
        <v/>
      </c>
      <c r="S4517" s="22" t="str">
        <f>IF(C4517="","",C4517&amp;I4517)</f>
        <v/>
      </c>
      <c r="T4517" t="str">
        <f>IF(OR(C4517="",I4517&lt;&gt;"ENTRADA"),"",TEXT(B4517,"AAMMDD")&amp;"-"&amp;TEXT(VALUE(SUBSTITUTE(A4517,"MOV-","")),"000"))</f>
        <v/>
      </c>
    </row>
    <row r="4518" spans="18:20">
      <c r="R4518" s="22" t="str">
        <f>IF(H4518="","",H4518&amp;I4518)</f>
        <v/>
      </c>
      <c r="S4518" s="22" t="str">
        <f>IF(C4518="","",C4518&amp;I4518)</f>
        <v/>
      </c>
      <c r="T4518" t="str">
        <f>IF(OR(C4518="",I4518&lt;&gt;"ENTRADA"),"",TEXT(B4518,"AAMMDD")&amp;"-"&amp;TEXT(VALUE(SUBSTITUTE(A4518,"MOV-","")),"000"))</f>
        <v/>
      </c>
    </row>
    <row r="4519" spans="18:20">
      <c r="R4519" s="22" t="str">
        <f>IF(H4519="","",H4519&amp;I4519)</f>
        <v/>
      </c>
      <c r="S4519" s="22" t="str">
        <f>IF(C4519="","",C4519&amp;I4519)</f>
        <v/>
      </c>
      <c r="T4519" t="str">
        <f>IF(OR(C4519="",I4519&lt;&gt;"ENTRADA"),"",TEXT(B4519,"AAMMDD")&amp;"-"&amp;TEXT(VALUE(SUBSTITUTE(A4519,"MOV-","")),"000"))</f>
        <v/>
      </c>
    </row>
    <row r="4520" spans="18:20">
      <c r="R4520" s="22" t="str">
        <f>IF(H4520="","",H4520&amp;I4520)</f>
        <v/>
      </c>
      <c r="S4520" s="22" t="str">
        <f>IF(C4520="","",C4520&amp;I4520)</f>
        <v/>
      </c>
      <c r="T4520" t="str">
        <f>IF(OR(C4520="",I4520&lt;&gt;"ENTRADA"),"",TEXT(B4520,"AAMMDD")&amp;"-"&amp;TEXT(VALUE(SUBSTITUTE(A4520,"MOV-","")),"000"))</f>
        <v/>
      </c>
    </row>
    <row r="4521" spans="18:20">
      <c r="R4521" s="22" t="str">
        <f>IF(H4521="","",H4521&amp;I4521)</f>
        <v/>
      </c>
      <c r="S4521" s="22" t="str">
        <f>IF(C4521="","",C4521&amp;I4521)</f>
        <v/>
      </c>
      <c r="T4521" t="str">
        <f>IF(OR(C4521="",I4521&lt;&gt;"ENTRADA"),"",TEXT(B4521,"AAMMDD")&amp;"-"&amp;TEXT(VALUE(SUBSTITUTE(A4521,"MOV-","")),"000"))</f>
        <v/>
      </c>
    </row>
    <row r="4522" spans="18:20">
      <c r="R4522" s="22" t="str">
        <f>IF(H4522="","",H4522&amp;I4522)</f>
        <v/>
      </c>
      <c r="S4522" s="22" t="str">
        <f>IF(C4522="","",C4522&amp;I4522)</f>
        <v/>
      </c>
      <c r="T4522" t="str">
        <f>IF(OR(C4522="",I4522&lt;&gt;"ENTRADA"),"",TEXT(B4522,"AAMMDD")&amp;"-"&amp;TEXT(VALUE(SUBSTITUTE(A4522,"MOV-","")),"000"))</f>
        <v/>
      </c>
    </row>
    <row r="4523" spans="18:20">
      <c r="R4523" s="22" t="str">
        <f>IF(H4523="","",H4523&amp;I4523)</f>
        <v/>
      </c>
      <c r="S4523" s="22" t="str">
        <f>IF(C4523="","",C4523&amp;I4523)</f>
        <v/>
      </c>
      <c r="T4523" t="str">
        <f>IF(OR(C4523="",I4523&lt;&gt;"ENTRADA"),"",TEXT(B4523,"AAMMDD")&amp;"-"&amp;TEXT(VALUE(SUBSTITUTE(A4523,"MOV-","")),"000"))</f>
        <v/>
      </c>
    </row>
    <row r="4524" spans="18:20">
      <c r="R4524" s="22" t="str">
        <f>IF(H4524="","",H4524&amp;I4524)</f>
        <v/>
      </c>
      <c r="S4524" s="22" t="str">
        <f>IF(C4524="","",C4524&amp;I4524)</f>
        <v/>
      </c>
      <c r="T4524" t="str">
        <f>IF(OR(C4524="",I4524&lt;&gt;"ENTRADA"),"",TEXT(B4524,"AAMMDD")&amp;"-"&amp;TEXT(VALUE(SUBSTITUTE(A4524,"MOV-","")),"000"))</f>
        <v/>
      </c>
    </row>
    <row r="4525" spans="18:20">
      <c r="R4525" s="22" t="str">
        <f>IF(H4525="","",H4525&amp;I4525)</f>
        <v/>
      </c>
      <c r="S4525" s="22" t="str">
        <f>IF(C4525="","",C4525&amp;I4525)</f>
        <v/>
      </c>
      <c r="T4525" t="str">
        <f>IF(OR(C4525="",I4525&lt;&gt;"ENTRADA"),"",TEXT(B4525,"AAMMDD")&amp;"-"&amp;TEXT(VALUE(SUBSTITUTE(A4525,"MOV-","")),"000"))</f>
        <v/>
      </c>
    </row>
    <row r="4526" spans="18:20">
      <c r="R4526" s="22" t="str">
        <f>IF(H4526="","",H4526&amp;I4526)</f>
        <v/>
      </c>
      <c r="S4526" s="22" t="str">
        <f>IF(C4526="","",C4526&amp;I4526)</f>
        <v/>
      </c>
      <c r="T4526" t="str">
        <f>IF(OR(C4526="",I4526&lt;&gt;"ENTRADA"),"",TEXT(B4526,"AAMMDD")&amp;"-"&amp;TEXT(VALUE(SUBSTITUTE(A4526,"MOV-","")),"000"))</f>
        <v/>
      </c>
    </row>
    <row r="4527" spans="18:20">
      <c r="R4527" s="22" t="str">
        <f>IF(H4527="","",H4527&amp;I4527)</f>
        <v/>
      </c>
      <c r="S4527" s="22" t="str">
        <f>IF(C4527="","",C4527&amp;I4527)</f>
        <v/>
      </c>
      <c r="T4527" t="str">
        <f>IF(OR(C4527="",I4527&lt;&gt;"ENTRADA"),"",TEXT(B4527,"AAMMDD")&amp;"-"&amp;TEXT(VALUE(SUBSTITUTE(A4527,"MOV-","")),"000"))</f>
        <v/>
      </c>
    </row>
    <row r="4528" spans="18:20">
      <c r="R4528" s="22" t="str">
        <f>IF(H4528="","",H4528&amp;I4528)</f>
        <v/>
      </c>
      <c r="S4528" s="22" t="str">
        <f>IF(C4528="","",C4528&amp;I4528)</f>
        <v/>
      </c>
      <c r="T4528" t="str">
        <f>IF(OR(C4528="",I4528&lt;&gt;"ENTRADA"),"",TEXT(B4528,"AAMMDD")&amp;"-"&amp;TEXT(VALUE(SUBSTITUTE(A4528,"MOV-","")),"000"))</f>
        <v/>
      </c>
    </row>
    <row r="4529" spans="18:20">
      <c r="R4529" s="22" t="str">
        <f>IF(H4529="","",H4529&amp;I4529)</f>
        <v/>
      </c>
      <c r="S4529" s="22" t="str">
        <f>IF(C4529="","",C4529&amp;I4529)</f>
        <v/>
      </c>
      <c r="T4529" t="str">
        <f>IF(OR(C4529="",I4529&lt;&gt;"ENTRADA"),"",TEXT(B4529,"AAMMDD")&amp;"-"&amp;TEXT(VALUE(SUBSTITUTE(A4529,"MOV-","")),"000"))</f>
        <v/>
      </c>
    </row>
    <row r="4530" spans="18:20">
      <c r="R4530" s="22" t="str">
        <f>IF(H4530="","",H4530&amp;I4530)</f>
        <v/>
      </c>
      <c r="S4530" s="22" t="str">
        <f>IF(C4530="","",C4530&amp;I4530)</f>
        <v/>
      </c>
      <c r="T4530" t="str">
        <f>IF(OR(C4530="",I4530&lt;&gt;"ENTRADA"),"",TEXT(B4530,"AAMMDD")&amp;"-"&amp;TEXT(VALUE(SUBSTITUTE(A4530,"MOV-","")),"000"))</f>
        <v/>
      </c>
    </row>
    <row r="4531" spans="18:20">
      <c r="R4531" s="22" t="str">
        <f>IF(H4531="","",H4531&amp;I4531)</f>
        <v/>
      </c>
      <c r="S4531" s="22" t="str">
        <f>IF(C4531="","",C4531&amp;I4531)</f>
        <v/>
      </c>
      <c r="T4531" t="str">
        <f>IF(OR(C4531="",I4531&lt;&gt;"ENTRADA"),"",TEXT(B4531,"AAMMDD")&amp;"-"&amp;TEXT(VALUE(SUBSTITUTE(A4531,"MOV-","")),"000"))</f>
        <v/>
      </c>
    </row>
    <row r="4532" spans="18:20">
      <c r="R4532" s="22" t="str">
        <f>IF(H4532="","",H4532&amp;I4532)</f>
        <v/>
      </c>
      <c r="S4532" s="22" t="str">
        <f>IF(C4532="","",C4532&amp;I4532)</f>
        <v/>
      </c>
      <c r="T4532" t="str">
        <f>IF(OR(C4532="",I4532&lt;&gt;"ENTRADA"),"",TEXT(B4532,"AAMMDD")&amp;"-"&amp;TEXT(VALUE(SUBSTITUTE(A4532,"MOV-","")),"000"))</f>
        <v/>
      </c>
    </row>
    <row r="4533" spans="18:20">
      <c r="R4533" s="22" t="str">
        <f>IF(H4533="","",H4533&amp;I4533)</f>
        <v/>
      </c>
      <c r="S4533" s="22" t="str">
        <f>IF(C4533="","",C4533&amp;I4533)</f>
        <v/>
      </c>
      <c r="T4533" t="str">
        <f>IF(OR(C4533="",I4533&lt;&gt;"ENTRADA"),"",TEXT(B4533,"AAMMDD")&amp;"-"&amp;TEXT(VALUE(SUBSTITUTE(A4533,"MOV-","")),"000"))</f>
        <v/>
      </c>
    </row>
    <row r="4534" spans="18:20">
      <c r="R4534" s="22" t="str">
        <f>IF(H4534="","",H4534&amp;I4534)</f>
        <v/>
      </c>
      <c r="S4534" s="22" t="str">
        <f>IF(C4534="","",C4534&amp;I4534)</f>
        <v/>
      </c>
      <c r="T4534" t="str">
        <f>IF(OR(C4534="",I4534&lt;&gt;"ENTRADA"),"",TEXT(B4534,"AAMMDD")&amp;"-"&amp;TEXT(VALUE(SUBSTITUTE(A4534,"MOV-","")),"000"))</f>
        <v/>
      </c>
    </row>
    <row r="4535" spans="18:20">
      <c r="R4535" s="22" t="str">
        <f>IF(H4535="","",H4535&amp;I4535)</f>
        <v/>
      </c>
      <c r="S4535" s="22" t="str">
        <f>IF(C4535="","",C4535&amp;I4535)</f>
        <v/>
      </c>
      <c r="T4535" t="str">
        <f>IF(OR(C4535="",I4535&lt;&gt;"ENTRADA"),"",TEXT(B4535,"AAMMDD")&amp;"-"&amp;TEXT(VALUE(SUBSTITUTE(A4535,"MOV-","")),"000"))</f>
        <v/>
      </c>
    </row>
    <row r="4536" spans="18:20">
      <c r="R4536" s="22" t="str">
        <f>IF(H4536="","",H4536&amp;I4536)</f>
        <v/>
      </c>
      <c r="S4536" s="22" t="str">
        <f>IF(C4536="","",C4536&amp;I4536)</f>
        <v/>
      </c>
      <c r="T4536" t="str">
        <f>IF(OR(C4536="",I4536&lt;&gt;"ENTRADA"),"",TEXT(B4536,"AAMMDD")&amp;"-"&amp;TEXT(VALUE(SUBSTITUTE(A4536,"MOV-","")),"000"))</f>
        <v/>
      </c>
    </row>
    <row r="4537" spans="18:20">
      <c r="R4537" s="22" t="str">
        <f>IF(H4537="","",H4537&amp;I4537)</f>
        <v/>
      </c>
      <c r="S4537" s="22" t="str">
        <f>IF(C4537="","",C4537&amp;I4537)</f>
        <v/>
      </c>
      <c r="T4537" t="str">
        <f>IF(OR(C4537="",I4537&lt;&gt;"ENTRADA"),"",TEXT(B4537,"AAMMDD")&amp;"-"&amp;TEXT(VALUE(SUBSTITUTE(A4537,"MOV-","")),"000"))</f>
        <v/>
      </c>
    </row>
    <row r="4538" spans="18:20">
      <c r="R4538" s="22" t="str">
        <f>IF(H4538="","",H4538&amp;I4538)</f>
        <v/>
      </c>
      <c r="S4538" s="22" t="str">
        <f>IF(C4538="","",C4538&amp;I4538)</f>
        <v/>
      </c>
      <c r="T4538" t="str">
        <f>IF(OR(C4538="",I4538&lt;&gt;"ENTRADA"),"",TEXT(B4538,"AAMMDD")&amp;"-"&amp;TEXT(VALUE(SUBSTITUTE(A4538,"MOV-","")),"000"))</f>
        <v/>
      </c>
    </row>
    <row r="4539" spans="18:20">
      <c r="R4539" s="22" t="str">
        <f>IF(H4539="","",H4539&amp;I4539)</f>
        <v/>
      </c>
      <c r="S4539" s="22" t="str">
        <f>IF(C4539="","",C4539&amp;I4539)</f>
        <v/>
      </c>
      <c r="T4539" t="str">
        <f>IF(OR(C4539="",I4539&lt;&gt;"ENTRADA"),"",TEXT(B4539,"AAMMDD")&amp;"-"&amp;TEXT(VALUE(SUBSTITUTE(A4539,"MOV-","")),"000"))</f>
        <v/>
      </c>
    </row>
    <row r="4540" spans="18:20">
      <c r="R4540" s="22" t="str">
        <f>IF(H4540="","",H4540&amp;I4540)</f>
        <v/>
      </c>
      <c r="S4540" s="22" t="str">
        <f>IF(C4540="","",C4540&amp;I4540)</f>
        <v/>
      </c>
      <c r="T4540" t="str">
        <f>IF(OR(C4540="",I4540&lt;&gt;"ENTRADA"),"",TEXT(B4540,"AAMMDD")&amp;"-"&amp;TEXT(VALUE(SUBSTITUTE(A4540,"MOV-","")),"000"))</f>
        <v/>
      </c>
    </row>
    <row r="4541" spans="18:20">
      <c r="R4541" s="22" t="str">
        <f>IF(H4541="","",H4541&amp;I4541)</f>
        <v/>
      </c>
      <c r="S4541" s="22" t="str">
        <f>IF(C4541="","",C4541&amp;I4541)</f>
        <v/>
      </c>
      <c r="T4541" t="str">
        <f>IF(OR(C4541="",I4541&lt;&gt;"ENTRADA"),"",TEXT(B4541,"AAMMDD")&amp;"-"&amp;TEXT(VALUE(SUBSTITUTE(A4541,"MOV-","")),"000"))</f>
        <v/>
      </c>
    </row>
    <row r="4542" spans="18:20">
      <c r="R4542" s="22" t="str">
        <f>IF(H4542="","",H4542&amp;I4542)</f>
        <v/>
      </c>
      <c r="S4542" s="22" t="str">
        <f>IF(C4542="","",C4542&amp;I4542)</f>
        <v/>
      </c>
      <c r="T4542" t="str">
        <f>IF(OR(C4542="",I4542&lt;&gt;"ENTRADA"),"",TEXT(B4542,"AAMMDD")&amp;"-"&amp;TEXT(VALUE(SUBSTITUTE(A4542,"MOV-","")),"000"))</f>
        <v/>
      </c>
    </row>
    <row r="4543" spans="18:20">
      <c r="R4543" s="22" t="str">
        <f>IF(H4543="","",H4543&amp;I4543)</f>
        <v/>
      </c>
      <c r="S4543" s="22" t="str">
        <f>IF(C4543="","",C4543&amp;I4543)</f>
        <v/>
      </c>
      <c r="T4543" t="str">
        <f>IF(OR(C4543="",I4543&lt;&gt;"ENTRADA"),"",TEXT(B4543,"AAMMDD")&amp;"-"&amp;TEXT(VALUE(SUBSTITUTE(A4543,"MOV-","")),"000"))</f>
        <v/>
      </c>
    </row>
    <row r="4544" spans="18:20">
      <c r="R4544" s="22" t="str">
        <f>IF(H4544="","",H4544&amp;I4544)</f>
        <v/>
      </c>
      <c r="S4544" s="22" t="str">
        <f>IF(C4544="","",C4544&amp;I4544)</f>
        <v/>
      </c>
      <c r="T4544" t="str">
        <f>IF(OR(C4544="",I4544&lt;&gt;"ENTRADA"),"",TEXT(B4544,"AAMMDD")&amp;"-"&amp;TEXT(VALUE(SUBSTITUTE(A4544,"MOV-","")),"000"))</f>
        <v/>
      </c>
    </row>
    <row r="4545" spans="18:20">
      <c r="R4545" s="22" t="str">
        <f>IF(H4545="","",H4545&amp;I4545)</f>
        <v/>
      </c>
      <c r="S4545" s="22" t="str">
        <f>IF(C4545="","",C4545&amp;I4545)</f>
        <v/>
      </c>
      <c r="T4545" t="str">
        <f>IF(OR(C4545="",I4545&lt;&gt;"ENTRADA"),"",TEXT(B4545,"AAMMDD")&amp;"-"&amp;TEXT(VALUE(SUBSTITUTE(A4545,"MOV-","")),"000"))</f>
        <v/>
      </c>
    </row>
    <row r="4546" spans="18:20">
      <c r="R4546" s="22" t="str">
        <f>IF(H4546="","",H4546&amp;I4546)</f>
        <v/>
      </c>
      <c r="S4546" s="22" t="str">
        <f>IF(C4546="","",C4546&amp;I4546)</f>
        <v/>
      </c>
      <c r="T4546" t="str">
        <f>IF(OR(C4546="",I4546&lt;&gt;"ENTRADA"),"",TEXT(B4546,"AAMMDD")&amp;"-"&amp;TEXT(VALUE(SUBSTITUTE(A4546,"MOV-","")),"000"))</f>
        <v/>
      </c>
    </row>
    <row r="4547" spans="18:20">
      <c r="R4547" s="22" t="str">
        <f>IF(H4547="","",H4547&amp;I4547)</f>
        <v/>
      </c>
      <c r="S4547" s="22" t="str">
        <f>IF(C4547="","",C4547&amp;I4547)</f>
        <v/>
      </c>
      <c r="T4547" t="str">
        <f>IF(OR(C4547="",I4547&lt;&gt;"ENTRADA"),"",TEXT(B4547,"AAMMDD")&amp;"-"&amp;TEXT(VALUE(SUBSTITUTE(A4547,"MOV-","")),"000"))</f>
        <v/>
      </c>
    </row>
    <row r="4548" spans="18:20">
      <c r="R4548" s="22" t="str">
        <f>IF(H4548="","",H4548&amp;I4548)</f>
        <v/>
      </c>
      <c r="S4548" s="22" t="str">
        <f>IF(C4548="","",C4548&amp;I4548)</f>
        <v/>
      </c>
      <c r="T4548" t="str">
        <f>IF(OR(C4548="",I4548&lt;&gt;"ENTRADA"),"",TEXT(B4548,"AAMMDD")&amp;"-"&amp;TEXT(VALUE(SUBSTITUTE(A4548,"MOV-","")),"000"))</f>
        <v/>
      </c>
    </row>
    <row r="4549" spans="18:20">
      <c r="R4549" s="22" t="str">
        <f>IF(H4549="","",H4549&amp;I4549)</f>
        <v/>
      </c>
      <c r="S4549" s="22" t="str">
        <f>IF(C4549="","",C4549&amp;I4549)</f>
        <v/>
      </c>
      <c r="T4549" t="str">
        <f>IF(OR(C4549="",I4549&lt;&gt;"ENTRADA"),"",TEXT(B4549,"AAMMDD")&amp;"-"&amp;TEXT(VALUE(SUBSTITUTE(A4549,"MOV-","")),"000"))</f>
        <v/>
      </c>
    </row>
    <row r="4550" spans="18:20">
      <c r="R4550" s="22" t="str">
        <f>IF(H4550="","",H4550&amp;I4550)</f>
        <v/>
      </c>
      <c r="S4550" s="22" t="str">
        <f>IF(C4550="","",C4550&amp;I4550)</f>
        <v/>
      </c>
      <c r="T4550" t="str">
        <f>IF(OR(C4550="",I4550&lt;&gt;"ENTRADA"),"",TEXT(B4550,"AAMMDD")&amp;"-"&amp;TEXT(VALUE(SUBSTITUTE(A4550,"MOV-","")),"000"))</f>
        <v/>
      </c>
    </row>
    <row r="4551" spans="18:20">
      <c r="R4551" s="22" t="str">
        <f>IF(H4551="","",H4551&amp;I4551)</f>
        <v/>
      </c>
      <c r="S4551" s="22" t="str">
        <f>IF(C4551="","",C4551&amp;I4551)</f>
        <v/>
      </c>
      <c r="T4551" t="str">
        <f>IF(OR(C4551="",I4551&lt;&gt;"ENTRADA"),"",TEXT(B4551,"AAMMDD")&amp;"-"&amp;TEXT(VALUE(SUBSTITUTE(A4551,"MOV-","")),"000"))</f>
        <v/>
      </c>
    </row>
    <row r="4552" spans="18:20">
      <c r="R4552" s="22" t="str">
        <f>IF(H4552="","",H4552&amp;I4552)</f>
        <v/>
      </c>
      <c r="S4552" s="22" t="str">
        <f>IF(C4552="","",C4552&amp;I4552)</f>
        <v/>
      </c>
      <c r="T4552" t="str">
        <f>IF(OR(C4552="",I4552&lt;&gt;"ENTRADA"),"",TEXT(B4552,"AAMMDD")&amp;"-"&amp;TEXT(VALUE(SUBSTITUTE(A4552,"MOV-","")),"000"))</f>
        <v/>
      </c>
    </row>
    <row r="4553" spans="18:20">
      <c r="R4553" s="22" t="str">
        <f>IF(H4553="","",H4553&amp;I4553)</f>
        <v/>
      </c>
      <c r="S4553" s="22" t="str">
        <f>IF(C4553="","",C4553&amp;I4553)</f>
        <v/>
      </c>
      <c r="T4553" t="str">
        <f>IF(OR(C4553="",I4553&lt;&gt;"ENTRADA"),"",TEXT(B4553,"AAMMDD")&amp;"-"&amp;TEXT(VALUE(SUBSTITUTE(A4553,"MOV-","")),"000"))</f>
        <v/>
      </c>
    </row>
    <row r="4554" spans="18:20">
      <c r="R4554" s="22" t="str">
        <f>IF(H4554="","",H4554&amp;I4554)</f>
        <v/>
      </c>
      <c r="S4554" s="22" t="str">
        <f>IF(C4554="","",C4554&amp;I4554)</f>
        <v/>
      </c>
      <c r="T4554" t="str">
        <f>IF(OR(C4554="",I4554&lt;&gt;"ENTRADA"),"",TEXT(B4554,"AAMMDD")&amp;"-"&amp;TEXT(VALUE(SUBSTITUTE(A4554,"MOV-","")),"000"))</f>
        <v/>
      </c>
    </row>
    <row r="4555" spans="18:20">
      <c r="R4555" s="22" t="str">
        <f>IF(H4555="","",H4555&amp;I4555)</f>
        <v/>
      </c>
      <c r="S4555" s="22" t="str">
        <f>IF(C4555="","",C4555&amp;I4555)</f>
        <v/>
      </c>
      <c r="T4555" t="str">
        <f>IF(OR(C4555="",I4555&lt;&gt;"ENTRADA"),"",TEXT(B4555,"AAMMDD")&amp;"-"&amp;TEXT(VALUE(SUBSTITUTE(A4555,"MOV-","")),"000"))</f>
        <v/>
      </c>
    </row>
    <row r="4556" spans="18:20">
      <c r="R4556" s="22" t="str">
        <f>IF(H4556="","",H4556&amp;I4556)</f>
        <v/>
      </c>
      <c r="S4556" s="22" t="str">
        <f>IF(C4556="","",C4556&amp;I4556)</f>
        <v/>
      </c>
      <c r="T4556" t="str">
        <f>IF(OR(C4556="",I4556&lt;&gt;"ENTRADA"),"",TEXT(B4556,"AAMMDD")&amp;"-"&amp;TEXT(VALUE(SUBSTITUTE(A4556,"MOV-","")),"000"))</f>
        <v/>
      </c>
    </row>
    <row r="4557" spans="18:20">
      <c r="R4557" s="22" t="str">
        <f>IF(H4557="","",H4557&amp;I4557)</f>
        <v/>
      </c>
      <c r="S4557" s="22" t="str">
        <f>IF(C4557="","",C4557&amp;I4557)</f>
        <v/>
      </c>
      <c r="T4557" t="str">
        <f>IF(OR(C4557="",I4557&lt;&gt;"ENTRADA"),"",TEXT(B4557,"AAMMDD")&amp;"-"&amp;TEXT(VALUE(SUBSTITUTE(A4557,"MOV-","")),"000"))</f>
        <v/>
      </c>
    </row>
    <row r="4558" spans="18:20">
      <c r="R4558" s="22" t="str">
        <f>IF(H4558="","",H4558&amp;I4558)</f>
        <v/>
      </c>
      <c r="S4558" s="22" t="str">
        <f>IF(C4558="","",C4558&amp;I4558)</f>
        <v/>
      </c>
      <c r="T4558" t="str">
        <f>IF(OR(C4558="",I4558&lt;&gt;"ENTRADA"),"",TEXT(B4558,"AAMMDD")&amp;"-"&amp;TEXT(VALUE(SUBSTITUTE(A4558,"MOV-","")),"000"))</f>
        <v/>
      </c>
    </row>
    <row r="4559" spans="18:20">
      <c r="R4559" s="22" t="str">
        <f>IF(H4559="","",H4559&amp;I4559)</f>
        <v/>
      </c>
      <c r="S4559" s="22" t="str">
        <f>IF(C4559="","",C4559&amp;I4559)</f>
        <v/>
      </c>
      <c r="T4559" t="str">
        <f>IF(OR(C4559="",I4559&lt;&gt;"ENTRADA"),"",TEXT(B4559,"AAMMDD")&amp;"-"&amp;TEXT(VALUE(SUBSTITUTE(A4559,"MOV-","")),"000"))</f>
        <v/>
      </c>
    </row>
    <row r="4560" spans="18:20">
      <c r="R4560" s="22" t="str">
        <f>IF(H4560="","",H4560&amp;I4560)</f>
        <v/>
      </c>
      <c r="S4560" s="22" t="str">
        <f>IF(C4560="","",C4560&amp;I4560)</f>
        <v/>
      </c>
      <c r="T4560" t="str">
        <f>IF(OR(C4560="",I4560&lt;&gt;"ENTRADA"),"",TEXT(B4560,"AAMMDD")&amp;"-"&amp;TEXT(VALUE(SUBSTITUTE(A4560,"MOV-","")),"000"))</f>
        <v/>
      </c>
    </row>
    <row r="4561" spans="18:20">
      <c r="R4561" s="22" t="str">
        <f>IF(H4561="","",H4561&amp;I4561)</f>
        <v/>
      </c>
      <c r="S4561" s="22" t="str">
        <f>IF(C4561="","",C4561&amp;I4561)</f>
        <v/>
      </c>
      <c r="T4561" t="str">
        <f>IF(OR(C4561="",I4561&lt;&gt;"ENTRADA"),"",TEXT(B4561,"AAMMDD")&amp;"-"&amp;TEXT(VALUE(SUBSTITUTE(A4561,"MOV-","")),"000"))</f>
        <v/>
      </c>
    </row>
    <row r="4562" spans="18:20">
      <c r="R4562" s="22" t="str">
        <f>IF(H4562="","",H4562&amp;I4562)</f>
        <v/>
      </c>
      <c r="S4562" s="22" t="str">
        <f>IF(C4562="","",C4562&amp;I4562)</f>
        <v/>
      </c>
      <c r="T4562" t="str">
        <f>IF(OR(C4562="",I4562&lt;&gt;"ENTRADA"),"",TEXT(B4562,"AAMMDD")&amp;"-"&amp;TEXT(VALUE(SUBSTITUTE(A4562,"MOV-","")),"000"))</f>
        <v/>
      </c>
    </row>
    <row r="4563" spans="18:20">
      <c r="R4563" s="22" t="str">
        <f>IF(H4563="","",H4563&amp;I4563)</f>
        <v/>
      </c>
      <c r="S4563" s="22" t="str">
        <f>IF(C4563="","",C4563&amp;I4563)</f>
        <v/>
      </c>
      <c r="T4563" t="str">
        <f>IF(OR(C4563="",I4563&lt;&gt;"ENTRADA"),"",TEXT(B4563,"AAMMDD")&amp;"-"&amp;TEXT(VALUE(SUBSTITUTE(A4563,"MOV-","")),"000"))</f>
        <v/>
      </c>
    </row>
    <row r="4564" spans="18:20">
      <c r="R4564" s="22" t="str">
        <f>IF(H4564="","",H4564&amp;I4564)</f>
        <v/>
      </c>
      <c r="S4564" s="22" t="str">
        <f>IF(C4564="","",C4564&amp;I4564)</f>
        <v/>
      </c>
      <c r="T4564" t="str">
        <f>IF(OR(C4564="",I4564&lt;&gt;"ENTRADA"),"",TEXT(B4564,"AAMMDD")&amp;"-"&amp;TEXT(VALUE(SUBSTITUTE(A4564,"MOV-","")),"000"))</f>
        <v/>
      </c>
    </row>
    <row r="4565" spans="18:20">
      <c r="R4565" s="22" t="str">
        <f>IF(H4565="","",H4565&amp;I4565)</f>
        <v/>
      </c>
      <c r="S4565" s="22" t="str">
        <f>IF(C4565="","",C4565&amp;I4565)</f>
        <v/>
      </c>
      <c r="T4565" t="str">
        <f>IF(OR(C4565="",I4565&lt;&gt;"ENTRADA"),"",TEXT(B4565,"AAMMDD")&amp;"-"&amp;TEXT(VALUE(SUBSTITUTE(A4565,"MOV-","")),"000"))</f>
        <v/>
      </c>
    </row>
    <row r="4566" spans="18:20">
      <c r="R4566" s="22" t="str">
        <f>IF(H4566="","",H4566&amp;I4566)</f>
        <v/>
      </c>
      <c r="S4566" s="22" t="str">
        <f>IF(C4566="","",C4566&amp;I4566)</f>
        <v/>
      </c>
      <c r="T4566" t="str">
        <f>IF(OR(C4566="",I4566&lt;&gt;"ENTRADA"),"",TEXT(B4566,"AAMMDD")&amp;"-"&amp;TEXT(VALUE(SUBSTITUTE(A4566,"MOV-","")),"000"))</f>
        <v/>
      </c>
    </row>
    <row r="4567" spans="18:20">
      <c r="R4567" s="22" t="str">
        <f>IF(H4567="","",H4567&amp;I4567)</f>
        <v/>
      </c>
      <c r="S4567" s="22" t="str">
        <f>IF(C4567="","",C4567&amp;I4567)</f>
        <v/>
      </c>
      <c r="T4567" t="str">
        <f>IF(OR(C4567="",I4567&lt;&gt;"ENTRADA"),"",TEXT(B4567,"AAMMDD")&amp;"-"&amp;TEXT(VALUE(SUBSTITUTE(A4567,"MOV-","")),"000"))</f>
        <v/>
      </c>
    </row>
    <row r="4568" spans="18:20">
      <c r="R4568" s="22" t="str">
        <f>IF(H4568="","",H4568&amp;I4568)</f>
        <v/>
      </c>
      <c r="S4568" s="22" t="str">
        <f>IF(C4568="","",C4568&amp;I4568)</f>
        <v/>
      </c>
      <c r="T4568" t="str">
        <f>IF(OR(C4568="",I4568&lt;&gt;"ENTRADA"),"",TEXT(B4568,"AAMMDD")&amp;"-"&amp;TEXT(VALUE(SUBSTITUTE(A4568,"MOV-","")),"000"))</f>
        <v/>
      </c>
    </row>
    <row r="4569" spans="18:20">
      <c r="R4569" s="22" t="str">
        <f>IF(H4569="","",H4569&amp;I4569)</f>
        <v/>
      </c>
      <c r="S4569" s="22" t="str">
        <f>IF(C4569="","",C4569&amp;I4569)</f>
        <v/>
      </c>
      <c r="T4569" t="str">
        <f>IF(OR(C4569="",I4569&lt;&gt;"ENTRADA"),"",TEXT(B4569,"AAMMDD")&amp;"-"&amp;TEXT(VALUE(SUBSTITUTE(A4569,"MOV-","")),"000"))</f>
        <v/>
      </c>
    </row>
    <row r="4570" spans="18:20">
      <c r="R4570" s="22" t="str">
        <f>IF(H4570="","",H4570&amp;I4570)</f>
        <v/>
      </c>
      <c r="S4570" s="22" t="str">
        <f>IF(C4570="","",C4570&amp;I4570)</f>
        <v/>
      </c>
      <c r="T4570" t="str">
        <f>IF(OR(C4570="",I4570&lt;&gt;"ENTRADA"),"",TEXT(B4570,"AAMMDD")&amp;"-"&amp;TEXT(VALUE(SUBSTITUTE(A4570,"MOV-","")),"000"))</f>
        <v/>
      </c>
    </row>
    <row r="4571" spans="18:20">
      <c r="R4571" s="22" t="str">
        <f>IF(H4571="","",H4571&amp;I4571)</f>
        <v/>
      </c>
      <c r="S4571" s="22" t="str">
        <f>IF(C4571="","",C4571&amp;I4571)</f>
        <v/>
      </c>
      <c r="T4571" t="str">
        <f>IF(OR(C4571="",I4571&lt;&gt;"ENTRADA"),"",TEXT(B4571,"AAMMDD")&amp;"-"&amp;TEXT(VALUE(SUBSTITUTE(A4571,"MOV-","")),"000"))</f>
        <v/>
      </c>
    </row>
    <row r="4572" spans="18:20">
      <c r="R4572" s="22" t="str">
        <f>IF(H4572="","",H4572&amp;I4572)</f>
        <v/>
      </c>
      <c r="S4572" s="22" t="str">
        <f>IF(C4572="","",C4572&amp;I4572)</f>
        <v/>
      </c>
      <c r="T4572" t="str">
        <f>IF(OR(C4572="",I4572&lt;&gt;"ENTRADA"),"",TEXT(B4572,"AAMMDD")&amp;"-"&amp;TEXT(VALUE(SUBSTITUTE(A4572,"MOV-","")),"000"))</f>
        <v/>
      </c>
    </row>
    <row r="4573" spans="18:20">
      <c r="R4573" s="22" t="str">
        <f>IF(H4573="","",H4573&amp;I4573)</f>
        <v/>
      </c>
      <c r="S4573" s="22" t="str">
        <f>IF(C4573="","",C4573&amp;I4573)</f>
        <v/>
      </c>
      <c r="T4573" t="str">
        <f>IF(OR(C4573="",I4573&lt;&gt;"ENTRADA"),"",TEXT(B4573,"AAMMDD")&amp;"-"&amp;TEXT(VALUE(SUBSTITUTE(A4573,"MOV-","")),"000"))</f>
        <v/>
      </c>
    </row>
    <row r="4574" spans="18:20">
      <c r="R4574" s="22" t="str">
        <f>IF(H4574="","",H4574&amp;I4574)</f>
        <v/>
      </c>
      <c r="S4574" s="22" t="str">
        <f>IF(C4574="","",C4574&amp;I4574)</f>
        <v/>
      </c>
      <c r="T4574" t="str">
        <f>IF(OR(C4574="",I4574&lt;&gt;"ENTRADA"),"",TEXT(B4574,"AAMMDD")&amp;"-"&amp;TEXT(VALUE(SUBSTITUTE(A4574,"MOV-","")),"000"))</f>
        <v/>
      </c>
    </row>
    <row r="4575" spans="18:20">
      <c r="R4575" s="22" t="str">
        <f>IF(H4575="","",H4575&amp;I4575)</f>
        <v/>
      </c>
      <c r="S4575" s="22" t="str">
        <f>IF(C4575="","",C4575&amp;I4575)</f>
        <v/>
      </c>
      <c r="T4575" t="str">
        <f>IF(OR(C4575="",I4575&lt;&gt;"ENTRADA"),"",TEXT(B4575,"AAMMDD")&amp;"-"&amp;TEXT(VALUE(SUBSTITUTE(A4575,"MOV-","")),"000"))</f>
        <v/>
      </c>
    </row>
    <row r="4576" spans="18:20">
      <c r="R4576" s="22" t="str">
        <f>IF(H4576="","",H4576&amp;I4576)</f>
        <v/>
      </c>
      <c r="S4576" s="22" t="str">
        <f>IF(C4576="","",C4576&amp;I4576)</f>
        <v/>
      </c>
      <c r="T4576" t="str">
        <f>IF(OR(C4576="",I4576&lt;&gt;"ENTRADA"),"",TEXT(B4576,"AAMMDD")&amp;"-"&amp;TEXT(VALUE(SUBSTITUTE(A4576,"MOV-","")),"000"))</f>
        <v/>
      </c>
    </row>
    <row r="4577" spans="18:20">
      <c r="R4577" s="22" t="str">
        <f>IF(H4577="","",H4577&amp;I4577)</f>
        <v/>
      </c>
      <c r="S4577" s="22" t="str">
        <f>IF(C4577="","",C4577&amp;I4577)</f>
        <v/>
      </c>
      <c r="T4577" t="str">
        <f>IF(OR(C4577="",I4577&lt;&gt;"ENTRADA"),"",TEXT(B4577,"AAMMDD")&amp;"-"&amp;TEXT(VALUE(SUBSTITUTE(A4577,"MOV-","")),"000"))</f>
        <v/>
      </c>
    </row>
    <row r="4578" spans="18:20">
      <c r="R4578" s="22" t="str">
        <f>IF(H4578="","",H4578&amp;I4578)</f>
        <v/>
      </c>
      <c r="S4578" s="22" t="str">
        <f>IF(C4578="","",C4578&amp;I4578)</f>
        <v/>
      </c>
      <c r="T4578" t="str">
        <f>IF(OR(C4578="",I4578&lt;&gt;"ENTRADA"),"",TEXT(B4578,"AAMMDD")&amp;"-"&amp;TEXT(VALUE(SUBSTITUTE(A4578,"MOV-","")),"000"))</f>
        <v/>
      </c>
    </row>
    <row r="4579" spans="18:20">
      <c r="R4579" s="22" t="str">
        <f>IF(H4579="","",H4579&amp;I4579)</f>
        <v/>
      </c>
      <c r="S4579" s="22" t="str">
        <f>IF(C4579="","",C4579&amp;I4579)</f>
        <v/>
      </c>
      <c r="T4579" t="str">
        <f>IF(OR(C4579="",I4579&lt;&gt;"ENTRADA"),"",TEXT(B4579,"AAMMDD")&amp;"-"&amp;TEXT(VALUE(SUBSTITUTE(A4579,"MOV-","")),"000"))</f>
        <v/>
      </c>
    </row>
    <row r="4580" spans="18:20">
      <c r="R4580" s="22" t="str">
        <f>IF(H4580="","",H4580&amp;I4580)</f>
        <v/>
      </c>
      <c r="S4580" s="22" t="str">
        <f>IF(C4580="","",C4580&amp;I4580)</f>
        <v/>
      </c>
      <c r="T4580" t="str">
        <f>IF(OR(C4580="",I4580&lt;&gt;"ENTRADA"),"",TEXT(B4580,"AAMMDD")&amp;"-"&amp;TEXT(VALUE(SUBSTITUTE(A4580,"MOV-","")),"000"))</f>
        <v/>
      </c>
    </row>
    <row r="4581" spans="18:20">
      <c r="R4581" s="22" t="str">
        <f>IF(H4581="","",H4581&amp;I4581)</f>
        <v/>
      </c>
      <c r="S4581" s="22" t="str">
        <f>IF(C4581="","",C4581&amp;I4581)</f>
        <v/>
      </c>
      <c r="T4581" t="str">
        <f>IF(OR(C4581="",I4581&lt;&gt;"ENTRADA"),"",TEXT(B4581,"AAMMDD")&amp;"-"&amp;TEXT(VALUE(SUBSTITUTE(A4581,"MOV-","")),"000"))</f>
        <v/>
      </c>
    </row>
    <row r="4582" spans="18:20">
      <c r="R4582" s="22" t="str">
        <f>IF(H4582="","",H4582&amp;I4582)</f>
        <v/>
      </c>
      <c r="S4582" s="22" t="str">
        <f>IF(C4582="","",C4582&amp;I4582)</f>
        <v/>
      </c>
      <c r="T4582" t="str">
        <f>IF(OR(C4582="",I4582&lt;&gt;"ENTRADA"),"",TEXT(B4582,"AAMMDD")&amp;"-"&amp;TEXT(VALUE(SUBSTITUTE(A4582,"MOV-","")),"000"))</f>
        <v/>
      </c>
    </row>
    <row r="4583" spans="18:20">
      <c r="R4583" s="22" t="str">
        <f>IF(H4583="","",H4583&amp;I4583)</f>
        <v/>
      </c>
      <c r="S4583" s="22" t="str">
        <f>IF(C4583="","",C4583&amp;I4583)</f>
        <v/>
      </c>
      <c r="T4583" t="str">
        <f>IF(OR(C4583="",I4583&lt;&gt;"ENTRADA"),"",TEXT(B4583,"AAMMDD")&amp;"-"&amp;TEXT(VALUE(SUBSTITUTE(A4583,"MOV-","")),"000"))</f>
        <v/>
      </c>
    </row>
    <row r="4584" spans="18:20">
      <c r="R4584" s="22" t="str">
        <f>IF(H4584="","",H4584&amp;I4584)</f>
        <v/>
      </c>
      <c r="S4584" s="22" t="str">
        <f>IF(C4584="","",C4584&amp;I4584)</f>
        <v/>
      </c>
      <c r="T4584" t="str">
        <f>IF(OR(C4584="",I4584&lt;&gt;"ENTRADA"),"",TEXT(B4584,"AAMMDD")&amp;"-"&amp;TEXT(VALUE(SUBSTITUTE(A4584,"MOV-","")),"000"))</f>
        <v/>
      </c>
    </row>
    <row r="4585" spans="18:20">
      <c r="R4585" s="22" t="str">
        <f>IF(H4585="","",H4585&amp;I4585)</f>
        <v/>
      </c>
      <c r="S4585" s="22" t="str">
        <f>IF(C4585="","",C4585&amp;I4585)</f>
        <v/>
      </c>
      <c r="T4585" t="str">
        <f>IF(OR(C4585="",I4585&lt;&gt;"ENTRADA"),"",TEXT(B4585,"AAMMDD")&amp;"-"&amp;TEXT(VALUE(SUBSTITUTE(A4585,"MOV-","")),"000"))</f>
        <v/>
      </c>
    </row>
    <row r="4586" spans="18:20">
      <c r="R4586" s="22" t="str">
        <f>IF(H4586="","",H4586&amp;I4586)</f>
        <v/>
      </c>
      <c r="S4586" s="22" t="str">
        <f>IF(C4586="","",C4586&amp;I4586)</f>
        <v/>
      </c>
      <c r="T4586" t="str">
        <f>IF(OR(C4586="",I4586&lt;&gt;"ENTRADA"),"",TEXT(B4586,"AAMMDD")&amp;"-"&amp;TEXT(VALUE(SUBSTITUTE(A4586,"MOV-","")),"000"))</f>
        <v/>
      </c>
    </row>
    <row r="4587" spans="18:20">
      <c r="R4587" s="22" t="str">
        <f>IF(H4587="","",H4587&amp;I4587)</f>
        <v/>
      </c>
      <c r="S4587" s="22" t="str">
        <f>IF(C4587="","",C4587&amp;I4587)</f>
        <v/>
      </c>
      <c r="T4587" t="str">
        <f>IF(OR(C4587="",I4587&lt;&gt;"ENTRADA"),"",TEXT(B4587,"AAMMDD")&amp;"-"&amp;TEXT(VALUE(SUBSTITUTE(A4587,"MOV-","")),"000"))</f>
        <v/>
      </c>
    </row>
    <row r="4588" spans="18:20">
      <c r="R4588" s="22" t="str">
        <f>IF(H4588="","",H4588&amp;I4588)</f>
        <v/>
      </c>
      <c r="S4588" s="22" t="str">
        <f>IF(C4588="","",C4588&amp;I4588)</f>
        <v/>
      </c>
      <c r="T4588" t="str">
        <f>IF(OR(C4588="",I4588&lt;&gt;"ENTRADA"),"",TEXT(B4588,"AAMMDD")&amp;"-"&amp;TEXT(VALUE(SUBSTITUTE(A4588,"MOV-","")),"000"))</f>
        <v/>
      </c>
    </row>
    <row r="4589" spans="18:20">
      <c r="R4589" s="22" t="str">
        <f>IF(H4589="","",H4589&amp;I4589)</f>
        <v/>
      </c>
      <c r="S4589" s="22" t="str">
        <f>IF(C4589="","",C4589&amp;I4589)</f>
        <v/>
      </c>
      <c r="T4589" t="str">
        <f>IF(OR(C4589="",I4589&lt;&gt;"ENTRADA"),"",TEXT(B4589,"AAMMDD")&amp;"-"&amp;TEXT(VALUE(SUBSTITUTE(A4589,"MOV-","")),"000"))</f>
        <v/>
      </c>
    </row>
    <row r="4590" spans="18:20">
      <c r="R4590" s="22" t="str">
        <f>IF(H4590="","",H4590&amp;I4590)</f>
        <v/>
      </c>
      <c r="S4590" s="22" t="str">
        <f>IF(C4590="","",C4590&amp;I4590)</f>
        <v/>
      </c>
      <c r="T4590" t="str">
        <f>IF(OR(C4590="",I4590&lt;&gt;"ENTRADA"),"",TEXT(B4590,"AAMMDD")&amp;"-"&amp;TEXT(VALUE(SUBSTITUTE(A4590,"MOV-","")),"000"))</f>
        <v/>
      </c>
    </row>
    <row r="4591" spans="18:20">
      <c r="R4591" s="22" t="str">
        <f>IF(H4591="","",H4591&amp;I4591)</f>
        <v/>
      </c>
      <c r="S4591" s="22" t="str">
        <f>IF(C4591="","",C4591&amp;I4591)</f>
        <v/>
      </c>
      <c r="T4591" t="str">
        <f>IF(OR(C4591="",I4591&lt;&gt;"ENTRADA"),"",TEXT(B4591,"AAMMDD")&amp;"-"&amp;TEXT(VALUE(SUBSTITUTE(A4591,"MOV-","")),"000"))</f>
        <v/>
      </c>
    </row>
    <row r="4592" spans="18:20">
      <c r="R4592" s="22" t="str">
        <f>IF(H4592="","",H4592&amp;I4592)</f>
        <v/>
      </c>
      <c r="S4592" s="22" t="str">
        <f>IF(C4592="","",C4592&amp;I4592)</f>
        <v/>
      </c>
      <c r="T4592" t="str">
        <f>IF(OR(C4592="",I4592&lt;&gt;"ENTRADA"),"",TEXT(B4592,"AAMMDD")&amp;"-"&amp;TEXT(VALUE(SUBSTITUTE(A4592,"MOV-","")),"000"))</f>
        <v/>
      </c>
    </row>
    <row r="4593" spans="18:20">
      <c r="R4593" s="22" t="str">
        <f>IF(H4593="","",H4593&amp;I4593)</f>
        <v/>
      </c>
      <c r="S4593" s="22" t="str">
        <f>IF(C4593="","",C4593&amp;I4593)</f>
        <v/>
      </c>
      <c r="T4593" t="str">
        <f>IF(OR(C4593="",I4593&lt;&gt;"ENTRADA"),"",TEXT(B4593,"AAMMDD")&amp;"-"&amp;TEXT(VALUE(SUBSTITUTE(A4593,"MOV-","")),"000"))</f>
        <v/>
      </c>
    </row>
    <row r="4594" spans="18:20">
      <c r="R4594" s="22" t="str">
        <f>IF(H4594="","",H4594&amp;I4594)</f>
        <v/>
      </c>
      <c r="S4594" s="22" t="str">
        <f>IF(C4594="","",C4594&amp;I4594)</f>
        <v/>
      </c>
      <c r="T4594" t="str">
        <f>IF(OR(C4594="",I4594&lt;&gt;"ENTRADA"),"",TEXT(B4594,"AAMMDD")&amp;"-"&amp;TEXT(VALUE(SUBSTITUTE(A4594,"MOV-","")),"000"))</f>
        <v/>
      </c>
    </row>
    <row r="4595" spans="18:20">
      <c r="R4595" s="22" t="str">
        <f>IF(H4595="","",H4595&amp;I4595)</f>
        <v/>
      </c>
      <c r="S4595" s="22" t="str">
        <f>IF(C4595="","",C4595&amp;I4595)</f>
        <v/>
      </c>
      <c r="T4595" t="str">
        <f>IF(OR(C4595="",I4595&lt;&gt;"ENTRADA"),"",TEXT(B4595,"AAMMDD")&amp;"-"&amp;TEXT(VALUE(SUBSTITUTE(A4595,"MOV-","")),"000"))</f>
        <v/>
      </c>
    </row>
    <row r="4596" spans="18:20">
      <c r="R4596" s="22" t="str">
        <f>IF(H4596="","",H4596&amp;I4596)</f>
        <v/>
      </c>
      <c r="S4596" s="22" t="str">
        <f>IF(C4596="","",C4596&amp;I4596)</f>
        <v/>
      </c>
      <c r="T4596" t="str">
        <f>IF(OR(C4596="",I4596&lt;&gt;"ENTRADA"),"",TEXT(B4596,"AAMMDD")&amp;"-"&amp;TEXT(VALUE(SUBSTITUTE(A4596,"MOV-","")),"000"))</f>
        <v/>
      </c>
    </row>
    <row r="4597" spans="18:20">
      <c r="R4597" s="22" t="str">
        <f>IF(H4597="","",H4597&amp;I4597)</f>
        <v/>
      </c>
      <c r="S4597" s="22" t="str">
        <f>IF(C4597="","",C4597&amp;I4597)</f>
        <v/>
      </c>
      <c r="T4597" t="str">
        <f>IF(OR(C4597="",I4597&lt;&gt;"ENTRADA"),"",TEXT(B4597,"AAMMDD")&amp;"-"&amp;TEXT(VALUE(SUBSTITUTE(A4597,"MOV-","")),"000"))</f>
        <v/>
      </c>
    </row>
    <row r="4598" spans="18:20">
      <c r="R4598" s="22" t="str">
        <f>IF(H4598="","",H4598&amp;I4598)</f>
        <v/>
      </c>
      <c r="S4598" s="22" t="str">
        <f>IF(C4598="","",C4598&amp;I4598)</f>
        <v/>
      </c>
      <c r="T4598" t="str">
        <f>IF(OR(C4598="",I4598&lt;&gt;"ENTRADA"),"",TEXT(B4598,"AAMMDD")&amp;"-"&amp;TEXT(VALUE(SUBSTITUTE(A4598,"MOV-","")),"000"))</f>
        <v/>
      </c>
    </row>
    <row r="4599" spans="18:20">
      <c r="R4599" s="22" t="str">
        <f>IF(H4599="","",H4599&amp;I4599)</f>
        <v/>
      </c>
      <c r="S4599" s="22" t="str">
        <f>IF(C4599="","",C4599&amp;I4599)</f>
        <v/>
      </c>
      <c r="T4599" t="str">
        <f>IF(OR(C4599="",I4599&lt;&gt;"ENTRADA"),"",TEXT(B4599,"AAMMDD")&amp;"-"&amp;TEXT(VALUE(SUBSTITUTE(A4599,"MOV-","")),"000"))</f>
        <v/>
      </c>
    </row>
    <row r="4600" spans="18:20">
      <c r="R4600" s="22" t="str">
        <f>IF(H4600="","",H4600&amp;I4600)</f>
        <v/>
      </c>
      <c r="S4600" s="22" t="str">
        <f>IF(C4600="","",C4600&amp;I4600)</f>
        <v/>
      </c>
      <c r="T4600" t="str">
        <f>IF(OR(C4600="",I4600&lt;&gt;"ENTRADA"),"",TEXT(B4600,"AAMMDD")&amp;"-"&amp;TEXT(VALUE(SUBSTITUTE(A4600,"MOV-","")),"000"))</f>
        <v/>
      </c>
    </row>
    <row r="4601" spans="18:20">
      <c r="R4601" s="22" t="str">
        <f>IF(H4601="","",H4601&amp;I4601)</f>
        <v/>
      </c>
      <c r="S4601" s="22" t="str">
        <f>IF(C4601="","",C4601&amp;I4601)</f>
        <v/>
      </c>
      <c r="T4601" t="str">
        <f>IF(OR(C4601="",I4601&lt;&gt;"ENTRADA"),"",TEXT(B4601,"AAMMDD")&amp;"-"&amp;TEXT(VALUE(SUBSTITUTE(A4601,"MOV-","")),"000"))</f>
        <v/>
      </c>
    </row>
    <row r="4602" spans="18:20">
      <c r="R4602" s="22" t="str">
        <f>IF(H4602="","",H4602&amp;I4602)</f>
        <v/>
      </c>
      <c r="S4602" s="22" t="str">
        <f>IF(C4602="","",C4602&amp;I4602)</f>
        <v/>
      </c>
      <c r="T4602" t="str">
        <f>IF(OR(C4602="",I4602&lt;&gt;"ENTRADA"),"",TEXT(B4602,"AAMMDD")&amp;"-"&amp;TEXT(VALUE(SUBSTITUTE(A4602,"MOV-","")),"000"))</f>
        <v/>
      </c>
    </row>
    <row r="4603" spans="18:20">
      <c r="R4603" s="22" t="str">
        <f>IF(H4603="","",H4603&amp;I4603)</f>
        <v/>
      </c>
      <c r="S4603" s="22" t="str">
        <f>IF(C4603="","",C4603&amp;I4603)</f>
        <v/>
      </c>
      <c r="T4603" t="str">
        <f>IF(OR(C4603="",I4603&lt;&gt;"ENTRADA"),"",TEXT(B4603,"AAMMDD")&amp;"-"&amp;TEXT(VALUE(SUBSTITUTE(A4603,"MOV-","")),"000"))</f>
        <v/>
      </c>
    </row>
    <row r="4604" spans="18:20">
      <c r="R4604" s="22" t="str">
        <f>IF(H4604="","",H4604&amp;I4604)</f>
        <v/>
      </c>
      <c r="S4604" s="22" t="str">
        <f>IF(C4604="","",C4604&amp;I4604)</f>
        <v/>
      </c>
      <c r="T4604" t="str">
        <f>IF(OR(C4604="",I4604&lt;&gt;"ENTRADA"),"",TEXT(B4604,"AAMMDD")&amp;"-"&amp;TEXT(VALUE(SUBSTITUTE(A4604,"MOV-","")),"000"))</f>
        <v/>
      </c>
    </row>
    <row r="4605" spans="18:20">
      <c r="R4605" s="22" t="str">
        <f>IF(H4605="","",H4605&amp;I4605)</f>
        <v/>
      </c>
      <c r="S4605" s="22" t="str">
        <f>IF(C4605="","",C4605&amp;I4605)</f>
        <v/>
      </c>
      <c r="T4605" t="str">
        <f>IF(OR(C4605="",I4605&lt;&gt;"ENTRADA"),"",TEXT(B4605,"AAMMDD")&amp;"-"&amp;TEXT(VALUE(SUBSTITUTE(A4605,"MOV-","")),"000"))</f>
        <v/>
      </c>
    </row>
    <row r="4606" spans="18:20">
      <c r="R4606" s="22" t="str">
        <f>IF(H4606="","",H4606&amp;I4606)</f>
        <v/>
      </c>
      <c r="S4606" s="22" t="str">
        <f>IF(C4606="","",C4606&amp;I4606)</f>
        <v/>
      </c>
      <c r="T4606" t="str">
        <f>IF(OR(C4606="",I4606&lt;&gt;"ENTRADA"),"",TEXT(B4606,"AAMMDD")&amp;"-"&amp;TEXT(VALUE(SUBSTITUTE(A4606,"MOV-","")),"000"))</f>
        <v/>
      </c>
    </row>
    <row r="4607" spans="18:20">
      <c r="R4607" s="22" t="str">
        <f>IF(H4607="","",H4607&amp;I4607)</f>
        <v/>
      </c>
      <c r="S4607" s="22" t="str">
        <f>IF(C4607="","",C4607&amp;I4607)</f>
        <v/>
      </c>
      <c r="T4607" t="str">
        <f>IF(OR(C4607="",I4607&lt;&gt;"ENTRADA"),"",TEXT(B4607,"AAMMDD")&amp;"-"&amp;TEXT(VALUE(SUBSTITUTE(A4607,"MOV-","")),"000"))</f>
        <v/>
      </c>
    </row>
    <row r="4608" spans="18:20">
      <c r="R4608" s="22" t="str">
        <f>IF(H4608="","",H4608&amp;I4608)</f>
        <v/>
      </c>
      <c r="S4608" s="22" t="str">
        <f>IF(C4608="","",C4608&amp;I4608)</f>
        <v/>
      </c>
      <c r="T4608" t="str">
        <f>IF(OR(C4608="",I4608&lt;&gt;"ENTRADA"),"",TEXT(B4608,"AAMMDD")&amp;"-"&amp;TEXT(VALUE(SUBSTITUTE(A4608,"MOV-","")),"000"))</f>
        <v/>
      </c>
    </row>
    <row r="4609" spans="18:20">
      <c r="R4609" s="22" t="str">
        <f>IF(H4609="","",H4609&amp;I4609)</f>
        <v/>
      </c>
      <c r="S4609" s="22" t="str">
        <f>IF(C4609="","",C4609&amp;I4609)</f>
        <v/>
      </c>
      <c r="T4609" t="str">
        <f>IF(OR(C4609="",I4609&lt;&gt;"ENTRADA"),"",TEXT(B4609,"AAMMDD")&amp;"-"&amp;TEXT(VALUE(SUBSTITUTE(A4609,"MOV-","")),"000"))</f>
        <v/>
      </c>
    </row>
    <row r="4610" spans="18:20">
      <c r="R4610" s="22" t="str">
        <f>IF(H4610="","",H4610&amp;I4610)</f>
        <v/>
      </c>
      <c r="S4610" s="22" t="str">
        <f>IF(C4610="","",C4610&amp;I4610)</f>
        <v/>
      </c>
      <c r="T4610" t="str">
        <f>IF(OR(C4610="",I4610&lt;&gt;"ENTRADA"),"",TEXT(B4610,"AAMMDD")&amp;"-"&amp;TEXT(VALUE(SUBSTITUTE(A4610,"MOV-","")),"000"))</f>
        <v/>
      </c>
    </row>
    <row r="4611" spans="18:20">
      <c r="R4611" s="22" t="str">
        <f>IF(H4611="","",H4611&amp;I4611)</f>
        <v/>
      </c>
      <c r="S4611" s="22" t="str">
        <f>IF(C4611="","",C4611&amp;I4611)</f>
        <v/>
      </c>
      <c r="T4611" t="str">
        <f>IF(OR(C4611="",I4611&lt;&gt;"ENTRADA"),"",TEXT(B4611,"AAMMDD")&amp;"-"&amp;TEXT(VALUE(SUBSTITUTE(A4611,"MOV-","")),"000"))</f>
        <v/>
      </c>
    </row>
    <row r="4612" spans="18:20">
      <c r="R4612" s="22" t="str">
        <f>IF(H4612="","",H4612&amp;I4612)</f>
        <v/>
      </c>
      <c r="S4612" s="22" t="str">
        <f>IF(C4612="","",C4612&amp;I4612)</f>
        <v/>
      </c>
      <c r="T4612" t="str">
        <f>IF(OR(C4612="",I4612&lt;&gt;"ENTRADA"),"",TEXT(B4612,"AAMMDD")&amp;"-"&amp;TEXT(VALUE(SUBSTITUTE(A4612,"MOV-","")),"000"))</f>
        <v/>
      </c>
    </row>
    <row r="4613" spans="18:20">
      <c r="R4613" s="22" t="str">
        <f>IF(H4613="","",H4613&amp;I4613)</f>
        <v/>
      </c>
      <c r="S4613" s="22" t="str">
        <f>IF(C4613="","",C4613&amp;I4613)</f>
        <v/>
      </c>
      <c r="T4613" t="str">
        <f>IF(OR(C4613="",I4613&lt;&gt;"ENTRADA"),"",TEXT(B4613,"AAMMDD")&amp;"-"&amp;TEXT(VALUE(SUBSTITUTE(A4613,"MOV-","")),"000"))</f>
        <v/>
      </c>
    </row>
    <row r="4614" spans="18:20">
      <c r="R4614" s="22" t="str">
        <f>IF(H4614="","",H4614&amp;I4614)</f>
        <v/>
      </c>
      <c r="S4614" s="22" t="str">
        <f>IF(C4614="","",C4614&amp;I4614)</f>
        <v/>
      </c>
      <c r="T4614" t="str">
        <f>IF(OR(C4614="",I4614&lt;&gt;"ENTRADA"),"",TEXT(B4614,"AAMMDD")&amp;"-"&amp;TEXT(VALUE(SUBSTITUTE(A4614,"MOV-","")),"000"))</f>
        <v/>
      </c>
    </row>
    <row r="4615" spans="18:20">
      <c r="R4615" s="22" t="str">
        <f>IF(H4615="","",H4615&amp;I4615)</f>
        <v/>
      </c>
      <c r="S4615" s="22" t="str">
        <f>IF(C4615="","",C4615&amp;I4615)</f>
        <v/>
      </c>
      <c r="T4615" t="str">
        <f>IF(OR(C4615="",I4615&lt;&gt;"ENTRADA"),"",TEXT(B4615,"AAMMDD")&amp;"-"&amp;TEXT(VALUE(SUBSTITUTE(A4615,"MOV-","")),"000"))</f>
        <v/>
      </c>
    </row>
    <row r="4616" spans="18:20">
      <c r="R4616" s="22" t="str">
        <f>IF(H4616="","",H4616&amp;I4616)</f>
        <v/>
      </c>
      <c r="S4616" s="22" t="str">
        <f>IF(C4616="","",C4616&amp;I4616)</f>
        <v/>
      </c>
      <c r="T4616" t="str">
        <f>IF(OR(C4616="",I4616&lt;&gt;"ENTRADA"),"",TEXT(B4616,"AAMMDD")&amp;"-"&amp;TEXT(VALUE(SUBSTITUTE(A4616,"MOV-","")),"000"))</f>
        <v/>
      </c>
    </row>
    <row r="4617" spans="18:20">
      <c r="R4617" s="22" t="str">
        <f>IF(H4617="","",H4617&amp;I4617)</f>
        <v/>
      </c>
      <c r="S4617" s="22" t="str">
        <f>IF(C4617="","",C4617&amp;I4617)</f>
        <v/>
      </c>
      <c r="T4617" t="str">
        <f>IF(OR(C4617="",I4617&lt;&gt;"ENTRADA"),"",TEXT(B4617,"AAMMDD")&amp;"-"&amp;TEXT(VALUE(SUBSTITUTE(A4617,"MOV-","")),"000"))</f>
        <v/>
      </c>
    </row>
    <row r="4618" spans="18:20">
      <c r="R4618" s="22" t="str">
        <f>IF(H4618="","",H4618&amp;I4618)</f>
        <v/>
      </c>
      <c r="S4618" s="22" t="str">
        <f>IF(C4618="","",C4618&amp;I4618)</f>
        <v/>
      </c>
      <c r="T4618" t="str">
        <f>IF(OR(C4618="",I4618&lt;&gt;"ENTRADA"),"",TEXT(B4618,"AAMMDD")&amp;"-"&amp;TEXT(VALUE(SUBSTITUTE(A4618,"MOV-","")),"000"))</f>
        <v/>
      </c>
    </row>
    <row r="4619" spans="18:20">
      <c r="R4619" s="22" t="str">
        <f>IF(H4619="","",H4619&amp;I4619)</f>
        <v/>
      </c>
      <c r="S4619" s="22" t="str">
        <f>IF(C4619="","",C4619&amp;I4619)</f>
        <v/>
      </c>
      <c r="T4619" t="str">
        <f>IF(OR(C4619="",I4619&lt;&gt;"ENTRADA"),"",TEXT(B4619,"AAMMDD")&amp;"-"&amp;TEXT(VALUE(SUBSTITUTE(A4619,"MOV-","")),"000"))</f>
        <v/>
      </c>
    </row>
    <row r="4620" spans="18:20">
      <c r="R4620" s="22" t="str">
        <f>IF(H4620="","",H4620&amp;I4620)</f>
        <v/>
      </c>
      <c r="S4620" s="22" t="str">
        <f>IF(C4620="","",C4620&amp;I4620)</f>
        <v/>
      </c>
      <c r="T4620" t="str">
        <f>IF(OR(C4620="",I4620&lt;&gt;"ENTRADA"),"",TEXT(B4620,"AAMMDD")&amp;"-"&amp;TEXT(VALUE(SUBSTITUTE(A4620,"MOV-","")),"000"))</f>
        <v/>
      </c>
    </row>
    <row r="4621" spans="18:20">
      <c r="R4621" s="22" t="str">
        <f>IF(H4621="","",H4621&amp;I4621)</f>
        <v/>
      </c>
      <c r="S4621" s="22" t="str">
        <f>IF(C4621="","",C4621&amp;I4621)</f>
        <v/>
      </c>
      <c r="T4621" t="str">
        <f>IF(OR(C4621="",I4621&lt;&gt;"ENTRADA"),"",TEXT(B4621,"AAMMDD")&amp;"-"&amp;TEXT(VALUE(SUBSTITUTE(A4621,"MOV-","")),"000"))</f>
        <v/>
      </c>
    </row>
    <row r="4622" spans="18:20">
      <c r="R4622" s="22" t="str">
        <f>IF(H4622="","",H4622&amp;I4622)</f>
        <v/>
      </c>
      <c r="S4622" s="22" t="str">
        <f>IF(C4622="","",C4622&amp;I4622)</f>
        <v/>
      </c>
      <c r="T4622" t="str">
        <f>IF(OR(C4622="",I4622&lt;&gt;"ENTRADA"),"",TEXT(B4622,"AAMMDD")&amp;"-"&amp;TEXT(VALUE(SUBSTITUTE(A4622,"MOV-","")),"000"))</f>
        <v/>
      </c>
    </row>
    <row r="4623" spans="18:20">
      <c r="R4623" s="22" t="str">
        <f>IF(H4623="","",H4623&amp;I4623)</f>
        <v/>
      </c>
      <c r="S4623" s="22" t="str">
        <f>IF(C4623="","",C4623&amp;I4623)</f>
        <v/>
      </c>
      <c r="T4623" t="str">
        <f>IF(OR(C4623="",I4623&lt;&gt;"ENTRADA"),"",TEXT(B4623,"AAMMDD")&amp;"-"&amp;TEXT(VALUE(SUBSTITUTE(A4623,"MOV-","")),"000"))</f>
        <v/>
      </c>
    </row>
    <row r="4624" spans="18:20">
      <c r="R4624" s="22" t="str">
        <f>IF(H4624="","",H4624&amp;I4624)</f>
        <v/>
      </c>
      <c r="S4624" s="22" t="str">
        <f>IF(C4624="","",C4624&amp;I4624)</f>
        <v/>
      </c>
      <c r="T4624" t="str">
        <f>IF(OR(C4624="",I4624&lt;&gt;"ENTRADA"),"",TEXT(B4624,"AAMMDD")&amp;"-"&amp;TEXT(VALUE(SUBSTITUTE(A4624,"MOV-","")),"000"))</f>
        <v/>
      </c>
    </row>
    <row r="4625" spans="18:20">
      <c r="R4625" s="22" t="str">
        <f>IF(H4625="","",H4625&amp;I4625)</f>
        <v/>
      </c>
      <c r="S4625" s="22" t="str">
        <f>IF(C4625="","",C4625&amp;I4625)</f>
        <v/>
      </c>
      <c r="T4625" t="str">
        <f>IF(OR(C4625="",I4625&lt;&gt;"ENTRADA"),"",TEXT(B4625,"AAMMDD")&amp;"-"&amp;TEXT(VALUE(SUBSTITUTE(A4625,"MOV-","")),"000"))</f>
        <v/>
      </c>
    </row>
    <row r="4626" spans="18:20">
      <c r="R4626" s="22" t="str">
        <f>IF(H4626="","",H4626&amp;I4626)</f>
        <v/>
      </c>
      <c r="S4626" s="22" t="str">
        <f>IF(C4626="","",C4626&amp;I4626)</f>
        <v/>
      </c>
      <c r="T4626" t="str">
        <f>IF(OR(C4626="",I4626&lt;&gt;"ENTRADA"),"",TEXT(B4626,"AAMMDD")&amp;"-"&amp;TEXT(VALUE(SUBSTITUTE(A4626,"MOV-","")),"000"))</f>
        <v/>
      </c>
    </row>
    <row r="4627" spans="18:20">
      <c r="R4627" s="22" t="str">
        <f>IF(H4627="","",H4627&amp;I4627)</f>
        <v/>
      </c>
      <c r="S4627" s="22" t="str">
        <f>IF(C4627="","",C4627&amp;I4627)</f>
        <v/>
      </c>
      <c r="T4627" t="str">
        <f>IF(OR(C4627="",I4627&lt;&gt;"ENTRADA"),"",TEXT(B4627,"AAMMDD")&amp;"-"&amp;TEXT(VALUE(SUBSTITUTE(A4627,"MOV-","")),"000"))</f>
        <v/>
      </c>
    </row>
    <row r="4628" spans="18:20">
      <c r="R4628" s="22" t="str">
        <f>IF(H4628="","",H4628&amp;I4628)</f>
        <v/>
      </c>
      <c r="S4628" s="22" t="str">
        <f>IF(C4628="","",C4628&amp;I4628)</f>
        <v/>
      </c>
      <c r="T4628" t="str">
        <f>IF(OR(C4628="",I4628&lt;&gt;"ENTRADA"),"",TEXT(B4628,"AAMMDD")&amp;"-"&amp;TEXT(VALUE(SUBSTITUTE(A4628,"MOV-","")),"000"))</f>
        <v/>
      </c>
    </row>
    <row r="4629" spans="18:20">
      <c r="R4629" s="22" t="str">
        <f>IF(H4629="","",H4629&amp;I4629)</f>
        <v/>
      </c>
      <c r="S4629" s="22" t="str">
        <f>IF(C4629="","",C4629&amp;I4629)</f>
        <v/>
      </c>
      <c r="T4629" t="str">
        <f>IF(OR(C4629="",I4629&lt;&gt;"ENTRADA"),"",TEXT(B4629,"AAMMDD")&amp;"-"&amp;TEXT(VALUE(SUBSTITUTE(A4629,"MOV-","")),"000"))</f>
        <v/>
      </c>
    </row>
    <row r="4630" spans="18:20">
      <c r="R4630" s="22" t="str">
        <f>IF(H4630="","",H4630&amp;I4630)</f>
        <v/>
      </c>
      <c r="S4630" s="22" t="str">
        <f>IF(C4630="","",C4630&amp;I4630)</f>
        <v/>
      </c>
      <c r="T4630" t="str">
        <f>IF(OR(C4630="",I4630&lt;&gt;"ENTRADA"),"",TEXT(B4630,"AAMMDD")&amp;"-"&amp;TEXT(VALUE(SUBSTITUTE(A4630,"MOV-","")),"000"))</f>
        <v/>
      </c>
    </row>
    <row r="4631" spans="18:20">
      <c r="R4631" s="22" t="str">
        <f>IF(H4631="","",H4631&amp;I4631)</f>
        <v/>
      </c>
      <c r="S4631" s="22" t="str">
        <f>IF(C4631="","",C4631&amp;I4631)</f>
        <v/>
      </c>
      <c r="T4631" t="str">
        <f>IF(OR(C4631="",I4631&lt;&gt;"ENTRADA"),"",TEXT(B4631,"AAMMDD")&amp;"-"&amp;TEXT(VALUE(SUBSTITUTE(A4631,"MOV-","")),"000"))</f>
        <v/>
      </c>
    </row>
    <row r="4632" spans="18:20">
      <c r="R4632" s="22" t="str">
        <f>IF(H4632="","",H4632&amp;I4632)</f>
        <v/>
      </c>
      <c r="S4632" s="22" t="str">
        <f>IF(C4632="","",C4632&amp;I4632)</f>
        <v/>
      </c>
      <c r="T4632" t="str">
        <f>IF(OR(C4632="",I4632&lt;&gt;"ENTRADA"),"",TEXT(B4632,"AAMMDD")&amp;"-"&amp;TEXT(VALUE(SUBSTITUTE(A4632,"MOV-","")),"000"))</f>
        <v/>
      </c>
    </row>
    <row r="4633" spans="18:20">
      <c r="R4633" s="22" t="str">
        <f>IF(H4633="","",H4633&amp;I4633)</f>
        <v/>
      </c>
      <c r="S4633" s="22" t="str">
        <f>IF(C4633="","",C4633&amp;I4633)</f>
        <v/>
      </c>
      <c r="T4633" t="str">
        <f>IF(OR(C4633="",I4633&lt;&gt;"ENTRADA"),"",TEXT(B4633,"AAMMDD")&amp;"-"&amp;TEXT(VALUE(SUBSTITUTE(A4633,"MOV-","")),"000"))</f>
        <v/>
      </c>
    </row>
    <row r="4634" spans="18:20">
      <c r="R4634" s="22" t="str">
        <f>IF(H4634="","",H4634&amp;I4634)</f>
        <v/>
      </c>
      <c r="S4634" s="22" t="str">
        <f>IF(C4634="","",C4634&amp;I4634)</f>
        <v/>
      </c>
      <c r="T4634" t="str">
        <f>IF(OR(C4634="",I4634&lt;&gt;"ENTRADA"),"",TEXT(B4634,"AAMMDD")&amp;"-"&amp;TEXT(VALUE(SUBSTITUTE(A4634,"MOV-","")),"000"))</f>
        <v/>
      </c>
    </row>
    <row r="4635" spans="18:20">
      <c r="R4635" s="22" t="str">
        <f>IF(H4635="","",H4635&amp;I4635)</f>
        <v/>
      </c>
      <c r="S4635" s="22" t="str">
        <f>IF(C4635="","",C4635&amp;I4635)</f>
        <v/>
      </c>
      <c r="T4635" t="str">
        <f>IF(OR(C4635="",I4635&lt;&gt;"ENTRADA"),"",TEXT(B4635,"AAMMDD")&amp;"-"&amp;TEXT(VALUE(SUBSTITUTE(A4635,"MOV-","")),"000"))</f>
        <v/>
      </c>
    </row>
    <row r="4636" spans="18:20">
      <c r="R4636" s="22" t="str">
        <f>IF(H4636="","",H4636&amp;I4636)</f>
        <v/>
      </c>
      <c r="S4636" s="22" t="str">
        <f>IF(C4636="","",C4636&amp;I4636)</f>
        <v/>
      </c>
      <c r="T4636" t="str">
        <f>IF(OR(C4636="",I4636&lt;&gt;"ENTRADA"),"",TEXT(B4636,"AAMMDD")&amp;"-"&amp;TEXT(VALUE(SUBSTITUTE(A4636,"MOV-","")),"000"))</f>
        <v/>
      </c>
    </row>
    <row r="4637" spans="18:20">
      <c r="R4637" s="22" t="str">
        <f>IF(H4637="","",H4637&amp;I4637)</f>
        <v/>
      </c>
      <c r="S4637" s="22" t="str">
        <f>IF(C4637="","",C4637&amp;I4637)</f>
        <v/>
      </c>
      <c r="T4637" t="str">
        <f>IF(OR(C4637="",I4637&lt;&gt;"ENTRADA"),"",TEXT(B4637,"AAMMDD")&amp;"-"&amp;TEXT(VALUE(SUBSTITUTE(A4637,"MOV-","")),"000"))</f>
        <v/>
      </c>
    </row>
    <row r="4638" spans="18:20">
      <c r="R4638" s="22" t="str">
        <f>IF(H4638="","",H4638&amp;I4638)</f>
        <v/>
      </c>
      <c r="S4638" s="22" t="str">
        <f>IF(C4638="","",C4638&amp;I4638)</f>
        <v/>
      </c>
      <c r="T4638" t="str">
        <f>IF(OR(C4638="",I4638&lt;&gt;"ENTRADA"),"",TEXT(B4638,"AAMMDD")&amp;"-"&amp;TEXT(VALUE(SUBSTITUTE(A4638,"MOV-","")),"000"))</f>
        <v/>
      </c>
    </row>
    <row r="4639" spans="18:20">
      <c r="R4639" s="22" t="str">
        <f>IF(H4639="","",H4639&amp;I4639)</f>
        <v/>
      </c>
      <c r="S4639" s="22" t="str">
        <f>IF(C4639="","",C4639&amp;I4639)</f>
        <v/>
      </c>
      <c r="T4639" t="str">
        <f>IF(OR(C4639="",I4639&lt;&gt;"ENTRADA"),"",TEXT(B4639,"AAMMDD")&amp;"-"&amp;TEXT(VALUE(SUBSTITUTE(A4639,"MOV-","")),"000"))</f>
        <v/>
      </c>
    </row>
    <row r="4640" spans="18:20">
      <c r="R4640" s="22" t="str">
        <f>IF(H4640="","",H4640&amp;I4640)</f>
        <v/>
      </c>
      <c r="S4640" s="22" t="str">
        <f>IF(C4640="","",C4640&amp;I4640)</f>
        <v/>
      </c>
      <c r="T4640" t="str">
        <f>IF(OR(C4640="",I4640&lt;&gt;"ENTRADA"),"",TEXT(B4640,"AAMMDD")&amp;"-"&amp;TEXT(VALUE(SUBSTITUTE(A4640,"MOV-","")),"000"))</f>
        <v/>
      </c>
    </row>
    <row r="4641" spans="18:20">
      <c r="R4641" s="22" t="str">
        <f>IF(H4641="","",H4641&amp;I4641)</f>
        <v/>
      </c>
      <c r="S4641" s="22" t="str">
        <f>IF(C4641="","",C4641&amp;I4641)</f>
        <v/>
      </c>
      <c r="T4641" t="str">
        <f>IF(OR(C4641="",I4641&lt;&gt;"ENTRADA"),"",TEXT(B4641,"AAMMDD")&amp;"-"&amp;TEXT(VALUE(SUBSTITUTE(A4641,"MOV-","")),"000"))</f>
        <v/>
      </c>
    </row>
    <row r="4642" spans="18:20">
      <c r="R4642" s="22" t="str">
        <f>IF(H4642="","",H4642&amp;I4642)</f>
        <v/>
      </c>
      <c r="S4642" s="22" t="str">
        <f>IF(C4642="","",C4642&amp;I4642)</f>
        <v/>
      </c>
      <c r="T4642" t="str">
        <f>IF(OR(C4642="",I4642&lt;&gt;"ENTRADA"),"",TEXT(B4642,"AAMMDD")&amp;"-"&amp;TEXT(VALUE(SUBSTITUTE(A4642,"MOV-","")),"000"))</f>
        <v/>
      </c>
    </row>
    <row r="4643" spans="18:20">
      <c r="R4643" s="22" t="str">
        <f>IF(H4643="","",H4643&amp;I4643)</f>
        <v/>
      </c>
      <c r="S4643" s="22" t="str">
        <f>IF(C4643="","",C4643&amp;I4643)</f>
        <v/>
      </c>
      <c r="T4643" t="str">
        <f>IF(OR(C4643="",I4643&lt;&gt;"ENTRADA"),"",TEXT(B4643,"AAMMDD")&amp;"-"&amp;TEXT(VALUE(SUBSTITUTE(A4643,"MOV-","")),"000"))</f>
        <v/>
      </c>
    </row>
    <row r="4644" spans="18:20">
      <c r="R4644" s="22" t="str">
        <f>IF(H4644="","",H4644&amp;I4644)</f>
        <v/>
      </c>
      <c r="S4644" s="22" t="str">
        <f>IF(C4644="","",C4644&amp;I4644)</f>
        <v/>
      </c>
      <c r="T4644" t="str">
        <f>IF(OR(C4644="",I4644&lt;&gt;"ENTRADA"),"",TEXT(B4644,"AAMMDD")&amp;"-"&amp;TEXT(VALUE(SUBSTITUTE(A4644,"MOV-","")),"000"))</f>
        <v/>
      </c>
    </row>
    <row r="4645" spans="18:20">
      <c r="R4645" s="22" t="str">
        <f>IF(H4645="","",H4645&amp;I4645)</f>
        <v/>
      </c>
      <c r="S4645" s="22" t="str">
        <f>IF(C4645="","",C4645&amp;I4645)</f>
        <v/>
      </c>
      <c r="T4645" t="str">
        <f>IF(OR(C4645="",I4645&lt;&gt;"ENTRADA"),"",TEXT(B4645,"AAMMDD")&amp;"-"&amp;TEXT(VALUE(SUBSTITUTE(A4645,"MOV-","")),"000"))</f>
        <v/>
      </c>
    </row>
    <row r="4646" spans="18:20">
      <c r="R4646" s="22" t="str">
        <f>IF(H4646="","",H4646&amp;I4646)</f>
        <v/>
      </c>
      <c r="S4646" s="22" t="str">
        <f>IF(C4646="","",C4646&amp;I4646)</f>
        <v/>
      </c>
      <c r="T4646" t="str">
        <f>IF(OR(C4646="",I4646&lt;&gt;"ENTRADA"),"",TEXT(B4646,"AAMMDD")&amp;"-"&amp;TEXT(VALUE(SUBSTITUTE(A4646,"MOV-","")),"000"))</f>
        <v/>
      </c>
    </row>
    <row r="4647" spans="18:20">
      <c r="R4647" s="22" t="str">
        <f>IF(H4647="","",H4647&amp;I4647)</f>
        <v/>
      </c>
      <c r="S4647" s="22" t="str">
        <f>IF(C4647="","",C4647&amp;I4647)</f>
        <v/>
      </c>
      <c r="T4647" t="str">
        <f>IF(OR(C4647="",I4647&lt;&gt;"ENTRADA"),"",TEXT(B4647,"AAMMDD")&amp;"-"&amp;TEXT(VALUE(SUBSTITUTE(A4647,"MOV-","")),"000"))</f>
        <v/>
      </c>
    </row>
    <row r="4648" spans="18:20">
      <c r="R4648" s="22" t="str">
        <f>IF(H4648="","",H4648&amp;I4648)</f>
        <v/>
      </c>
      <c r="S4648" s="22" t="str">
        <f>IF(C4648="","",C4648&amp;I4648)</f>
        <v/>
      </c>
      <c r="T4648" t="str">
        <f>IF(OR(C4648="",I4648&lt;&gt;"ENTRADA"),"",TEXT(B4648,"AAMMDD")&amp;"-"&amp;TEXT(VALUE(SUBSTITUTE(A4648,"MOV-","")),"000"))</f>
        <v/>
      </c>
    </row>
    <row r="4649" spans="18:20">
      <c r="R4649" s="22" t="str">
        <f>IF(H4649="","",H4649&amp;I4649)</f>
        <v/>
      </c>
      <c r="S4649" s="22" t="str">
        <f>IF(C4649="","",C4649&amp;I4649)</f>
        <v/>
      </c>
      <c r="T4649" t="str">
        <f>IF(OR(C4649="",I4649&lt;&gt;"ENTRADA"),"",TEXT(B4649,"AAMMDD")&amp;"-"&amp;TEXT(VALUE(SUBSTITUTE(A4649,"MOV-","")),"000"))</f>
        <v/>
      </c>
    </row>
    <row r="4650" spans="18:20">
      <c r="R4650" s="22" t="str">
        <f>IF(H4650="","",H4650&amp;I4650)</f>
        <v/>
      </c>
      <c r="S4650" s="22" t="str">
        <f>IF(C4650="","",C4650&amp;I4650)</f>
        <v/>
      </c>
      <c r="T4650" t="str">
        <f>IF(OR(C4650="",I4650&lt;&gt;"ENTRADA"),"",TEXT(B4650,"AAMMDD")&amp;"-"&amp;TEXT(VALUE(SUBSTITUTE(A4650,"MOV-","")),"000"))</f>
        <v/>
      </c>
    </row>
    <row r="4651" spans="18:20">
      <c r="R4651" s="22" t="str">
        <f>IF(H4651="","",H4651&amp;I4651)</f>
        <v/>
      </c>
      <c r="S4651" s="22" t="str">
        <f>IF(C4651="","",C4651&amp;I4651)</f>
        <v/>
      </c>
      <c r="T4651" t="str">
        <f>IF(OR(C4651="",I4651&lt;&gt;"ENTRADA"),"",TEXT(B4651,"AAMMDD")&amp;"-"&amp;TEXT(VALUE(SUBSTITUTE(A4651,"MOV-","")),"000"))</f>
        <v/>
      </c>
    </row>
    <row r="4652" spans="18:20">
      <c r="R4652" s="22" t="str">
        <f>IF(H4652="","",H4652&amp;I4652)</f>
        <v/>
      </c>
      <c r="S4652" s="22" t="str">
        <f>IF(C4652="","",C4652&amp;I4652)</f>
        <v/>
      </c>
      <c r="T4652" t="str">
        <f>IF(OR(C4652="",I4652&lt;&gt;"ENTRADA"),"",TEXT(B4652,"AAMMDD")&amp;"-"&amp;TEXT(VALUE(SUBSTITUTE(A4652,"MOV-","")),"000"))</f>
        <v/>
      </c>
    </row>
    <row r="4653" spans="18:20">
      <c r="R4653" s="22" t="str">
        <f>IF(H4653="","",H4653&amp;I4653)</f>
        <v/>
      </c>
      <c r="S4653" s="22" t="str">
        <f>IF(C4653="","",C4653&amp;I4653)</f>
        <v/>
      </c>
      <c r="T4653" t="str">
        <f>IF(OR(C4653="",I4653&lt;&gt;"ENTRADA"),"",TEXT(B4653,"AAMMDD")&amp;"-"&amp;TEXT(VALUE(SUBSTITUTE(A4653,"MOV-","")),"000"))</f>
        <v/>
      </c>
    </row>
    <row r="4654" spans="18:20">
      <c r="R4654" s="22" t="str">
        <f>IF(H4654="","",H4654&amp;I4654)</f>
        <v/>
      </c>
      <c r="S4654" s="22" t="str">
        <f>IF(C4654="","",C4654&amp;I4654)</f>
        <v/>
      </c>
      <c r="T4654" t="str">
        <f>IF(OR(C4654="",I4654&lt;&gt;"ENTRADA"),"",TEXT(B4654,"AAMMDD")&amp;"-"&amp;TEXT(VALUE(SUBSTITUTE(A4654,"MOV-","")),"000"))</f>
        <v/>
      </c>
    </row>
    <row r="4655" spans="18:20">
      <c r="R4655" s="22" t="str">
        <f>IF(H4655="","",H4655&amp;I4655)</f>
        <v/>
      </c>
      <c r="S4655" s="22" t="str">
        <f>IF(C4655="","",C4655&amp;I4655)</f>
        <v/>
      </c>
      <c r="T4655" t="str">
        <f>IF(OR(C4655="",I4655&lt;&gt;"ENTRADA"),"",TEXT(B4655,"AAMMDD")&amp;"-"&amp;TEXT(VALUE(SUBSTITUTE(A4655,"MOV-","")),"000"))</f>
        <v/>
      </c>
    </row>
    <row r="4656" spans="18:20">
      <c r="R4656" s="22" t="str">
        <f>IF(H4656="","",H4656&amp;I4656)</f>
        <v/>
      </c>
      <c r="S4656" s="22" t="str">
        <f>IF(C4656="","",C4656&amp;I4656)</f>
        <v/>
      </c>
      <c r="T4656" t="str">
        <f>IF(OR(C4656="",I4656&lt;&gt;"ENTRADA"),"",TEXT(B4656,"AAMMDD")&amp;"-"&amp;TEXT(VALUE(SUBSTITUTE(A4656,"MOV-","")),"000"))</f>
        <v/>
      </c>
    </row>
    <row r="4657" spans="18:20">
      <c r="R4657" s="22" t="str">
        <f>IF(H4657="","",H4657&amp;I4657)</f>
        <v/>
      </c>
      <c r="S4657" s="22" t="str">
        <f>IF(C4657="","",C4657&amp;I4657)</f>
        <v/>
      </c>
      <c r="T4657" t="str">
        <f>IF(OR(C4657="",I4657&lt;&gt;"ENTRADA"),"",TEXT(B4657,"AAMMDD")&amp;"-"&amp;TEXT(VALUE(SUBSTITUTE(A4657,"MOV-","")),"000"))</f>
        <v/>
      </c>
    </row>
    <row r="4658" spans="18:20">
      <c r="R4658" s="22" t="str">
        <f>IF(H4658="","",H4658&amp;I4658)</f>
        <v/>
      </c>
      <c r="S4658" s="22" t="str">
        <f>IF(C4658="","",C4658&amp;I4658)</f>
        <v/>
      </c>
      <c r="T4658" t="str">
        <f>IF(OR(C4658="",I4658&lt;&gt;"ENTRADA"),"",TEXT(B4658,"AAMMDD")&amp;"-"&amp;TEXT(VALUE(SUBSTITUTE(A4658,"MOV-","")),"000"))</f>
        <v/>
      </c>
    </row>
    <row r="4659" spans="18:20">
      <c r="R4659" s="22" t="str">
        <f>IF(H4659="","",H4659&amp;I4659)</f>
        <v/>
      </c>
      <c r="S4659" s="22" t="str">
        <f>IF(C4659="","",C4659&amp;I4659)</f>
        <v/>
      </c>
      <c r="T4659" t="str">
        <f>IF(OR(C4659="",I4659&lt;&gt;"ENTRADA"),"",TEXT(B4659,"AAMMDD")&amp;"-"&amp;TEXT(VALUE(SUBSTITUTE(A4659,"MOV-","")),"000"))</f>
        <v/>
      </c>
    </row>
    <row r="4660" spans="18:20">
      <c r="R4660" s="22" t="str">
        <f>IF(H4660="","",H4660&amp;I4660)</f>
        <v/>
      </c>
      <c r="S4660" s="22" t="str">
        <f>IF(C4660="","",C4660&amp;I4660)</f>
        <v/>
      </c>
      <c r="T4660" t="str">
        <f>IF(OR(C4660="",I4660&lt;&gt;"ENTRADA"),"",TEXT(B4660,"AAMMDD")&amp;"-"&amp;TEXT(VALUE(SUBSTITUTE(A4660,"MOV-","")),"000"))</f>
        <v/>
      </c>
    </row>
    <row r="4661" spans="18:20">
      <c r="R4661" s="22" t="str">
        <f>IF(H4661="","",H4661&amp;I4661)</f>
        <v/>
      </c>
      <c r="S4661" s="22" t="str">
        <f>IF(C4661="","",C4661&amp;I4661)</f>
        <v/>
      </c>
      <c r="T4661" t="str">
        <f>IF(OR(C4661="",I4661&lt;&gt;"ENTRADA"),"",TEXT(B4661,"AAMMDD")&amp;"-"&amp;TEXT(VALUE(SUBSTITUTE(A4661,"MOV-","")),"000"))</f>
        <v/>
      </c>
    </row>
    <row r="4662" spans="18:20">
      <c r="R4662" s="22" t="str">
        <f>IF(H4662="","",H4662&amp;I4662)</f>
        <v/>
      </c>
      <c r="S4662" s="22" t="str">
        <f>IF(C4662="","",C4662&amp;I4662)</f>
        <v/>
      </c>
      <c r="T4662" t="str">
        <f>IF(OR(C4662="",I4662&lt;&gt;"ENTRADA"),"",TEXT(B4662,"AAMMDD")&amp;"-"&amp;TEXT(VALUE(SUBSTITUTE(A4662,"MOV-","")),"000"))</f>
        <v/>
      </c>
    </row>
    <row r="4663" spans="18:20">
      <c r="R4663" s="22" t="str">
        <f>IF(H4663="","",H4663&amp;I4663)</f>
        <v/>
      </c>
      <c r="S4663" s="22" t="str">
        <f>IF(C4663="","",C4663&amp;I4663)</f>
        <v/>
      </c>
      <c r="T4663" t="str">
        <f>IF(OR(C4663="",I4663&lt;&gt;"ENTRADA"),"",TEXT(B4663,"AAMMDD")&amp;"-"&amp;TEXT(VALUE(SUBSTITUTE(A4663,"MOV-","")),"000"))</f>
        <v/>
      </c>
    </row>
    <row r="4664" spans="18:20">
      <c r="R4664" s="22" t="str">
        <f>IF(H4664="","",H4664&amp;I4664)</f>
        <v/>
      </c>
      <c r="S4664" s="22" t="str">
        <f>IF(C4664="","",C4664&amp;I4664)</f>
        <v/>
      </c>
      <c r="T4664" t="str">
        <f>IF(OR(C4664="",I4664&lt;&gt;"ENTRADA"),"",TEXT(B4664,"AAMMDD")&amp;"-"&amp;TEXT(VALUE(SUBSTITUTE(A4664,"MOV-","")),"000"))</f>
        <v/>
      </c>
    </row>
    <row r="4665" spans="18:20">
      <c r="R4665" s="22" t="str">
        <f>IF(H4665="","",H4665&amp;I4665)</f>
        <v/>
      </c>
      <c r="S4665" s="22" t="str">
        <f>IF(C4665="","",C4665&amp;I4665)</f>
        <v/>
      </c>
      <c r="T4665" t="str">
        <f>IF(OR(C4665="",I4665&lt;&gt;"ENTRADA"),"",TEXT(B4665,"AAMMDD")&amp;"-"&amp;TEXT(VALUE(SUBSTITUTE(A4665,"MOV-","")),"000"))</f>
        <v/>
      </c>
    </row>
    <row r="4666" spans="18:20">
      <c r="R4666" s="22" t="str">
        <f>IF(H4666="","",H4666&amp;I4666)</f>
        <v/>
      </c>
      <c r="S4666" s="22" t="str">
        <f>IF(C4666="","",C4666&amp;I4666)</f>
        <v/>
      </c>
      <c r="T4666" t="str">
        <f>IF(OR(C4666="",I4666&lt;&gt;"ENTRADA"),"",TEXT(B4666,"AAMMDD")&amp;"-"&amp;TEXT(VALUE(SUBSTITUTE(A4666,"MOV-","")),"000"))</f>
        <v/>
      </c>
    </row>
    <row r="4667" spans="18:20">
      <c r="R4667" s="22" t="str">
        <f>IF(H4667="","",H4667&amp;I4667)</f>
        <v/>
      </c>
      <c r="S4667" s="22" t="str">
        <f>IF(C4667="","",C4667&amp;I4667)</f>
        <v/>
      </c>
      <c r="T4667" t="str">
        <f>IF(OR(C4667="",I4667&lt;&gt;"ENTRADA"),"",TEXT(B4667,"AAMMDD")&amp;"-"&amp;TEXT(VALUE(SUBSTITUTE(A4667,"MOV-","")),"000"))</f>
        <v/>
      </c>
    </row>
    <row r="4668" spans="18:20">
      <c r="R4668" s="22" t="str">
        <f>IF(H4668="","",H4668&amp;I4668)</f>
        <v/>
      </c>
      <c r="S4668" s="22" t="str">
        <f>IF(C4668="","",C4668&amp;I4668)</f>
        <v/>
      </c>
      <c r="T4668" t="str">
        <f>IF(OR(C4668="",I4668&lt;&gt;"ENTRADA"),"",TEXT(B4668,"AAMMDD")&amp;"-"&amp;TEXT(VALUE(SUBSTITUTE(A4668,"MOV-","")),"000"))</f>
        <v/>
      </c>
    </row>
    <row r="4669" spans="18:20">
      <c r="R4669" s="22" t="str">
        <f>IF(H4669="","",H4669&amp;I4669)</f>
        <v/>
      </c>
      <c r="S4669" s="22" t="str">
        <f>IF(C4669="","",C4669&amp;I4669)</f>
        <v/>
      </c>
      <c r="T4669" t="str">
        <f>IF(OR(C4669="",I4669&lt;&gt;"ENTRADA"),"",TEXT(B4669,"AAMMDD")&amp;"-"&amp;TEXT(VALUE(SUBSTITUTE(A4669,"MOV-","")),"000"))</f>
        <v/>
      </c>
    </row>
    <row r="4670" spans="18:20">
      <c r="R4670" s="22" t="str">
        <f>IF(H4670="","",H4670&amp;I4670)</f>
        <v/>
      </c>
      <c r="S4670" s="22" t="str">
        <f>IF(C4670="","",C4670&amp;I4670)</f>
        <v/>
      </c>
      <c r="T4670" t="str">
        <f>IF(OR(C4670="",I4670&lt;&gt;"ENTRADA"),"",TEXT(B4670,"AAMMDD")&amp;"-"&amp;TEXT(VALUE(SUBSTITUTE(A4670,"MOV-","")),"000"))</f>
        <v/>
      </c>
    </row>
    <row r="4671" spans="18:20">
      <c r="R4671" s="22" t="str">
        <f>IF(H4671="","",H4671&amp;I4671)</f>
        <v/>
      </c>
      <c r="S4671" s="22" t="str">
        <f>IF(C4671="","",C4671&amp;I4671)</f>
        <v/>
      </c>
      <c r="T4671" t="str">
        <f>IF(OR(C4671="",I4671&lt;&gt;"ENTRADA"),"",TEXT(B4671,"AAMMDD")&amp;"-"&amp;TEXT(VALUE(SUBSTITUTE(A4671,"MOV-","")),"000"))</f>
        <v/>
      </c>
    </row>
    <row r="4672" spans="18:20">
      <c r="R4672" s="22" t="str">
        <f>IF(H4672="","",H4672&amp;I4672)</f>
        <v/>
      </c>
      <c r="S4672" s="22" t="str">
        <f>IF(C4672="","",C4672&amp;I4672)</f>
        <v/>
      </c>
      <c r="T4672" t="str">
        <f>IF(OR(C4672="",I4672&lt;&gt;"ENTRADA"),"",TEXT(B4672,"AAMMDD")&amp;"-"&amp;TEXT(VALUE(SUBSTITUTE(A4672,"MOV-","")),"000"))</f>
        <v/>
      </c>
    </row>
    <row r="4673" spans="18:20">
      <c r="R4673" s="22" t="str">
        <f>IF(H4673="","",H4673&amp;I4673)</f>
        <v/>
      </c>
      <c r="S4673" s="22" t="str">
        <f>IF(C4673="","",C4673&amp;I4673)</f>
        <v/>
      </c>
      <c r="T4673" t="str">
        <f>IF(OR(C4673="",I4673&lt;&gt;"ENTRADA"),"",TEXT(B4673,"AAMMDD")&amp;"-"&amp;TEXT(VALUE(SUBSTITUTE(A4673,"MOV-","")),"000"))</f>
        <v/>
      </c>
    </row>
    <row r="4674" spans="18:20">
      <c r="R4674" s="22" t="str">
        <f>IF(H4674="","",H4674&amp;I4674)</f>
        <v/>
      </c>
      <c r="S4674" s="22" t="str">
        <f>IF(C4674="","",C4674&amp;I4674)</f>
        <v/>
      </c>
      <c r="T4674" t="str">
        <f>IF(OR(C4674="",I4674&lt;&gt;"ENTRADA"),"",TEXT(B4674,"AAMMDD")&amp;"-"&amp;TEXT(VALUE(SUBSTITUTE(A4674,"MOV-","")),"000"))</f>
        <v/>
      </c>
    </row>
    <row r="4675" spans="18:20">
      <c r="R4675" s="22" t="str">
        <f>IF(H4675="","",H4675&amp;I4675)</f>
        <v/>
      </c>
      <c r="S4675" s="22" t="str">
        <f>IF(C4675="","",C4675&amp;I4675)</f>
        <v/>
      </c>
      <c r="T4675" t="str">
        <f>IF(OR(C4675="",I4675&lt;&gt;"ENTRADA"),"",TEXT(B4675,"AAMMDD")&amp;"-"&amp;TEXT(VALUE(SUBSTITUTE(A4675,"MOV-","")),"000"))</f>
        <v/>
      </c>
    </row>
    <row r="4676" spans="18:20">
      <c r="R4676" s="22" t="str">
        <f>IF(H4676="","",H4676&amp;I4676)</f>
        <v/>
      </c>
      <c r="S4676" s="22" t="str">
        <f>IF(C4676="","",C4676&amp;I4676)</f>
        <v/>
      </c>
      <c r="T4676" t="str">
        <f>IF(OR(C4676="",I4676&lt;&gt;"ENTRADA"),"",TEXT(B4676,"AAMMDD")&amp;"-"&amp;TEXT(VALUE(SUBSTITUTE(A4676,"MOV-","")),"000"))</f>
        <v/>
      </c>
    </row>
    <row r="4677" spans="18:20">
      <c r="R4677" s="22" t="str">
        <f>IF(H4677="","",H4677&amp;I4677)</f>
        <v/>
      </c>
      <c r="S4677" s="22" t="str">
        <f>IF(C4677="","",C4677&amp;I4677)</f>
        <v/>
      </c>
      <c r="T4677" t="str">
        <f>IF(OR(C4677="",I4677&lt;&gt;"ENTRADA"),"",TEXT(B4677,"AAMMDD")&amp;"-"&amp;TEXT(VALUE(SUBSTITUTE(A4677,"MOV-","")),"000"))</f>
        <v/>
      </c>
    </row>
    <row r="4678" spans="18:20">
      <c r="R4678" s="22" t="str">
        <f>IF(H4678="","",H4678&amp;I4678)</f>
        <v/>
      </c>
      <c r="S4678" s="22" t="str">
        <f>IF(C4678="","",C4678&amp;I4678)</f>
        <v/>
      </c>
      <c r="T4678" t="str">
        <f>IF(OR(C4678="",I4678&lt;&gt;"ENTRADA"),"",TEXT(B4678,"AAMMDD")&amp;"-"&amp;TEXT(VALUE(SUBSTITUTE(A4678,"MOV-","")),"000"))</f>
        <v/>
      </c>
    </row>
    <row r="4679" spans="18:20">
      <c r="R4679" s="22" t="str">
        <f>IF(H4679="","",H4679&amp;I4679)</f>
        <v/>
      </c>
      <c r="S4679" s="22" t="str">
        <f>IF(C4679="","",C4679&amp;I4679)</f>
        <v/>
      </c>
      <c r="T4679" t="str">
        <f>IF(OR(C4679="",I4679&lt;&gt;"ENTRADA"),"",TEXT(B4679,"AAMMDD")&amp;"-"&amp;TEXT(VALUE(SUBSTITUTE(A4679,"MOV-","")),"000"))</f>
        <v/>
      </c>
    </row>
    <row r="4680" spans="18:20">
      <c r="R4680" s="22" t="str">
        <f>IF(H4680="","",H4680&amp;I4680)</f>
        <v/>
      </c>
      <c r="S4680" s="22" t="str">
        <f>IF(C4680="","",C4680&amp;I4680)</f>
        <v/>
      </c>
      <c r="T4680" t="str">
        <f>IF(OR(C4680="",I4680&lt;&gt;"ENTRADA"),"",TEXT(B4680,"AAMMDD")&amp;"-"&amp;TEXT(VALUE(SUBSTITUTE(A4680,"MOV-","")),"000"))</f>
        <v/>
      </c>
    </row>
    <row r="4681" spans="18:20">
      <c r="R4681" s="22" t="str">
        <f>IF(H4681="","",H4681&amp;I4681)</f>
        <v/>
      </c>
      <c r="S4681" s="22" t="str">
        <f>IF(C4681="","",C4681&amp;I4681)</f>
        <v/>
      </c>
      <c r="T4681" t="str">
        <f>IF(OR(C4681="",I4681&lt;&gt;"ENTRADA"),"",TEXT(B4681,"AAMMDD")&amp;"-"&amp;TEXT(VALUE(SUBSTITUTE(A4681,"MOV-","")),"000"))</f>
        <v/>
      </c>
    </row>
    <row r="4682" spans="18:20">
      <c r="R4682" s="22" t="str">
        <f>IF(H4682="","",H4682&amp;I4682)</f>
        <v/>
      </c>
      <c r="S4682" s="22" t="str">
        <f>IF(C4682="","",C4682&amp;I4682)</f>
        <v/>
      </c>
      <c r="T4682" t="str">
        <f>IF(OR(C4682="",I4682&lt;&gt;"ENTRADA"),"",TEXT(B4682,"AAMMDD")&amp;"-"&amp;TEXT(VALUE(SUBSTITUTE(A4682,"MOV-","")),"000"))</f>
        <v/>
      </c>
    </row>
    <row r="4683" spans="18:20">
      <c r="R4683" s="22" t="str">
        <f>IF(H4683="","",H4683&amp;I4683)</f>
        <v/>
      </c>
      <c r="S4683" s="22" t="str">
        <f>IF(C4683="","",C4683&amp;I4683)</f>
        <v/>
      </c>
      <c r="T4683" t="str">
        <f>IF(OR(C4683="",I4683&lt;&gt;"ENTRADA"),"",TEXT(B4683,"AAMMDD")&amp;"-"&amp;TEXT(VALUE(SUBSTITUTE(A4683,"MOV-","")),"000"))</f>
        <v/>
      </c>
    </row>
    <row r="4684" spans="18:20">
      <c r="R4684" s="22" t="str">
        <f>IF(H4684="","",H4684&amp;I4684)</f>
        <v/>
      </c>
      <c r="S4684" s="22" t="str">
        <f>IF(C4684="","",C4684&amp;I4684)</f>
        <v/>
      </c>
      <c r="T4684" t="str">
        <f>IF(OR(C4684="",I4684&lt;&gt;"ENTRADA"),"",TEXT(B4684,"AAMMDD")&amp;"-"&amp;TEXT(VALUE(SUBSTITUTE(A4684,"MOV-","")),"000"))</f>
        <v/>
      </c>
    </row>
    <row r="4685" spans="18:20">
      <c r="R4685" s="22" t="str">
        <f>IF(H4685="","",H4685&amp;I4685)</f>
        <v/>
      </c>
      <c r="S4685" s="22" t="str">
        <f>IF(C4685="","",C4685&amp;I4685)</f>
        <v/>
      </c>
      <c r="T4685" t="str">
        <f>IF(OR(C4685="",I4685&lt;&gt;"ENTRADA"),"",TEXT(B4685,"AAMMDD")&amp;"-"&amp;TEXT(VALUE(SUBSTITUTE(A4685,"MOV-","")),"000"))</f>
        <v/>
      </c>
    </row>
    <row r="4686" spans="18:20">
      <c r="R4686" s="22" t="str">
        <f>IF(H4686="","",H4686&amp;I4686)</f>
        <v/>
      </c>
      <c r="S4686" s="22" t="str">
        <f>IF(C4686="","",C4686&amp;I4686)</f>
        <v/>
      </c>
      <c r="T4686" t="str">
        <f>IF(OR(C4686="",I4686&lt;&gt;"ENTRADA"),"",TEXT(B4686,"AAMMDD")&amp;"-"&amp;TEXT(VALUE(SUBSTITUTE(A4686,"MOV-","")),"000"))</f>
        <v/>
      </c>
    </row>
    <row r="4687" spans="18:20">
      <c r="R4687" s="22" t="str">
        <f>IF(H4687="","",H4687&amp;I4687)</f>
        <v/>
      </c>
      <c r="S4687" s="22" t="str">
        <f>IF(C4687="","",C4687&amp;I4687)</f>
        <v/>
      </c>
      <c r="T4687" t="str">
        <f>IF(OR(C4687="",I4687&lt;&gt;"ENTRADA"),"",TEXT(B4687,"AAMMDD")&amp;"-"&amp;TEXT(VALUE(SUBSTITUTE(A4687,"MOV-","")),"000"))</f>
        <v/>
      </c>
    </row>
    <row r="4688" spans="18:20">
      <c r="R4688" s="22" t="str">
        <f>IF(H4688="","",H4688&amp;I4688)</f>
        <v/>
      </c>
      <c r="S4688" s="22" t="str">
        <f>IF(C4688="","",C4688&amp;I4688)</f>
        <v/>
      </c>
      <c r="T4688" t="str">
        <f>IF(OR(C4688="",I4688&lt;&gt;"ENTRADA"),"",TEXT(B4688,"AAMMDD")&amp;"-"&amp;TEXT(VALUE(SUBSTITUTE(A4688,"MOV-","")),"000"))</f>
        <v/>
      </c>
    </row>
    <row r="4689" spans="18:20">
      <c r="R4689" s="22" t="str">
        <f>IF(H4689="","",H4689&amp;I4689)</f>
        <v/>
      </c>
      <c r="S4689" s="22" t="str">
        <f>IF(C4689="","",C4689&amp;I4689)</f>
        <v/>
      </c>
      <c r="T4689" t="str">
        <f>IF(OR(C4689="",I4689&lt;&gt;"ENTRADA"),"",TEXT(B4689,"AAMMDD")&amp;"-"&amp;TEXT(VALUE(SUBSTITUTE(A4689,"MOV-","")),"000"))</f>
        <v/>
      </c>
    </row>
    <row r="4690" spans="18:20">
      <c r="R4690" s="22" t="str">
        <f>IF(H4690="","",H4690&amp;I4690)</f>
        <v/>
      </c>
      <c r="S4690" s="22" t="str">
        <f>IF(C4690="","",C4690&amp;I4690)</f>
        <v/>
      </c>
      <c r="T4690" t="str">
        <f>IF(OR(C4690="",I4690&lt;&gt;"ENTRADA"),"",TEXT(B4690,"AAMMDD")&amp;"-"&amp;TEXT(VALUE(SUBSTITUTE(A4690,"MOV-","")),"000"))</f>
        <v/>
      </c>
    </row>
    <row r="4691" spans="18:20">
      <c r="R4691" s="22" t="str">
        <f>IF(H4691="","",H4691&amp;I4691)</f>
        <v/>
      </c>
      <c r="S4691" s="22" t="str">
        <f>IF(C4691="","",C4691&amp;I4691)</f>
        <v/>
      </c>
      <c r="T4691" t="str">
        <f>IF(OR(C4691="",I4691&lt;&gt;"ENTRADA"),"",TEXT(B4691,"AAMMDD")&amp;"-"&amp;TEXT(VALUE(SUBSTITUTE(A4691,"MOV-","")),"000"))</f>
        <v/>
      </c>
    </row>
    <row r="4692" spans="18:20">
      <c r="R4692" s="22" t="str">
        <f>IF(H4692="","",H4692&amp;I4692)</f>
        <v/>
      </c>
      <c r="S4692" s="22" t="str">
        <f>IF(C4692="","",C4692&amp;I4692)</f>
        <v/>
      </c>
      <c r="T4692" t="str">
        <f>IF(OR(C4692="",I4692&lt;&gt;"ENTRADA"),"",TEXT(B4692,"AAMMDD")&amp;"-"&amp;TEXT(VALUE(SUBSTITUTE(A4692,"MOV-","")),"000"))</f>
        <v/>
      </c>
    </row>
    <row r="4693" spans="18:20">
      <c r="R4693" s="22" t="str">
        <f>IF(H4693="","",H4693&amp;I4693)</f>
        <v/>
      </c>
      <c r="S4693" s="22" t="str">
        <f>IF(C4693="","",C4693&amp;I4693)</f>
        <v/>
      </c>
      <c r="T4693" t="str">
        <f>IF(OR(C4693="",I4693&lt;&gt;"ENTRADA"),"",TEXT(B4693,"AAMMDD")&amp;"-"&amp;TEXT(VALUE(SUBSTITUTE(A4693,"MOV-","")),"000"))</f>
        <v/>
      </c>
    </row>
    <row r="4694" spans="18:20">
      <c r="R4694" s="22" t="str">
        <f>IF(H4694="","",H4694&amp;I4694)</f>
        <v/>
      </c>
      <c r="S4694" s="22" t="str">
        <f>IF(C4694="","",C4694&amp;I4694)</f>
        <v/>
      </c>
      <c r="T4694" t="str">
        <f>IF(OR(C4694="",I4694&lt;&gt;"ENTRADA"),"",TEXT(B4694,"AAMMDD")&amp;"-"&amp;TEXT(VALUE(SUBSTITUTE(A4694,"MOV-","")),"000"))</f>
        <v/>
      </c>
    </row>
    <row r="4695" spans="18:20">
      <c r="R4695" s="22" t="str">
        <f>IF(H4695="","",H4695&amp;I4695)</f>
        <v/>
      </c>
      <c r="S4695" s="22" t="str">
        <f>IF(C4695="","",C4695&amp;I4695)</f>
        <v/>
      </c>
      <c r="T4695" t="str">
        <f>IF(OR(C4695="",I4695&lt;&gt;"ENTRADA"),"",TEXT(B4695,"AAMMDD")&amp;"-"&amp;TEXT(VALUE(SUBSTITUTE(A4695,"MOV-","")),"000"))</f>
        <v/>
      </c>
    </row>
    <row r="4696" spans="18:20">
      <c r="R4696" s="22" t="str">
        <f>IF(H4696="","",H4696&amp;I4696)</f>
        <v/>
      </c>
      <c r="S4696" s="22" t="str">
        <f>IF(C4696="","",C4696&amp;I4696)</f>
        <v/>
      </c>
      <c r="T4696" t="str">
        <f>IF(OR(C4696="",I4696&lt;&gt;"ENTRADA"),"",TEXT(B4696,"AAMMDD")&amp;"-"&amp;TEXT(VALUE(SUBSTITUTE(A4696,"MOV-","")),"000"))</f>
        <v/>
      </c>
    </row>
    <row r="4697" spans="18:20">
      <c r="R4697" s="22" t="str">
        <f>IF(H4697="","",H4697&amp;I4697)</f>
        <v/>
      </c>
      <c r="S4697" s="22" t="str">
        <f>IF(C4697="","",C4697&amp;I4697)</f>
        <v/>
      </c>
      <c r="T4697" t="str">
        <f>IF(OR(C4697="",I4697&lt;&gt;"ENTRADA"),"",TEXT(B4697,"AAMMDD")&amp;"-"&amp;TEXT(VALUE(SUBSTITUTE(A4697,"MOV-","")),"000"))</f>
        <v/>
      </c>
    </row>
    <row r="4698" spans="18:20">
      <c r="R4698" s="22" t="str">
        <f>IF(H4698="","",H4698&amp;I4698)</f>
        <v/>
      </c>
      <c r="S4698" s="22" t="str">
        <f>IF(C4698="","",C4698&amp;I4698)</f>
        <v/>
      </c>
      <c r="T4698" t="str">
        <f>IF(OR(C4698="",I4698&lt;&gt;"ENTRADA"),"",TEXT(B4698,"AAMMDD")&amp;"-"&amp;TEXT(VALUE(SUBSTITUTE(A4698,"MOV-","")),"000"))</f>
        <v/>
      </c>
    </row>
    <row r="4699" spans="18:20">
      <c r="R4699" s="22" t="str">
        <f>IF(H4699="","",H4699&amp;I4699)</f>
        <v/>
      </c>
      <c r="S4699" s="22" t="str">
        <f>IF(C4699="","",C4699&amp;I4699)</f>
        <v/>
      </c>
      <c r="T4699" t="str">
        <f>IF(OR(C4699="",I4699&lt;&gt;"ENTRADA"),"",TEXT(B4699,"AAMMDD")&amp;"-"&amp;TEXT(VALUE(SUBSTITUTE(A4699,"MOV-","")),"000"))</f>
        <v/>
      </c>
    </row>
    <row r="4700" spans="18:20">
      <c r="R4700" s="22" t="str">
        <f>IF(H4700="","",H4700&amp;I4700)</f>
        <v/>
      </c>
      <c r="S4700" s="22" t="str">
        <f>IF(C4700="","",C4700&amp;I4700)</f>
        <v/>
      </c>
      <c r="T4700" t="str">
        <f>IF(OR(C4700="",I4700&lt;&gt;"ENTRADA"),"",TEXT(B4700,"AAMMDD")&amp;"-"&amp;TEXT(VALUE(SUBSTITUTE(A4700,"MOV-","")),"000"))</f>
        <v/>
      </c>
    </row>
    <row r="4701" spans="18:20">
      <c r="R4701" s="22" t="str">
        <f>IF(H4701="","",H4701&amp;I4701)</f>
        <v/>
      </c>
      <c r="S4701" s="22" t="str">
        <f>IF(C4701="","",C4701&amp;I4701)</f>
        <v/>
      </c>
      <c r="T4701" t="str">
        <f>IF(OR(C4701="",I4701&lt;&gt;"ENTRADA"),"",TEXT(B4701,"AAMMDD")&amp;"-"&amp;TEXT(VALUE(SUBSTITUTE(A4701,"MOV-","")),"000"))</f>
        <v/>
      </c>
    </row>
    <row r="4702" spans="18:20">
      <c r="R4702" s="22" t="str">
        <f>IF(H4702="","",H4702&amp;I4702)</f>
        <v/>
      </c>
      <c r="S4702" s="22" t="str">
        <f>IF(C4702="","",C4702&amp;I4702)</f>
        <v/>
      </c>
      <c r="T4702" t="str">
        <f>IF(OR(C4702="",I4702&lt;&gt;"ENTRADA"),"",TEXT(B4702,"AAMMDD")&amp;"-"&amp;TEXT(VALUE(SUBSTITUTE(A4702,"MOV-","")),"000"))</f>
        <v/>
      </c>
    </row>
    <row r="4703" spans="18:20">
      <c r="R4703" s="22" t="str">
        <f>IF(H4703="","",H4703&amp;I4703)</f>
        <v/>
      </c>
      <c r="S4703" s="22" t="str">
        <f>IF(C4703="","",C4703&amp;I4703)</f>
        <v/>
      </c>
      <c r="T4703" t="str">
        <f>IF(OR(C4703="",I4703&lt;&gt;"ENTRADA"),"",TEXT(B4703,"AAMMDD")&amp;"-"&amp;TEXT(VALUE(SUBSTITUTE(A4703,"MOV-","")),"000"))</f>
        <v/>
      </c>
    </row>
    <row r="4704" spans="18:20">
      <c r="R4704" s="22" t="str">
        <f>IF(H4704="","",H4704&amp;I4704)</f>
        <v/>
      </c>
      <c r="S4704" s="22" t="str">
        <f>IF(C4704="","",C4704&amp;I4704)</f>
        <v/>
      </c>
      <c r="T4704" t="str">
        <f>IF(OR(C4704="",I4704&lt;&gt;"ENTRADA"),"",TEXT(B4704,"AAMMDD")&amp;"-"&amp;TEXT(VALUE(SUBSTITUTE(A4704,"MOV-","")),"000"))</f>
        <v/>
      </c>
    </row>
    <row r="4705" spans="18:20">
      <c r="R4705" s="22" t="str">
        <f>IF(H4705="","",H4705&amp;I4705)</f>
        <v/>
      </c>
      <c r="S4705" s="22" t="str">
        <f>IF(C4705="","",C4705&amp;I4705)</f>
        <v/>
      </c>
      <c r="T4705" t="str">
        <f>IF(OR(C4705="",I4705&lt;&gt;"ENTRADA"),"",TEXT(B4705,"AAMMDD")&amp;"-"&amp;TEXT(VALUE(SUBSTITUTE(A4705,"MOV-","")),"000"))</f>
        <v/>
      </c>
    </row>
    <row r="4706" spans="18:20">
      <c r="R4706" s="22" t="str">
        <f>IF(H4706="","",H4706&amp;I4706)</f>
        <v/>
      </c>
      <c r="S4706" s="22" t="str">
        <f>IF(C4706="","",C4706&amp;I4706)</f>
        <v/>
      </c>
      <c r="T4706" t="str">
        <f>IF(OR(C4706="",I4706&lt;&gt;"ENTRADA"),"",TEXT(B4706,"AAMMDD")&amp;"-"&amp;TEXT(VALUE(SUBSTITUTE(A4706,"MOV-","")),"000"))</f>
        <v/>
      </c>
    </row>
    <row r="4707" spans="18:20">
      <c r="R4707" s="22" t="str">
        <f>IF(H4707="","",H4707&amp;I4707)</f>
        <v/>
      </c>
      <c r="S4707" s="22" t="str">
        <f>IF(C4707="","",C4707&amp;I4707)</f>
        <v/>
      </c>
      <c r="T4707" t="str">
        <f>IF(OR(C4707="",I4707&lt;&gt;"ENTRADA"),"",TEXT(B4707,"AAMMDD")&amp;"-"&amp;TEXT(VALUE(SUBSTITUTE(A4707,"MOV-","")),"000"))</f>
        <v/>
      </c>
    </row>
    <row r="4708" spans="18:20">
      <c r="R4708" s="22" t="str">
        <f>IF(H4708="","",H4708&amp;I4708)</f>
        <v/>
      </c>
      <c r="S4708" s="22" t="str">
        <f>IF(C4708="","",C4708&amp;I4708)</f>
        <v/>
      </c>
      <c r="T4708" t="str">
        <f>IF(OR(C4708="",I4708&lt;&gt;"ENTRADA"),"",TEXT(B4708,"AAMMDD")&amp;"-"&amp;TEXT(VALUE(SUBSTITUTE(A4708,"MOV-","")),"000"))</f>
        <v/>
      </c>
    </row>
    <row r="4709" spans="18:20">
      <c r="R4709" s="22" t="str">
        <f>IF(H4709="","",H4709&amp;I4709)</f>
        <v/>
      </c>
      <c r="S4709" s="22" t="str">
        <f>IF(C4709="","",C4709&amp;I4709)</f>
        <v/>
      </c>
      <c r="T4709" t="str">
        <f>IF(OR(C4709="",I4709&lt;&gt;"ENTRADA"),"",TEXT(B4709,"AAMMDD")&amp;"-"&amp;TEXT(VALUE(SUBSTITUTE(A4709,"MOV-","")),"000"))</f>
        <v/>
      </c>
    </row>
    <row r="4710" spans="18:20">
      <c r="R4710" s="22" t="str">
        <f>IF(H4710="","",H4710&amp;I4710)</f>
        <v/>
      </c>
      <c r="S4710" s="22" t="str">
        <f>IF(C4710="","",C4710&amp;I4710)</f>
        <v/>
      </c>
      <c r="T4710" t="str">
        <f>IF(OR(C4710="",I4710&lt;&gt;"ENTRADA"),"",TEXT(B4710,"AAMMDD")&amp;"-"&amp;TEXT(VALUE(SUBSTITUTE(A4710,"MOV-","")),"000"))</f>
        <v/>
      </c>
    </row>
    <row r="4711" spans="18:20">
      <c r="R4711" s="22" t="str">
        <f>IF(H4711="","",H4711&amp;I4711)</f>
        <v/>
      </c>
      <c r="S4711" s="22" t="str">
        <f>IF(C4711="","",C4711&amp;I4711)</f>
        <v/>
      </c>
      <c r="T4711" t="str">
        <f>IF(OR(C4711="",I4711&lt;&gt;"ENTRADA"),"",TEXT(B4711,"AAMMDD")&amp;"-"&amp;TEXT(VALUE(SUBSTITUTE(A4711,"MOV-","")),"000"))</f>
        <v/>
      </c>
    </row>
    <row r="4712" spans="18:20">
      <c r="R4712" s="22" t="str">
        <f>IF(H4712="","",H4712&amp;I4712)</f>
        <v/>
      </c>
      <c r="S4712" s="22" t="str">
        <f>IF(C4712="","",C4712&amp;I4712)</f>
        <v/>
      </c>
      <c r="T4712" t="str">
        <f>IF(OR(C4712="",I4712&lt;&gt;"ENTRADA"),"",TEXT(B4712,"AAMMDD")&amp;"-"&amp;TEXT(VALUE(SUBSTITUTE(A4712,"MOV-","")),"000"))</f>
        <v/>
      </c>
    </row>
    <row r="4713" spans="18:20">
      <c r="R4713" s="22" t="str">
        <f>IF(H4713="","",H4713&amp;I4713)</f>
        <v/>
      </c>
      <c r="S4713" s="22" t="str">
        <f>IF(C4713="","",C4713&amp;I4713)</f>
        <v/>
      </c>
      <c r="T4713" t="str">
        <f>IF(OR(C4713="",I4713&lt;&gt;"ENTRADA"),"",TEXT(B4713,"AAMMDD")&amp;"-"&amp;TEXT(VALUE(SUBSTITUTE(A4713,"MOV-","")),"000"))</f>
        <v/>
      </c>
    </row>
    <row r="4714" spans="18:20">
      <c r="R4714" s="22" t="str">
        <f>IF(H4714="","",H4714&amp;I4714)</f>
        <v/>
      </c>
      <c r="S4714" s="22" t="str">
        <f>IF(C4714="","",C4714&amp;I4714)</f>
        <v/>
      </c>
      <c r="T4714" t="str">
        <f>IF(OR(C4714="",I4714&lt;&gt;"ENTRADA"),"",TEXT(B4714,"AAMMDD")&amp;"-"&amp;TEXT(VALUE(SUBSTITUTE(A4714,"MOV-","")),"000"))</f>
        <v/>
      </c>
    </row>
    <row r="4715" spans="18:20">
      <c r="R4715" s="22" t="str">
        <f>IF(H4715="","",H4715&amp;I4715)</f>
        <v/>
      </c>
      <c r="S4715" s="22" t="str">
        <f>IF(C4715="","",C4715&amp;I4715)</f>
        <v/>
      </c>
      <c r="T4715" t="str">
        <f>IF(OR(C4715="",I4715&lt;&gt;"ENTRADA"),"",TEXT(B4715,"AAMMDD")&amp;"-"&amp;TEXT(VALUE(SUBSTITUTE(A4715,"MOV-","")),"000"))</f>
        <v/>
      </c>
    </row>
    <row r="4716" spans="18:20">
      <c r="R4716" s="22" t="str">
        <f>IF(H4716="","",H4716&amp;I4716)</f>
        <v/>
      </c>
      <c r="S4716" s="22" t="str">
        <f>IF(C4716="","",C4716&amp;I4716)</f>
        <v/>
      </c>
      <c r="T4716" t="str">
        <f>IF(OR(C4716="",I4716&lt;&gt;"ENTRADA"),"",TEXT(B4716,"AAMMDD")&amp;"-"&amp;TEXT(VALUE(SUBSTITUTE(A4716,"MOV-","")),"000"))</f>
        <v/>
      </c>
    </row>
    <row r="4717" spans="18:20">
      <c r="R4717" s="22" t="str">
        <f>IF(H4717="","",H4717&amp;I4717)</f>
        <v/>
      </c>
      <c r="S4717" s="22" t="str">
        <f>IF(C4717="","",C4717&amp;I4717)</f>
        <v/>
      </c>
      <c r="T4717" t="str">
        <f>IF(OR(C4717="",I4717&lt;&gt;"ENTRADA"),"",TEXT(B4717,"AAMMDD")&amp;"-"&amp;TEXT(VALUE(SUBSTITUTE(A4717,"MOV-","")),"000"))</f>
        <v/>
      </c>
    </row>
    <row r="4718" spans="18:20">
      <c r="R4718" s="22" t="str">
        <f>IF(H4718="","",H4718&amp;I4718)</f>
        <v/>
      </c>
      <c r="S4718" s="22" t="str">
        <f>IF(C4718="","",C4718&amp;I4718)</f>
        <v/>
      </c>
      <c r="T4718" t="str">
        <f>IF(OR(C4718="",I4718&lt;&gt;"ENTRADA"),"",TEXT(B4718,"AAMMDD")&amp;"-"&amp;TEXT(VALUE(SUBSTITUTE(A4718,"MOV-","")),"000"))</f>
        <v/>
      </c>
    </row>
    <row r="4719" spans="18:20">
      <c r="R4719" s="22" t="str">
        <f>IF(H4719="","",H4719&amp;I4719)</f>
        <v/>
      </c>
      <c r="S4719" s="22" t="str">
        <f>IF(C4719="","",C4719&amp;I4719)</f>
        <v/>
      </c>
      <c r="T4719" t="str">
        <f>IF(OR(C4719="",I4719&lt;&gt;"ENTRADA"),"",TEXT(B4719,"AAMMDD")&amp;"-"&amp;TEXT(VALUE(SUBSTITUTE(A4719,"MOV-","")),"000"))</f>
        <v/>
      </c>
    </row>
    <row r="4720" spans="18:20">
      <c r="R4720" s="22" t="str">
        <f>IF(H4720="","",H4720&amp;I4720)</f>
        <v/>
      </c>
      <c r="S4720" s="22" t="str">
        <f>IF(C4720="","",C4720&amp;I4720)</f>
        <v/>
      </c>
      <c r="T4720" t="str">
        <f>IF(OR(C4720="",I4720&lt;&gt;"ENTRADA"),"",TEXT(B4720,"AAMMDD")&amp;"-"&amp;TEXT(VALUE(SUBSTITUTE(A4720,"MOV-","")),"000"))</f>
        <v/>
      </c>
    </row>
    <row r="4721" spans="18:20">
      <c r="R4721" s="22" t="str">
        <f>IF(H4721="","",H4721&amp;I4721)</f>
        <v/>
      </c>
      <c r="S4721" s="22" t="str">
        <f>IF(C4721="","",C4721&amp;I4721)</f>
        <v/>
      </c>
      <c r="T4721" t="str">
        <f>IF(OR(C4721="",I4721&lt;&gt;"ENTRADA"),"",TEXT(B4721,"AAMMDD")&amp;"-"&amp;TEXT(VALUE(SUBSTITUTE(A4721,"MOV-","")),"000"))</f>
        <v/>
      </c>
    </row>
    <row r="4722" spans="18:20">
      <c r="R4722" s="22" t="str">
        <f>IF(H4722="","",H4722&amp;I4722)</f>
        <v/>
      </c>
      <c r="S4722" s="22" t="str">
        <f>IF(C4722="","",C4722&amp;I4722)</f>
        <v/>
      </c>
      <c r="T4722" t="str">
        <f>IF(OR(C4722="",I4722&lt;&gt;"ENTRADA"),"",TEXT(B4722,"AAMMDD")&amp;"-"&amp;TEXT(VALUE(SUBSTITUTE(A4722,"MOV-","")),"000"))</f>
        <v/>
      </c>
    </row>
    <row r="4723" spans="18:20">
      <c r="R4723" s="22" t="str">
        <f>IF(H4723="","",H4723&amp;I4723)</f>
        <v/>
      </c>
      <c r="S4723" s="22" t="str">
        <f>IF(C4723="","",C4723&amp;I4723)</f>
        <v/>
      </c>
      <c r="T4723" t="str">
        <f>IF(OR(C4723="",I4723&lt;&gt;"ENTRADA"),"",TEXT(B4723,"AAMMDD")&amp;"-"&amp;TEXT(VALUE(SUBSTITUTE(A4723,"MOV-","")),"000"))</f>
        <v/>
      </c>
    </row>
    <row r="4724" spans="18:20">
      <c r="R4724" s="22" t="str">
        <f>IF(H4724="","",H4724&amp;I4724)</f>
        <v/>
      </c>
      <c r="S4724" s="22" t="str">
        <f>IF(C4724="","",C4724&amp;I4724)</f>
        <v/>
      </c>
      <c r="T4724" t="str">
        <f>IF(OR(C4724="",I4724&lt;&gt;"ENTRADA"),"",TEXT(B4724,"AAMMDD")&amp;"-"&amp;TEXT(VALUE(SUBSTITUTE(A4724,"MOV-","")),"000"))</f>
        <v/>
      </c>
    </row>
    <row r="4725" spans="18:20">
      <c r="R4725" s="22" t="str">
        <f>IF(H4725="","",H4725&amp;I4725)</f>
        <v/>
      </c>
      <c r="S4725" s="22" t="str">
        <f>IF(C4725="","",C4725&amp;I4725)</f>
        <v/>
      </c>
      <c r="T4725" t="str">
        <f>IF(OR(C4725="",I4725&lt;&gt;"ENTRADA"),"",TEXT(B4725,"AAMMDD")&amp;"-"&amp;TEXT(VALUE(SUBSTITUTE(A4725,"MOV-","")),"000"))</f>
        <v/>
      </c>
    </row>
    <row r="4726" spans="18:20">
      <c r="R4726" s="22" t="str">
        <f>IF(H4726="","",H4726&amp;I4726)</f>
        <v/>
      </c>
      <c r="S4726" s="22" t="str">
        <f>IF(C4726="","",C4726&amp;I4726)</f>
        <v/>
      </c>
      <c r="T4726" t="str">
        <f>IF(OR(C4726="",I4726&lt;&gt;"ENTRADA"),"",TEXT(B4726,"AAMMDD")&amp;"-"&amp;TEXT(VALUE(SUBSTITUTE(A4726,"MOV-","")),"000"))</f>
        <v/>
      </c>
    </row>
    <row r="4727" spans="18:20">
      <c r="R4727" s="22" t="str">
        <f>IF(H4727="","",H4727&amp;I4727)</f>
        <v/>
      </c>
      <c r="S4727" s="22" t="str">
        <f>IF(C4727="","",C4727&amp;I4727)</f>
        <v/>
      </c>
      <c r="T4727" t="str">
        <f>IF(OR(C4727="",I4727&lt;&gt;"ENTRADA"),"",TEXT(B4727,"AAMMDD")&amp;"-"&amp;TEXT(VALUE(SUBSTITUTE(A4727,"MOV-","")),"000"))</f>
        <v/>
      </c>
    </row>
    <row r="4728" spans="18:20">
      <c r="R4728" s="22" t="str">
        <f>IF(H4728="","",H4728&amp;I4728)</f>
        <v/>
      </c>
      <c r="S4728" s="22" t="str">
        <f>IF(C4728="","",C4728&amp;I4728)</f>
        <v/>
      </c>
      <c r="T4728" t="str">
        <f>IF(OR(C4728="",I4728&lt;&gt;"ENTRADA"),"",TEXT(B4728,"AAMMDD")&amp;"-"&amp;TEXT(VALUE(SUBSTITUTE(A4728,"MOV-","")),"000"))</f>
        <v/>
      </c>
    </row>
    <row r="4729" spans="18:20">
      <c r="R4729" s="22" t="str">
        <f>IF(H4729="","",H4729&amp;I4729)</f>
        <v/>
      </c>
      <c r="S4729" s="22" t="str">
        <f>IF(C4729="","",C4729&amp;I4729)</f>
        <v/>
      </c>
      <c r="T4729" t="str">
        <f>IF(OR(C4729="",I4729&lt;&gt;"ENTRADA"),"",TEXT(B4729,"AAMMDD")&amp;"-"&amp;TEXT(VALUE(SUBSTITUTE(A4729,"MOV-","")),"000"))</f>
        <v/>
      </c>
    </row>
    <row r="4730" spans="18:20">
      <c r="R4730" s="22" t="str">
        <f>IF(H4730="","",H4730&amp;I4730)</f>
        <v/>
      </c>
      <c r="S4730" s="22" t="str">
        <f>IF(C4730="","",C4730&amp;I4730)</f>
        <v/>
      </c>
      <c r="T4730" t="str">
        <f>IF(OR(C4730="",I4730&lt;&gt;"ENTRADA"),"",TEXT(B4730,"AAMMDD")&amp;"-"&amp;TEXT(VALUE(SUBSTITUTE(A4730,"MOV-","")),"000"))</f>
        <v/>
      </c>
    </row>
    <row r="4731" spans="18:20">
      <c r="R4731" s="22" t="str">
        <f>IF(H4731="","",H4731&amp;I4731)</f>
        <v/>
      </c>
      <c r="S4731" s="22" t="str">
        <f>IF(C4731="","",C4731&amp;I4731)</f>
        <v/>
      </c>
      <c r="T4731" t="str">
        <f>IF(OR(C4731="",I4731&lt;&gt;"ENTRADA"),"",TEXT(B4731,"AAMMDD")&amp;"-"&amp;TEXT(VALUE(SUBSTITUTE(A4731,"MOV-","")),"000"))</f>
        <v/>
      </c>
    </row>
    <row r="4732" spans="18:20">
      <c r="R4732" s="22" t="str">
        <f>IF(H4732="","",H4732&amp;I4732)</f>
        <v/>
      </c>
      <c r="S4732" s="22" t="str">
        <f>IF(C4732="","",C4732&amp;I4732)</f>
        <v/>
      </c>
      <c r="T4732" t="str">
        <f>IF(OR(C4732="",I4732&lt;&gt;"ENTRADA"),"",TEXT(B4732,"AAMMDD")&amp;"-"&amp;TEXT(VALUE(SUBSTITUTE(A4732,"MOV-","")),"000"))</f>
        <v/>
      </c>
    </row>
    <row r="4733" spans="18:20">
      <c r="R4733" s="22" t="str">
        <f>IF(H4733="","",H4733&amp;I4733)</f>
        <v/>
      </c>
      <c r="S4733" s="22" t="str">
        <f>IF(C4733="","",C4733&amp;I4733)</f>
        <v/>
      </c>
      <c r="T4733" t="str">
        <f>IF(OR(C4733="",I4733&lt;&gt;"ENTRADA"),"",TEXT(B4733,"AAMMDD")&amp;"-"&amp;TEXT(VALUE(SUBSTITUTE(A4733,"MOV-","")),"000"))</f>
        <v/>
      </c>
    </row>
    <row r="4734" spans="18:20">
      <c r="R4734" s="22" t="str">
        <f>IF(H4734="","",H4734&amp;I4734)</f>
        <v/>
      </c>
      <c r="S4734" s="22" t="str">
        <f>IF(C4734="","",C4734&amp;I4734)</f>
        <v/>
      </c>
      <c r="T4734" t="str">
        <f>IF(OR(C4734="",I4734&lt;&gt;"ENTRADA"),"",TEXT(B4734,"AAMMDD")&amp;"-"&amp;TEXT(VALUE(SUBSTITUTE(A4734,"MOV-","")),"000"))</f>
        <v/>
      </c>
    </row>
    <row r="4735" spans="18:20">
      <c r="R4735" s="22" t="str">
        <f>IF(H4735="","",H4735&amp;I4735)</f>
        <v/>
      </c>
      <c r="S4735" s="22" t="str">
        <f>IF(C4735="","",C4735&amp;I4735)</f>
        <v/>
      </c>
      <c r="T4735" t="str">
        <f>IF(OR(C4735="",I4735&lt;&gt;"ENTRADA"),"",TEXT(B4735,"AAMMDD")&amp;"-"&amp;TEXT(VALUE(SUBSTITUTE(A4735,"MOV-","")),"000"))</f>
        <v/>
      </c>
    </row>
    <row r="4736" spans="18:20">
      <c r="R4736" s="22" t="str">
        <f>IF(H4736="","",H4736&amp;I4736)</f>
        <v/>
      </c>
      <c r="S4736" s="22" t="str">
        <f>IF(C4736="","",C4736&amp;I4736)</f>
        <v/>
      </c>
      <c r="T4736" t="str">
        <f>IF(OR(C4736="",I4736&lt;&gt;"ENTRADA"),"",TEXT(B4736,"AAMMDD")&amp;"-"&amp;TEXT(VALUE(SUBSTITUTE(A4736,"MOV-","")),"000"))</f>
        <v/>
      </c>
    </row>
    <row r="4737" spans="18:20">
      <c r="R4737" s="22" t="str">
        <f>IF(H4737="","",H4737&amp;I4737)</f>
        <v/>
      </c>
      <c r="S4737" s="22" t="str">
        <f>IF(C4737="","",C4737&amp;I4737)</f>
        <v/>
      </c>
      <c r="T4737" t="str">
        <f>IF(OR(C4737="",I4737&lt;&gt;"ENTRADA"),"",TEXT(B4737,"AAMMDD")&amp;"-"&amp;TEXT(VALUE(SUBSTITUTE(A4737,"MOV-","")),"000"))</f>
        <v/>
      </c>
    </row>
    <row r="4738" spans="18:20">
      <c r="R4738" s="22" t="str">
        <f>IF(H4738="","",H4738&amp;I4738)</f>
        <v/>
      </c>
      <c r="S4738" s="22" t="str">
        <f>IF(C4738="","",C4738&amp;I4738)</f>
        <v/>
      </c>
      <c r="T4738" t="str">
        <f>IF(OR(C4738="",I4738&lt;&gt;"ENTRADA"),"",TEXT(B4738,"AAMMDD")&amp;"-"&amp;TEXT(VALUE(SUBSTITUTE(A4738,"MOV-","")),"000"))</f>
        <v/>
      </c>
    </row>
    <row r="4739" spans="18:20">
      <c r="R4739" s="22" t="str">
        <f>IF(H4739="","",H4739&amp;I4739)</f>
        <v/>
      </c>
      <c r="S4739" s="22" t="str">
        <f>IF(C4739="","",C4739&amp;I4739)</f>
        <v/>
      </c>
      <c r="T4739" t="str">
        <f>IF(OR(C4739="",I4739&lt;&gt;"ENTRADA"),"",TEXT(B4739,"AAMMDD")&amp;"-"&amp;TEXT(VALUE(SUBSTITUTE(A4739,"MOV-","")),"000"))</f>
        <v/>
      </c>
    </row>
    <row r="4740" spans="18:20">
      <c r="R4740" s="22" t="str">
        <f>IF(H4740="","",H4740&amp;I4740)</f>
        <v/>
      </c>
      <c r="S4740" s="22" t="str">
        <f>IF(C4740="","",C4740&amp;I4740)</f>
        <v/>
      </c>
      <c r="T4740" t="str">
        <f>IF(OR(C4740="",I4740&lt;&gt;"ENTRADA"),"",TEXT(B4740,"AAMMDD")&amp;"-"&amp;TEXT(VALUE(SUBSTITUTE(A4740,"MOV-","")),"000"))</f>
        <v/>
      </c>
    </row>
    <row r="4741" spans="18:20">
      <c r="R4741" s="22" t="str">
        <f>IF(H4741="","",H4741&amp;I4741)</f>
        <v/>
      </c>
      <c r="S4741" s="22" t="str">
        <f>IF(C4741="","",C4741&amp;I4741)</f>
        <v/>
      </c>
      <c r="T4741" t="str">
        <f>IF(OR(C4741="",I4741&lt;&gt;"ENTRADA"),"",TEXT(B4741,"AAMMDD")&amp;"-"&amp;TEXT(VALUE(SUBSTITUTE(A4741,"MOV-","")),"000"))</f>
        <v/>
      </c>
    </row>
    <row r="4742" spans="18:20">
      <c r="R4742" s="22" t="str">
        <f>IF(H4742="","",H4742&amp;I4742)</f>
        <v/>
      </c>
      <c r="S4742" s="22" t="str">
        <f>IF(C4742="","",C4742&amp;I4742)</f>
        <v/>
      </c>
      <c r="T4742" t="str">
        <f>IF(OR(C4742="",I4742&lt;&gt;"ENTRADA"),"",TEXT(B4742,"AAMMDD")&amp;"-"&amp;TEXT(VALUE(SUBSTITUTE(A4742,"MOV-","")),"000"))</f>
        <v/>
      </c>
    </row>
    <row r="4743" spans="18:20">
      <c r="R4743" s="22" t="str">
        <f>IF(H4743="","",H4743&amp;I4743)</f>
        <v/>
      </c>
      <c r="S4743" s="22" t="str">
        <f>IF(C4743="","",C4743&amp;I4743)</f>
        <v/>
      </c>
      <c r="T4743" t="str">
        <f>IF(OR(C4743="",I4743&lt;&gt;"ENTRADA"),"",TEXT(B4743,"AAMMDD")&amp;"-"&amp;TEXT(VALUE(SUBSTITUTE(A4743,"MOV-","")),"000"))</f>
        <v/>
      </c>
    </row>
    <row r="4744" spans="18:20">
      <c r="R4744" s="22" t="str">
        <f>IF(H4744="","",H4744&amp;I4744)</f>
        <v/>
      </c>
      <c r="S4744" s="22" t="str">
        <f>IF(C4744="","",C4744&amp;I4744)</f>
        <v/>
      </c>
      <c r="T4744" t="str">
        <f>IF(OR(C4744="",I4744&lt;&gt;"ENTRADA"),"",TEXT(B4744,"AAMMDD")&amp;"-"&amp;TEXT(VALUE(SUBSTITUTE(A4744,"MOV-","")),"000"))</f>
        <v/>
      </c>
    </row>
    <row r="4745" spans="18:20">
      <c r="R4745" s="22" t="str">
        <f>IF(H4745="","",H4745&amp;I4745)</f>
        <v/>
      </c>
      <c r="S4745" s="22" t="str">
        <f>IF(C4745="","",C4745&amp;I4745)</f>
        <v/>
      </c>
      <c r="T4745" t="str">
        <f>IF(OR(C4745="",I4745&lt;&gt;"ENTRADA"),"",TEXT(B4745,"AAMMDD")&amp;"-"&amp;TEXT(VALUE(SUBSTITUTE(A4745,"MOV-","")),"000"))</f>
        <v/>
      </c>
    </row>
    <row r="4746" spans="18:20">
      <c r="R4746" s="22" t="str">
        <f>IF(H4746="","",H4746&amp;I4746)</f>
        <v/>
      </c>
      <c r="S4746" s="22" t="str">
        <f>IF(C4746="","",C4746&amp;I4746)</f>
        <v/>
      </c>
      <c r="T4746" t="str">
        <f>IF(OR(C4746="",I4746&lt;&gt;"ENTRADA"),"",TEXT(B4746,"AAMMDD")&amp;"-"&amp;TEXT(VALUE(SUBSTITUTE(A4746,"MOV-","")),"000"))</f>
        <v/>
      </c>
    </row>
    <row r="4747" spans="18:20">
      <c r="R4747" s="22" t="str">
        <f>IF(H4747="","",H4747&amp;I4747)</f>
        <v/>
      </c>
      <c r="S4747" s="22" t="str">
        <f>IF(C4747="","",C4747&amp;I4747)</f>
        <v/>
      </c>
      <c r="T4747" t="str">
        <f>IF(OR(C4747="",I4747&lt;&gt;"ENTRADA"),"",TEXT(B4747,"AAMMDD")&amp;"-"&amp;TEXT(VALUE(SUBSTITUTE(A4747,"MOV-","")),"000"))</f>
        <v/>
      </c>
    </row>
    <row r="4748" spans="18:20">
      <c r="R4748" s="22" t="str">
        <f>IF(H4748="","",H4748&amp;I4748)</f>
        <v/>
      </c>
      <c r="S4748" s="22" t="str">
        <f>IF(C4748="","",C4748&amp;I4748)</f>
        <v/>
      </c>
      <c r="T4748" t="str">
        <f>IF(OR(C4748="",I4748&lt;&gt;"ENTRADA"),"",TEXT(B4748,"AAMMDD")&amp;"-"&amp;TEXT(VALUE(SUBSTITUTE(A4748,"MOV-","")),"000"))</f>
        <v/>
      </c>
    </row>
    <row r="4749" spans="18:20">
      <c r="R4749" s="22" t="str">
        <f>IF(H4749="","",H4749&amp;I4749)</f>
        <v/>
      </c>
      <c r="S4749" s="22" t="str">
        <f>IF(C4749="","",C4749&amp;I4749)</f>
        <v/>
      </c>
      <c r="T4749" t="str">
        <f>IF(OR(C4749="",I4749&lt;&gt;"ENTRADA"),"",TEXT(B4749,"AAMMDD")&amp;"-"&amp;TEXT(VALUE(SUBSTITUTE(A4749,"MOV-","")),"000"))</f>
        <v/>
      </c>
    </row>
    <row r="4750" spans="18:20">
      <c r="R4750" s="22" t="str">
        <f>IF(H4750="","",H4750&amp;I4750)</f>
        <v/>
      </c>
      <c r="S4750" s="22" t="str">
        <f>IF(C4750="","",C4750&amp;I4750)</f>
        <v/>
      </c>
      <c r="T4750" t="str">
        <f>IF(OR(C4750="",I4750&lt;&gt;"ENTRADA"),"",TEXT(B4750,"AAMMDD")&amp;"-"&amp;TEXT(VALUE(SUBSTITUTE(A4750,"MOV-","")),"000"))</f>
        <v/>
      </c>
    </row>
    <row r="4751" spans="18:20">
      <c r="R4751" s="22" t="str">
        <f>IF(H4751="","",H4751&amp;I4751)</f>
        <v/>
      </c>
      <c r="S4751" s="22" t="str">
        <f>IF(C4751="","",C4751&amp;I4751)</f>
        <v/>
      </c>
      <c r="T4751" t="str">
        <f>IF(OR(C4751="",I4751&lt;&gt;"ENTRADA"),"",TEXT(B4751,"AAMMDD")&amp;"-"&amp;TEXT(VALUE(SUBSTITUTE(A4751,"MOV-","")),"000"))</f>
        <v/>
      </c>
    </row>
    <row r="4752" spans="18:20">
      <c r="R4752" s="22" t="str">
        <f>IF(H4752="","",H4752&amp;I4752)</f>
        <v/>
      </c>
      <c r="S4752" s="22" t="str">
        <f>IF(C4752="","",C4752&amp;I4752)</f>
        <v/>
      </c>
      <c r="T4752" t="str">
        <f>IF(OR(C4752="",I4752&lt;&gt;"ENTRADA"),"",TEXT(B4752,"AAMMDD")&amp;"-"&amp;TEXT(VALUE(SUBSTITUTE(A4752,"MOV-","")),"000"))</f>
        <v/>
      </c>
    </row>
    <row r="4753" spans="18:20">
      <c r="R4753" s="22" t="str">
        <f>IF(H4753="","",H4753&amp;I4753)</f>
        <v/>
      </c>
      <c r="S4753" s="22" t="str">
        <f>IF(C4753="","",C4753&amp;I4753)</f>
        <v/>
      </c>
      <c r="T4753" t="str">
        <f>IF(OR(C4753="",I4753&lt;&gt;"ENTRADA"),"",TEXT(B4753,"AAMMDD")&amp;"-"&amp;TEXT(VALUE(SUBSTITUTE(A4753,"MOV-","")),"000"))</f>
        <v/>
      </c>
    </row>
    <row r="4754" spans="18:20">
      <c r="R4754" s="22" t="str">
        <f>IF(H4754="","",H4754&amp;I4754)</f>
        <v/>
      </c>
      <c r="S4754" s="22" t="str">
        <f>IF(C4754="","",C4754&amp;I4754)</f>
        <v/>
      </c>
      <c r="T4754" t="str">
        <f>IF(OR(C4754="",I4754&lt;&gt;"ENTRADA"),"",TEXT(B4754,"AAMMDD")&amp;"-"&amp;TEXT(VALUE(SUBSTITUTE(A4754,"MOV-","")),"000"))</f>
        <v/>
      </c>
    </row>
    <row r="4755" spans="18:20">
      <c r="R4755" s="22" t="str">
        <f>IF(H4755="","",H4755&amp;I4755)</f>
        <v/>
      </c>
      <c r="S4755" s="22" t="str">
        <f>IF(C4755="","",C4755&amp;I4755)</f>
        <v/>
      </c>
      <c r="T4755" t="str">
        <f>IF(OR(C4755="",I4755&lt;&gt;"ENTRADA"),"",TEXT(B4755,"AAMMDD")&amp;"-"&amp;TEXT(VALUE(SUBSTITUTE(A4755,"MOV-","")),"000"))</f>
        <v/>
      </c>
    </row>
    <row r="4756" spans="18:20">
      <c r="R4756" s="22" t="str">
        <f>IF(H4756="","",H4756&amp;I4756)</f>
        <v/>
      </c>
      <c r="S4756" s="22" t="str">
        <f>IF(C4756="","",C4756&amp;I4756)</f>
        <v/>
      </c>
      <c r="T4756" t="str">
        <f>IF(OR(C4756="",I4756&lt;&gt;"ENTRADA"),"",TEXT(B4756,"AAMMDD")&amp;"-"&amp;TEXT(VALUE(SUBSTITUTE(A4756,"MOV-","")),"000"))</f>
        <v/>
      </c>
    </row>
    <row r="4757" spans="18:20">
      <c r="R4757" s="22" t="str">
        <f>IF(H4757="","",H4757&amp;I4757)</f>
        <v/>
      </c>
      <c r="S4757" s="22" t="str">
        <f>IF(C4757="","",C4757&amp;I4757)</f>
        <v/>
      </c>
      <c r="T4757" t="str">
        <f>IF(OR(C4757="",I4757&lt;&gt;"ENTRADA"),"",TEXT(B4757,"AAMMDD")&amp;"-"&amp;TEXT(VALUE(SUBSTITUTE(A4757,"MOV-","")),"000"))</f>
        <v/>
      </c>
    </row>
    <row r="4758" spans="18:20">
      <c r="R4758" s="22" t="str">
        <f>IF(H4758="","",H4758&amp;I4758)</f>
        <v/>
      </c>
      <c r="S4758" s="22" t="str">
        <f>IF(C4758="","",C4758&amp;I4758)</f>
        <v/>
      </c>
      <c r="T4758" t="str">
        <f>IF(OR(C4758="",I4758&lt;&gt;"ENTRADA"),"",TEXT(B4758,"AAMMDD")&amp;"-"&amp;TEXT(VALUE(SUBSTITUTE(A4758,"MOV-","")),"000"))</f>
        <v/>
      </c>
    </row>
    <row r="4759" spans="18:20">
      <c r="R4759" s="22" t="str">
        <f>IF(H4759="","",H4759&amp;I4759)</f>
        <v/>
      </c>
      <c r="S4759" s="22" t="str">
        <f>IF(C4759="","",C4759&amp;I4759)</f>
        <v/>
      </c>
      <c r="T4759" t="str">
        <f>IF(OR(C4759="",I4759&lt;&gt;"ENTRADA"),"",TEXT(B4759,"AAMMDD")&amp;"-"&amp;TEXT(VALUE(SUBSTITUTE(A4759,"MOV-","")),"000"))</f>
        <v/>
      </c>
    </row>
    <row r="4760" spans="18:20">
      <c r="R4760" s="22" t="str">
        <f>IF(H4760="","",H4760&amp;I4760)</f>
        <v/>
      </c>
      <c r="S4760" s="22" t="str">
        <f>IF(C4760="","",C4760&amp;I4760)</f>
        <v/>
      </c>
      <c r="T4760" t="str">
        <f>IF(OR(C4760="",I4760&lt;&gt;"ENTRADA"),"",TEXT(B4760,"AAMMDD")&amp;"-"&amp;TEXT(VALUE(SUBSTITUTE(A4760,"MOV-","")),"000"))</f>
        <v/>
      </c>
    </row>
    <row r="4761" spans="18:20">
      <c r="R4761" s="22" t="str">
        <f>IF(H4761="","",H4761&amp;I4761)</f>
        <v/>
      </c>
      <c r="S4761" s="22" t="str">
        <f>IF(C4761="","",C4761&amp;I4761)</f>
        <v/>
      </c>
      <c r="T4761" t="str">
        <f>IF(OR(C4761="",I4761&lt;&gt;"ENTRADA"),"",TEXT(B4761,"AAMMDD")&amp;"-"&amp;TEXT(VALUE(SUBSTITUTE(A4761,"MOV-","")),"000"))</f>
        <v/>
      </c>
    </row>
    <row r="4762" spans="18:20">
      <c r="R4762" s="22" t="str">
        <f>IF(H4762="","",H4762&amp;I4762)</f>
        <v/>
      </c>
      <c r="S4762" s="22" t="str">
        <f>IF(C4762="","",C4762&amp;I4762)</f>
        <v/>
      </c>
      <c r="T4762" t="str">
        <f>IF(OR(C4762="",I4762&lt;&gt;"ENTRADA"),"",TEXT(B4762,"AAMMDD")&amp;"-"&amp;TEXT(VALUE(SUBSTITUTE(A4762,"MOV-","")),"000"))</f>
        <v/>
      </c>
    </row>
    <row r="4763" spans="18:20">
      <c r="R4763" s="22" t="str">
        <f>IF(H4763="","",H4763&amp;I4763)</f>
        <v/>
      </c>
      <c r="S4763" s="22" t="str">
        <f>IF(C4763="","",C4763&amp;I4763)</f>
        <v/>
      </c>
      <c r="T4763" t="str">
        <f>IF(OR(C4763="",I4763&lt;&gt;"ENTRADA"),"",TEXT(B4763,"AAMMDD")&amp;"-"&amp;TEXT(VALUE(SUBSTITUTE(A4763,"MOV-","")),"000"))</f>
        <v/>
      </c>
    </row>
    <row r="4764" spans="18:20">
      <c r="R4764" s="22" t="str">
        <f>IF(H4764="","",H4764&amp;I4764)</f>
        <v/>
      </c>
      <c r="S4764" s="22" t="str">
        <f>IF(C4764="","",C4764&amp;I4764)</f>
        <v/>
      </c>
      <c r="T4764" t="str">
        <f>IF(OR(C4764="",I4764&lt;&gt;"ENTRADA"),"",TEXT(B4764,"AAMMDD")&amp;"-"&amp;TEXT(VALUE(SUBSTITUTE(A4764,"MOV-","")),"000"))</f>
        <v/>
      </c>
    </row>
    <row r="4765" spans="18:20">
      <c r="R4765" s="22" t="str">
        <f>IF(H4765="","",H4765&amp;I4765)</f>
        <v/>
      </c>
      <c r="S4765" s="22" t="str">
        <f>IF(C4765="","",C4765&amp;I4765)</f>
        <v/>
      </c>
      <c r="T4765" t="str">
        <f>IF(OR(C4765="",I4765&lt;&gt;"ENTRADA"),"",TEXT(B4765,"AAMMDD")&amp;"-"&amp;TEXT(VALUE(SUBSTITUTE(A4765,"MOV-","")),"000"))</f>
        <v/>
      </c>
    </row>
    <row r="4766" spans="18:20">
      <c r="R4766" s="22" t="str">
        <f>IF(H4766="","",H4766&amp;I4766)</f>
        <v/>
      </c>
      <c r="S4766" s="22" t="str">
        <f>IF(C4766="","",C4766&amp;I4766)</f>
        <v/>
      </c>
      <c r="T4766" t="str">
        <f>IF(OR(C4766="",I4766&lt;&gt;"ENTRADA"),"",TEXT(B4766,"AAMMDD")&amp;"-"&amp;TEXT(VALUE(SUBSTITUTE(A4766,"MOV-","")),"000"))</f>
        <v/>
      </c>
    </row>
    <row r="4767" spans="18:20">
      <c r="R4767" s="22" t="str">
        <f>IF(H4767="","",H4767&amp;I4767)</f>
        <v/>
      </c>
      <c r="S4767" s="22" t="str">
        <f>IF(C4767="","",C4767&amp;I4767)</f>
        <v/>
      </c>
      <c r="T4767" t="str">
        <f>IF(OR(C4767="",I4767&lt;&gt;"ENTRADA"),"",TEXT(B4767,"AAMMDD")&amp;"-"&amp;TEXT(VALUE(SUBSTITUTE(A4767,"MOV-","")),"000"))</f>
        <v/>
      </c>
    </row>
    <row r="4768" spans="18:20">
      <c r="R4768" s="22" t="str">
        <f>IF(H4768="","",H4768&amp;I4768)</f>
        <v/>
      </c>
      <c r="S4768" s="22" t="str">
        <f>IF(C4768="","",C4768&amp;I4768)</f>
        <v/>
      </c>
      <c r="T4768" t="str">
        <f>IF(OR(C4768="",I4768&lt;&gt;"ENTRADA"),"",TEXT(B4768,"AAMMDD")&amp;"-"&amp;TEXT(VALUE(SUBSTITUTE(A4768,"MOV-","")),"000"))</f>
        <v/>
      </c>
    </row>
    <row r="4769" spans="18:20">
      <c r="R4769" s="22" t="str">
        <f>IF(H4769="","",H4769&amp;I4769)</f>
        <v/>
      </c>
      <c r="S4769" s="22" t="str">
        <f>IF(C4769="","",C4769&amp;I4769)</f>
        <v/>
      </c>
      <c r="T4769" t="str">
        <f>IF(OR(C4769="",I4769&lt;&gt;"ENTRADA"),"",TEXT(B4769,"AAMMDD")&amp;"-"&amp;TEXT(VALUE(SUBSTITUTE(A4769,"MOV-","")),"000"))</f>
        <v/>
      </c>
    </row>
    <row r="4770" spans="18:20">
      <c r="R4770" s="22" t="str">
        <f>IF(H4770="","",H4770&amp;I4770)</f>
        <v/>
      </c>
      <c r="S4770" s="22" t="str">
        <f>IF(C4770="","",C4770&amp;I4770)</f>
        <v/>
      </c>
      <c r="T4770" t="str">
        <f>IF(OR(C4770="",I4770&lt;&gt;"ENTRADA"),"",TEXT(B4770,"AAMMDD")&amp;"-"&amp;TEXT(VALUE(SUBSTITUTE(A4770,"MOV-","")),"000"))</f>
        <v/>
      </c>
    </row>
    <row r="4771" spans="18:20">
      <c r="R4771" s="22" t="str">
        <f>IF(H4771="","",H4771&amp;I4771)</f>
        <v/>
      </c>
      <c r="S4771" s="22" t="str">
        <f>IF(C4771="","",C4771&amp;I4771)</f>
        <v/>
      </c>
      <c r="T4771" t="str">
        <f>IF(OR(C4771="",I4771&lt;&gt;"ENTRADA"),"",TEXT(B4771,"AAMMDD")&amp;"-"&amp;TEXT(VALUE(SUBSTITUTE(A4771,"MOV-","")),"000"))</f>
        <v/>
      </c>
    </row>
    <row r="4772" spans="18:20">
      <c r="R4772" s="22" t="str">
        <f>IF(H4772="","",H4772&amp;I4772)</f>
        <v/>
      </c>
      <c r="S4772" s="22" t="str">
        <f>IF(C4772="","",C4772&amp;I4772)</f>
        <v/>
      </c>
      <c r="T4772" t="str">
        <f>IF(OR(C4772="",I4772&lt;&gt;"ENTRADA"),"",TEXT(B4772,"AAMMDD")&amp;"-"&amp;TEXT(VALUE(SUBSTITUTE(A4772,"MOV-","")),"000"))</f>
        <v/>
      </c>
    </row>
    <row r="4773" spans="18:20">
      <c r="R4773" s="22" t="str">
        <f>IF(H4773="","",H4773&amp;I4773)</f>
        <v/>
      </c>
      <c r="S4773" s="22" t="str">
        <f>IF(C4773="","",C4773&amp;I4773)</f>
        <v/>
      </c>
      <c r="T4773" t="str">
        <f>IF(OR(C4773="",I4773&lt;&gt;"ENTRADA"),"",TEXT(B4773,"AAMMDD")&amp;"-"&amp;TEXT(VALUE(SUBSTITUTE(A4773,"MOV-","")),"000"))</f>
        <v/>
      </c>
    </row>
    <row r="4774" spans="18:20">
      <c r="R4774" s="22" t="str">
        <f>IF(H4774="","",H4774&amp;I4774)</f>
        <v/>
      </c>
      <c r="S4774" s="22" t="str">
        <f>IF(C4774="","",C4774&amp;I4774)</f>
        <v/>
      </c>
      <c r="T4774" t="str">
        <f>IF(OR(C4774="",I4774&lt;&gt;"ENTRADA"),"",TEXT(B4774,"AAMMDD")&amp;"-"&amp;TEXT(VALUE(SUBSTITUTE(A4774,"MOV-","")),"000"))</f>
        <v/>
      </c>
    </row>
    <row r="4775" spans="18:20">
      <c r="R4775" s="22" t="str">
        <f>IF(H4775="","",H4775&amp;I4775)</f>
        <v/>
      </c>
      <c r="S4775" s="22" t="str">
        <f>IF(C4775="","",C4775&amp;I4775)</f>
        <v/>
      </c>
      <c r="T4775" t="str">
        <f>IF(OR(C4775="",I4775&lt;&gt;"ENTRADA"),"",TEXT(B4775,"AAMMDD")&amp;"-"&amp;TEXT(VALUE(SUBSTITUTE(A4775,"MOV-","")),"000"))</f>
        <v/>
      </c>
    </row>
    <row r="4776" spans="18:20">
      <c r="R4776" s="22" t="str">
        <f>IF(H4776="","",H4776&amp;I4776)</f>
        <v/>
      </c>
      <c r="S4776" s="22" t="str">
        <f>IF(C4776="","",C4776&amp;I4776)</f>
        <v/>
      </c>
      <c r="T4776" t="str">
        <f>IF(OR(C4776="",I4776&lt;&gt;"ENTRADA"),"",TEXT(B4776,"AAMMDD")&amp;"-"&amp;TEXT(VALUE(SUBSTITUTE(A4776,"MOV-","")),"000"))</f>
        <v/>
      </c>
    </row>
    <row r="4777" spans="18:20">
      <c r="R4777" s="22" t="str">
        <f>IF(H4777="","",H4777&amp;I4777)</f>
        <v/>
      </c>
      <c r="S4777" s="22" t="str">
        <f>IF(C4777="","",C4777&amp;I4777)</f>
        <v/>
      </c>
      <c r="T4777" t="str">
        <f>IF(OR(C4777="",I4777&lt;&gt;"ENTRADA"),"",TEXT(B4777,"AAMMDD")&amp;"-"&amp;TEXT(VALUE(SUBSTITUTE(A4777,"MOV-","")),"000"))</f>
        <v/>
      </c>
    </row>
    <row r="4778" spans="18:20">
      <c r="R4778" s="22" t="str">
        <f>IF(H4778="","",H4778&amp;I4778)</f>
        <v/>
      </c>
      <c r="S4778" s="22" t="str">
        <f>IF(C4778="","",C4778&amp;I4778)</f>
        <v/>
      </c>
      <c r="T4778" t="str">
        <f>IF(OR(C4778="",I4778&lt;&gt;"ENTRADA"),"",TEXT(B4778,"AAMMDD")&amp;"-"&amp;TEXT(VALUE(SUBSTITUTE(A4778,"MOV-","")),"000"))</f>
        <v/>
      </c>
    </row>
    <row r="4779" spans="18:20">
      <c r="R4779" s="22" t="str">
        <f>IF(H4779="","",H4779&amp;I4779)</f>
        <v/>
      </c>
      <c r="S4779" s="22" t="str">
        <f>IF(C4779="","",C4779&amp;I4779)</f>
        <v/>
      </c>
      <c r="T4779" t="str">
        <f>IF(OR(C4779="",I4779&lt;&gt;"ENTRADA"),"",TEXT(B4779,"AAMMDD")&amp;"-"&amp;TEXT(VALUE(SUBSTITUTE(A4779,"MOV-","")),"000"))</f>
        <v/>
      </c>
    </row>
    <row r="4780" spans="18:20">
      <c r="R4780" s="22" t="str">
        <f>IF(H4780="","",H4780&amp;I4780)</f>
        <v/>
      </c>
      <c r="S4780" s="22" t="str">
        <f>IF(C4780="","",C4780&amp;I4780)</f>
        <v/>
      </c>
      <c r="T4780" t="str">
        <f>IF(OR(C4780="",I4780&lt;&gt;"ENTRADA"),"",TEXT(B4780,"AAMMDD")&amp;"-"&amp;TEXT(VALUE(SUBSTITUTE(A4780,"MOV-","")),"000"))</f>
        <v/>
      </c>
    </row>
    <row r="4781" spans="18:20">
      <c r="R4781" s="22" t="str">
        <f>IF(H4781="","",H4781&amp;I4781)</f>
        <v/>
      </c>
      <c r="S4781" s="22" t="str">
        <f>IF(C4781="","",C4781&amp;I4781)</f>
        <v/>
      </c>
      <c r="T4781" t="str">
        <f>IF(OR(C4781="",I4781&lt;&gt;"ENTRADA"),"",TEXT(B4781,"AAMMDD")&amp;"-"&amp;TEXT(VALUE(SUBSTITUTE(A4781,"MOV-","")),"000"))</f>
        <v/>
      </c>
    </row>
    <row r="4782" spans="18:20">
      <c r="R4782" s="22" t="str">
        <f>IF(H4782="","",H4782&amp;I4782)</f>
        <v/>
      </c>
      <c r="S4782" s="22" t="str">
        <f>IF(C4782="","",C4782&amp;I4782)</f>
        <v/>
      </c>
      <c r="T4782" t="str">
        <f>IF(OR(C4782="",I4782&lt;&gt;"ENTRADA"),"",TEXT(B4782,"AAMMDD")&amp;"-"&amp;TEXT(VALUE(SUBSTITUTE(A4782,"MOV-","")),"000"))</f>
        <v/>
      </c>
    </row>
    <row r="4783" spans="18:20">
      <c r="R4783" s="22" t="str">
        <f>IF(H4783="","",H4783&amp;I4783)</f>
        <v/>
      </c>
      <c r="S4783" s="22" t="str">
        <f>IF(C4783="","",C4783&amp;I4783)</f>
        <v/>
      </c>
      <c r="T4783" t="str">
        <f>IF(OR(C4783="",I4783&lt;&gt;"ENTRADA"),"",TEXT(B4783,"AAMMDD")&amp;"-"&amp;TEXT(VALUE(SUBSTITUTE(A4783,"MOV-","")),"000"))</f>
        <v/>
      </c>
    </row>
    <row r="4784" spans="18:20">
      <c r="R4784" s="22" t="str">
        <f>IF(H4784="","",H4784&amp;I4784)</f>
        <v/>
      </c>
      <c r="S4784" s="22" t="str">
        <f>IF(C4784="","",C4784&amp;I4784)</f>
        <v/>
      </c>
      <c r="T4784" t="str">
        <f>IF(OR(C4784="",I4784&lt;&gt;"ENTRADA"),"",TEXT(B4784,"AAMMDD")&amp;"-"&amp;TEXT(VALUE(SUBSTITUTE(A4784,"MOV-","")),"000"))</f>
        <v/>
      </c>
    </row>
    <row r="4785" spans="18:20">
      <c r="R4785" s="22" t="str">
        <f>IF(H4785="","",H4785&amp;I4785)</f>
        <v/>
      </c>
      <c r="S4785" s="22" t="str">
        <f>IF(C4785="","",C4785&amp;I4785)</f>
        <v/>
      </c>
      <c r="T4785" t="str">
        <f>IF(OR(C4785="",I4785&lt;&gt;"ENTRADA"),"",TEXT(B4785,"AAMMDD")&amp;"-"&amp;TEXT(VALUE(SUBSTITUTE(A4785,"MOV-","")),"000"))</f>
        <v/>
      </c>
    </row>
    <row r="4786" spans="18:20">
      <c r="R4786" s="22" t="str">
        <f>IF(H4786="","",H4786&amp;I4786)</f>
        <v/>
      </c>
      <c r="S4786" s="22" t="str">
        <f>IF(C4786="","",C4786&amp;I4786)</f>
        <v/>
      </c>
      <c r="T4786" t="str">
        <f>IF(OR(C4786="",I4786&lt;&gt;"ENTRADA"),"",TEXT(B4786,"AAMMDD")&amp;"-"&amp;TEXT(VALUE(SUBSTITUTE(A4786,"MOV-","")),"000"))</f>
        <v/>
      </c>
    </row>
    <row r="4787" spans="18:20">
      <c r="R4787" s="22" t="str">
        <f>IF(H4787="","",H4787&amp;I4787)</f>
        <v/>
      </c>
      <c r="S4787" s="22" t="str">
        <f>IF(C4787="","",C4787&amp;I4787)</f>
        <v/>
      </c>
      <c r="T4787" t="str">
        <f>IF(OR(C4787="",I4787&lt;&gt;"ENTRADA"),"",TEXT(B4787,"AAMMDD")&amp;"-"&amp;TEXT(VALUE(SUBSTITUTE(A4787,"MOV-","")),"000"))</f>
        <v/>
      </c>
    </row>
    <row r="4788" spans="18:20">
      <c r="R4788" s="22" t="str">
        <f>IF(H4788="","",H4788&amp;I4788)</f>
        <v/>
      </c>
      <c r="S4788" s="22" t="str">
        <f>IF(C4788="","",C4788&amp;I4788)</f>
        <v/>
      </c>
      <c r="T4788" t="str">
        <f>IF(OR(C4788="",I4788&lt;&gt;"ENTRADA"),"",TEXT(B4788,"AAMMDD")&amp;"-"&amp;TEXT(VALUE(SUBSTITUTE(A4788,"MOV-","")),"000"))</f>
        <v/>
      </c>
    </row>
    <row r="4789" spans="18:20">
      <c r="R4789" s="22" t="str">
        <f>IF(H4789="","",H4789&amp;I4789)</f>
        <v/>
      </c>
      <c r="S4789" s="22" t="str">
        <f>IF(C4789="","",C4789&amp;I4789)</f>
        <v/>
      </c>
      <c r="T4789" t="str">
        <f>IF(OR(C4789="",I4789&lt;&gt;"ENTRADA"),"",TEXT(B4789,"AAMMDD")&amp;"-"&amp;TEXT(VALUE(SUBSTITUTE(A4789,"MOV-","")),"000"))</f>
        <v/>
      </c>
    </row>
    <row r="4790" spans="18:20">
      <c r="R4790" s="22" t="str">
        <f>IF(H4790="","",H4790&amp;I4790)</f>
        <v/>
      </c>
      <c r="S4790" s="22" t="str">
        <f>IF(C4790="","",C4790&amp;I4790)</f>
        <v/>
      </c>
      <c r="T4790" t="str">
        <f>IF(OR(C4790="",I4790&lt;&gt;"ENTRADA"),"",TEXT(B4790,"AAMMDD")&amp;"-"&amp;TEXT(VALUE(SUBSTITUTE(A4790,"MOV-","")),"000"))</f>
        <v/>
      </c>
    </row>
    <row r="4791" spans="18:20">
      <c r="R4791" s="22" t="str">
        <f>IF(H4791="","",H4791&amp;I4791)</f>
        <v/>
      </c>
      <c r="S4791" s="22" t="str">
        <f>IF(C4791="","",C4791&amp;I4791)</f>
        <v/>
      </c>
      <c r="T4791" t="str">
        <f>IF(OR(C4791="",I4791&lt;&gt;"ENTRADA"),"",TEXT(B4791,"AAMMDD")&amp;"-"&amp;TEXT(VALUE(SUBSTITUTE(A4791,"MOV-","")),"000"))</f>
        <v/>
      </c>
    </row>
    <row r="4792" spans="18:20">
      <c r="R4792" s="22" t="str">
        <f>IF(H4792="","",H4792&amp;I4792)</f>
        <v/>
      </c>
      <c r="S4792" s="22" t="str">
        <f>IF(C4792="","",C4792&amp;I4792)</f>
        <v/>
      </c>
      <c r="T4792" t="str">
        <f>IF(OR(C4792="",I4792&lt;&gt;"ENTRADA"),"",TEXT(B4792,"AAMMDD")&amp;"-"&amp;TEXT(VALUE(SUBSTITUTE(A4792,"MOV-","")),"000"))</f>
        <v/>
      </c>
    </row>
    <row r="4793" spans="18:20">
      <c r="R4793" s="22" t="str">
        <f>IF(H4793="","",H4793&amp;I4793)</f>
        <v/>
      </c>
      <c r="S4793" s="22" t="str">
        <f>IF(C4793="","",C4793&amp;I4793)</f>
        <v/>
      </c>
      <c r="T4793" t="str">
        <f>IF(OR(C4793="",I4793&lt;&gt;"ENTRADA"),"",TEXT(B4793,"AAMMDD")&amp;"-"&amp;TEXT(VALUE(SUBSTITUTE(A4793,"MOV-","")),"000"))</f>
        <v/>
      </c>
    </row>
    <row r="4794" spans="18:20">
      <c r="R4794" s="22" t="str">
        <f>IF(H4794="","",H4794&amp;I4794)</f>
        <v/>
      </c>
      <c r="S4794" s="22" t="str">
        <f>IF(C4794="","",C4794&amp;I4794)</f>
        <v/>
      </c>
      <c r="T4794" t="str">
        <f>IF(OR(C4794="",I4794&lt;&gt;"ENTRADA"),"",TEXT(B4794,"AAMMDD")&amp;"-"&amp;TEXT(VALUE(SUBSTITUTE(A4794,"MOV-","")),"000"))</f>
        <v/>
      </c>
    </row>
    <row r="4795" spans="18:20">
      <c r="R4795" s="22" t="str">
        <f>IF(H4795="","",H4795&amp;I4795)</f>
        <v/>
      </c>
      <c r="S4795" s="22" t="str">
        <f>IF(C4795="","",C4795&amp;I4795)</f>
        <v/>
      </c>
      <c r="T4795" t="str">
        <f>IF(OR(C4795="",I4795&lt;&gt;"ENTRADA"),"",TEXT(B4795,"AAMMDD")&amp;"-"&amp;TEXT(VALUE(SUBSTITUTE(A4795,"MOV-","")),"000"))</f>
        <v/>
      </c>
    </row>
    <row r="4796" spans="18:20">
      <c r="R4796" s="22" t="str">
        <f>IF(H4796="","",H4796&amp;I4796)</f>
        <v/>
      </c>
      <c r="S4796" s="22" t="str">
        <f>IF(C4796="","",C4796&amp;I4796)</f>
        <v/>
      </c>
      <c r="T4796" t="str">
        <f>IF(OR(C4796="",I4796&lt;&gt;"ENTRADA"),"",TEXT(B4796,"AAMMDD")&amp;"-"&amp;TEXT(VALUE(SUBSTITUTE(A4796,"MOV-","")),"000"))</f>
        <v/>
      </c>
    </row>
    <row r="4797" spans="18:20">
      <c r="R4797" s="22" t="str">
        <f>IF(H4797="","",H4797&amp;I4797)</f>
        <v/>
      </c>
      <c r="S4797" s="22" t="str">
        <f>IF(C4797="","",C4797&amp;I4797)</f>
        <v/>
      </c>
      <c r="T4797" t="str">
        <f>IF(OR(C4797="",I4797&lt;&gt;"ENTRADA"),"",TEXT(B4797,"AAMMDD")&amp;"-"&amp;TEXT(VALUE(SUBSTITUTE(A4797,"MOV-","")),"000"))</f>
        <v/>
      </c>
    </row>
    <row r="4798" spans="18:20">
      <c r="R4798" s="22" t="str">
        <f>IF(H4798="","",H4798&amp;I4798)</f>
        <v/>
      </c>
      <c r="S4798" s="22" t="str">
        <f>IF(C4798="","",C4798&amp;I4798)</f>
        <v/>
      </c>
      <c r="T4798" t="str">
        <f>IF(OR(C4798="",I4798&lt;&gt;"ENTRADA"),"",TEXT(B4798,"AAMMDD")&amp;"-"&amp;TEXT(VALUE(SUBSTITUTE(A4798,"MOV-","")),"000"))</f>
        <v/>
      </c>
    </row>
    <row r="4799" spans="18:20">
      <c r="R4799" s="22" t="str">
        <f>IF(H4799="","",H4799&amp;I4799)</f>
        <v/>
      </c>
      <c r="S4799" s="22" t="str">
        <f>IF(C4799="","",C4799&amp;I4799)</f>
        <v/>
      </c>
      <c r="T4799" t="str">
        <f>IF(OR(C4799="",I4799&lt;&gt;"ENTRADA"),"",TEXT(B4799,"AAMMDD")&amp;"-"&amp;TEXT(VALUE(SUBSTITUTE(A4799,"MOV-","")),"000"))</f>
        <v/>
      </c>
    </row>
    <row r="4800" spans="18:20">
      <c r="R4800" s="22" t="str">
        <f>IF(H4800="","",H4800&amp;I4800)</f>
        <v/>
      </c>
      <c r="S4800" s="22" t="str">
        <f>IF(C4800="","",C4800&amp;I4800)</f>
        <v/>
      </c>
      <c r="T4800" t="str">
        <f>IF(OR(C4800="",I4800&lt;&gt;"ENTRADA"),"",TEXT(B4800,"AAMMDD")&amp;"-"&amp;TEXT(VALUE(SUBSTITUTE(A4800,"MOV-","")),"000"))</f>
        <v/>
      </c>
    </row>
    <row r="4801" spans="18:20">
      <c r="R4801" s="22" t="str">
        <f>IF(H4801="","",H4801&amp;I4801)</f>
        <v/>
      </c>
      <c r="S4801" s="22" t="str">
        <f>IF(C4801="","",C4801&amp;I4801)</f>
        <v/>
      </c>
      <c r="T4801" t="str">
        <f>IF(OR(C4801="",I4801&lt;&gt;"ENTRADA"),"",TEXT(B4801,"AAMMDD")&amp;"-"&amp;TEXT(VALUE(SUBSTITUTE(A4801,"MOV-","")),"000"))</f>
        <v/>
      </c>
    </row>
    <row r="4802" spans="18:20">
      <c r="R4802" s="22" t="str">
        <f>IF(H4802="","",H4802&amp;I4802)</f>
        <v/>
      </c>
      <c r="S4802" s="22" t="str">
        <f>IF(C4802="","",C4802&amp;I4802)</f>
        <v/>
      </c>
      <c r="T4802" t="str">
        <f>IF(OR(C4802="",I4802&lt;&gt;"ENTRADA"),"",TEXT(B4802,"AAMMDD")&amp;"-"&amp;TEXT(VALUE(SUBSTITUTE(A4802,"MOV-","")),"000"))</f>
        <v/>
      </c>
    </row>
    <row r="4803" spans="18:20">
      <c r="R4803" s="22" t="str">
        <f>IF(H4803="","",H4803&amp;I4803)</f>
        <v/>
      </c>
      <c r="S4803" s="22" t="str">
        <f>IF(C4803="","",C4803&amp;I4803)</f>
        <v/>
      </c>
      <c r="T4803" t="str">
        <f>IF(OR(C4803="",I4803&lt;&gt;"ENTRADA"),"",TEXT(B4803,"AAMMDD")&amp;"-"&amp;TEXT(VALUE(SUBSTITUTE(A4803,"MOV-","")),"000"))</f>
        <v/>
      </c>
    </row>
    <row r="4804" spans="18:20">
      <c r="R4804" s="22" t="str">
        <f>IF(H4804="","",H4804&amp;I4804)</f>
        <v/>
      </c>
      <c r="S4804" s="22" t="str">
        <f>IF(C4804="","",C4804&amp;I4804)</f>
        <v/>
      </c>
      <c r="T4804" t="str">
        <f>IF(OR(C4804="",I4804&lt;&gt;"ENTRADA"),"",TEXT(B4804,"AAMMDD")&amp;"-"&amp;TEXT(VALUE(SUBSTITUTE(A4804,"MOV-","")),"000"))</f>
        <v/>
      </c>
    </row>
    <row r="4805" spans="18:20">
      <c r="R4805" s="22" t="str">
        <f>IF(H4805="","",H4805&amp;I4805)</f>
        <v/>
      </c>
      <c r="S4805" s="22" t="str">
        <f>IF(C4805="","",C4805&amp;I4805)</f>
        <v/>
      </c>
      <c r="T4805" t="str">
        <f>IF(OR(C4805="",I4805&lt;&gt;"ENTRADA"),"",TEXT(B4805,"AAMMDD")&amp;"-"&amp;TEXT(VALUE(SUBSTITUTE(A4805,"MOV-","")),"000"))</f>
        <v/>
      </c>
    </row>
    <row r="4806" spans="18:20">
      <c r="R4806" s="22" t="str">
        <f>IF(H4806="","",H4806&amp;I4806)</f>
        <v/>
      </c>
      <c r="S4806" s="22" t="str">
        <f>IF(C4806="","",C4806&amp;I4806)</f>
        <v/>
      </c>
      <c r="T4806" t="str">
        <f>IF(OR(C4806="",I4806&lt;&gt;"ENTRADA"),"",TEXT(B4806,"AAMMDD")&amp;"-"&amp;TEXT(VALUE(SUBSTITUTE(A4806,"MOV-","")),"000"))</f>
        <v/>
      </c>
    </row>
    <row r="4807" spans="18:20">
      <c r="R4807" s="22" t="str">
        <f>IF(H4807="","",H4807&amp;I4807)</f>
        <v/>
      </c>
      <c r="S4807" s="22" t="str">
        <f>IF(C4807="","",C4807&amp;I4807)</f>
        <v/>
      </c>
      <c r="T4807" t="str">
        <f>IF(OR(C4807="",I4807&lt;&gt;"ENTRADA"),"",TEXT(B4807,"AAMMDD")&amp;"-"&amp;TEXT(VALUE(SUBSTITUTE(A4807,"MOV-","")),"000"))</f>
        <v/>
      </c>
    </row>
    <row r="4808" spans="18:20">
      <c r="R4808" s="22" t="str">
        <f>IF(H4808="","",H4808&amp;I4808)</f>
        <v/>
      </c>
      <c r="S4808" s="22" t="str">
        <f>IF(C4808="","",C4808&amp;I4808)</f>
        <v/>
      </c>
      <c r="T4808" t="str">
        <f>IF(OR(C4808="",I4808&lt;&gt;"ENTRADA"),"",TEXT(B4808,"AAMMDD")&amp;"-"&amp;TEXT(VALUE(SUBSTITUTE(A4808,"MOV-","")),"000"))</f>
        <v/>
      </c>
    </row>
    <row r="4809" spans="18:20">
      <c r="R4809" s="22" t="str">
        <f>IF(H4809="","",H4809&amp;I4809)</f>
        <v/>
      </c>
      <c r="S4809" s="22" t="str">
        <f>IF(C4809="","",C4809&amp;I4809)</f>
        <v/>
      </c>
      <c r="T4809" t="str">
        <f>IF(OR(C4809="",I4809&lt;&gt;"ENTRADA"),"",TEXT(B4809,"AAMMDD")&amp;"-"&amp;TEXT(VALUE(SUBSTITUTE(A4809,"MOV-","")),"000"))</f>
        <v/>
      </c>
    </row>
    <row r="4810" spans="18:20">
      <c r="R4810" s="22" t="str">
        <f>IF(H4810="","",H4810&amp;I4810)</f>
        <v/>
      </c>
      <c r="S4810" s="22" t="str">
        <f>IF(C4810="","",C4810&amp;I4810)</f>
        <v/>
      </c>
      <c r="T4810" t="str">
        <f>IF(OR(C4810="",I4810&lt;&gt;"ENTRADA"),"",TEXT(B4810,"AAMMDD")&amp;"-"&amp;TEXT(VALUE(SUBSTITUTE(A4810,"MOV-","")),"000"))</f>
        <v/>
      </c>
    </row>
    <row r="4811" spans="18:20">
      <c r="R4811" s="22" t="str">
        <f>IF(H4811="","",H4811&amp;I4811)</f>
        <v/>
      </c>
      <c r="S4811" s="22" t="str">
        <f>IF(C4811="","",C4811&amp;I4811)</f>
        <v/>
      </c>
      <c r="T4811" t="str">
        <f>IF(OR(C4811="",I4811&lt;&gt;"ENTRADA"),"",TEXT(B4811,"AAMMDD")&amp;"-"&amp;TEXT(VALUE(SUBSTITUTE(A4811,"MOV-","")),"000"))</f>
        <v/>
      </c>
    </row>
    <row r="4812" spans="18:20">
      <c r="R4812" s="22" t="str">
        <f>IF(H4812="","",H4812&amp;I4812)</f>
        <v/>
      </c>
      <c r="S4812" s="22" t="str">
        <f>IF(C4812="","",C4812&amp;I4812)</f>
        <v/>
      </c>
      <c r="T4812" t="str">
        <f>IF(OR(C4812="",I4812&lt;&gt;"ENTRADA"),"",TEXT(B4812,"AAMMDD")&amp;"-"&amp;TEXT(VALUE(SUBSTITUTE(A4812,"MOV-","")),"000"))</f>
        <v/>
      </c>
    </row>
    <row r="4813" spans="18:20">
      <c r="R4813" s="22" t="str">
        <f>IF(H4813="","",H4813&amp;I4813)</f>
        <v/>
      </c>
      <c r="S4813" s="22" t="str">
        <f>IF(C4813="","",C4813&amp;I4813)</f>
        <v/>
      </c>
      <c r="T4813" t="str">
        <f>IF(OR(C4813="",I4813&lt;&gt;"ENTRADA"),"",TEXT(B4813,"AAMMDD")&amp;"-"&amp;TEXT(VALUE(SUBSTITUTE(A4813,"MOV-","")),"000"))</f>
        <v/>
      </c>
    </row>
    <row r="4814" spans="18:20">
      <c r="R4814" s="22" t="str">
        <f>IF(H4814="","",H4814&amp;I4814)</f>
        <v/>
      </c>
      <c r="S4814" s="22" t="str">
        <f>IF(C4814="","",C4814&amp;I4814)</f>
        <v/>
      </c>
      <c r="T4814" t="str">
        <f>IF(OR(C4814="",I4814&lt;&gt;"ENTRADA"),"",TEXT(B4814,"AAMMDD")&amp;"-"&amp;TEXT(VALUE(SUBSTITUTE(A4814,"MOV-","")),"000"))</f>
        <v/>
      </c>
    </row>
    <row r="4815" spans="18:20">
      <c r="R4815" s="22" t="str">
        <f>IF(H4815="","",H4815&amp;I4815)</f>
        <v/>
      </c>
      <c r="S4815" s="22" t="str">
        <f>IF(C4815="","",C4815&amp;I4815)</f>
        <v/>
      </c>
      <c r="T4815" t="str">
        <f>IF(OR(C4815="",I4815&lt;&gt;"ENTRADA"),"",TEXT(B4815,"AAMMDD")&amp;"-"&amp;TEXT(VALUE(SUBSTITUTE(A4815,"MOV-","")),"000"))</f>
        <v/>
      </c>
    </row>
    <row r="4816" spans="18:20">
      <c r="R4816" s="22" t="str">
        <f>IF(H4816="","",H4816&amp;I4816)</f>
        <v/>
      </c>
      <c r="S4816" s="22" t="str">
        <f>IF(C4816="","",C4816&amp;I4816)</f>
        <v/>
      </c>
      <c r="T4816" t="str">
        <f>IF(OR(C4816="",I4816&lt;&gt;"ENTRADA"),"",TEXT(B4816,"AAMMDD")&amp;"-"&amp;TEXT(VALUE(SUBSTITUTE(A4816,"MOV-","")),"000"))</f>
        <v/>
      </c>
    </row>
    <row r="4817" spans="18:20">
      <c r="R4817" s="22" t="str">
        <f>IF(H4817="","",H4817&amp;I4817)</f>
        <v/>
      </c>
      <c r="S4817" s="22" t="str">
        <f>IF(C4817="","",C4817&amp;I4817)</f>
        <v/>
      </c>
      <c r="T4817" t="str">
        <f>IF(OR(C4817="",I4817&lt;&gt;"ENTRADA"),"",TEXT(B4817,"AAMMDD")&amp;"-"&amp;TEXT(VALUE(SUBSTITUTE(A4817,"MOV-","")),"000"))</f>
        <v/>
      </c>
    </row>
    <row r="4818" spans="18:20">
      <c r="R4818" s="22" t="str">
        <f>IF(H4818="","",H4818&amp;I4818)</f>
        <v/>
      </c>
      <c r="S4818" s="22" t="str">
        <f>IF(C4818="","",C4818&amp;I4818)</f>
        <v/>
      </c>
      <c r="T4818" t="str">
        <f>IF(OR(C4818="",I4818&lt;&gt;"ENTRADA"),"",TEXT(B4818,"AAMMDD")&amp;"-"&amp;TEXT(VALUE(SUBSTITUTE(A4818,"MOV-","")),"000"))</f>
        <v/>
      </c>
    </row>
    <row r="4819" spans="18:20">
      <c r="R4819" s="22" t="str">
        <f>IF(H4819="","",H4819&amp;I4819)</f>
        <v/>
      </c>
      <c r="S4819" s="22" t="str">
        <f>IF(C4819="","",C4819&amp;I4819)</f>
        <v/>
      </c>
      <c r="T4819" t="str">
        <f>IF(OR(C4819="",I4819&lt;&gt;"ENTRADA"),"",TEXT(B4819,"AAMMDD")&amp;"-"&amp;TEXT(VALUE(SUBSTITUTE(A4819,"MOV-","")),"000"))</f>
        <v/>
      </c>
    </row>
    <row r="4820" spans="18:20">
      <c r="R4820" s="22" t="str">
        <f>IF(H4820="","",H4820&amp;I4820)</f>
        <v/>
      </c>
      <c r="S4820" s="22" t="str">
        <f>IF(C4820="","",C4820&amp;I4820)</f>
        <v/>
      </c>
      <c r="T4820" t="str">
        <f>IF(OR(C4820="",I4820&lt;&gt;"ENTRADA"),"",TEXT(B4820,"AAMMDD")&amp;"-"&amp;TEXT(VALUE(SUBSTITUTE(A4820,"MOV-","")),"000"))</f>
        <v/>
      </c>
    </row>
    <row r="4821" spans="18:20">
      <c r="R4821" s="22" t="str">
        <f>IF(H4821="","",H4821&amp;I4821)</f>
        <v/>
      </c>
      <c r="S4821" s="22" t="str">
        <f>IF(C4821="","",C4821&amp;I4821)</f>
        <v/>
      </c>
      <c r="T4821" t="str">
        <f>IF(OR(C4821="",I4821&lt;&gt;"ENTRADA"),"",TEXT(B4821,"AAMMDD")&amp;"-"&amp;TEXT(VALUE(SUBSTITUTE(A4821,"MOV-","")),"000"))</f>
        <v/>
      </c>
    </row>
    <row r="4822" spans="18:20">
      <c r="R4822" s="22" t="str">
        <f>IF(H4822="","",H4822&amp;I4822)</f>
        <v/>
      </c>
      <c r="S4822" s="22" t="str">
        <f>IF(C4822="","",C4822&amp;I4822)</f>
        <v/>
      </c>
      <c r="T4822" t="str">
        <f>IF(OR(C4822="",I4822&lt;&gt;"ENTRADA"),"",TEXT(B4822,"AAMMDD")&amp;"-"&amp;TEXT(VALUE(SUBSTITUTE(A4822,"MOV-","")),"000"))</f>
        <v/>
      </c>
    </row>
    <row r="4823" spans="18:20">
      <c r="R4823" s="22" t="str">
        <f>IF(H4823="","",H4823&amp;I4823)</f>
        <v/>
      </c>
      <c r="S4823" s="22" t="str">
        <f>IF(C4823="","",C4823&amp;I4823)</f>
        <v/>
      </c>
      <c r="T4823" t="str">
        <f>IF(OR(C4823="",I4823&lt;&gt;"ENTRADA"),"",TEXT(B4823,"AAMMDD")&amp;"-"&amp;TEXT(VALUE(SUBSTITUTE(A4823,"MOV-","")),"000"))</f>
        <v/>
      </c>
    </row>
    <row r="4824" spans="18:20">
      <c r="R4824" s="22" t="str">
        <f>IF(H4824="","",H4824&amp;I4824)</f>
        <v/>
      </c>
      <c r="S4824" s="22" t="str">
        <f>IF(C4824="","",C4824&amp;I4824)</f>
        <v/>
      </c>
      <c r="T4824" t="str">
        <f>IF(OR(C4824="",I4824&lt;&gt;"ENTRADA"),"",TEXT(B4824,"AAMMDD")&amp;"-"&amp;TEXT(VALUE(SUBSTITUTE(A4824,"MOV-","")),"000"))</f>
        <v/>
      </c>
    </row>
    <row r="4825" spans="18:20">
      <c r="R4825" s="22" t="str">
        <f>IF(H4825="","",H4825&amp;I4825)</f>
        <v/>
      </c>
      <c r="S4825" s="22" t="str">
        <f>IF(C4825="","",C4825&amp;I4825)</f>
        <v/>
      </c>
      <c r="T4825" t="str">
        <f>IF(OR(C4825="",I4825&lt;&gt;"ENTRADA"),"",TEXT(B4825,"AAMMDD")&amp;"-"&amp;TEXT(VALUE(SUBSTITUTE(A4825,"MOV-","")),"000"))</f>
        <v/>
      </c>
    </row>
    <row r="4826" spans="18:20">
      <c r="R4826" s="22" t="str">
        <f>IF(H4826="","",H4826&amp;I4826)</f>
        <v/>
      </c>
      <c r="S4826" s="22" t="str">
        <f>IF(C4826="","",C4826&amp;I4826)</f>
        <v/>
      </c>
      <c r="T4826" t="str">
        <f>IF(OR(C4826="",I4826&lt;&gt;"ENTRADA"),"",TEXT(B4826,"AAMMDD")&amp;"-"&amp;TEXT(VALUE(SUBSTITUTE(A4826,"MOV-","")),"000"))</f>
        <v/>
      </c>
    </row>
    <row r="4827" spans="18:20">
      <c r="R4827" s="22" t="str">
        <f>IF(H4827="","",H4827&amp;I4827)</f>
        <v/>
      </c>
      <c r="S4827" s="22" t="str">
        <f>IF(C4827="","",C4827&amp;I4827)</f>
        <v/>
      </c>
      <c r="T4827" t="str">
        <f>IF(OR(C4827="",I4827&lt;&gt;"ENTRADA"),"",TEXT(B4827,"AAMMDD")&amp;"-"&amp;TEXT(VALUE(SUBSTITUTE(A4827,"MOV-","")),"000"))</f>
        <v/>
      </c>
    </row>
    <row r="4828" spans="18:20">
      <c r="R4828" s="22" t="str">
        <f>IF(H4828="","",H4828&amp;I4828)</f>
        <v/>
      </c>
      <c r="S4828" s="22" t="str">
        <f>IF(C4828="","",C4828&amp;I4828)</f>
        <v/>
      </c>
      <c r="T4828" t="str">
        <f>IF(OR(C4828="",I4828&lt;&gt;"ENTRADA"),"",TEXT(B4828,"AAMMDD")&amp;"-"&amp;TEXT(VALUE(SUBSTITUTE(A4828,"MOV-","")),"000"))</f>
        <v/>
      </c>
    </row>
    <row r="4829" spans="18:20">
      <c r="R4829" s="22" t="str">
        <f>IF(H4829="","",H4829&amp;I4829)</f>
        <v/>
      </c>
      <c r="S4829" s="22" t="str">
        <f>IF(C4829="","",C4829&amp;I4829)</f>
        <v/>
      </c>
      <c r="T4829" t="str">
        <f>IF(OR(C4829="",I4829&lt;&gt;"ENTRADA"),"",TEXT(B4829,"AAMMDD")&amp;"-"&amp;TEXT(VALUE(SUBSTITUTE(A4829,"MOV-","")),"000"))</f>
        <v/>
      </c>
    </row>
    <row r="4830" spans="18:20">
      <c r="R4830" s="22" t="str">
        <f>IF(H4830="","",H4830&amp;I4830)</f>
        <v/>
      </c>
      <c r="S4830" s="22" t="str">
        <f>IF(C4830="","",C4830&amp;I4830)</f>
        <v/>
      </c>
      <c r="T4830" t="str">
        <f>IF(OR(C4830="",I4830&lt;&gt;"ENTRADA"),"",TEXT(B4830,"AAMMDD")&amp;"-"&amp;TEXT(VALUE(SUBSTITUTE(A4830,"MOV-","")),"000"))</f>
        <v/>
      </c>
    </row>
    <row r="4831" spans="18:20">
      <c r="R4831" s="22" t="str">
        <f>IF(H4831="","",H4831&amp;I4831)</f>
        <v/>
      </c>
      <c r="S4831" s="22" t="str">
        <f>IF(C4831="","",C4831&amp;I4831)</f>
        <v/>
      </c>
      <c r="T4831" t="str">
        <f>IF(OR(C4831="",I4831&lt;&gt;"ENTRADA"),"",TEXT(B4831,"AAMMDD")&amp;"-"&amp;TEXT(VALUE(SUBSTITUTE(A4831,"MOV-","")),"000"))</f>
        <v/>
      </c>
    </row>
    <row r="4832" spans="18:20">
      <c r="R4832" s="22" t="str">
        <f>IF(H4832="","",H4832&amp;I4832)</f>
        <v/>
      </c>
      <c r="S4832" s="22" t="str">
        <f>IF(C4832="","",C4832&amp;I4832)</f>
        <v/>
      </c>
      <c r="T4832" t="str">
        <f>IF(OR(C4832="",I4832&lt;&gt;"ENTRADA"),"",TEXT(B4832,"AAMMDD")&amp;"-"&amp;TEXT(VALUE(SUBSTITUTE(A4832,"MOV-","")),"000"))</f>
        <v/>
      </c>
    </row>
    <row r="4833" spans="18:20">
      <c r="R4833" s="22" t="str">
        <f>IF(H4833="","",H4833&amp;I4833)</f>
        <v/>
      </c>
      <c r="S4833" s="22" t="str">
        <f>IF(C4833="","",C4833&amp;I4833)</f>
        <v/>
      </c>
      <c r="T4833" t="str">
        <f>IF(OR(C4833="",I4833&lt;&gt;"ENTRADA"),"",TEXT(B4833,"AAMMDD")&amp;"-"&amp;TEXT(VALUE(SUBSTITUTE(A4833,"MOV-","")),"000"))</f>
        <v/>
      </c>
    </row>
    <row r="4834" spans="18:20">
      <c r="R4834" s="22" t="str">
        <f>IF(H4834="","",H4834&amp;I4834)</f>
        <v/>
      </c>
      <c r="S4834" s="22" t="str">
        <f>IF(C4834="","",C4834&amp;I4834)</f>
        <v/>
      </c>
      <c r="T4834" t="str">
        <f>IF(OR(C4834="",I4834&lt;&gt;"ENTRADA"),"",TEXT(B4834,"AAMMDD")&amp;"-"&amp;TEXT(VALUE(SUBSTITUTE(A4834,"MOV-","")),"000"))</f>
        <v/>
      </c>
    </row>
    <row r="4835" spans="18:20">
      <c r="R4835" s="22" t="str">
        <f>IF(H4835="","",H4835&amp;I4835)</f>
        <v/>
      </c>
      <c r="S4835" s="22" t="str">
        <f>IF(C4835="","",C4835&amp;I4835)</f>
        <v/>
      </c>
      <c r="T4835" t="str">
        <f>IF(OR(C4835="",I4835&lt;&gt;"ENTRADA"),"",TEXT(B4835,"AAMMDD")&amp;"-"&amp;TEXT(VALUE(SUBSTITUTE(A4835,"MOV-","")),"000"))</f>
        <v/>
      </c>
    </row>
    <row r="4836" spans="18:20">
      <c r="R4836" s="22" t="str">
        <f>IF(H4836="","",H4836&amp;I4836)</f>
        <v/>
      </c>
      <c r="S4836" s="22" t="str">
        <f>IF(C4836="","",C4836&amp;I4836)</f>
        <v/>
      </c>
      <c r="T4836" t="str">
        <f>IF(OR(C4836="",I4836&lt;&gt;"ENTRADA"),"",TEXT(B4836,"AAMMDD")&amp;"-"&amp;TEXT(VALUE(SUBSTITUTE(A4836,"MOV-","")),"000"))</f>
        <v/>
      </c>
    </row>
    <row r="4837" spans="18:20">
      <c r="R4837" s="22" t="str">
        <f>IF(H4837="","",H4837&amp;I4837)</f>
        <v/>
      </c>
      <c r="S4837" s="22" t="str">
        <f>IF(C4837="","",C4837&amp;I4837)</f>
        <v/>
      </c>
      <c r="T4837" t="str">
        <f>IF(OR(C4837="",I4837&lt;&gt;"ENTRADA"),"",TEXT(B4837,"AAMMDD")&amp;"-"&amp;TEXT(VALUE(SUBSTITUTE(A4837,"MOV-","")),"000"))</f>
        <v/>
      </c>
    </row>
    <row r="4838" spans="18:20">
      <c r="R4838" s="22" t="str">
        <f>IF(H4838="","",H4838&amp;I4838)</f>
        <v/>
      </c>
      <c r="S4838" s="22" t="str">
        <f>IF(C4838="","",C4838&amp;I4838)</f>
        <v/>
      </c>
      <c r="T4838" t="str">
        <f>IF(OR(C4838="",I4838&lt;&gt;"ENTRADA"),"",TEXT(B4838,"AAMMDD")&amp;"-"&amp;TEXT(VALUE(SUBSTITUTE(A4838,"MOV-","")),"000"))</f>
        <v/>
      </c>
    </row>
    <row r="4839" spans="18:20">
      <c r="R4839" s="22" t="str">
        <f>IF(H4839="","",H4839&amp;I4839)</f>
        <v/>
      </c>
      <c r="S4839" s="22" t="str">
        <f>IF(C4839="","",C4839&amp;I4839)</f>
        <v/>
      </c>
      <c r="T4839" t="str">
        <f>IF(OR(C4839="",I4839&lt;&gt;"ENTRADA"),"",TEXT(B4839,"AAMMDD")&amp;"-"&amp;TEXT(VALUE(SUBSTITUTE(A4839,"MOV-","")),"000"))</f>
        <v/>
      </c>
    </row>
    <row r="4840" spans="18:20">
      <c r="R4840" s="22" t="str">
        <f>IF(H4840="","",H4840&amp;I4840)</f>
        <v/>
      </c>
      <c r="S4840" s="22" t="str">
        <f>IF(C4840="","",C4840&amp;I4840)</f>
        <v/>
      </c>
      <c r="T4840" t="str">
        <f>IF(OR(C4840="",I4840&lt;&gt;"ENTRADA"),"",TEXT(B4840,"AAMMDD")&amp;"-"&amp;TEXT(VALUE(SUBSTITUTE(A4840,"MOV-","")),"000"))</f>
        <v/>
      </c>
    </row>
    <row r="4841" spans="18:20">
      <c r="R4841" s="22" t="str">
        <f>IF(H4841="","",H4841&amp;I4841)</f>
        <v/>
      </c>
      <c r="S4841" s="22" t="str">
        <f>IF(C4841="","",C4841&amp;I4841)</f>
        <v/>
      </c>
      <c r="T4841" t="str">
        <f>IF(OR(C4841="",I4841&lt;&gt;"ENTRADA"),"",TEXT(B4841,"AAMMDD")&amp;"-"&amp;TEXT(VALUE(SUBSTITUTE(A4841,"MOV-","")),"000"))</f>
        <v/>
      </c>
    </row>
    <row r="4842" spans="18:20">
      <c r="R4842" s="22" t="str">
        <f>IF(H4842="","",H4842&amp;I4842)</f>
        <v/>
      </c>
      <c r="S4842" s="22" t="str">
        <f>IF(C4842="","",C4842&amp;I4842)</f>
        <v/>
      </c>
      <c r="T4842" t="str">
        <f>IF(OR(C4842="",I4842&lt;&gt;"ENTRADA"),"",TEXT(B4842,"AAMMDD")&amp;"-"&amp;TEXT(VALUE(SUBSTITUTE(A4842,"MOV-","")),"000"))</f>
        <v/>
      </c>
    </row>
    <row r="4843" spans="18:20">
      <c r="R4843" s="22" t="str">
        <f>IF(H4843="","",H4843&amp;I4843)</f>
        <v/>
      </c>
      <c r="S4843" s="22" t="str">
        <f>IF(C4843="","",C4843&amp;I4843)</f>
        <v/>
      </c>
      <c r="T4843" t="str">
        <f>IF(OR(C4843="",I4843&lt;&gt;"ENTRADA"),"",TEXT(B4843,"AAMMDD")&amp;"-"&amp;TEXT(VALUE(SUBSTITUTE(A4843,"MOV-","")),"000"))</f>
        <v/>
      </c>
    </row>
    <row r="4844" spans="18:20">
      <c r="R4844" s="22" t="str">
        <f>IF(H4844="","",H4844&amp;I4844)</f>
        <v/>
      </c>
      <c r="S4844" s="22" t="str">
        <f>IF(C4844="","",C4844&amp;I4844)</f>
        <v/>
      </c>
      <c r="T4844" t="str">
        <f>IF(OR(C4844="",I4844&lt;&gt;"ENTRADA"),"",TEXT(B4844,"AAMMDD")&amp;"-"&amp;TEXT(VALUE(SUBSTITUTE(A4844,"MOV-","")),"000"))</f>
        <v/>
      </c>
    </row>
    <row r="4845" spans="18:20">
      <c r="R4845" s="22" t="str">
        <f>IF(H4845="","",H4845&amp;I4845)</f>
        <v/>
      </c>
      <c r="S4845" s="22" t="str">
        <f>IF(C4845="","",C4845&amp;I4845)</f>
        <v/>
      </c>
      <c r="T4845" t="str">
        <f>IF(OR(C4845="",I4845&lt;&gt;"ENTRADA"),"",TEXT(B4845,"AAMMDD")&amp;"-"&amp;TEXT(VALUE(SUBSTITUTE(A4845,"MOV-","")),"000"))</f>
        <v/>
      </c>
    </row>
    <row r="4846" spans="18:20">
      <c r="R4846" s="22" t="str">
        <f>IF(H4846="","",H4846&amp;I4846)</f>
        <v/>
      </c>
      <c r="S4846" s="22" t="str">
        <f>IF(C4846="","",C4846&amp;I4846)</f>
        <v/>
      </c>
      <c r="T4846" t="str">
        <f>IF(OR(C4846="",I4846&lt;&gt;"ENTRADA"),"",TEXT(B4846,"AAMMDD")&amp;"-"&amp;TEXT(VALUE(SUBSTITUTE(A4846,"MOV-","")),"000"))</f>
        <v/>
      </c>
    </row>
    <row r="4847" spans="18:20">
      <c r="R4847" s="22" t="str">
        <f>IF(H4847="","",H4847&amp;I4847)</f>
        <v/>
      </c>
      <c r="S4847" s="22" t="str">
        <f>IF(C4847="","",C4847&amp;I4847)</f>
        <v/>
      </c>
      <c r="T4847" t="str">
        <f>IF(OR(C4847="",I4847&lt;&gt;"ENTRADA"),"",TEXT(B4847,"AAMMDD")&amp;"-"&amp;TEXT(VALUE(SUBSTITUTE(A4847,"MOV-","")),"000"))</f>
        <v/>
      </c>
    </row>
    <row r="4848" spans="18:20">
      <c r="R4848" s="22" t="str">
        <f>IF(H4848="","",H4848&amp;I4848)</f>
        <v/>
      </c>
      <c r="S4848" s="22" t="str">
        <f>IF(C4848="","",C4848&amp;I4848)</f>
        <v/>
      </c>
      <c r="T4848" t="str">
        <f>IF(OR(C4848="",I4848&lt;&gt;"ENTRADA"),"",TEXT(B4848,"AAMMDD")&amp;"-"&amp;TEXT(VALUE(SUBSTITUTE(A4848,"MOV-","")),"000"))</f>
        <v/>
      </c>
    </row>
    <row r="4849" spans="18:20">
      <c r="R4849" s="22" t="str">
        <f>IF(H4849="","",H4849&amp;I4849)</f>
        <v/>
      </c>
      <c r="S4849" s="22" t="str">
        <f>IF(C4849="","",C4849&amp;I4849)</f>
        <v/>
      </c>
      <c r="T4849" t="str">
        <f>IF(OR(C4849="",I4849&lt;&gt;"ENTRADA"),"",TEXT(B4849,"AAMMDD")&amp;"-"&amp;TEXT(VALUE(SUBSTITUTE(A4849,"MOV-","")),"000"))</f>
        <v/>
      </c>
    </row>
    <row r="4850" spans="18:20">
      <c r="R4850" s="22" t="str">
        <f>IF(H4850="","",H4850&amp;I4850)</f>
        <v/>
      </c>
      <c r="S4850" s="22" t="str">
        <f>IF(C4850="","",C4850&amp;I4850)</f>
        <v/>
      </c>
      <c r="T4850" t="str">
        <f>IF(OR(C4850="",I4850&lt;&gt;"ENTRADA"),"",TEXT(B4850,"AAMMDD")&amp;"-"&amp;TEXT(VALUE(SUBSTITUTE(A4850,"MOV-","")),"000"))</f>
        <v/>
      </c>
    </row>
    <row r="4851" spans="18:20">
      <c r="R4851" s="22" t="str">
        <f>IF(H4851="","",H4851&amp;I4851)</f>
        <v/>
      </c>
      <c r="S4851" s="22" t="str">
        <f>IF(C4851="","",C4851&amp;I4851)</f>
        <v/>
      </c>
      <c r="T4851" t="str">
        <f>IF(OR(C4851="",I4851&lt;&gt;"ENTRADA"),"",TEXT(B4851,"AAMMDD")&amp;"-"&amp;TEXT(VALUE(SUBSTITUTE(A4851,"MOV-","")),"000"))</f>
        <v/>
      </c>
    </row>
    <row r="4852" spans="18:20">
      <c r="R4852" s="22" t="str">
        <f>IF(H4852="","",H4852&amp;I4852)</f>
        <v/>
      </c>
      <c r="S4852" s="22" t="str">
        <f>IF(C4852="","",C4852&amp;I4852)</f>
        <v/>
      </c>
      <c r="T4852" t="str">
        <f>IF(OR(C4852="",I4852&lt;&gt;"ENTRADA"),"",TEXT(B4852,"AAMMDD")&amp;"-"&amp;TEXT(VALUE(SUBSTITUTE(A4852,"MOV-","")),"000"))</f>
        <v/>
      </c>
    </row>
    <row r="4853" spans="18:20">
      <c r="R4853" s="22" t="str">
        <f>IF(H4853="","",H4853&amp;I4853)</f>
        <v/>
      </c>
      <c r="S4853" s="22" t="str">
        <f>IF(C4853="","",C4853&amp;I4853)</f>
        <v/>
      </c>
      <c r="T4853" t="str">
        <f>IF(OR(C4853="",I4853&lt;&gt;"ENTRADA"),"",TEXT(B4853,"AAMMDD")&amp;"-"&amp;TEXT(VALUE(SUBSTITUTE(A4853,"MOV-","")),"000"))</f>
        <v/>
      </c>
    </row>
    <row r="4854" spans="18:20">
      <c r="R4854" s="22" t="str">
        <f>IF(H4854="","",H4854&amp;I4854)</f>
        <v/>
      </c>
      <c r="S4854" s="22" t="str">
        <f>IF(C4854="","",C4854&amp;I4854)</f>
        <v/>
      </c>
      <c r="T4854" t="str">
        <f>IF(OR(C4854="",I4854&lt;&gt;"ENTRADA"),"",TEXT(B4854,"AAMMDD")&amp;"-"&amp;TEXT(VALUE(SUBSTITUTE(A4854,"MOV-","")),"000"))</f>
        <v/>
      </c>
    </row>
    <row r="4855" spans="18:20">
      <c r="R4855" s="22" t="str">
        <f>IF(H4855="","",H4855&amp;I4855)</f>
        <v/>
      </c>
      <c r="S4855" s="22" t="str">
        <f>IF(C4855="","",C4855&amp;I4855)</f>
        <v/>
      </c>
      <c r="T4855" t="str">
        <f>IF(OR(C4855="",I4855&lt;&gt;"ENTRADA"),"",TEXT(B4855,"AAMMDD")&amp;"-"&amp;TEXT(VALUE(SUBSTITUTE(A4855,"MOV-","")),"000"))</f>
        <v/>
      </c>
    </row>
    <row r="4856" spans="18:20">
      <c r="R4856" s="22" t="str">
        <f>IF(H4856="","",H4856&amp;I4856)</f>
        <v/>
      </c>
      <c r="S4856" s="22" t="str">
        <f>IF(C4856="","",C4856&amp;I4856)</f>
        <v/>
      </c>
      <c r="T4856" t="str">
        <f>IF(OR(C4856="",I4856&lt;&gt;"ENTRADA"),"",TEXT(B4856,"AAMMDD")&amp;"-"&amp;TEXT(VALUE(SUBSTITUTE(A4856,"MOV-","")),"000"))</f>
        <v/>
      </c>
    </row>
    <row r="4857" spans="18:20">
      <c r="R4857" s="22" t="str">
        <f>IF(H4857="","",H4857&amp;I4857)</f>
        <v/>
      </c>
      <c r="S4857" s="22" t="str">
        <f>IF(C4857="","",C4857&amp;I4857)</f>
        <v/>
      </c>
      <c r="T4857" t="str">
        <f>IF(OR(C4857="",I4857&lt;&gt;"ENTRADA"),"",TEXT(B4857,"AAMMDD")&amp;"-"&amp;TEXT(VALUE(SUBSTITUTE(A4857,"MOV-","")),"000"))</f>
        <v/>
      </c>
    </row>
    <row r="4858" spans="18:20">
      <c r="R4858" s="22" t="str">
        <f>IF(H4858="","",H4858&amp;I4858)</f>
        <v/>
      </c>
      <c r="S4858" s="22" t="str">
        <f>IF(C4858="","",C4858&amp;I4858)</f>
        <v/>
      </c>
      <c r="T4858" t="str">
        <f>IF(OR(C4858="",I4858&lt;&gt;"ENTRADA"),"",TEXT(B4858,"AAMMDD")&amp;"-"&amp;TEXT(VALUE(SUBSTITUTE(A4858,"MOV-","")),"000"))</f>
        <v/>
      </c>
    </row>
    <row r="4859" spans="18:20">
      <c r="R4859" s="22" t="str">
        <f>IF(H4859="","",H4859&amp;I4859)</f>
        <v/>
      </c>
      <c r="S4859" s="22" t="str">
        <f>IF(C4859="","",C4859&amp;I4859)</f>
        <v/>
      </c>
      <c r="T4859" t="str">
        <f>IF(OR(C4859="",I4859&lt;&gt;"ENTRADA"),"",TEXT(B4859,"AAMMDD")&amp;"-"&amp;TEXT(VALUE(SUBSTITUTE(A4859,"MOV-","")),"000"))</f>
        <v/>
      </c>
    </row>
    <row r="4860" spans="18:20">
      <c r="R4860" s="22" t="str">
        <f>IF(H4860="","",H4860&amp;I4860)</f>
        <v/>
      </c>
      <c r="S4860" s="22" t="str">
        <f>IF(C4860="","",C4860&amp;I4860)</f>
        <v/>
      </c>
      <c r="T4860" t="str">
        <f>IF(OR(C4860="",I4860&lt;&gt;"ENTRADA"),"",TEXT(B4860,"AAMMDD")&amp;"-"&amp;TEXT(VALUE(SUBSTITUTE(A4860,"MOV-","")),"000"))</f>
        <v/>
      </c>
    </row>
    <row r="4861" spans="18:20">
      <c r="R4861" s="22" t="str">
        <f>IF(H4861="","",H4861&amp;I4861)</f>
        <v/>
      </c>
      <c r="S4861" s="22" t="str">
        <f>IF(C4861="","",C4861&amp;I4861)</f>
        <v/>
      </c>
      <c r="T4861" t="str">
        <f>IF(OR(C4861="",I4861&lt;&gt;"ENTRADA"),"",TEXT(B4861,"AAMMDD")&amp;"-"&amp;TEXT(VALUE(SUBSTITUTE(A4861,"MOV-","")),"000"))</f>
        <v/>
      </c>
    </row>
    <row r="4862" spans="18:20">
      <c r="R4862" s="22" t="str">
        <f>IF(H4862="","",H4862&amp;I4862)</f>
        <v/>
      </c>
      <c r="S4862" s="22" t="str">
        <f>IF(C4862="","",C4862&amp;I4862)</f>
        <v/>
      </c>
      <c r="T4862" t="str">
        <f>IF(OR(C4862="",I4862&lt;&gt;"ENTRADA"),"",TEXT(B4862,"AAMMDD")&amp;"-"&amp;TEXT(VALUE(SUBSTITUTE(A4862,"MOV-","")),"000"))</f>
        <v/>
      </c>
    </row>
    <row r="4863" spans="18:20">
      <c r="R4863" s="22" t="str">
        <f>IF(H4863="","",H4863&amp;I4863)</f>
        <v/>
      </c>
      <c r="S4863" s="22" t="str">
        <f>IF(C4863="","",C4863&amp;I4863)</f>
        <v/>
      </c>
      <c r="T4863" t="str">
        <f>IF(OR(C4863="",I4863&lt;&gt;"ENTRADA"),"",TEXT(B4863,"AAMMDD")&amp;"-"&amp;TEXT(VALUE(SUBSTITUTE(A4863,"MOV-","")),"000"))</f>
        <v/>
      </c>
    </row>
    <row r="4864" spans="18:20">
      <c r="R4864" s="22" t="str">
        <f>IF(H4864="","",H4864&amp;I4864)</f>
        <v/>
      </c>
      <c r="S4864" s="22" t="str">
        <f>IF(C4864="","",C4864&amp;I4864)</f>
        <v/>
      </c>
      <c r="T4864" t="str">
        <f>IF(OR(C4864="",I4864&lt;&gt;"ENTRADA"),"",TEXT(B4864,"AAMMDD")&amp;"-"&amp;TEXT(VALUE(SUBSTITUTE(A4864,"MOV-","")),"000"))</f>
        <v/>
      </c>
    </row>
    <row r="4865" spans="18:20">
      <c r="R4865" s="22" t="str">
        <f>IF(H4865="","",H4865&amp;I4865)</f>
        <v/>
      </c>
      <c r="S4865" s="22" t="str">
        <f>IF(C4865="","",C4865&amp;I4865)</f>
        <v/>
      </c>
      <c r="T4865" t="str">
        <f>IF(OR(C4865="",I4865&lt;&gt;"ENTRADA"),"",TEXT(B4865,"AAMMDD")&amp;"-"&amp;TEXT(VALUE(SUBSTITUTE(A4865,"MOV-","")),"000"))</f>
        <v/>
      </c>
    </row>
    <row r="4866" spans="18:20">
      <c r="R4866" s="22" t="str">
        <f>IF(H4866="","",H4866&amp;I4866)</f>
        <v/>
      </c>
      <c r="S4866" s="22" t="str">
        <f>IF(C4866="","",C4866&amp;I4866)</f>
        <v/>
      </c>
      <c r="T4866" t="str">
        <f>IF(OR(C4866="",I4866&lt;&gt;"ENTRADA"),"",TEXT(B4866,"AAMMDD")&amp;"-"&amp;TEXT(VALUE(SUBSTITUTE(A4866,"MOV-","")),"000"))</f>
        <v/>
      </c>
    </row>
    <row r="4867" spans="18:20">
      <c r="R4867" s="22" t="str">
        <f>IF(H4867="","",H4867&amp;I4867)</f>
        <v/>
      </c>
      <c r="S4867" s="22" t="str">
        <f>IF(C4867="","",C4867&amp;I4867)</f>
        <v/>
      </c>
      <c r="T4867" t="str">
        <f>IF(OR(C4867="",I4867&lt;&gt;"ENTRADA"),"",TEXT(B4867,"AAMMDD")&amp;"-"&amp;TEXT(VALUE(SUBSTITUTE(A4867,"MOV-","")),"000"))</f>
        <v/>
      </c>
    </row>
    <row r="4868" spans="18:20">
      <c r="R4868" s="22" t="str">
        <f>IF(H4868="","",H4868&amp;I4868)</f>
        <v/>
      </c>
      <c r="S4868" s="22" t="str">
        <f>IF(C4868="","",C4868&amp;I4868)</f>
        <v/>
      </c>
      <c r="T4868" t="str">
        <f>IF(OR(C4868="",I4868&lt;&gt;"ENTRADA"),"",TEXT(B4868,"AAMMDD")&amp;"-"&amp;TEXT(VALUE(SUBSTITUTE(A4868,"MOV-","")),"000"))</f>
        <v/>
      </c>
    </row>
    <row r="4869" spans="18:20">
      <c r="R4869" s="22" t="str">
        <f>IF(H4869="","",H4869&amp;I4869)</f>
        <v/>
      </c>
      <c r="S4869" s="22" t="str">
        <f>IF(C4869="","",C4869&amp;I4869)</f>
        <v/>
      </c>
      <c r="T4869" t="str">
        <f>IF(OR(C4869="",I4869&lt;&gt;"ENTRADA"),"",TEXT(B4869,"AAMMDD")&amp;"-"&amp;TEXT(VALUE(SUBSTITUTE(A4869,"MOV-","")),"000"))</f>
        <v/>
      </c>
    </row>
    <row r="4870" spans="18:20">
      <c r="R4870" s="22" t="str">
        <f>IF(H4870="","",H4870&amp;I4870)</f>
        <v/>
      </c>
      <c r="S4870" s="22" t="str">
        <f>IF(C4870="","",C4870&amp;I4870)</f>
        <v/>
      </c>
      <c r="T4870" t="str">
        <f>IF(OR(C4870="",I4870&lt;&gt;"ENTRADA"),"",TEXT(B4870,"AAMMDD")&amp;"-"&amp;TEXT(VALUE(SUBSTITUTE(A4870,"MOV-","")),"000"))</f>
        <v/>
      </c>
    </row>
    <row r="4871" spans="18:20">
      <c r="R4871" s="22" t="str">
        <f>IF(H4871="","",H4871&amp;I4871)</f>
        <v/>
      </c>
      <c r="S4871" s="22" t="str">
        <f>IF(C4871="","",C4871&amp;I4871)</f>
        <v/>
      </c>
      <c r="T4871" t="str">
        <f>IF(OR(C4871="",I4871&lt;&gt;"ENTRADA"),"",TEXT(B4871,"AAMMDD")&amp;"-"&amp;TEXT(VALUE(SUBSTITUTE(A4871,"MOV-","")),"000"))</f>
        <v/>
      </c>
    </row>
    <row r="4872" spans="18:20">
      <c r="R4872" s="22" t="str">
        <f>IF(H4872="","",H4872&amp;I4872)</f>
        <v/>
      </c>
      <c r="S4872" s="22" t="str">
        <f>IF(C4872="","",C4872&amp;I4872)</f>
        <v/>
      </c>
      <c r="T4872" t="str">
        <f>IF(OR(C4872="",I4872&lt;&gt;"ENTRADA"),"",TEXT(B4872,"AAMMDD")&amp;"-"&amp;TEXT(VALUE(SUBSTITUTE(A4872,"MOV-","")),"000"))</f>
        <v/>
      </c>
    </row>
    <row r="4873" spans="18:20">
      <c r="R4873" s="22" t="str">
        <f>IF(H4873="","",H4873&amp;I4873)</f>
        <v/>
      </c>
      <c r="S4873" s="22" t="str">
        <f>IF(C4873="","",C4873&amp;I4873)</f>
        <v/>
      </c>
      <c r="T4873" t="str">
        <f>IF(OR(C4873="",I4873&lt;&gt;"ENTRADA"),"",TEXT(B4873,"AAMMDD")&amp;"-"&amp;TEXT(VALUE(SUBSTITUTE(A4873,"MOV-","")),"000"))</f>
        <v/>
      </c>
    </row>
    <row r="4874" spans="18:20">
      <c r="R4874" s="22" t="str">
        <f>IF(H4874="","",H4874&amp;I4874)</f>
        <v/>
      </c>
      <c r="S4874" s="22" t="str">
        <f>IF(C4874="","",C4874&amp;I4874)</f>
        <v/>
      </c>
      <c r="T4874" t="str">
        <f>IF(OR(C4874="",I4874&lt;&gt;"ENTRADA"),"",TEXT(B4874,"AAMMDD")&amp;"-"&amp;TEXT(VALUE(SUBSTITUTE(A4874,"MOV-","")),"000"))</f>
        <v/>
      </c>
    </row>
    <row r="4875" spans="18:20">
      <c r="R4875" s="22" t="str">
        <f>IF(H4875="","",H4875&amp;I4875)</f>
        <v/>
      </c>
      <c r="S4875" s="22" t="str">
        <f>IF(C4875="","",C4875&amp;I4875)</f>
        <v/>
      </c>
      <c r="T4875" t="str">
        <f>IF(OR(C4875="",I4875&lt;&gt;"ENTRADA"),"",TEXT(B4875,"AAMMDD")&amp;"-"&amp;TEXT(VALUE(SUBSTITUTE(A4875,"MOV-","")),"000"))</f>
        <v/>
      </c>
    </row>
    <row r="4876" spans="18:20">
      <c r="R4876" s="22" t="str">
        <f>IF(H4876="","",H4876&amp;I4876)</f>
        <v/>
      </c>
      <c r="S4876" s="22" t="str">
        <f>IF(C4876="","",C4876&amp;I4876)</f>
        <v/>
      </c>
      <c r="T4876" t="str">
        <f>IF(OR(C4876="",I4876&lt;&gt;"ENTRADA"),"",TEXT(B4876,"AAMMDD")&amp;"-"&amp;TEXT(VALUE(SUBSTITUTE(A4876,"MOV-","")),"000"))</f>
        <v/>
      </c>
    </row>
    <row r="4877" spans="18:20">
      <c r="R4877" s="22" t="str">
        <f>IF(H4877="","",H4877&amp;I4877)</f>
        <v/>
      </c>
      <c r="S4877" s="22" t="str">
        <f>IF(C4877="","",C4877&amp;I4877)</f>
        <v/>
      </c>
      <c r="T4877" t="str">
        <f>IF(OR(C4877="",I4877&lt;&gt;"ENTRADA"),"",TEXT(B4877,"AAMMDD")&amp;"-"&amp;TEXT(VALUE(SUBSTITUTE(A4877,"MOV-","")),"000"))</f>
        <v/>
      </c>
    </row>
    <row r="4878" spans="18:20">
      <c r="R4878" s="22" t="str">
        <f>IF(H4878="","",H4878&amp;I4878)</f>
        <v/>
      </c>
      <c r="S4878" s="22" t="str">
        <f>IF(C4878="","",C4878&amp;I4878)</f>
        <v/>
      </c>
      <c r="T4878" t="str">
        <f>IF(OR(C4878="",I4878&lt;&gt;"ENTRADA"),"",TEXT(B4878,"AAMMDD")&amp;"-"&amp;TEXT(VALUE(SUBSTITUTE(A4878,"MOV-","")),"000"))</f>
        <v/>
      </c>
    </row>
    <row r="4879" spans="18:20">
      <c r="R4879" s="22" t="str">
        <f>IF(H4879="","",H4879&amp;I4879)</f>
        <v/>
      </c>
      <c r="S4879" s="22" t="str">
        <f>IF(C4879="","",C4879&amp;I4879)</f>
        <v/>
      </c>
      <c r="T4879" t="str">
        <f>IF(OR(C4879="",I4879&lt;&gt;"ENTRADA"),"",TEXT(B4879,"AAMMDD")&amp;"-"&amp;TEXT(VALUE(SUBSTITUTE(A4879,"MOV-","")),"000"))</f>
        <v/>
      </c>
    </row>
    <row r="4880" spans="18:20">
      <c r="R4880" s="22" t="str">
        <f>IF(H4880="","",H4880&amp;I4880)</f>
        <v/>
      </c>
      <c r="S4880" s="22" t="str">
        <f>IF(C4880="","",C4880&amp;I4880)</f>
        <v/>
      </c>
      <c r="T4880" t="str">
        <f>IF(OR(C4880="",I4880&lt;&gt;"ENTRADA"),"",TEXT(B4880,"AAMMDD")&amp;"-"&amp;TEXT(VALUE(SUBSTITUTE(A4880,"MOV-","")),"000"))</f>
        <v/>
      </c>
    </row>
    <row r="4881" spans="18:20">
      <c r="R4881" s="22" t="str">
        <f>IF(H4881="","",H4881&amp;I4881)</f>
        <v/>
      </c>
      <c r="S4881" s="22" t="str">
        <f>IF(C4881="","",C4881&amp;I4881)</f>
        <v/>
      </c>
      <c r="T4881" t="str">
        <f>IF(OR(C4881="",I4881&lt;&gt;"ENTRADA"),"",TEXT(B4881,"AAMMDD")&amp;"-"&amp;TEXT(VALUE(SUBSTITUTE(A4881,"MOV-","")),"000"))</f>
        <v/>
      </c>
    </row>
    <row r="4882" spans="18:20">
      <c r="R4882" s="22" t="str">
        <f>IF(H4882="","",H4882&amp;I4882)</f>
        <v/>
      </c>
      <c r="S4882" s="22" t="str">
        <f>IF(C4882="","",C4882&amp;I4882)</f>
        <v/>
      </c>
      <c r="T4882" t="str">
        <f>IF(OR(C4882="",I4882&lt;&gt;"ENTRADA"),"",TEXT(B4882,"AAMMDD")&amp;"-"&amp;TEXT(VALUE(SUBSTITUTE(A4882,"MOV-","")),"000"))</f>
        <v/>
      </c>
    </row>
    <row r="4883" spans="18:20">
      <c r="R4883" s="22" t="str">
        <f>IF(H4883="","",H4883&amp;I4883)</f>
        <v/>
      </c>
      <c r="S4883" s="22" t="str">
        <f>IF(C4883="","",C4883&amp;I4883)</f>
        <v/>
      </c>
      <c r="T4883" t="str">
        <f>IF(OR(C4883="",I4883&lt;&gt;"ENTRADA"),"",TEXT(B4883,"AAMMDD")&amp;"-"&amp;TEXT(VALUE(SUBSTITUTE(A4883,"MOV-","")),"000"))</f>
        <v/>
      </c>
    </row>
    <row r="4884" spans="18:20">
      <c r="R4884" s="22" t="str">
        <f>IF(H4884="","",H4884&amp;I4884)</f>
        <v/>
      </c>
      <c r="S4884" s="22" t="str">
        <f>IF(C4884="","",C4884&amp;I4884)</f>
        <v/>
      </c>
      <c r="T4884" t="str">
        <f>IF(OR(C4884="",I4884&lt;&gt;"ENTRADA"),"",TEXT(B4884,"AAMMDD")&amp;"-"&amp;TEXT(VALUE(SUBSTITUTE(A4884,"MOV-","")),"000"))</f>
        <v/>
      </c>
    </row>
    <row r="4885" spans="18:20">
      <c r="R4885" s="22" t="str">
        <f>IF(H4885="","",H4885&amp;I4885)</f>
        <v/>
      </c>
      <c r="S4885" s="22" t="str">
        <f>IF(C4885="","",C4885&amp;I4885)</f>
        <v/>
      </c>
      <c r="T4885" t="str">
        <f>IF(OR(C4885="",I4885&lt;&gt;"ENTRADA"),"",TEXT(B4885,"AAMMDD")&amp;"-"&amp;TEXT(VALUE(SUBSTITUTE(A4885,"MOV-","")),"000"))</f>
        <v/>
      </c>
    </row>
    <row r="4886" spans="18:20">
      <c r="R4886" s="22" t="str">
        <f>IF(H4886="","",H4886&amp;I4886)</f>
        <v/>
      </c>
      <c r="S4886" s="22" t="str">
        <f>IF(C4886="","",C4886&amp;I4886)</f>
        <v/>
      </c>
      <c r="T4886" t="str">
        <f>IF(OR(C4886="",I4886&lt;&gt;"ENTRADA"),"",TEXT(B4886,"AAMMDD")&amp;"-"&amp;TEXT(VALUE(SUBSTITUTE(A4886,"MOV-","")),"000"))</f>
        <v/>
      </c>
    </row>
    <row r="4887" spans="18:20">
      <c r="R4887" s="22" t="str">
        <f>IF(H4887="","",H4887&amp;I4887)</f>
        <v/>
      </c>
      <c r="S4887" s="22" t="str">
        <f>IF(C4887="","",C4887&amp;I4887)</f>
        <v/>
      </c>
      <c r="T4887" t="str">
        <f>IF(OR(C4887="",I4887&lt;&gt;"ENTRADA"),"",TEXT(B4887,"AAMMDD")&amp;"-"&amp;TEXT(VALUE(SUBSTITUTE(A4887,"MOV-","")),"000"))</f>
        <v/>
      </c>
    </row>
    <row r="4888" spans="18:20">
      <c r="R4888" s="22" t="str">
        <f>IF(H4888="","",H4888&amp;I4888)</f>
        <v/>
      </c>
      <c r="S4888" s="22" t="str">
        <f>IF(C4888="","",C4888&amp;I4888)</f>
        <v/>
      </c>
      <c r="T4888" t="str">
        <f>IF(OR(C4888="",I4888&lt;&gt;"ENTRADA"),"",TEXT(B4888,"AAMMDD")&amp;"-"&amp;TEXT(VALUE(SUBSTITUTE(A4888,"MOV-","")),"000"))</f>
        <v/>
      </c>
    </row>
    <row r="4889" spans="18:20">
      <c r="R4889" s="22" t="str">
        <f>IF(H4889="","",H4889&amp;I4889)</f>
        <v/>
      </c>
      <c r="S4889" s="22" t="str">
        <f>IF(C4889="","",C4889&amp;I4889)</f>
        <v/>
      </c>
      <c r="T4889" t="str">
        <f>IF(OR(C4889="",I4889&lt;&gt;"ENTRADA"),"",TEXT(B4889,"AAMMDD")&amp;"-"&amp;TEXT(VALUE(SUBSTITUTE(A4889,"MOV-","")),"000"))</f>
        <v/>
      </c>
    </row>
    <row r="4890" spans="18:20">
      <c r="R4890" s="22" t="str">
        <f>IF(H4890="","",H4890&amp;I4890)</f>
        <v/>
      </c>
      <c r="S4890" s="22" t="str">
        <f>IF(C4890="","",C4890&amp;I4890)</f>
        <v/>
      </c>
      <c r="T4890" t="str">
        <f>IF(OR(C4890="",I4890&lt;&gt;"ENTRADA"),"",TEXT(B4890,"AAMMDD")&amp;"-"&amp;TEXT(VALUE(SUBSTITUTE(A4890,"MOV-","")),"000"))</f>
        <v/>
      </c>
    </row>
    <row r="4891" spans="18:20">
      <c r="R4891" s="22" t="str">
        <f>IF(H4891="","",H4891&amp;I4891)</f>
        <v/>
      </c>
      <c r="S4891" s="22" t="str">
        <f>IF(C4891="","",C4891&amp;I4891)</f>
        <v/>
      </c>
      <c r="T4891" t="str">
        <f>IF(OR(C4891="",I4891&lt;&gt;"ENTRADA"),"",TEXT(B4891,"AAMMDD")&amp;"-"&amp;TEXT(VALUE(SUBSTITUTE(A4891,"MOV-","")),"000"))</f>
        <v/>
      </c>
    </row>
    <row r="4892" spans="18:20">
      <c r="R4892" s="22" t="str">
        <f>IF(H4892="","",H4892&amp;I4892)</f>
        <v/>
      </c>
      <c r="S4892" s="22" t="str">
        <f>IF(C4892="","",C4892&amp;I4892)</f>
        <v/>
      </c>
      <c r="T4892" t="str">
        <f>IF(OR(C4892="",I4892&lt;&gt;"ENTRADA"),"",TEXT(B4892,"AAMMDD")&amp;"-"&amp;TEXT(VALUE(SUBSTITUTE(A4892,"MOV-","")),"000"))</f>
        <v/>
      </c>
    </row>
    <row r="4893" spans="18:20">
      <c r="R4893" s="22" t="str">
        <f>IF(H4893="","",H4893&amp;I4893)</f>
        <v/>
      </c>
      <c r="S4893" s="22" t="str">
        <f>IF(C4893="","",C4893&amp;I4893)</f>
        <v/>
      </c>
      <c r="T4893" t="str">
        <f>IF(OR(C4893="",I4893&lt;&gt;"ENTRADA"),"",TEXT(B4893,"AAMMDD")&amp;"-"&amp;TEXT(VALUE(SUBSTITUTE(A4893,"MOV-","")),"000"))</f>
        <v/>
      </c>
    </row>
    <row r="4894" spans="18:20">
      <c r="R4894" s="22" t="str">
        <f>IF(H4894="","",H4894&amp;I4894)</f>
        <v/>
      </c>
      <c r="S4894" s="22" t="str">
        <f>IF(C4894="","",C4894&amp;I4894)</f>
        <v/>
      </c>
      <c r="T4894" t="str">
        <f>IF(OR(C4894="",I4894&lt;&gt;"ENTRADA"),"",TEXT(B4894,"AAMMDD")&amp;"-"&amp;TEXT(VALUE(SUBSTITUTE(A4894,"MOV-","")),"000"))</f>
        <v/>
      </c>
    </row>
    <row r="4895" spans="18:20">
      <c r="R4895" s="22" t="str">
        <f>IF(H4895="","",H4895&amp;I4895)</f>
        <v/>
      </c>
      <c r="S4895" s="22" t="str">
        <f>IF(C4895="","",C4895&amp;I4895)</f>
        <v/>
      </c>
      <c r="T4895" t="str">
        <f>IF(OR(C4895="",I4895&lt;&gt;"ENTRADA"),"",TEXT(B4895,"AAMMDD")&amp;"-"&amp;TEXT(VALUE(SUBSTITUTE(A4895,"MOV-","")),"000"))</f>
        <v/>
      </c>
    </row>
    <row r="4896" spans="18:20">
      <c r="R4896" s="22" t="str">
        <f>IF(H4896="","",H4896&amp;I4896)</f>
        <v/>
      </c>
      <c r="S4896" s="22" t="str">
        <f>IF(C4896="","",C4896&amp;I4896)</f>
        <v/>
      </c>
      <c r="T4896" t="str">
        <f>IF(OR(C4896="",I4896&lt;&gt;"ENTRADA"),"",TEXT(B4896,"AAMMDD")&amp;"-"&amp;TEXT(VALUE(SUBSTITUTE(A4896,"MOV-","")),"000"))</f>
        <v/>
      </c>
    </row>
    <row r="4897" spans="18:20">
      <c r="R4897" s="22" t="str">
        <f>IF(H4897="","",H4897&amp;I4897)</f>
        <v/>
      </c>
      <c r="S4897" s="22" t="str">
        <f>IF(C4897="","",C4897&amp;I4897)</f>
        <v/>
      </c>
      <c r="T4897" t="str">
        <f>IF(OR(C4897="",I4897&lt;&gt;"ENTRADA"),"",TEXT(B4897,"AAMMDD")&amp;"-"&amp;TEXT(VALUE(SUBSTITUTE(A4897,"MOV-","")),"000"))</f>
        <v/>
      </c>
    </row>
    <row r="4898" spans="18:20">
      <c r="R4898" s="22" t="str">
        <f>IF(H4898="","",H4898&amp;I4898)</f>
        <v/>
      </c>
      <c r="S4898" s="22" t="str">
        <f>IF(C4898="","",C4898&amp;I4898)</f>
        <v/>
      </c>
      <c r="T4898" t="str">
        <f>IF(OR(C4898="",I4898&lt;&gt;"ENTRADA"),"",TEXT(B4898,"AAMMDD")&amp;"-"&amp;TEXT(VALUE(SUBSTITUTE(A4898,"MOV-","")),"000"))</f>
        <v/>
      </c>
    </row>
    <row r="4899" spans="18:20">
      <c r="R4899" s="22" t="str">
        <f>IF(H4899="","",H4899&amp;I4899)</f>
        <v/>
      </c>
      <c r="S4899" s="22" t="str">
        <f>IF(C4899="","",C4899&amp;I4899)</f>
        <v/>
      </c>
      <c r="T4899" t="str">
        <f>IF(OR(C4899="",I4899&lt;&gt;"ENTRADA"),"",TEXT(B4899,"AAMMDD")&amp;"-"&amp;TEXT(VALUE(SUBSTITUTE(A4899,"MOV-","")),"000"))</f>
        <v/>
      </c>
    </row>
    <row r="4900" spans="18:20">
      <c r="R4900" s="22" t="str">
        <f>IF(H4900="","",H4900&amp;I4900)</f>
        <v/>
      </c>
      <c r="S4900" s="22" t="str">
        <f>IF(C4900="","",C4900&amp;I4900)</f>
        <v/>
      </c>
      <c r="T4900" t="str">
        <f>IF(OR(C4900="",I4900&lt;&gt;"ENTRADA"),"",TEXT(B4900,"AAMMDD")&amp;"-"&amp;TEXT(VALUE(SUBSTITUTE(A4900,"MOV-","")),"000"))</f>
        <v/>
      </c>
    </row>
    <row r="4901" spans="18:20">
      <c r="R4901" s="22" t="str">
        <f>IF(H4901="","",H4901&amp;I4901)</f>
        <v/>
      </c>
      <c r="S4901" s="22" t="str">
        <f>IF(C4901="","",C4901&amp;I4901)</f>
        <v/>
      </c>
      <c r="T4901" t="str">
        <f>IF(OR(C4901="",I4901&lt;&gt;"ENTRADA"),"",TEXT(B4901,"AAMMDD")&amp;"-"&amp;TEXT(VALUE(SUBSTITUTE(A4901,"MOV-","")),"000"))</f>
        <v/>
      </c>
    </row>
    <row r="4902" spans="18:20">
      <c r="R4902" s="22" t="str">
        <f>IF(H4902="","",H4902&amp;I4902)</f>
        <v/>
      </c>
      <c r="S4902" s="22" t="str">
        <f>IF(C4902="","",C4902&amp;I4902)</f>
        <v/>
      </c>
      <c r="T4902" t="str">
        <f>IF(OR(C4902="",I4902&lt;&gt;"ENTRADA"),"",TEXT(B4902,"AAMMDD")&amp;"-"&amp;TEXT(VALUE(SUBSTITUTE(A4902,"MOV-","")),"000"))</f>
        <v/>
      </c>
    </row>
    <row r="4903" spans="18:20">
      <c r="R4903" s="22" t="str">
        <f>IF(H4903="","",H4903&amp;I4903)</f>
        <v/>
      </c>
      <c r="S4903" s="22" t="str">
        <f>IF(C4903="","",C4903&amp;I4903)</f>
        <v/>
      </c>
      <c r="T4903" t="str">
        <f>IF(OR(C4903="",I4903&lt;&gt;"ENTRADA"),"",TEXT(B4903,"AAMMDD")&amp;"-"&amp;TEXT(VALUE(SUBSTITUTE(A4903,"MOV-","")),"000"))</f>
        <v/>
      </c>
    </row>
    <row r="4904" spans="18:20">
      <c r="R4904" s="22" t="str">
        <f>IF(H4904="","",H4904&amp;I4904)</f>
        <v/>
      </c>
      <c r="S4904" s="22" t="str">
        <f>IF(C4904="","",C4904&amp;I4904)</f>
        <v/>
      </c>
      <c r="T4904" t="str">
        <f>IF(OR(C4904="",I4904&lt;&gt;"ENTRADA"),"",TEXT(B4904,"AAMMDD")&amp;"-"&amp;TEXT(VALUE(SUBSTITUTE(A4904,"MOV-","")),"000"))</f>
        <v/>
      </c>
    </row>
    <row r="4905" spans="18:20">
      <c r="R4905" s="22" t="str">
        <f>IF(H4905="","",H4905&amp;I4905)</f>
        <v/>
      </c>
      <c r="S4905" s="22" t="str">
        <f>IF(C4905="","",C4905&amp;I4905)</f>
        <v/>
      </c>
      <c r="T4905" t="str">
        <f>IF(OR(C4905="",I4905&lt;&gt;"ENTRADA"),"",TEXT(B4905,"AAMMDD")&amp;"-"&amp;TEXT(VALUE(SUBSTITUTE(A4905,"MOV-","")),"000"))</f>
        <v/>
      </c>
    </row>
    <row r="4906" spans="18:20">
      <c r="R4906" s="22" t="str">
        <f>IF(H4906="","",H4906&amp;I4906)</f>
        <v/>
      </c>
      <c r="S4906" s="22" t="str">
        <f>IF(C4906="","",C4906&amp;I4906)</f>
        <v/>
      </c>
      <c r="T4906" t="str">
        <f>IF(OR(C4906="",I4906&lt;&gt;"ENTRADA"),"",TEXT(B4906,"AAMMDD")&amp;"-"&amp;TEXT(VALUE(SUBSTITUTE(A4906,"MOV-","")),"000"))</f>
        <v/>
      </c>
    </row>
    <row r="4907" spans="18:20">
      <c r="R4907" s="22" t="str">
        <f>IF(H4907="","",H4907&amp;I4907)</f>
        <v/>
      </c>
      <c r="S4907" s="22" t="str">
        <f>IF(C4907="","",C4907&amp;I4907)</f>
        <v/>
      </c>
      <c r="T4907" t="str">
        <f>IF(OR(C4907="",I4907&lt;&gt;"ENTRADA"),"",TEXT(B4907,"AAMMDD")&amp;"-"&amp;TEXT(VALUE(SUBSTITUTE(A4907,"MOV-","")),"000"))</f>
        <v/>
      </c>
    </row>
    <row r="4908" spans="18:20">
      <c r="R4908" s="22" t="str">
        <f>IF(H4908="","",H4908&amp;I4908)</f>
        <v/>
      </c>
      <c r="S4908" s="22" t="str">
        <f>IF(C4908="","",C4908&amp;I4908)</f>
        <v/>
      </c>
      <c r="T4908" t="str">
        <f>IF(OR(C4908="",I4908&lt;&gt;"ENTRADA"),"",TEXT(B4908,"AAMMDD")&amp;"-"&amp;TEXT(VALUE(SUBSTITUTE(A4908,"MOV-","")),"000"))</f>
        <v/>
      </c>
    </row>
    <row r="4909" spans="18:20">
      <c r="R4909" s="22" t="str">
        <f>IF(H4909="","",H4909&amp;I4909)</f>
        <v/>
      </c>
      <c r="S4909" s="22" t="str">
        <f>IF(C4909="","",C4909&amp;I4909)</f>
        <v/>
      </c>
      <c r="T4909" t="str">
        <f>IF(OR(C4909="",I4909&lt;&gt;"ENTRADA"),"",TEXT(B4909,"AAMMDD")&amp;"-"&amp;TEXT(VALUE(SUBSTITUTE(A4909,"MOV-","")),"000"))</f>
        <v/>
      </c>
    </row>
    <row r="4910" spans="18:20">
      <c r="R4910" s="22" t="str">
        <f>IF(H4910="","",H4910&amp;I4910)</f>
        <v/>
      </c>
      <c r="S4910" s="22" t="str">
        <f>IF(C4910="","",C4910&amp;I4910)</f>
        <v/>
      </c>
      <c r="T4910" t="str">
        <f>IF(OR(C4910="",I4910&lt;&gt;"ENTRADA"),"",TEXT(B4910,"AAMMDD")&amp;"-"&amp;TEXT(VALUE(SUBSTITUTE(A4910,"MOV-","")),"000"))</f>
        <v/>
      </c>
    </row>
    <row r="4911" spans="18:20">
      <c r="R4911" s="22" t="str">
        <f>IF(H4911="","",H4911&amp;I4911)</f>
        <v/>
      </c>
      <c r="S4911" s="22" t="str">
        <f>IF(C4911="","",C4911&amp;I4911)</f>
        <v/>
      </c>
      <c r="T4911" t="str">
        <f>IF(OR(C4911="",I4911&lt;&gt;"ENTRADA"),"",TEXT(B4911,"AAMMDD")&amp;"-"&amp;TEXT(VALUE(SUBSTITUTE(A4911,"MOV-","")),"000"))</f>
        <v/>
      </c>
    </row>
    <row r="4912" spans="18:20">
      <c r="R4912" s="22" t="str">
        <f>IF(H4912="","",H4912&amp;I4912)</f>
        <v/>
      </c>
      <c r="S4912" s="22" t="str">
        <f>IF(C4912="","",C4912&amp;I4912)</f>
        <v/>
      </c>
      <c r="T4912" t="str">
        <f>IF(OR(C4912="",I4912&lt;&gt;"ENTRADA"),"",TEXT(B4912,"AAMMDD")&amp;"-"&amp;TEXT(VALUE(SUBSTITUTE(A4912,"MOV-","")),"000"))</f>
        <v/>
      </c>
    </row>
    <row r="4913" spans="18:20">
      <c r="R4913" s="22" t="str">
        <f>IF(H4913="","",H4913&amp;I4913)</f>
        <v/>
      </c>
      <c r="S4913" s="22" t="str">
        <f>IF(C4913="","",C4913&amp;I4913)</f>
        <v/>
      </c>
      <c r="T4913" t="str">
        <f>IF(OR(C4913="",I4913&lt;&gt;"ENTRADA"),"",TEXT(B4913,"AAMMDD")&amp;"-"&amp;TEXT(VALUE(SUBSTITUTE(A4913,"MOV-","")),"000"))</f>
        <v/>
      </c>
    </row>
    <row r="4914" spans="18:20">
      <c r="R4914" s="22" t="str">
        <f>IF(H4914="","",H4914&amp;I4914)</f>
        <v/>
      </c>
      <c r="S4914" s="22" t="str">
        <f>IF(C4914="","",C4914&amp;I4914)</f>
        <v/>
      </c>
      <c r="T4914" t="str">
        <f>IF(OR(C4914="",I4914&lt;&gt;"ENTRADA"),"",TEXT(B4914,"AAMMDD")&amp;"-"&amp;TEXT(VALUE(SUBSTITUTE(A4914,"MOV-","")),"000"))</f>
        <v/>
      </c>
    </row>
    <row r="4915" spans="18:20">
      <c r="R4915" s="22" t="str">
        <f>IF(H4915="","",H4915&amp;I4915)</f>
        <v/>
      </c>
      <c r="S4915" s="22" t="str">
        <f>IF(C4915="","",C4915&amp;I4915)</f>
        <v/>
      </c>
      <c r="T4915" t="str">
        <f>IF(OR(C4915="",I4915&lt;&gt;"ENTRADA"),"",TEXT(B4915,"AAMMDD")&amp;"-"&amp;TEXT(VALUE(SUBSTITUTE(A4915,"MOV-","")),"000"))</f>
        <v/>
      </c>
    </row>
    <row r="4916" spans="18:20">
      <c r="R4916" s="22" t="str">
        <f>IF(H4916="","",H4916&amp;I4916)</f>
        <v/>
      </c>
      <c r="S4916" s="22" t="str">
        <f>IF(C4916="","",C4916&amp;I4916)</f>
        <v/>
      </c>
      <c r="T4916" t="str">
        <f>IF(OR(C4916="",I4916&lt;&gt;"ENTRADA"),"",TEXT(B4916,"AAMMDD")&amp;"-"&amp;TEXT(VALUE(SUBSTITUTE(A4916,"MOV-","")),"000"))</f>
        <v/>
      </c>
    </row>
    <row r="4917" spans="18:20">
      <c r="R4917" s="22" t="str">
        <f>IF(H4917="","",H4917&amp;I4917)</f>
        <v/>
      </c>
      <c r="S4917" s="22" t="str">
        <f>IF(C4917="","",C4917&amp;I4917)</f>
        <v/>
      </c>
      <c r="T4917" t="str">
        <f>IF(OR(C4917="",I4917&lt;&gt;"ENTRADA"),"",TEXT(B4917,"AAMMDD")&amp;"-"&amp;TEXT(VALUE(SUBSTITUTE(A4917,"MOV-","")),"000"))</f>
        <v/>
      </c>
    </row>
    <row r="4918" spans="18:20">
      <c r="R4918" s="22" t="str">
        <f>IF(H4918="","",H4918&amp;I4918)</f>
        <v/>
      </c>
      <c r="S4918" s="22" t="str">
        <f>IF(C4918="","",C4918&amp;I4918)</f>
        <v/>
      </c>
      <c r="T4918" t="str">
        <f>IF(OR(C4918="",I4918&lt;&gt;"ENTRADA"),"",TEXT(B4918,"AAMMDD")&amp;"-"&amp;TEXT(VALUE(SUBSTITUTE(A4918,"MOV-","")),"000"))</f>
        <v/>
      </c>
    </row>
    <row r="4919" spans="18:20">
      <c r="R4919" s="22" t="str">
        <f>IF(H4919="","",H4919&amp;I4919)</f>
        <v/>
      </c>
      <c r="S4919" s="22" t="str">
        <f>IF(C4919="","",C4919&amp;I4919)</f>
        <v/>
      </c>
      <c r="T4919" t="str">
        <f>IF(OR(C4919="",I4919&lt;&gt;"ENTRADA"),"",TEXT(B4919,"AAMMDD")&amp;"-"&amp;TEXT(VALUE(SUBSTITUTE(A4919,"MOV-","")),"000"))</f>
        <v/>
      </c>
    </row>
    <row r="4920" spans="18:20">
      <c r="R4920" s="22" t="str">
        <f>IF(H4920="","",H4920&amp;I4920)</f>
        <v/>
      </c>
      <c r="S4920" s="22" t="str">
        <f>IF(C4920="","",C4920&amp;I4920)</f>
        <v/>
      </c>
      <c r="T4920" t="str">
        <f>IF(OR(C4920="",I4920&lt;&gt;"ENTRADA"),"",TEXT(B4920,"AAMMDD")&amp;"-"&amp;TEXT(VALUE(SUBSTITUTE(A4920,"MOV-","")),"000"))</f>
        <v/>
      </c>
    </row>
    <row r="4921" spans="18:20">
      <c r="R4921" s="22" t="str">
        <f>IF(H4921="","",H4921&amp;I4921)</f>
        <v/>
      </c>
      <c r="S4921" s="22" t="str">
        <f>IF(C4921="","",C4921&amp;I4921)</f>
        <v/>
      </c>
      <c r="T4921" t="str">
        <f>IF(OR(C4921="",I4921&lt;&gt;"ENTRADA"),"",TEXT(B4921,"AAMMDD")&amp;"-"&amp;TEXT(VALUE(SUBSTITUTE(A4921,"MOV-","")),"000"))</f>
        <v/>
      </c>
    </row>
    <row r="4922" spans="18:20">
      <c r="R4922" s="22" t="str">
        <f>IF(H4922="","",H4922&amp;I4922)</f>
        <v/>
      </c>
      <c r="S4922" s="22" t="str">
        <f>IF(C4922="","",C4922&amp;I4922)</f>
        <v/>
      </c>
      <c r="T4922" t="str">
        <f>IF(OR(C4922="",I4922&lt;&gt;"ENTRADA"),"",TEXT(B4922,"AAMMDD")&amp;"-"&amp;TEXT(VALUE(SUBSTITUTE(A4922,"MOV-","")),"000"))</f>
        <v/>
      </c>
    </row>
    <row r="4923" spans="18:20">
      <c r="R4923" s="22" t="str">
        <f>IF(H4923="","",H4923&amp;I4923)</f>
        <v/>
      </c>
      <c r="S4923" s="22" t="str">
        <f>IF(C4923="","",C4923&amp;I4923)</f>
        <v/>
      </c>
      <c r="T4923" t="str">
        <f>IF(OR(C4923="",I4923&lt;&gt;"ENTRADA"),"",TEXT(B4923,"AAMMDD")&amp;"-"&amp;TEXT(VALUE(SUBSTITUTE(A4923,"MOV-","")),"000"))</f>
        <v/>
      </c>
    </row>
    <row r="4924" spans="18:20">
      <c r="R4924" s="22" t="str">
        <f>IF(H4924="","",H4924&amp;I4924)</f>
        <v/>
      </c>
      <c r="S4924" s="22" t="str">
        <f>IF(C4924="","",C4924&amp;I4924)</f>
        <v/>
      </c>
      <c r="T4924" t="str">
        <f>IF(OR(C4924="",I4924&lt;&gt;"ENTRADA"),"",TEXT(B4924,"AAMMDD")&amp;"-"&amp;TEXT(VALUE(SUBSTITUTE(A4924,"MOV-","")),"000"))</f>
        <v/>
      </c>
    </row>
    <row r="4925" spans="18:20">
      <c r="R4925" s="22" t="str">
        <f>IF(H4925="","",H4925&amp;I4925)</f>
        <v/>
      </c>
      <c r="S4925" s="22" t="str">
        <f>IF(C4925="","",C4925&amp;I4925)</f>
        <v/>
      </c>
      <c r="T4925" t="str">
        <f>IF(OR(C4925="",I4925&lt;&gt;"ENTRADA"),"",TEXT(B4925,"AAMMDD")&amp;"-"&amp;TEXT(VALUE(SUBSTITUTE(A4925,"MOV-","")),"000"))</f>
        <v/>
      </c>
    </row>
    <row r="4926" spans="18:20">
      <c r="R4926" s="22" t="str">
        <f>IF(H4926="","",H4926&amp;I4926)</f>
        <v/>
      </c>
      <c r="S4926" s="22" t="str">
        <f>IF(C4926="","",C4926&amp;I4926)</f>
        <v/>
      </c>
      <c r="T4926" t="str">
        <f>IF(OR(C4926="",I4926&lt;&gt;"ENTRADA"),"",TEXT(B4926,"AAMMDD")&amp;"-"&amp;TEXT(VALUE(SUBSTITUTE(A4926,"MOV-","")),"000"))</f>
        <v/>
      </c>
    </row>
    <row r="4927" spans="18:20">
      <c r="R4927" s="22" t="str">
        <f>IF(H4927="","",H4927&amp;I4927)</f>
        <v/>
      </c>
      <c r="S4927" s="22" t="str">
        <f>IF(C4927="","",C4927&amp;I4927)</f>
        <v/>
      </c>
      <c r="T4927" t="str">
        <f>IF(OR(C4927="",I4927&lt;&gt;"ENTRADA"),"",TEXT(B4927,"AAMMDD")&amp;"-"&amp;TEXT(VALUE(SUBSTITUTE(A4927,"MOV-","")),"000"))</f>
        <v/>
      </c>
    </row>
    <row r="4928" spans="18:20">
      <c r="R4928" s="22" t="str">
        <f>IF(H4928="","",H4928&amp;I4928)</f>
        <v/>
      </c>
      <c r="S4928" s="22" t="str">
        <f>IF(C4928="","",C4928&amp;I4928)</f>
        <v/>
      </c>
      <c r="T4928" t="str">
        <f>IF(OR(C4928="",I4928&lt;&gt;"ENTRADA"),"",TEXT(B4928,"AAMMDD")&amp;"-"&amp;TEXT(VALUE(SUBSTITUTE(A4928,"MOV-","")),"000"))</f>
        <v/>
      </c>
    </row>
    <row r="4929" spans="18:20">
      <c r="R4929" s="22" t="str">
        <f>IF(H4929="","",H4929&amp;I4929)</f>
        <v/>
      </c>
      <c r="S4929" s="22" t="str">
        <f>IF(C4929="","",C4929&amp;I4929)</f>
        <v/>
      </c>
      <c r="T4929" t="str">
        <f>IF(OR(C4929="",I4929&lt;&gt;"ENTRADA"),"",TEXT(B4929,"AAMMDD")&amp;"-"&amp;TEXT(VALUE(SUBSTITUTE(A4929,"MOV-","")),"000"))</f>
        <v/>
      </c>
    </row>
    <row r="4930" spans="18:20">
      <c r="R4930" s="22" t="str">
        <f>IF(H4930="","",H4930&amp;I4930)</f>
        <v/>
      </c>
      <c r="S4930" s="22" t="str">
        <f>IF(C4930="","",C4930&amp;I4930)</f>
        <v/>
      </c>
      <c r="T4930" t="str">
        <f>IF(OR(C4930="",I4930&lt;&gt;"ENTRADA"),"",TEXT(B4930,"AAMMDD")&amp;"-"&amp;TEXT(VALUE(SUBSTITUTE(A4930,"MOV-","")),"000"))</f>
        <v/>
      </c>
    </row>
    <row r="4931" spans="18:20">
      <c r="R4931" s="22" t="str">
        <f>IF(H4931="","",H4931&amp;I4931)</f>
        <v/>
      </c>
      <c r="S4931" s="22" t="str">
        <f>IF(C4931="","",C4931&amp;I4931)</f>
        <v/>
      </c>
      <c r="T4931" t="str">
        <f>IF(OR(C4931="",I4931&lt;&gt;"ENTRADA"),"",TEXT(B4931,"AAMMDD")&amp;"-"&amp;TEXT(VALUE(SUBSTITUTE(A4931,"MOV-","")),"000"))</f>
        <v/>
      </c>
    </row>
    <row r="4932" spans="18:20">
      <c r="R4932" s="22" t="str">
        <f>IF(H4932="","",H4932&amp;I4932)</f>
        <v/>
      </c>
      <c r="S4932" s="22" t="str">
        <f>IF(C4932="","",C4932&amp;I4932)</f>
        <v/>
      </c>
      <c r="T4932" t="str">
        <f>IF(OR(C4932="",I4932&lt;&gt;"ENTRADA"),"",TEXT(B4932,"AAMMDD")&amp;"-"&amp;TEXT(VALUE(SUBSTITUTE(A4932,"MOV-","")),"000"))</f>
        <v/>
      </c>
    </row>
    <row r="4933" spans="18:20">
      <c r="R4933" s="22" t="str">
        <f>IF(H4933="","",H4933&amp;I4933)</f>
        <v/>
      </c>
      <c r="S4933" s="22" t="str">
        <f>IF(C4933="","",C4933&amp;I4933)</f>
        <v/>
      </c>
      <c r="T4933" t="str">
        <f>IF(OR(C4933="",I4933&lt;&gt;"ENTRADA"),"",TEXT(B4933,"AAMMDD")&amp;"-"&amp;TEXT(VALUE(SUBSTITUTE(A4933,"MOV-","")),"000"))</f>
        <v/>
      </c>
    </row>
    <row r="4934" spans="18:20">
      <c r="R4934" s="22" t="str">
        <f>IF(H4934="","",H4934&amp;I4934)</f>
        <v/>
      </c>
      <c r="S4934" s="22" t="str">
        <f>IF(C4934="","",C4934&amp;I4934)</f>
        <v/>
      </c>
      <c r="T4934" t="str">
        <f>IF(OR(C4934="",I4934&lt;&gt;"ENTRADA"),"",TEXT(B4934,"AAMMDD")&amp;"-"&amp;TEXT(VALUE(SUBSTITUTE(A4934,"MOV-","")),"000"))</f>
        <v/>
      </c>
    </row>
    <row r="4935" spans="18:20">
      <c r="R4935" s="22" t="str">
        <f>IF(H4935="","",H4935&amp;I4935)</f>
        <v/>
      </c>
      <c r="S4935" s="22" t="str">
        <f>IF(C4935="","",C4935&amp;I4935)</f>
        <v/>
      </c>
      <c r="T4935" t="str">
        <f>IF(OR(C4935="",I4935&lt;&gt;"ENTRADA"),"",TEXT(B4935,"AAMMDD")&amp;"-"&amp;TEXT(VALUE(SUBSTITUTE(A4935,"MOV-","")),"000"))</f>
        <v/>
      </c>
    </row>
    <row r="4936" spans="18:20">
      <c r="R4936" s="22" t="str">
        <f>IF(H4936="","",H4936&amp;I4936)</f>
        <v/>
      </c>
      <c r="S4936" s="22" t="str">
        <f>IF(C4936="","",C4936&amp;I4936)</f>
        <v/>
      </c>
      <c r="T4936" t="str">
        <f>IF(OR(C4936="",I4936&lt;&gt;"ENTRADA"),"",TEXT(B4936,"AAMMDD")&amp;"-"&amp;TEXT(VALUE(SUBSTITUTE(A4936,"MOV-","")),"000"))</f>
        <v/>
      </c>
    </row>
    <row r="4937" spans="18:20">
      <c r="R4937" s="22" t="str">
        <f>IF(H4937="","",H4937&amp;I4937)</f>
        <v/>
      </c>
      <c r="S4937" s="22" t="str">
        <f>IF(C4937="","",C4937&amp;I4937)</f>
        <v/>
      </c>
      <c r="T4937" t="str">
        <f>IF(OR(C4937="",I4937&lt;&gt;"ENTRADA"),"",TEXT(B4937,"AAMMDD")&amp;"-"&amp;TEXT(VALUE(SUBSTITUTE(A4937,"MOV-","")),"000"))</f>
        <v/>
      </c>
    </row>
    <row r="4938" spans="18:20">
      <c r="R4938" s="22" t="str">
        <f>IF(H4938="","",H4938&amp;I4938)</f>
        <v/>
      </c>
      <c r="S4938" s="22" t="str">
        <f>IF(C4938="","",C4938&amp;I4938)</f>
        <v/>
      </c>
      <c r="T4938" t="str">
        <f>IF(OR(C4938="",I4938&lt;&gt;"ENTRADA"),"",TEXT(B4938,"AAMMDD")&amp;"-"&amp;TEXT(VALUE(SUBSTITUTE(A4938,"MOV-","")),"000"))</f>
        <v/>
      </c>
    </row>
    <row r="4939" spans="18:20">
      <c r="R4939" s="22" t="str">
        <f>IF(H4939="","",H4939&amp;I4939)</f>
        <v/>
      </c>
      <c r="S4939" s="22" t="str">
        <f>IF(C4939="","",C4939&amp;I4939)</f>
        <v/>
      </c>
      <c r="T4939" t="str">
        <f>IF(OR(C4939="",I4939&lt;&gt;"ENTRADA"),"",TEXT(B4939,"AAMMDD")&amp;"-"&amp;TEXT(VALUE(SUBSTITUTE(A4939,"MOV-","")),"000"))</f>
        <v/>
      </c>
    </row>
    <row r="4940" spans="18:20">
      <c r="R4940" s="22" t="str">
        <f>IF(H4940="","",H4940&amp;I4940)</f>
        <v/>
      </c>
      <c r="S4940" s="22" t="str">
        <f>IF(C4940="","",C4940&amp;I4940)</f>
        <v/>
      </c>
      <c r="T4940" t="str">
        <f>IF(OR(C4940="",I4940&lt;&gt;"ENTRADA"),"",TEXT(B4940,"AAMMDD")&amp;"-"&amp;TEXT(VALUE(SUBSTITUTE(A4940,"MOV-","")),"000"))</f>
        <v/>
      </c>
    </row>
    <row r="4941" spans="18:20">
      <c r="R4941" s="22" t="str">
        <f>IF(H4941="","",H4941&amp;I4941)</f>
        <v/>
      </c>
      <c r="S4941" s="22" t="str">
        <f>IF(C4941="","",C4941&amp;I4941)</f>
        <v/>
      </c>
      <c r="T4941" t="str">
        <f>IF(OR(C4941="",I4941&lt;&gt;"ENTRADA"),"",TEXT(B4941,"AAMMDD")&amp;"-"&amp;TEXT(VALUE(SUBSTITUTE(A4941,"MOV-","")),"000"))</f>
        <v/>
      </c>
    </row>
    <row r="4942" spans="18:20">
      <c r="R4942" s="22" t="str">
        <f>IF(H4942="","",H4942&amp;I4942)</f>
        <v/>
      </c>
      <c r="S4942" s="22" t="str">
        <f>IF(C4942="","",C4942&amp;I4942)</f>
        <v/>
      </c>
      <c r="T4942" t="str">
        <f>IF(OR(C4942="",I4942&lt;&gt;"ENTRADA"),"",TEXT(B4942,"AAMMDD")&amp;"-"&amp;TEXT(VALUE(SUBSTITUTE(A4942,"MOV-","")),"000"))</f>
        <v/>
      </c>
    </row>
    <row r="4943" spans="18:20">
      <c r="R4943" s="22" t="str">
        <f>IF(H4943="","",H4943&amp;I4943)</f>
        <v/>
      </c>
      <c r="S4943" s="22" t="str">
        <f>IF(C4943="","",C4943&amp;I4943)</f>
        <v/>
      </c>
      <c r="T4943" t="str">
        <f>IF(OR(C4943="",I4943&lt;&gt;"ENTRADA"),"",TEXT(B4943,"AAMMDD")&amp;"-"&amp;TEXT(VALUE(SUBSTITUTE(A4943,"MOV-","")),"000"))</f>
        <v/>
      </c>
    </row>
    <row r="4944" spans="18:20">
      <c r="R4944" s="22" t="str">
        <f>IF(H4944="","",H4944&amp;I4944)</f>
        <v/>
      </c>
      <c r="S4944" s="22" t="str">
        <f>IF(C4944="","",C4944&amp;I4944)</f>
        <v/>
      </c>
      <c r="T4944" t="str">
        <f>IF(OR(C4944="",I4944&lt;&gt;"ENTRADA"),"",TEXT(B4944,"AAMMDD")&amp;"-"&amp;TEXT(VALUE(SUBSTITUTE(A4944,"MOV-","")),"000"))</f>
        <v/>
      </c>
    </row>
    <row r="4945" spans="18:20">
      <c r="R4945" s="22" t="str">
        <f>IF(H4945="","",H4945&amp;I4945)</f>
        <v/>
      </c>
      <c r="S4945" s="22" t="str">
        <f>IF(C4945="","",C4945&amp;I4945)</f>
        <v/>
      </c>
      <c r="T4945" t="str">
        <f>IF(OR(C4945="",I4945&lt;&gt;"ENTRADA"),"",TEXT(B4945,"AAMMDD")&amp;"-"&amp;TEXT(VALUE(SUBSTITUTE(A4945,"MOV-","")),"000"))</f>
        <v/>
      </c>
    </row>
    <row r="4946" spans="18:20">
      <c r="R4946" s="22" t="str">
        <f>IF(H4946="","",H4946&amp;I4946)</f>
        <v/>
      </c>
      <c r="S4946" s="22" t="str">
        <f>IF(C4946="","",C4946&amp;I4946)</f>
        <v/>
      </c>
      <c r="T4946" t="str">
        <f>IF(OR(C4946="",I4946&lt;&gt;"ENTRADA"),"",TEXT(B4946,"AAMMDD")&amp;"-"&amp;TEXT(VALUE(SUBSTITUTE(A4946,"MOV-","")),"000"))</f>
        <v/>
      </c>
    </row>
    <row r="4947" spans="18:20">
      <c r="R4947" s="22" t="str">
        <f>IF(H4947="","",H4947&amp;I4947)</f>
        <v/>
      </c>
      <c r="S4947" s="22" t="str">
        <f>IF(C4947="","",C4947&amp;I4947)</f>
        <v/>
      </c>
      <c r="T4947" t="str">
        <f>IF(OR(C4947="",I4947&lt;&gt;"ENTRADA"),"",TEXT(B4947,"AAMMDD")&amp;"-"&amp;TEXT(VALUE(SUBSTITUTE(A4947,"MOV-","")),"000"))</f>
        <v/>
      </c>
    </row>
    <row r="4948" spans="18:20">
      <c r="R4948" s="22" t="str">
        <f>IF(H4948="","",H4948&amp;I4948)</f>
        <v/>
      </c>
      <c r="S4948" s="22" t="str">
        <f>IF(C4948="","",C4948&amp;I4948)</f>
        <v/>
      </c>
      <c r="T4948" t="str">
        <f>IF(OR(C4948="",I4948&lt;&gt;"ENTRADA"),"",TEXT(B4948,"AAMMDD")&amp;"-"&amp;TEXT(VALUE(SUBSTITUTE(A4948,"MOV-","")),"000"))</f>
        <v/>
      </c>
    </row>
    <row r="4949" spans="18:20">
      <c r="R4949" s="22" t="str">
        <f>IF(H4949="","",H4949&amp;I4949)</f>
        <v/>
      </c>
      <c r="S4949" s="22" t="str">
        <f>IF(C4949="","",C4949&amp;I4949)</f>
        <v/>
      </c>
      <c r="T4949" t="str">
        <f>IF(OR(C4949="",I4949&lt;&gt;"ENTRADA"),"",TEXT(B4949,"AAMMDD")&amp;"-"&amp;TEXT(VALUE(SUBSTITUTE(A4949,"MOV-","")),"000"))</f>
        <v/>
      </c>
    </row>
    <row r="4950" spans="18:20">
      <c r="R4950" s="22" t="str">
        <f>IF(H4950="","",H4950&amp;I4950)</f>
        <v/>
      </c>
      <c r="S4950" s="22" t="str">
        <f>IF(C4950="","",C4950&amp;I4950)</f>
        <v/>
      </c>
      <c r="T4950" t="str">
        <f>IF(OR(C4950="",I4950&lt;&gt;"ENTRADA"),"",TEXT(B4950,"AAMMDD")&amp;"-"&amp;TEXT(VALUE(SUBSTITUTE(A4950,"MOV-","")),"000"))</f>
        <v/>
      </c>
    </row>
    <row r="4951" spans="18:20">
      <c r="R4951" s="22" t="str">
        <f>IF(H4951="","",H4951&amp;I4951)</f>
        <v/>
      </c>
      <c r="S4951" s="22" t="str">
        <f>IF(C4951="","",C4951&amp;I4951)</f>
        <v/>
      </c>
      <c r="T4951" t="str">
        <f>IF(OR(C4951="",I4951&lt;&gt;"ENTRADA"),"",TEXT(B4951,"AAMMDD")&amp;"-"&amp;TEXT(VALUE(SUBSTITUTE(A4951,"MOV-","")),"000"))</f>
        <v/>
      </c>
    </row>
    <row r="4952" spans="18:20">
      <c r="R4952" s="22" t="str">
        <f>IF(H4952="","",H4952&amp;I4952)</f>
        <v/>
      </c>
      <c r="S4952" s="22" t="str">
        <f>IF(C4952="","",C4952&amp;I4952)</f>
        <v/>
      </c>
      <c r="T4952" t="str">
        <f>IF(OR(C4952="",I4952&lt;&gt;"ENTRADA"),"",TEXT(B4952,"AAMMDD")&amp;"-"&amp;TEXT(VALUE(SUBSTITUTE(A4952,"MOV-","")),"000"))</f>
        <v/>
      </c>
    </row>
    <row r="4953" spans="18:20">
      <c r="R4953" s="22" t="str">
        <f>IF(H4953="","",H4953&amp;I4953)</f>
        <v/>
      </c>
      <c r="S4953" s="22" t="str">
        <f>IF(C4953="","",C4953&amp;I4953)</f>
        <v/>
      </c>
      <c r="T4953" t="str">
        <f>IF(OR(C4953="",I4953&lt;&gt;"ENTRADA"),"",TEXT(B4953,"AAMMDD")&amp;"-"&amp;TEXT(VALUE(SUBSTITUTE(A4953,"MOV-","")),"000"))</f>
        <v/>
      </c>
    </row>
    <row r="4954" spans="18:20">
      <c r="R4954" s="22" t="str">
        <f>IF(H4954="","",H4954&amp;I4954)</f>
        <v/>
      </c>
      <c r="S4954" s="22" t="str">
        <f>IF(C4954="","",C4954&amp;I4954)</f>
        <v/>
      </c>
      <c r="T4954" t="str">
        <f>IF(OR(C4954="",I4954&lt;&gt;"ENTRADA"),"",TEXT(B4954,"AAMMDD")&amp;"-"&amp;TEXT(VALUE(SUBSTITUTE(A4954,"MOV-","")),"000"))</f>
        <v/>
      </c>
    </row>
    <row r="4955" spans="18:20">
      <c r="R4955" s="22" t="str">
        <f>IF(H4955="","",H4955&amp;I4955)</f>
        <v/>
      </c>
      <c r="S4955" s="22" t="str">
        <f>IF(C4955="","",C4955&amp;I4955)</f>
        <v/>
      </c>
      <c r="T4955" t="str">
        <f>IF(OR(C4955="",I4955&lt;&gt;"ENTRADA"),"",TEXT(B4955,"AAMMDD")&amp;"-"&amp;TEXT(VALUE(SUBSTITUTE(A4955,"MOV-","")),"000"))</f>
        <v/>
      </c>
    </row>
    <row r="4956" spans="18:20">
      <c r="R4956" s="22" t="str">
        <f>IF(H4956="","",H4956&amp;I4956)</f>
        <v/>
      </c>
      <c r="S4956" s="22" t="str">
        <f>IF(C4956="","",C4956&amp;I4956)</f>
        <v/>
      </c>
      <c r="T4956" t="str">
        <f>IF(OR(C4956="",I4956&lt;&gt;"ENTRADA"),"",TEXT(B4956,"AAMMDD")&amp;"-"&amp;TEXT(VALUE(SUBSTITUTE(A4956,"MOV-","")),"000"))</f>
        <v/>
      </c>
    </row>
    <row r="4957" spans="18:20">
      <c r="R4957" s="22" t="str">
        <f>IF(H4957="","",H4957&amp;I4957)</f>
        <v/>
      </c>
      <c r="S4957" s="22" t="str">
        <f>IF(C4957="","",C4957&amp;I4957)</f>
        <v/>
      </c>
      <c r="T4957" t="str">
        <f>IF(OR(C4957="",I4957&lt;&gt;"ENTRADA"),"",TEXT(B4957,"AAMMDD")&amp;"-"&amp;TEXT(VALUE(SUBSTITUTE(A4957,"MOV-","")),"000"))</f>
        <v/>
      </c>
    </row>
    <row r="4958" spans="18:20">
      <c r="R4958" s="22" t="str">
        <f>IF(H4958="","",H4958&amp;I4958)</f>
        <v/>
      </c>
      <c r="S4958" s="22" t="str">
        <f>IF(C4958="","",C4958&amp;I4958)</f>
        <v/>
      </c>
      <c r="T4958" t="str">
        <f>IF(OR(C4958="",I4958&lt;&gt;"ENTRADA"),"",TEXT(B4958,"AAMMDD")&amp;"-"&amp;TEXT(VALUE(SUBSTITUTE(A4958,"MOV-","")),"000"))</f>
        <v/>
      </c>
    </row>
    <row r="4959" spans="18:20">
      <c r="R4959" s="22" t="str">
        <f>IF(H4959="","",H4959&amp;I4959)</f>
        <v/>
      </c>
      <c r="S4959" s="22" t="str">
        <f>IF(C4959="","",C4959&amp;I4959)</f>
        <v/>
      </c>
      <c r="T4959" t="str">
        <f>IF(OR(C4959="",I4959&lt;&gt;"ENTRADA"),"",TEXT(B4959,"AAMMDD")&amp;"-"&amp;TEXT(VALUE(SUBSTITUTE(A4959,"MOV-","")),"000"))</f>
        <v/>
      </c>
    </row>
    <row r="4960" spans="18:20">
      <c r="R4960" s="22" t="str">
        <f>IF(H4960="","",H4960&amp;I4960)</f>
        <v/>
      </c>
      <c r="S4960" s="22" t="str">
        <f>IF(C4960="","",C4960&amp;I4960)</f>
        <v/>
      </c>
      <c r="T4960" t="str">
        <f>IF(OR(C4960="",I4960&lt;&gt;"ENTRADA"),"",TEXT(B4960,"AAMMDD")&amp;"-"&amp;TEXT(VALUE(SUBSTITUTE(A4960,"MOV-","")),"000"))</f>
        <v/>
      </c>
    </row>
    <row r="4961" spans="18:20">
      <c r="R4961" s="22" t="str">
        <f>IF(H4961="","",H4961&amp;I4961)</f>
        <v/>
      </c>
      <c r="S4961" s="22" t="str">
        <f>IF(C4961="","",C4961&amp;I4961)</f>
        <v/>
      </c>
      <c r="T4961" t="str">
        <f>IF(OR(C4961="",I4961&lt;&gt;"ENTRADA"),"",TEXT(B4961,"AAMMDD")&amp;"-"&amp;TEXT(VALUE(SUBSTITUTE(A4961,"MOV-","")),"000"))</f>
        <v/>
      </c>
    </row>
    <row r="4962" spans="18:20">
      <c r="R4962" s="22" t="str">
        <f>IF(H4962="","",H4962&amp;I4962)</f>
        <v/>
      </c>
      <c r="S4962" s="22" t="str">
        <f>IF(C4962="","",C4962&amp;I4962)</f>
        <v/>
      </c>
      <c r="T4962" t="str">
        <f>IF(OR(C4962="",I4962&lt;&gt;"ENTRADA"),"",TEXT(B4962,"AAMMDD")&amp;"-"&amp;TEXT(VALUE(SUBSTITUTE(A4962,"MOV-","")),"000"))</f>
        <v/>
      </c>
    </row>
    <row r="4963" spans="18:20">
      <c r="R4963" s="22" t="str">
        <f>IF(H4963="","",H4963&amp;I4963)</f>
        <v/>
      </c>
      <c r="S4963" s="22" t="str">
        <f>IF(C4963="","",C4963&amp;I4963)</f>
        <v/>
      </c>
      <c r="T4963" t="str">
        <f>IF(OR(C4963="",I4963&lt;&gt;"ENTRADA"),"",TEXT(B4963,"AAMMDD")&amp;"-"&amp;TEXT(VALUE(SUBSTITUTE(A4963,"MOV-","")),"000"))</f>
        <v/>
      </c>
    </row>
    <row r="4964" spans="18:20">
      <c r="R4964" s="22" t="str">
        <f>IF(H4964="","",H4964&amp;I4964)</f>
        <v/>
      </c>
      <c r="S4964" s="22" t="str">
        <f>IF(C4964="","",C4964&amp;I4964)</f>
        <v/>
      </c>
      <c r="T4964" t="str">
        <f>IF(OR(C4964="",I4964&lt;&gt;"ENTRADA"),"",TEXT(B4964,"AAMMDD")&amp;"-"&amp;TEXT(VALUE(SUBSTITUTE(A4964,"MOV-","")),"000"))</f>
        <v/>
      </c>
    </row>
    <row r="4965" spans="18:20">
      <c r="R4965" s="22" t="str">
        <f>IF(H4965="","",H4965&amp;I4965)</f>
        <v/>
      </c>
      <c r="S4965" s="22" t="str">
        <f>IF(C4965="","",C4965&amp;I4965)</f>
        <v/>
      </c>
      <c r="T4965" t="str">
        <f>IF(OR(C4965="",I4965&lt;&gt;"ENTRADA"),"",TEXT(B4965,"AAMMDD")&amp;"-"&amp;TEXT(VALUE(SUBSTITUTE(A4965,"MOV-","")),"000"))</f>
        <v/>
      </c>
    </row>
    <row r="4966" spans="18:20">
      <c r="R4966" s="22" t="str">
        <f>IF(H4966="","",H4966&amp;I4966)</f>
        <v/>
      </c>
      <c r="S4966" s="22" t="str">
        <f>IF(C4966="","",C4966&amp;I4966)</f>
        <v/>
      </c>
      <c r="T4966" t="str">
        <f>IF(OR(C4966="",I4966&lt;&gt;"ENTRADA"),"",TEXT(B4966,"AAMMDD")&amp;"-"&amp;TEXT(VALUE(SUBSTITUTE(A4966,"MOV-","")),"000"))</f>
        <v/>
      </c>
    </row>
    <row r="4967" spans="18:20">
      <c r="R4967" s="22" t="str">
        <f>IF(H4967="","",H4967&amp;I4967)</f>
        <v/>
      </c>
      <c r="S4967" s="22" t="str">
        <f>IF(C4967="","",C4967&amp;I4967)</f>
        <v/>
      </c>
      <c r="T4967" t="str">
        <f>IF(OR(C4967="",I4967&lt;&gt;"ENTRADA"),"",TEXT(B4967,"AAMMDD")&amp;"-"&amp;TEXT(VALUE(SUBSTITUTE(A4967,"MOV-","")),"000"))</f>
        <v/>
      </c>
    </row>
    <row r="4968" spans="18:20">
      <c r="R4968" s="22" t="str">
        <f>IF(H4968="","",H4968&amp;I4968)</f>
        <v/>
      </c>
      <c r="S4968" s="22" t="str">
        <f>IF(C4968="","",C4968&amp;I4968)</f>
        <v/>
      </c>
      <c r="T4968" t="str">
        <f>IF(OR(C4968="",I4968&lt;&gt;"ENTRADA"),"",TEXT(B4968,"AAMMDD")&amp;"-"&amp;TEXT(VALUE(SUBSTITUTE(A4968,"MOV-","")),"000"))</f>
        <v/>
      </c>
    </row>
    <row r="4969" spans="18:20">
      <c r="R4969" s="22" t="str">
        <f>IF(H4969="","",H4969&amp;I4969)</f>
        <v/>
      </c>
      <c r="S4969" s="22" t="str">
        <f>IF(C4969="","",C4969&amp;I4969)</f>
        <v/>
      </c>
      <c r="T4969" t="str">
        <f>IF(OR(C4969="",I4969&lt;&gt;"ENTRADA"),"",TEXT(B4969,"AAMMDD")&amp;"-"&amp;TEXT(VALUE(SUBSTITUTE(A4969,"MOV-","")),"000"))</f>
        <v/>
      </c>
    </row>
    <row r="4970" spans="18:20">
      <c r="R4970" s="22" t="str">
        <f>IF(H4970="","",H4970&amp;I4970)</f>
        <v/>
      </c>
      <c r="S4970" s="22" t="str">
        <f>IF(C4970="","",C4970&amp;I4970)</f>
        <v/>
      </c>
      <c r="T4970" t="str">
        <f>IF(OR(C4970="",I4970&lt;&gt;"ENTRADA"),"",TEXT(B4970,"AAMMDD")&amp;"-"&amp;TEXT(VALUE(SUBSTITUTE(A4970,"MOV-","")),"000"))</f>
        <v/>
      </c>
    </row>
    <row r="4971" spans="18:20">
      <c r="R4971" s="22" t="str">
        <f>IF(H4971="","",H4971&amp;I4971)</f>
        <v/>
      </c>
      <c r="S4971" s="22" t="str">
        <f>IF(C4971="","",C4971&amp;I4971)</f>
        <v/>
      </c>
      <c r="T4971" t="str">
        <f>IF(OR(C4971="",I4971&lt;&gt;"ENTRADA"),"",TEXT(B4971,"AAMMDD")&amp;"-"&amp;TEXT(VALUE(SUBSTITUTE(A4971,"MOV-","")),"000"))</f>
        <v/>
      </c>
    </row>
    <row r="4972" spans="18:20">
      <c r="R4972" s="22" t="str">
        <f>IF(H4972="","",H4972&amp;I4972)</f>
        <v/>
      </c>
      <c r="S4972" s="22" t="str">
        <f>IF(C4972="","",C4972&amp;I4972)</f>
        <v/>
      </c>
      <c r="T4972" t="str">
        <f>IF(OR(C4972="",I4972&lt;&gt;"ENTRADA"),"",TEXT(B4972,"AAMMDD")&amp;"-"&amp;TEXT(VALUE(SUBSTITUTE(A4972,"MOV-","")),"000"))</f>
        <v/>
      </c>
    </row>
    <row r="4973" spans="18:20">
      <c r="R4973" s="22" t="str">
        <f>IF(H4973="","",H4973&amp;I4973)</f>
        <v/>
      </c>
      <c r="S4973" s="22" t="str">
        <f>IF(C4973="","",C4973&amp;I4973)</f>
        <v/>
      </c>
      <c r="T4973" t="str">
        <f>IF(OR(C4973="",I4973&lt;&gt;"ENTRADA"),"",TEXT(B4973,"AAMMDD")&amp;"-"&amp;TEXT(VALUE(SUBSTITUTE(A4973,"MOV-","")),"000"))</f>
        <v/>
      </c>
    </row>
    <row r="4974" spans="18:20">
      <c r="R4974" s="22" t="str">
        <f>IF(H4974="","",H4974&amp;I4974)</f>
        <v/>
      </c>
      <c r="S4974" s="22" t="str">
        <f>IF(C4974="","",C4974&amp;I4974)</f>
        <v/>
      </c>
      <c r="T4974" t="str">
        <f>IF(OR(C4974="",I4974&lt;&gt;"ENTRADA"),"",TEXT(B4974,"AAMMDD")&amp;"-"&amp;TEXT(VALUE(SUBSTITUTE(A4974,"MOV-","")),"000"))</f>
        <v/>
      </c>
    </row>
    <row r="4975" spans="18:20">
      <c r="R4975" s="22" t="str">
        <f>IF(H4975="","",H4975&amp;I4975)</f>
        <v/>
      </c>
      <c r="S4975" s="22" t="str">
        <f>IF(C4975="","",C4975&amp;I4975)</f>
        <v/>
      </c>
      <c r="T4975" t="str">
        <f>IF(OR(C4975="",I4975&lt;&gt;"ENTRADA"),"",TEXT(B4975,"AAMMDD")&amp;"-"&amp;TEXT(VALUE(SUBSTITUTE(A4975,"MOV-","")),"000"))</f>
        <v/>
      </c>
    </row>
    <row r="4976" spans="18:20">
      <c r="R4976" s="22" t="str">
        <f>IF(H4976="","",H4976&amp;I4976)</f>
        <v/>
      </c>
      <c r="S4976" s="22" t="str">
        <f>IF(C4976="","",C4976&amp;I4976)</f>
        <v/>
      </c>
      <c r="T4976" t="str">
        <f>IF(OR(C4976="",I4976&lt;&gt;"ENTRADA"),"",TEXT(B4976,"AAMMDD")&amp;"-"&amp;TEXT(VALUE(SUBSTITUTE(A4976,"MOV-","")),"000"))</f>
        <v/>
      </c>
    </row>
    <row r="4977" spans="18:20">
      <c r="R4977" s="22" t="str">
        <f>IF(H4977="","",H4977&amp;I4977)</f>
        <v/>
      </c>
      <c r="S4977" s="22" t="str">
        <f>IF(C4977="","",C4977&amp;I4977)</f>
        <v/>
      </c>
      <c r="T4977" t="str">
        <f>IF(OR(C4977="",I4977&lt;&gt;"ENTRADA"),"",TEXT(B4977,"AAMMDD")&amp;"-"&amp;TEXT(VALUE(SUBSTITUTE(A4977,"MOV-","")),"000"))</f>
        <v/>
      </c>
    </row>
    <row r="4978" spans="18:20">
      <c r="R4978" s="22" t="str">
        <f>IF(H4978="","",H4978&amp;I4978)</f>
        <v/>
      </c>
      <c r="S4978" s="22" t="str">
        <f>IF(C4978="","",C4978&amp;I4978)</f>
        <v/>
      </c>
      <c r="T4978" t="str">
        <f>IF(OR(C4978="",I4978&lt;&gt;"ENTRADA"),"",TEXT(B4978,"AAMMDD")&amp;"-"&amp;TEXT(VALUE(SUBSTITUTE(A4978,"MOV-","")),"000"))</f>
        <v/>
      </c>
    </row>
    <row r="4979" spans="18:20">
      <c r="R4979" s="22" t="str">
        <f>IF(H4979="","",H4979&amp;I4979)</f>
        <v/>
      </c>
      <c r="S4979" s="22" t="str">
        <f>IF(C4979="","",C4979&amp;I4979)</f>
        <v/>
      </c>
      <c r="T4979" t="str">
        <f>IF(OR(C4979="",I4979&lt;&gt;"ENTRADA"),"",TEXT(B4979,"AAMMDD")&amp;"-"&amp;TEXT(VALUE(SUBSTITUTE(A4979,"MOV-","")),"000"))</f>
        <v/>
      </c>
    </row>
    <row r="4980" spans="18:20">
      <c r="R4980" s="22" t="str">
        <f>IF(H4980="","",H4980&amp;I4980)</f>
        <v/>
      </c>
      <c r="S4980" s="22" t="str">
        <f>IF(C4980="","",C4980&amp;I4980)</f>
        <v/>
      </c>
      <c r="T4980" t="str">
        <f>IF(OR(C4980="",I4980&lt;&gt;"ENTRADA"),"",TEXT(B4980,"AAMMDD")&amp;"-"&amp;TEXT(VALUE(SUBSTITUTE(A4980,"MOV-","")),"000"))</f>
        <v/>
      </c>
    </row>
    <row r="4981" spans="18:20">
      <c r="R4981" s="22" t="str">
        <f>IF(H4981="","",H4981&amp;I4981)</f>
        <v/>
      </c>
      <c r="S4981" s="22" t="str">
        <f>IF(C4981="","",C4981&amp;I4981)</f>
        <v/>
      </c>
      <c r="T4981" t="str">
        <f>IF(OR(C4981="",I4981&lt;&gt;"ENTRADA"),"",TEXT(B4981,"AAMMDD")&amp;"-"&amp;TEXT(VALUE(SUBSTITUTE(A4981,"MOV-","")),"000"))</f>
        <v/>
      </c>
    </row>
    <row r="4982" spans="18:20">
      <c r="R4982" s="22" t="str">
        <f>IF(H4982="","",H4982&amp;I4982)</f>
        <v/>
      </c>
      <c r="S4982" s="22" t="str">
        <f>IF(C4982="","",C4982&amp;I4982)</f>
        <v/>
      </c>
      <c r="T4982" t="str">
        <f>IF(OR(C4982="",I4982&lt;&gt;"ENTRADA"),"",TEXT(B4982,"AAMMDD")&amp;"-"&amp;TEXT(VALUE(SUBSTITUTE(A4982,"MOV-","")),"000"))</f>
        <v/>
      </c>
    </row>
    <row r="4983" spans="18:20">
      <c r="R4983" s="22" t="str">
        <f>IF(H4983="","",H4983&amp;I4983)</f>
        <v/>
      </c>
      <c r="S4983" s="22" t="str">
        <f>IF(C4983="","",C4983&amp;I4983)</f>
        <v/>
      </c>
      <c r="T4983" t="str">
        <f>IF(OR(C4983="",I4983&lt;&gt;"ENTRADA"),"",TEXT(B4983,"AAMMDD")&amp;"-"&amp;TEXT(VALUE(SUBSTITUTE(A4983,"MOV-","")),"000"))</f>
        <v/>
      </c>
    </row>
    <row r="4984" spans="18:20">
      <c r="R4984" s="22" t="str">
        <f>IF(H4984="","",H4984&amp;I4984)</f>
        <v/>
      </c>
      <c r="S4984" s="22" t="str">
        <f>IF(C4984="","",C4984&amp;I4984)</f>
        <v/>
      </c>
      <c r="T4984" t="str">
        <f>IF(OR(C4984="",I4984&lt;&gt;"ENTRADA"),"",TEXT(B4984,"AAMMDD")&amp;"-"&amp;TEXT(VALUE(SUBSTITUTE(A4984,"MOV-","")),"000"))</f>
        <v/>
      </c>
    </row>
    <row r="4985" spans="18:20">
      <c r="R4985" s="22" t="str">
        <f>IF(H4985="","",H4985&amp;I4985)</f>
        <v/>
      </c>
      <c r="S4985" s="22" t="str">
        <f>IF(C4985="","",C4985&amp;I4985)</f>
        <v/>
      </c>
      <c r="T4985" t="str">
        <f>IF(OR(C4985="",I4985&lt;&gt;"ENTRADA"),"",TEXT(B4985,"AAMMDD")&amp;"-"&amp;TEXT(VALUE(SUBSTITUTE(A4985,"MOV-","")),"000"))</f>
        <v/>
      </c>
    </row>
    <row r="4986" spans="18:20">
      <c r="R4986" s="22" t="str">
        <f>IF(H4986="","",H4986&amp;I4986)</f>
        <v/>
      </c>
      <c r="S4986" s="22" t="str">
        <f>IF(C4986="","",C4986&amp;I4986)</f>
        <v/>
      </c>
      <c r="T4986" t="str">
        <f>IF(OR(C4986="",I4986&lt;&gt;"ENTRADA"),"",TEXT(B4986,"AAMMDD")&amp;"-"&amp;TEXT(VALUE(SUBSTITUTE(A4986,"MOV-","")),"000"))</f>
        <v/>
      </c>
    </row>
    <row r="4987" spans="18:20">
      <c r="R4987" s="22" t="str">
        <f>IF(H4987="","",H4987&amp;I4987)</f>
        <v/>
      </c>
      <c r="S4987" s="22" t="str">
        <f>IF(C4987="","",C4987&amp;I4987)</f>
        <v/>
      </c>
      <c r="T4987" t="str">
        <f>IF(OR(C4987="",I4987&lt;&gt;"ENTRADA"),"",TEXT(B4987,"AAMMDD")&amp;"-"&amp;TEXT(VALUE(SUBSTITUTE(A4987,"MOV-","")),"000"))</f>
        <v/>
      </c>
    </row>
    <row r="4988" spans="18:20">
      <c r="R4988" s="22" t="str">
        <f>IF(H4988="","",H4988&amp;I4988)</f>
        <v/>
      </c>
      <c r="S4988" s="22" t="str">
        <f>IF(C4988="","",C4988&amp;I4988)</f>
        <v/>
      </c>
      <c r="T4988" t="str">
        <f>IF(OR(C4988="",I4988&lt;&gt;"ENTRADA"),"",TEXT(B4988,"AAMMDD")&amp;"-"&amp;TEXT(VALUE(SUBSTITUTE(A4988,"MOV-","")),"000"))</f>
        <v/>
      </c>
    </row>
    <row r="4989" spans="18:20">
      <c r="R4989" s="22" t="str">
        <f>IF(H4989="","",H4989&amp;I4989)</f>
        <v/>
      </c>
      <c r="S4989" s="22" t="str">
        <f>IF(C4989="","",C4989&amp;I4989)</f>
        <v/>
      </c>
      <c r="T4989" t="str">
        <f>IF(OR(C4989="",I4989&lt;&gt;"ENTRADA"),"",TEXT(B4989,"AAMMDD")&amp;"-"&amp;TEXT(VALUE(SUBSTITUTE(A4989,"MOV-","")),"000"))</f>
        <v/>
      </c>
    </row>
    <row r="4990" spans="18:20">
      <c r="R4990" s="22" t="str">
        <f>IF(H4990="","",H4990&amp;I4990)</f>
        <v/>
      </c>
      <c r="S4990" s="22" t="str">
        <f>IF(C4990="","",C4990&amp;I4990)</f>
        <v/>
      </c>
      <c r="T4990" t="str">
        <f>IF(OR(C4990="",I4990&lt;&gt;"ENTRADA"),"",TEXT(B4990,"AAMMDD")&amp;"-"&amp;TEXT(VALUE(SUBSTITUTE(A4990,"MOV-","")),"000"))</f>
        <v/>
      </c>
    </row>
    <row r="4991" spans="18:20">
      <c r="R4991" s="22" t="str">
        <f>IF(H4991="","",H4991&amp;I4991)</f>
        <v/>
      </c>
      <c r="S4991" s="22" t="str">
        <f>IF(C4991="","",C4991&amp;I4991)</f>
        <v/>
      </c>
      <c r="T4991" t="str">
        <f>IF(OR(C4991="",I4991&lt;&gt;"ENTRADA"),"",TEXT(B4991,"AAMMDD")&amp;"-"&amp;TEXT(VALUE(SUBSTITUTE(A4991,"MOV-","")),"000"))</f>
        <v/>
      </c>
    </row>
    <row r="4992" spans="18:20">
      <c r="R4992" s="22" t="str">
        <f>IF(H4992="","",H4992&amp;I4992)</f>
        <v/>
      </c>
      <c r="S4992" s="22" t="str">
        <f>IF(C4992="","",C4992&amp;I4992)</f>
        <v/>
      </c>
      <c r="T4992" t="str">
        <f>IF(OR(C4992="",I4992&lt;&gt;"ENTRADA"),"",TEXT(B4992,"AAMMDD")&amp;"-"&amp;TEXT(VALUE(SUBSTITUTE(A4992,"MOV-","")),"000"))</f>
        <v/>
      </c>
    </row>
    <row r="4993" spans="18:20">
      <c r="R4993" s="22" t="str">
        <f>IF(H4993="","",H4993&amp;I4993)</f>
        <v/>
      </c>
      <c r="S4993" s="22" t="str">
        <f>IF(C4993="","",C4993&amp;I4993)</f>
        <v/>
      </c>
      <c r="T4993" t="str">
        <f>IF(OR(C4993="",I4993&lt;&gt;"ENTRADA"),"",TEXT(B4993,"AAMMDD")&amp;"-"&amp;TEXT(VALUE(SUBSTITUTE(A4993,"MOV-","")),"000"))</f>
        <v/>
      </c>
    </row>
    <row r="4994" spans="18:20">
      <c r="R4994" s="22" t="str">
        <f>IF(H4994="","",H4994&amp;I4994)</f>
        <v/>
      </c>
      <c r="S4994" s="22" t="str">
        <f>IF(C4994="","",C4994&amp;I4994)</f>
        <v/>
      </c>
      <c r="T4994" t="str">
        <f>IF(OR(C4994="",I4994&lt;&gt;"ENTRADA"),"",TEXT(B4994,"AAMMDD")&amp;"-"&amp;TEXT(VALUE(SUBSTITUTE(A4994,"MOV-","")),"000"))</f>
        <v/>
      </c>
    </row>
    <row r="4995" spans="18:20">
      <c r="R4995" s="22" t="str">
        <f>IF(H4995="","",H4995&amp;I4995)</f>
        <v/>
      </c>
      <c r="S4995" s="22" t="str">
        <f>IF(C4995="","",C4995&amp;I4995)</f>
        <v/>
      </c>
      <c r="T4995" t="str">
        <f>IF(OR(C4995="",I4995&lt;&gt;"ENTRADA"),"",TEXT(B4995,"AAMMDD")&amp;"-"&amp;TEXT(VALUE(SUBSTITUTE(A4995,"MOV-","")),"000"))</f>
        <v/>
      </c>
    </row>
    <row r="4996" spans="18:20">
      <c r="R4996" s="22" t="str">
        <f>IF(H4996="","",H4996&amp;I4996)</f>
        <v/>
      </c>
      <c r="S4996" s="22" t="str">
        <f>IF(C4996="","",C4996&amp;I4996)</f>
        <v/>
      </c>
      <c r="T4996" t="str">
        <f>IF(OR(C4996="",I4996&lt;&gt;"ENTRADA"),"",TEXT(B4996,"AAMMDD")&amp;"-"&amp;TEXT(VALUE(SUBSTITUTE(A4996,"MOV-","")),"000"))</f>
        <v/>
      </c>
    </row>
    <row r="4997" spans="18:20">
      <c r="R4997" s="22" t="str">
        <f>IF(H4997="","",H4997&amp;I4997)</f>
        <v/>
      </c>
      <c r="S4997" s="22" t="str">
        <f>IF(C4997="","",C4997&amp;I4997)</f>
        <v/>
      </c>
      <c r="T4997" t="str">
        <f>IF(OR(C4997="",I4997&lt;&gt;"ENTRADA"),"",TEXT(B4997,"AAMMDD")&amp;"-"&amp;TEXT(VALUE(SUBSTITUTE(A4997,"MOV-","")),"000"))</f>
        <v/>
      </c>
    </row>
    <row r="4998" spans="18:20">
      <c r="R4998" s="22" t="str">
        <f>IF(H4998="","",H4998&amp;I4998)</f>
        <v/>
      </c>
      <c r="S4998" s="22" t="str">
        <f>IF(C4998="","",C4998&amp;I4998)</f>
        <v/>
      </c>
      <c r="T4998" t="str">
        <f>IF(OR(C4998="",I4998&lt;&gt;"ENTRADA"),"",TEXT(B4998,"AAMMDD")&amp;"-"&amp;TEXT(VALUE(SUBSTITUTE(A4998,"MOV-","")),"000"))</f>
        <v/>
      </c>
    </row>
    <row r="4999" spans="18:20">
      <c r="R4999" s="22" t="str">
        <f>IF(H4999="","",H4999&amp;I4999)</f>
        <v/>
      </c>
      <c r="S4999" s="22" t="str">
        <f>IF(C4999="","",C4999&amp;I4999)</f>
        <v/>
      </c>
      <c r="T4999" t="str">
        <f>IF(OR(C4999="",I4999&lt;&gt;"ENTRADA"),"",TEXT(B4999,"AAMMDD")&amp;"-"&amp;TEXT(VALUE(SUBSTITUTE(A4999,"MOV-","")),"000"))</f>
        <v/>
      </c>
    </row>
    <row r="5000" spans="18:20">
      <c r="R5000" s="22" t="str">
        <f>IF(H5000="","",H5000&amp;I5000)</f>
        <v/>
      </c>
      <c r="S5000" s="22" t="str">
        <f>IF(C5000="","",C5000&amp;I5000)</f>
        <v/>
      </c>
      <c r="T5000" t="str">
        <f>IF(OR(C5000="",I5000&lt;&gt;"ENTRADA"),"",TEXT(B5000,"AAMMDD")&amp;"-"&amp;TEXT(VALUE(SUBSTITUTE(A5000,"MOV-","")),"000"))</f>
        <v/>
      </c>
    </row>
    <row r="5001" spans="18:20">
      <c r="R5001" s="22" t="str">
        <f>IF(H5001="","",H5001&amp;I5001)</f>
        <v/>
      </c>
      <c r="S5001" s="22" t="str">
        <f>IF(C5001="","",C5001&amp;I5001)</f>
        <v/>
      </c>
      <c r="T5001" t="str">
        <f>IF(OR(C5001="",I5001&lt;&gt;"ENTRADA"),"",TEXT(B5001,"AAMMDD")&amp;"-"&amp;TEXT(VALUE(SUBSTITUTE(A5001,"MOV-","")),"000"))</f>
        <v/>
      </c>
    </row>
    <row r="5002" spans="18:20">
      <c r="R5002" s="22" t="str">
        <f>IF(H5002="","",H5002&amp;I5002)</f>
        <v/>
      </c>
      <c r="S5002" s="22" t="str">
        <f>IF(C5002="","",C5002&amp;I5002)</f>
        <v/>
      </c>
      <c r="T5002" t="str">
        <f>IF(OR(C5002="",I5002&lt;&gt;"ENTRADA"),"",TEXT(B5002,"AAMMDD")&amp;"-"&amp;TEXT(VALUE(SUBSTITUTE(A5002,"MOV-","")),"000"))</f>
        <v/>
      </c>
    </row>
    <row r="5003" spans="18:20">
      <c r="R5003" s="22" t="str">
        <f>IF(H5003="","",H5003&amp;I5003)</f>
        <v/>
      </c>
      <c r="S5003" s="22" t="str">
        <f>IF(C5003="","",C5003&amp;I5003)</f>
        <v/>
      </c>
      <c r="T5003" t="str">
        <f>IF(OR(C5003="",I5003&lt;&gt;"ENTRADA"),"",TEXT(B5003,"AAMMDD")&amp;"-"&amp;TEXT(VALUE(SUBSTITUTE(A5003,"MOV-","")),"000"))</f>
        <v/>
      </c>
    </row>
    <row r="5004" spans="18:20">
      <c r="R5004" s="22" t="str">
        <f>IF(H5004="","",H5004&amp;I5004)</f>
        <v/>
      </c>
      <c r="S5004" s="22" t="str">
        <f>IF(C5004="","",C5004&amp;I5004)</f>
        <v/>
      </c>
      <c r="T5004" t="str">
        <f>IF(OR(C5004="",I5004&lt;&gt;"ENTRADA"),"",TEXT(B5004,"AAMMDD")&amp;"-"&amp;TEXT(VALUE(SUBSTITUTE(A5004,"MOV-","")),"000"))</f>
        <v/>
      </c>
    </row>
    <row r="5005" spans="18:20">
      <c r="R5005" s="22" t="str">
        <f>IF(H5005="","",H5005&amp;I5005)</f>
        <v/>
      </c>
      <c r="S5005" s="22" t="str">
        <f>IF(C5005="","",C5005&amp;I5005)</f>
        <v/>
      </c>
      <c r="T5005" t="str">
        <f>IF(OR(C5005="",I5005&lt;&gt;"ENTRADA"),"",TEXT(B5005,"AAMMDD")&amp;"-"&amp;TEXT(VALUE(SUBSTITUTE(A5005,"MOV-","")),"000"))</f>
        <v/>
      </c>
    </row>
    <row r="5006" spans="18:20">
      <c r="R5006" s="22" t="str">
        <f>IF(H5006="","",H5006&amp;I5006)</f>
        <v/>
      </c>
      <c r="S5006" s="22" t="str">
        <f>IF(C5006="","",C5006&amp;I5006)</f>
        <v/>
      </c>
      <c r="T5006" t="str">
        <f>IF(OR(C5006="",I5006&lt;&gt;"ENTRADA"),"",TEXT(B5006,"AAMMDD")&amp;"-"&amp;TEXT(VALUE(SUBSTITUTE(A5006,"MOV-","")),"000"))</f>
        <v/>
      </c>
    </row>
    <row r="5007" spans="18:20">
      <c r="R5007" s="22" t="str">
        <f>IF(H5007="","",H5007&amp;I5007)</f>
        <v/>
      </c>
      <c r="S5007" s="22" t="str">
        <f>IF(C5007="","",C5007&amp;I5007)</f>
        <v/>
      </c>
      <c r="T5007" t="str">
        <f>IF(OR(C5007="",I5007&lt;&gt;"ENTRADA"),"",TEXT(B5007,"AAMMDD")&amp;"-"&amp;TEXT(VALUE(SUBSTITUTE(A5007,"MOV-","")),"000"))</f>
        <v/>
      </c>
    </row>
    <row r="5008" spans="18:20">
      <c r="R5008" s="22" t="str">
        <f>IF(H5008="","",H5008&amp;I5008)</f>
        <v/>
      </c>
      <c r="S5008" s="22" t="str">
        <f>IF(C5008="","",C5008&amp;I5008)</f>
        <v/>
      </c>
      <c r="T5008" t="str">
        <f>IF(OR(C5008="",I5008&lt;&gt;"ENTRADA"),"",TEXT(B5008,"AAMMDD")&amp;"-"&amp;TEXT(VALUE(SUBSTITUTE(A5008,"MOV-","")),"000"))</f>
        <v/>
      </c>
    </row>
    <row r="5009" spans="18:20">
      <c r="R5009" s="22" t="str">
        <f>IF(H5009="","",H5009&amp;I5009)</f>
        <v/>
      </c>
      <c r="S5009" s="22" t="str">
        <f>IF(C5009="","",C5009&amp;I5009)</f>
        <v/>
      </c>
      <c r="T5009" t="str">
        <f>IF(OR(C5009="",I5009&lt;&gt;"ENTRADA"),"",TEXT(B5009,"AAMMDD")&amp;"-"&amp;TEXT(VALUE(SUBSTITUTE(A5009,"MOV-","")),"000"))</f>
        <v/>
      </c>
    </row>
    <row r="5010" spans="18:20">
      <c r="R5010" s="22" t="str">
        <f>IF(H5010="","",H5010&amp;I5010)</f>
        <v/>
      </c>
      <c r="S5010" s="22" t="str">
        <f>IF(C5010="","",C5010&amp;I5010)</f>
        <v/>
      </c>
      <c r="T5010" t="str">
        <f>IF(OR(C5010="",I5010&lt;&gt;"ENTRADA"),"",TEXT(B5010,"AAMMDD")&amp;"-"&amp;TEXT(VALUE(SUBSTITUTE(A5010,"MOV-","")),"000"))</f>
        <v/>
      </c>
    </row>
    <row r="5011" spans="18:20">
      <c r="R5011" s="22" t="str">
        <f>IF(H5011="","",H5011&amp;I5011)</f>
        <v/>
      </c>
      <c r="S5011" s="22" t="str">
        <f>IF(C5011="","",C5011&amp;I5011)</f>
        <v/>
      </c>
      <c r="T5011" t="str">
        <f>IF(OR(C5011="",I5011&lt;&gt;"ENTRADA"),"",TEXT(B5011,"AAMMDD")&amp;"-"&amp;TEXT(VALUE(SUBSTITUTE(A5011,"MOV-","")),"000"))</f>
        <v/>
      </c>
    </row>
    <row r="5012" spans="18:20">
      <c r="R5012" s="22" t="str">
        <f>IF(H5012="","",H5012&amp;I5012)</f>
        <v/>
      </c>
      <c r="S5012" s="22" t="str">
        <f>IF(C5012="","",C5012&amp;I5012)</f>
        <v/>
      </c>
      <c r="T5012" t="str">
        <f>IF(OR(C5012="",I5012&lt;&gt;"ENTRADA"),"",TEXT(B5012,"AAMMDD")&amp;"-"&amp;TEXT(VALUE(SUBSTITUTE(A5012,"MOV-","")),"000"))</f>
        <v/>
      </c>
    </row>
    <row r="5013" spans="18:20">
      <c r="R5013" s="22" t="str">
        <f>IF(H5013="","",H5013&amp;I5013)</f>
        <v/>
      </c>
      <c r="S5013" s="22" t="str">
        <f>IF(C5013="","",C5013&amp;I5013)</f>
        <v/>
      </c>
      <c r="T5013" t="str">
        <f>IF(OR(C5013="",I5013&lt;&gt;"ENTRADA"),"",TEXT(B5013,"AAMMDD")&amp;"-"&amp;TEXT(VALUE(SUBSTITUTE(A5013,"MOV-","")),"000"))</f>
        <v/>
      </c>
    </row>
    <row r="5014" spans="18:20">
      <c r="R5014" s="22" t="str">
        <f>IF(H5014="","",H5014&amp;I5014)</f>
        <v/>
      </c>
      <c r="S5014" s="22" t="str">
        <f>IF(C5014="","",C5014&amp;I5014)</f>
        <v/>
      </c>
      <c r="T5014" t="str">
        <f>IF(OR(C5014="",I5014&lt;&gt;"ENTRADA"),"",TEXT(B5014,"AAMMDD")&amp;"-"&amp;TEXT(VALUE(SUBSTITUTE(A5014,"MOV-","")),"000"))</f>
        <v/>
      </c>
    </row>
    <row r="5015" spans="18:20">
      <c r="R5015" s="22" t="str">
        <f>IF(H5015="","",H5015&amp;I5015)</f>
        <v/>
      </c>
      <c r="S5015" s="22" t="str">
        <f>IF(C5015="","",C5015&amp;I5015)</f>
        <v/>
      </c>
      <c r="T5015" t="str">
        <f>IF(OR(C5015="",I5015&lt;&gt;"ENTRADA"),"",TEXT(B5015,"AAMMDD")&amp;"-"&amp;TEXT(VALUE(SUBSTITUTE(A5015,"MOV-","")),"000"))</f>
        <v/>
      </c>
    </row>
    <row r="5016" spans="18:20">
      <c r="R5016" s="22" t="str">
        <f>IF(H5016="","",H5016&amp;I5016)</f>
        <v/>
      </c>
      <c r="S5016" s="22" t="str">
        <f>IF(C5016="","",C5016&amp;I5016)</f>
        <v/>
      </c>
      <c r="T5016" t="str">
        <f>IF(OR(C5016="",I5016&lt;&gt;"ENTRADA"),"",TEXT(B5016,"AAMMDD")&amp;"-"&amp;TEXT(VALUE(SUBSTITUTE(A5016,"MOV-","")),"000"))</f>
        <v/>
      </c>
    </row>
    <row r="5017" spans="18:20">
      <c r="R5017" s="22" t="str">
        <f>IF(H5017="","",H5017&amp;I5017)</f>
        <v/>
      </c>
      <c r="S5017" s="22" t="str">
        <f>IF(C5017="","",C5017&amp;I5017)</f>
        <v/>
      </c>
      <c r="T5017" t="str">
        <f>IF(OR(C5017="",I5017&lt;&gt;"ENTRADA"),"",TEXT(B5017,"AAMMDD")&amp;"-"&amp;TEXT(VALUE(SUBSTITUTE(A5017,"MOV-","")),"000"))</f>
        <v/>
      </c>
    </row>
    <row r="5018" spans="18:20">
      <c r="R5018" s="22" t="str">
        <f>IF(H5018="","",H5018&amp;I5018)</f>
        <v/>
      </c>
      <c r="S5018" s="22" t="str">
        <f>IF(C5018="","",C5018&amp;I5018)</f>
        <v/>
      </c>
      <c r="T5018" t="str">
        <f>IF(OR(C5018="",I5018&lt;&gt;"ENTRADA"),"",TEXT(B5018,"AAMMDD")&amp;"-"&amp;TEXT(VALUE(SUBSTITUTE(A5018,"MOV-","")),"000"))</f>
        <v/>
      </c>
    </row>
    <row r="5019" spans="18:20">
      <c r="R5019" s="22" t="str">
        <f>IF(H5019="","",H5019&amp;I5019)</f>
        <v/>
      </c>
      <c r="S5019" s="22" t="str">
        <f>IF(C5019="","",C5019&amp;I5019)</f>
        <v/>
      </c>
      <c r="T5019" t="str">
        <f>IF(OR(C5019="",I5019&lt;&gt;"ENTRADA"),"",TEXT(B5019,"AAMMDD")&amp;"-"&amp;TEXT(VALUE(SUBSTITUTE(A5019,"MOV-","")),"000"))</f>
        <v/>
      </c>
    </row>
    <row r="5020" spans="18:20">
      <c r="R5020" s="22" t="str">
        <f>IF(H5020="","",H5020&amp;I5020)</f>
        <v/>
      </c>
      <c r="S5020" s="22" t="str">
        <f>IF(C5020="","",C5020&amp;I5020)</f>
        <v/>
      </c>
      <c r="T5020" t="str">
        <f>IF(OR(C5020="",I5020&lt;&gt;"ENTRADA"),"",TEXT(B5020,"AAMMDD")&amp;"-"&amp;TEXT(VALUE(SUBSTITUTE(A5020,"MOV-","")),"000"))</f>
        <v/>
      </c>
    </row>
    <row r="5021" spans="18:20">
      <c r="R5021" s="22" t="str">
        <f>IF(H5021="","",H5021&amp;I5021)</f>
        <v/>
      </c>
      <c r="S5021" s="22" t="str">
        <f>IF(C5021="","",C5021&amp;I5021)</f>
        <v/>
      </c>
      <c r="T5021" t="str">
        <f>IF(OR(C5021="",I5021&lt;&gt;"ENTRADA"),"",TEXT(B5021,"AAMMDD")&amp;"-"&amp;TEXT(VALUE(SUBSTITUTE(A5021,"MOV-","")),"000"))</f>
        <v/>
      </c>
    </row>
    <row r="5022" spans="18:20">
      <c r="R5022" s="22" t="str">
        <f>IF(H5022="","",H5022&amp;I5022)</f>
        <v/>
      </c>
      <c r="S5022" s="22" t="str">
        <f>IF(C5022="","",C5022&amp;I5022)</f>
        <v/>
      </c>
      <c r="T5022" t="str">
        <f>IF(OR(C5022="",I5022&lt;&gt;"ENTRADA"),"",TEXT(B5022,"AAMMDD")&amp;"-"&amp;TEXT(VALUE(SUBSTITUTE(A5022,"MOV-","")),"000"))</f>
        <v/>
      </c>
    </row>
    <row r="5023" spans="18:20">
      <c r="R5023" s="22" t="str">
        <f>IF(H5023="","",H5023&amp;I5023)</f>
        <v/>
      </c>
      <c r="S5023" s="22" t="str">
        <f>IF(C5023="","",C5023&amp;I5023)</f>
        <v/>
      </c>
      <c r="T5023" t="str">
        <f>IF(OR(C5023="",I5023&lt;&gt;"ENTRADA"),"",TEXT(B5023,"AAMMDD")&amp;"-"&amp;TEXT(VALUE(SUBSTITUTE(A5023,"MOV-","")),"000"))</f>
        <v/>
      </c>
    </row>
    <row r="5024" spans="18:20">
      <c r="R5024" s="22" t="str">
        <f>IF(H5024="","",H5024&amp;I5024)</f>
        <v/>
      </c>
      <c r="S5024" s="22" t="str">
        <f>IF(C5024="","",C5024&amp;I5024)</f>
        <v/>
      </c>
      <c r="T5024" t="str">
        <f>IF(OR(C5024="",I5024&lt;&gt;"ENTRADA"),"",TEXT(B5024,"AAMMDD")&amp;"-"&amp;TEXT(VALUE(SUBSTITUTE(A5024,"MOV-","")),"000"))</f>
        <v/>
      </c>
    </row>
    <row r="5025" spans="18:20">
      <c r="R5025" s="22" t="str">
        <f>IF(H5025="","",H5025&amp;I5025)</f>
        <v/>
      </c>
      <c r="S5025" s="22" t="str">
        <f>IF(C5025="","",C5025&amp;I5025)</f>
        <v/>
      </c>
      <c r="T5025" t="str">
        <f>IF(OR(C5025="",I5025&lt;&gt;"ENTRADA"),"",TEXT(B5025,"AAMMDD")&amp;"-"&amp;TEXT(VALUE(SUBSTITUTE(A5025,"MOV-","")),"000"))</f>
        <v/>
      </c>
    </row>
    <row r="5026" spans="18:20">
      <c r="R5026" s="22" t="str">
        <f>IF(H5026="","",H5026&amp;I5026)</f>
        <v/>
      </c>
      <c r="S5026" s="22" t="str">
        <f>IF(C5026="","",C5026&amp;I5026)</f>
        <v/>
      </c>
      <c r="T5026" t="str">
        <f>IF(OR(C5026="",I5026&lt;&gt;"ENTRADA"),"",TEXT(B5026,"AAMMDD")&amp;"-"&amp;TEXT(VALUE(SUBSTITUTE(A5026,"MOV-","")),"000"))</f>
        <v/>
      </c>
    </row>
    <row r="5027" spans="18:20">
      <c r="R5027" s="22" t="str">
        <f>IF(H5027="","",H5027&amp;I5027)</f>
        <v/>
      </c>
      <c r="S5027" s="22" t="str">
        <f>IF(C5027="","",C5027&amp;I5027)</f>
        <v/>
      </c>
      <c r="T5027" t="str">
        <f>IF(OR(C5027="",I5027&lt;&gt;"ENTRADA"),"",TEXT(B5027,"AAMMDD")&amp;"-"&amp;TEXT(VALUE(SUBSTITUTE(A5027,"MOV-","")),"000"))</f>
        <v/>
      </c>
    </row>
    <row r="5028" spans="18:20">
      <c r="R5028" s="22" t="str">
        <f>IF(H5028="","",H5028&amp;I5028)</f>
        <v/>
      </c>
      <c r="S5028" s="22" t="str">
        <f>IF(C5028="","",C5028&amp;I5028)</f>
        <v/>
      </c>
      <c r="T5028" t="str">
        <f>IF(OR(C5028="",I5028&lt;&gt;"ENTRADA"),"",TEXT(B5028,"AAMMDD")&amp;"-"&amp;TEXT(VALUE(SUBSTITUTE(A5028,"MOV-","")),"000"))</f>
        <v/>
      </c>
    </row>
    <row r="5029" spans="18:20">
      <c r="R5029" s="22" t="str">
        <f>IF(H5029="","",H5029&amp;I5029)</f>
        <v/>
      </c>
      <c r="S5029" s="22" t="str">
        <f>IF(C5029="","",C5029&amp;I5029)</f>
        <v/>
      </c>
      <c r="T5029" t="str">
        <f>IF(OR(C5029="",I5029&lt;&gt;"ENTRADA"),"",TEXT(B5029,"AAMMDD")&amp;"-"&amp;TEXT(VALUE(SUBSTITUTE(A5029,"MOV-","")),"000"))</f>
        <v/>
      </c>
    </row>
    <row r="5030" spans="18:20">
      <c r="R5030" s="22" t="str">
        <f>IF(H5030="","",H5030&amp;I5030)</f>
        <v/>
      </c>
      <c r="S5030" s="22" t="str">
        <f>IF(C5030="","",C5030&amp;I5030)</f>
        <v/>
      </c>
      <c r="T5030" t="str">
        <f>IF(OR(C5030="",I5030&lt;&gt;"ENTRADA"),"",TEXT(B5030,"AAMMDD")&amp;"-"&amp;TEXT(VALUE(SUBSTITUTE(A5030,"MOV-","")),"000"))</f>
        <v/>
      </c>
    </row>
    <row r="5031" spans="18:20">
      <c r="R5031" s="22" t="str">
        <f>IF(H5031="","",H5031&amp;I5031)</f>
        <v/>
      </c>
      <c r="S5031" s="22" t="str">
        <f>IF(C5031="","",C5031&amp;I5031)</f>
        <v/>
      </c>
      <c r="T5031" t="str">
        <f>IF(OR(C5031="",I5031&lt;&gt;"ENTRADA"),"",TEXT(B5031,"AAMMDD")&amp;"-"&amp;TEXT(VALUE(SUBSTITUTE(A5031,"MOV-","")),"000"))</f>
        <v/>
      </c>
    </row>
    <row r="5032" spans="18:20">
      <c r="R5032" s="22" t="str">
        <f>IF(H5032="","",H5032&amp;I5032)</f>
        <v/>
      </c>
      <c r="S5032" s="22" t="str">
        <f>IF(C5032="","",C5032&amp;I5032)</f>
        <v/>
      </c>
      <c r="T5032" t="str">
        <f>IF(OR(C5032="",I5032&lt;&gt;"ENTRADA"),"",TEXT(B5032,"AAMMDD")&amp;"-"&amp;TEXT(VALUE(SUBSTITUTE(A5032,"MOV-","")),"000"))</f>
        <v/>
      </c>
    </row>
    <row r="5033" spans="18:20">
      <c r="R5033" s="22" t="str">
        <f>IF(H5033="","",H5033&amp;I5033)</f>
        <v/>
      </c>
      <c r="S5033" s="22" t="str">
        <f>IF(C5033="","",C5033&amp;I5033)</f>
        <v/>
      </c>
      <c r="T5033" t="str">
        <f>IF(OR(C5033="",I5033&lt;&gt;"ENTRADA"),"",TEXT(B5033,"AAMMDD")&amp;"-"&amp;TEXT(VALUE(SUBSTITUTE(A5033,"MOV-","")),"000"))</f>
        <v/>
      </c>
    </row>
    <row r="5034" spans="18:20">
      <c r="R5034" s="22" t="str">
        <f>IF(H5034="","",H5034&amp;I5034)</f>
        <v/>
      </c>
      <c r="S5034" s="22" t="str">
        <f>IF(C5034="","",C5034&amp;I5034)</f>
        <v/>
      </c>
      <c r="T5034" t="str">
        <f>IF(OR(C5034="",I5034&lt;&gt;"ENTRADA"),"",TEXT(B5034,"AAMMDD")&amp;"-"&amp;TEXT(VALUE(SUBSTITUTE(A5034,"MOV-","")),"000"))</f>
        <v/>
      </c>
    </row>
    <row r="5035" spans="18:20">
      <c r="R5035" s="22" t="str">
        <f>IF(H5035="","",H5035&amp;I5035)</f>
        <v/>
      </c>
      <c r="S5035" s="22" t="str">
        <f>IF(C5035="","",C5035&amp;I5035)</f>
        <v/>
      </c>
      <c r="T5035" t="str">
        <f>IF(OR(C5035="",I5035&lt;&gt;"ENTRADA"),"",TEXT(B5035,"AAMMDD")&amp;"-"&amp;TEXT(VALUE(SUBSTITUTE(A5035,"MOV-","")),"000"))</f>
        <v/>
      </c>
    </row>
    <row r="5036" spans="18:20">
      <c r="R5036" s="22" t="str">
        <f>IF(H5036="","",H5036&amp;I5036)</f>
        <v/>
      </c>
      <c r="S5036" s="22" t="str">
        <f>IF(C5036="","",C5036&amp;I5036)</f>
        <v/>
      </c>
      <c r="T5036" t="str">
        <f>IF(OR(C5036="",I5036&lt;&gt;"ENTRADA"),"",TEXT(B5036,"AAMMDD")&amp;"-"&amp;TEXT(VALUE(SUBSTITUTE(A5036,"MOV-","")),"000"))</f>
        <v/>
      </c>
    </row>
    <row r="5037" spans="18:20">
      <c r="R5037" s="22" t="str">
        <f>IF(H5037="","",H5037&amp;I5037)</f>
        <v/>
      </c>
      <c r="S5037" s="22" t="str">
        <f>IF(C5037="","",C5037&amp;I5037)</f>
        <v/>
      </c>
      <c r="T5037" t="str">
        <f>IF(OR(C5037="",I5037&lt;&gt;"ENTRADA"),"",TEXT(B5037,"AAMMDD")&amp;"-"&amp;TEXT(VALUE(SUBSTITUTE(A5037,"MOV-","")),"000"))</f>
        <v/>
      </c>
    </row>
    <row r="5038" spans="18:20">
      <c r="R5038" s="22" t="str">
        <f>IF(H5038="","",H5038&amp;I5038)</f>
        <v/>
      </c>
      <c r="S5038" s="22" t="str">
        <f>IF(C5038="","",C5038&amp;I5038)</f>
        <v/>
      </c>
      <c r="T5038" t="str">
        <f>IF(OR(C5038="",I5038&lt;&gt;"ENTRADA"),"",TEXT(B5038,"AAMMDD")&amp;"-"&amp;TEXT(VALUE(SUBSTITUTE(A5038,"MOV-","")),"000"))</f>
        <v/>
      </c>
    </row>
    <row r="5039" spans="18:20">
      <c r="R5039" s="22" t="str">
        <f>IF(H5039="","",H5039&amp;I5039)</f>
        <v/>
      </c>
      <c r="S5039" s="22" t="str">
        <f>IF(C5039="","",C5039&amp;I5039)</f>
        <v/>
      </c>
      <c r="T5039" t="str">
        <f>IF(OR(C5039="",I5039&lt;&gt;"ENTRADA"),"",TEXT(B5039,"AAMMDD")&amp;"-"&amp;TEXT(VALUE(SUBSTITUTE(A5039,"MOV-","")),"000"))</f>
        <v/>
      </c>
    </row>
    <row r="5040" spans="18:20">
      <c r="R5040" s="22" t="str">
        <f>IF(H5040="","",H5040&amp;I5040)</f>
        <v/>
      </c>
      <c r="S5040" s="22" t="str">
        <f>IF(C5040="","",C5040&amp;I5040)</f>
        <v/>
      </c>
      <c r="T5040" t="str">
        <f>IF(OR(C5040="",I5040&lt;&gt;"ENTRADA"),"",TEXT(B5040,"AAMMDD")&amp;"-"&amp;TEXT(VALUE(SUBSTITUTE(A5040,"MOV-","")),"000"))</f>
        <v/>
      </c>
    </row>
    <row r="5041" spans="18:20">
      <c r="R5041" s="22" t="str">
        <f>IF(H5041="","",H5041&amp;I5041)</f>
        <v/>
      </c>
      <c r="S5041" s="22" t="str">
        <f>IF(C5041="","",C5041&amp;I5041)</f>
        <v/>
      </c>
      <c r="T5041" t="str">
        <f>IF(OR(C5041="",I5041&lt;&gt;"ENTRADA"),"",TEXT(B5041,"AAMMDD")&amp;"-"&amp;TEXT(VALUE(SUBSTITUTE(A5041,"MOV-","")),"000"))</f>
        <v/>
      </c>
    </row>
    <row r="5042" spans="18:20">
      <c r="R5042" s="22" t="str">
        <f>IF(H5042="","",H5042&amp;I5042)</f>
        <v/>
      </c>
      <c r="S5042" s="22" t="str">
        <f>IF(C5042="","",C5042&amp;I5042)</f>
        <v/>
      </c>
      <c r="T5042" t="str">
        <f>IF(OR(C5042="",I5042&lt;&gt;"ENTRADA"),"",TEXT(B5042,"AAMMDD")&amp;"-"&amp;TEXT(VALUE(SUBSTITUTE(A5042,"MOV-","")),"000"))</f>
        <v/>
      </c>
    </row>
    <row r="5043" spans="18:20">
      <c r="R5043" s="22" t="str">
        <f>IF(H5043="","",H5043&amp;I5043)</f>
        <v/>
      </c>
      <c r="S5043" s="22" t="str">
        <f>IF(C5043="","",C5043&amp;I5043)</f>
        <v/>
      </c>
      <c r="T5043" t="str">
        <f>IF(OR(C5043="",I5043&lt;&gt;"ENTRADA"),"",TEXT(B5043,"AAMMDD")&amp;"-"&amp;TEXT(VALUE(SUBSTITUTE(A5043,"MOV-","")),"000"))</f>
        <v/>
      </c>
    </row>
    <row r="5044" spans="18:20">
      <c r="R5044" s="22" t="str">
        <f>IF(H5044="","",H5044&amp;I5044)</f>
        <v/>
      </c>
      <c r="S5044" s="22" t="str">
        <f>IF(C5044="","",C5044&amp;I5044)</f>
        <v/>
      </c>
      <c r="T5044" t="str">
        <f>IF(OR(C5044="",I5044&lt;&gt;"ENTRADA"),"",TEXT(B5044,"AAMMDD")&amp;"-"&amp;TEXT(VALUE(SUBSTITUTE(A5044,"MOV-","")),"000"))</f>
        <v/>
      </c>
    </row>
    <row r="5045" spans="18:20">
      <c r="R5045" s="22" t="str">
        <f>IF(H5045="","",H5045&amp;I5045)</f>
        <v/>
      </c>
      <c r="S5045" s="22" t="str">
        <f>IF(C5045="","",C5045&amp;I5045)</f>
        <v/>
      </c>
      <c r="T5045" t="str">
        <f>IF(OR(C5045="",I5045&lt;&gt;"ENTRADA"),"",TEXT(B5045,"AAMMDD")&amp;"-"&amp;TEXT(VALUE(SUBSTITUTE(A5045,"MOV-","")),"000"))</f>
        <v/>
      </c>
    </row>
    <row r="5046" spans="18:20">
      <c r="R5046" s="22" t="str">
        <f>IF(H5046="","",H5046&amp;I5046)</f>
        <v/>
      </c>
      <c r="S5046" s="22" t="str">
        <f>IF(C5046="","",C5046&amp;I5046)</f>
        <v/>
      </c>
      <c r="T5046" t="str">
        <f>IF(OR(C5046="",I5046&lt;&gt;"ENTRADA"),"",TEXT(B5046,"AAMMDD")&amp;"-"&amp;TEXT(VALUE(SUBSTITUTE(A5046,"MOV-","")),"000"))</f>
        <v/>
      </c>
    </row>
    <row r="5047" spans="18:20">
      <c r="R5047" s="22" t="str">
        <f>IF(H5047="","",H5047&amp;I5047)</f>
        <v/>
      </c>
      <c r="S5047" s="22" t="str">
        <f>IF(C5047="","",C5047&amp;I5047)</f>
        <v/>
      </c>
      <c r="T5047" t="str">
        <f>IF(OR(C5047="",I5047&lt;&gt;"ENTRADA"),"",TEXT(B5047,"AAMMDD")&amp;"-"&amp;TEXT(VALUE(SUBSTITUTE(A5047,"MOV-","")),"000"))</f>
        <v/>
      </c>
    </row>
    <row r="5048" spans="18:20">
      <c r="R5048" s="22" t="str">
        <f>IF(H5048="","",H5048&amp;I5048)</f>
        <v/>
      </c>
      <c r="S5048" s="22" t="str">
        <f>IF(C5048="","",C5048&amp;I5048)</f>
        <v/>
      </c>
      <c r="T5048" t="str">
        <f>IF(OR(C5048="",I5048&lt;&gt;"ENTRADA"),"",TEXT(B5048,"AAMMDD")&amp;"-"&amp;TEXT(VALUE(SUBSTITUTE(A5048,"MOV-","")),"000"))</f>
        <v/>
      </c>
    </row>
    <row r="5049" spans="18:20">
      <c r="R5049" s="22" t="str">
        <f>IF(H5049="","",H5049&amp;I5049)</f>
        <v/>
      </c>
      <c r="S5049" s="22" t="str">
        <f>IF(C5049="","",C5049&amp;I5049)</f>
        <v/>
      </c>
      <c r="T5049" t="str">
        <f>IF(OR(C5049="",I5049&lt;&gt;"ENTRADA"),"",TEXT(B5049,"AAMMDD")&amp;"-"&amp;TEXT(VALUE(SUBSTITUTE(A5049,"MOV-","")),"000"))</f>
        <v/>
      </c>
    </row>
    <row r="5050" spans="18:20">
      <c r="R5050" s="22" t="str">
        <f>IF(H5050="","",H5050&amp;I5050)</f>
        <v/>
      </c>
      <c r="S5050" s="22" t="str">
        <f>IF(C5050="","",C5050&amp;I5050)</f>
        <v/>
      </c>
      <c r="T5050" t="str">
        <f>IF(OR(C5050="",I5050&lt;&gt;"ENTRADA"),"",TEXT(B5050,"AAMMDD")&amp;"-"&amp;TEXT(VALUE(SUBSTITUTE(A5050,"MOV-","")),"000"))</f>
        <v/>
      </c>
    </row>
    <row r="5051" spans="18:20">
      <c r="R5051" s="22" t="str">
        <f>IF(H5051="","",H5051&amp;I5051)</f>
        <v/>
      </c>
      <c r="S5051" s="22" t="str">
        <f>IF(C5051="","",C5051&amp;I5051)</f>
        <v/>
      </c>
      <c r="T5051" t="str">
        <f>IF(OR(C5051="",I5051&lt;&gt;"ENTRADA"),"",TEXT(B5051,"AAMMDD")&amp;"-"&amp;TEXT(VALUE(SUBSTITUTE(A5051,"MOV-","")),"000"))</f>
        <v/>
      </c>
    </row>
    <row r="5052" spans="18:20">
      <c r="R5052" s="22" t="str">
        <f>IF(H5052="","",H5052&amp;I5052)</f>
        <v/>
      </c>
      <c r="S5052" s="22" t="str">
        <f>IF(C5052="","",C5052&amp;I5052)</f>
        <v/>
      </c>
      <c r="T5052" t="str">
        <f>IF(OR(C5052="",I5052&lt;&gt;"ENTRADA"),"",TEXT(B5052,"AAMMDD")&amp;"-"&amp;TEXT(VALUE(SUBSTITUTE(A5052,"MOV-","")),"000"))</f>
        <v/>
      </c>
    </row>
    <row r="5053" spans="18:20">
      <c r="R5053" s="22" t="str">
        <f>IF(H5053="","",H5053&amp;I5053)</f>
        <v/>
      </c>
      <c r="S5053" s="22" t="str">
        <f>IF(C5053="","",C5053&amp;I5053)</f>
        <v/>
      </c>
      <c r="T5053" t="str">
        <f>IF(OR(C5053="",I5053&lt;&gt;"ENTRADA"),"",TEXT(B5053,"AAMMDD")&amp;"-"&amp;TEXT(VALUE(SUBSTITUTE(A5053,"MOV-","")),"000"))</f>
        <v/>
      </c>
    </row>
    <row r="5054" spans="18:20">
      <c r="R5054" s="22" t="str">
        <f>IF(H5054="","",H5054&amp;I5054)</f>
        <v/>
      </c>
      <c r="S5054" s="22" t="str">
        <f>IF(C5054="","",C5054&amp;I5054)</f>
        <v/>
      </c>
      <c r="T5054" t="str">
        <f>IF(OR(C5054="",I5054&lt;&gt;"ENTRADA"),"",TEXT(B5054,"AAMMDD")&amp;"-"&amp;TEXT(VALUE(SUBSTITUTE(A5054,"MOV-","")),"000"))</f>
        <v/>
      </c>
    </row>
    <row r="5055" spans="18:20">
      <c r="R5055" s="22" t="str">
        <f>IF(H5055="","",H5055&amp;I5055)</f>
        <v/>
      </c>
      <c r="S5055" s="22" t="str">
        <f>IF(C5055="","",C5055&amp;I5055)</f>
        <v/>
      </c>
      <c r="T5055" t="str">
        <f>IF(OR(C5055="",I5055&lt;&gt;"ENTRADA"),"",TEXT(B5055,"AAMMDD")&amp;"-"&amp;TEXT(VALUE(SUBSTITUTE(A5055,"MOV-","")),"000"))</f>
        <v/>
      </c>
    </row>
    <row r="5056" spans="18:20">
      <c r="R5056" s="22" t="str">
        <f>IF(H5056="","",H5056&amp;I5056)</f>
        <v/>
      </c>
      <c r="S5056" s="22" t="str">
        <f>IF(C5056="","",C5056&amp;I5056)</f>
        <v/>
      </c>
      <c r="T5056" t="str">
        <f>IF(OR(C5056="",I5056&lt;&gt;"ENTRADA"),"",TEXT(B5056,"AAMMDD")&amp;"-"&amp;TEXT(VALUE(SUBSTITUTE(A5056,"MOV-","")),"000"))</f>
        <v/>
      </c>
    </row>
    <row r="5057" spans="18:20">
      <c r="R5057" s="22" t="str">
        <f>IF(H5057="","",H5057&amp;I5057)</f>
        <v/>
      </c>
      <c r="S5057" s="22" t="str">
        <f>IF(C5057="","",C5057&amp;I5057)</f>
        <v/>
      </c>
      <c r="T5057" t="str">
        <f>IF(OR(C5057="",I5057&lt;&gt;"ENTRADA"),"",TEXT(B5057,"AAMMDD")&amp;"-"&amp;TEXT(VALUE(SUBSTITUTE(A5057,"MOV-","")),"000"))</f>
        <v/>
      </c>
    </row>
    <row r="5058" spans="18:20">
      <c r="R5058" s="22" t="str">
        <f>IF(H5058="","",H5058&amp;I5058)</f>
        <v/>
      </c>
      <c r="S5058" s="22" t="str">
        <f>IF(C5058="","",C5058&amp;I5058)</f>
        <v/>
      </c>
      <c r="T5058" t="str">
        <f>IF(OR(C5058="",I5058&lt;&gt;"ENTRADA"),"",TEXT(B5058,"AAMMDD")&amp;"-"&amp;TEXT(VALUE(SUBSTITUTE(A5058,"MOV-","")),"000"))</f>
        <v/>
      </c>
    </row>
    <row r="5059" spans="18:20">
      <c r="R5059" s="22" t="str">
        <f>IF(H5059="","",H5059&amp;I5059)</f>
        <v/>
      </c>
      <c r="S5059" s="22" t="str">
        <f>IF(C5059="","",C5059&amp;I5059)</f>
        <v/>
      </c>
      <c r="T5059" t="str">
        <f>IF(OR(C5059="",I5059&lt;&gt;"ENTRADA"),"",TEXT(B5059,"AAMMDD")&amp;"-"&amp;TEXT(VALUE(SUBSTITUTE(A5059,"MOV-","")),"000"))</f>
        <v/>
      </c>
    </row>
    <row r="5060" spans="18:20">
      <c r="R5060" s="22" t="str">
        <f>IF(H5060="","",H5060&amp;I5060)</f>
        <v/>
      </c>
      <c r="S5060" s="22" t="str">
        <f>IF(C5060="","",C5060&amp;I5060)</f>
        <v/>
      </c>
      <c r="T5060" t="str">
        <f>IF(OR(C5060="",I5060&lt;&gt;"ENTRADA"),"",TEXT(B5060,"AAMMDD")&amp;"-"&amp;TEXT(VALUE(SUBSTITUTE(A5060,"MOV-","")),"000"))</f>
        <v/>
      </c>
    </row>
    <row r="5061" spans="18:20">
      <c r="R5061" s="22" t="str">
        <f>IF(H5061="","",H5061&amp;I5061)</f>
        <v/>
      </c>
      <c r="S5061" s="22" t="str">
        <f>IF(C5061="","",C5061&amp;I5061)</f>
        <v/>
      </c>
      <c r="T5061" t="str">
        <f>IF(OR(C5061="",I5061&lt;&gt;"ENTRADA"),"",TEXT(B5061,"AAMMDD")&amp;"-"&amp;TEXT(VALUE(SUBSTITUTE(A5061,"MOV-","")),"000"))</f>
        <v/>
      </c>
    </row>
    <row r="5062" spans="18:20">
      <c r="R5062" s="22" t="str">
        <f>IF(H5062="","",H5062&amp;I5062)</f>
        <v/>
      </c>
      <c r="S5062" s="22" t="str">
        <f>IF(C5062="","",C5062&amp;I5062)</f>
        <v/>
      </c>
      <c r="T5062" t="str">
        <f>IF(OR(C5062="",I5062&lt;&gt;"ENTRADA"),"",TEXT(B5062,"AAMMDD")&amp;"-"&amp;TEXT(VALUE(SUBSTITUTE(A5062,"MOV-","")),"000"))</f>
        <v/>
      </c>
    </row>
    <row r="5063" spans="18:20">
      <c r="R5063" s="22" t="str">
        <f>IF(H5063="","",H5063&amp;I5063)</f>
        <v/>
      </c>
      <c r="S5063" s="22" t="str">
        <f>IF(C5063="","",C5063&amp;I5063)</f>
        <v/>
      </c>
      <c r="T5063" t="str">
        <f>IF(OR(C5063="",I5063&lt;&gt;"ENTRADA"),"",TEXT(B5063,"AAMMDD")&amp;"-"&amp;TEXT(VALUE(SUBSTITUTE(A5063,"MOV-","")),"000"))</f>
        <v/>
      </c>
    </row>
    <row r="5064" spans="18:20">
      <c r="R5064" s="22" t="str">
        <f>IF(H5064="","",H5064&amp;I5064)</f>
        <v/>
      </c>
      <c r="S5064" s="22" t="str">
        <f>IF(C5064="","",C5064&amp;I5064)</f>
        <v/>
      </c>
      <c r="T5064" t="str">
        <f>IF(OR(C5064="",I5064&lt;&gt;"ENTRADA"),"",TEXT(B5064,"AAMMDD")&amp;"-"&amp;TEXT(VALUE(SUBSTITUTE(A5064,"MOV-","")),"000"))</f>
        <v/>
      </c>
    </row>
    <row r="5065" spans="18:20">
      <c r="R5065" s="22" t="str">
        <f>IF(H5065="","",H5065&amp;I5065)</f>
        <v/>
      </c>
      <c r="S5065" s="22" t="str">
        <f>IF(C5065="","",C5065&amp;I5065)</f>
        <v/>
      </c>
      <c r="T5065" t="str">
        <f>IF(OR(C5065="",I5065&lt;&gt;"ENTRADA"),"",TEXT(B5065,"AAMMDD")&amp;"-"&amp;TEXT(VALUE(SUBSTITUTE(A5065,"MOV-","")),"000"))</f>
        <v/>
      </c>
    </row>
    <row r="5066" spans="18:20">
      <c r="R5066" s="22" t="str">
        <f>IF(H5066="","",H5066&amp;I5066)</f>
        <v/>
      </c>
      <c r="S5066" s="22" t="str">
        <f>IF(C5066="","",C5066&amp;I5066)</f>
        <v/>
      </c>
      <c r="T5066" t="str">
        <f>IF(OR(C5066="",I5066&lt;&gt;"ENTRADA"),"",TEXT(B5066,"AAMMDD")&amp;"-"&amp;TEXT(VALUE(SUBSTITUTE(A5066,"MOV-","")),"000"))</f>
        <v/>
      </c>
    </row>
    <row r="5067" spans="18:20">
      <c r="R5067" s="22" t="str">
        <f>IF(H5067="","",H5067&amp;I5067)</f>
        <v/>
      </c>
      <c r="S5067" s="22" t="str">
        <f>IF(C5067="","",C5067&amp;I5067)</f>
        <v/>
      </c>
      <c r="T5067" t="str">
        <f>IF(OR(C5067="",I5067&lt;&gt;"ENTRADA"),"",TEXT(B5067,"AAMMDD")&amp;"-"&amp;TEXT(VALUE(SUBSTITUTE(A5067,"MOV-","")),"000"))</f>
        <v/>
      </c>
    </row>
    <row r="5068" spans="18:20">
      <c r="R5068" s="22" t="str">
        <f>IF(H5068="","",H5068&amp;I5068)</f>
        <v/>
      </c>
      <c r="S5068" s="22" t="str">
        <f>IF(C5068="","",C5068&amp;I5068)</f>
        <v/>
      </c>
      <c r="T5068" t="str">
        <f>IF(OR(C5068="",I5068&lt;&gt;"ENTRADA"),"",TEXT(B5068,"AAMMDD")&amp;"-"&amp;TEXT(VALUE(SUBSTITUTE(A5068,"MOV-","")),"000"))</f>
        <v/>
      </c>
    </row>
    <row r="5069" spans="18:20">
      <c r="R5069" s="22" t="str">
        <f>IF(H5069="","",H5069&amp;I5069)</f>
        <v/>
      </c>
      <c r="S5069" s="22" t="str">
        <f>IF(C5069="","",C5069&amp;I5069)</f>
        <v/>
      </c>
      <c r="T5069" t="str">
        <f>IF(OR(C5069="",I5069&lt;&gt;"ENTRADA"),"",TEXT(B5069,"AAMMDD")&amp;"-"&amp;TEXT(VALUE(SUBSTITUTE(A5069,"MOV-","")),"000"))</f>
        <v/>
      </c>
    </row>
    <row r="5070" spans="18:20">
      <c r="R5070" s="22" t="str">
        <f>IF(H5070="","",H5070&amp;I5070)</f>
        <v/>
      </c>
      <c r="S5070" s="22" t="str">
        <f>IF(C5070="","",C5070&amp;I5070)</f>
        <v/>
      </c>
      <c r="T5070" t="str">
        <f>IF(OR(C5070="",I5070&lt;&gt;"ENTRADA"),"",TEXT(B5070,"AAMMDD")&amp;"-"&amp;TEXT(VALUE(SUBSTITUTE(A5070,"MOV-","")),"000"))</f>
        <v/>
      </c>
    </row>
    <row r="5071" spans="18:20">
      <c r="R5071" s="22" t="str">
        <f>IF(H5071="","",H5071&amp;I5071)</f>
        <v/>
      </c>
      <c r="S5071" s="22" t="str">
        <f>IF(C5071="","",C5071&amp;I5071)</f>
        <v/>
      </c>
      <c r="T5071" t="str">
        <f>IF(OR(C5071="",I5071&lt;&gt;"ENTRADA"),"",TEXT(B5071,"AAMMDD")&amp;"-"&amp;TEXT(VALUE(SUBSTITUTE(A5071,"MOV-","")),"000"))</f>
        <v/>
      </c>
    </row>
    <row r="5072" spans="18:20">
      <c r="R5072" s="22" t="str">
        <f>IF(H5072="","",H5072&amp;I5072)</f>
        <v/>
      </c>
      <c r="S5072" s="22" t="str">
        <f>IF(C5072="","",C5072&amp;I5072)</f>
        <v/>
      </c>
      <c r="T5072" t="str">
        <f>IF(OR(C5072="",I5072&lt;&gt;"ENTRADA"),"",TEXT(B5072,"AAMMDD")&amp;"-"&amp;TEXT(VALUE(SUBSTITUTE(A5072,"MOV-","")),"000"))</f>
        <v/>
      </c>
    </row>
    <row r="5073" spans="18:20">
      <c r="R5073" s="22" t="str">
        <f>IF(H5073="","",H5073&amp;I5073)</f>
        <v/>
      </c>
      <c r="S5073" s="22" t="str">
        <f>IF(C5073="","",C5073&amp;I5073)</f>
        <v/>
      </c>
      <c r="T5073" t="str">
        <f>IF(OR(C5073="",I5073&lt;&gt;"ENTRADA"),"",TEXT(B5073,"AAMMDD")&amp;"-"&amp;TEXT(VALUE(SUBSTITUTE(A5073,"MOV-","")),"000"))</f>
        <v/>
      </c>
    </row>
    <row r="5074" spans="18:20">
      <c r="R5074" s="22" t="str">
        <f>IF(H5074="","",H5074&amp;I5074)</f>
        <v/>
      </c>
      <c r="S5074" s="22" t="str">
        <f>IF(C5074="","",C5074&amp;I5074)</f>
        <v/>
      </c>
      <c r="T5074" t="str">
        <f>IF(OR(C5074="",I5074&lt;&gt;"ENTRADA"),"",TEXT(B5074,"AAMMDD")&amp;"-"&amp;TEXT(VALUE(SUBSTITUTE(A5074,"MOV-","")),"000"))</f>
        <v/>
      </c>
    </row>
    <row r="5075" spans="18:20">
      <c r="R5075" s="22" t="str">
        <f>IF(H5075="","",H5075&amp;I5075)</f>
        <v/>
      </c>
      <c r="S5075" s="22" t="str">
        <f>IF(C5075="","",C5075&amp;I5075)</f>
        <v/>
      </c>
      <c r="T5075" t="str">
        <f>IF(OR(C5075="",I5075&lt;&gt;"ENTRADA"),"",TEXT(B5075,"AAMMDD")&amp;"-"&amp;TEXT(VALUE(SUBSTITUTE(A5075,"MOV-","")),"000"))</f>
        <v/>
      </c>
    </row>
    <row r="5076" spans="18:20">
      <c r="R5076" s="22" t="str">
        <f>IF(H5076="","",H5076&amp;I5076)</f>
        <v/>
      </c>
      <c r="S5076" s="22" t="str">
        <f>IF(C5076="","",C5076&amp;I5076)</f>
        <v/>
      </c>
      <c r="T5076" t="str">
        <f>IF(OR(C5076="",I5076&lt;&gt;"ENTRADA"),"",TEXT(B5076,"AAMMDD")&amp;"-"&amp;TEXT(VALUE(SUBSTITUTE(A5076,"MOV-","")),"000"))</f>
        <v/>
      </c>
    </row>
    <row r="5077" spans="18:20">
      <c r="R5077" s="22" t="str">
        <f>IF(H5077="","",H5077&amp;I5077)</f>
        <v/>
      </c>
      <c r="S5077" s="22" t="str">
        <f>IF(C5077="","",C5077&amp;I5077)</f>
        <v/>
      </c>
      <c r="T5077" t="str">
        <f>IF(OR(C5077="",I5077&lt;&gt;"ENTRADA"),"",TEXT(B5077,"AAMMDD")&amp;"-"&amp;TEXT(VALUE(SUBSTITUTE(A5077,"MOV-","")),"000"))</f>
        <v/>
      </c>
    </row>
    <row r="5078" spans="18:20">
      <c r="R5078" s="22" t="str">
        <f>IF(H5078="","",H5078&amp;I5078)</f>
        <v/>
      </c>
      <c r="S5078" s="22" t="str">
        <f>IF(C5078="","",C5078&amp;I5078)</f>
        <v/>
      </c>
      <c r="T5078" t="str">
        <f>IF(OR(C5078="",I5078&lt;&gt;"ENTRADA"),"",TEXT(B5078,"AAMMDD")&amp;"-"&amp;TEXT(VALUE(SUBSTITUTE(A5078,"MOV-","")),"000"))</f>
        <v/>
      </c>
    </row>
    <row r="5079" spans="18:20">
      <c r="R5079" s="22" t="str">
        <f>IF(H5079="","",H5079&amp;I5079)</f>
        <v/>
      </c>
      <c r="S5079" s="22" t="str">
        <f>IF(C5079="","",C5079&amp;I5079)</f>
        <v/>
      </c>
      <c r="T5079" t="str">
        <f>IF(OR(C5079="",I5079&lt;&gt;"ENTRADA"),"",TEXT(B5079,"AAMMDD")&amp;"-"&amp;TEXT(VALUE(SUBSTITUTE(A5079,"MOV-","")),"000"))</f>
        <v/>
      </c>
    </row>
    <row r="5080" spans="18:20">
      <c r="R5080" s="22" t="str">
        <f>IF(H5080="","",H5080&amp;I5080)</f>
        <v/>
      </c>
      <c r="S5080" s="22" t="str">
        <f>IF(C5080="","",C5080&amp;I5080)</f>
        <v/>
      </c>
      <c r="T5080" t="str">
        <f>IF(OR(C5080="",I5080&lt;&gt;"ENTRADA"),"",TEXT(B5080,"AAMMDD")&amp;"-"&amp;TEXT(VALUE(SUBSTITUTE(A5080,"MOV-","")),"000"))</f>
        <v/>
      </c>
    </row>
    <row r="5081" spans="18:20">
      <c r="R5081" s="22" t="str">
        <f>IF(H5081="","",H5081&amp;I5081)</f>
        <v/>
      </c>
      <c r="S5081" s="22" t="str">
        <f>IF(C5081="","",C5081&amp;I5081)</f>
        <v/>
      </c>
      <c r="T5081" t="str">
        <f>IF(OR(C5081="",I5081&lt;&gt;"ENTRADA"),"",TEXT(B5081,"AAMMDD")&amp;"-"&amp;TEXT(VALUE(SUBSTITUTE(A5081,"MOV-","")),"000"))</f>
        <v/>
      </c>
    </row>
    <row r="5082" spans="18:20">
      <c r="R5082" s="22" t="str">
        <f>IF(H5082="","",H5082&amp;I5082)</f>
        <v/>
      </c>
      <c r="S5082" s="22" t="str">
        <f>IF(C5082="","",C5082&amp;I5082)</f>
        <v/>
      </c>
      <c r="T5082" t="str">
        <f>IF(OR(C5082="",I5082&lt;&gt;"ENTRADA"),"",TEXT(B5082,"AAMMDD")&amp;"-"&amp;TEXT(VALUE(SUBSTITUTE(A5082,"MOV-","")),"000"))</f>
        <v/>
      </c>
    </row>
    <row r="5083" spans="18:20">
      <c r="R5083" s="22" t="str">
        <f>IF(H5083="","",H5083&amp;I5083)</f>
        <v/>
      </c>
      <c r="S5083" s="22" t="str">
        <f>IF(C5083="","",C5083&amp;I5083)</f>
        <v/>
      </c>
      <c r="T5083" t="str">
        <f>IF(OR(C5083="",I5083&lt;&gt;"ENTRADA"),"",TEXT(B5083,"AAMMDD")&amp;"-"&amp;TEXT(VALUE(SUBSTITUTE(A5083,"MOV-","")),"000"))</f>
        <v/>
      </c>
    </row>
    <row r="5084" spans="18:20">
      <c r="R5084" s="22" t="str">
        <f>IF(H5084="","",H5084&amp;I5084)</f>
        <v/>
      </c>
      <c r="S5084" s="22" t="str">
        <f>IF(C5084="","",C5084&amp;I5084)</f>
        <v/>
      </c>
      <c r="T5084" t="str">
        <f>IF(OR(C5084="",I5084&lt;&gt;"ENTRADA"),"",TEXT(B5084,"AAMMDD")&amp;"-"&amp;TEXT(VALUE(SUBSTITUTE(A5084,"MOV-","")),"000"))</f>
        <v/>
      </c>
    </row>
    <row r="5085" spans="18:20">
      <c r="R5085" s="22" t="str">
        <f>IF(H5085="","",H5085&amp;I5085)</f>
        <v/>
      </c>
      <c r="S5085" s="22" t="str">
        <f>IF(C5085="","",C5085&amp;I5085)</f>
        <v/>
      </c>
      <c r="T5085" t="str">
        <f>IF(OR(C5085="",I5085&lt;&gt;"ENTRADA"),"",TEXT(B5085,"AAMMDD")&amp;"-"&amp;TEXT(VALUE(SUBSTITUTE(A5085,"MOV-","")),"000"))</f>
        <v/>
      </c>
    </row>
    <row r="5086" spans="18:20">
      <c r="R5086" s="22" t="str">
        <f>IF(H5086="","",H5086&amp;I5086)</f>
        <v/>
      </c>
      <c r="S5086" s="22" t="str">
        <f>IF(C5086="","",C5086&amp;I5086)</f>
        <v/>
      </c>
      <c r="T5086" t="str">
        <f>IF(OR(C5086="",I5086&lt;&gt;"ENTRADA"),"",TEXT(B5086,"AAMMDD")&amp;"-"&amp;TEXT(VALUE(SUBSTITUTE(A5086,"MOV-","")),"000"))</f>
        <v/>
      </c>
    </row>
    <row r="5087" spans="18:20">
      <c r="R5087" s="22" t="str">
        <f>IF(H5087="","",H5087&amp;I5087)</f>
        <v/>
      </c>
      <c r="S5087" s="22" t="str">
        <f>IF(C5087="","",C5087&amp;I5087)</f>
        <v/>
      </c>
      <c r="T5087" t="str">
        <f>IF(OR(C5087="",I5087&lt;&gt;"ENTRADA"),"",TEXT(B5087,"AAMMDD")&amp;"-"&amp;TEXT(VALUE(SUBSTITUTE(A5087,"MOV-","")),"000"))</f>
        <v/>
      </c>
    </row>
    <row r="5088" spans="18:20">
      <c r="R5088" s="22" t="str">
        <f>IF(H5088="","",H5088&amp;I5088)</f>
        <v/>
      </c>
      <c r="S5088" s="22" t="str">
        <f>IF(C5088="","",C5088&amp;I5088)</f>
        <v/>
      </c>
      <c r="T5088" t="str">
        <f>IF(OR(C5088="",I5088&lt;&gt;"ENTRADA"),"",TEXT(B5088,"AAMMDD")&amp;"-"&amp;TEXT(VALUE(SUBSTITUTE(A5088,"MOV-","")),"000"))</f>
        <v/>
      </c>
    </row>
    <row r="5089" spans="18:20">
      <c r="R5089" s="22" t="str">
        <f>IF(H5089="","",H5089&amp;I5089)</f>
        <v/>
      </c>
      <c r="S5089" s="22" t="str">
        <f>IF(C5089="","",C5089&amp;I5089)</f>
        <v/>
      </c>
      <c r="T5089" t="str">
        <f>IF(OR(C5089="",I5089&lt;&gt;"ENTRADA"),"",TEXT(B5089,"AAMMDD")&amp;"-"&amp;TEXT(VALUE(SUBSTITUTE(A5089,"MOV-","")),"000"))</f>
        <v/>
      </c>
    </row>
    <row r="5090" spans="18:20">
      <c r="R5090" s="22" t="str">
        <f>IF(H5090="","",H5090&amp;I5090)</f>
        <v/>
      </c>
      <c r="S5090" s="22" t="str">
        <f>IF(C5090="","",C5090&amp;I5090)</f>
        <v/>
      </c>
      <c r="T5090" t="str">
        <f>IF(OR(C5090="",I5090&lt;&gt;"ENTRADA"),"",TEXT(B5090,"AAMMDD")&amp;"-"&amp;TEXT(VALUE(SUBSTITUTE(A5090,"MOV-","")),"000"))</f>
        <v/>
      </c>
    </row>
    <row r="5091" spans="18:20">
      <c r="R5091" s="22" t="str">
        <f>IF(H5091="","",H5091&amp;I5091)</f>
        <v/>
      </c>
      <c r="S5091" s="22" t="str">
        <f>IF(C5091="","",C5091&amp;I5091)</f>
        <v/>
      </c>
      <c r="T5091" t="str">
        <f>IF(OR(C5091="",I5091&lt;&gt;"ENTRADA"),"",TEXT(B5091,"AAMMDD")&amp;"-"&amp;TEXT(VALUE(SUBSTITUTE(A5091,"MOV-","")),"000"))</f>
        <v/>
      </c>
    </row>
    <row r="5092" spans="18:20">
      <c r="R5092" s="22" t="str">
        <f>IF(H5092="","",H5092&amp;I5092)</f>
        <v/>
      </c>
      <c r="S5092" s="22" t="str">
        <f>IF(C5092="","",C5092&amp;I5092)</f>
        <v/>
      </c>
      <c r="T5092" t="str">
        <f>IF(OR(C5092="",I5092&lt;&gt;"ENTRADA"),"",TEXT(B5092,"AAMMDD")&amp;"-"&amp;TEXT(VALUE(SUBSTITUTE(A5092,"MOV-","")),"000"))</f>
        <v/>
      </c>
    </row>
    <row r="5093" spans="18:20">
      <c r="R5093" s="22" t="str">
        <f>IF(H5093="","",H5093&amp;I5093)</f>
        <v/>
      </c>
      <c r="S5093" s="22" t="str">
        <f>IF(C5093="","",C5093&amp;I5093)</f>
        <v/>
      </c>
      <c r="T5093" t="str">
        <f>IF(OR(C5093="",I5093&lt;&gt;"ENTRADA"),"",TEXT(B5093,"AAMMDD")&amp;"-"&amp;TEXT(VALUE(SUBSTITUTE(A5093,"MOV-","")),"000"))</f>
        <v/>
      </c>
    </row>
    <row r="5094" spans="18:20">
      <c r="R5094" s="22" t="str">
        <f>IF(H5094="","",H5094&amp;I5094)</f>
        <v/>
      </c>
      <c r="S5094" s="22" t="str">
        <f>IF(C5094="","",C5094&amp;I5094)</f>
        <v/>
      </c>
      <c r="T5094" t="str">
        <f>IF(OR(C5094="",I5094&lt;&gt;"ENTRADA"),"",TEXT(B5094,"AAMMDD")&amp;"-"&amp;TEXT(VALUE(SUBSTITUTE(A5094,"MOV-","")),"000"))</f>
        <v/>
      </c>
    </row>
    <row r="5095" spans="18:20">
      <c r="R5095" s="22" t="str">
        <f>IF(H5095="","",H5095&amp;I5095)</f>
        <v/>
      </c>
      <c r="S5095" s="22" t="str">
        <f>IF(C5095="","",C5095&amp;I5095)</f>
        <v/>
      </c>
      <c r="T5095" t="str">
        <f>IF(OR(C5095="",I5095&lt;&gt;"ENTRADA"),"",TEXT(B5095,"AAMMDD")&amp;"-"&amp;TEXT(VALUE(SUBSTITUTE(A5095,"MOV-","")),"000"))</f>
        <v/>
      </c>
    </row>
    <row r="5096" spans="18:20">
      <c r="R5096" s="22" t="str">
        <f>IF(H5096="","",H5096&amp;I5096)</f>
        <v/>
      </c>
      <c r="S5096" s="22" t="str">
        <f>IF(C5096="","",C5096&amp;I5096)</f>
        <v/>
      </c>
      <c r="T5096" t="str">
        <f>IF(OR(C5096="",I5096&lt;&gt;"ENTRADA"),"",TEXT(B5096,"AAMMDD")&amp;"-"&amp;TEXT(VALUE(SUBSTITUTE(A5096,"MOV-","")),"000"))</f>
        <v/>
      </c>
    </row>
    <row r="5097" spans="18:20">
      <c r="R5097" s="22" t="str">
        <f>IF(H5097="","",H5097&amp;I5097)</f>
        <v/>
      </c>
      <c r="S5097" s="22" t="str">
        <f>IF(C5097="","",C5097&amp;I5097)</f>
        <v/>
      </c>
      <c r="T5097" t="str">
        <f>IF(OR(C5097="",I5097&lt;&gt;"ENTRADA"),"",TEXT(B5097,"AAMMDD")&amp;"-"&amp;TEXT(VALUE(SUBSTITUTE(A5097,"MOV-","")),"000"))</f>
        <v/>
      </c>
    </row>
    <row r="5098" spans="18:20">
      <c r="R5098" s="22" t="str">
        <f>IF(H5098="","",H5098&amp;I5098)</f>
        <v/>
      </c>
      <c r="S5098" s="22" t="str">
        <f>IF(C5098="","",C5098&amp;I5098)</f>
        <v/>
      </c>
      <c r="T5098" t="str">
        <f>IF(OR(C5098="",I5098&lt;&gt;"ENTRADA"),"",TEXT(B5098,"AAMMDD")&amp;"-"&amp;TEXT(VALUE(SUBSTITUTE(A5098,"MOV-","")),"000"))</f>
        <v/>
      </c>
    </row>
    <row r="5099" spans="18:20">
      <c r="R5099" s="22" t="str">
        <f>IF(H5099="","",H5099&amp;I5099)</f>
        <v/>
      </c>
      <c r="S5099" s="22" t="str">
        <f>IF(C5099="","",C5099&amp;I5099)</f>
        <v/>
      </c>
      <c r="T5099" t="str">
        <f>IF(OR(C5099="",I5099&lt;&gt;"ENTRADA"),"",TEXT(B5099,"AAMMDD")&amp;"-"&amp;TEXT(VALUE(SUBSTITUTE(A5099,"MOV-","")),"000"))</f>
        <v/>
      </c>
    </row>
    <row r="5100" spans="18:20">
      <c r="R5100" s="22" t="str">
        <f>IF(H5100="","",H5100&amp;I5100)</f>
        <v/>
      </c>
      <c r="S5100" s="22" t="str">
        <f>IF(C5100="","",C5100&amp;I5100)</f>
        <v/>
      </c>
      <c r="T5100" t="str">
        <f>IF(OR(C5100="",I5100&lt;&gt;"ENTRADA"),"",TEXT(B5100,"AAMMDD")&amp;"-"&amp;TEXT(VALUE(SUBSTITUTE(A5100,"MOV-","")),"000"))</f>
        <v/>
      </c>
    </row>
    <row r="5101" spans="18:20">
      <c r="R5101" s="22" t="str">
        <f>IF(H5101="","",H5101&amp;I5101)</f>
        <v/>
      </c>
      <c r="S5101" s="22" t="str">
        <f>IF(C5101="","",C5101&amp;I5101)</f>
        <v/>
      </c>
      <c r="T5101" t="str">
        <f>IF(OR(C5101="",I5101&lt;&gt;"ENTRADA"),"",TEXT(B5101,"AAMMDD")&amp;"-"&amp;TEXT(VALUE(SUBSTITUTE(A5101,"MOV-","")),"000"))</f>
        <v/>
      </c>
    </row>
    <row r="5102" spans="18:20">
      <c r="R5102" s="22" t="str">
        <f>IF(H5102="","",H5102&amp;I5102)</f>
        <v/>
      </c>
      <c r="S5102" s="22" t="str">
        <f>IF(C5102="","",C5102&amp;I5102)</f>
        <v/>
      </c>
      <c r="T5102" t="str">
        <f>IF(OR(C5102="",I5102&lt;&gt;"ENTRADA"),"",TEXT(B5102,"AAMMDD")&amp;"-"&amp;TEXT(VALUE(SUBSTITUTE(A5102,"MOV-","")),"000"))</f>
        <v/>
      </c>
    </row>
    <row r="5103" spans="18:20">
      <c r="R5103" s="22" t="str">
        <f>IF(H5103="","",H5103&amp;I5103)</f>
        <v/>
      </c>
      <c r="S5103" s="22" t="str">
        <f>IF(C5103="","",C5103&amp;I5103)</f>
        <v/>
      </c>
      <c r="T5103" t="str">
        <f>IF(OR(C5103="",I5103&lt;&gt;"ENTRADA"),"",TEXT(B5103,"AAMMDD")&amp;"-"&amp;TEXT(VALUE(SUBSTITUTE(A5103,"MOV-","")),"000"))</f>
        <v/>
      </c>
    </row>
    <row r="5104" spans="18:20">
      <c r="R5104" s="22" t="str">
        <f>IF(H5104="","",H5104&amp;I5104)</f>
        <v/>
      </c>
      <c r="S5104" s="22" t="str">
        <f>IF(C5104="","",C5104&amp;I5104)</f>
        <v/>
      </c>
      <c r="T5104" t="str">
        <f>IF(OR(C5104="",I5104&lt;&gt;"ENTRADA"),"",TEXT(B5104,"AAMMDD")&amp;"-"&amp;TEXT(VALUE(SUBSTITUTE(A5104,"MOV-","")),"000"))</f>
        <v/>
      </c>
    </row>
    <row r="5105" spans="18:20">
      <c r="R5105" s="22" t="str">
        <f>IF(H5105="","",H5105&amp;I5105)</f>
        <v/>
      </c>
      <c r="S5105" s="22" t="str">
        <f>IF(C5105="","",C5105&amp;I5105)</f>
        <v/>
      </c>
      <c r="T5105" t="str">
        <f>IF(OR(C5105="",I5105&lt;&gt;"ENTRADA"),"",TEXT(B5105,"AAMMDD")&amp;"-"&amp;TEXT(VALUE(SUBSTITUTE(A5105,"MOV-","")),"000"))</f>
        <v/>
      </c>
    </row>
    <row r="5106" spans="18:20">
      <c r="R5106" s="22" t="str">
        <f>IF(H5106="","",H5106&amp;I5106)</f>
        <v/>
      </c>
      <c r="S5106" s="22" t="str">
        <f>IF(C5106="","",C5106&amp;I5106)</f>
        <v/>
      </c>
      <c r="T5106" t="str">
        <f>IF(OR(C5106="",I5106&lt;&gt;"ENTRADA"),"",TEXT(B5106,"AAMMDD")&amp;"-"&amp;TEXT(VALUE(SUBSTITUTE(A5106,"MOV-","")),"000"))</f>
        <v/>
      </c>
    </row>
    <row r="5107" spans="18:20">
      <c r="R5107" s="22" t="str">
        <f>IF(H5107="","",H5107&amp;I5107)</f>
        <v/>
      </c>
      <c r="S5107" s="22" t="str">
        <f>IF(C5107="","",C5107&amp;I5107)</f>
        <v/>
      </c>
      <c r="T5107" t="str">
        <f>IF(OR(C5107="",I5107&lt;&gt;"ENTRADA"),"",TEXT(B5107,"AAMMDD")&amp;"-"&amp;TEXT(VALUE(SUBSTITUTE(A5107,"MOV-","")),"000"))</f>
        <v/>
      </c>
    </row>
    <row r="5108" spans="18:20">
      <c r="R5108" s="22" t="str">
        <f>IF(H5108="","",H5108&amp;I5108)</f>
        <v/>
      </c>
      <c r="S5108" s="22" t="str">
        <f>IF(C5108="","",C5108&amp;I5108)</f>
        <v/>
      </c>
      <c r="T5108" t="str">
        <f>IF(OR(C5108="",I5108&lt;&gt;"ENTRADA"),"",TEXT(B5108,"AAMMDD")&amp;"-"&amp;TEXT(VALUE(SUBSTITUTE(A5108,"MOV-","")),"000"))</f>
        <v/>
      </c>
    </row>
    <row r="5109" spans="18:20">
      <c r="R5109" s="22" t="str">
        <f>IF(H5109="","",H5109&amp;I5109)</f>
        <v/>
      </c>
      <c r="S5109" s="22" t="str">
        <f>IF(C5109="","",C5109&amp;I5109)</f>
        <v/>
      </c>
      <c r="T5109" t="str">
        <f>IF(OR(C5109="",I5109&lt;&gt;"ENTRADA"),"",TEXT(B5109,"AAMMDD")&amp;"-"&amp;TEXT(VALUE(SUBSTITUTE(A5109,"MOV-","")),"000"))</f>
        <v/>
      </c>
    </row>
    <row r="5110" spans="18:20">
      <c r="R5110" s="22" t="str">
        <f>IF(H5110="","",H5110&amp;I5110)</f>
        <v/>
      </c>
      <c r="S5110" s="22" t="str">
        <f>IF(C5110="","",C5110&amp;I5110)</f>
        <v/>
      </c>
      <c r="T5110" t="str">
        <f>IF(OR(C5110="",I5110&lt;&gt;"ENTRADA"),"",TEXT(B5110,"AAMMDD")&amp;"-"&amp;TEXT(VALUE(SUBSTITUTE(A5110,"MOV-","")),"000"))</f>
        <v/>
      </c>
    </row>
    <row r="5111" spans="18:20">
      <c r="R5111" s="22" t="str">
        <f>IF(H5111="","",H5111&amp;I5111)</f>
        <v/>
      </c>
      <c r="S5111" s="22" t="str">
        <f>IF(C5111="","",C5111&amp;I5111)</f>
        <v/>
      </c>
      <c r="T5111" t="str">
        <f>IF(OR(C5111="",I5111&lt;&gt;"ENTRADA"),"",TEXT(B5111,"AAMMDD")&amp;"-"&amp;TEXT(VALUE(SUBSTITUTE(A5111,"MOV-","")),"000"))</f>
        <v/>
      </c>
    </row>
    <row r="5112" spans="18:20">
      <c r="R5112" s="22" t="str">
        <f>IF(H5112="","",H5112&amp;I5112)</f>
        <v/>
      </c>
      <c r="S5112" s="22" t="str">
        <f>IF(C5112="","",C5112&amp;I5112)</f>
        <v/>
      </c>
      <c r="T5112" t="str">
        <f>IF(OR(C5112="",I5112&lt;&gt;"ENTRADA"),"",TEXT(B5112,"AAMMDD")&amp;"-"&amp;TEXT(VALUE(SUBSTITUTE(A5112,"MOV-","")),"000"))</f>
        <v/>
      </c>
    </row>
    <row r="5113" spans="18:20">
      <c r="R5113" s="22" t="str">
        <f>IF(H5113="","",H5113&amp;I5113)</f>
        <v/>
      </c>
      <c r="S5113" s="22" t="str">
        <f>IF(C5113="","",C5113&amp;I5113)</f>
        <v/>
      </c>
      <c r="T5113" t="str">
        <f>IF(OR(C5113="",I5113&lt;&gt;"ENTRADA"),"",TEXT(B5113,"AAMMDD")&amp;"-"&amp;TEXT(VALUE(SUBSTITUTE(A5113,"MOV-","")),"000"))</f>
        <v/>
      </c>
    </row>
    <row r="5114" spans="18:20">
      <c r="R5114" s="22" t="str">
        <f>IF(H5114="","",H5114&amp;I5114)</f>
        <v/>
      </c>
      <c r="S5114" s="22" t="str">
        <f>IF(C5114="","",C5114&amp;I5114)</f>
        <v/>
      </c>
      <c r="T5114" t="str">
        <f>IF(OR(C5114="",I5114&lt;&gt;"ENTRADA"),"",TEXT(B5114,"AAMMDD")&amp;"-"&amp;TEXT(VALUE(SUBSTITUTE(A5114,"MOV-","")),"000"))</f>
        <v/>
      </c>
    </row>
    <row r="5115" spans="18:20">
      <c r="R5115" s="22" t="str">
        <f>IF(H5115="","",H5115&amp;I5115)</f>
        <v/>
      </c>
      <c r="S5115" s="22" t="str">
        <f>IF(C5115="","",C5115&amp;I5115)</f>
        <v/>
      </c>
      <c r="T5115" t="str">
        <f>IF(OR(C5115="",I5115&lt;&gt;"ENTRADA"),"",TEXT(B5115,"AAMMDD")&amp;"-"&amp;TEXT(VALUE(SUBSTITUTE(A5115,"MOV-","")),"000"))</f>
        <v/>
      </c>
    </row>
    <row r="5116" spans="18:20">
      <c r="R5116" s="22" t="str">
        <f>IF(H5116="","",H5116&amp;I5116)</f>
        <v/>
      </c>
      <c r="S5116" s="22" t="str">
        <f>IF(C5116="","",C5116&amp;I5116)</f>
        <v/>
      </c>
      <c r="T5116" t="str">
        <f>IF(OR(C5116="",I5116&lt;&gt;"ENTRADA"),"",TEXT(B5116,"AAMMDD")&amp;"-"&amp;TEXT(VALUE(SUBSTITUTE(A5116,"MOV-","")),"000"))</f>
        <v/>
      </c>
    </row>
    <row r="5117" spans="18:20">
      <c r="R5117" s="22" t="str">
        <f>IF(H5117="","",H5117&amp;I5117)</f>
        <v/>
      </c>
      <c r="S5117" s="22" t="str">
        <f>IF(C5117="","",C5117&amp;I5117)</f>
        <v/>
      </c>
      <c r="T5117" t="str">
        <f>IF(OR(C5117="",I5117&lt;&gt;"ENTRADA"),"",TEXT(B5117,"AAMMDD")&amp;"-"&amp;TEXT(VALUE(SUBSTITUTE(A5117,"MOV-","")),"000"))</f>
        <v/>
      </c>
    </row>
    <row r="5118" spans="18:20">
      <c r="R5118" s="22" t="str">
        <f>IF(H5118="","",H5118&amp;I5118)</f>
        <v/>
      </c>
      <c r="S5118" s="22" t="str">
        <f>IF(C5118="","",C5118&amp;I5118)</f>
        <v/>
      </c>
      <c r="T5118" t="str">
        <f>IF(OR(C5118="",I5118&lt;&gt;"ENTRADA"),"",TEXT(B5118,"AAMMDD")&amp;"-"&amp;TEXT(VALUE(SUBSTITUTE(A5118,"MOV-","")),"000"))</f>
        <v/>
      </c>
    </row>
    <row r="5119" spans="18:20">
      <c r="R5119" s="22" t="str">
        <f>IF(H5119="","",H5119&amp;I5119)</f>
        <v/>
      </c>
      <c r="S5119" s="22" t="str">
        <f>IF(C5119="","",C5119&amp;I5119)</f>
        <v/>
      </c>
      <c r="T5119" t="str">
        <f>IF(OR(C5119="",I5119&lt;&gt;"ENTRADA"),"",TEXT(B5119,"AAMMDD")&amp;"-"&amp;TEXT(VALUE(SUBSTITUTE(A5119,"MOV-","")),"000"))</f>
        <v/>
      </c>
    </row>
    <row r="5120" spans="18:20">
      <c r="R5120" s="22" t="str">
        <f>IF(H5120="","",H5120&amp;I5120)</f>
        <v/>
      </c>
      <c r="S5120" s="22" t="str">
        <f>IF(C5120="","",C5120&amp;I5120)</f>
        <v/>
      </c>
      <c r="T5120" t="str">
        <f>IF(OR(C5120="",I5120&lt;&gt;"ENTRADA"),"",TEXT(B5120,"AAMMDD")&amp;"-"&amp;TEXT(VALUE(SUBSTITUTE(A5120,"MOV-","")),"000"))</f>
        <v/>
      </c>
    </row>
    <row r="5121" spans="18:20">
      <c r="R5121" s="22" t="str">
        <f>IF(H5121="","",H5121&amp;I5121)</f>
        <v/>
      </c>
      <c r="S5121" s="22" t="str">
        <f>IF(C5121="","",C5121&amp;I5121)</f>
        <v/>
      </c>
      <c r="T5121" t="str">
        <f>IF(OR(C5121="",I5121&lt;&gt;"ENTRADA"),"",TEXT(B5121,"AAMMDD")&amp;"-"&amp;TEXT(VALUE(SUBSTITUTE(A5121,"MOV-","")),"000"))</f>
        <v/>
      </c>
    </row>
    <row r="5122" spans="18:20">
      <c r="R5122" s="22" t="str">
        <f>IF(H5122="","",H5122&amp;I5122)</f>
        <v/>
      </c>
      <c r="S5122" s="22" t="str">
        <f>IF(C5122="","",C5122&amp;I5122)</f>
        <v/>
      </c>
      <c r="T5122" t="str">
        <f>IF(OR(C5122="",I5122&lt;&gt;"ENTRADA"),"",TEXT(B5122,"AAMMDD")&amp;"-"&amp;TEXT(VALUE(SUBSTITUTE(A5122,"MOV-","")),"000"))</f>
        <v/>
      </c>
    </row>
    <row r="5123" spans="18:20">
      <c r="R5123" s="22" t="str">
        <f>IF(H5123="","",H5123&amp;I5123)</f>
        <v/>
      </c>
      <c r="S5123" s="22" t="str">
        <f>IF(C5123="","",C5123&amp;I5123)</f>
        <v/>
      </c>
      <c r="T5123" t="str">
        <f>IF(OR(C5123="",I5123&lt;&gt;"ENTRADA"),"",TEXT(B5123,"AAMMDD")&amp;"-"&amp;TEXT(VALUE(SUBSTITUTE(A5123,"MOV-","")),"000"))</f>
        <v/>
      </c>
    </row>
    <row r="5124" spans="18:20">
      <c r="R5124" s="22" t="str">
        <f>IF(H5124="","",H5124&amp;I5124)</f>
        <v/>
      </c>
      <c r="S5124" s="22" t="str">
        <f>IF(C5124="","",C5124&amp;I5124)</f>
        <v/>
      </c>
      <c r="T5124" t="str">
        <f>IF(OR(C5124="",I5124&lt;&gt;"ENTRADA"),"",TEXT(B5124,"AAMMDD")&amp;"-"&amp;TEXT(VALUE(SUBSTITUTE(A5124,"MOV-","")),"000"))</f>
        <v/>
      </c>
    </row>
    <row r="5125" spans="18:20">
      <c r="R5125" s="22" t="str">
        <f>IF(H5125="","",H5125&amp;I5125)</f>
        <v/>
      </c>
      <c r="S5125" s="22" t="str">
        <f>IF(C5125="","",C5125&amp;I5125)</f>
        <v/>
      </c>
      <c r="T5125" t="str">
        <f>IF(OR(C5125="",I5125&lt;&gt;"ENTRADA"),"",TEXT(B5125,"AAMMDD")&amp;"-"&amp;TEXT(VALUE(SUBSTITUTE(A5125,"MOV-","")),"000"))</f>
        <v/>
      </c>
    </row>
    <row r="5126" spans="18:20">
      <c r="R5126" s="22" t="str">
        <f>IF(H5126="","",H5126&amp;I5126)</f>
        <v/>
      </c>
      <c r="S5126" s="22" t="str">
        <f>IF(C5126="","",C5126&amp;I5126)</f>
        <v/>
      </c>
      <c r="T5126" t="str">
        <f>IF(OR(C5126="",I5126&lt;&gt;"ENTRADA"),"",TEXT(B5126,"AAMMDD")&amp;"-"&amp;TEXT(VALUE(SUBSTITUTE(A5126,"MOV-","")),"000"))</f>
        <v/>
      </c>
    </row>
    <row r="5127" spans="18:20">
      <c r="R5127" s="22" t="str">
        <f>IF(H5127="","",H5127&amp;I5127)</f>
        <v/>
      </c>
      <c r="S5127" s="22" t="str">
        <f>IF(C5127="","",C5127&amp;I5127)</f>
        <v/>
      </c>
      <c r="T5127" t="str">
        <f>IF(OR(C5127="",I5127&lt;&gt;"ENTRADA"),"",TEXT(B5127,"AAMMDD")&amp;"-"&amp;TEXT(VALUE(SUBSTITUTE(A5127,"MOV-","")),"000"))</f>
        <v/>
      </c>
    </row>
    <row r="5128" spans="18:20">
      <c r="R5128" s="22" t="str">
        <f>IF(H5128="","",H5128&amp;I5128)</f>
        <v/>
      </c>
      <c r="S5128" s="22" t="str">
        <f>IF(C5128="","",C5128&amp;I5128)</f>
        <v/>
      </c>
      <c r="T5128" t="str">
        <f>IF(OR(C5128="",I5128&lt;&gt;"ENTRADA"),"",TEXT(B5128,"AAMMDD")&amp;"-"&amp;TEXT(VALUE(SUBSTITUTE(A5128,"MOV-","")),"000"))</f>
        <v/>
      </c>
    </row>
    <row r="5129" spans="18:20">
      <c r="R5129" s="22" t="str">
        <f>IF(H5129="","",H5129&amp;I5129)</f>
        <v/>
      </c>
      <c r="S5129" s="22" t="str">
        <f>IF(C5129="","",C5129&amp;I5129)</f>
        <v/>
      </c>
      <c r="T5129" t="str">
        <f>IF(OR(C5129="",I5129&lt;&gt;"ENTRADA"),"",TEXT(B5129,"AAMMDD")&amp;"-"&amp;TEXT(VALUE(SUBSTITUTE(A5129,"MOV-","")),"000"))</f>
        <v/>
      </c>
    </row>
    <row r="5130" spans="18:20">
      <c r="R5130" s="22" t="str">
        <f>IF(H5130="","",H5130&amp;I5130)</f>
        <v/>
      </c>
      <c r="S5130" s="22" t="str">
        <f>IF(C5130="","",C5130&amp;I5130)</f>
        <v/>
      </c>
      <c r="T5130" t="str">
        <f>IF(OR(C5130="",I5130&lt;&gt;"ENTRADA"),"",TEXT(B5130,"AAMMDD")&amp;"-"&amp;TEXT(VALUE(SUBSTITUTE(A5130,"MOV-","")),"000"))</f>
        <v/>
      </c>
    </row>
    <row r="5131" spans="18:20">
      <c r="R5131" s="22" t="str">
        <f>IF(H5131="","",H5131&amp;I5131)</f>
        <v/>
      </c>
      <c r="S5131" s="22" t="str">
        <f>IF(C5131="","",C5131&amp;I5131)</f>
        <v/>
      </c>
      <c r="T5131" t="str">
        <f>IF(OR(C5131="",I5131&lt;&gt;"ENTRADA"),"",TEXT(B5131,"AAMMDD")&amp;"-"&amp;TEXT(VALUE(SUBSTITUTE(A5131,"MOV-","")),"000"))</f>
        <v/>
      </c>
    </row>
    <row r="5132" spans="18:20">
      <c r="R5132" s="22" t="str">
        <f>IF(H5132="","",H5132&amp;I5132)</f>
        <v/>
      </c>
      <c r="S5132" s="22" t="str">
        <f>IF(C5132="","",C5132&amp;I5132)</f>
        <v/>
      </c>
      <c r="T5132" t="str">
        <f>IF(OR(C5132="",I5132&lt;&gt;"ENTRADA"),"",TEXT(B5132,"AAMMDD")&amp;"-"&amp;TEXT(VALUE(SUBSTITUTE(A5132,"MOV-","")),"000"))</f>
        <v/>
      </c>
    </row>
    <row r="5133" spans="18:20">
      <c r="R5133" s="22" t="str">
        <f>IF(H5133="","",H5133&amp;I5133)</f>
        <v/>
      </c>
      <c r="S5133" s="22" t="str">
        <f>IF(C5133="","",C5133&amp;I5133)</f>
        <v/>
      </c>
      <c r="T5133" t="str">
        <f>IF(OR(C5133="",I5133&lt;&gt;"ENTRADA"),"",TEXT(B5133,"AAMMDD")&amp;"-"&amp;TEXT(VALUE(SUBSTITUTE(A5133,"MOV-","")),"000"))</f>
        <v/>
      </c>
    </row>
    <row r="5134" spans="18:20">
      <c r="R5134" s="22" t="str">
        <f>IF(H5134="","",H5134&amp;I5134)</f>
        <v/>
      </c>
      <c r="S5134" s="22" t="str">
        <f>IF(C5134="","",C5134&amp;I5134)</f>
        <v/>
      </c>
      <c r="T5134" t="str">
        <f>IF(OR(C5134="",I5134&lt;&gt;"ENTRADA"),"",TEXT(B5134,"AAMMDD")&amp;"-"&amp;TEXT(VALUE(SUBSTITUTE(A5134,"MOV-","")),"000"))</f>
        <v/>
      </c>
    </row>
    <row r="5135" spans="18:20">
      <c r="R5135" s="22" t="str">
        <f>IF(H5135="","",H5135&amp;I5135)</f>
        <v/>
      </c>
      <c r="S5135" s="22" t="str">
        <f>IF(C5135="","",C5135&amp;I5135)</f>
        <v/>
      </c>
      <c r="T5135" t="str">
        <f>IF(OR(C5135="",I5135&lt;&gt;"ENTRADA"),"",TEXT(B5135,"AAMMDD")&amp;"-"&amp;TEXT(VALUE(SUBSTITUTE(A5135,"MOV-","")),"000"))</f>
        <v/>
      </c>
    </row>
    <row r="5136" spans="18:20">
      <c r="R5136" s="22" t="str">
        <f>IF(H5136="","",H5136&amp;I5136)</f>
        <v/>
      </c>
      <c r="S5136" s="22" t="str">
        <f>IF(C5136="","",C5136&amp;I5136)</f>
        <v/>
      </c>
      <c r="T5136" t="str">
        <f>IF(OR(C5136="",I5136&lt;&gt;"ENTRADA"),"",TEXT(B5136,"AAMMDD")&amp;"-"&amp;TEXT(VALUE(SUBSTITUTE(A5136,"MOV-","")),"000"))</f>
        <v/>
      </c>
    </row>
    <row r="5137" spans="18:20">
      <c r="R5137" s="22" t="str">
        <f>IF(H5137="","",H5137&amp;I5137)</f>
        <v/>
      </c>
      <c r="S5137" s="22" t="str">
        <f>IF(C5137="","",C5137&amp;I5137)</f>
        <v/>
      </c>
      <c r="T5137" t="str">
        <f>IF(OR(C5137="",I5137&lt;&gt;"ENTRADA"),"",TEXT(B5137,"AAMMDD")&amp;"-"&amp;TEXT(VALUE(SUBSTITUTE(A5137,"MOV-","")),"000"))</f>
        <v/>
      </c>
    </row>
    <row r="5138" spans="18:20">
      <c r="R5138" s="22" t="str">
        <f>IF(H5138="","",H5138&amp;I5138)</f>
        <v/>
      </c>
      <c r="S5138" s="22" t="str">
        <f>IF(C5138="","",C5138&amp;I5138)</f>
        <v/>
      </c>
      <c r="T5138" t="str">
        <f>IF(OR(C5138="",I5138&lt;&gt;"ENTRADA"),"",TEXT(B5138,"AAMMDD")&amp;"-"&amp;TEXT(VALUE(SUBSTITUTE(A5138,"MOV-","")),"000"))</f>
        <v/>
      </c>
    </row>
    <row r="5139" spans="18:20">
      <c r="R5139" s="22" t="str">
        <f>IF(H5139="","",H5139&amp;I5139)</f>
        <v/>
      </c>
      <c r="S5139" s="22" t="str">
        <f>IF(C5139="","",C5139&amp;I5139)</f>
        <v/>
      </c>
      <c r="T5139" t="str">
        <f>IF(OR(C5139="",I5139&lt;&gt;"ENTRADA"),"",TEXT(B5139,"AAMMDD")&amp;"-"&amp;TEXT(VALUE(SUBSTITUTE(A5139,"MOV-","")),"000"))</f>
        <v/>
      </c>
    </row>
    <row r="5140" spans="18:20">
      <c r="R5140" s="22" t="str">
        <f>IF(H5140="","",H5140&amp;I5140)</f>
        <v/>
      </c>
      <c r="S5140" s="22" t="str">
        <f>IF(C5140="","",C5140&amp;I5140)</f>
        <v/>
      </c>
      <c r="T5140" t="str">
        <f>IF(OR(C5140="",I5140&lt;&gt;"ENTRADA"),"",TEXT(B5140,"AAMMDD")&amp;"-"&amp;TEXT(VALUE(SUBSTITUTE(A5140,"MOV-","")),"000"))</f>
        <v/>
      </c>
    </row>
    <row r="5141" spans="18:20">
      <c r="R5141" s="22" t="str">
        <f>IF(H5141="","",H5141&amp;I5141)</f>
        <v/>
      </c>
      <c r="S5141" s="22" t="str">
        <f>IF(C5141="","",C5141&amp;I5141)</f>
        <v/>
      </c>
      <c r="T5141" t="str">
        <f>IF(OR(C5141="",I5141&lt;&gt;"ENTRADA"),"",TEXT(B5141,"AAMMDD")&amp;"-"&amp;TEXT(VALUE(SUBSTITUTE(A5141,"MOV-","")),"000"))</f>
        <v/>
      </c>
    </row>
    <row r="5142" spans="18:20">
      <c r="R5142" s="22" t="str">
        <f>IF(H5142="","",H5142&amp;I5142)</f>
        <v/>
      </c>
      <c r="S5142" s="22" t="str">
        <f>IF(C5142="","",C5142&amp;I5142)</f>
        <v/>
      </c>
      <c r="T5142" t="str">
        <f>IF(OR(C5142="",I5142&lt;&gt;"ENTRADA"),"",TEXT(B5142,"AAMMDD")&amp;"-"&amp;TEXT(VALUE(SUBSTITUTE(A5142,"MOV-","")),"000"))</f>
        <v/>
      </c>
    </row>
    <row r="5143" spans="18:20">
      <c r="R5143" s="22" t="str">
        <f>IF(H5143="","",H5143&amp;I5143)</f>
        <v/>
      </c>
      <c r="S5143" s="22" t="str">
        <f>IF(C5143="","",C5143&amp;I5143)</f>
        <v/>
      </c>
      <c r="T5143" t="str">
        <f>IF(OR(C5143="",I5143&lt;&gt;"ENTRADA"),"",TEXT(B5143,"AAMMDD")&amp;"-"&amp;TEXT(VALUE(SUBSTITUTE(A5143,"MOV-","")),"000"))</f>
        <v/>
      </c>
    </row>
    <row r="5144" spans="18:20">
      <c r="R5144" s="22" t="str">
        <f>IF(H5144="","",H5144&amp;I5144)</f>
        <v/>
      </c>
      <c r="S5144" s="22" t="str">
        <f>IF(C5144="","",C5144&amp;I5144)</f>
        <v/>
      </c>
      <c r="T5144" t="str">
        <f>IF(OR(C5144="",I5144&lt;&gt;"ENTRADA"),"",TEXT(B5144,"AAMMDD")&amp;"-"&amp;TEXT(VALUE(SUBSTITUTE(A5144,"MOV-","")),"000"))</f>
        <v/>
      </c>
    </row>
    <row r="5145" spans="18:20">
      <c r="R5145" s="22" t="str">
        <f>IF(H5145="","",H5145&amp;I5145)</f>
        <v/>
      </c>
      <c r="S5145" s="22" t="str">
        <f>IF(C5145="","",C5145&amp;I5145)</f>
        <v/>
      </c>
      <c r="T5145" t="str">
        <f>IF(OR(C5145="",I5145&lt;&gt;"ENTRADA"),"",TEXT(B5145,"AAMMDD")&amp;"-"&amp;TEXT(VALUE(SUBSTITUTE(A5145,"MOV-","")),"000"))</f>
        <v/>
      </c>
    </row>
    <row r="5146" spans="18:20">
      <c r="R5146" s="22" t="str">
        <f>IF(H5146="","",H5146&amp;I5146)</f>
        <v/>
      </c>
      <c r="S5146" s="22" t="str">
        <f>IF(C5146="","",C5146&amp;I5146)</f>
        <v/>
      </c>
      <c r="T5146" t="str">
        <f>IF(OR(C5146="",I5146&lt;&gt;"ENTRADA"),"",TEXT(B5146,"AAMMDD")&amp;"-"&amp;TEXT(VALUE(SUBSTITUTE(A5146,"MOV-","")),"000"))</f>
        <v/>
      </c>
    </row>
    <row r="5147" spans="18:20">
      <c r="R5147" s="22" t="str">
        <f>IF(H5147="","",H5147&amp;I5147)</f>
        <v/>
      </c>
      <c r="S5147" s="22" t="str">
        <f>IF(C5147="","",C5147&amp;I5147)</f>
        <v/>
      </c>
      <c r="T5147" t="str">
        <f>IF(OR(C5147="",I5147&lt;&gt;"ENTRADA"),"",TEXT(B5147,"AAMMDD")&amp;"-"&amp;TEXT(VALUE(SUBSTITUTE(A5147,"MOV-","")),"000"))</f>
        <v/>
      </c>
    </row>
    <row r="5148" spans="18:20">
      <c r="R5148" s="22" t="str">
        <f>IF(H5148="","",H5148&amp;I5148)</f>
        <v/>
      </c>
      <c r="S5148" s="22" t="str">
        <f>IF(C5148="","",C5148&amp;I5148)</f>
        <v/>
      </c>
      <c r="T5148" t="str">
        <f>IF(OR(C5148="",I5148&lt;&gt;"ENTRADA"),"",TEXT(B5148,"AAMMDD")&amp;"-"&amp;TEXT(VALUE(SUBSTITUTE(A5148,"MOV-","")),"000"))</f>
        <v/>
      </c>
    </row>
    <row r="5149" spans="18:20">
      <c r="R5149" s="22" t="str">
        <f>IF(H5149="","",H5149&amp;I5149)</f>
        <v/>
      </c>
      <c r="S5149" s="22" t="str">
        <f>IF(C5149="","",C5149&amp;I5149)</f>
        <v/>
      </c>
      <c r="T5149" t="str">
        <f>IF(OR(C5149="",I5149&lt;&gt;"ENTRADA"),"",TEXT(B5149,"AAMMDD")&amp;"-"&amp;TEXT(VALUE(SUBSTITUTE(A5149,"MOV-","")),"000"))</f>
        <v/>
      </c>
    </row>
    <row r="5150" spans="18:20">
      <c r="R5150" s="22" t="str">
        <f>IF(H5150="","",H5150&amp;I5150)</f>
        <v/>
      </c>
      <c r="S5150" s="22" t="str">
        <f>IF(C5150="","",C5150&amp;I5150)</f>
        <v/>
      </c>
      <c r="T5150" t="str">
        <f>IF(OR(C5150="",I5150&lt;&gt;"ENTRADA"),"",TEXT(B5150,"AAMMDD")&amp;"-"&amp;TEXT(VALUE(SUBSTITUTE(A5150,"MOV-","")),"000"))</f>
        <v/>
      </c>
    </row>
    <row r="5151" spans="18:20">
      <c r="R5151" s="22" t="str">
        <f>IF(H5151="","",H5151&amp;I5151)</f>
        <v/>
      </c>
      <c r="S5151" s="22" t="str">
        <f>IF(C5151="","",C5151&amp;I5151)</f>
        <v/>
      </c>
      <c r="T5151" t="str">
        <f>IF(OR(C5151="",I5151&lt;&gt;"ENTRADA"),"",TEXT(B5151,"AAMMDD")&amp;"-"&amp;TEXT(VALUE(SUBSTITUTE(A5151,"MOV-","")),"000"))</f>
        <v/>
      </c>
    </row>
    <row r="5152" spans="18:20">
      <c r="R5152" s="22" t="str">
        <f>IF(H5152="","",H5152&amp;I5152)</f>
        <v/>
      </c>
      <c r="S5152" s="22" t="str">
        <f>IF(C5152="","",C5152&amp;I5152)</f>
        <v/>
      </c>
      <c r="T5152" t="str">
        <f>IF(OR(C5152="",I5152&lt;&gt;"ENTRADA"),"",TEXT(B5152,"AAMMDD")&amp;"-"&amp;TEXT(VALUE(SUBSTITUTE(A5152,"MOV-","")),"000"))</f>
        <v/>
      </c>
    </row>
    <row r="5153" spans="18:20">
      <c r="R5153" s="22" t="str">
        <f>IF(H5153="","",H5153&amp;I5153)</f>
        <v/>
      </c>
      <c r="S5153" s="22" t="str">
        <f>IF(C5153="","",C5153&amp;I5153)</f>
        <v/>
      </c>
      <c r="T5153" t="str">
        <f>IF(OR(C5153="",I5153&lt;&gt;"ENTRADA"),"",TEXT(B5153,"AAMMDD")&amp;"-"&amp;TEXT(VALUE(SUBSTITUTE(A5153,"MOV-","")),"000"))</f>
        <v/>
      </c>
    </row>
    <row r="5154" spans="18:20">
      <c r="R5154" s="22" t="str">
        <f>IF(H5154="","",H5154&amp;I5154)</f>
        <v/>
      </c>
      <c r="S5154" s="22" t="str">
        <f>IF(C5154="","",C5154&amp;I5154)</f>
        <v/>
      </c>
      <c r="T5154" t="str">
        <f>IF(OR(C5154="",I5154&lt;&gt;"ENTRADA"),"",TEXT(B5154,"AAMMDD")&amp;"-"&amp;TEXT(VALUE(SUBSTITUTE(A5154,"MOV-","")),"000"))</f>
        <v/>
      </c>
    </row>
    <row r="5155" spans="18:20">
      <c r="R5155" s="22" t="str">
        <f>IF(H5155="","",H5155&amp;I5155)</f>
        <v/>
      </c>
      <c r="S5155" s="22" t="str">
        <f>IF(C5155="","",C5155&amp;I5155)</f>
        <v/>
      </c>
      <c r="T5155" t="str">
        <f>IF(OR(C5155="",I5155&lt;&gt;"ENTRADA"),"",TEXT(B5155,"AAMMDD")&amp;"-"&amp;TEXT(VALUE(SUBSTITUTE(A5155,"MOV-","")),"000"))</f>
        <v/>
      </c>
    </row>
    <row r="5156" spans="18:20">
      <c r="R5156" s="22" t="str">
        <f>IF(H5156="","",H5156&amp;I5156)</f>
        <v/>
      </c>
      <c r="S5156" s="22" t="str">
        <f>IF(C5156="","",C5156&amp;I5156)</f>
        <v/>
      </c>
      <c r="T5156" t="str">
        <f>IF(OR(C5156="",I5156&lt;&gt;"ENTRADA"),"",TEXT(B5156,"AAMMDD")&amp;"-"&amp;TEXT(VALUE(SUBSTITUTE(A5156,"MOV-","")),"000"))</f>
        <v/>
      </c>
    </row>
    <row r="5157" spans="18:20">
      <c r="R5157" s="22" t="str">
        <f>IF(H5157="","",H5157&amp;I5157)</f>
        <v/>
      </c>
      <c r="S5157" s="22" t="str">
        <f>IF(C5157="","",C5157&amp;I5157)</f>
        <v/>
      </c>
      <c r="T5157" t="str">
        <f>IF(OR(C5157="",I5157&lt;&gt;"ENTRADA"),"",TEXT(B5157,"AAMMDD")&amp;"-"&amp;TEXT(VALUE(SUBSTITUTE(A5157,"MOV-","")),"000"))</f>
        <v/>
      </c>
    </row>
    <row r="5158" spans="18:20">
      <c r="R5158" s="22" t="str">
        <f>IF(H5158="","",H5158&amp;I5158)</f>
        <v/>
      </c>
      <c r="S5158" s="22" t="str">
        <f>IF(C5158="","",C5158&amp;I5158)</f>
        <v/>
      </c>
      <c r="T5158" t="str">
        <f>IF(OR(C5158="",I5158&lt;&gt;"ENTRADA"),"",TEXT(B5158,"AAMMDD")&amp;"-"&amp;TEXT(VALUE(SUBSTITUTE(A5158,"MOV-","")),"000"))</f>
        <v/>
      </c>
    </row>
    <row r="5159" spans="18:20">
      <c r="R5159" s="22" t="str">
        <f>IF(H5159="","",H5159&amp;I5159)</f>
        <v/>
      </c>
      <c r="S5159" s="22" t="str">
        <f>IF(C5159="","",C5159&amp;I5159)</f>
        <v/>
      </c>
      <c r="T5159" t="str">
        <f>IF(OR(C5159="",I5159&lt;&gt;"ENTRADA"),"",TEXT(B5159,"AAMMDD")&amp;"-"&amp;TEXT(VALUE(SUBSTITUTE(A5159,"MOV-","")),"000"))</f>
        <v/>
      </c>
    </row>
    <row r="5160" spans="18:20">
      <c r="R5160" s="22" t="str">
        <f>IF(H5160="","",H5160&amp;I5160)</f>
        <v/>
      </c>
      <c r="S5160" s="22" t="str">
        <f>IF(C5160="","",C5160&amp;I5160)</f>
        <v/>
      </c>
      <c r="T5160" t="str">
        <f>IF(OR(C5160="",I5160&lt;&gt;"ENTRADA"),"",TEXT(B5160,"AAMMDD")&amp;"-"&amp;TEXT(VALUE(SUBSTITUTE(A5160,"MOV-","")),"000"))</f>
        <v/>
      </c>
    </row>
    <row r="5161" spans="18:20">
      <c r="R5161" s="22" t="str">
        <f>IF(H5161="","",H5161&amp;I5161)</f>
        <v/>
      </c>
      <c r="S5161" s="22" t="str">
        <f>IF(C5161="","",C5161&amp;I5161)</f>
        <v/>
      </c>
      <c r="T5161" t="str">
        <f>IF(OR(C5161="",I5161&lt;&gt;"ENTRADA"),"",TEXT(B5161,"AAMMDD")&amp;"-"&amp;TEXT(VALUE(SUBSTITUTE(A5161,"MOV-","")),"000"))</f>
        <v/>
      </c>
    </row>
    <row r="5162" spans="18:20">
      <c r="R5162" s="22" t="str">
        <f>IF(H5162="","",H5162&amp;I5162)</f>
        <v/>
      </c>
      <c r="S5162" s="22" t="str">
        <f>IF(C5162="","",C5162&amp;I5162)</f>
        <v/>
      </c>
      <c r="T5162" t="str">
        <f>IF(OR(C5162="",I5162&lt;&gt;"ENTRADA"),"",TEXT(B5162,"AAMMDD")&amp;"-"&amp;TEXT(VALUE(SUBSTITUTE(A5162,"MOV-","")),"000"))</f>
        <v/>
      </c>
    </row>
    <row r="5163" spans="18:20">
      <c r="R5163" s="22" t="str">
        <f>IF(H5163="","",H5163&amp;I5163)</f>
        <v/>
      </c>
      <c r="S5163" s="22" t="str">
        <f>IF(C5163="","",C5163&amp;I5163)</f>
        <v/>
      </c>
      <c r="T5163" t="str">
        <f>IF(OR(C5163="",I5163&lt;&gt;"ENTRADA"),"",TEXT(B5163,"AAMMDD")&amp;"-"&amp;TEXT(VALUE(SUBSTITUTE(A5163,"MOV-","")),"000"))</f>
        <v/>
      </c>
    </row>
    <row r="5164" spans="18:20">
      <c r="R5164" s="22" t="str">
        <f>IF(H5164="","",H5164&amp;I5164)</f>
        <v/>
      </c>
      <c r="S5164" s="22" t="str">
        <f>IF(C5164="","",C5164&amp;I5164)</f>
        <v/>
      </c>
      <c r="T5164" t="str">
        <f>IF(OR(C5164="",I5164&lt;&gt;"ENTRADA"),"",TEXT(B5164,"AAMMDD")&amp;"-"&amp;TEXT(VALUE(SUBSTITUTE(A5164,"MOV-","")),"000"))</f>
        <v/>
      </c>
    </row>
    <row r="5165" spans="18:20">
      <c r="R5165" s="22" t="str">
        <f>IF(H5165="","",H5165&amp;I5165)</f>
        <v/>
      </c>
      <c r="S5165" s="22" t="str">
        <f>IF(C5165="","",C5165&amp;I5165)</f>
        <v/>
      </c>
      <c r="T5165" t="str">
        <f>IF(OR(C5165="",I5165&lt;&gt;"ENTRADA"),"",TEXT(B5165,"AAMMDD")&amp;"-"&amp;TEXT(VALUE(SUBSTITUTE(A5165,"MOV-","")),"000"))</f>
        <v/>
      </c>
    </row>
    <row r="5166" spans="18:20">
      <c r="R5166" s="22" t="str">
        <f>IF(H5166="","",H5166&amp;I5166)</f>
        <v/>
      </c>
      <c r="S5166" s="22" t="str">
        <f>IF(C5166="","",C5166&amp;I5166)</f>
        <v/>
      </c>
      <c r="T5166" t="str">
        <f>IF(OR(C5166="",I5166&lt;&gt;"ENTRADA"),"",TEXT(B5166,"AAMMDD")&amp;"-"&amp;TEXT(VALUE(SUBSTITUTE(A5166,"MOV-","")),"000"))</f>
        <v/>
      </c>
    </row>
    <row r="5167" spans="18:20">
      <c r="R5167" s="22" t="str">
        <f>IF(H5167="","",H5167&amp;I5167)</f>
        <v/>
      </c>
      <c r="S5167" s="22" t="str">
        <f>IF(C5167="","",C5167&amp;I5167)</f>
        <v/>
      </c>
      <c r="T5167" t="str">
        <f>IF(OR(C5167="",I5167&lt;&gt;"ENTRADA"),"",TEXT(B5167,"AAMMDD")&amp;"-"&amp;TEXT(VALUE(SUBSTITUTE(A5167,"MOV-","")),"000"))</f>
        <v/>
      </c>
    </row>
    <row r="5168" spans="18:20">
      <c r="R5168" s="22" t="str">
        <f>IF(H5168="","",H5168&amp;I5168)</f>
        <v/>
      </c>
      <c r="S5168" s="22" t="str">
        <f>IF(C5168="","",C5168&amp;I5168)</f>
        <v/>
      </c>
      <c r="T5168" t="str">
        <f>IF(OR(C5168="",I5168&lt;&gt;"ENTRADA"),"",TEXT(B5168,"AAMMDD")&amp;"-"&amp;TEXT(VALUE(SUBSTITUTE(A5168,"MOV-","")),"000"))</f>
        <v/>
      </c>
    </row>
    <row r="5169" spans="18:20">
      <c r="R5169" s="22" t="str">
        <f>IF(H5169="","",H5169&amp;I5169)</f>
        <v/>
      </c>
      <c r="S5169" s="22" t="str">
        <f>IF(C5169="","",C5169&amp;I5169)</f>
        <v/>
      </c>
      <c r="T5169" t="str">
        <f>IF(OR(C5169="",I5169&lt;&gt;"ENTRADA"),"",TEXT(B5169,"AAMMDD")&amp;"-"&amp;TEXT(VALUE(SUBSTITUTE(A5169,"MOV-","")),"000"))</f>
        <v/>
      </c>
    </row>
    <row r="5170" spans="18:20">
      <c r="R5170" s="22" t="str">
        <f>IF(H5170="","",H5170&amp;I5170)</f>
        <v/>
      </c>
      <c r="S5170" s="22" t="str">
        <f>IF(C5170="","",C5170&amp;I5170)</f>
        <v/>
      </c>
      <c r="T5170" t="str">
        <f>IF(OR(C5170="",I5170&lt;&gt;"ENTRADA"),"",TEXT(B5170,"AAMMDD")&amp;"-"&amp;TEXT(VALUE(SUBSTITUTE(A5170,"MOV-","")),"000"))</f>
        <v/>
      </c>
    </row>
    <row r="5171" spans="18:20">
      <c r="R5171" s="22" t="str">
        <f>IF(H5171="","",H5171&amp;I5171)</f>
        <v/>
      </c>
      <c r="S5171" s="22" t="str">
        <f>IF(C5171="","",C5171&amp;I5171)</f>
        <v/>
      </c>
      <c r="T5171" t="str">
        <f>IF(OR(C5171="",I5171&lt;&gt;"ENTRADA"),"",TEXT(B5171,"AAMMDD")&amp;"-"&amp;TEXT(VALUE(SUBSTITUTE(A5171,"MOV-","")),"000"))</f>
        <v/>
      </c>
    </row>
    <row r="5172" spans="18:20">
      <c r="R5172" s="22" t="str">
        <f>IF(H5172="","",H5172&amp;I5172)</f>
        <v/>
      </c>
      <c r="S5172" s="22" t="str">
        <f>IF(C5172="","",C5172&amp;I5172)</f>
        <v/>
      </c>
      <c r="T5172" t="str">
        <f>IF(OR(C5172="",I5172&lt;&gt;"ENTRADA"),"",TEXT(B5172,"AAMMDD")&amp;"-"&amp;TEXT(VALUE(SUBSTITUTE(A5172,"MOV-","")),"000"))</f>
        <v/>
      </c>
    </row>
    <row r="5173" spans="18:20">
      <c r="R5173" s="22" t="str">
        <f>IF(H5173="","",H5173&amp;I5173)</f>
        <v/>
      </c>
      <c r="S5173" s="22" t="str">
        <f>IF(C5173="","",C5173&amp;I5173)</f>
        <v/>
      </c>
      <c r="T5173" t="str">
        <f>IF(OR(C5173="",I5173&lt;&gt;"ENTRADA"),"",TEXT(B5173,"AAMMDD")&amp;"-"&amp;TEXT(VALUE(SUBSTITUTE(A5173,"MOV-","")),"000"))</f>
        <v/>
      </c>
    </row>
    <row r="5174" spans="18:20">
      <c r="R5174" s="22" t="str">
        <f>IF(H5174="","",H5174&amp;I5174)</f>
        <v/>
      </c>
      <c r="S5174" s="22" t="str">
        <f>IF(C5174="","",C5174&amp;I5174)</f>
        <v/>
      </c>
      <c r="T5174" t="str">
        <f>IF(OR(C5174="",I5174&lt;&gt;"ENTRADA"),"",TEXT(B5174,"AAMMDD")&amp;"-"&amp;TEXT(VALUE(SUBSTITUTE(A5174,"MOV-","")),"000"))</f>
        <v/>
      </c>
    </row>
    <row r="5175" spans="18:20">
      <c r="R5175" s="22" t="str">
        <f>IF(H5175="","",H5175&amp;I5175)</f>
        <v/>
      </c>
      <c r="S5175" s="22" t="str">
        <f>IF(C5175="","",C5175&amp;I5175)</f>
        <v/>
      </c>
      <c r="T5175" t="str">
        <f>IF(OR(C5175="",I5175&lt;&gt;"ENTRADA"),"",TEXT(B5175,"AAMMDD")&amp;"-"&amp;TEXT(VALUE(SUBSTITUTE(A5175,"MOV-","")),"000"))</f>
        <v/>
      </c>
    </row>
    <row r="5176" spans="18:20">
      <c r="R5176" s="22" t="str">
        <f>IF(H5176="","",H5176&amp;I5176)</f>
        <v/>
      </c>
      <c r="S5176" s="22" t="str">
        <f>IF(C5176="","",C5176&amp;I5176)</f>
        <v/>
      </c>
      <c r="T5176" t="str">
        <f>IF(OR(C5176="",I5176&lt;&gt;"ENTRADA"),"",TEXT(B5176,"AAMMDD")&amp;"-"&amp;TEXT(VALUE(SUBSTITUTE(A5176,"MOV-","")),"000"))</f>
        <v/>
      </c>
    </row>
    <row r="5177" spans="18:20">
      <c r="R5177" s="22" t="str">
        <f>IF(H5177="","",H5177&amp;I5177)</f>
        <v/>
      </c>
      <c r="S5177" s="22" t="str">
        <f>IF(C5177="","",C5177&amp;I5177)</f>
        <v/>
      </c>
      <c r="T5177" t="str">
        <f>IF(OR(C5177="",I5177&lt;&gt;"ENTRADA"),"",TEXT(B5177,"AAMMDD")&amp;"-"&amp;TEXT(VALUE(SUBSTITUTE(A5177,"MOV-","")),"000"))</f>
        <v/>
      </c>
    </row>
    <row r="5178" spans="18:20">
      <c r="R5178" s="22" t="str">
        <f>IF(H5178="","",H5178&amp;I5178)</f>
        <v/>
      </c>
      <c r="S5178" s="22" t="str">
        <f>IF(C5178="","",C5178&amp;I5178)</f>
        <v/>
      </c>
      <c r="T5178" t="str">
        <f>IF(OR(C5178="",I5178&lt;&gt;"ENTRADA"),"",TEXT(B5178,"AAMMDD")&amp;"-"&amp;TEXT(VALUE(SUBSTITUTE(A5178,"MOV-","")),"000"))</f>
        <v/>
      </c>
    </row>
    <row r="5179" spans="18:20">
      <c r="R5179" s="22" t="str">
        <f>IF(H5179="","",H5179&amp;I5179)</f>
        <v/>
      </c>
      <c r="S5179" s="22" t="str">
        <f>IF(C5179="","",C5179&amp;I5179)</f>
        <v/>
      </c>
      <c r="T5179" t="str">
        <f>IF(OR(C5179="",I5179&lt;&gt;"ENTRADA"),"",TEXT(B5179,"AAMMDD")&amp;"-"&amp;TEXT(VALUE(SUBSTITUTE(A5179,"MOV-","")),"000"))</f>
        <v/>
      </c>
    </row>
    <row r="5180" spans="18:20">
      <c r="R5180" s="22" t="str">
        <f>IF(H5180="","",H5180&amp;I5180)</f>
        <v/>
      </c>
      <c r="S5180" s="22" t="str">
        <f>IF(C5180="","",C5180&amp;I5180)</f>
        <v/>
      </c>
      <c r="T5180" t="str">
        <f>IF(OR(C5180="",I5180&lt;&gt;"ENTRADA"),"",TEXT(B5180,"AAMMDD")&amp;"-"&amp;TEXT(VALUE(SUBSTITUTE(A5180,"MOV-","")),"000"))</f>
        <v/>
      </c>
    </row>
    <row r="5181" spans="18:20">
      <c r="R5181" s="22" t="str">
        <f>IF(H5181="","",H5181&amp;I5181)</f>
        <v/>
      </c>
      <c r="S5181" s="22" t="str">
        <f>IF(C5181="","",C5181&amp;I5181)</f>
        <v/>
      </c>
      <c r="T5181" t="str">
        <f>IF(OR(C5181="",I5181&lt;&gt;"ENTRADA"),"",TEXT(B5181,"AAMMDD")&amp;"-"&amp;TEXT(VALUE(SUBSTITUTE(A5181,"MOV-","")),"000"))</f>
        <v/>
      </c>
    </row>
    <row r="5182" spans="18:20">
      <c r="R5182" s="22" t="str">
        <f>IF(H5182="","",H5182&amp;I5182)</f>
        <v/>
      </c>
      <c r="S5182" s="22" t="str">
        <f>IF(C5182="","",C5182&amp;I5182)</f>
        <v/>
      </c>
      <c r="T5182" t="str">
        <f>IF(OR(C5182="",I5182&lt;&gt;"ENTRADA"),"",TEXT(B5182,"AAMMDD")&amp;"-"&amp;TEXT(VALUE(SUBSTITUTE(A5182,"MOV-","")),"000"))</f>
        <v/>
      </c>
    </row>
    <row r="5183" spans="18:20">
      <c r="R5183" s="22" t="str">
        <f>IF(H5183="","",H5183&amp;I5183)</f>
        <v/>
      </c>
      <c r="S5183" s="22" t="str">
        <f>IF(C5183="","",C5183&amp;I5183)</f>
        <v/>
      </c>
      <c r="T5183" t="str">
        <f>IF(OR(C5183="",I5183&lt;&gt;"ENTRADA"),"",TEXT(B5183,"AAMMDD")&amp;"-"&amp;TEXT(VALUE(SUBSTITUTE(A5183,"MOV-","")),"000"))</f>
        <v/>
      </c>
    </row>
    <row r="5184" spans="18:20">
      <c r="R5184" s="22" t="str">
        <f>IF(H5184="","",H5184&amp;I5184)</f>
        <v/>
      </c>
      <c r="S5184" s="22" t="str">
        <f>IF(C5184="","",C5184&amp;I5184)</f>
        <v/>
      </c>
      <c r="T5184" t="str">
        <f>IF(OR(C5184="",I5184&lt;&gt;"ENTRADA"),"",TEXT(B5184,"AAMMDD")&amp;"-"&amp;TEXT(VALUE(SUBSTITUTE(A5184,"MOV-","")),"000"))</f>
        <v/>
      </c>
    </row>
    <row r="5185" spans="18:20">
      <c r="R5185" s="22" t="str">
        <f>IF(H5185="","",H5185&amp;I5185)</f>
        <v/>
      </c>
      <c r="S5185" s="22" t="str">
        <f>IF(C5185="","",C5185&amp;I5185)</f>
        <v/>
      </c>
      <c r="T5185" t="str">
        <f>IF(OR(C5185="",I5185&lt;&gt;"ENTRADA"),"",TEXT(B5185,"AAMMDD")&amp;"-"&amp;TEXT(VALUE(SUBSTITUTE(A5185,"MOV-","")),"000"))</f>
        <v/>
      </c>
    </row>
    <row r="5186" spans="18:20">
      <c r="R5186" s="22" t="str">
        <f>IF(H5186="","",H5186&amp;I5186)</f>
        <v/>
      </c>
      <c r="S5186" s="22" t="str">
        <f>IF(C5186="","",C5186&amp;I5186)</f>
        <v/>
      </c>
      <c r="T5186" t="str">
        <f>IF(OR(C5186="",I5186&lt;&gt;"ENTRADA"),"",TEXT(B5186,"AAMMDD")&amp;"-"&amp;TEXT(VALUE(SUBSTITUTE(A5186,"MOV-","")),"000"))</f>
        <v/>
      </c>
    </row>
    <row r="5187" spans="18:20">
      <c r="R5187" s="22" t="str">
        <f>IF(H5187="","",H5187&amp;I5187)</f>
        <v/>
      </c>
      <c r="S5187" s="22" t="str">
        <f>IF(C5187="","",C5187&amp;I5187)</f>
        <v/>
      </c>
      <c r="T5187" t="str">
        <f>IF(OR(C5187="",I5187&lt;&gt;"ENTRADA"),"",TEXT(B5187,"AAMMDD")&amp;"-"&amp;TEXT(VALUE(SUBSTITUTE(A5187,"MOV-","")),"000"))</f>
        <v/>
      </c>
    </row>
    <row r="5188" spans="18:20">
      <c r="R5188" s="22" t="str">
        <f>IF(H5188="","",H5188&amp;I5188)</f>
        <v/>
      </c>
      <c r="S5188" s="22" t="str">
        <f>IF(C5188="","",C5188&amp;I5188)</f>
        <v/>
      </c>
      <c r="T5188" t="str">
        <f>IF(OR(C5188="",I5188&lt;&gt;"ENTRADA"),"",TEXT(B5188,"AAMMDD")&amp;"-"&amp;TEXT(VALUE(SUBSTITUTE(A5188,"MOV-","")),"000"))</f>
        <v/>
      </c>
    </row>
    <row r="5189" spans="18:20">
      <c r="R5189" s="22" t="str">
        <f>IF(H5189="","",H5189&amp;I5189)</f>
        <v/>
      </c>
      <c r="S5189" s="22" t="str">
        <f>IF(C5189="","",C5189&amp;I5189)</f>
        <v/>
      </c>
      <c r="T5189" t="str">
        <f>IF(OR(C5189="",I5189&lt;&gt;"ENTRADA"),"",TEXT(B5189,"AAMMDD")&amp;"-"&amp;TEXT(VALUE(SUBSTITUTE(A5189,"MOV-","")),"000"))</f>
        <v/>
      </c>
    </row>
    <row r="5190" spans="18:20">
      <c r="R5190" s="22" t="str">
        <f>IF(H5190="","",H5190&amp;I5190)</f>
        <v/>
      </c>
      <c r="S5190" s="22" t="str">
        <f>IF(C5190="","",C5190&amp;I5190)</f>
        <v/>
      </c>
      <c r="T5190" t="str">
        <f>IF(OR(C5190="",I5190&lt;&gt;"ENTRADA"),"",TEXT(B5190,"AAMMDD")&amp;"-"&amp;TEXT(VALUE(SUBSTITUTE(A5190,"MOV-","")),"000"))</f>
        <v/>
      </c>
    </row>
    <row r="5191" spans="18:20">
      <c r="R5191" s="22" t="str">
        <f>IF(H5191="","",H5191&amp;I5191)</f>
        <v/>
      </c>
      <c r="S5191" s="22" t="str">
        <f>IF(C5191="","",C5191&amp;I5191)</f>
        <v/>
      </c>
      <c r="T5191" t="str">
        <f>IF(OR(C5191="",I5191&lt;&gt;"ENTRADA"),"",TEXT(B5191,"AAMMDD")&amp;"-"&amp;TEXT(VALUE(SUBSTITUTE(A5191,"MOV-","")),"000"))</f>
        <v/>
      </c>
    </row>
    <row r="5192" spans="18:20">
      <c r="R5192" s="22" t="str">
        <f>IF(H5192="","",H5192&amp;I5192)</f>
        <v/>
      </c>
      <c r="S5192" s="22" t="str">
        <f>IF(C5192="","",C5192&amp;I5192)</f>
        <v/>
      </c>
      <c r="T5192" t="str">
        <f>IF(OR(C5192="",I5192&lt;&gt;"ENTRADA"),"",TEXT(B5192,"AAMMDD")&amp;"-"&amp;TEXT(VALUE(SUBSTITUTE(A5192,"MOV-","")),"000"))</f>
        <v/>
      </c>
    </row>
    <row r="5193" spans="18:20">
      <c r="R5193" s="22" t="str">
        <f>IF(H5193="","",H5193&amp;I5193)</f>
        <v/>
      </c>
      <c r="S5193" s="22" t="str">
        <f>IF(C5193="","",C5193&amp;I5193)</f>
        <v/>
      </c>
      <c r="T5193" t="str">
        <f>IF(OR(C5193="",I5193&lt;&gt;"ENTRADA"),"",TEXT(B5193,"AAMMDD")&amp;"-"&amp;TEXT(VALUE(SUBSTITUTE(A5193,"MOV-","")),"000"))</f>
        <v/>
      </c>
    </row>
    <row r="5194" spans="18:20">
      <c r="R5194" s="22" t="str">
        <f>IF(H5194="","",H5194&amp;I5194)</f>
        <v/>
      </c>
      <c r="S5194" s="22" t="str">
        <f>IF(C5194="","",C5194&amp;I5194)</f>
        <v/>
      </c>
      <c r="T5194" t="str">
        <f>IF(OR(C5194="",I5194&lt;&gt;"ENTRADA"),"",TEXT(B5194,"AAMMDD")&amp;"-"&amp;TEXT(VALUE(SUBSTITUTE(A5194,"MOV-","")),"000"))</f>
        <v/>
      </c>
    </row>
    <row r="5195" spans="18:20">
      <c r="R5195" s="22" t="str">
        <f>IF(H5195="","",H5195&amp;I5195)</f>
        <v/>
      </c>
      <c r="S5195" s="22" t="str">
        <f>IF(C5195="","",C5195&amp;I5195)</f>
        <v/>
      </c>
      <c r="T5195" t="str">
        <f>IF(OR(C5195="",I5195&lt;&gt;"ENTRADA"),"",TEXT(B5195,"AAMMDD")&amp;"-"&amp;TEXT(VALUE(SUBSTITUTE(A5195,"MOV-","")),"000"))</f>
        <v/>
      </c>
    </row>
    <row r="5196" spans="18:20">
      <c r="R5196" s="22" t="str">
        <f>IF(H5196="","",H5196&amp;I5196)</f>
        <v/>
      </c>
      <c r="S5196" s="22" t="str">
        <f>IF(C5196="","",C5196&amp;I5196)</f>
        <v/>
      </c>
      <c r="T5196" t="str">
        <f>IF(OR(C5196="",I5196&lt;&gt;"ENTRADA"),"",TEXT(B5196,"AAMMDD")&amp;"-"&amp;TEXT(VALUE(SUBSTITUTE(A5196,"MOV-","")),"000"))</f>
        <v/>
      </c>
    </row>
    <row r="5197" spans="18:20">
      <c r="R5197" s="22" t="str">
        <f>IF(H5197="","",H5197&amp;I5197)</f>
        <v/>
      </c>
      <c r="S5197" s="22" t="str">
        <f>IF(C5197="","",C5197&amp;I5197)</f>
        <v/>
      </c>
      <c r="T5197" t="str">
        <f>IF(OR(C5197="",I5197&lt;&gt;"ENTRADA"),"",TEXT(B5197,"AAMMDD")&amp;"-"&amp;TEXT(VALUE(SUBSTITUTE(A5197,"MOV-","")),"000"))</f>
        <v/>
      </c>
    </row>
    <row r="5198" spans="18:20">
      <c r="R5198" s="22" t="str">
        <f>IF(H5198="","",H5198&amp;I5198)</f>
        <v/>
      </c>
      <c r="S5198" s="22" t="str">
        <f>IF(C5198="","",C5198&amp;I5198)</f>
        <v/>
      </c>
      <c r="T5198" t="str">
        <f>IF(OR(C5198="",I5198&lt;&gt;"ENTRADA"),"",TEXT(B5198,"AAMMDD")&amp;"-"&amp;TEXT(VALUE(SUBSTITUTE(A5198,"MOV-","")),"000"))</f>
        <v/>
      </c>
    </row>
    <row r="5199" spans="18:20">
      <c r="R5199" s="22" t="str">
        <f>IF(H5199="","",H5199&amp;I5199)</f>
        <v/>
      </c>
      <c r="S5199" s="22" t="str">
        <f>IF(C5199="","",C5199&amp;I5199)</f>
        <v/>
      </c>
      <c r="T5199" t="str">
        <f>IF(OR(C5199="",I5199&lt;&gt;"ENTRADA"),"",TEXT(B5199,"AAMMDD")&amp;"-"&amp;TEXT(VALUE(SUBSTITUTE(A5199,"MOV-","")),"000"))</f>
        <v/>
      </c>
    </row>
    <row r="5200" spans="18:20">
      <c r="R5200" s="22" t="str">
        <f>IF(H5200="","",H5200&amp;I5200)</f>
        <v/>
      </c>
      <c r="S5200" s="22" t="str">
        <f>IF(C5200="","",C5200&amp;I5200)</f>
        <v/>
      </c>
      <c r="T5200" t="str">
        <f>IF(OR(C5200="",I5200&lt;&gt;"ENTRADA"),"",TEXT(B5200,"AAMMDD")&amp;"-"&amp;TEXT(VALUE(SUBSTITUTE(A5200,"MOV-","")),"000"))</f>
        <v/>
      </c>
    </row>
    <row r="5201" spans="18:20">
      <c r="R5201" s="22" t="str">
        <f>IF(H5201="","",H5201&amp;I5201)</f>
        <v/>
      </c>
      <c r="S5201" s="22" t="str">
        <f>IF(C5201="","",C5201&amp;I5201)</f>
        <v/>
      </c>
      <c r="T5201" t="str">
        <f>IF(OR(C5201="",I5201&lt;&gt;"ENTRADA"),"",TEXT(B5201,"AAMMDD")&amp;"-"&amp;TEXT(VALUE(SUBSTITUTE(A5201,"MOV-","")),"000"))</f>
        <v/>
      </c>
    </row>
    <row r="5202" spans="18:20">
      <c r="R5202" s="22" t="str">
        <f>IF(H5202="","",H5202&amp;I5202)</f>
        <v/>
      </c>
      <c r="S5202" s="22" t="str">
        <f>IF(C5202="","",C5202&amp;I5202)</f>
        <v/>
      </c>
      <c r="T5202" t="str">
        <f>IF(OR(C5202="",I5202&lt;&gt;"ENTRADA"),"",TEXT(B5202,"AAMMDD")&amp;"-"&amp;TEXT(VALUE(SUBSTITUTE(A5202,"MOV-","")),"000"))</f>
        <v/>
      </c>
    </row>
    <row r="5203" spans="18:20">
      <c r="R5203" s="22" t="str">
        <f>IF(H5203="","",H5203&amp;I5203)</f>
        <v/>
      </c>
      <c r="S5203" s="22" t="str">
        <f>IF(C5203="","",C5203&amp;I5203)</f>
        <v/>
      </c>
      <c r="T5203" t="str">
        <f>IF(OR(C5203="",I5203&lt;&gt;"ENTRADA"),"",TEXT(B5203,"AAMMDD")&amp;"-"&amp;TEXT(VALUE(SUBSTITUTE(A5203,"MOV-","")),"000"))</f>
        <v/>
      </c>
    </row>
    <row r="5204" spans="18:20">
      <c r="R5204" s="22" t="str">
        <f>IF(H5204="","",H5204&amp;I5204)</f>
        <v/>
      </c>
      <c r="S5204" s="22" t="str">
        <f>IF(C5204="","",C5204&amp;I5204)</f>
        <v/>
      </c>
      <c r="T5204" t="str">
        <f>IF(OR(C5204="",I5204&lt;&gt;"ENTRADA"),"",TEXT(B5204,"AAMMDD")&amp;"-"&amp;TEXT(VALUE(SUBSTITUTE(A5204,"MOV-","")),"000"))</f>
        <v/>
      </c>
    </row>
    <row r="5205" spans="18:20">
      <c r="R5205" s="22" t="str">
        <f>IF(H5205="","",H5205&amp;I5205)</f>
        <v/>
      </c>
      <c r="S5205" s="22" t="str">
        <f>IF(C5205="","",C5205&amp;I5205)</f>
        <v/>
      </c>
      <c r="T5205" t="str">
        <f>IF(OR(C5205="",I5205&lt;&gt;"ENTRADA"),"",TEXT(B5205,"AAMMDD")&amp;"-"&amp;TEXT(VALUE(SUBSTITUTE(A5205,"MOV-","")),"000"))</f>
        <v/>
      </c>
    </row>
    <row r="5206" spans="18:20">
      <c r="R5206" s="22" t="str">
        <f>IF(H5206="","",H5206&amp;I5206)</f>
        <v/>
      </c>
      <c r="S5206" s="22" t="str">
        <f>IF(C5206="","",C5206&amp;I5206)</f>
        <v/>
      </c>
      <c r="T5206" t="str">
        <f>IF(OR(C5206="",I5206&lt;&gt;"ENTRADA"),"",TEXT(B5206,"AAMMDD")&amp;"-"&amp;TEXT(VALUE(SUBSTITUTE(A5206,"MOV-","")),"000"))</f>
        <v/>
      </c>
    </row>
    <row r="5207" spans="18:20">
      <c r="R5207" s="22" t="str">
        <f>IF(H5207="","",H5207&amp;I5207)</f>
        <v/>
      </c>
      <c r="S5207" s="22" t="str">
        <f>IF(C5207="","",C5207&amp;I5207)</f>
        <v/>
      </c>
      <c r="T5207" t="str">
        <f>IF(OR(C5207="",I5207&lt;&gt;"ENTRADA"),"",TEXT(B5207,"AAMMDD")&amp;"-"&amp;TEXT(VALUE(SUBSTITUTE(A5207,"MOV-","")),"000"))</f>
        <v/>
      </c>
    </row>
    <row r="5208" spans="18:20">
      <c r="R5208" s="22" t="str">
        <f>IF(H5208="","",H5208&amp;I5208)</f>
        <v/>
      </c>
      <c r="S5208" s="22" t="str">
        <f>IF(C5208="","",C5208&amp;I5208)</f>
        <v/>
      </c>
      <c r="T5208" t="str">
        <f>IF(OR(C5208="",I5208&lt;&gt;"ENTRADA"),"",TEXT(B5208,"AAMMDD")&amp;"-"&amp;TEXT(VALUE(SUBSTITUTE(A5208,"MOV-","")),"000"))</f>
        <v/>
      </c>
    </row>
    <row r="5209" spans="18:20">
      <c r="R5209" s="22" t="str">
        <f>IF(H5209="","",H5209&amp;I5209)</f>
        <v/>
      </c>
      <c r="S5209" s="22" t="str">
        <f>IF(C5209="","",C5209&amp;I5209)</f>
        <v/>
      </c>
      <c r="T5209" t="str">
        <f>IF(OR(C5209="",I5209&lt;&gt;"ENTRADA"),"",TEXT(B5209,"AAMMDD")&amp;"-"&amp;TEXT(VALUE(SUBSTITUTE(A5209,"MOV-","")),"000"))</f>
        <v/>
      </c>
    </row>
    <row r="5210" spans="18:20">
      <c r="R5210" s="22" t="str">
        <f>IF(H5210="","",H5210&amp;I5210)</f>
        <v/>
      </c>
      <c r="S5210" s="22" t="str">
        <f>IF(C5210="","",C5210&amp;I5210)</f>
        <v/>
      </c>
      <c r="T5210" t="str">
        <f>IF(OR(C5210="",I5210&lt;&gt;"ENTRADA"),"",TEXT(B5210,"AAMMDD")&amp;"-"&amp;TEXT(VALUE(SUBSTITUTE(A5210,"MOV-","")),"000"))</f>
        <v/>
      </c>
    </row>
    <row r="5211" spans="18:20">
      <c r="R5211" s="22" t="str">
        <f>IF(H5211="","",H5211&amp;I5211)</f>
        <v/>
      </c>
      <c r="S5211" s="22" t="str">
        <f>IF(C5211="","",C5211&amp;I5211)</f>
        <v/>
      </c>
      <c r="T5211" t="str">
        <f>IF(OR(C5211="",I5211&lt;&gt;"ENTRADA"),"",TEXT(B5211,"AAMMDD")&amp;"-"&amp;TEXT(VALUE(SUBSTITUTE(A5211,"MOV-","")),"000"))</f>
        <v/>
      </c>
    </row>
    <row r="5212" spans="18:20">
      <c r="R5212" s="22" t="str">
        <f>IF(H5212="","",H5212&amp;I5212)</f>
        <v/>
      </c>
      <c r="S5212" s="22" t="str">
        <f>IF(C5212="","",C5212&amp;I5212)</f>
        <v/>
      </c>
      <c r="T5212" t="str">
        <f>IF(OR(C5212="",I5212&lt;&gt;"ENTRADA"),"",TEXT(B5212,"AAMMDD")&amp;"-"&amp;TEXT(VALUE(SUBSTITUTE(A5212,"MOV-","")),"000"))</f>
        <v/>
      </c>
    </row>
    <row r="5213" spans="18:20">
      <c r="R5213" s="22" t="str">
        <f>IF(H5213="","",H5213&amp;I5213)</f>
        <v/>
      </c>
      <c r="S5213" s="22" t="str">
        <f>IF(C5213="","",C5213&amp;I5213)</f>
        <v/>
      </c>
      <c r="T5213" t="str">
        <f>IF(OR(C5213="",I5213&lt;&gt;"ENTRADA"),"",TEXT(B5213,"AAMMDD")&amp;"-"&amp;TEXT(VALUE(SUBSTITUTE(A5213,"MOV-","")),"000"))</f>
        <v/>
      </c>
    </row>
    <row r="5214" spans="18:20">
      <c r="R5214" s="22" t="str">
        <f>IF(H5214="","",H5214&amp;I5214)</f>
        <v/>
      </c>
      <c r="S5214" s="22" t="str">
        <f>IF(C5214="","",C5214&amp;I5214)</f>
        <v/>
      </c>
      <c r="T5214" t="str">
        <f>IF(OR(C5214="",I5214&lt;&gt;"ENTRADA"),"",TEXT(B5214,"AAMMDD")&amp;"-"&amp;TEXT(VALUE(SUBSTITUTE(A5214,"MOV-","")),"000"))</f>
        <v/>
      </c>
    </row>
    <row r="5215" spans="18:20">
      <c r="R5215" s="22" t="str">
        <f>IF(H5215="","",H5215&amp;I5215)</f>
        <v/>
      </c>
      <c r="S5215" s="22" t="str">
        <f>IF(C5215="","",C5215&amp;I5215)</f>
        <v/>
      </c>
      <c r="T5215" t="str">
        <f>IF(OR(C5215="",I5215&lt;&gt;"ENTRADA"),"",TEXT(B5215,"AAMMDD")&amp;"-"&amp;TEXT(VALUE(SUBSTITUTE(A5215,"MOV-","")),"000"))</f>
        <v/>
      </c>
    </row>
    <row r="5216" spans="18:20">
      <c r="R5216" s="22" t="str">
        <f>IF(H5216="","",H5216&amp;I5216)</f>
        <v/>
      </c>
      <c r="S5216" s="22" t="str">
        <f>IF(C5216="","",C5216&amp;I5216)</f>
        <v/>
      </c>
      <c r="T5216" t="str">
        <f>IF(OR(C5216="",I5216&lt;&gt;"ENTRADA"),"",TEXT(B5216,"AAMMDD")&amp;"-"&amp;TEXT(VALUE(SUBSTITUTE(A5216,"MOV-","")),"000"))</f>
        <v/>
      </c>
    </row>
    <row r="5217" spans="18:20">
      <c r="R5217" s="22" t="str">
        <f>IF(H5217="","",H5217&amp;I5217)</f>
        <v/>
      </c>
      <c r="S5217" s="22" t="str">
        <f>IF(C5217="","",C5217&amp;I5217)</f>
        <v/>
      </c>
      <c r="T5217" t="str">
        <f>IF(OR(C5217="",I5217&lt;&gt;"ENTRADA"),"",TEXT(B5217,"AAMMDD")&amp;"-"&amp;TEXT(VALUE(SUBSTITUTE(A5217,"MOV-","")),"000"))</f>
        <v/>
      </c>
    </row>
    <row r="5218" spans="18:20">
      <c r="R5218" s="22" t="str">
        <f>IF(H5218="","",H5218&amp;I5218)</f>
        <v/>
      </c>
      <c r="S5218" s="22" t="str">
        <f>IF(C5218="","",C5218&amp;I5218)</f>
        <v/>
      </c>
      <c r="T5218" t="str">
        <f>IF(OR(C5218="",I5218&lt;&gt;"ENTRADA"),"",TEXT(B5218,"AAMMDD")&amp;"-"&amp;TEXT(VALUE(SUBSTITUTE(A5218,"MOV-","")),"000"))</f>
        <v/>
      </c>
    </row>
    <row r="5219" spans="18:20">
      <c r="R5219" s="22" t="str">
        <f>IF(H5219="","",H5219&amp;I5219)</f>
        <v/>
      </c>
      <c r="S5219" s="22" t="str">
        <f>IF(C5219="","",C5219&amp;I5219)</f>
        <v/>
      </c>
      <c r="T5219" t="str">
        <f>IF(OR(C5219="",I5219&lt;&gt;"ENTRADA"),"",TEXT(B5219,"AAMMDD")&amp;"-"&amp;TEXT(VALUE(SUBSTITUTE(A5219,"MOV-","")),"000"))</f>
        <v/>
      </c>
    </row>
    <row r="5220" spans="18:20">
      <c r="R5220" s="22" t="str">
        <f>IF(H5220="","",H5220&amp;I5220)</f>
        <v/>
      </c>
      <c r="S5220" s="22" t="str">
        <f>IF(C5220="","",C5220&amp;I5220)</f>
        <v/>
      </c>
      <c r="T5220" t="str">
        <f>IF(OR(C5220="",I5220&lt;&gt;"ENTRADA"),"",TEXT(B5220,"AAMMDD")&amp;"-"&amp;TEXT(VALUE(SUBSTITUTE(A5220,"MOV-","")),"000"))</f>
        <v/>
      </c>
    </row>
    <row r="5221" spans="18:20">
      <c r="R5221" s="22" t="str">
        <f>IF(H5221="","",H5221&amp;I5221)</f>
        <v/>
      </c>
      <c r="S5221" s="22" t="str">
        <f>IF(C5221="","",C5221&amp;I5221)</f>
        <v/>
      </c>
      <c r="T5221" t="str">
        <f>IF(OR(C5221="",I5221&lt;&gt;"ENTRADA"),"",TEXT(B5221,"AAMMDD")&amp;"-"&amp;TEXT(VALUE(SUBSTITUTE(A5221,"MOV-","")),"000"))</f>
        <v/>
      </c>
    </row>
    <row r="5222" spans="18:20">
      <c r="R5222" s="22" t="str">
        <f>IF(H5222="","",H5222&amp;I5222)</f>
        <v/>
      </c>
      <c r="S5222" s="22" t="str">
        <f>IF(C5222="","",C5222&amp;I5222)</f>
        <v/>
      </c>
      <c r="T5222" t="str">
        <f>IF(OR(C5222="",I5222&lt;&gt;"ENTRADA"),"",TEXT(B5222,"AAMMDD")&amp;"-"&amp;TEXT(VALUE(SUBSTITUTE(A5222,"MOV-","")),"000"))</f>
        <v/>
      </c>
    </row>
    <row r="5223" spans="18:20">
      <c r="R5223" s="22" t="str">
        <f>IF(H5223="","",H5223&amp;I5223)</f>
        <v/>
      </c>
      <c r="S5223" s="22" t="str">
        <f>IF(C5223="","",C5223&amp;I5223)</f>
        <v/>
      </c>
      <c r="T5223" t="str">
        <f>IF(OR(C5223="",I5223&lt;&gt;"ENTRADA"),"",TEXT(B5223,"AAMMDD")&amp;"-"&amp;TEXT(VALUE(SUBSTITUTE(A5223,"MOV-","")),"000"))</f>
        <v/>
      </c>
    </row>
    <row r="5224" spans="18:20">
      <c r="R5224" s="22" t="str">
        <f>IF(H5224="","",H5224&amp;I5224)</f>
        <v/>
      </c>
      <c r="S5224" s="22" t="str">
        <f>IF(C5224="","",C5224&amp;I5224)</f>
        <v/>
      </c>
      <c r="T5224" t="str">
        <f>IF(OR(C5224="",I5224&lt;&gt;"ENTRADA"),"",TEXT(B5224,"AAMMDD")&amp;"-"&amp;TEXT(VALUE(SUBSTITUTE(A5224,"MOV-","")),"000"))</f>
        <v/>
      </c>
    </row>
    <row r="5225" spans="18:20">
      <c r="R5225" s="22" t="str">
        <f>IF(H5225="","",H5225&amp;I5225)</f>
        <v/>
      </c>
      <c r="S5225" s="22" t="str">
        <f>IF(C5225="","",C5225&amp;I5225)</f>
        <v/>
      </c>
      <c r="T5225" t="str">
        <f>IF(OR(C5225="",I5225&lt;&gt;"ENTRADA"),"",TEXT(B5225,"AAMMDD")&amp;"-"&amp;TEXT(VALUE(SUBSTITUTE(A5225,"MOV-","")),"000"))</f>
        <v/>
      </c>
    </row>
    <row r="5226" spans="18:20">
      <c r="R5226" s="22" t="str">
        <f>IF(H5226="","",H5226&amp;I5226)</f>
        <v/>
      </c>
      <c r="S5226" s="22" t="str">
        <f>IF(C5226="","",C5226&amp;I5226)</f>
        <v/>
      </c>
      <c r="T5226" t="str">
        <f>IF(OR(C5226="",I5226&lt;&gt;"ENTRADA"),"",TEXT(B5226,"AAMMDD")&amp;"-"&amp;TEXT(VALUE(SUBSTITUTE(A5226,"MOV-","")),"000"))</f>
        <v/>
      </c>
    </row>
    <row r="5227" spans="18:20">
      <c r="R5227" s="22" t="str">
        <f>IF(H5227="","",H5227&amp;I5227)</f>
        <v/>
      </c>
      <c r="S5227" s="22" t="str">
        <f>IF(C5227="","",C5227&amp;I5227)</f>
        <v/>
      </c>
      <c r="T5227" t="str">
        <f>IF(OR(C5227="",I5227&lt;&gt;"ENTRADA"),"",TEXT(B5227,"AAMMDD")&amp;"-"&amp;TEXT(VALUE(SUBSTITUTE(A5227,"MOV-","")),"000"))</f>
        <v/>
      </c>
    </row>
    <row r="5228" spans="18:20">
      <c r="R5228" s="22" t="str">
        <f>IF(H5228="","",H5228&amp;I5228)</f>
        <v/>
      </c>
      <c r="S5228" s="22" t="str">
        <f>IF(C5228="","",C5228&amp;I5228)</f>
        <v/>
      </c>
      <c r="T5228" t="str">
        <f>IF(OR(C5228="",I5228&lt;&gt;"ENTRADA"),"",TEXT(B5228,"AAMMDD")&amp;"-"&amp;TEXT(VALUE(SUBSTITUTE(A5228,"MOV-","")),"000"))</f>
        <v/>
      </c>
    </row>
    <row r="5229" spans="18:20">
      <c r="R5229" s="22" t="str">
        <f>IF(H5229="","",H5229&amp;I5229)</f>
        <v/>
      </c>
      <c r="S5229" s="22" t="str">
        <f>IF(C5229="","",C5229&amp;I5229)</f>
        <v/>
      </c>
      <c r="T5229" t="str">
        <f>IF(OR(C5229="",I5229&lt;&gt;"ENTRADA"),"",TEXT(B5229,"AAMMDD")&amp;"-"&amp;TEXT(VALUE(SUBSTITUTE(A5229,"MOV-","")),"000"))</f>
        <v/>
      </c>
    </row>
    <row r="5230" spans="18:20">
      <c r="R5230" s="22" t="str">
        <f>IF(H5230="","",H5230&amp;I5230)</f>
        <v/>
      </c>
      <c r="S5230" s="22" t="str">
        <f>IF(C5230="","",C5230&amp;I5230)</f>
        <v/>
      </c>
      <c r="T5230" t="str">
        <f>IF(OR(C5230="",I5230&lt;&gt;"ENTRADA"),"",TEXT(B5230,"AAMMDD")&amp;"-"&amp;TEXT(VALUE(SUBSTITUTE(A5230,"MOV-","")),"000"))</f>
        <v/>
      </c>
    </row>
    <row r="5231" spans="18:20">
      <c r="R5231" s="22" t="str">
        <f>IF(H5231="","",H5231&amp;I5231)</f>
        <v/>
      </c>
      <c r="S5231" s="22" t="str">
        <f>IF(C5231="","",C5231&amp;I5231)</f>
        <v/>
      </c>
      <c r="T5231" t="str">
        <f>IF(OR(C5231="",I5231&lt;&gt;"ENTRADA"),"",TEXT(B5231,"AAMMDD")&amp;"-"&amp;TEXT(VALUE(SUBSTITUTE(A5231,"MOV-","")),"000"))</f>
        <v/>
      </c>
    </row>
    <row r="5232" spans="18:20">
      <c r="R5232" s="22" t="str">
        <f>IF(H5232="","",H5232&amp;I5232)</f>
        <v/>
      </c>
      <c r="S5232" s="22" t="str">
        <f>IF(C5232="","",C5232&amp;I5232)</f>
        <v/>
      </c>
      <c r="T5232" t="str">
        <f>IF(OR(C5232="",I5232&lt;&gt;"ENTRADA"),"",TEXT(B5232,"AAMMDD")&amp;"-"&amp;TEXT(VALUE(SUBSTITUTE(A5232,"MOV-","")),"000"))</f>
        <v/>
      </c>
    </row>
    <row r="5233" spans="18:20">
      <c r="R5233" s="22" t="str">
        <f>IF(H5233="","",H5233&amp;I5233)</f>
        <v/>
      </c>
      <c r="S5233" s="22" t="str">
        <f>IF(C5233="","",C5233&amp;I5233)</f>
        <v/>
      </c>
      <c r="T5233" t="str">
        <f>IF(OR(C5233="",I5233&lt;&gt;"ENTRADA"),"",TEXT(B5233,"AAMMDD")&amp;"-"&amp;TEXT(VALUE(SUBSTITUTE(A5233,"MOV-","")),"000"))</f>
        <v/>
      </c>
    </row>
    <row r="5234" spans="18:20">
      <c r="R5234" s="22" t="str">
        <f>IF(H5234="","",H5234&amp;I5234)</f>
        <v/>
      </c>
      <c r="S5234" s="22" t="str">
        <f>IF(C5234="","",C5234&amp;I5234)</f>
        <v/>
      </c>
      <c r="T5234" t="str">
        <f>IF(OR(C5234="",I5234&lt;&gt;"ENTRADA"),"",TEXT(B5234,"AAMMDD")&amp;"-"&amp;TEXT(VALUE(SUBSTITUTE(A5234,"MOV-","")),"000"))</f>
        <v/>
      </c>
    </row>
    <row r="5235" spans="18:20">
      <c r="R5235" s="22" t="str">
        <f>IF(H5235="","",H5235&amp;I5235)</f>
        <v/>
      </c>
      <c r="S5235" s="22" t="str">
        <f>IF(C5235="","",C5235&amp;I5235)</f>
        <v/>
      </c>
      <c r="T5235" t="str">
        <f>IF(OR(C5235="",I5235&lt;&gt;"ENTRADA"),"",TEXT(B5235,"AAMMDD")&amp;"-"&amp;TEXT(VALUE(SUBSTITUTE(A5235,"MOV-","")),"000"))</f>
        <v/>
      </c>
    </row>
    <row r="5236" spans="18:20">
      <c r="R5236" s="22" t="str">
        <f>IF(H5236="","",H5236&amp;I5236)</f>
        <v/>
      </c>
      <c r="S5236" s="22" t="str">
        <f>IF(C5236="","",C5236&amp;I5236)</f>
        <v/>
      </c>
      <c r="T5236" t="str">
        <f>IF(OR(C5236="",I5236&lt;&gt;"ENTRADA"),"",TEXT(B5236,"AAMMDD")&amp;"-"&amp;TEXT(VALUE(SUBSTITUTE(A5236,"MOV-","")),"000"))</f>
        <v/>
      </c>
    </row>
    <row r="5237" spans="18:20">
      <c r="R5237" s="22" t="str">
        <f>IF(H5237="","",H5237&amp;I5237)</f>
        <v/>
      </c>
      <c r="S5237" s="22" t="str">
        <f>IF(C5237="","",C5237&amp;I5237)</f>
        <v/>
      </c>
      <c r="T5237" t="str">
        <f>IF(OR(C5237="",I5237&lt;&gt;"ENTRADA"),"",TEXT(B5237,"AAMMDD")&amp;"-"&amp;TEXT(VALUE(SUBSTITUTE(A5237,"MOV-","")),"000"))</f>
        <v/>
      </c>
    </row>
    <row r="5238" spans="18:20">
      <c r="R5238" s="22" t="str">
        <f>IF(H5238="","",H5238&amp;I5238)</f>
        <v/>
      </c>
      <c r="S5238" s="22" t="str">
        <f>IF(C5238="","",C5238&amp;I5238)</f>
        <v/>
      </c>
      <c r="T5238" t="str">
        <f>IF(OR(C5238="",I5238&lt;&gt;"ENTRADA"),"",TEXT(B5238,"AAMMDD")&amp;"-"&amp;TEXT(VALUE(SUBSTITUTE(A5238,"MOV-","")),"000"))</f>
        <v/>
      </c>
    </row>
    <row r="5239" spans="18:20">
      <c r="R5239" s="22" t="str">
        <f>IF(H5239="","",H5239&amp;I5239)</f>
        <v/>
      </c>
      <c r="S5239" s="22" t="str">
        <f>IF(C5239="","",C5239&amp;I5239)</f>
        <v/>
      </c>
      <c r="T5239" t="str">
        <f>IF(OR(C5239="",I5239&lt;&gt;"ENTRADA"),"",TEXT(B5239,"AAMMDD")&amp;"-"&amp;TEXT(VALUE(SUBSTITUTE(A5239,"MOV-","")),"000"))</f>
        <v/>
      </c>
    </row>
    <row r="5240" spans="18:20">
      <c r="R5240" s="22" t="str">
        <f>IF(H5240="","",H5240&amp;I5240)</f>
        <v/>
      </c>
      <c r="S5240" s="22" t="str">
        <f>IF(C5240="","",C5240&amp;I5240)</f>
        <v/>
      </c>
      <c r="T5240" t="str">
        <f>IF(OR(C5240="",I5240&lt;&gt;"ENTRADA"),"",TEXT(B5240,"AAMMDD")&amp;"-"&amp;TEXT(VALUE(SUBSTITUTE(A5240,"MOV-","")),"000"))</f>
        <v/>
      </c>
    </row>
    <row r="5241" spans="18:20">
      <c r="R5241" s="22" t="str">
        <f>IF(H5241="","",H5241&amp;I5241)</f>
        <v/>
      </c>
      <c r="S5241" s="22" t="str">
        <f>IF(C5241="","",C5241&amp;I5241)</f>
        <v/>
      </c>
      <c r="T5241" t="str">
        <f>IF(OR(C5241="",I5241&lt;&gt;"ENTRADA"),"",TEXT(B5241,"AAMMDD")&amp;"-"&amp;TEXT(VALUE(SUBSTITUTE(A5241,"MOV-","")),"000"))</f>
        <v/>
      </c>
    </row>
    <row r="5242" spans="18:20">
      <c r="R5242" s="22" t="str">
        <f>IF(H5242="","",H5242&amp;I5242)</f>
        <v/>
      </c>
      <c r="S5242" s="22" t="str">
        <f>IF(C5242="","",C5242&amp;I5242)</f>
        <v/>
      </c>
      <c r="T5242" t="str">
        <f>IF(OR(C5242="",I5242&lt;&gt;"ENTRADA"),"",TEXT(B5242,"AAMMDD")&amp;"-"&amp;TEXT(VALUE(SUBSTITUTE(A5242,"MOV-","")),"000"))</f>
        <v/>
      </c>
    </row>
    <row r="5243" spans="18:20">
      <c r="R5243" s="22" t="str">
        <f>IF(H5243="","",H5243&amp;I5243)</f>
        <v/>
      </c>
      <c r="S5243" s="22" t="str">
        <f>IF(C5243="","",C5243&amp;I5243)</f>
        <v/>
      </c>
      <c r="T5243" t="str">
        <f>IF(OR(C5243="",I5243&lt;&gt;"ENTRADA"),"",TEXT(B5243,"AAMMDD")&amp;"-"&amp;TEXT(VALUE(SUBSTITUTE(A5243,"MOV-","")),"000"))</f>
        <v/>
      </c>
    </row>
    <row r="5244" spans="18:20">
      <c r="R5244" s="22" t="str">
        <f>IF(H5244="","",H5244&amp;I5244)</f>
        <v/>
      </c>
      <c r="S5244" s="22" t="str">
        <f>IF(C5244="","",C5244&amp;I5244)</f>
        <v/>
      </c>
      <c r="T5244" t="str">
        <f>IF(OR(C5244="",I5244&lt;&gt;"ENTRADA"),"",TEXT(B5244,"AAMMDD")&amp;"-"&amp;TEXT(VALUE(SUBSTITUTE(A5244,"MOV-","")),"000"))</f>
        <v/>
      </c>
    </row>
    <row r="5245" spans="18:20">
      <c r="R5245" s="22" t="str">
        <f>IF(H5245="","",H5245&amp;I5245)</f>
        <v/>
      </c>
      <c r="S5245" s="22" t="str">
        <f>IF(C5245="","",C5245&amp;I5245)</f>
        <v/>
      </c>
      <c r="T5245" t="str">
        <f>IF(OR(C5245="",I5245&lt;&gt;"ENTRADA"),"",TEXT(B5245,"AAMMDD")&amp;"-"&amp;TEXT(VALUE(SUBSTITUTE(A5245,"MOV-","")),"000"))</f>
        <v/>
      </c>
    </row>
    <row r="5246" spans="18:20">
      <c r="R5246" s="22" t="str">
        <f>IF(H5246="","",H5246&amp;I5246)</f>
        <v/>
      </c>
      <c r="S5246" s="22" t="str">
        <f>IF(C5246="","",C5246&amp;I5246)</f>
        <v/>
      </c>
      <c r="T5246" t="str">
        <f>IF(OR(C5246="",I5246&lt;&gt;"ENTRADA"),"",TEXT(B5246,"AAMMDD")&amp;"-"&amp;TEXT(VALUE(SUBSTITUTE(A5246,"MOV-","")),"000"))</f>
        <v/>
      </c>
    </row>
    <row r="5247" spans="18:20">
      <c r="R5247" s="22" t="str">
        <f>IF(H5247="","",H5247&amp;I5247)</f>
        <v/>
      </c>
      <c r="S5247" s="22" t="str">
        <f>IF(C5247="","",C5247&amp;I5247)</f>
        <v/>
      </c>
      <c r="T5247" t="str">
        <f>IF(OR(C5247="",I5247&lt;&gt;"ENTRADA"),"",TEXT(B5247,"AAMMDD")&amp;"-"&amp;TEXT(VALUE(SUBSTITUTE(A5247,"MOV-","")),"000"))</f>
        <v/>
      </c>
    </row>
    <row r="5248" spans="18:20">
      <c r="R5248" s="22" t="str">
        <f>IF(H5248="","",H5248&amp;I5248)</f>
        <v/>
      </c>
      <c r="S5248" s="22" t="str">
        <f>IF(C5248="","",C5248&amp;I5248)</f>
        <v/>
      </c>
      <c r="T5248" t="str">
        <f>IF(OR(C5248="",I5248&lt;&gt;"ENTRADA"),"",TEXT(B5248,"AAMMDD")&amp;"-"&amp;TEXT(VALUE(SUBSTITUTE(A5248,"MOV-","")),"000"))</f>
        <v/>
      </c>
    </row>
    <row r="5249" spans="18:20">
      <c r="R5249" s="22" t="str">
        <f>IF(H5249="","",H5249&amp;I5249)</f>
        <v/>
      </c>
      <c r="S5249" s="22" t="str">
        <f>IF(C5249="","",C5249&amp;I5249)</f>
        <v/>
      </c>
      <c r="T5249" t="str">
        <f>IF(OR(C5249="",I5249&lt;&gt;"ENTRADA"),"",TEXT(B5249,"AAMMDD")&amp;"-"&amp;TEXT(VALUE(SUBSTITUTE(A5249,"MOV-","")),"000"))</f>
        <v/>
      </c>
    </row>
    <row r="5250" spans="18:20">
      <c r="R5250" s="22" t="str">
        <f>IF(H5250="","",H5250&amp;I5250)</f>
        <v/>
      </c>
      <c r="S5250" s="22" t="str">
        <f>IF(C5250="","",C5250&amp;I5250)</f>
        <v/>
      </c>
      <c r="T5250" t="str">
        <f>IF(OR(C5250="",I5250&lt;&gt;"ENTRADA"),"",TEXT(B5250,"AAMMDD")&amp;"-"&amp;TEXT(VALUE(SUBSTITUTE(A5250,"MOV-","")),"000"))</f>
        <v/>
      </c>
    </row>
    <row r="5251" spans="18:20">
      <c r="R5251" s="22" t="str">
        <f>IF(H5251="","",H5251&amp;I5251)</f>
        <v/>
      </c>
      <c r="S5251" s="22" t="str">
        <f>IF(C5251="","",C5251&amp;I5251)</f>
        <v/>
      </c>
      <c r="T5251" t="str">
        <f>IF(OR(C5251="",I5251&lt;&gt;"ENTRADA"),"",TEXT(B5251,"AAMMDD")&amp;"-"&amp;TEXT(VALUE(SUBSTITUTE(A5251,"MOV-","")),"000"))</f>
        <v/>
      </c>
    </row>
    <row r="5252" spans="18:20">
      <c r="R5252" s="22" t="str">
        <f>IF(H5252="","",H5252&amp;I5252)</f>
        <v/>
      </c>
      <c r="S5252" s="22" t="str">
        <f>IF(C5252="","",C5252&amp;I5252)</f>
        <v/>
      </c>
      <c r="T5252" t="str">
        <f>IF(OR(C5252="",I5252&lt;&gt;"ENTRADA"),"",TEXT(B5252,"AAMMDD")&amp;"-"&amp;TEXT(VALUE(SUBSTITUTE(A5252,"MOV-","")),"000"))</f>
        <v/>
      </c>
    </row>
    <row r="5253" spans="18:20">
      <c r="R5253" s="22" t="str">
        <f>IF(H5253="","",H5253&amp;I5253)</f>
        <v/>
      </c>
      <c r="S5253" s="22" t="str">
        <f>IF(C5253="","",C5253&amp;I5253)</f>
        <v/>
      </c>
      <c r="T5253" t="str">
        <f>IF(OR(C5253="",I5253&lt;&gt;"ENTRADA"),"",TEXT(B5253,"AAMMDD")&amp;"-"&amp;TEXT(VALUE(SUBSTITUTE(A5253,"MOV-","")),"000"))</f>
        <v/>
      </c>
    </row>
    <row r="5254" spans="18:20">
      <c r="R5254" s="22" t="str">
        <f>IF(H5254="","",H5254&amp;I5254)</f>
        <v/>
      </c>
      <c r="S5254" s="22" t="str">
        <f>IF(C5254="","",C5254&amp;I5254)</f>
        <v/>
      </c>
      <c r="T5254" t="str">
        <f>IF(OR(C5254="",I5254&lt;&gt;"ENTRADA"),"",TEXT(B5254,"AAMMDD")&amp;"-"&amp;TEXT(VALUE(SUBSTITUTE(A5254,"MOV-","")),"000"))</f>
        <v/>
      </c>
    </row>
    <row r="5255" spans="18:20">
      <c r="R5255" s="22" t="str">
        <f>IF(H5255="","",H5255&amp;I5255)</f>
        <v/>
      </c>
      <c r="S5255" s="22" t="str">
        <f>IF(C5255="","",C5255&amp;I5255)</f>
        <v/>
      </c>
      <c r="T5255" t="str">
        <f>IF(OR(C5255="",I5255&lt;&gt;"ENTRADA"),"",TEXT(B5255,"AAMMDD")&amp;"-"&amp;TEXT(VALUE(SUBSTITUTE(A5255,"MOV-","")),"000"))</f>
        <v/>
      </c>
    </row>
    <row r="5256" spans="18:20">
      <c r="R5256" s="22" t="str">
        <f>IF(H5256="","",H5256&amp;I5256)</f>
        <v/>
      </c>
      <c r="S5256" s="22" t="str">
        <f>IF(C5256="","",C5256&amp;I5256)</f>
        <v/>
      </c>
      <c r="T5256" t="str">
        <f>IF(OR(C5256="",I5256&lt;&gt;"ENTRADA"),"",TEXT(B5256,"AAMMDD")&amp;"-"&amp;TEXT(VALUE(SUBSTITUTE(A5256,"MOV-","")),"000"))</f>
        <v/>
      </c>
    </row>
    <row r="5257" spans="18:20">
      <c r="R5257" s="22" t="str">
        <f>IF(H5257="","",H5257&amp;I5257)</f>
        <v/>
      </c>
      <c r="S5257" s="22" t="str">
        <f>IF(C5257="","",C5257&amp;I5257)</f>
        <v/>
      </c>
      <c r="T5257" t="str">
        <f>IF(OR(C5257="",I5257&lt;&gt;"ENTRADA"),"",TEXT(B5257,"AAMMDD")&amp;"-"&amp;TEXT(VALUE(SUBSTITUTE(A5257,"MOV-","")),"000"))</f>
        <v/>
      </c>
    </row>
    <row r="5258" spans="18:20">
      <c r="R5258" s="22" t="str">
        <f>IF(H5258="","",H5258&amp;I5258)</f>
        <v/>
      </c>
      <c r="S5258" s="22" t="str">
        <f>IF(C5258="","",C5258&amp;I5258)</f>
        <v/>
      </c>
      <c r="T5258" t="str">
        <f>IF(OR(C5258="",I5258&lt;&gt;"ENTRADA"),"",TEXT(B5258,"AAMMDD")&amp;"-"&amp;TEXT(VALUE(SUBSTITUTE(A5258,"MOV-","")),"000"))</f>
        <v/>
      </c>
    </row>
    <row r="5259" spans="18:20">
      <c r="R5259" s="22" t="str">
        <f>IF(H5259="","",H5259&amp;I5259)</f>
        <v/>
      </c>
      <c r="S5259" s="22" t="str">
        <f>IF(C5259="","",C5259&amp;I5259)</f>
        <v/>
      </c>
      <c r="T5259" t="str">
        <f>IF(OR(C5259="",I5259&lt;&gt;"ENTRADA"),"",TEXT(B5259,"AAMMDD")&amp;"-"&amp;TEXT(VALUE(SUBSTITUTE(A5259,"MOV-","")),"000"))</f>
        <v/>
      </c>
    </row>
    <row r="5260" spans="18:20">
      <c r="R5260" s="22" t="str">
        <f>IF(H5260="","",H5260&amp;I5260)</f>
        <v/>
      </c>
      <c r="S5260" s="22" t="str">
        <f>IF(C5260="","",C5260&amp;I5260)</f>
        <v/>
      </c>
      <c r="T5260" t="str">
        <f>IF(OR(C5260="",I5260&lt;&gt;"ENTRADA"),"",TEXT(B5260,"AAMMDD")&amp;"-"&amp;TEXT(VALUE(SUBSTITUTE(A5260,"MOV-","")),"000"))</f>
        <v/>
      </c>
    </row>
    <row r="5261" spans="18:20">
      <c r="R5261" s="22" t="str">
        <f>IF(H5261="","",H5261&amp;I5261)</f>
        <v/>
      </c>
      <c r="S5261" s="22" t="str">
        <f>IF(C5261="","",C5261&amp;I5261)</f>
        <v/>
      </c>
      <c r="T5261" t="str">
        <f>IF(OR(C5261="",I5261&lt;&gt;"ENTRADA"),"",TEXT(B5261,"AAMMDD")&amp;"-"&amp;TEXT(VALUE(SUBSTITUTE(A5261,"MOV-","")),"000"))</f>
        <v/>
      </c>
    </row>
    <row r="5262" spans="18:20">
      <c r="R5262" s="22" t="str">
        <f>IF(H5262="","",H5262&amp;I5262)</f>
        <v/>
      </c>
      <c r="S5262" s="22" t="str">
        <f>IF(C5262="","",C5262&amp;I5262)</f>
        <v/>
      </c>
      <c r="T5262" t="str">
        <f>IF(OR(C5262="",I5262&lt;&gt;"ENTRADA"),"",TEXT(B5262,"AAMMDD")&amp;"-"&amp;TEXT(VALUE(SUBSTITUTE(A5262,"MOV-","")),"000"))</f>
        <v/>
      </c>
    </row>
    <row r="5263" spans="18:20">
      <c r="R5263" s="22" t="str">
        <f>IF(H5263="","",H5263&amp;I5263)</f>
        <v/>
      </c>
      <c r="S5263" s="22" t="str">
        <f>IF(C5263="","",C5263&amp;I5263)</f>
        <v/>
      </c>
      <c r="T5263" t="str">
        <f>IF(OR(C5263="",I5263&lt;&gt;"ENTRADA"),"",TEXT(B5263,"AAMMDD")&amp;"-"&amp;TEXT(VALUE(SUBSTITUTE(A5263,"MOV-","")),"000"))</f>
        <v/>
      </c>
    </row>
    <row r="5264" spans="18:20">
      <c r="R5264" s="22" t="str">
        <f>IF(H5264="","",H5264&amp;I5264)</f>
        <v/>
      </c>
      <c r="S5264" s="22" t="str">
        <f>IF(C5264="","",C5264&amp;I5264)</f>
        <v/>
      </c>
      <c r="T5264" t="str">
        <f>IF(OR(C5264="",I5264&lt;&gt;"ENTRADA"),"",TEXT(B5264,"AAMMDD")&amp;"-"&amp;TEXT(VALUE(SUBSTITUTE(A5264,"MOV-","")),"000"))</f>
        <v/>
      </c>
    </row>
    <row r="5265" spans="18:20">
      <c r="R5265" s="22" t="str">
        <f>IF(H5265="","",H5265&amp;I5265)</f>
        <v/>
      </c>
      <c r="S5265" s="22" t="str">
        <f>IF(C5265="","",C5265&amp;I5265)</f>
        <v/>
      </c>
      <c r="T5265" t="str">
        <f>IF(OR(C5265="",I5265&lt;&gt;"ENTRADA"),"",TEXT(B5265,"AAMMDD")&amp;"-"&amp;TEXT(VALUE(SUBSTITUTE(A5265,"MOV-","")),"000"))</f>
        <v/>
      </c>
    </row>
    <row r="5266" spans="18:20">
      <c r="R5266" s="22" t="str">
        <f>IF(H5266="","",H5266&amp;I5266)</f>
        <v/>
      </c>
      <c r="S5266" s="22" t="str">
        <f>IF(C5266="","",C5266&amp;I5266)</f>
        <v/>
      </c>
      <c r="T5266" t="str">
        <f>IF(OR(C5266="",I5266&lt;&gt;"ENTRADA"),"",TEXT(B5266,"AAMMDD")&amp;"-"&amp;TEXT(VALUE(SUBSTITUTE(A5266,"MOV-","")),"000"))</f>
        <v/>
      </c>
    </row>
    <row r="5267" spans="18:20">
      <c r="R5267" s="22" t="str">
        <f>IF(H5267="","",H5267&amp;I5267)</f>
        <v/>
      </c>
      <c r="S5267" s="22" t="str">
        <f>IF(C5267="","",C5267&amp;I5267)</f>
        <v/>
      </c>
      <c r="T5267" t="str">
        <f>IF(OR(C5267="",I5267&lt;&gt;"ENTRADA"),"",TEXT(B5267,"AAMMDD")&amp;"-"&amp;TEXT(VALUE(SUBSTITUTE(A5267,"MOV-","")),"000"))</f>
        <v/>
      </c>
    </row>
    <row r="5268" spans="18:20">
      <c r="R5268" s="22" t="str">
        <f>IF(H5268="","",H5268&amp;I5268)</f>
        <v/>
      </c>
      <c r="S5268" s="22" t="str">
        <f>IF(C5268="","",C5268&amp;I5268)</f>
        <v/>
      </c>
      <c r="T5268" t="str">
        <f>IF(OR(C5268="",I5268&lt;&gt;"ENTRADA"),"",TEXT(B5268,"AAMMDD")&amp;"-"&amp;TEXT(VALUE(SUBSTITUTE(A5268,"MOV-","")),"000"))</f>
        <v/>
      </c>
    </row>
    <row r="5269" spans="18:20">
      <c r="R5269" s="22" t="str">
        <f>IF(H5269="","",H5269&amp;I5269)</f>
        <v/>
      </c>
      <c r="S5269" s="22" t="str">
        <f>IF(C5269="","",C5269&amp;I5269)</f>
        <v/>
      </c>
      <c r="T5269" t="str">
        <f>IF(OR(C5269="",I5269&lt;&gt;"ENTRADA"),"",TEXT(B5269,"AAMMDD")&amp;"-"&amp;TEXT(VALUE(SUBSTITUTE(A5269,"MOV-","")),"000"))</f>
        <v/>
      </c>
    </row>
    <row r="5270" spans="18:20">
      <c r="R5270" s="22" t="str">
        <f>IF(H5270="","",H5270&amp;I5270)</f>
        <v/>
      </c>
      <c r="S5270" s="22" t="str">
        <f>IF(C5270="","",C5270&amp;I5270)</f>
        <v/>
      </c>
      <c r="T5270" t="str">
        <f>IF(OR(C5270="",I5270&lt;&gt;"ENTRADA"),"",TEXT(B5270,"AAMMDD")&amp;"-"&amp;TEXT(VALUE(SUBSTITUTE(A5270,"MOV-","")),"000"))</f>
        <v/>
      </c>
    </row>
    <row r="5271" spans="18:20">
      <c r="R5271" s="22" t="str">
        <f>IF(H5271="","",H5271&amp;I5271)</f>
        <v/>
      </c>
      <c r="S5271" s="22" t="str">
        <f>IF(C5271="","",C5271&amp;I5271)</f>
        <v/>
      </c>
      <c r="T5271" t="str">
        <f>IF(OR(C5271="",I5271&lt;&gt;"ENTRADA"),"",TEXT(B5271,"AAMMDD")&amp;"-"&amp;TEXT(VALUE(SUBSTITUTE(A5271,"MOV-","")),"000"))</f>
        <v/>
      </c>
    </row>
    <row r="5272" spans="18:20">
      <c r="R5272" s="22" t="str">
        <f>IF(H5272="","",H5272&amp;I5272)</f>
        <v/>
      </c>
      <c r="S5272" s="22" t="str">
        <f>IF(C5272="","",C5272&amp;I5272)</f>
        <v/>
      </c>
      <c r="T5272" t="str">
        <f>IF(OR(C5272="",I5272&lt;&gt;"ENTRADA"),"",TEXT(B5272,"AAMMDD")&amp;"-"&amp;TEXT(VALUE(SUBSTITUTE(A5272,"MOV-","")),"000"))</f>
        <v/>
      </c>
    </row>
    <row r="5273" spans="18:20">
      <c r="R5273" s="22" t="str">
        <f>IF(H5273="","",H5273&amp;I5273)</f>
        <v/>
      </c>
      <c r="S5273" s="22" t="str">
        <f>IF(C5273="","",C5273&amp;I5273)</f>
        <v/>
      </c>
      <c r="T5273" t="str">
        <f>IF(OR(C5273="",I5273&lt;&gt;"ENTRADA"),"",TEXT(B5273,"AAMMDD")&amp;"-"&amp;TEXT(VALUE(SUBSTITUTE(A5273,"MOV-","")),"000"))</f>
        <v/>
      </c>
    </row>
    <row r="5274" spans="18:20">
      <c r="R5274" s="22" t="str">
        <f>IF(H5274="","",H5274&amp;I5274)</f>
        <v/>
      </c>
      <c r="S5274" s="22" t="str">
        <f>IF(C5274="","",C5274&amp;I5274)</f>
        <v/>
      </c>
      <c r="T5274" t="str">
        <f>IF(OR(C5274="",I5274&lt;&gt;"ENTRADA"),"",TEXT(B5274,"AAMMDD")&amp;"-"&amp;TEXT(VALUE(SUBSTITUTE(A5274,"MOV-","")),"000"))</f>
        <v/>
      </c>
    </row>
    <row r="5275" spans="18:20">
      <c r="R5275" s="22" t="str">
        <f>IF(H5275="","",H5275&amp;I5275)</f>
        <v/>
      </c>
      <c r="S5275" s="22" t="str">
        <f>IF(C5275="","",C5275&amp;I5275)</f>
        <v/>
      </c>
      <c r="T5275" t="str">
        <f>IF(OR(C5275="",I5275&lt;&gt;"ENTRADA"),"",TEXT(B5275,"AAMMDD")&amp;"-"&amp;TEXT(VALUE(SUBSTITUTE(A5275,"MOV-","")),"000"))</f>
        <v/>
      </c>
    </row>
    <row r="5276" spans="18:20">
      <c r="R5276" s="22" t="str">
        <f>IF(H5276="","",H5276&amp;I5276)</f>
        <v/>
      </c>
      <c r="S5276" s="22" t="str">
        <f>IF(C5276="","",C5276&amp;I5276)</f>
        <v/>
      </c>
      <c r="T5276" t="str">
        <f>IF(OR(C5276="",I5276&lt;&gt;"ENTRADA"),"",TEXT(B5276,"AAMMDD")&amp;"-"&amp;TEXT(VALUE(SUBSTITUTE(A5276,"MOV-","")),"000"))</f>
        <v/>
      </c>
    </row>
    <row r="5277" spans="18:20">
      <c r="R5277" s="22" t="str">
        <f>IF(H5277="","",H5277&amp;I5277)</f>
        <v/>
      </c>
      <c r="S5277" s="22" t="str">
        <f>IF(C5277="","",C5277&amp;I5277)</f>
        <v/>
      </c>
      <c r="T5277" t="str">
        <f>IF(OR(C5277="",I5277&lt;&gt;"ENTRADA"),"",TEXT(B5277,"AAMMDD")&amp;"-"&amp;TEXT(VALUE(SUBSTITUTE(A5277,"MOV-","")),"000"))</f>
        <v/>
      </c>
    </row>
    <row r="5278" spans="18:20">
      <c r="R5278" s="22" t="str">
        <f>IF(H5278="","",H5278&amp;I5278)</f>
        <v/>
      </c>
      <c r="S5278" s="22" t="str">
        <f>IF(C5278="","",C5278&amp;I5278)</f>
        <v/>
      </c>
      <c r="T5278" t="str">
        <f>IF(OR(C5278="",I5278&lt;&gt;"ENTRADA"),"",TEXT(B5278,"AAMMDD")&amp;"-"&amp;TEXT(VALUE(SUBSTITUTE(A5278,"MOV-","")),"000"))</f>
        <v/>
      </c>
    </row>
    <row r="5279" spans="18:20">
      <c r="R5279" s="22" t="str">
        <f>IF(H5279="","",H5279&amp;I5279)</f>
        <v/>
      </c>
      <c r="S5279" s="22" t="str">
        <f>IF(C5279="","",C5279&amp;I5279)</f>
        <v/>
      </c>
      <c r="T5279" t="str">
        <f>IF(OR(C5279="",I5279&lt;&gt;"ENTRADA"),"",TEXT(B5279,"AAMMDD")&amp;"-"&amp;TEXT(VALUE(SUBSTITUTE(A5279,"MOV-","")),"000"))</f>
        <v/>
      </c>
    </row>
    <row r="5280" spans="18:20">
      <c r="R5280" s="22" t="str">
        <f>IF(H5280="","",H5280&amp;I5280)</f>
        <v/>
      </c>
      <c r="S5280" s="22" t="str">
        <f>IF(C5280="","",C5280&amp;I5280)</f>
        <v/>
      </c>
      <c r="T5280" t="str">
        <f>IF(OR(C5280="",I5280&lt;&gt;"ENTRADA"),"",TEXT(B5280,"AAMMDD")&amp;"-"&amp;TEXT(VALUE(SUBSTITUTE(A5280,"MOV-","")),"000"))</f>
        <v/>
      </c>
    </row>
    <row r="5281" spans="18:20">
      <c r="R5281" s="22" t="str">
        <f>IF(H5281="","",H5281&amp;I5281)</f>
        <v/>
      </c>
      <c r="S5281" s="22" t="str">
        <f>IF(C5281="","",C5281&amp;I5281)</f>
        <v/>
      </c>
      <c r="T5281" t="str">
        <f>IF(OR(C5281="",I5281&lt;&gt;"ENTRADA"),"",TEXT(B5281,"AAMMDD")&amp;"-"&amp;TEXT(VALUE(SUBSTITUTE(A5281,"MOV-","")),"000"))</f>
        <v/>
      </c>
    </row>
    <row r="5282" spans="18:20">
      <c r="R5282" s="22" t="str">
        <f>IF(H5282="","",H5282&amp;I5282)</f>
        <v/>
      </c>
      <c r="S5282" s="22" t="str">
        <f>IF(C5282="","",C5282&amp;I5282)</f>
        <v/>
      </c>
      <c r="T5282" t="str">
        <f>IF(OR(C5282="",I5282&lt;&gt;"ENTRADA"),"",TEXT(B5282,"AAMMDD")&amp;"-"&amp;TEXT(VALUE(SUBSTITUTE(A5282,"MOV-","")),"000"))</f>
        <v/>
      </c>
    </row>
    <row r="5283" spans="18:20">
      <c r="R5283" s="22" t="str">
        <f>IF(H5283="","",H5283&amp;I5283)</f>
        <v/>
      </c>
      <c r="S5283" s="22" t="str">
        <f>IF(C5283="","",C5283&amp;I5283)</f>
        <v/>
      </c>
      <c r="T5283" t="str">
        <f>IF(OR(C5283="",I5283&lt;&gt;"ENTRADA"),"",TEXT(B5283,"AAMMDD")&amp;"-"&amp;TEXT(VALUE(SUBSTITUTE(A5283,"MOV-","")),"000"))</f>
        <v/>
      </c>
    </row>
    <row r="5284" spans="18:20">
      <c r="R5284" s="22" t="str">
        <f>IF(H5284="","",H5284&amp;I5284)</f>
        <v/>
      </c>
      <c r="S5284" s="22" t="str">
        <f>IF(C5284="","",C5284&amp;I5284)</f>
        <v/>
      </c>
      <c r="T5284" t="str">
        <f>IF(OR(C5284="",I5284&lt;&gt;"ENTRADA"),"",TEXT(B5284,"AAMMDD")&amp;"-"&amp;TEXT(VALUE(SUBSTITUTE(A5284,"MOV-","")),"000"))</f>
        <v/>
      </c>
    </row>
    <row r="5285" spans="18:20">
      <c r="R5285" s="22" t="str">
        <f>IF(H5285="","",H5285&amp;I5285)</f>
        <v/>
      </c>
      <c r="S5285" s="22" t="str">
        <f>IF(C5285="","",C5285&amp;I5285)</f>
        <v/>
      </c>
      <c r="T5285" t="str">
        <f>IF(OR(C5285="",I5285&lt;&gt;"ENTRADA"),"",TEXT(B5285,"AAMMDD")&amp;"-"&amp;TEXT(VALUE(SUBSTITUTE(A5285,"MOV-","")),"000"))</f>
        <v/>
      </c>
    </row>
    <row r="5286" spans="18:20">
      <c r="R5286" s="22" t="str">
        <f>IF(H5286="","",H5286&amp;I5286)</f>
        <v/>
      </c>
      <c r="S5286" s="22" t="str">
        <f>IF(C5286="","",C5286&amp;I5286)</f>
        <v/>
      </c>
      <c r="T5286" t="str">
        <f>IF(OR(C5286="",I5286&lt;&gt;"ENTRADA"),"",TEXT(B5286,"AAMMDD")&amp;"-"&amp;TEXT(VALUE(SUBSTITUTE(A5286,"MOV-","")),"000"))</f>
        <v/>
      </c>
    </row>
    <row r="5287" spans="18:20">
      <c r="R5287" s="22" t="str">
        <f>IF(H5287="","",H5287&amp;I5287)</f>
        <v/>
      </c>
      <c r="S5287" s="22" t="str">
        <f>IF(C5287="","",C5287&amp;I5287)</f>
        <v/>
      </c>
      <c r="T5287" t="str">
        <f>IF(OR(C5287="",I5287&lt;&gt;"ENTRADA"),"",TEXT(B5287,"AAMMDD")&amp;"-"&amp;TEXT(VALUE(SUBSTITUTE(A5287,"MOV-","")),"000"))</f>
        <v/>
      </c>
    </row>
    <row r="5288" spans="18:20">
      <c r="R5288" s="22" t="str">
        <f>IF(H5288="","",H5288&amp;I5288)</f>
        <v/>
      </c>
      <c r="S5288" s="22" t="str">
        <f>IF(C5288="","",C5288&amp;I5288)</f>
        <v/>
      </c>
      <c r="T5288" t="str">
        <f>IF(OR(C5288="",I5288&lt;&gt;"ENTRADA"),"",TEXT(B5288,"AAMMDD")&amp;"-"&amp;TEXT(VALUE(SUBSTITUTE(A5288,"MOV-","")),"000"))</f>
        <v/>
      </c>
    </row>
    <row r="5289" spans="18:20">
      <c r="R5289" s="22" t="str">
        <f>IF(H5289="","",H5289&amp;I5289)</f>
        <v/>
      </c>
      <c r="S5289" s="22" t="str">
        <f>IF(C5289="","",C5289&amp;I5289)</f>
        <v/>
      </c>
      <c r="T5289" t="str">
        <f>IF(OR(C5289="",I5289&lt;&gt;"ENTRADA"),"",TEXT(B5289,"AAMMDD")&amp;"-"&amp;TEXT(VALUE(SUBSTITUTE(A5289,"MOV-","")),"000"))</f>
        <v/>
      </c>
    </row>
    <row r="5290" spans="18:20">
      <c r="R5290" s="22" t="str">
        <f>IF(H5290="","",H5290&amp;I5290)</f>
        <v/>
      </c>
      <c r="S5290" s="22" t="str">
        <f>IF(C5290="","",C5290&amp;I5290)</f>
        <v/>
      </c>
      <c r="T5290" t="str">
        <f>IF(OR(C5290="",I5290&lt;&gt;"ENTRADA"),"",TEXT(B5290,"AAMMDD")&amp;"-"&amp;TEXT(VALUE(SUBSTITUTE(A5290,"MOV-","")),"000"))</f>
        <v/>
      </c>
    </row>
    <row r="5291" spans="18:20">
      <c r="R5291" s="22" t="str">
        <f>IF(H5291="","",H5291&amp;I5291)</f>
        <v/>
      </c>
      <c r="S5291" s="22" t="str">
        <f>IF(C5291="","",C5291&amp;I5291)</f>
        <v/>
      </c>
      <c r="T5291" t="str">
        <f>IF(OR(C5291="",I5291&lt;&gt;"ENTRADA"),"",TEXT(B5291,"AAMMDD")&amp;"-"&amp;TEXT(VALUE(SUBSTITUTE(A5291,"MOV-","")),"000"))</f>
        <v/>
      </c>
    </row>
    <row r="5292" spans="18:20">
      <c r="R5292" s="22" t="str">
        <f>IF(H5292="","",H5292&amp;I5292)</f>
        <v/>
      </c>
      <c r="S5292" s="22" t="str">
        <f>IF(C5292="","",C5292&amp;I5292)</f>
        <v/>
      </c>
      <c r="T5292" t="str">
        <f>IF(OR(C5292="",I5292&lt;&gt;"ENTRADA"),"",TEXT(B5292,"AAMMDD")&amp;"-"&amp;TEXT(VALUE(SUBSTITUTE(A5292,"MOV-","")),"000"))</f>
        <v/>
      </c>
    </row>
    <row r="5293" spans="18:20">
      <c r="R5293" s="22" t="str">
        <f>IF(H5293="","",H5293&amp;I5293)</f>
        <v/>
      </c>
      <c r="S5293" s="22" t="str">
        <f>IF(C5293="","",C5293&amp;I5293)</f>
        <v/>
      </c>
      <c r="T5293" t="str">
        <f>IF(OR(C5293="",I5293&lt;&gt;"ENTRADA"),"",TEXT(B5293,"AAMMDD")&amp;"-"&amp;TEXT(VALUE(SUBSTITUTE(A5293,"MOV-","")),"000"))</f>
        <v/>
      </c>
    </row>
    <row r="5294" spans="18:20">
      <c r="R5294" s="22" t="str">
        <f>IF(H5294="","",H5294&amp;I5294)</f>
        <v/>
      </c>
      <c r="S5294" s="22" t="str">
        <f>IF(C5294="","",C5294&amp;I5294)</f>
        <v/>
      </c>
      <c r="T5294" t="str">
        <f>IF(OR(C5294="",I5294&lt;&gt;"ENTRADA"),"",TEXT(B5294,"AAMMDD")&amp;"-"&amp;TEXT(VALUE(SUBSTITUTE(A5294,"MOV-","")),"000"))</f>
        <v/>
      </c>
    </row>
    <row r="5295" spans="18:20">
      <c r="R5295" s="22" t="str">
        <f>IF(H5295="","",H5295&amp;I5295)</f>
        <v/>
      </c>
      <c r="S5295" s="22" t="str">
        <f>IF(C5295="","",C5295&amp;I5295)</f>
        <v/>
      </c>
      <c r="T5295" t="str">
        <f>IF(OR(C5295="",I5295&lt;&gt;"ENTRADA"),"",TEXT(B5295,"AAMMDD")&amp;"-"&amp;TEXT(VALUE(SUBSTITUTE(A5295,"MOV-","")),"000"))</f>
        <v/>
      </c>
    </row>
    <row r="5296" spans="18:20">
      <c r="R5296" s="22" t="str">
        <f>IF(H5296="","",H5296&amp;I5296)</f>
        <v/>
      </c>
      <c r="S5296" s="22" t="str">
        <f>IF(C5296="","",C5296&amp;I5296)</f>
        <v/>
      </c>
      <c r="T5296" t="str">
        <f>IF(OR(C5296="",I5296&lt;&gt;"ENTRADA"),"",TEXT(B5296,"AAMMDD")&amp;"-"&amp;TEXT(VALUE(SUBSTITUTE(A5296,"MOV-","")),"000"))</f>
        <v/>
      </c>
    </row>
    <row r="5297" spans="18:20">
      <c r="R5297" s="22" t="str">
        <f>IF(H5297="","",H5297&amp;I5297)</f>
        <v/>
      </c>
      <c r="S5297" s="22" t="str">
        <f>IF(C5297="","",C5297&amp;I5297)</f>
        <v/>
      </c>
      <c r="T5297" t="str">
        <f>IF(OR(C5297="",I5297&lt;&gt;"ENTRADA"),"",TEXT(B5297,"AAMMDD")&amp;"-"&amp;TEXT(VALUE(SUBSTITUTE(A5297,"MOV-","")),"000"))</f>
        <v/>
      </c>
    </row>
    <row r="5298" spans="18:20">
      <c r="R5298" s="22" t="str">
        <f>IF(H5298="","",H5298&amp;I5298)</f>
        <v/>
      </c>
      <c r="S5298" s="22" t="str">
        <f>IF(C5298="","",C5298&amp;I5298)</f>
        <v/>
      </c>
      <c r="T5298" t="str">
        <f>IF(OR(C5298="",I5298&lt;&gt;"ENTRADA"),"",TEXT(B5298,"AAMMDD")&amp;"-"&amp;TEXT(VALUE(SUBSTITUTE(A5298,"MOV-","")),"000"))</f>
        <v/>
      </c>
    </row>
    <row r="5299" spans="18:20">
      <c r="R5299" s="22" t="str">
        <f>IF(H5299="","",H5299&amp;I5299)</f>
        <v/>
      </c>
      <c r="S5299" s="22" t="str">
        <f>IF(C5299="","",C5299&amp;I5299)</f>
        <v/>
      </c>
      <c r="T5299" t="str">
        <f>IF(OR(C5299="",I5299&lt;&gt;"ENTRADA"),"",TEXT(B5299,"AAMMDD")&amp;"-"&amp;TEXT(VALUE(SUBSTITUTE(A5299,"MOV-","")),"000"))</f>
        <v/>
      </c>
    </row>
    <row r="5300" spans="18:20">
      <c r="R5300" s="22" t="str">
        <f>IF(H5300="","",H5300&amp;I5300)</f>
        <v/>
      </c>
      <c r="S5300" s="22" t="str">
        <f>IF(C5300="","",C5300&amp;I5300)</f>
        <v/>
      </c>
      <c r="T5300" t="str">
        <f>IF(OR(C5300="",I5300&lt;&gt;"ENTRADA"),"",TEXT(B5300,"AAMMDD")&amp;"-"&amp;TEXT(VALUE(SUBSTITUTE(A5300,"MOV-","")),"000"))</f>
        <v/>
      </c>
    </row>
    <row r="5301" spans="18:20">
      <c r="R5301" s="22" t="str">
        <f>IF(H5301="","",H5301&amp;I5301)</f>
        <v/>
      </c>
      <c r="S5301" s="22" t="str">
        <f>IF(C5301="","",C5301&amp;I5301)</f>
        <v/>
      </c>
      <c r="T5301" t="str">
        <f>IF(OR(C5301="",I5301&lt;&gt;"ENTRADA"),"",TEXT(B5301,"AAMMDD")&amp;"-"&amp;TEXT(VALUE(SUBSTITUTE(A5301,"MOV-","")),"000"))</f>
        <v/>
      </c>
    </row>
    <row r="5302" spans="18:20">
      <c r="R5302" s="22" t="str">
        <f>IF(H5302="","",H5302&amp;I5302)</f>
        <v/>
      </c>
      <c r="S5302" s="22" t="str">
        <f>IF(C5302="","",C5302&amp;I5302)</f>
        <v/>
      </c>
      <c r="T5302" t="str">
        <f>IF(OR(C5302="",I5302&lt;&gt;"ENTRADA"),"",TEXT(B5302,"AAMMDD")&amp;"-"&amp;TEXT(VALUE(SUBSTITUTE(A5302,"MOV-","")),"000"))</f>
        <v/>
      </c>
    </row>
    <row r="5303" spans="18:20">
      <c r="R5303" s="22" t="str">
        <f>IF(H5303="","",H5303&amp;I5303)</f>
        <v/>
      </c>
      <c r="S5303" s="22" t="str">
        <f>IF(C5303="","",C5303&amp;I5303)</f>
        <v/>
      </c>
      <c r="T5303" t="str">
        <f>IF(OR(C5303="",I5303&lt;&gt;"ENTRADA"),"",TEXT(B5303,"AAMMDD")&amp;"-"&amp;TEXT(VALUE(SUBSTITUTE(A5303,"MOV-","")),"000"))</f>
        <v/>
      </c>
    </row>
    <row r="5304" spans="18:20">
      <c r="R5304" s="22" t="str">
        <f>IF(H5304="","",H5304&amp;I5304)</f>
        <v/>
      </c>
      <c r="S5304" s="22" t="str">
        <f>IF(C5304="","",C5304&amp;I5304)</f>
        <v/>
      </c>
      <c r="T5304" t="str">
        <f>IF(OR(C5304="",I5304&lt;&gt;"ENTRADA"),"",TEXT(B5304,"AAMMDD")&amp;"-"&amp;TEXT(VALUE(SUBSTITUTE(A5304,"MOV-","")),"000"))</f>
        <v/>
      </c>
    </row>
    <row r="5305" spans="18:20">
      <c r="R5305" s="22" t="str">
        <f>IF(H5305="","",H5305&amp;I5305)</f>
        <v/>
      </c>
      <c r="S5305" s="22" t="str">
        <f>IF(C5305="","",C5305&amp;I5305)</f>
        <v/>
      </c>
      <c r="T5305" t="str">
        <f>IF(OR(C5305="",I5305&lt;&gt;"ENTRADA"),"",TEXT(B5305,"AAMMDD")&amp;"-"&amp;TEXT(VALUE(SUBSTITUTE(A5305,"MOV-","")),"000"))</f>
        <v/>
      </c>
    </row>
    <row r="5306" spans="18:20">
      <c r="R5306" s="22" t="str">
        <f>IF(H5306="","",H5306&amp;I5306)</f>
        <v/>
      </c>
      <c r="S5306" s="22" t="str">
        <f>IF(C5306="","",C5306&amp;I5306)</f>
        <v/>
      </c>
      <c r="T5306" t="str">
        <f>IF(OR(C5306="",I5306&lt;&gt;"ENTRADA"),"",TEXT(B5306,"AAMMDD")&amp;"-"&amp;TEXT(VALUE(SUBSTITUTE(A5306,"MOV-","")),"000"))</f>
        <v/>
      </c>
    </row>
    <row r="5307" spans="18:20">
      <c r="R5307" s="22" t="str">
        <f>IF(H5307="","",H5307&amp;I5307)</f>
        <v/>
      </c>
      <c r="S5307" s="22" t="str">
        <f>IF(C5307="","",C5307&amp;I5307)</f>
        <v/>
      </c>
      <c r="T5307" t="str">
        <f>IF(OR(C5307="",I5307&lt;&gt;"ENTRADA"),"",TEXT(B5307,"AAMMDD")&amp;"-"&amp;TEXT(VALUE(SUBSTITUTE(A5307,"MOV-","")),"000"))</f>
        <v/>
      </c>
    </row>
    <row r="5308" spans="18:20">
      <c r="R5308" s="22" t="str">
        <f>IF(H5308="","",H5308&amp;I5308)</f>
        <v/>
      </c>
      <c r="S5308" s="22" t="str">
        <f>IF(C5308="","",C5308&amp;I5308)</f>
        <v/>
      </c>
      <c r="T5308" t="str">
        <f>IF(OR(C5308="",I5308&lt;&gt;"ENTRADA"),"",TEXT(B5308,"AAMMDD")&amp;"-"&amp;TEXT(VALUE(SUBSTITUTE(A5308,"MOV-","")),"000"))</f>
        <v/>
      </c>
    </row>
    <row r="5309" spans="18:20">
      <c r="R5309" s="22" t="str">
        <f>IF(H5309="","",H5309&amp;I5309)</f>
        <v/>
      </c>
      <c r="S5309" s="22" t="str">
        <f>IF(C5309="","",C5309&amp;I5309)</f>
        <v/>
      </c>
      <c r="T5309" t="str">
        <f>IF(OR(C5309="",I5309&lt;&gt;"ENTRADA"),"",TEXT(B5309,"AAMMDD")&amp;"-"&amp;TEXT(VALUE(SUBSTITUTE(A5309,"MOV-","")),"000"))</f>
        <v/>
      </c>
    </row>
    <row r="5310" spans="18:20">
      <c r="R5310" s="22" t="str">
        <f>IF(H5310="","",H5310&amp;I5310)</f>
        <v/>
      </c>
      <c r="S5310" s="22" t="str">
        <f>IF(C5310="","",C5310&amp;I5310)</f>
        <v/>
      </c>
      <c r="T5310" t="str">
        <f>IF(OR(C5310="",I5310&lt;&gt;"ENTRADA"),"",TEXT(B5310,"AAMMDD")&amp;"-"&amp;TEXT(VALUE(SUBSTITUTE(A5310,"MOV-","")),"000"))</f>
        <v/>
      </c>
    </row>
    <row r="5311" spans="18:20">
      <c r="R5311" s="22" t="str">
        <f>IF(H5311="","",H5311&amp;I5311)</f>
        <v/>
      </c>
      <c r="S5311" s="22" t="str">
        <f>IF(C5311="","",C5311&amp;I5311)</f>
        <v/>
      </c>
      <c r="T5311" t="str">
        <f>IF(OR(C5311="",I5311&lt;&gt;"ENTRADA"),"",TEXT(B5311,"AAMMDD")&amp;"-"&amp;TEXT(VALUE(SUBSTITUTE(A5311,"MOV-","")),"000"))</f>
        <v/>
      </c>
    </row>
    <row r="5312" spans="18:20">
      <c r="R5312" s="22" t="str">
        <f>IF(H5312="","",H5312&amp;I5312)</f>
        <v/>
      </c>
      <c r="S5312" s="22" t="str">
        <f>IF(C5312="","",C5312&amp;I5312)</f>
        <v/>
      </c>
      <c r="T5312" t="str">
        <f>IF(OR(C5312="",I5312&lt;&gt;"ENTRADA"),"",TEXT(B5312,"AAMMDD")&amp;"-"&amp;TEXT(VALUE(SUBSTITUTE(A5312,"MOV-","")),"000"))</f>
        <v/>
      </c>
    </row>
    <row r="5313" spans="18:20">
      <c r="R5313" s="22" t="str">
        <f>IF(H5313="","",H5313&amp;I5313)</f>
        <v/>
      </c>
      <c r="S5313" s="22" t="str">
        <f>IF(C5313="","",C5313&amp;I5313)</f>
        <v/>
      </c>
      <c r="T5313" t="str">
        <f>IF(OR(C5313="",I5313&lt;&gt;"ENTRADA"),"",TEXT(B5313,"AAMMDD")&amp;"-"&amp;TEXT(VALUE(SUBSTITUTE(A5313,"MOV-","")),"000"))</f>
        <v/>
      </c>
    </row>
    <row r="5314" spans="18:20">
      <c r="R5314" s="22" t="str">
        <f>IF(H5314="","",H5314&amp;I5314)</f>
        <v/>
      </c>
      <c r="S5314" s="22" t="str">
        <f>IF(C5314="","",C5314&amp;I5314)</f>
        <v/>
      </c>
      <c r="T5314" t="str">
        <f>IF(OR(C5314="",I5314&lt;&gt;"ENTRADA"),"",TEXT(B5314,"AAMMDD")&amp;"-"&amp;TEXT(VALUE(SUBSTITUTE(A5314,"MOV-","")),"000"))</f>
        <v/>
      </c>
    </row>
    <row r="5315" spans="18:20">
      <c r="R5315" s="22" t="str">
        <f>IF(H5315="","",H5315&amp;I5315)</f>
        <v/>
      </c>
      <c r="S5315" s="22" t="str">
        <f>IF(C5315="","",C5315&amp;I5315)</f>
        <v/>
      </c>
      <c r="T5315" t="str">
        <f>IF(OR(C5315="",I5315&lt;&gt;"ENTRADA"),"",TEXT(B5315,"AAMMDD")&amp;"-"&amp;TEXT(VALUE(SUBSTITUTE(A5315,"MOV-","")),"000"))</f>
        <v/>
      </c>
    </row>
    <row r="5316" spans="18:20">
      <c r="R5316" s="22" t="str">
        <f>IF(H5316="","",H5316&amp;I5316)</f>
        <v/>
      </c>
      <c r="S5316" s="22" t="str">
        <f>IF(C5316="","",C5316&amp;I5316)</f>
        <v/>
      </c>
      <c r="T5316" t="str">
        <f>IF(OR(C5316="",I5316&lt;&gt;"ENTRADA"),"",TEXT(B5316,"AAMMDD")&amp;"-"&amp;TEXT(VALUE(SUBSTITUTE(A5316,"MOV-","")),"000"))</f>
        <v/>
      </c>
    </row>
    <row r="5317" spans="18:20">
      <c r="R5317" s="22" t="str">
        <f>IF(H5317="","",H5317&amp;I5317)</f>
        <v/>
      </c>
      <c r="S5317" s="22" t="str">
        <f>IF(C5317="","",C5317&amp;I5317)</f>
        <v/>
      </c>
      <c r="T5317" t="str">
        <f>IF(OR(C5317="",I5317&lt;&gt;"ENTRADA"),"",TEXT(B5317,"AAMMDD")&amp;"-"&amp;TEXT(VALUE(SUBSTITUTE(A5317,"MOV-","")),"000"))</f>
        <v/>
      </c>
    </row>
    <row r="5318" spans="18:20">
      <c r="R5318" s="22" t="str">
        <f>IF(H5318="","",H5318&amp;I5318)</f>
        <v/>
      </c>
      <c r="S5318" s="22" t="str">
        <f>IF(C5318="","",C5318&amp;I5318)</f>
        <v/>
      </c>
      <c r="T5318" t="str">
        <f>IF(OR(C5318="",I5318&lt;&gt;"ENTRADA"),"",TEXT(B5318,"AAMMDD")&amp;"-"&amp;TEXT(VALUE(SUBSTITUTE(A5318,"MOV-","")),"000"))</f>
        <v/>
      </c>
    </row>
    <row r="5319" spans="18:20">
      <c r="R5319" s="22" t="str">
        <f>IF(H5319="","",H5319&amp;I5319)</f>
        <v/>
      </c>
      <c r="S5319" s="22" t="str">
        <f>IF(C5319="","",C5319&amp;I5319)</f>
        <v/>
      </c>
      <c r="T5319" t="str">
        <f>IF(OR(C5319="",I5319&lt;&gt;"ENTRADA"),"",TEXT(B5319,"AAMMDD")&amp;"-"&amp;TEXT(VALUE(SUBSTITUTE(A5319,"MOV-","")),"000"))</f>
        <v/>
      </c>
    </row>
    <row r="5320" spans="18:20">
      <c r="R5320" s="22" t="str">
        <f>IF(H5320="","",H5320&amp;I5320)</f>
        <v/>
      </c>
      <c r="S5320" s="22" t="str">
        <f>IF(C5320="","",C5320&amp;I5320)</f>
        <v/>
      </c>
      <c r="T5320" t="str">
        <f>IF(OR(C5320="",I5320&lt;&gt;"ENTRADA"),"",TEXT(B5320,"AAMMDD")&amp;"-"&amp;TEXT(VALUE(SUBSTITUTE(A5320,"MOV-","")),"000"))</f>
        <v/>
      </c>
    </row>
    <row r="5321" spans="18:20">
      <c r="R5321" s="22" t="str">
        <f>IF(H5321="","",H5321&amp;I5321)</f>
        <v/>
      </c>
      <c r="S5321" s="22" t="str">
        <f>IF(C5321="","",C5321&amp;I5321)</f>
        <v/>
      </c>
      <c r="T5321" t="str">
        <f>IF(OR(C5321="",I5321&lt;&gt;"ENTRADA"),"",TEXT(B5321,"AAMMDD")&amp;"-"&amp;TEXT(VALUE(SUBSTITUTE(A5321,"MOV-","")),"000"))</f>
        <v/>
      </c>
    </row>
    <row r="5322" spans="18:20">
      <c r="R5322" s="22" t="str">
        <f>IF(H5322="","",H5322&amp;I5322)</f>
        <v/>
      </c>
      <c r="S5322" s="22" t="str">
        <f>IF(C5322="","",C5322&amp;I5322)</f>
        <v/>
      </c>
      <c r="T5322" t="str">
        <f>IF(OR(C5322="",I5322&lt;&gt;"ENTRADA"),"",TEXT(B5322,"AAMMDD")&amp;"-"&amp;TEXT(VALUE(SUBSTITUTE(A5322,"MOV-","")),"000"))</f>
        <v/>
      </c>
    </row>
    <row r="5323" spans="18:20">
      <c r="R5323" s="22" t="str">
        <f>IF(H5323="","",H5323&amp;I5323)</f>
        <v/>
      </c>
      <c r="S5323" s="22" t="str">
        <f>IF(C5323="","",C5323&amp;I5323)</f>
        <v/>
      </c>
      <c r="T5323" t="str">
        <f>IF(OR(C5323="",I5323&lt;&gt;"ENTRADA"),"",TEXT(B5323,"AAMMDD")&amp;"-"&amp;TEXT(VALUE(SUBSTITUTE(A5323,"MOV-","")),"000"))</f>
        <v/>
      </c>
    </row>
    <row r="5324" spans="18:20">
      <c r="R5324" s="22" t="str">
        <f>IF(H5324="","",H5324&amp;I5324)</f>
        <v/>
      </c>
      <c r="S5324" s="22" t="str">
        <f>IF(C5324="","",C5324&amp;I5324)</f>
        <v/>
      </c>
      <c r="T5324" t="str">
        <f>IF(OR(C5324="",I5324&lt;&gt;"ENTRADA"),"",TEXT(B5324,"AAMMDD")&amp;"-"&amp;TEXT(VALUE(SUBSTITUTE(A5324,"MOV-","")),"000"))</f>
        <v/>
      </c>
    </row>
    <row r="5325" spans="18:20">
      <c r="R5325" s="22" t="str">
        <f>IF(H5325="","",H5325&amp;I5325)</f>
        <v/>
      </c>
      <c r="S5325" s="22" t="str">
        <f>IF(C5325="","",C5325&amp;I5325)</f>
        <v/>
      </c>
      <c r="T5325" t="str">
        <f>IF(OR(C5325="",I5325&lt;&gt;"ENTRADA"),"",TEXT(B5325,"AAMMDD")&amp;"-"&amp;TEXT(VALUE(SUBSTITUTE(A5325,"MOV-","")),"000"))</f>
        <v/>
      </c>
    </row>
    <row r="5326" spans="18:20">
      <c r="R5326" s="22" t="str">
        <f>IF(H5326="","",H5326&amp;I5326)</f>
        <v/>
      </c>
      <c r="S5326" s="22" t="str">
        <f>IF(C5326="","",C5326&amp;I5326)</f>
        <v/>
      </c>
      <c r="T5326" t="str">
        <f>IF(OR(C5326="",I5326&lt;&gt;"ENTRADA"),"",TEXT(B5326,"AAMMDD")&amp;"-"&amp;TEXT(VALUE(SUBSTITUTE(A5326,"MOV-","")),"000"))</f>
        <v/>
      </c>
    </row>
    <row r="5327" spans="18:20">
      <c r="R5327" s="22" t="str">
        <f>IF(H5327="","",H5327&amp;I5327)</f>
        <v/>
      </c>
      <c r="S5327" s="22" t="str">
        <f>IF(C5327="","",C5327&amp;I5327)</f>
        <v/>
      </c>
      <c r="T5327" t="str">
        <f>IF(OR(C5327="",I5327&lt;&gt;"ENTRADA"),"",TEXT(B5327,"AAMMDD")&amp;"-"&amp;TEXT(VALUE(SUBSTITUTE(A5327,"MOV-","")),"000"))</f>
        <v/>
      </c>
    </row>
    <row r="5328" spans="18:20">
      <c r="R5328" s="22" t="str">
        <f>IF(H5328="","",H5328&amp;I5328)</f>
        <v/>
      </c>
      <c r="S5328" s="22" t="str">
        <f>IF(C5328="","",C5328&amp;I5328)</f>
        <v/>
      </c>
      <c r="T5328" t="str">
        <f>IF(OR(C5328="",I5328&lt;&gt;"ENTRADA"),"",TEXT(B5328,"AAMMDD")&amp;"-"&amp;TEXT(VALUE(SUBSTITUTE(A5328,"MOV-","")),"000"))</f>
        <v/>
      </c>
    </row>
    <row r="5329" spans="18:20">
      <c r="R5329" s="22" t="str">
        <f>IF(H5329="","",H5329&amp;I5329)</f>
        <v/>
      </c>
      <c r="S5329" s="22" t="str">
        <f>IF(C5329="","",C5329&amp;I5329)</f>
        <v/>
      </c>
      <c r="T5329" t="str">
        <f>IF(OR(C5329="",I5329&lt;&gt;"ENTRADA"),"",TEXT(B5329,"AAMMDD")&amp;"-"&amp;TEXT(VALUE(SUBSTITUTE(A5329,"MOV-","")),"000"))</f>
        <v/>
      </c>
    </row>
    <row r="5330" spans="18:20">
      <c r="R5330" s="22" t="str">
        <f>IF(H5330="","",H5330&amp;I5330)</f>
        <v/>
      </c>
      <c r="S5330" s="22" t="str">
        <f>IF(C5330="","",C5330&amp;I5330)</f>
        <v/>
      </c>
      <c r="T5330" t="str">
        <f>IF(OR(C5330="",I5330&lt;&gt;"ENTRADA"),"",TEXT(B5330,"AAMMDD")&amp;"-"&amp;TEXT(VALUE(SUBSTITUTE(A5330,"MOV-","")),"000"))</f>
        <v/>
      </c>
    </row>
    <row r="5331" spans="18:20">
      <c r="R5331" s="22" t="str">
        <f>IF(H5331="","",H5331&amp;I5331)</f>
        <v/>
      </c>
      <c r="S5331" s="22" t="str">
        <f>IF(C5331="","",C5331&amp;I5331)</f>
        <v/>
      </c>
      <c r="T5331" t="str">
        <f>IF(OR(C5331="",I5331&lt;&gt;"ENTRADA"),"",TEXT(B5331,"AAMMDD")&amp;"-"&amp;TEXT(VALUE(SUBSTITUTE(A5331,"MOV-","")),"000"))</f>
        <v/>
      </c>
    </row>
    <row r="5332" spans="18:20">
      <c r="R5332" s="22" t="str">
        <f>IF(H5332="","",H5332&amp;I5332)</f>
        <v/>
      </c>
      <c r="S5332" s="22" t="str">
        <f>IF(C5332="","",C5332&amp;I5332)</f>
        <v/>
      </c>
      <c r="T5332" t="str">
        <f>IF(OR(C5332="",I5332&lt;&gt;"ENTRADA"),"",TEXT(B5332,"AAMMDD")&amp;"-"&amp;TEXT(VALUE(SUBSTITUTE(A5332,"MOV-","")),"000"))</f>
        <v/>
      </c>
    </row>
    <row r="5333" spans="18:20">
      <c r="R5333" s="22" t="str">
        <f>IF(H5333="","",H5333&amp;I5333)</f>
        <v/>
      </c>
      <c r="S5333" s="22" t="str">
        <f>IF(C5333="","",C5333&amp;I5333)</f>
        <v/>
      </c>
      <c r="T5333" t="str">
        <f>IF(OR(C5333="",I5333&lt;&gt;"ENTRADA"),"",TEXT(B5333,"AAMMDD")&amp;"-"&amp;TEXT(VALUE(SUBSTITUTE(A5333,"MOV-","")),"000"))</f>
        <v/>
      </c>
    </row>
    <row r="5334" spans="18:20">
      <c r="R5334" s="22" t="str">
        <f>IF(H5334="","",H5334&amp;I5334)</f>
        <v/>
      </c>
      <c r="S5334" s="22" t="str">
        <f>IF(C5334="","",C5334&amp;I5334)</f>
        <v/>
      </c>
      <c r="T5334" t="str">
        <f>IF(OR(C5334="",I5334&lt;&gt;"ENTRADA"),"",TEXT(B5334,"AAMMDD")&amp;"-"&amp;TEXT(VALUE(SUBSTITUTE(A5334,"MOV-","")),"000"))</f>
        <v/>
      </c>
    </row>
    <row r="5335" spans="18:20">
      <c r="R5335" s="22" t="str">
        <f>IF(H5335="","",H5335&amp;I5335)</f>
        <v/>
      </c>
      <c r="S5335" s="22" t="str">
        <f>IF(C5335="","",C5335&amp;I5335)</f>
        <v/>
      </c>
      <c r="T5335" t="str">
        <f>IF(OR(C5335="",I5335&lt;&gt;"ENTRADA"),"",TEXT(B5335,"AAMMDD")&amp;"-"&amp;TEXT(VALUE(SUBSTITUTE(A5335,"MOV-","")),"000"))</f>
        <v/>
      </c>
    </row>
    <row r="5336" spans="18:20">
      <c r="R5336" s="22" t="str">
        <f>IF(H5336="","",H5336&amp;I5336)</f>
        <v/>
      </c>
      <c r="S5336" s="22" t="str">
        <f>IF(C5336="","",C5336&amp;I5336)</f>
        <v/>
      </c>
      <c r="T5336" t="str">
        <f>IF(OR(C5336="",I5336&lt;&gt;"ENTRADA"),"",TEXT(B5336,"AAMMDD")&amp;"-"&amp;TEXT(VALUE(SUBSTITUTE(A5336,"MOV-","")),"000"))</f>
        <v/>
      </c>
    </row>
    <row r="5337" spans="18:20">
      <c r="R5337" s="22" t="str">
        <f>IF(H5337="","",H5337&amp;I5337)</f>
        <v/>
      </c>
      <c r="S5337" s="22" t="str">
        <f>IF(C5337="","",C5337&amp;I5337)</f>
        <v/>
      </c>
      <c r="T5337" t="str">
        <f>IF(OR(C5337="",I5337&lt;&gt;"ENTRADA"),"",TEXT(B5337,"AAMMDD")&amp;"-"&amp;TEXT(VALUE(SUBSTITUTE(A5337,"MOV-","")),"000"))</f>
        <v/>
      </c>
    </row>
    <row r="5338" spans="18:20">
      <c r="R5338" s="22" t="str">
        <f>IF(H5338="","",H5338&amp;I5338)</f>
        <v/>
      </c>
      <c r="S5338" s="22" t="str">
        <f>IF(C5338="","",C5338&amp;I5338)</f>
        <v/>
      </c>
      <c r="T5338" t="str">
        <f>IF(OR(C5338="",I5338&lt;&gt;"ENTRADA"),"",TEXT(B5338,"AAMMDD")&amp;"-"&amp;TEXT(VALUE(SUBSTITUTE(A5338,"MOV-","")),"000"))</f>
        <v/>
      </c>
    </row>
    <row r="5339" spans="18:20">
      <c r="R5339" s="22" t="str">
        <f>IF(H5339="","",H5339&amp;I5339)</f>
        <v/>
      </c>
      <c r="S5339" s="22" t="str">
        <f>IF(C5339="","",C5339&amp;I5339)</f>
        <v/>
      </c>
      <c r="T5339" t="str">
        <f>IF(OR(C5339="",I5339&lt;&gt;"ENTRADA"),"",TEXT(B5339,"AAMMDD")&amp;"-"&amp;TEXT(VALUE(SUBSTITUTE(A5339,"MOV-","")),"000"))</f>
        <v/>
      </c>
    </row>
    <row r="5340" spans="18:20">
      <c r="R5340" s="22" t="str">
        <f>IF(H5340="","",H5340&amp;I5340)</f>
        <v/>
      </c>
      <c r="S5340" s="22" t="str">
        <f>IF(C5340="","",C5340&amp;I5340)</f>
        <v/>
      </c>
      <c r="T5340" t="str">
        <f>IF(OR(C5340="",I5340&lt;&gt;"ENTRADA"),"",TEXT(B5340,"AAMMDD")&amp;"-"&amp;TEXT(VALUE(SUBSTITUTE(A5340,"MOV-","")),"000"))</f>
        <v/>
      </c>
    </row>
    <row r="5341" spans="18:20">
      <c r="R5341" s="22" t="str">
        <f>IF(H5341="","",H5341&amp;I5341)</f>
        <v/>
      </c>
      <c r="S5341" s="22" t="str">
        <f>IF(C5341="","",C5341&amp;I5341)</f>
        <v/>
      </c>
      <c r="T5341" t="str">
        <f>IF(OR(C5341="",I5341&lt;&gt;"ENTRADA"),"",TEXT(B5341,"AAMMDD")&amp;"-"&amp;TEXT(VALUE(SUBSTITUTE(A5341,"MOV-","")),"000"))</f>
        <v/>
      </c>
    </row>
    <row r="5342" spans="18:20">
      <c r="R5342" s="22" t="str">
        <f>IF(H5342="","",H5342&amp;I5342)</f>
        <v/>
      </c>
      <c r="S5342" s="22" t="str">
        <f>IF(C5342="","",C5342&amp;I5342)</f>
        <v/>
      </c>
      <c r="T5342" t="str">
        <f>IF(OR(C5342="",I5342&lt;&gt;"ENTRADA"),"",TEXT(B5342,"AAMMDD")&amp;"-"&amp;TEXT(VALUE(SUBSTITUTE(A5342,"MOV-","")),"000"))</f>
        <v/>
      </c>
    </row>
    <row r="5343" spans="18:20">
      <c r="R5343" s="22" t="str">
        <f>IF(H5343="","",H5343&amp;I5343)</f>
        <v/>
      </c>
      <c r="S5343" s="22" t="str">
        <f>IF(C5343="","",C5343&amp;I5343)</f>
        <v/>
      </c>
      <c r="T5343" t="str">
        <f>IF(OR(C5343="",I5343&lt;&gt;"ENTRADA"),"",TEXT(B5343,"AAMMDD")&amp;"-"&amp;TEXT(VALUE(SUBSTITUTE(A5343,"MOV-","")),"000"))</f>
        <v/>
      </c>
    </row>
    <row r="5344" spans="18:20">
      <c r="R5344" s="22" t="str">
        <f>IF(H5344="","",H5344&amp;I5344)</f>
        <v/>
      </c>
      <c r="S5344" s="22" t="str">
        <f>IF(C5344="","",C5344&amp;I5344)</f>
        <v/>
      </c>
      <c r="T5344" t="str">
        <f>IF(OR(C5344="",I5344&lt;&gt;"ENTRADA"),"",TEXT(B5344,"AAMMDD")&amp;"-"&amp;TEXT(VALUE(SUBSTITUTE(A5344,"MOV-","")),"000"))</f>
        <v/>
      </c>
    </row>
    <row r="5345" spans="18:20">
      <c r="R5345" s="22" t="str">
        <f>IF(H5345="","",H5345&amp;I5345)</f>
        <v/>
      </c>
      <c r="S5345" s="22" t="str">
        <f>IF(C5345="","",C5345&amp;I5345)</f>
        <v/>
      </c>
      <c r="T5345" t="str">
        <f>IF(OR(C5345="",I5345&lt;&gt;"ENTRADA"),"",TEXT(B5345,"AAMMDD")&amp;"-"&amp;TEXT(VALUE(SUBSTITUTE(A5345,"MOV-","")),"000"))</f>
        <v/>
      </c>
    </row>
    <row r="5346" spans="18:20">
      <c r="R5346" s="22" t="str">
        <f>IF(H5346="","",H5346&amp;I5346)</f>
        <v/>
      </c>
      <c r="S5346" s="22" t="str">
        <f>IF(C5346="","",C5346&amp;I5346)</f>
        <v/>
      </c>
      <c r="T5346" t="str">
        <f>IF(OR(C5346="",I5346&lt;&gt;"ENTRADA"),"",TEXT(B5346,"AAMMDD")&amp;"-"&amp;TEXT(VALUE(SUBSTITUTE(A5346,"MOV-","")),"000"))</f>
        <v/>
      </c>
    </row>
    <row r="5347" spans="18:20">
      <c r="R5347" s="22" t="str">
        <f>IF(H5347="","",H5347&amp;I5347)</f>
        <v/>
      </c>
      <c r="S5347" s="22" t="str">
        <f>IF(C5347="","",C5347&amp;I5347)</f>
        <v/>
      </c>
      <c r="T5347" t="str">
        <f>IF(OR(C5347="",I5347&lt;&gt;"ENTRADA"),"",TEXT(B5347,"AAMMDD")&amp;"-"&amp;TEXT(VALUE(SUBSTITUTE(A5347,"MOV-","")),"000"))</f>
        <v/>
      </c>
    </row>
    <row r="5348" spans="18:20">
      <c r="R5348" s="22" t="str">
        <f>IF(H5348="","",H5348&amp;I5348)</f>
        <v/>
      </c>
      <c r="S5348" s="22" t="str">
        <f>IF(C5348="","",C5348&amp;I5348)</f>
        <v/>
      </c>
      <c r="T5348" t="str">
        <f>IF(OR(C5348="",I5348&lt;&gt;"ENTRADA"),"",TEXT(B5348,"AAMMDD")&amp;"-"&amp;TEXT(VALUE(SUBSTITUTE(A5348,"MOV-","")),"000"))</f>
        <v/>
      </c>
    </row>
    <row r="5349" spans="18:20">
      <c r="R5349" s="22" t="str">
        <f>IF(H5349="","",H5349&amp;I5349)</f>
        <v/>
      </c>
      <c r="S5349" s="22" t="str">
        <f>IF(C5349="","",C5349&amp;I5349)</f>
        <v/>
      </c>
      <c r="T5349" t="str">
        <f>IF(OR(C5349="",I5349&lt;&gt;"ENTRADA"),"",TEXT(B5349,"AAMMDD")&amp;"-"&amp;TEXT(VALUE(SUBSTITUTE(A5349,"MOV-","")),"000"))</f>
        <v/>
      </c>
    </row>
    <row r="5350" spans="18:20">
      <c r="R5350" s="22" t="str">
        <f>IF(H5350="","",H5350&amp;I5350)</f>
        <v/>
      </c>
      <c r="S5350" s="22" t="str">
        <f>IF(C5350="","",C5350&amp;I5350)</f>
        <v/>
      </c>
      <c r="T5350" t="str">
        <f>IF(OR(C5350="",I5350&lt;&gt;"ENTRADA"),"",TEXT(B5350,"AAMMDD")&amp;"-"&amp;TEXT(VALUE(SUBSTITUTE(A5350,"MOV-","")),"000"))</f>
        <v/>
      </c>
    </row>
    <row r="5351" spans="18:20">
      <c r="R5351" s="22" t="str">
        <f>IF(H5351="","",H5351&amp;I5351)</f>
        <v/>
      </c>
      <c r="S5351" s="22" t="str">
        <f>IF(C5351="","",C5351&amp;I5351)</f>
        <v/>
      </c>
      <c r="T5351" t="str">
        <f>IF(OR(C5351="",I5351&lt;&gt;"ENTRADA"),"",TEXT(B5351,"AAMMDD")&amp;"-"&amp;TEXT(VALUE(SUBSTITUTE(A5351,"MOV-","")),"000"))</f>
        <v/>
      </c>
    </row>
    <row r="5352" spans="18:20">
      <c r="R5352" s="22" t="str">
        <f>IF(H5352="","",H5352&amp;I5352)</f>
        <v/>
      </c>
      <c r="S5352" s="22" t="str">
        <f>IF(C5352="","",C5352&amp;I5352)</f>
        <v/>
      </c>
      <c r="T5352" t="str">
        <f>IF(OR(C5352="",I5352&lt;&gt;"ENTRADA"),"",TEXT(B5352,"AAMMDD")&amp;"-"&amp;TEXT(VALUE(SUBSTITUTE(A5352,"MOV-","")),"000"))</f>
        <v/>
      </c>
    </row>
    <row r="5353" spans="18:20">
      <c r="R5353" s="22" t="str">
        <f>IF(H5353="","",H5353&amp;I5353)</f>
        <v/>
      </c>
      <c r="S5353" s="22" t="str">
        <f>IF(C5353="","",C5353&amp;I5353)</f>
        <v/>
      </c>
      <c r="T5353" t="str">
        <f>IF(OR(C5353="",I5353&lt;&gt;"ENTRADA"),"",TEXT(B5353,"AAMMDD")&amp;"-"&amp;TEXT(VALUE(SUBSTITUTE(A5353,"MOV-","")),"000"))</f>
        <v/>
      </c>
    </row>
    <row r="5354" spans="18:20">
      <c r="R5354" s="22" t="str">
        <f>IF(H5354="","",H5354&amp;I5354)</f>
        <v/>
      </c>
      <c r="S5354" s="22" t="str">
        <f>IF(C5354="","",C5354&amp;I5354)</f>
        <v/>
      </c>
      <c r="T5354" t="str">
        <f>IF(OR(C5354="",I5354&lt;&gt;"ENTRADA"),"",TEXT(B5354,"AAMMDD")&amp;"-"&amp;TEXT(VALUE(SUBSTITUTE(A5354,"MOV-","")),"000"))</f>
        <v/>
      </c>
    </row>
    <row r="5355" spans="18:20">
      <c r="R5355" s="22" t="str">
        <f>IF(H5355="","",H5355&amp;I5355)</f>
        <v/>
      </c>
      <c r="S5355" s="22" t="str">
        <f>IF(C5355="","",C5355&amp;I5355)</f>
        <v/>
      </c>
      <c r="T5355" t="str">
        <f>IF(OR(C5355="",I5355&lt;&gt;"ENTRADA"),"",TEXT(B5355,"AAMMDD")&amp;"-"&amp;TEXT(VALUE(SUBSTITUTE(A5355,"MOV-","")),"000"))</f>
        <v/>
      </c>
    </row>
    <row r="5356" spans="18:20">
      <c r="R5356" s="22" t="str">
        <f>IF(H5356="","",H5356&amp;I5356)</f>
        <v/>
      </c>
      <c r="S5356" s="22" t="str">
        <f>IF(C5356="","",C5356&amp;I5356)</f>
        <v/>
      </c>
      <c r="T5356" t="str">
        <f>IF(OR(C5356="",I5356&lt;&gt;"ENTRADA"),"",TEXT(B5356,"AAMMDD")&amp;"-"&amp;TEXT(VALUE(SUBSTITUTE(A5356,"MOV-","")),"000"))</f>
        <v/>
      </c>
    </row>
    <row r="5357" spans="18:20">
      <c r="R5357" s="22" t="str">
        <f>IF(H5357="","",H5357&amp;I5357)</f>
        <v/>
      </c>
      <c r="S5357" s="22" t="str">
        <f>IF(C5357="","",C5357&amp;I5357)</f>
        <v/>
      </c>
      <c r="T5357" t="str">
        <f>IF(OR(C5357="",I5357&lt;&gt;"ENTRADA"),"",TEXT(B5357,"AAMMDD")&amp;"-"&amp;TEXT(VALUE(SUBSTITUTE(A5357,"MOV-","")),"000"))</f>
        <v/>
      </c>
    </row>
    <row r="5358" spans="18:20">
      <c r="R5358" s="22" t="str">
        <f>IF(H5358="","",H5358&amp;I5358)</f>
        <v/>
      </c>
      <c r="S5358" s="22" t="str">
        <f>IF(C5358="","",C5358&amp;I5358)</f>
        <v/>
      </c>
      <c r="T5358" t="str">
        <f>IF(OR(C5358="",I5358&lt;&gt;"ENTRADA"),"",TEXT(B5358,"AAMMDD")&amp;"-"&amp;TEXT(VALUE(SUBSTITUTE(A5358,"MOV-","")),"000"))</f>
        <v/>
      </c>
    </row>
    <row r="5359" spans="18:20">
      <c r="R5359" s="22" t="str">
        <f>IF(H5359="","",H5359&amp;I5359)</f>
        <v/>
      </c>
      <c r="S5359" s="22" t="str">
        <f>IF(C5359="","",C5359&amp;I5359)</f>
        <v/>
      </c>
      <c r="T5359" t="str">
        <f>IF(OR(C5359="",I5359&lt;&gt;"ENTRADA"),"",TEXT(B5359,"AAMMDD")&amp;"-"&amp;TEXT(VALUE(SUBSTITUTE(A5359,"MOV-","")),"000"))</f>
        <v/>
      </c>
    </row>
    <row r="5360" spans="18:20">
      <c r="R5360" s="22" t="str">
        <f>IF(H5360="","",H5360&amp;I5360)</f>
        <v/>
      </c>
      <c r="S5360" s="22" t="str">
        <f>IF(C5360="","",C5360&amp;I5360)</f>
        <v/>
      </c>
      <c r="T5360" t="str">
        <f>IF(OR(C5360="",I5360&lt;&gt;"ENTRADA"),"",TEXT(B5360,"AAMMDD")&amp;"-"&amp;TEXT(VALUE(SUBSTITUTE(A5360,"MOV-","")),"000"))</f>
        <v/>
      </c>
    </row>
    <row r="5361" spans="18:20">
      <c r="R5361" s="22" t="str">
        <f>IF(H5361="","",H5361&amp;I5361)</f>
        <v/>
      </c>
      <c r="S5361" s="22" t="str">
        <f>IF(C5361="","",C5361&amp;I5361)</f>
        <v/>
      </c>
      <c r="T5361" t="str">
        <f>IF(OR(C5361="",I5361&lt;&gt;"ENTRADA"),"",TEXT(B5361,"AAMMDD")&amp;"-"&amp;TEXT(VALUE(SUBSTITUTE(A5361,"MOV-","")),"000"))</f>
        <v/>
      </c>
    </row>
    <row r="5362" spans="18:20">
      <c r="R5362" s="22" t="str">
        <f>IF(H5362="","",H5362&amp;I5362)</f>
        <v/>
      </c>
      <c r="S5362" s="22" t="str">
        <f>IF(C5362="","",C5362&amp;I5362)</f>
        <v/>
      </c>
      <c r="T5362" t="str">
        <f>IF(OR(C5362="",I5362&lt;&gt;"ENTRADA"),"",TEXT(B5362,"AAMMDD")&amp;"-"&amp;TEXT(VALUE(SUBSTITUTE(A5362,"MOV-","")),"000"))</f>
        <v/>
      </c>
    </row>
    <row r="5363" spans="18:20">
      <c r="R5363" s="22" t="str">
        <f>IF(H5363="","",H5363&amp;I5363)</f>
        <v/>
      </c>
      <c r="S5363" s="22" t="str">
        <f>IF(C5363="","",C5363&amp;I5363)</f>
        <v/>
      </c>
      <c r="T5363" t="str">
        <f>IF(OR(C5363="",I5363&lt;&gt;"ENTRADA"),"",TEXT(B5363,"AAMMDD")&amp;"-"&amp;TEXT(VALUE(SUBSTITUTE(A5363,"MOV-","")),"000"))</f>
        <v/>
      </c>
    </row>
    <row r="5364" spans="18:20">
      <c r="R5364" s="22" t="str">
        <f>IF(H5364="","",H5364&amp;I5364)</f>
        <v/>
      </c>
      <c r="S5364" s="22" t="str">
        <f>IF(C5364="","",C5364&amp;I5364)</f>
        <v/>
      </c>
      <c r="T5364" t="str">
        <f>IF(OR(C5364="",I5364&lt;&gt;"ENTRADA"),"",TEXT(B5364,"AAMMDD")&amp;"-"&amp;TEXT(VALUE(SUBSTITUTE(A5364,"MOV-","")),"000"))</f>
        <v/>
      </c>
    </row>
    <row r="5365" spans="18:20">
      <c r="R5365" s="22" t="str">
        <f>IF(H5365="","",H5365&amp;I5365)</f>
        <v/>
      </c>
      <c r="S5365" s="22" t="str">
        <f>IF(C5365="","",C5365&amp;I5365)</f>
        <v/>
      </c>
      <c r="T5365" t="str">
        <f>IF(OR(C5365="",I5365&lt;&gt;"ENTRADA"),"",TEXT(B5365,"AAMMDD")&amp;"-"&amp;TEXT(VALUE(SUBSTITUTE(A5365,"MOV-","")),"000"))</f>
        <v/>
      </c>
    </row>
    <row r="5366" spans="18:20">
      <c r="R5366" s="22" t="str">
        <f>IF(H5366="","",H5366&amp;I5366)</f>
        <v/>
      </c>
      <c r="S5366" s="22" t="str">
        <f>IF(C5366="","",C5366&amp;I5366)</f>
        <v/>
      </c>
      <c r="T5366" t="str">
        <f>IF(OR(C5366="",I5366&lt;&gt;"ENTRADA"),"",TEXT(B5366,"AAMMDD")&amp;"-"&amp;TEXT(VALUE(SUBSTITUTE(A5366,"MOV-","")),"000"))</f>
        <v/>
      </c>
    </row>
    <row r="5367" spans="18:20">
      <c r="R5367" s="22" t="str">
        <f>IF(H5367="","",H5367&amp;I5367)</f>
        <v/>
      </c>
      <c r="S5367" s="22" t="str">
        <f>IF(C5367="","",C5367&amp;I5367)</f>
        <v/>
      </c>
      <c r="T5367" t="str">
        <f>IF(OR(C5367="",I5367&lt;&gt;"ENTRADA"),"",TEXT(B5367,"AAMMDD")&amp;"-"&amp;TEXT(VALUE(SUBSTITUTE(A5367,"MOV-","")),"000"))</f>
        <v/>
      </c>
    </row>
    <row r="5368" spans="18:20">
      <c r="R5368" s="22" t="str">
        <f>IF(H5368="","",H5368&amp;I5368)</f>
        <v/>
      </c>
      <c r="S5368" s="22" t="str">
        <f>IF(C5368="","",C5368&amp;I5368)</f>
        <v/>
      </c>
      <c r="T5368" t="str">
        <f>IF(OR(C5368="",I5368&lt;&gt;"ENTRADA"),"",TEXT(B5368,"AAMMDD")&amp;"-"&amp;TEXT(VALUE(SUBSTITUTE(A5368,"MOV-","")),"000"))</f>
        <v/>
      </c>
    </row>
    <row r="5369" spans="18:20">
      <c r="R5369" s="22" t="str">
        <f>IF(H5369="","",H5369&amp;I5369)</f>
        <v/>
      </c>
      <c r="S5369" s="22" t="str">
        <f>IF(C5369="","",C5369&amp;I5369)</f>
        <v/>
      </c>
      <c r="T5369" t="str">
        <f>IF(OR(C5369="",I5369&lt;&gt;"ENTRADA"),"",TEXT(B5369,"AAMMDD")&amp;"-"&amp;TEXT(VALUE(SUBSTITUTE(A5369,"MOV-","")),"000"))</f>
        <v/>
      </c>
    </row>
    <row r="5370" spans="18:20">
      <c r="R5370" s="22" t="str">
        <f>IF(H5370="","",H5370&amp;I5370)</f>
        <v/>
      </c>
      <c r="S5370" s="22" t="str">
        <f>IF(C5370="","",C5370&amp;I5370)</f>
        <v/>
      </c>
      <c r="T5370" t="str">
        <f>IF(OR(C5370="",I5370&lt;&gt;"ENTRADA"),"",TEXT(B5370,"AAMMDD")&amp;"-"&amp;TEXT(VALUE(SUBSTITUTE(A5370,"MOV-","")),"000"))</f>
        <v/>
      </c>
    </row>
    <row r="5371" spans="18:20">
      <c r="R5371" s="22" t="str">
        <f>IF(H5371="","",H5371&amp;I5371)</f>
        <v/>
      </c>
      <c r="S5371" s="22" t="str">
        <f>IF(C5371="","",C5371&amp;I5371)</f>
        <v/>
      </c>
      <c r="T5371" t="str">
        <f>IF(OR(C5371="",I5371&lt;&gt;"ENTRADA"),"",TEXT(B5371,"AAMMDD")&amp;"-"&amp;TEXT(VALUE(SUBSTITUTE(A5371,"MOV-","")),"000"))</f>
        <v/>
      </c>
    </row>
    <row r="5372" spans="18:20">
      <c r="R5372" s="22" t="str">
        <f>IF(H5372="","",H5372&amp;I5372)</f>
        <v/>
      </c>
      <c r="S5372" s="22" t="str">
        <f>IF(C5372="","",C5372&amp;I5372)</f>
        <v/>
      </c>
      <c r="T5372" t="str">
        <f>IF(OR(C5372="",I5372&lt;&gt;"ENTRADA"),"",TEXT(B5372,"AAMMDD")&amp;"-"&amp;TEXT(VALUE(SUBSTITUTE(A5372,"MOV-","")),"000"))</f>
        <v/>
      </c>
    </row>
    <row r="5373" spans="18:20">
      <c r="R5373" s="22" t="str">
        <f>IF(H5373="","",H5373&amp;I5373)</f>
        <v/>
      </c>
      <c r="S5373" s="22" t="str">
        <f>IF(C5373="","",C5373&amp;I5373)</f>
        <v/>
      </c>
      <c r="T5373" t="str">
        <f>IF(OR(C5373="",I5373&lt;&gt;"ENTRADA"),"",TEXT(B5373,"AAMMDD")&amp;"-"&amp;TEXT(VALUE(SUBSTITUTE(A5373,"MOV-","")),"000"))</f>
        <v/>
      </c>
    </row>
    <row r="5374" spans="18:20">
      <c r="R5374" s="22" t="str">
        <f>IF(H5374="","",H5374&amp;I5374)</f>
        <v/>
      </c>
      <c r="S5374" s="22" t="str">
        <f>IF(C5374="","",C5374&amp;I5374)</f>
        <v/>
      </c>
      <c r="T5374" t="str">
        <f>IF(OR(C5374="",I5374&lt;&gt;"ENTRADA"),"",TEXT(B5374,"AAMMDD")&amp;"-"&amp;TEXT(VALUE(SUBSTITUTE(A5374,"MOV-","")),"000"))</f>
        <v/>
      </c>
    </row>
    <row r="5375" spans="18:20">
      <c r="R5375" s="22" t="str">
        <f>IF(H5375="","",H5375&amp;I5375)</f>
        <v/>
      </c>
      <c r="S5375" s="22" t="str">
        <f>IF(C5375="","",C5375&amp;I5375)</f>
        <v/>
      </c>
      <c r="T5375" t="str">
        <f>IF(OR(C5375="",I5375&lt;&gt;"ENTRADA"),"",TEXT(B5375,"AAMMDD")&amp;"-"&amp;TEXT(VALUE(SUBSTITUTE(A5375,"MOV-","")),"000"))</f>
        <v/>
      </c>
    </row>
    <row r="5376" spans="18:20">
      <c r="R5376" s="22" t="str">
        <f>IF(H5376="","",H5376&amp;I5376)</f>
        <v/>
      </c>
      <c r="S5376" s="22" t="str">
        <f>IF(C5376="","",C5376&amp;I5376)</f>
        <v/>
      </c>
      <c r="T5376" t="str">
        <f>IF(OR(C5376="",I5376&lt;&gt;"ENTRADA"),"",TEXT(B5376,"AAMMDD")&amp;"-"&amp;TEXT(VALUE(SUBSTITUTE(A5376,"MOV-","")),"000"))</f>
        <v/>
      </c>
    </row>
    <row r="5377" spans="18:20">
      <c r="R5377" s="22" t="str">
        <f>IF(H5377="","",H5377&amp;I5377)</f>
        <v/>
      </c>
      <c r="S5377" s="22" t="str">
        <f>IF(C5377="","",C5377&amp;I5377)</f>
        <v/>
      </c>
      <c r="T5377" t="str">
        <f>IF(OR(C5377="",I5377&lt;&gt;"ENTRADA"),"",TEXT(B5377,"AAMMDD")&amp;"-"&amp;TEXT(VALUE(SUBSTITUTE(A5377,"MOV-","")),"000"))</f>
        <v/>
      </c>
    </row>
    <row r="5378" spans="18:20">
      <c r="R5378" s="22" t="str">
        <f>IF(H5378="","",H5378&amp;I5378)</f>
        <v/>
      </c>
      <c r="S5378" s="22" t="str">
        <f>IF(C5378="","",C5378&amp;I5378)</f>
        <v/>
      </c>
      <c r="T5378" t="str">
        <f>IF(OR(C5378="",I5378&lt;&gt;"ENTRADA"),"",TEXT(B5378,"AAMMDD")&amp;"-"&amp;TEXT(VALUE(SUBSTITUTE(A5378,"MOV-","")),"000"))</f>
        <v/>
      </c>
    </row>
    <row r="5379" spans="18:20">
      <c r="R5379" s="22" t="str">
        <f>IF(H5379="","",H5379&amp;I5379)</f>
        <v/>
      </c>
      <c r="S5379" s="22" t="str">
        <f>IF(C5379="","",C5379&amp;I5379)</f>
        <v/>
      </c>
      <c r="T5379" t="str">
        <f>IF(OR(C5379="",I5379&lt;&gt;"ENTRADA"),"",TEXT(B5379,"AAMMDD")&amp;"-"&amp;TEXT(VALUE(SUBSTITUTE(A5379,"MOV-","")),"000"))</f>
        <v/>
      </c>
    </row>
    <row r="5380" spans="18:20">
      <c r="R5380" s="22" t="str">
        <f>IF(H5380="","",H5380&amp;I5380)</f>
        <v/>
      </c>
      <c r="S5380" s="22" t="str">
        <f>IF(C5380="","",C5380&amp;I5380)</f>
        <v/>
      </c>
      <c r="T5380" t="str">
        <f>IF(OR(C5380="",I5380&lt;&gt;"ENTRADA"),"",TEXT(B5380,"AAMMDD")&amp;"-"&amp;TEXT(VALUE(SUBSTITUTE(A5380,"MOV-","")),"000"))</f>
        <v/>
      </c>
    </row>
    <row r="5381" spans="18:20">
      <c r="R5381" s="22" t="str">
        <f>IF(H5381="","",H5381&amp;I5381)</f>
        <v/>
      </c>
      <c r="S5381" s="22" t="str">
        <f>IF(C5381="","",C5381&amp;I5381)</f>
        <v/>
      </c>
      <c r="T5381" t="str">
        <f>IF(OR(C5381="",I5381&lt;&gt;"ENTRADA"),"",TEXT(B5381,"AAMMDD")&amp;"-"&amp;TEXT(VALUE(SUBSTITUTE(A5381,"MOV-","")),"000"))</f>
        <v/>
      </c>
    </row>
    <row r="5382" spans="18:20">
      <c r="R5382" s="22" t="str">
        <f>IF(H5382="","",H5382&amp;I5382)</f>
        <v/>
      </c>
      <c r="S5382" s="22" t="str">
        <f>IF(C5382="","",C5382&amp;I5382)</f>
        <v/>
      </c>
      <c r="T5382" t="str">
        <f>IF(OR(C5382="",I5382&lt;&gt;"ENTRADA"),"",TEXT(B5382,"AAMMDD")&amp;"-"&amp;TEXT(VALUE(SUBSTITUTE(A5382,"MOV-","")),"000"))</f>
        <v/>
      </c>
    </row>
    <row r="5383" spans="18:20">
      <c r="R5383" s="22" t="str">
        <f>IF(H5383="","",H5383&amp;I5383)</f>
        <v/>
      </c>
      <c r="S5383" s="22" t="str">
        <f>IF(C5383="","",C5383&amp;I5383)</f>
        <v/>
      </c>
      <c r="T5383" t="str">
        <f>IF(OR(C5383="",I5383&lt;&gt;"ENTRADA"),"",TEXT(B5383,"AAMMDD")&amp;"-"&amp;TEXT(VALUE(SUBSTITUTE(A5383,"MOV-","")),"000"))</f>
        <v/>
      </c>
    </row>
    <row r="5384" spans="18:20">
      <c r="R5384" s="22" t="str">
        <f>IF(H5384="","",H5384&amp;I5384)</f>
        <v/>
      </c>
      <c r="S5384" s="22" t="str">
        <f>IF(C5384="","",C5384&amp;I5384)</f>
        <v/>
      </c>
      <c r="T5384" t="str">
        <f>IF(OR(C5384="",I5384&lt;&gt;"ENTRADA"),"",TEXT(B5384,"AAMMDD")&amp;"-"&amp;TEXT(VALUE(SUBSTITUTE(A5384,"MOV-","")),"000"))</f>
        <v/>
      </c>
    </row>
    <row r="5385" spans="18:20">
      <c r="R5385" s="22" t="str">
        <f>IF(H5385="","",H5385&amp;I5385)</f>
        <v/>
      </c>
      <c r="S5385" s="22" t="str">
        <f>IF(C5385="","",C5385&amp;I5385)</f>
        <v/>
      </c>
      <c r="T5385" t="str">
        <f>IF(OR(C5385="",I5385&lt;&gt;"ENTRADA"),"",TEXT(B5385,"AAMMDD")&amp;"-"&amp;TEXT(VALUE(SUBSTITUTE(A5385,"MOV-","")),"000"))</f>
        <v/>
      </c>
    </row>
    <row r="5386" spans="18:20">
      <c r="R5386" s="22" t="str">
        <f>IF(H5386="","",H5386&amp;I5386)</f>
        <v/>
      </c>
      <c r="S5386" s="22" t="str">
        <f>IF(C5386="","",C5386&amp;I5386)</f>
        <v/>
      </c>
      <c r="T5386" t="str">
        <f>IF(OR(C5386="",I5386&lt;&gt;"ENTRADA"),"",TEXT(B5386,"AAMMDD")&amp;"-"&amp;TEXT(VALUE(SUBSTITUTE(A5386,"MOV-","")),"000"))</f>
        <v/>
      </c>
    </row>
    <row r="5387" spans="18:20">
      <c r="R5387" s="22" t="str">
        <f>IF(H5387="","",H5387&amp;I5387)</f>
        <v/>
      </c>
      <c r="S5387" s="22" t="str">
        <f>IF(C5387="","",C5387&amp;I5387)</f>
        <v/>
      </c>
      <c r="T5387" t="str">
        <f>IF(OR(C5387="",I5387&lt;&gt;"ENTRADA"),"",TEXT(B5387,"AAMMDD")&amp;"-"&amp;TEXT(VALUE(SUBSTITUTE(A5387,"MOV-","")),"000"))</f>
        <v/>
      </c>
    </row>
    <row r="5388" spans="18:20">
      <c r="R5388" s="22" t="str">
        <f>IF(H5388="","",H5388&amp;I5388)</f>
        <v/>
      </c>
      <c r="S5388" s="22" t="str">
        <f>IF(C5388="","",C5388&amp;I5388)</f>
        <v/>
      </c>
      <c r="T5388" t="str">
        <f>IF(OR(C5388="",I5388&lt;&gt;"ENTRADA"),"",TEXT(B5388,"AAMMDD")&amp;"-"&amp;TEXT(VALUE(SUBSTITUTE(A5388,"MOV-","")),"000"))</f>
        <v/>
      </c>
    </row>
    <row r="5389" spans="18:20">
      <c r="R5389" s="22" t="str">
        <f>IF(H5389="","",H5389&amp;I5389)</f>
        <v/>
      </c>
      <c r="S5389" s="22" t="str">
        <f>IF(C5389="","",C5389&amp;I5389)</f>
        <v/>
      </c>
      <c r="T5389" t="str">
        <f>IF(OR(C5389="",I5389&lt;&gt;"ENTRADA"),"",TEXT(B5389,"AAMMDD")&amp;"-"&amp;TEXT(VALUE(SUBSTITUTE(A5389,"MOV-","")),"000"))</f>
        <v/>
      </c>
    </row>
    <row r="5390" spans="18:20">
      <c r="R5390" s="22" t="str">
        <f>IF(H5390="","",H5390&amp;I5390)</f>
        <v/>
      </c>
      <c r="S5390" s="22" t="str">
        <f>IF(C5390="","",C5390&amp;I5390)</f>
        <v/>
      </c>
      <c r="T5390" t="str">
        <f>IF(OR(C5390="",I5390&lt;&gt;"ENTRADA"),"",TEXT(B5390,"AAMMDD")&amp;"-"&amp;TEXT(VALUE(SUBSTITUTE(A5390,"MOV-","")),"000"))</f>
        <v/>
      </c>
    </row>
    <row r="5391" spans="18:20">
      <c r="R5391" s="22" t="str">
        <f>IF(H5391="","",H5391&amp;I5391)</f>
        <v/>
      </c>
      <c r="S5391" s="22" t="str">
        <f>IF(C5391="","",C5391&amp;I5391)</f>
        <v/>
      </c>
      <c r="T5391" t="str">
        <f>IF(OR(C5391="",I5391&lt;&gt;"ENTRADA"),"",TEXT(B5391,"AAMMDD")&amp;"-"&amp;TEXT(VALUE(SUBSTITUTE(A5391,"MOV-","")),"000"))</f>
        <v/>
      </c>
    </row>
    <row r="5392" spans="18:20">
      <c r="R5392" s="22" t="str">
        <f>IF(H5392="","",H5392&amp;I5392)</f>
        <v/>
      </c>
      <c r="S5392" s="22" t="str">
        <f>IF(C5392="","",C5392&amp;I5392)</f>
        <v/>
      </c>
      <c r="T5392" t="str">
        <f>IF(OR(C5392="",I5392&lt;&gt;"ENTRADA"),"",TEXT(B5392,"AAMMDD")&amp;"-"&amp;TEXT(VALUE(SUBSTITUTE(A5392,"MOV-","")),"000"))</f>
        <v/>
      </c>
    </row>
    <row r="5393" spans="18:20">
      <c r="R5393" s="22" t="str">
        <f>IF(H5393="","",H5393&amp;I5393)</f>
        <v/>
      </c>
      <c r="S5393" s="22" t="str">
        <f>IF(C5393="","",C5393&amp;I5393)</f>
        <v/>
      </c>
      <c r="T5393" t="str">
        <f>IF(OR(C5393="",I5393&lt;&gt;"ENTRADA"),"",TEXT(B5393,"AAMMDD")&amp;"-"&amp;TEXT(VALUE(SUBSTITUTE(A5393,"MOV-","")),"000"))</f>
        <v/>
      </c>
    </row>
    <row r="5394" spans="18:20">
      <c r="R5394" s="22" t="str">
        <f>IF(H5394="","",H5394&amp;I5394)</f>
        <v/>
      </c>
      <c r="S5394" s="22" t="str">
        <f>IF(C5394="","",C5394&amp;I5394)</f>
        <v/>
      </c>
      <c r="T5394" t="str">
        <f>IF(OR(C5394="",I5394&lt;&gt;"ENTRADA"),"",TEXT(B5394,"AAMMDD")&amp;"-"&amp;TEXT(VALUE(SUBSTITUTE(A5394,"MOV-","")),"000"))</f>
        <v/>
      </c>
    </row>
    <row r="5395" spans="18:20">
      <c r="R5395" s="22" t="str">
        <f>IF(H5395="","",H5395&amp;I5395)</f>
        <v/>
      </c>
      <c r="S5395" s="22" t="str">
        <f>IF(C5395="","",C5395&amp;I5395)</f>
        <v/>
      </c>
      <c r="T5395" t="str">
        <f>IF(OR(C5395="",I5395&lt;&gt;"ENTRADA"),"",TEXT(B5395,"AAMMDD")&amp;"-"&amp;TEXT(VALUE(SUBSTITUTE(A5395,"MOV-","")),"000"))</f>
        <v/>
      </c>
    </row>
    <row r="5396" spans="18:20">
      <c r="R5396" s="22" t="str">
        <f>IF(H5396="","",H5396&amp;I5396)</f>
        <v/>
      </c>
      <c r="S5396" s="22" t="str">
        <f>IF(C5396="","",C5396&amp;I5396)</f>
        <v/>
      </c>
      <c r="T5396" t="str">
        <f>IF(OR(C5396="",I5396&lt;&gt;"ENTRADA"),"",TEXT(B5396,"AAMMDD")&amp;"-"&amp;TEXT(VALUE(SUBSTITUTE(A5396,"MOV-","")),"000"))</f>
        <v/>
      </c>
    </row>
    <row r="5397" spans="18:20">
      <c r="R5397" s="22" t="str">
        <f>IF(H5397="","",H5397&amp;I5397)</f>
        <v/>
      </c>
      <c r="S5397" s="22" t="str">
        <f>IF(C5397="","",C5397&amp;I5397)</f>
        <v/>
      </c>
      <c r="T5397" t="str">
        <f>IF(OR(C5397="",I5397&lt;&gt;"ENTRADA"),"",TEXT(B5397,"AAMMDD")&amp;"-"&amp;TEXT(VALUE(SUBSTITUTE(A5397,"MOV-","")),"000"))</f>
        <v/>
      </c>
    </row>
    <row r="5398" spans="18:20">
      <c r="R5398" s="22" t="str">
        <f>IF(H5398="","",H5398&amp;I5398)</f>
        <v/>
      </c>
      <c r="S5398" s="22" t="str">
        <f>IF(C5398="","",C5398&amp;I5398)</f>
        <v/>
      </c>
      <c r="T5398" t="str">
        <f>IF(OR(C5398="",I5398&lt;&gt;"ENTRADA"),"",TEXT(B5398,"AAMMDD")&amp;"-"&amp;TEXT(VALUE(SUBSTITUTE(A5398,"MOV-","")),"000"))</f>
        <v/>
      </c>
    </row>
    <row r="5399" spans="18:20">
      <c r="R5399" s="22" t="str">
        <f>IF(H5399="","",H5399&amp;I5399)</f>
        <v/>
      </c>
      <c r="S5399" s="22" t="str">
        <f>IF(C5399="","",C5399&amp;I5399)</f>
        <v/>
      </c>
      <c r="T5399" t="str">
        <f>IF(OR(C5399="",I5399&lt;&gt;"ENTRADA"),"",TEXT(B5399,"AAMMDD")&amp;"-"&amp;TEXT(VALUE(SUBSTITUTE(A5399,"MOV-","")),"000"))</f>
        <v/>
      </c>
    </row>
    <row r="5400" spans="18:20">
      <c r="R5400" s="22" t="str">
        <f>IF(H5400="","",H5400&amp;I5400)</f>
        <v/>
      </c>
      <c r="S5400" s="22" t="str">
        <f>IF(C5400="","",C5400&amp;I5400)</f>
        <v/>
      </c>
      <c r="T5400" t="str">
        <f>IF(OR(C5400="",I5400&lt;&gt;"ENTRADA"),"",TEXT(B5400,"AAMMDD")&amp;"-"&amp;TEXT(VALUE(SUBSTITUTE(A5400,"MOV-","")),"000"))</f>
        <v/>
      </c>
    </row>
    <row r="5401" spans="18:20">
      <c r="R5401" s="22" t="str">
        <f>IF(H5401="","",H5401&amp;I5401)</f>
        <v/>
      </c>
      <c r="S5401" s="22" t="str">
        <f>IF(C5401="","",C5401&amp;I5401)</f>
        <v/>
      </c>
      <c r="T5401" t="str">
        <f>IF(OR(C5401="",I5401&lt;&gt;"ENTRADA"),"",TEXT(B5401,"AAMMDD")&amp;"-"&amp;TEXT(VALUE(SUBSTITUTE(A5401,"MOV-","")),"000"))</f>
        <v/>
      </c>
    </row>
    <row r="5402" spans="18:20">
      <c r="R5402" s="22" t="str">
        <f>IF(H5402="","",H5402&amp;I5402)</f>
        <v/>
      </c>
      <c r="S5402" s="22" t="str">
        <f>IF(C5402="","",C5402&amp;I5402)</f>
        <v/>
      </c>
      <c r="T5402" t="str">
        <f>IF(OR(C5402="",I5402&lt;&gt;"ENTRADA"),"",TEXT(B5402,"AAMMDD")&amp;"-"&amp;TEXT(VALUE(SUBSTITUTE(A5402,"MOV-","")),"000"))</f>
        <v/>
      </c>
    </row>
    <row r="5403" spans="18:20">
      <c r="R5403" s="22" t="str">
        <f>IF(H5403="","",H5403&amp;I5403)</f>
        <v/>
      </c>
      <c r="S5403" s="22" t="str">
        <f>IF(C5403="","",C5403&amp;I5403)</f>
        <v/>
      </c>
      <c r="T5403" t="str">
        <f>IF(OR(C5403="",I5403&lt;&gt;"ENTRADA"),"",TEXT(B5403,"AAMMDD")&amp;"-"&amp;TEXT(VALUE(SUBSTITUTE(A5403,"MOV-","")),"000"))</f>
        <v/>
      </c>
    </row>
    <row r="5404" spans="18:20">
      <c r="R5404" s="22" t="str">
        <f>IF(H5404="","",H5404&amp;I5404)</f>
        <v/>
      </c>
      <c r="S5404" s="22" t="str">
        <f>IF(C5404="","",C5404&amp;I5404)</f>
        <v/>
      </c>
      <c r="T5404" t="str">
        <f>IF(OR(C5404="",I5404&lt;&gt;"ENTRADA"),"",TEXT(B5404,"AAMMDD")&amp;"-"&amp;TEXT(VALUE(SUBSTITUTE(A5404,"MOV-","")),"000"))</f>
        <v/>
      </c>
    </row>
    <row r="5405" spans="18:20">
      <c r="R5405" s="22" t="str">
        <f>IF(H5405="","",H5405&amp;I5405)</f>
        <v/>
      </c>
      <c r="S5405" s="22" t="str">
        <f>IF(C5405="","",C5405&amp;I5405)</f>
        <v/>
      </c>
      <c r="T5405" t="str">
        <f>IF(OR(C5405="",I5405&lt;&gt;"ENTRADA"),"",TEXT(B5405,"AAMMDD")&amp;"-"&amp;TEXT(VALUE(SUBSTITUTE(A5405,"MOV-","")),"000"))</f>
        <v/>
      </c>
    </row>
    <row r="5406" spans="18:20">
      <c r="R5406" s="22" t="str">
        <f>IF(H5406="","",H5406&amp;I5406)</f>
        <v/>
      </c>
      <c r="S5406" s="22" t="str">
        <f>IF(C5406="","",C5406&amp;I5406)</f>
        <v/>
      </c>
      <c r="T5406" t="str">
        <f>IF(OR(C5406="",I5406&lt;&gt;"ENTRADA"),"",TEXT(B5406,"AAMMDD")&amp;"-"&amp;TEXT(VALUE(SUBSTITUTE(A5406,"MOV-","")),"000"))</f>
        <v/>
      </c>
    </row>
    <row r="5407" spans="18:20">
      <c r="R5407" s="22" t="str">
        <f>IF(H5407="","",H5407&amp;I5407)</f>
        <v/>
      </c>
      <c r="S5407" s="22" t="str">
        <f>IF(C5407="","",C5407&amp;I5407)</f>
        <v/>
      </c>
      <c r="T5407" t="str">
        <f>IF(OR(C5407="",I5407&lt;&gt;"ENTRADA"),"",TEXT(B5407,"AAMMDD")&amp;"-"&amp;TEXT(VALUE(SUBSTITUTE(A5407,"MOV-","")),"000"))</f>
        <v/>
      </c>
    </row>
    <row r="5408" spans="18:20">
      <c r="R5408" s="22" t="str">
        <f>IF(H5408="","",H5408&amp;I5408)</f>
        <v/>
      </c>
      <c r="S5408" s="22" t="str">
        <f>IF(C5408="","",C5408&amp;I5408)</f>
        <v/>
      </c>
      <c r="T5408" t="str">
        <f>IF(OR(C5408="",I5408&lt;&gt;"ENTRADA"),"",TEXT(B5408,"AAMMDD")&amp;"-"&amp;TEXT(VALUE(SUBSTITUTE(A5408,"MOV-","")),"000"))</f>
        <v/>
      </c>
    </row>
    <row r="5409" spans="18:20">
      <c r="R5409" s="22" t="str">
        <f>IF(H5409="","",H5409&amp;I5409)</f>
        <v/>
      </c>
      <c r="S5409" s="22" t="str">
        <f>IF(C5409="","",C5409&amp;I5409)</f>
        <v/>
      </c>
      <c r="T5409" t="str">
        <f>IF(OR(C5409="",I5409&lt;&gt;"ENTRADA"),"",TEXT(B5409,"AAMMDD")&amp;"-"&amp;TEXT(VALUE(SUBSTITUTE(A5409,"MOV-","")),"000"))</f>
        <v/>
      </c>
    </row>
    <row r="5410" spans="18:20">
      <c r="R5410" s="22" t="str">
        <f>IF(H5410="","",H5410&amp;I5410)</f>
        <v/>
      </c>
      <c r="S5410" s="22" t="str">
        <f>IF(C5410="","",C5410&amp;I5410)</f>
        <v/>
      </c>
      <c r="T5410" t="str">
        <f>IF(OR(C5410="",I5410&lt;&gt;"ENTRADA"),"",TEXT(B5410,"AAMMDD")&amp;"-"&amp;TEXT(VALUE(SUBSTITUTE(A5410,"MOV-","")),"000"))</f>
        <v/>
      </c>
    </row>
    <row r="5411" spans="18:20">
      <c r="R5411" s="22" t="str">
        <f>IF(H5411="","",H5411&amp;I5411)</f>
        <v/>
      </c>
      <c r="S5411" s="22" t="str">
        <f>IF(C5411="","",C5411&amp;I5411)</f>
        <v/>
      </c>
      <c r="T5411" t="str">
        <f>IF(OR(C5411="",I5411&lt;&gt;"ENTRADA"),"",TEXT(B5411,"AAMMDD")&amp;"-"&amp;TEXT(VALUE(SUBSTITUTE(A5411,"MOV-","")),"000"))</f>
        <v/>
      </c>
    </row>
    <row r="5412" spans="18:20">
      <c r="R5412" s="22" t="str">
        <f>IF(H5412="","",H5412&amp;I5412)</f>
        <v/>
      </c>
      <c r="S5412" s="22" t="str">
        <f>IF(C5412="","",C5412&amp;I5412)</f>
        <v/>
      </c>
      <c r="T5412" t="str">
        <f>IF(OR(C5412="",I5412&lt;&gt;"ENTRADA"),"",TEXT(B5412,"AAMMDD")&amp;"-"&amp;TEXT(VALUE(SUBSTITUTE(A5412,"MOV-","")),"000"))</f>
        <v/>
      </c>
    </row>
    <row r="5413" spans="18:20">
      <c r="R5413" s="22" t="str">
        <f>IF(H5413="","",H5413&amp;I5413)</f>
        <v/>
      </c>
      <c r="S5413" s="22" t="str">
        <f>IF(C5413="","",C5413&amp;I5413)</f>
        <v/>
      </c>
      <c r="T5413" t="str">
        <f>IF(OR(C5413="",I5413&lt;&gt;"ENTRADA"),"",TEXT(B5413,"AAMMDD")&amp;"-"&amp;TEXT(VALUE(SUBSTITUTE(A5413,"MOV-","")),"000"))</f>
        <v/>
      </c>
    </row>
    <row r="5414" spans="18:20">
      <c r="R5414" s="22" t="str">
        <f>IF(H5414="","",H5414&amp;I5414)</f>
        <v/>
      </c>
      <c r="S5414" s="22" t="str">
        <f>IF(C5414="","",C5414&amp;I5414)</f>
        <v/>
      </c>
      <c r="T5414" t="str">
        <f>IF(OR(C5414="",I5414&lt;&gt;"ENTRADA"),"",TEXT(B5414,"AAMMDD")&amp;"-"&amp;TEXT(VALUE(SUBSTITUTE(A5414,"MOV-","")),"000"))</f>
        <v/>
      </c>
    </row>
    <row r="5415" spans="18:20">
      <c r="R5415" s="22" t="str">
        <f>IF(H5415="","",H5415&amp;I5415)</f>
        <v/>
      </c>
      <c r="S5415" s="22" t="str">
        <f>IF(C5415="","",C5415&amp;I5415)</f>
        <v/>
      </c>
      <c r="T5415" t="str">
        <f>IF(OR(C5415="",I5415&lt;&gt;"ENTRADA"),"",TEXT(B5415,"AAMMDD")&amp;"-"&amp;TEXT(VALUE(SUBSTITUTE(A5415,"MOV-","")),"000"))</f>
        <v/>
      </c>
    </row>
    <row r="5416" spans="18:20">
      <c r="R5416" s="22" t="str">
        <f>IF(H5416="","",H5416&amp;I5416)</f>
        <v/>
      </c>
      <c r="S5416" s="22" t="str">
        <f>IF(C5416="","",C5416&amp;I5416)</f>
        <v/>
      </c>
      <c r="T5416" t="str">
        <f>IF(OR(C5416="",I5416&lt;&gt;"ENTRADA"),"",TEXT(B5416,"AAMMDD")&amp;"-"&amp;TEXT(VALUE(SUBSTITUTE(A5416,"MOV-","")),"000"))</f>
        <v/>
      </c>
    </row>
    <row r="5417" spans="18:20">
      <c r="R5417" s="22" t="str">
        <f>IF(H5417="","",H5417&amp;I5417)</f>
        <v/>
      </c>
      <c r="S5417" s="22" t="str">
        <f>IF(C5417="","",C5417&amp;I5417)</f>
        <v/>
      </c>
      <c r="T5417" t="str">
        <f>IF(OR(C5417="",I5417&lt;&gt;"ENTRADA"),"",TEXT(B5417,"AAMMDD")&amp;"-"&amp;TEXT(VALUE(SUBSTITUTE(A5417,"MOV-","")),"000"))</f>
        <v/>
      </c>
    </row>
    <row r="5418" spans="18:20">
      <c r="R5418" s="22" t="str">
        <f>IF(H5418="","",H5418&amp;I5418)</f>
        <v/>
      </c>
      <c r="S5418" s="22" t="str">
        <f>IF(C5418="","",C5418&amp;I5418)</f>
        <v/>
      </c>
      <c r="T5418" t="str">
        <f>IF(OR(C5418="",I5418&lt;&gt;"ENTRADA"),"",TEXT(B5418,"AAMMDD")&amp;"-"&amp;TEXT(VALUE(SUBSTITUTE(A5418,"MOV-","")),"000"))</f>
        <v/>
      </c>
    </row>
    <row r="5419" spans="18:20">
      <c r="R5419" s="22" t="str">
        <f>IF(H5419="","",H5419&amp;I5419)</f>
        <v/>
      </c>
      <c r="S5419" s="22" t="str">
        <f>IF(C5419="","",C5419&amp;I5419)</f>
        <v/>
      </c>
      <c r="T5419" t="str">
        <f>IF(OR(C5419="",I5419&lt;&gt;"ENTRADA"),"",TEXT(B5419,"AAMMDD")&amp;"-"&amp;TEXT(VALUE(SUBSTITUTE(A5419,"MOV-","")),"000"))</f>
        <v/>
      </c>
    </row>
    <row r="5420" spans="18:20">
      <c r="R5420" s="22" t="str">
        <f>IF(H5420="","",H5420&amp;I5420)</f>
        <v/>
      </c>
      <c r="S5420" s="22" t="str">
        <f>IF(C5420="","",C5420&amp;I5420)</f>
        <v/>
      </c>
      <c r="T5420" t="str">
        <f>IF(OR(C5420="",I5420&lt;&gt;"ENTRADA"),"",TEXT(B5420,"AAMMDD")&amp;"-"&amp;TEXT(VALUE(SUBSTITUTE(A5420,"MOV-","")),"000"))</f>
        <v/>
      </c>
    </row>
    <row r="5421" spans="18:20">
      <c r="R5421" s="22" t="str">
        <f>IF(H5421="","",H5421&amp;I5421)</f>
        <v/>
      </c>
      <c r="S5421" s="22" t="str">
        <f>IF(C5421="","",C5421&amp;I5421)</f>
        <v/>
      </c>
      <c r="T5421" t="str">
        <f>IF(OR(C5421="",I5421&lt;&gt;"ENTRADA"),"",TEXT(B5421,"AAMMDD")&amp;"-"&amp;TEXT(VALUE(SUBSTITUTE(A5421,"MOV-","")),"000"))</f>
        <v/>
      </c>
    </row>
    <row r="5422" spans="18:20">
      <c r="R5422" s="22" t="str">
        <f>IF(H5422="","",H5422&amp;I5422)</f>
        <v/>
      </c>
      <c r="S5422" s="22" t="str">
        <f>IF(C5422="","",C5422&amp;I5422)</f>
        <v/>
      </c>
      <c r="T5422" t="str">
        <f>IF(OR(C5422="",I5422&lt;&gt;"ENTRADA"),"",TEXT(B5422,"AAMMDD")&amp;"-"&amp;TEXT(VALUE(SUBSTITUTE(A5422,"MOV-","")),"000"))</f>
        <v/>
      </c>
    </row>
    <row r="5423" spans="18:20">
      <c r="R5423" s="22" t="str">
        <f>IF(H5423="","",H5423&amp;I5423)</f>
        <v/>
      </c>
      <c r="S5423" s="22" t="str">
        <f>IF(C5423="","",C5423&amp;I5423)</f>
        <v/>
      </c>
      <c r="T5423" t="str">
        <f>IF(OR(C5423="",I5423&lt;&gt;"ENTRADA"),"",TEXT(B5423,"AAMMDD")&amp;"-"&amp;TEXT(VALUE(SUBSTITUTE(A5423,"MOV-","")),"000"))</f>
        <v/>
      </c>
    </row>
    <row r="5424" spans="18:20">
      <c r="R5424" s="22" t="str">
        <f>IF(H5424="","",H5424&amp;I5424)</f>
        <v/>
      </c>
      <c r="S5424" s="22" t="str">
        <f>IF(C5424="","",C5424&amp;I5424)</f>
        <v/>
      </c>
      <c r="T5424" t="str">
        <f>IF(OR(C5424="",I5424&lt;&gt;"ENTRADA"),"",TEXT(B5424,"AAMMDD")&amp;"-"&amp;TEXT(VALUE(SUBSTITUTE(A5424,"MOV-","")),"000"))</f>
        <v/>
      </c>
    </row>
    <row r="5425" spans="18:20">
      <c r="R5425" s="22" t="str">
        <f>IF(H5425="","",H5425&amp;I5425)</f>
        <v/>
      </c>
      <c r="S5425" s="22" t="str">
        <f>IF(C5425="","",C5425&amp;I5425)</f>
        <v/>
      </c>
      <c r="T5425" t="str">
        <f>IF(OR(C5425="",I5425&lt;&gt;"ENTRADA"),"",TEXT(B5425,"AAMMDD")&amp;"-"&amp;TEXT(VALUE(SUBSTITUTE(A5425,"MOV-","")),"000"))</f>
        <v/>
      </c>
    </row>
    <row r="5426" spans="18:20">
      <c r="R5426" s="22" t="str">
        <f>IF(H5426="","",H5426&amp;I5426)</f>
        <v/>
      </c>
      <c r="S5426" s="22" t="str">
        <f>IF(C5426="","",C5426&amp;I5426)</f>
        <v/>
      </c>
      <c r="T5426" t="str">
        <f>IF(OR(C5426="",I5426&lt;&gt;"ENTRADA"),"",TEXT(B5426,"AAMMDD")&amp;"-"&amp;TEXT(VALUE(SUBSTITUTE(A5426,"MOV-","")),"000"))</f>
        <v/>
      </c>
    </row>
    <row r="5427" spans="18:20">
      <c r="R5427" s="22" t="str">
        <f>IF(H5427="","",H5427&amp;I5427)</f>
        <v/>
      </c>
      <c r="S5427" s="22" t="str">
        <f>IF(C5427="","",C5427&amp;I5427)</f>
        <v/>
      </c>
      <c r="T5427" t="str">
        <f>IF(OR(C5427="",I5427&lt;&gt;"ENTRADA"),"",TEXT(B5427,"AAMMDD")&amp;"-"&amp;TEXT(VALUE(SUBSTITUTE(A5427,"MOV-","")),"000"))</f>
        <v/>
      </c>
    </row>
    <row r="5428" spans="18:20">
      <c r="R5428" s="22" t="str">
        <f>IF(H5428="","",H5428&amp;I5428)</f>
        <v/>
      </c>
      <c r="S5428" s="22" t="str">
        <f>IF(C5428="","",C5428&amp;I5428)</f>
        <v/>
      </c>
      <c r="T5428" t="str">
        <f>IF(OR(C5428="",I5428&lt;&gt;"ENTRADA"),"",TEXT(B5428,"AAMMDD")&amp;"-"&amp;TEXT(VALUE(SUBSTITUTE(A5428,"MOV-","")),"000"))</f>
        <v/>
      </c>
    </row>
    <row r="5429" spans="18:20">
      <c r="R5429" s="22" t="str">
        <f>IF(H5429="","",H5429&amp;I5429)</f>
        <v/>
      </c>
      <c r="S5429" s="22" t="str">
        <f>IF(C5429="","",C5429&amp;I5429)</f>
        <v/>
      </c>
      <c r="T5429" t="str">
        <f>IF(OR(C5429="",I5429&lt;&gt;"ENTRADA"),"",TEXT(B5429,"AAMMDD")&amp;"-"&amp;TEXT(VALUE(SUBSTITUTE(A5429,"MOV-","")),"000"))</f>
        <v/>
      </c>
    </row>
    <row r="5430" spans="18:20">
      <c r="R5430" s="22" t="str">
        <f>IF(H5430="","",H5430&amp;I5430)</f>
        <v/>
      </c>
      <c r="S5430" s="22" t="str">
        <f>IF(C5430="","",C5430&amp;I5430)</f>
        <v/>
      </c>
      <c r="T5430" t="str">
        <f>IF(OR(C5430="",I5430&lt;&gt;"ENTRADA"),"",TEXT(B5430,"AAMMDD")&amp;"-"&amp;TEXT(VALUE(SUBSTITUTE(A5430,"MOV-","")),"000"))</f>
        <v/>
      </c>
    </row>
    <row r="5431" spans="18:20">
      <c r="R5431" s="22" t="str">
        <f>IF(H5431="","",H5431&amp;I5431)</f>
        <v/>
      </c>
      <c r="S5431" s="22" t="str">
        <f>IF(C5431="","",C5431&amp;I5431)</f>
        <v/>
      </c>
      <c r="T5431" t="str">
        <f>IF(OR(C5431="",I5431&lt;&gt;"ENTRADA"),"",TEXT(B5431,"AAMMDD")&amp;"-"&amp;TEXT(VALUE(SUBSTITUTE(A5431,"MOV-","")),"000"))</f>
        <v/>
      </c>
    </row>
    <row r="5432" spans="18:20">
      <c r="R5432" s="22" t="str">
        <f>IF(H5432="","",H5432&amp;I5432)</f>
        <v/>
      </c>
      <c r="S5432" s="22" t="str">
        <f>IF(C5432="","",C5432&amp;I5432)</f>
        <v/>
      </c>
      <c r="T5432" t="str">
        <f>IF(OR(C5432="",I5432&lt;&gt;"ENTRADA"),"",TEXT(B5432,"AAMMDD")&amp;"-"&amp;TEXT(VALUE(SUBSTITUTE(A5432,"MOV-","")),"000"))</f>
        <v/>
      </c>
    </row>
    <row r="5433" spans="18:20">
      <c r="R5433" s="22" t="str">
        <f>IF(H5433="","",H5433&amp;I5433)</f>
        <v/>
      </c>
      <c r="S5433" s="22" t="str">
        <f>IF(C5433="","",C5433&amp;I5433)</f>
        <v/>
      </c>
      <c r="T5433" t="str">
        <f>IF(OR(C5433="",I5433&lt;&gt;"ENTRADA"),"",TEXT(B5433,"AAMMDD")&amp;"-"&amp;TEXT(VALUE(SUBSTITUTE(A5433,"MOV-","")),"000"))</f>
        <v/>
      </c>
    </row>
    <row r="5434" spans="18:20">
      <c r="R5434" s="22" t="str">
        <f>IF(H5434="","",H5434&amp;I5434)</f>
        <v/>
      </c>
      <c r="S5434" s="22" t="str">
        <f>IF(C5434="","",C5434&amp;I5434)</f>
        <v/>
      </c>
      <c r="T5434" t="str">
        <f>IF(OR(C5434="",I5434&lt;&gt;"ENTRADA"),"",TEXT(B5434,"AAMMDD")&amp;"-"&amp;TEXT(VALUE(SUBSTITUTE(A5434,"MOV-","")),"000"))</f>
        <v/>
      </c>
    </row>
    <row r="5435" spans="18:20">
      <c r="R5435" s="22" t="str">
        <f>IF(H5435="","",H5435&amp;I5435)</f>
        <v/>
      </c>
      <c r="S5435" s="22" t="str">
        <f>IF(C5435="","",C5435&amp;I5435)</f>
        <v/>
      </c>
      <c r="T5435" t="str">
        <f>IF(OR(C5435="",I5435&lt;&gt;"ENTRADA"),"",TEXT(B5435,"AAMMDD")&amp;"-"&amp;TEXT(VALUE(SUBSTITUTE(A5435,"MOV-","")),"000"))</f>
        <v/>
      </c>
    </row>
    <row r="5436" spans="18:20">
      <c r="R5436" s="22" t="str">
        <f>IF(H5436="","",H5436&amp;I5436)</f>
        <v/>
      </c>
      <c r="S5436" s="22" t="str">
        <f>IF(C5436="","",C5436&amp;I5436)</f>
        <v/>
      </c>
      <c r="T5436" t="str">
        <f>IF(OR(C5436="",I5436&lt;&gt;"ENTRADA"),"",TEXT(B5436,"AAMMDD")&amp;"-"&amp;TEXT(VALUE(SUBSTITUTE(A5436,"MOV-","")),"000"))</f>
        <v/>
      </c>
    </row>
    <row r="5437" spans="18:20">
      <c r="R5437" s="22" t="str">
        <f>IF(H5437="","",H5437&amp;I5437)</f>
        <v/>
      </c>
      <c r="S5437" s="22" t="str">
        <f>IF(C5437="","",C5437&amp;I5437)</f>
        <v/>
      </c>
      <c r="T5437" t="str">
        <f>IF(OR(C5437="",I5437&lt;&gt;"ENTRADA"),"",TEXT(B5437,"AAMMDD")&amp;"-"&amp;TEXT(VALUE(SUBSTITUTE(A5437,"MOV-","")),"000"))</f>
        <v/>
      </c>
    </row>
    <row r="5438" spans="18:20">
      <c r="R5438" s="22" t="str">
        <f>IF(H5438="","",H5438&amp;I5438)</f>
        <v/>
      </c>
      <c r="S5438" s="22" t="str">
        <f>IF(C5438="","",C5438&amp;I5438)</f>
        <v/>
      </c>
      <c r="T5438" t="str">
        <f>IF(OR(C5438="",I5438&lt;&gt;"ENTRADA"),"",TEXT(B5438,"AAMMDD")&amp;"-"&amp;TEXT(VALUE(SUBSTITUTE(A5438,"MOV-","")),"000"))</f>
        <v/>
      </c>
    </row>
    <row r="5439" spans="18:20">
      <c r="R5439" s="22" t="str">
        <f>IF(H5439="","",H5439&amp;I5439)</f>
        <v/>
      </c>
      <c r="S5439" s="22" t="str">
        <f>IF(C5439="","",C5439&amp;I5439)</f>
        <v/>
      </c>
      <c r="T5439" t="str">
        <f>IF(OR(C5439="",I5439&lt;&gt;"ENTRADA"),"",TEXT(B5439,"AAMMDD")&amp;"-"&amp;TEXT(VALUE(SUBSTITUTE(A5439,"MOV-","")),"000"))</f>
        <v/>
      </c>
    </row>
    <row r="5440" spans="18:20">
      <c r="R5440" s="22" t="str">
        <f>IF(H5440="","",H5440&amp;I5440)</f>
        <v/>
      </c>
      <c r="S5440" s="22" t="str">
        <f>IF(C5440="","",C5440&amp;I5440)</f>
        <v/>
      </c>
      <c r="T5440" t="str">
        <f>IF(OR(C5440="",I5440&lt;&gt;"ENTRADA"),"",TEXT(B5440,"AAMMDD")&amp;"-"&amp;TEXT(VALUE(SUBSTITUTE(A5440,"MOV-","")),"000"))</f>
        <v/>
      </c>
    </row>
    <row r="5441" spans="18:20">
      <c r="R5441" s="22" t="str">
        <f>IF(H5441="","",H5441&amp;I5441)</f>
        <v/>
      </c>
      <c r="S5441" s="22" t="str">
        <f>IF(C5441="","",C5441&amp;I5441)</f>
        <v/>
      </c>
      <c r="T5441" t="str">
        <f>IF(OR(C5441="",I5441&lt;&gt;"ENTRADA"),"",TEXT(B5441,"AAMMDD")&amp;"-"&amp;TEXT(VALUE(SUBSTITUTE(A5441,"MOV-","")),"000"))</f>
        <v/>
      </c>
    </row>
    <row r="5442" spans="18:20">
      <c r="R5442" s="22" t="str">
        <f>IF(H5442="","",H5442&amp;I5442)</f>
        <v/>
      </c>
      <c r="S5442" s="22" t="str">
        <f>IF(C5442="","",C5442&amp;I5442)</f>
        <v/>
      </c>
      <c r="T5442" t="str">
        <f>IF(OR(C5442="",I5442&lt;&gt;"ENTRADA"),"",TEXT(B5442,"AAMMDD")&amp;"-"&amp;TEXT(VALUE(SUBSTITUTE(A5442,"MOV-","")),"000"))</f>
        <v/>
      </c>
    </row>
    <row r="5443" spans="18:20">
      <c r="R5443" s="22" t="str">
        <f>IF(H5443="","",H5443&amp;I5443)</f>
        <v/>
      </c>
      <c r="S5443" s="22" t="str">
        <f>IF(C5443="","",C5443&amp;I5443)</f>
        <v/>
      </c>
      <c r="T5443" t="str">
        <f>IF(OR(C5443="",I5443&lt;&gt;"ENTRADA"),"",TEXT(B5443,"AAMMDD")&amp;"-"&amp;TEXT(VALUE(SUBSTITUTE(A5443,"MOV-","")),"000"))</f>
        <v/>
      </c>
    </row>
    <row r="5444" spans="18:20">
      <c r="R5444" s="22" t="str">
        <f>IF(H5444="","",H5444&amp;I5444)</f>
        <v/>
      </c>
      <c r="S5444" s="22" t="str">
        <f>IF(C5444="","",C5444&amp;I5444)</f>
        <v/>
      </c>
      <c r="T5444" t="str">
        <f>IF(OR(C5444="",I5444&lt;&gt;"ENTRADA"),"",TEXT(B5444,"AAMMDD")&amp;"-"&amp;TEXT(VALUE(SUBSTITUTE(A5444,"MOV-","")),"000"))</f>
        <v/>
      </c>
    </row>
    <row r="5445" spans="18:20">
      <c r="R5445" s="22" t="str">
        <f>IF(H5445="","",H5445&amp;I5445)</f>
        <v/>
      </c>
      <c r="S5445" s="22" t="str">
        <f>IF(C5445="","",C5445&amp;I5445)</f>
        <v/>
      </c>
      <c r="T5445" t="str">
        <f>IF(OR(C5445="",I5445&lt;&gt;"ENTRADA"),"",TEXT(B5445,"AAMMDD")&amp;"-"&amp;TEXT(VALUE(SUBSTITUTE(A5445,"MOV-","")),"000"))</f>
        <v/>
      </c>
    </row>
    <row r="5446" spans="18:20">
      <c r="R5446" s="22" t="str">
        <f>IF(H5446="","",H5446&amp;I5446)</f>
        <v/>
      </c>
      <c r="S5446" s="22" t="str">
        <f>IF(C5446="","",C5446&amp;I5446)</f>
        <v/>
      </c>
      <c r="T5446" t="str">
        <f>IF(OR(C5446="",I5446&lt;&gt;"ENTRADA"),"",TEXT(B5446,"AAMMDD")&amp;"-"&amp;TEXT(VALUE(SUBSTITUTE(A5446,"MOV-","")),"000"))</f>
        <v/>
      </c>
    </row>
    <row r="5447" spans="18:20">
      <c r="R5447" s="22" t="str">
        <f>IF(H5447="","",H5447&amp;I5447)</f>
        <v/>
      </c>
      <c r="S5447" s="22" t="str">
        <f>IF(C5447="","",C5447&amp;I5447)</f>
        <v/>
      </c>
      <c r="T5447" t="str">
        <f>IF(OR(C5447="",I5447&lt;&gt;"ENTRADA"),"",TEXT(B5447,"AAMMDD")&amp;"-"&amp;TEXT(VALUE(SUBSTITUTE(A5447,"MOV-","")),"000"))</f>
        <v/>
      </c>
    </row>
    <row r="5448" spans="18:20">
      <c r="R5448" s="22" t="str">
        <f>IF(H5448="","",H5448&amp;I5448)</f>
        <v/>
      </c>
      <c r="S5448" s="22" t="str">
        <f>IF(C5448="","",C5448&amp;I5448)</f>
        <v/>
      </c>
      <c r="T5448" t="str">
        <f>IF(OR(C5448="",I5448&lt;&gt;"ENTRADA"),"",TEXT(B5448,"AAMMDD")&amp;"-"&amp;TEXT(VALUE(SUBSTITUTE(A5448,"MOV-","")),"000"))</f>
        <v/>
      </c>
    </row>
    <row r="5449" spans="18:20">
      <c r="R5449" s="22" t="str">
        <f>IF(H5449="","",H5449&amp;I5449)</f>
        <v/>
      </c>
      <c r="S5449" s="22" t="str">
        <f>IF(C5449="","",C5449&amp;I5449)</f>
        <v/>
      </c>
      <c r="T5449" t="str">
        <f>IF(OR(C5449="",I5449&lt;&gt;"ENTRADA"),"",TEXT(B5449,"AAMMDD")&amp;"-"&amp;TEXT(VALUE(SUBSTITUTE(A5449,"MOV-","")),"000"))</f>
        <v/>
      </c>
    </row>
    <row r="5450" spans="18:20">
      <c r="R5450" s="22" t="str">
        <f>IF(H5450="","",H5450&amp;I5450)</f>
        <v/>
      </c>
      <c r="S5450" s="22" t="str">
        <f>IF(C5450="","",C5450&amp;I5450)</f>
        <v/>
      </c>
      <c r="T5450" t="str">
        <f>IF(OR(C5450="",I5450&lt;&gt;"ENTRADA"),"",TEXT(B5450,"AAMMDD")&amp;"-"&amp;TEXT(VALUE(SUBSTITUTE(A5450,"MOV-","")),"000"))</f>
        <v/>
      </c>
    </row>
    <row r="5451" spans="18:20">
      <c r="R5451" s="22" t="str">
        <f>IF(H5451="","",H5451&amp;I5451)</f>
        <v/>
      </c>
      <c r="S5451" s="22" t="str">
        <f>IF(C5451="","",C5451&amp;I5451)</f>
        <v/>
      </c>
      <c r="T5451" t="str">
        <f>IF(OR(C5451="",I5451&lt;&gt;"ENTRADA"),"",TEXT(B5451,"AAMMDD")&amp;"-"&amp;TEXT(VALUE(SUBSTITUTE(A5451,"MOV-","")),"000"))</f>
        <v/>
      </c>
    </row>
    <row r="5452" spans="18:20">
      <c r="R5452" s="22" t="str">
        <f>IF(H5452="","",H5452&amp;I5452)</f>
        <v/>
      </c>
      <c r="S5452" s="22" t="str">
        <f>IF(C5452="","",C5452&amp;I5452)</f>
        <v/>
      </c>
      <c r="T5452" t="str">
        <f>IF(OR(C5452="",I5452&lt;&gt;"ENTRADA"),"",TEXT(B5452,"AAMMDD")&amp;"-"&amp;TEXT(VALUE(SUBSTITUTE(A5452,"MOV-","")),"000"))</f>
        <v/>
      </c>
    </row>
    <row r="5453" spans="18:20">
      <c r="R5453" s="22" t="str">
        <f>IF(H5453="","",H5453&amp;I5453)</f>
        <v/>
      </c>
      <c r="S5453" s="22" t="str">
        <f>IF(C5453="","",C5453&amp;I5453)</f>
        <v/>
      </c>
      <c r="T5453" t="str">
        <f>IF(OR(C5453="",I5453&lt;&gt;"ENTRADA"),"",TEXT(B5453,"AAMMDD")&amp;"-"&amp;TEXT(VALUE(SUBSTITUTE(A5453,"MOV-","")),"000"))</f>
        <v/>
      </c>
    </row>
    <row r="5454" spans="18:20">
      <c r="R5454" s="22" t="str">
        <f>IF(H5454="","",H5454&amp;I5454)</f>
        <v/>
      </c>
      <c r="S5454" s="22" t="str">
        <f>IF(C5454="","",C5454&amp;I5454)</f>
        <v/>
      </c>
      <c r="T5454" t="str">
        <f>IF(OR(C5454="",I5454&lt;&gt;"ENTRADA"),"",TEXT(B5454,"AAMMDD")&amp;"-"&amp;TEXT(VALUE(SUBSTITUTE(A5454,"MOV-","")),"000"))</f>
        <v/>
      </c>
    </row>
    <row r="5455" spans="18:20">
      <c r="R5455" s="22" t="str">
        <f>IF(H5455="","",H5455&amp;I5455)</f>
        <v/>
      </c>
      <c r="S5455" s="22" t="str">
        <f>IF(C5455="","",C5455&amp;I5455)</f>
        <v/>
      </c>
      <c r="T5455" t="str">
        <f>IF(OR(C5455="",I5455&lt;&gt;"ENTRADA"),"",TEXT(B5455,"AAMMDD")&amp;"-"&amp;TEXT(VALUE(SUBSTITUTE(A5455,"MOV-","")),"000"))</f>
        <v/>
      </c>
    </row>
    <row r="5456" spans="18:20">
      <c r="R5456" s="22" t="str">
        <f>IF(H5456="","",H5456&amp;I5456)</f>
        <v/>
      </c>
      <c r="S5456" s="22" t="str">
        <f>IF(C5456="","",C5456&amp;I5456)</f>
        <v/>
      </c>
      <c r="T5456" t="str">
        <f>IF(OR(C5456="",I5456&lt;&gt;"ENTRADA"),"",TEXT(B5456,"AAMMDD")&amp;"-"&amp;TEXT(VALUE(SUBSTITUTE(A5456,"MOV-","")),"000"))</f>
        <v/>
      </c>
    </row>
    <row r="5457" spans="18:20">
      <c r="R5457" s="22" t="str">
        <f>IF(H5457="","",H5457&amp;I5457)</f>
        <v/>
      </c>
      <c r="S5457" s="22" t="str">
        <f>IF(C5457="","",C5457&amp;I5457)</f>
        <v/>
      </c>
      <c r="T5457" t="str">
        <f>IF(OR(C5457="",I5457&lt;&gt;"ENTRADA"),"",TEXT(B5457,"AAMMDD")&amp;"-"&amp;TEXT(VALUE(SUBSTITUTE(A5457,"MOV-","")),"000"))</f>
        <v/>
      </c>
    </row>
    <row r="5458" spans="18:20">
      <c r="R5458" s="22" t="str">
        <f>IF(H5458="","",H5458&amp;I5458)</f>
        <v/>
      </c>
      <c r="S5458" s="22" t="str">
        <f>IF(C5458="","",C5458&amp;I5458)</f>
        <v/>
      </c>
      <c r="T5458" t="str">
        <f>IF(OR(C5458="",I5458&lt;&gt;"ENTRADA"),"",TEXT(B5458,"AAMMDD")&amp;"-"&amp;TEXT(VALUE(SUBSTITUTE(A5458,"MOV-","")),"000"))</f>
        <v/>
      </c>
    </row>
    <row r="5459" spans="18:20">
      <c r="R5459" s="22" t="str">
        <f>IF(H5459="","",H5459&amp;I5459)</f>
        <v/>
      </c>
      <c r="S5459" s="22" t="str">
        <f>IF(C5459="","",C5459&amp;I5459)</f>
        <v/>
      </c>
      <c r="T5459" t="str">
        <f>IF(OR(C5459="",I5459&lt;&gt;"ENTRADA"),"",TEXT(B5459,"AAMMDD")&amp;"-"&amp;TEXT(VALUE(SUBSTITUTE(A5459,"MOV-","")),"000"))</f>
        <v/>
      </c>
    </row>
    <row r="5460" spans="18:20">
      <c r="R5460" s="22" t="str">
        <f>IF(H5460="","",H5460&amp;I5460)</f>
        <v/>
      </c>
      <c r="S5460" s="22" t="str">
        <f>IF(C5460="","",C5460&amp;I5460)</f>
        <v/>
      </c>
      <c r="T5460" t="str">
        <f>IF(OR(C5460="",I5460&lt;&gt;"ENTRADA"),"",TEXT(B5460,"AAMMDD")&amp;"-"&amp;TEXT(VALUE(SUBSTITUTE(A5460,"MOV-","")),"000"))</f>
        <v/>
      </c>
    </row>
    <row r="5461" spans="18:20">
      <c r="R5461" s="22" t="str">
        <f>IF(H5461="","",H5461&amp;I5461)</f>
        <v/>
      </c>
      <c r="S5461" s="22" t="str">
        <f>IF(C5461="","",C5461&amp;I5461)</f>
        <v/>
      </c>
      <c r="T5461" t="str">
        <f>IF(OR(C5461="",I5461&lt;&gt;"ENTRADA"),"",TEXT(B5461,"AAMMDD")&amp;"-"&amp;TEXT(VALUE(SUBSTITUTE(A5461,"MOV-","")),"000"))</f>
        <v/>
      </c>
    </row>
    <row r="5462" spans="18:20">
      <c r="R5462" s="22" t="str">
        <f>IF(H5462="","",H5462&amp;I5462)</f>
        <v/>
      </c>
      <c r="S5462" s="22" t="str">
        <f>IF(C5462="","",C5462&amp;I5462)</f>
        <v/>
      </c>
      <c r="T5462" t="str">
        <f>IF(OR(C5462="",I5462&lt;&gt;"ENTRADA"),"",TEXT(B5462,"AAMMDD")&amp;"-"&amp;TEXT(VALUE(SUBSTITUTE(A5462,"MOV-","")),"000"))</f>
        <v/>
      </c>
    </row>
    <row r="5463" spans="18:20">
      <c r="R5463" s="22" t="str">
        <f>IF(H5463="","",H5463&amp;I5463)</f>
        <v/>
      </c>
      <c r="S5463" s="22" t="str">
        <f>IF(C5463="","",C5463&amp;I5463)</f>
        <v/>
      </c>
      <c r="T5463" t="str">
        <f>IF(OR(C5463="",I5463&lt;&gt;"ENTRADA"),"",TEXT(B5463,"AAMMDD")&amp;"-"&amp;TEXT(VALUE(SUBSTITUTE(A5463,"MOV-","")),"000"))</f>
        <v/>
      </c>
    </row>
    <row r="5464" spans="18:20">
      <c r="R5464" s="22" t="str">
        <f>IF(H5464="","",H5464&amp;I5464)</f>
        <v/>
      </c>
      <c r="S5464" s="22" t="str">
        <f>IF(C5464="","",C5464&amp;I5464)</f>
        <v/>
      </c>
      <c r="T5464" t="str">
        <f>IF(OR(C5464="",I5464&lt;&gt;"ENTRADA"),"",TEXT(B5464,"AAMMDD")&amp;"-"&amp;TEXT(VALUE(SUBSTITUTE(A5464,"MOV-","")),"000"))</f>
        <v/>
      </c>
    </row>
    <row r="5465" spans="18:20">
      <c r="R5465" s="22" t="str">
        <f>IF(H5465="","",H5465&amp;I5465)</f>
        <v/>
      </c>
      <c r="S5465" s="22" t="str">
        <f>IF(C5465="","",C5465&amp;I5465)</f>
        <v/>
      </c>
      <c r="T5465" t="str">
        <f>IF(OR(C5465="",I5465&lt;&gt;"ENTRADA"),"",TEXT(B5465,"AAMMDD")&amp;"-"&amp;TEXT(VALUE(SUBSTITUTE(A5465,"MOV-","")),"000"))</f>
        <v/>
      </c>
    </row>
    <row r="5466" spans="18:20">
      <c r="R5466" s="22" t="str">
        <f>IF(H5466="","",H5466&amp;I5466)</f>
        <v/>
      </c>
      <c r="S5466" s="22" t="str">
        <f>IF(C5466="","",C5466&amp;I5466)</f>
        <v/>
      </c>
      <c r="T5466" t="str">
        <f>IF(OR(C5466="",I5466&lt;&gt;"ENTRADA"),"",TEXT(B5466,"AAMMDD")&amp;"-"&amp;TEXT(VALUE(SUBSTITUTE(A5466,"MOV-","")),"000"))</f>
        <v/>
      </c>
    </row>
    <row r="5467" spans="18:20">
      <c r="R5467" s="22" t="str">
        <f>IF(H5467="","",H5467&amp;I5467)</f>
        <v/>
      </c>
      <c r="S5467" s="22" t="str">
        <f>IF(C5467="","",C5467&amp;I5467)</f>
        <v/>
      </c>
      <c r="T5467" t="str">
        <f>IF(OR(C5467="",I5467&lt;&gt;"ENTRADA"),"",TEXT(B5467,"AAMMDD")&amp;"-"&amp;TEXT(VALUE(SUBSTITUTE(A5467,"MOV-","")),"000"))</f>
        <v/>
      </c>
    </row>
    <row r="5468" spans="18:20">
      <c r="R5468" s="22" t="str">
        <f>IF(H5468="","",H5468&amp;I5468)</f>
        <v/>
      </c>
      <c r="S5468" s="22" t="str">
        <f>IF(C5468="","",C5468&amp;I5468)</f>
        <v/>
      </c>
      <c r="T5468" t="str">
        <f>IF(OR(C5468="",I5468&lt;&gt;"ENTRADA"),"",TEXT(B5468,"AAMMDD")&amp;"-"&amp;TEXT(VALUE(SUBSTITUTE(A5468,"MOV-","")),"000"))</f>
        <v/>
      </c>
    </row>
    <row r="5469" spans="18:20">
      <c r="R5469" s="22" t="str">
        <f>IF(H5469="","",H5469&amp;I5469)</f>
        <v/>
      </c>
      <c r="S5469" s="22" t="str">
        <f>IF(C5469="","",C5469&amp;I5469)</f>
        <v/>
      </c>
      <c r="T5469" t="str">
        <f>IF(OR(C5469="",I5469&lt;&gt;"ENTRADA"),"",TEXT(B5469,"AAMMDD")&amp;"-"&amp;TEXT(VALUE(SUBSTITUTE(A5469,"MOV-","")),"000"))</f>
        <v/>
      </c>
    </row>
    <row r="5470" spans="18:20">
      <c r="R5470" s="22" t="str">
        <f>IF(H5470="","",H5470&amp;I5470)</f>
        <v/>
      </c>
      <c r="S5470" s="22" t="str">
        <f>IF(C5470="","",C5470&amp;I5470)</f>
        <v/>
      </c>
      <c r="T5470" t="str">
        <f>IF(OR(C5470="",I5470&lt;&gt;"ENTRADA"),"",TEXT(B5470,"AAMMDD")&amp;"-"&amp;TEXT(VALUE(SUBSTITUTE(A5470,"MOV-","")),"000"))</f>
        <v/>
      </c>
    </row>
    <row r="5471" spans="18:20">
      <c r="R5471" s="22" t="str">
        <f>IF(H5471="","",H5471&amp;I5471)</f>
        <v/>
      </c>
      <c r="S5471" s="22" t="str">
        <f>IF(C5471="","",C5471&amp;I5471)</f>
        <v/>
      </c>
      <c r="T5471" t="str">
        <f>IF(OR(C5471="",I5471&lt;&gt;"ENTRADA"),"",TEXT(B5471,"AAMMDD")&amp;"-"&amp;TEXT(VALUE(SUBSTITUTE(A5471,"MOV-","")),"000"))</f>
        <v/>
      </c>
    </row>
    <row r="5472" spans="18:20">
      <c r="R5472" s="22" t="str">
        <f>IF(H5472="","",H5472&amp;I5472)</f>
        <v/>
      </c>
      <c r="S5472" s="22" t="str">
        <f>IF(C5472="","",C5472&amp;I5472)</f>
        <v/>
      </c>
      <c r="T5472" t="str">
        <f>IF(OR(C5472="",I5472&lt;&gt;"ENTRADA"),"",TEXT(B5472,"AAMMDD")&amp;"-"&amp;TEXT(VALUE(SUBSTITUTE(A5472,"MOV-","")),"000"))</f>
        <v/>
      </c>
    </row>
    <row r="5473" spans="18:20">
      <c r="R5473" s="22" t="str">
        <f>IF(H5473="","",H5473&amp;I5473)</f>
        <v/>
      </c>
      <c r="S5473" s="22" t="str">
        <f>IF(C5473="","",C5473&amp;I5473)</f>
        <v/>
      </c>
      <c r="T5473" t="str">
        <f>IF(OR(C5473="",I5473&lt;&gt;"ENTRADA"),"",TEXT(B5473,"AAMMDD")&amp;"-"&amp;TEXT(VALUE(SUBSTITUTE(A5473,"MOV-","")),"000"))</f>
        <v/>
      </c>
    </row>
    <row r="5474" spans="18:20">
      <c r="R5474" s="22" t="str">
        <f>IF(H5474="","",H5474&amp;I5474)</f>
        <v/>
      </c>
      <c r="S5474" s="22" t="str">
        <f>IF(C5474="","",C5474&amp;I5474)</f>
        <v/>
      </c>
      <c r="T5474" t="str">
        <f>IF(OR(C5474="",I5474&lt;&gt;"ENTRADA"),"",TEXT(B5474,"AAMMDD")&amp;"-"&amp;TEXT(VALUE(SUBSTITUTE(A5474,"MOV-","")),"000"))</f>
        <v/>
      </c>
    </row>
    <row r="5475" spans="18:20">
      <c r="R5475" s="22" t="str">
        <f>IF(H5475="","",H5475&amp;I5475)</f>
        <v/>
      </c>
      <c r="S5475" s="22" t="str">
        <f>IF(C5475="","",C5475&amp;I5475)</f>
        <v/>
      </c>
      <c r="T5475" t="str">
        <f>IF(OR(C5475="",I5475&lt;&gt;"ENTRADA"),"",TEXT(B5475,"AAMMDD")&amp;"-"&amp;TEXT(VALUE(SUBSTITUTE(A5475,"MOV-","")),"000"))</f>
        <v/>
      </c>
    </row>
    <row r="5476" spans="18:20">
      <c r="R5476" s="22" t="str">
        <f>IF(H5476="","",H5476&amp;I5476)</f>
        <v/>
      </c>
      <c r="S5476" s="22" t="str">
        <f>IF(C5476="","",C5476&amp;I5476)</f>
        <v/>
      </c>
      <c r="T5476" t="str">
        <f>IF(OR(C5476="",I5476&lt;&gt;"ENTRADA"),"",TEXT(B5476,"AAMMDD")&amp;"-"&amp;TEXT(VALUE(SUBSTITUTE(A5476,"MOV-","")),"000"))</f>
        <v/>
      </c>
    </row>
    <row r="5477" spans="18:20">
      <c r="R5477" s="22" t="str">
        <f>IF(H5477="","",H5477&amp;I5477)</f>
        <v/>
      </c>
      <c r="S5477" s="22" t="str">
        <f>IF(C5477="","",C5477&amp;I5477)</f>
        <v/>
      </c>
      <c r="T5477" t="str">
        <f>IF(OR(C5477="",I5477&lt;&gt;"ENTRADA"),"",TEXT(B5477,"AAMMDD")&amp;"-"&amp;TEXT(VALUE(SUBSTITUTE(A5477,"MOV-","")),"000"))</f>
        <v/>
      </c>
    </row>
    <row r="5478" spans="18:20">
      <c r="R5478" s="22" t="str">
        <f>IF(H5478="","",H5478&amp;I5478)</f>
        <v/>
      </c>
      <c r="S5478" s="22" t="str">
        <f>IF(C5478="","",C5478&amp;I5478)</f>
        <v/>
      </c>
      <c r="T5478" t="str">
        <f>IF(OR(C5478="",I5478&lt;&gt;"ENTRADA"),"",TEXT(B5478,"AAMMDD")&amp;"-"&amp;TEXT(VALUE(SUBSTITUTE(A5478,"MOV-","")),"000"))</f>
        <v/>
      </c>
    </row>
    <row r="5479" spans="18:20">
      <c r="R5479" s="22" t="str">
        <f>IF(H5479="","",H5479&amp;I5479)</f>
        <v/>
      </c>
      <c r="S5479" s="22" t="str">
        <f>IF(C5479="","",C5479&amp;I5479)</f>
        <v/>
      </c>
      <c r="T5479" t="str">
        <f>IF(OR(C5479="",I5479&lt;&gt;"ENTRADA"),"",TEXT(B5479,"AAMMDD")&amp;"-"&amp;TEXT(VALUE(SUBSTITUTE(A5479,"MOV-","")),"000"))</f>
        <v/>
      </c>
    </row>
    <row r="5480" spans="18:20">
      <c r="R5480" s="22" t="str">
        <f>IF(H5480="","",H5480&amp;I5480)</f>
        <v/>
      </c>
      <c r="S5480" s="22" t="str">
        <f>IF(C5480="","",C5480&amp;I5480)</f>
        <v/>
      </c>
      <c r="T5480" t="str">
        <f>IF(OR(C5480="",I5480&lt;&gt;"ENTRADA"),"",TEXT(B5480,"AAMMDD")&amp;"-"&amp;TEXT(VALUE(SUBSTITUTE(A5480,"MOV-","")),"000"))</f>
        <v/>
      </c>
    </row>
    <row r="5481" spans="18:20">
      <c r="R5481" s="22" t="str">
        <f>IF(H5481="","",H5481&amp;I5481)</f>
        <v/>
      </c>
      <c r="S5481" s="22" t="str">
        <f>IF(C5481="","",C5481&amp;I5481)</f>
        <v/>
      </c>
      <c r="T5481" t="str">
        <f>IF(OR(C5481="",I5481&lt;&gt;"ENTRADA"),"",TEXT(B5481,"AAMMDD")&amp;"-"&amp;TEXT(VALUE(SUBSTITUTE(A5481,"MOV-","")),"000"))</f>
        <v/>
      </c>
    </row>
    <row r="5482" spans="18:20">
      <c r="R5482" s="22" t="str">
        <f>IF(H5482="","",H5482&amp;I5482)</f>
        <v/>
      </c>
      <c r="S5482" s="22" t="str">
        <f>IF(C5482="","",C5482&amp;I5482)</f>
        <v/>
      </c>
      <c r="T5482" t="str">
        <f>IF(OR(C5482="",I5482&lt;&gt;"ENTRADA"),"",TEXT(B5482,"AAMMDD")&amp;"-"&amp;TEXT(VALUE(SUBSTITUTE(A5482,"MOV-","")),"000"))</f>
        <v/>
      </c>
    </row>
    <row r="5483" spans="18:20">
      <c r="R5483" s="22" t="str">
        <f>IF(H5483="","",H5483&amp;I5483)</f>
        <v/>
      </c>
      <c r="S5483" s="22" t="str">
        <f>IF(C5483="","",C5483&amp;I5483)</f>
        <v/>
      </c>
      <c r="T5483" t="str">
        <f>IF(OR(C5483="",I5483&lt;&gt;"ENTRADA"),"",TEXT(B5483,"AAMMDD")&amp;"-"&amp;TEXT(VALUE(SUBSTITUTE(A5483,"MOV-","")),"000"))</f>
        <v/>
      </c>
    </row>
    <row r="5484" spans="18:20">
      <c r="R5484" s="22" t="str">
        <f>IF(H5484="","",H5484&amp;I5484)</f>
        <v/>
      </c>
      <c r="S5484" s="22" t="str">
        <f>IF(C5484="","",C5484&amp;I5484)</f>
        <v/>
      </c>
      <c r="T5484" t="str">
        <f>IF(OR(C5484="",I5484&lt;&gt;"ENTRADA"),"",TEXT(B5484,"AAMMDD")&amp;"-"&amp;TEXT(VALUE(SUBSTITUTE(A5484,"MOV-","")),"000"))</f>
        <v/>
      </c>
    </row>
    <row r="5485" spans="18:20">
      <c r="R5485" s="22" t="str">
        <f>IF(H5485="","",H5485&amp;I5485)</f>
        <v/>
      </c>
      <c r="S5485" s="22" t="str">
        <f>IF(C5485="","",C5485&amp;I5485)</f>
        <v/>
      </c>
      <c r="T5485" t="str">
        <f>IF(OR(C5485="",I5485&lt;&gt;"ENTRADA"),"",TEXT(B5485,"AAMMDD")&amp;"-"&amp;TEXT(VALUE(SUBSTITUTE(A5485,"MOV-","")),"000"))</f>
        <v/>
      </c>
    </row>
    <row r="5486" spans="18:20">
      <c r="R5486" s="22" t="str">
        <f>IF(H5486="","",H5486&amp;I5486)</f>
        <v/>
      </c>
      <c r="S5486" s="22" t="str">
        <f>IF(C5486="","",C5486&amp;I5486)</f>
        <v/>
      </c>
      <c r="T5486" t="str">
        <f>IF(OR(C5486="",I5486&lt;&gt;"ENTRADA"),"",TEXT(B5486,"AAMMDD")&amp;"-"&amp;TEXT(VALUE(SUBSTITUTE(A5486,"MOV-","")),"000"))</f>
        <v/>
      </c>
    </row>
    <row r="5487" spans="18:20">
      <c r="R5487" s="22" t="str">
        <f>IF(H5487="","",H5487&amp;I5487)</f>
        <v/>
      </c>
      <c r="S5487" s="22" t="str">
        <f>IF(C5487="","",C5487&amp;I5487)</f>
        <v/>
      </c>
      <c r="T5487" t="str">
        <f>IF(OR(C5487="",I5487&lt;&gt;"ENTRADA"),"",TEXT(B5487,"AAMMDD")&amp;"-"&amp;TEXT(VALUE(SUBSTITUTE(A5487,"MOV-","")),"000"))</f>
        <v/>
      </c>
    </row>
    <row r="5488" spans="18:20">
      <c r="R5488" s="22" t="str">
        <f>IF(H5488="","",H5488&amp;I5488)</f>
        <v/>
      </c>
      <c r="S5488" s="22" t="str">
        <f>IF(C5488="","",C5488&amp;I5488)</f>
        <v/>
      </c>
      <c r="T5488" t="str">
        <f>IF(OR(C5488="",I5488&lt;&gt;"ENTRADA"),"",TEXT(B5488,"AAMMDD")&amp;"-"&amp;TEXT(VALUE(SUBSTITUTE(A5488,"MOV-","")),"000"))</f>
        <v/>
      </c>
    </row>
    <row r="5489" spans="18:20">
      <c r="R5489" s="22" t="str">
        <f>IF(H5489="","",H5489&amp;I5489)</f>
        <v/>
      </c>
      <c r="S5489" s="22" t="str">
        <f>IF(C5489="","",C5489&amp;I5489)</f>
        <v/>
      </c>
      <c r="T5489" t="str">
        <f>IF(OR(C5489="",I5489&lt;&gt;"ENTRADA"),"",TEXT(B5489,"AAMMDD")&amp;"-"&amp;TEXT(VALUE(SUBSTITUTE(A5489,"MOV-","")),"000"))</f>
        <v/>
      </c>
    </row>
    <row r="5490" spans="18:20">
      <c r="R5490" s="22" t="str">
        <f>IF(H5490="","",H5490&amp;I5490)</f>
        <v/>
      </c>
      <c r="S5490" s="22" t="str">
        <f>IF(C5490="","",C5490&amp;I5490)</f>
        <v/>
      </c>
      <c r="T5490" t="str">
        <f>IF(OR(C5490="",I5490&lt;&gt;"ENTRADA"),"",TEXT(B5490,"AAMMDD")&amp;"-"&amp;TEXT(VALUE(SUBSTITUTE(A5490,"MOV-","")),"000"))</f>
        <v/>
      </c>
    </row>
    <row r="5491" spans="18:20">
      <c r="R5491" s="22" t="str">
        <f>IF(H5491="","",H5491&amp;I5491)</f>
        <v/>
      </c>
      <c r="S5491" s="22" t="str">
        <f>IF(C5491="","",C5491&amp;I5491)</f>
        <v/>
      </c>
      <c r="T5491" t="str">
        <f>IF(OR(C5491="",I5491&lt;&gt;"ENTRADA"),"",TEXT(B5491,"AAMMDD")&amp;"-"&amp;TEXT(VALUE(SUBSTITUTE(A5491,"MOV-","")),"000"))</f>
        <v/>
      </c>
    </row>
    <row r="5492" spans="18:20">
      <c r="R5492" s="22" t="str">
        <f>IF(H5492="","",H5492&amp;I5492)</f>
        <v/>
      </c>
      <c r="S5492" s="22" t="str">
        <f>IF(C5492="","",C5492&amp;I5492)</f>
        <v/>
      </c>
      <c r="T5492" t="str">
        <f>IF(OR(C5492="",I5492&lt;&gt;"ENTRADA"),"",TEXT(B5492,"AAMMDD")&amp;"-"&amp;TEXT(VALUE(SUBSTITUTE(A5492,"MOV-","")),"000"))</f>
        <v/>
      </c>
    </row>
    <row r="5493" spans="18:20">
      <c r="R5493" s="22" t="str">
        <f>IF(H5493="","",H5493&amp;I5493)</f>
        <v/>
      </c>
      <c r="S5493" s="22" t="str">
        <f>IF(C5493="","",C5493&amp;I5493)</f>
        <v/>
      </c>
      <c r="T5493" t="str">
        <f>IF(OR(C5493="",I5493&lt;&gt;"ENTRADA"),"",TEXT(B5493,"AAMMDD")&amp;"-"&amp;TEXT(VALUE(SUBSTITUTE(A5493,"MOV-","")),"000"))</f>
        <v/>
      </c>
    </row>
    <row r="5494" spans="18:20">
      <c r="R5494" s="22" t="str">
        <f>IF(H5494="","",H5494&amp;I5494)</f>
        <v/>
      </c>
      <c r="S5494" s="22" t="str">
        <f>IF(C5494="","",C5494&amp;I5494)</f>
        <v/>
      </c>
      <c r="T5494" t="str">
        <f>IF(OR(C5494="",I5494&lt;&gt;"ENTRADA"),"",TEXT(B5494,"AAMMDD")&amp;"-"&amp;TEXT(VALUE(SUBSTITUTE(A5494,"MOV-","")),"000"))</f>
        <v/>
      </c>
    </row>
    <row r="5495" spans="18:20">
      <c r="R5495" s="22" t="str">
        <f>IF(H5495="","",H5495&amp;I5495)</f>
        <v/>
      </c>
      <c r="S5495" s="22" t="str">
        <f>IF(C5495="","",C5495&amp;I5495)</f>
        <v/>
      </c>
      <c r="T5495" t="str">
        <f>IF(OR(C5495="",I5495&lt;&gt;"ENTRADA"),"",TEXT(B5495,"AAMMDD")&amp;"-"&amp;TEXT(VALUE(SUBSTITUTE(A5495,"MOV-","")),"000"))</f>
        <v/>
      </c>
    </row>
    <row r="5496" spans="18:20">
      <c r="R5496" s="22" t="str">
        <f>IF(H5496="","",H5496&amp;I5496)</f>
        <v/>
      </c>
      <c r="S5496" s="22" t="str">
        <f>IF(C5496="","",C5496&amp;I5496)</f>
        <v/>
      </c>
      <c r="T5496" t="str">
        <f>IF(OR(C5496="",I5496&lt;&gt;"ENTRADA"),"",TEXT(B5496,"AAMMDD")&amp;"-"&amp;TEXT(VALUE(SUBSTITUTE(A5496,"MOV-","")),"000"))</f>
        <v/>
      </c>
    </row>
    <row r="5497" spans="18:20">
      <c r="R5497" s="22" t="str">
        <f>IF(H5497="","",H5497&amp;I5497)</f>
        <v/>
      </c>
      <c r="S5497" s="22" t="str">
        <f>IF(C5497="","",C5497&amp;I5497)</f>
        <v/>
      </c>
      <c r="T5497" t="str">
        <f>IF(OR(C5497="",I5497&lt;&gt;"ENTRADA"),"",TEXT(B5497,"AAMMDD")&amp;"-"&amp;TEXT(VALUE(SUBSTITUTE(A5497,"MOV-","")),"000"))</f>
        <v/>
      </c>
    </row>
    <row r="5498" spans="18:20">
      <c r="R5498" s="22" t="str">
        <f>IF(H5498="","",H5498&amp;I5498)</f>
        <v/>
      </c>
      <c r="S5498" s="22" t="str">
        <f>IF(C5498="","",C5498&amp;I5498)</f>
        <v/>
      </c>
      <c r="T5498" t="str">
        <f>IF(OR(C5498="",I5498&lt;&gt;"ENTRADA"),"",TEXT(B5498,"AAMMDD")&amp;"-"&amp;TEXT(VALUE(SUBSTITUTE(A5498,"MOV-","")),"000"))</f>
        <v/>
      </c>
    </row>
    <row r="5499" spans="18:20">
      <c r="R5499" s="22" t="str">
        <f>IF(H5499="","",H5499&amp;I5499)</f>
        <v/>
      </c>
      <c r="S5499" s="22" t="str">
        <f>IF(C5499="","",C5499&amp;I5499)</f>
        <v/>
      </c>
      <c r="T5499" t="str">
        <f>IF(OR(C5499="",I5499&lt;&gt;"ENTRADA"),"",TEXT(B5499,"AAMMDD")&amp;"-"&amp;TEXT(VALUE(SUBSTITUTE(A5499,"MOV-","")),"000"))</f>
        <v/>
      </c>
    </row>
    <row r="5500" spans="18:20">
      <c r="R5500" s="22" t="str">
        <f>IF(H5500="","",H5500&amp;I5500)</f>
        <v/>
      </c>
      <c r="S5500" s="22" t="str">
        <f>IF(C5500="","",C5500&amp;I5500)</f>
        <v/>
      </c>
      <c r="T5500" t="str">
        <f>IF(OR(C5500="",I5500&lt;&gt;"ENTRADA"),"",TEXT(B5500,"AAMMDD")&amp;"-"&amp;TEXT(VALUE(SUBSTITUTE(A5500,"MOV-","")),"000"))</f>
        <v/>
      </c>
    </row>
    <row r="5501" spans="18:20">
      <c r="R5501" s="22" t="str">
        <f>IF(H5501="","",H5501&amp;I5501)</f>
        <v/>
      </c>
      <c r="S5501" s="22" t="str">
        <f>IF(C5501="","",C5501&amp;I5501)</f>
        <v/>
      </c>
      <c r="T5501" t="str">
        <f>IF(OR(C5501="",I5501&lt;&gt;"ENTRADA"),"",TEXT(B5501,"AAMMDD")&amp;"-"&amp;TEXT(VALUE(SUBSTITUTE(A5501,"MOV-","")),"000"))</f>
        <v/>
      </c>
    </row>
    <row r="5502" spans="18:20">
      <c r="R5502" s="22" t="str">
        <f>IF(H5502="","",H5502&amp;I5502)</f>
        <v/>
      </c>
      <c r="S5502" s="22" t="str">
        <f>IF(C5502="","",C5502&amp;I5502)</f>
        <v/>
      </c>
      <c r="T5502" t="str">
        <f>IF(OR(C5502="",I5502&lt;&gt;"ENTRADA"),"",TEXT(B5502,"AAMMDD")&amp;"-"&amp;TEXT(VALUE(SUBSTITUTE(A5502,"MOV-","")),"000"))</f>
        <v/>
      </c>
    </row>
    <row r="5503" spans="18:20">
      <c r="R5503" s="22" t="str">
        <f>IF(H5503="","",H5503&amp;I5503)</f>
        <v/>
      </c>
      <c r="S5503" s="22" t="str">
        <f>IF(C5503="","",C5503&amp;I5503)</f>
        <v/>
      </c>
      <c r="T5503" t="str">
        <f>IF(OR(C5503="",I5503&lt;&gt;"ENTRADA"),"",TEXT(B5503,"AAMMDD")&amp;"-"&amp;TEXT(VALUE(SUBSTITUTE(A5503,"MOV-","")),"000"))</f>
        <v/>
      </c>
    </row>
    <row r="5504" spans="18:20">
      <c r="R5504" s="22" t="str">
        <f>IF(H5504="","",H5504&amp;I5504)</f>
        <v/>
      </c>
      <c r="S5504" s="22" t="str">
        <f>IF(C5504="","",C5504&amp;I5504)</f>
        <v/>
      </c>
      <c r="T5504" t="str">
        <f>IF(OR(C5504="",I5504&lt;&gt;"ENTRADA"),"",TEXT(B5504,"AAMMDD")&amp;"-"&amp;TEXT(VALUE(SUBSTITUTE(A5504,"MOV-","")),"000"))</f>
        <v/>
      </c>
    </row>
    <row r="5505" spans="18:20">
      <c r="R5505" s="22" t="str">
        <f>IF(H5505="","",H5505&amp;I5505)</f>
        <v/>
      </c>
      <c r="S5505" s="22" t="str">
        <f>IF(C5505="","",C5505&amp;I5505)</f>
        <v/>
      </c>
      <c r="T5505" t="str">
        <f>IF(OR(C5505="",I5505&lt;&gt;"ENTRADA"),"",TEXT(B5505,"AAMMDD")&amp;"-"&amp;TEXT(VALUE(SUBSTITUTE(A5505,"MOV-","")),"000"))</f>
        <v/>
      </c>
    </row>
    <row r="5506" spans="18:20">
      <c r="R5506" s="22" t="str">
        <f>IF(H5506="","",H5506&amp;I5506)</f>
        <v/>
      </c>
      <c r="S5506" s="22" t="str">
        <f>IF(C5506="","",C5506&amp;I5506)</f>
        <v/>
      </c>
      <c r="T5506" t="str">
        <f>IF(OR(C5506="",I5506&lt;&gt;"ENTRADA"),"",TEXT(B5506,"AAMMDD")&amp;"-"&amp;TEXT(VALUE(SUBSTITUTE(A5506,"MOV-","")),"000"))</f>
        <v/>
      </c>
    </row>
    <row r="5507" spans="18:20">
      <c r="R5507" s="22" t="str">
        <f>IF(H5507="","",H5507&amp;I5507)</f>
        <v/>
      </c>
      <c r="S5507" s="22" t="str">
        <f>IF(C5507="","",C5507&amp;I5507)</f>
        <v/>
      </c>
      <c r="T5507" t="str">
        <f>IF(OR(C5507="",I5507&lt;&gt;"ENTRADA"),"",TEXT(B5507,"AAMMDD")&amp;"-"&amp;TEXT(VALUE(SUBSTITUTE(A5507,"MOV-","")),"000"))</f>
        <v/>
      </c>
    </row>
    <row r="5508" spans="18:20">
      <c r="R5508" s="22" t="str">
        <f>IF(H5508="","",H5508&amp;I5508)</f>
        <v/>
      </c>
      <c r="S5508" s="22" t="str">
        <f>IF(C5508="","",C5508&amp;I5508)</f>
        <v/>
      </c>
      <c r="T5508" t="str">
        <f>IF(OR(C5508="",I5508&lt;&gt;"ENTRADA"),"",TEXT(B5508,"AAMMDD")&amp;"-"&amp;TEXT(VALUE(SUBSTITUTE(A5508,"MOV-","")),"000"))</f>
        <v/>
      </c>
    </row>
    <row r="5509" spans="18:20">
      <c r="R5509" s="22" t="str">
        <f>IF(H5509="","",H5509&amp;I5509)</f>
        <v/>
      </c>
      <c r="S5509" s="22" t="str">
        <f>IF(C5509="","",C5509&amp;I5509)</f>
        <v/>
      </c>
      <c r="T5509" t="str">
        <f>IF(OR(C5509="",I5509&lt;&gt;"ENTRADA"),"",TEXT(B5509,"AAMMDD")&amp;"-"&amp;TEXT(VALUE(SUBSTITUTE(A5509,"MOV-","")),"000"))</f>
        <v/>
      </c>
    </row>
    <row r="5510" spans="18:20">
      <c r="R5510" s="22" t="str">
        <f>IF(H5510="","",H5510&amp;I5510)</f>
        <v/>
      </c>
      <c r="S5510" s="22" t="str">
        <f>IF(C5510="","",C5510&amp;I5510)</f>
        <v/>
      </c>
      <c r="T5510" t="str">
        <f>IF(OR(C5510="",I5510&lt;&gt;"ENTRADA"),"",TEXT(B5510,"AAMMDD")&amp;"-"&amp;TEXT(VALUE(SUBSTITUTE(A5510,"MOV-","")),"000"))</f>
        <v/>
      </c>
    </row>
    <row r="5511" spans="18:20">
      <c r="R5511" s="22" t="str">
        <f>IF(H5511="","",H5511&amp;I5511)</f>
        <v/>
      </c>
      <c r="S5511" s="22" t="str">
        <f>IF(C5511="","",C5511&amp;I5511)</f>
        <v/>
      </c>
      <c r="T5511" t="str">
        <f>IF(OR(C5511="",I5511&lt;&gt;"ENTRADA"),"",TEXT(B5511,"AAMMDD")&amp;"-"&amp;TEXT(VALUE(SUBSTITUTE(A5511,"MOV-","")),"000"))</f>
        <v/>
      </c>
    </row>
    <row r="5512" spans="18:20">
      <c r="R5512" s="22" t="str">
        <f>IF(H5512="","",H5512&amp;I5512)</f>
        <v/>
      </c>
      <c r="S5512" s="22" t="str">
        <f>IF(C5512="","",C5512&amp;I5512)</f>
        <v/>
      </c>
      <c r="T5512" t="str">
        <f>IF(OR(C5512="",I5512&lt;&gt;"ENTRADA"),"",TEXT(B5512,"AAMMDD")&amp;"-"&amp;TEXT(VALUE(SUBSTITUTE(A5512,"MOV-","")),"000"))</f>
        <v/>
      </c>
    </row>
    <row r="5513" spans="18:20">
      <c r="R5513" s="22" t="str">
        <f>IF(H5513="","",H5513&amp;I5513)</f>
        <v/>
      </c>
      <c r="S5513" s="22" t="str">
        <f>IF(C5513="","",C5513&amp;I5513)</f>
        <v/>
      </c>
      <c r="T5513" t="str">
        <f>IF(OR(C5513="",I5513&lt;&gt;"ENTRADA"),"",TEXT(B5513,"AAMMDD")&amp;"-"&amp;TEXT(VALUE(SUBSTITUTE(A5513,"MOV-","")),"000"))</f>
        <v/>
      </c>
    </row>
    <row r="5514" spans="18:20">
      <c r="R5514" s="22" t="str">
        <f>IF(H5514="","",H5514&amp;I5514)</f>
        <v/>
      </c>
      <c r="S5514" s="22" t="str">
        <f>IF(C5514="","",C5514&amp;I5514)</f>
        <v/>
      </c>
      <c r="T5514" t="str">
        <f>IF(OR(C5514="",I5514&lt;&gt;"ENTRADA"),"",TEXT(B5514,"AAMMDD")&amp;"-"&amp;TEXT(VALUE(SUBSTITUTE(A5514,"MOV-","")),"000"))</f>
        <v/>
      </c>
    </row>
    <row r="5515" spans="18:20">
      <c r="R5515" s="22" t="str">
        <f>IF(H5515="","",H5515&amp;I5515)</f>
        <v/>
      </c>
      <c r="S5515" s="22" t="str">
        <f>IF(C5515="","",C5515&amp;I5515)</f>
        <v/>
      </c>
      <c r="T5515" t="str">
        <f>IF(OR(C5515="",I5515&lt;&gt;"ENTRADA"),"",TEXT(B5515,"AAMMDD")&amp;"-"&amp;TEXT(VALUE(SUBSTITUTE(A5515,"MOV-","")),"000"))</f>
        <v/>
      </c>
    </row>
    <row r="5516" spans="18:20">
      <c r="R5516" s="22" t="str">
        <f>IF(H5516="","",H5516&amp;I5516)</f>
        <v/>
      </c>
      <c r="S5516" s="22" t="str">
        <f>IF(C5516="","",C5516&amp;I5516)</f>
        <v/>
      </c>
      <c r="T5516" t="str">
        <f>IF(OR(C5516="",I5516&lt;&gt;"ENTRADA"),"",TEXT(B5516,"AAMMDD")&amp;"-"&amp;TEXT(VALUE(SUBSTITUTE(A5516,"MOV-","")),"000"))</f>
        <v/>
      </c>
    </row>
    <row r="5517" spans="18:20">
      <c r="R5517" s="22" t="str">
        <f>IF(H5517="","",H5517&amp;I5517)</f>
        <v/>
      </c>
      <c r="S5517" s="22" t="str">
        <f>IF(C5517="","",C5517&amp;I5517)</f>
        <v/>
      </c>
      <c r="T5517" t="str">
        <f>IF(OR(C5517="",I5517&lt;&gt;"ENTRADA"),"",TEXT(B5517,"AAMMDD")&amp;"-"&amp;TEXT(VALUE(SUBSTITUTE(A5517,"MOV-","")),"000"))</f>
        <v/>
      </c>
    </row>
    <row r="5518" spans="18:20">
      <c r="R5518" s="22" t="str">
        <f>IF(H5518="","",H5518&amp;I5518)</f>
        <v/>
      </c>
      <c r="S5518" s="22" t="str">
        <f>IF(C5518="","",C5518&amp;I5518)</f>
        <v/>
      </c>
      <c r="T5518" t="str">
        <f>IF(OR(C5518="",I5518&lt;&gt;"ENTRADA"),"",TEXT(B5518,"AAMMDD")&amp;"-"&amp;TEXT(VALUE(SUBSTITUTE(A5518,"MOV-","")),"000"))</f>
        <v/>
      </c>
    </row>
    <row r="5519" spans="18:20">
      <c r="R5519" s="22" t="str">
        <f>IF(H5519="","",H5519&amp;I5519)</f>
        <v/>
      </c>
      <c r="S5519" s="22" t="str">
        <f>IF(C5519="","",C5519&amp;I5519)</f>
        <v/>
      </c>
      <c r="T5519" t="str">
        <f>IF(OR(C5519="",I5519&lt;&gt;"ENTRADA"),"",TEXT(B5519,"AAMMDD")&amp;"-"&amp;TEXT(VALUE(SUBSTITUTE(A5519,"MOV-","")),"000"))</f>
        <v/>
      </c>
    </row>
    <row r="5520" spans="18:20">
      <c r="R5520" s="22" t="str">
        <f>IF(H5520="","",H5520&amp;I5520)</f>
        <v/>
      </c>
      <c r="S5520" s="22" t="str">
        <f>IF(C5520="","",C5520&amp;I5520)</f>
        <v/>
      </c>
      <c r="T5520" t="str">
        <f>IF(OR(C5520="",I5520&lt;&gt;"ENTRADA"),"",TEXT(B5520,"AAMMDD")&amp;"-"&amp;TEXT(VALUE(SUBSTITUTE(A5520,"MOV-","")),"000"))</f>
        <v/>
      </c>
    </row>
    <row r="5521" spans="18:20">
      <c r="R5521" s="22" t="str">
        <f>IF(H5521="","",H5521&amp;I5521)</f>
        <v/>
      </c>
      <c r="S5521" s="22" t="str">
        <f>IF(C5521="","",C5521&amp;I5521)</f>
        <v/>
      </c>
      <c r="T5521" t="str">
        <f>IF(OR(C5521="",I5521&lt;&gt;"ENTRADA"),"",TEXT(B5521,"AAMMDD")&amp;"-"&amp;TEXT(VALUE(SUBSTITUTE(A5521,"MOV-","")),"000"))</f>
        <v/>
      </c>
    </row>
    <row r="5522" spans="18:20">
      <c r="R5522" s="22" t="str">
        <f>IF(H5522="","",H5522&amp;I5522)</f>
        <v/>
      </c>
      <c r="S5522" s="22" t="str">
        <f>IF(C5522="","",C5522&amp;I5522)</f>
        <v/>
      </c>
      <c r="T5522" t="str">
        <f>IF(OR(C5522="",I5522&lt;&gt;"ENTRADA"),"",TEXT(B5522,"AAMMDD")&amp;"-"&amp;TEXT(VALUE(SUBSTITUTE(A5522,"MOV-","")),"000"))</f>
        <v/>
      </c>
    </row>
    <row r="5523" spans="18:20">
      <c r="R5523" s="22" t="str">
        <f>IF(H5523="","",H5523&amp;I5523)</f>
        <v/>
      </c>
      <c r="S5523" s="22" t="str">
        <f>IF(C5523="","",C5523&amp;I5523)</f>
        <v/>
      </c>
      <c r="T5523" t="str">
        <f>IF(OR(C5523="",I5523&lt;&gt;"ENTRADA"),"",TEXT(B5523,"AAMMDD")&amp;"-"&amp;TEXT(VALUE(SUBSTITUTE(A5523,"MOV-","")),"000"))</f>
        <v/>
      </c>
    </row>
    <row r="5524" spans="18:20">
      <c r="R5524" s="22" t="str">
        <f>IF(H5524="","",H5524&amp;I5524)</f>
        <v/>
      </c>
      <c r="S5524" s="22" t="str">
        <f>IF(C5524="","",C5524&amp;I5524)</f>
        <v/>
      </c>
      <c r="T5524" t="str">
        <f>IF(OR(C5524="",I5524&lt;&gt;"ENTRADA"),"",TEXT(B5524,"AAMMDD")&amp;"-"&amp;TEXT(VALUE(SUBSTITUTE(A5524,"MOV-","")),"000"))</f>
        <v/>
      </c>
    </row>
    <row r="5525" spans="18:20">
      <c r="R5525" s="22" t="str">
        <f>IF(H5525="","",H5525&amp;I5525)</f>
        <v/>
      </c>
      <c r="S5525" s="22" t="str">
        <f>IF(C5525="","",C5525&amp;I5525)</f>
        <v/>
      </c>
      <c r="T5525" t="str">
        <f>IF(OR(C5525="",I5525&lt;&gt;"ENTRADA"),"",TEXT(B5525,"AAMMDD")&amp;"-"&amp;TEXT(VALUE(SUBSTITUTE(A5525,"MOV-","")),"000"))</f>
        <v/>
      </c>
    </row>
    <row r="5526" spans="18:20">
      <c r="R5526" s="22" t="str">
        <f>IF(H5526="","",H5526&amp;I5526)</f>
        <v/>
      </c>
      <c r="S5526" s="22" t="str">
        <f>IF(C5526="","",C5526&amp;I5526)</f>
        <v/>
      </c>
      <c r="T5526" t="str">
        <f>IF(OR(C5526="",I5526&lt;&gt;"ENTRADA"),"",TEXT(B5526,"AAMMDD")&amp;"-"&amp;TEXT(VALUE(SUBSTITUTE(A5526,"MOV-","")),"000"))</f>
        <v/>
      </c>
    </row>
    <row r="5527" spans="18:20">
      <c r="R5527" s="22" t="str">
        <f>IF(H5527="","",H5527&amp;I5527)</f>
        <v/>
      </c>
      <c r="S5527" s="22" t="str">
        <f>IF(C5527="","",C5527&amp;I5527)</f>
        <v/>
      </c>
      <c r="T5527" t="str">
        <f>IF(OR(C5527="",I5527&lt;&gt;"ENTRADA"),"",TEXT(B5527,"AAMMDD")&amp;"-"&amp;TEXT(VALUE(SUBSTITUTE(A5527,"MOV-","")),"000"))</f>
        <v/>
      </c>
    </row>
    <row r="5528" spans="18:20">
      <c r="R5528" s="22" t="str">
        <f>IF(H5528="","",H5528&amp;I5528)</f>
        <v/>
      </c>
      <c r="S5528" s="22" t="str">
        <f>IF(C5528="","",C5528&amp;I5528)</f>
        <v/>
      </c>
      <c r="T5528" t="str">
        <f>IF(OR(C5528="",I5528&lt;&gt;"ENTRADA"),"",TEXT(B5528,"AAMMDD")&amp;"-"&amp;TEXT(VALUE(SUBSTITUTE(A5528,"MOV-","")),"000"))</f>
        <v/>
      </c>
    </row>
    <row r="5529" spans="18:20">
      <c r="R5529" s="22" t="str">
        <f>IF(H5529="","",H5529&amp;I5529)</f>
        <v/>
      </c>
      <c r="S5529" s="22" t="str">
        <f>IF(C5529="","",C5529&amp;I5529)</f>
        <v/>
      </c>
      <c r="T5529" t="str">
        <f>IF(OR(C5529="",I5529&lt;&gt;"ENTRADA"),"",TEXT(B5529,"AAMMDD")&amp;"-"&amp;TEXT(VALUE(SUBSTITUTE(A5529,"MOV-","")),"000"))</f>
        <v/>
      </c>
    </row>
    <row r="5530" spans="18:20">
      <c r="R5530" s="22" t="str">
        <f>IF(H5530="","",H5530&amp;I5530)</f>
        <v/>
      </c>
      <c r="S5530" s="22" t="str">
        <f>IF(C5530="","",C5530&amp;I5530)</f>
        <v/>
      </c>
      <c r="T5530" t="str">
        <f>IF(OR(C5530="",I5530&lt;&gt;"ENTRADA"),"",TEXT(B5530,"AAMMDD")&amp;"-"&amp;TEXT(VALUE(SUBSTITUTE(A5530,"MOV-","")),"000"))</f>
        <v/>
      </c>
    </row>
    <row r="5531" spans="18:20">
      <c r="R5531" s="22" t="str">
        <f>IF(H5531="","",H5531&amp;I5531)</f>
        <v/>
      </c>
      <c r="S5531" s="22" t="str">
        <f>IF(C5531="","",C5531&amp;I5531)</f>
        <v/>
      </c>
      <c r="T5531" t="str">
        <f>IF(OR(C5531="",I5531&lt;&gt;"ENTRADA"),"",TEXT(B5531,"AAMMDD")&amp;"-"&amp;TEXT(VALUE(SUBSTITUTE(A5531,"MOV-","")),"000"))</f>
        <v/>
      </c>
    </row>
    <row r="5532" spans="18:20">
      <c r="R5532" s="22" t="str">
        <f>IF(H5532="","",H5532&amp;I5532)</f>
        <v/>
      </c>
      <c r="S5532" s="22" t="str">
        <f>IF(C5532="","",C5532&amp;I5532)</f>
        <v/>
      </c>
      <c r="T5532" t="str">
        <f>IF(OR(C5532="",I5532&lt;&gt;"ENTRADA"),"",TEXT(B5532,"AAMMDD")&amp;"-"&amp;TEXT(VALUE(SUBSTITUTE(A5532,"MOV-","")),"000"))</f>
        <v/>
      </c>
    </row>
    <row r="5533" spans="18:20">
      <c r="R5533" s="22" t="str">
        <f>IF(H5533="","",H5533&amp;I5533)</f>
        <v/>
      </c>
      <c r="S5533" s="22" t="str">
        <f>IF(C5533="","",C5533&amp;I5533)</f>
        <v/>
      </c>
      <c r="T5533" t="str">
        <f>IF(OR(C5533="",I5533&lt;&gt;"ENTRADA"),"",TEXT(B5533,"AAMMDD")&amp;"-"&amp;TEXT(VALUE(SUBSTITUTE(A5533,"MOV-","")),"000"))</f>
        <v/>
      </c>
    </row>
    <row r="5534" spans="18:20">
      <c r="R5534" s="22" t="str">
        <f>IF(H5534="","",H5534&amp;I5534)</f>
        <v/>
      </c>
      <c r="S5534" s="22" t="str">
        <f>IF(C5534="","",C5534&amp;I5534)</f>
        <v/>
      </c>
      <c r="T5534" t="str">
        <f>IF(OR(C5534="",I5534&lt;&gt;"ENTRADA"),"",TEXT(B5534,"AAMMDD")&amp;"-"&amp;TEXT(VALUE(SUBSTITUTE(A5534,"MOV-","")),"000"))</f>
        <v/>
      </c>
    </row>
    <row r="5535" spans="18:20">
      <c r="R5535" s="22" t="str">
        <f>IF(H5535="","",H5535&amp;I5535)</f>
        <v/>
      </c>
      <c r="S5535" s="22" t="str">
        <f>IF(C5535="","",C5535&amp;I5535)</f>
        <v/>
      </c>
      <c r="T5535" t="str">
        <f>IF(OR(C5535="",I5535&lt;&gt;"ENTRADA"),"",TEXT(B5535,"AAMMDD")&amp;"-"&amp;TEXT(VALUE(SUBSTITUTE(A5535,"MOV-","")),"000"))</f>
        <v/>
      </c>
    </row>
    <row r="5536" spans="18:20">
      <c r="R5536" s="22" t="str">
        <f>IF(H5536="","",H5536&amp;I5536)</f>
        <v/>
      </c>
      <c r="S5536" s="22" t="str">
        <f>IF(C5536="","",C5536&amp;I5536)</f>
        <v/>
      </c>
      <c r="T5536" t="str">
        <f>IF(OR(C5536="",I5536&lt;&gt;"ENTRADA"),"",TEXT(B5536,"AAMMDD")&amp;"-"&amp;TEXT(VALUE(SUBSTITUTE(A5536,"MOV-","")),"000"))</f>
        <v/>
      </c>
    </row>
    <row r="5537" spans="18:20">
      <c r="R5537" s="22" t="str">
        <f>IF(H5537="","",H5537&amp;I5537)</f>
        <v/>
      </c>
      <c r="S5537" s="22" t="str">
        <f>IF(C5537="","",C5537&amp;I5537)</f>
        <v/>
      </c>
      <c r="T5537" t="str">
        <f>IF(OR(C5537="",I5537&lt;&gt;"ENTRADA"),"",TEXT(B5537,"AAMMDD")&amp;"-"&amp;TEXT(VALUE(SUBSTITUTE(A5537,"MOV-","")),"000"))</f>
        <v/>
      </c>
    </row>
    <row r="5538" spans="18:20">
      <c r="R5538" s="22" t="str">
        <f>IF(H5538="","",H5538&amp;I5538)</f>
        <v/>
      </c>
      <c r="S5538" s="22" t="str">
        <f>IF(C5538="","",C5538&amp;I5538)</f>
        <v/>
      </c>
      <c r="T5538" t="str">
        <f>IF(OR(C5538="",I5538&lt;&gt;"ENTRADA"),"",TEXT(B5538,"AAMMDD")&amp;"-"&amp;TEXT(VALUE(SUBSTITUTE(A5538,"MOV-","")),"000"))</f>
        <v/>
      </c>
    </row>
    <row r="5539" spans="18:20">
      <c r="R5539" s="22" t="str">
        <f>IF(H5539="","",H5539&amp;I5539)</f>
        <v/>
      </c>
      <c r="S5539" s="22" t="str">
        <f>IF(C5539="","",C5539&amp;I5539)</f>
        <v/>
      </c>
      <c r="T5539" t="str">
        <f>IF(OR(C5539="",I5539&lt;&gt;"ENTRADA"),"",TEXT(B5539,"AAMMDD")&amp;"-"&amp;TEXT(VALUE(SUBSTITUTE(A5539,"MOV-","")),"000"))</f>
        <v/>
      </c>
    </row>
    <row r="5540" spans="18:20">
      <c r="R5540" s="22" t="str">
        <f>IF(H5540="","",H5540&amp;I5540)</f>
        <v/>
      </c>
      <c r="S5540" s="22" t="str">
        <f>IF(C5540="","",C5540&amp;I5540)</f>
        <v/>
      </c>
      <c r="T5540" t="str">
        <f>IF(OR(C5540="",I5540&lt;&gt;"ENTRADA"),"",TEXT(B5540,"AAMMDD")&amp;"-"&amp;TEXT(VALUE(SUBSTITUTE(A5540,"MOV-","")),"000"))</f>
        <v/>
      </c>
    </row>
    <row r="5541" spans="18:20">
      <c r="R5541" s="22" t="str">
        <f>IF(H5541="","",H5541&amp;I5541)</f>
        <v/>
      </c>
      <c r="S5541" s="22" t="str">
        <f>IF(C5541="","",C5541&amp;I5541)</f>
        <v/>
      </c>
      <c r="T5541" t="str">
        <f>IF(OR(C5541="",I5541&lt;&gt;"ENTRADA"),"",TEXT(B5541,"AAMMDD")&amp;"-"&amp;TEXT(VALUE(SUBSTITUTE(A5541,"MOV-","")),"000"))</f>
        <v/>
      </c>
    </row>
    <row r="5542" spans="18:20">
      <c r="R5542" s="22" t="str">
        <f>IF(H5542="","",H5542&amp;I5542)</f>
        <v/>
      </c>
      <c r="S5542" s="22" t="str">
        <f>IF(C5542="","",C5542&amp;I5542)</f>
        <v/>
      </c>
      <c r="T5542" t="str">
        <f>IF(OR(C5542="",I5542&lt;&gt;"ENTRADA"),"",TEXT(B5542,"AAMMDD")&amp;"-"&amp;TEXT(VALUE(SUBSTITUTE(A5542,"MOV-","")),"000"))</f>
        <v/>
      </c>
    </row>
    <row r="5543" spans="18:20">
      <c r="R5543" s="22" t="str">
        <f>IF(H5543="","",H5543&amp;I5543)</f>
        <v/>
      </c>
      <c r="S5543" s="22" t="str">
        <f>IF(C5543="","",C5543&amp;I5543)</f>
        <v/>
      </c>
      <c r="T5543" t="str">
        <f>IF(OR(C5543="",I5543&lt;&gt;"ENTRADA"),"",TEXT(B5543,"AAMMDD")&amp;"-"&amp;TEXT(VALUE(SUBSTITUTE(A5543,"MOV-","")),"000"))</f>
        <v/>
      </c>
    </row>
    <row r="5544" spans="18:20">
      <c r="R5544" s="22" t="str">
        <f>IF(H5544="","",H5544&amp;I5544)</f>
        <v/>
      </c>
      <c r="S5544" s="22" t="str">
        <f>IF(C5544="","",C5544&amp;I5544)</f>
        <v/>
      </c>
      <c r="T5544" t="str">
        <f>IF(OR(C5544="",I5544&lt;&gt;"ENTRADA"),"",TEXT(B5544,"AAMMDD")&amp;"-"&amp;TEXT(VALUE(SUBSTITUTE(A5544,"MOV-","")),"000"))</f>
        <v/>
      </c>
    </row>
    <row r="5545" spans="18:20">
      <c r="R5545" s="22" t="str">
        <f>IF(H5545="","",H5545&amp;I5545)</f>
        <v/>
      </c>
      <c r="S5545" s="22" t="str">
        <f>IF(C5545="","",C5545&amp;I5545)</f>
        <v/>
      </c>
      <c r="T5545" t="str">
        <f>IF(OR(C5545="",I5545&lt;&gt;"ENTRADA"),"",TEXT(B5545,"AAMMDD")&amp;"-"&amp;TEXT(VALUE(SUBSTITUTE(A5545,"MOV-","")),"000"))</f>
        <v/>
      </c>
    </row>
    <row r="5546" spans="18:20">
      <c r="R5546" s="22" t="str">
        <f>IF(H5546="","",H5546&amp;I5546)</f>
        <v/>
      </c>
      <c r="S5546" s="22" t="str">
        <f>IF(C5546="","",C5546&amp;I5546)</f>
        <v/>
      </c>
      <c r="T5546" t="str">
        <f>IF(OR(C5546="",I5546&lt;&gt;"ENTRADA"),"",TEXT(B5546,"AAMMDD")&amp;"-"&amp;TEXT(VALUE(SUBSTITUTE(A5546,"MOV-","")),"000"))</f>
        <v/>
      </c>
    </row>
    <row r="5547" spans="18:20">
      <c r="R5547" s="22" t="str">
        <f>IF(H5547="","",H5547&amp;I5547)</f>
        <v/>
      </c>
      <c r="S5547" s="22" t="str">
        <f>IF(C5547="","",C5547&amp;I5547)</f>
        <v/>
      </c>
      <c r="T5547" t="str">
        <f>IF(OR(C5547="",I5547&lt;&gt;"ENTRADA"),"",TEXT(B5547,"AAMMDD")&amp;"-"&amp;TEXT(VALUE(SUBSTITUTE(A5547,"MOV-","")),"000"))</f>
        <v/>
      </c>
    </row>
    <row r="5548" spans="18:20">
      <c r="R5548" s="22" t="str">
        <f>IF(H5548="","",H5548&amp;I5548)</f>
        <v/>
      </c>
      <c r="S5548" s="22" t="str">
        <f>IF(C5548="","",C5548&amp;I5548)</f>
        <v/>
      </c>
      <c r="T5548" t="str">
        <f>IF(OR(C5548="",I5548&lt;&gt;"ENTRADA"),"",TEXT(B5548,"AAMMDD")&amp;"-"&amp;TEXT(VALUE(SUBSTITUTE(A5548,"MOV-","")),"000"))</f>
        <v/>
      </c>
    </row>
    <row r="5549" spans="18:20">
      <c r="R5549" s="22" t="str">
        <f>IF(H5549="","",H5549&amp;I5549)</f>
        <v/>
      </c>
      <c r="S5549" s="22" t="str">
        <f>IF(C5549="","",C5549&amp;I5549)</f>
        <v/>
      </c>
      <c r="T5549" t="str">
        <f>IF(OR(C5549="",I5549&lt;&gt;"ENTRADA"),"",TEXT(B5549,"AAMMDD")&amp;"-"&amp;TEXT(VALUE(SUBSTITUTE(A5549,"MOV-","")),"000"))</f>
        <v/>
      </c>
    </row>
    <row r="5550" spans="18:20">
      <c r="R5550" s="22" t="str">
        <f>IF(H5550="","",H5550&amp;I5550)</f>
        <v/>
      </c>
      <c r="S5550" s="22" t="str">
        <f>IF(C5550="","",C5550&amp;I5550)</f>
        <v/>
      </c>
      <c r="T5550" t="str">
        <f>IF(OR(C5550="",I5550&lt;&gt;"ENTRADA"),"",TEXT(B5550,"AAMMDD")&amp;"-"&amp;TEXT(VALUE(SUBSTITUTE(A5550,"MOV-","")),"000"))</f>
        <v/>
      </c>
    </row>
    <row r="5551" spans="18:20">
      <c r="R5551" s="22" t="str">
        <f>IF(H5551="","",H5551&amp;I5551)</f>
        <v/>
      </c>
      <c r="S5551" s="22" t="str">
        <f>IF(C5551="","",C5551&amp;I5551)</f>
        <v/>
      </c>
      <c r="T5551" t="str">
        <f>IF(OR(C5551="",I5551&lt;&gt;"ENTRADA"),"",TEXT(B5551,"AAMMDD")&amp;"-"&amp;TEXT(VALUE(SUBSTITUTE(A5551,"MOV-","")),"000"))</f>
        <v/>
      </c>
    </row>
    <row r="5552" spans="18:20">
      <c r="R5552" s="22" t="str">
        <f>IF(H5552="","",H5552&amp;I5552)</f>
        <v/>
      </c>
      <c r="S5552" s="22" t="str">
        <f>IF(C5552="","",C5552&amp;I5552)</f>
        <v/>
      </c>
      <c r="T5552" t="str">
        <f>IF(OR(C5552="",I5552&lt;&gt;"ENTRADA"),"",TEXT(B5552,"AAMMDD")&amp;"-"&amp;TEXT(VALUE(SUBSTITUTE(A5552,"MOV-","")),"000"))</f>
        <v/>
      </c>
    </row>
    <row r="5553" spans="18:20">
      <c r="R5553" s="22" t="str">
        <f>IF(H5553="","",H5553&amp;I5553)</f>
        <v/>
      </c>
      <c r="S5553" s="22" t="str">
        <f>IF(C5553="","",C5553&amp;I5553)</f>
        <v/>
      </c>
      <c r="T5553" t="str">
        <f>IF(OR(C5553="",I5553&lt;&gt;"ENTRADA"),"",TEXT(B5553,"AAMMDD")&amp;"-"&amp;TEXT(VALUE(SUBSTITUTE(A5553,"MOV-","")),"000"))</f>
        <v/>
      </c>
    </row>
    <row r="5554" spans="18:20">
      <c r="R5554" s="22" t="str">
        <f>IF(H5554="","",H5554&amp;I5554)</f>
        <v/>
      </c>
      <c r="S5554" s="22" t="str">
        <f>IF(C5554="","",C5554&amp;I5554)</f>
        <v/>
      </c>
      <c r="T5554" t="str">
        <f>IF(OR(C5554="",I5554&lt;&gt;"ENTRADA"),"",TEXT(B5554,"AAMMDD")&amp;"-"&amp;TEXT(VALUE(SUBSTITUTE(A5554,"MOV-","")),"000"))</f>
        <v/>
      </c>
    </row>
    <row r="5555" spans="18:20">
      <c r="R5555" s="22" t="str">
        <f>IF(H5555="","",H5555&amp;I5555)</f>
        <v/>
      </c>
      <c r="S5555" s="22" t="str">
        <f>IF(C5555="","",C5555&amp;I5555)</f>
        <v/>
      </c>
      <c r="T5555" t="str">
        <f>IF(OR(C5555="",I5555&lt;&gt;"ENTRADA"),"",TEXT(B5555,"AAMMDD")&amp;"-"&amp;TEXT(VALUE(SUBSTITUTE(A5555,"MOV-","")),"000"))</f>
        <v/>
      </c>
    </row>
    <row r="5556" spans="18:20">
      <c r="R5556" s="22" t="str">
        <f>IF(H5556="","",H5556&amp;I5556)</f>
        <v/>
      </c>
      <c r="S5556" s="22" t="str">
        <f>IF(C5556="","",C5556&amp;I5556)</f>
        <v/>
      </c>
      <c r="T5556" t="str">
        <f>IF(OR(C5556="",I5556&lt;&gt;"ENTRADA"),"",TEXT(B5556,"AAMMDD")&amp;"-"&amp;TEXT(VALUE(SUBSTITUTE(A5556,"MOV-","")),"000"))</f>
        <v/>
      </c>
    </row>
    <row r="5557" spans="18:20">
      <c r="R5557" s="22" t="str">
        <f>IF(H5557="","",H5557&amp;I5557)</f>
        <v/>
      </c>
      <c r="S5557" s="22" t="str">
        <f>IF(C5557="","",C5557&amp;I5557)</f>
        <v/>
      </c>
      <c r="T5557" t="str">
        <f>IF(OR(C5557="",I5557&lt;&gt;"ENTRADA"),"",TEXT(B5557,"AAMMDD")&amp;"-"&amp;TEXT(VALUE(SUBSTITUTE(A5557,"MOV-","")),"000"))</f>
        <v/>
      </c>
    </row>
    <row r="5558" spans="18:20">
      <c r="R5558" s="22" t="str">
        <f>IF(H5558="","",H5558&amp;I5558)</f>
        <v/>
      </c>
      <c r="S5558" s="22" t="str">
        <f>IF(C5558="","",C5558&amp;I5558)</f>
        <v/>
      </c>
      <c r="T5558" t="str">
        <f>IF(OR(C5558="",I5558&lt;&gt;"ENTRADA"),"",TEXT(B5558,"AAMMDD")&amp;"-"&amp;TEXT(VALUE(SUBSTITUTE(A5558,"MOV-","")),"000"))</f>
        <v/>
      </c>
    </row>
    <row r="5559" spans="18:20">
      <c r="R5559" s="22" t="str">
        <f>IF(H5559="","",H5559&amp;I5559)</f>
        <v/>
      </c>
      <c r="S5559" s="22" t="str">
        <f>IF(C5559="","",C5559&amp;I5559)</f>
        <v/>
      </c>
      <c r="T5559" t="str">
        <f>IF(OR(C5559="",I5559&lt;&gt;"ENTRADA"),"",TEXT(B5559,"AAMMDD")&amp;"-"&amp;TEXT(VALUE(SUBSTITUTE(A5559,"MOV-","")),"000"))</f>
        <v/>
      </c>
    </row>
    <row r="5560" spans="18:20">
      <c r="R5560" s="22" t="str">
        <f>IF(H5560="","",H5560&amp;I5560)</f>
        <v/>
      </c>
      <c r="S5560" s="22" t="str">
        <f>IF(C5560="","",C5560&amp;I5560)</f>
        <v/>
      </c>
      <c r="T5560" t="str">
        <f>IF(OR(C5560="",I5560&lt;&gt;"ENTRADA"),"",TEXT(B5560,"AAMMDD")&amp;"-"&amp;TEXT(VALUE(SUBSTITUTE(A5560,"MOV-","")),"000"))</f>
        <v/>
      </c>
    </row>
    <row r="5561" spans="18:20">
      <c r="R5561" s="22" t="str">
        <f>IF(H5561="","",H5561&amp;I5561)</f>
        <v/>
      </c>
      <c r="S5561" s="22" t="str">
        <f>IF(C5561="","",C5561&amp;I5561)</f>
        <v/>
      </c>
      <c r="T5561" t="str">
        <f>IF(OR(C5561="",I5561&lt;&gt;"ENTRADA"),"",TEXT(B5561,"AAMMDD")&amp;"-"&amp;TEXT(VALUE(SUBSTITUTE(A5561,"MOV-","")),"000"))</f>
        <v/>
      </c>
    </row>
    <row r="5562" spans="18:20">
      <c r="R5562" s="22" t="str">
        <f>IF(H5562="","",H5562&amp;I5562)</f>
        <v/>
      </c>
      <c r="S5562" s="22" t="str">
        <f>IF(C5562="","",C5562&amp;I5562)</f>
        <v/>
      </c>
      <c r="T5562" t="str">
        <f>IF(OR(C5562="",I5562&lt;&gt;"ENTRADA"),"",TEXT(B5562,"AAMMDD")&amp;"-"&amp;TEXT(VALUE(SUBSTITUTE(A5562,"MOV-","")),"000"))</f>
        <v/>
      </c>
    </row>
    <row r="5563" spans="18:20">
      <c r="R5563" s="22" t="str">
        <f>IF(H5563="","",H5563&amp;I5563)</f>
        <v/>
      </c>
      <c r="S5563" s="22" t="str">
        <f>IF(C5563="","",C5563&amp;I5563)</f>
        <v/>
      </c>
      <c r="T5563" t="str">
        <f>IF(OR(C5563="",I5563&lt;&gt;"ENTRADA"),"",TEXT(B5563,"AAMMDD")&amp;"-"&amp;TEXT(VALUE(SUBSTITUTE(A5563,"MOV-","")),"000"))</f>
        <v/>
      </c>
    </row>
    <row r="5564" spans="18:20">
      <c r="R5564" s="22" t="str">
        <f>IF(H5564="","",H5564&amp;I5564)</f>
        <v/>
      </c>
      <c r="S5564" s="22" t="str">
        <f>IF(C5564="","",C5564&amp;I5564)</f>
        <v/>
      </c>
      <c r="T5564" t="str">
        <f>IF(OR(C5564="",I5564&lt;&gt;"ENTRADA"),"",TEXT(B5564,"AAMMDD")&amp;"-"&amp;TEXT(VALUE(SUBSTITUTE(A5564,"MOV-","")),"000"))</f>
        <v/>
      </c>
    </row>
    <row r="5565" spans="18:20">
      <c r="R5565" s="22" t="str">
        <f>IF(H5565="","",H5565&amp;I5565)</f>
        <v/>
      </c>
      <c r="S5565" s="22" t="str">
        <f>IF(C5565="","",C5565&amp;I5565)</f>
        <v/>
      </c>
      <c r="T5565" t="str">
        <f>IF(OR(C5565="",I5565&lt;&gt;"ENTRADA"),"",TEXT(B5565,"AAMMDD")&amp;"-"&amp;TEXT(VALUE(SUBSTITUTE(A5565,"MOV-","")),"000"))</f>
        <v/>
      </c>
    </row>
    <row r="5566" spans="18:20">
      <c r="R5566" s="22" t="str">
        <f>IF(H5566="","",H5566&amp;I5566)</f>
        <v/>
      </c>
      <c r="S5566" s="22" t="str">
        <f>IF(C5566="","",C5566&amp;I5566)</f>
        <v/>
      </c>
      <c r="T5566" t="str">
        <f>IF(OR(C5566="",I5566&lt;&gt;"ENTRADA"),"",TEXT(B5566,"AAMMDD")&amp;"-"&amp;TEXT(VALUE(SUBSTITUTE(A5566,"MOV-","")),"000"))</f>
        <v/>
      </c>
    </row>
    <row r="5567" spans="18:20">
      <c r="R5567" s="22" t="str">
        <f>IF(H5567="","",H5567&amp;I5567)</f>
        <v/>
      </c>
      <c r="S5567" s="22" t="str">
        <f>IF(C5567="","",C5567&amp;I5567)</f>
        <v/>
      </c>
      <c r="T5567" t="str">
        <f>IF(OR(C5567="",I5567&lt;&gt;"ENTRADA"),"",TEXT(B5567,"AAMMDD")&amp;"-"&amp;TEXT(VALUE(SUBSTITUTE(A5567,"MOV-","")),"000"))</f>
        <v/>
      </c>
    </row>
    <row r="5568" spans="18:20">
      <c r="R5568" s="22" t="str">
        <f>IF(H5568="","",H5568&amp;I5568)</f>
        <v/>
      </c>
      <c r="S5568" s="22" t="str">
        <f>IF(C5568="","",C5568&amp;I5568)</f>
        <v/>
      </c>
      <c r="T5568" t="str">
        <f>IF(OR(C5568="",I5568&lt;&gt;"ENTRADA"),"",TEXT(B5568,"AAMMDD")&amp;"-"&amp;TEXT(VALUE(SUBSTITUTE(A5568,"MOV-","")),"000"))</f>
        <v/>
      </c>
    </row>
    <row r="5569" spans="18:20">
      <c r="R5569" s="22" t="str">
        <f>IF(H5569="","",H5569&amp;I5569)</f>
        <v/>
      </c>
      <c r="S5569" s="22" t="str">
        <f>IF(C5569="","",C5569&amp;I5569)</f>
        <v/>
      </c>
      <c r="T5569" t="str">
        <f>IF(OR(C5569="",I5569&lt;&gt;"ENTRADA"),"",TEXT(B5569,"AAMMDD")&amp;"-"&amp;TEXT(VALUE(SUBSTITUTE(A5569,"MOV-","")),"000"))</f>
        <v/>
      </c>
    </row>
    <row r="5570" spans="18:20">
      <c r="R5570" s="22" t="str">
        <f>IF(H5570="","",H5570&amp;I5570)</f>
        <v/>
      </c>
      <c r="S5570" s="22" t="str">
        <f>IF(C5570="","",C5570&amp;I5570)</f>
        <v/>
      </c>
      <c r="T5570" t="str">
        <f>IF(OR(C5570="",I5570&lt;&gt;"ENTRADA"),"",TEXT(B5570,"AAMMDD")&amp;"-"&amp;TEXT(VALUE(SUBSTITUTE(A5570,"MOV-","")),"000"))</f>
        <v/>
      </c>
    </row>
    <row r="5571" spans="18:20">
      <c r="R5571" s="22" t="str">
        <f>IF(H5571="","",H5571&amp;I5571)</f>
        <v/>
      </c>
      <c r="S5571" s="22" t="str">
        <f>IF(C5571="","",C5571&amp;I5571)</f>
        <v/>
      </c>
      <c r="T5571" t="str">
        <f>IF(OR(C5571="",I5571&lt;&gt;"ENTRADA"),"",TEXT(B5571,"AAMMDD")&amp;"-"&amp;TEXT(VALUE(SUBSTITUTE(A5571,"MOV-","")),"000"))</f>
        <v/>
      </c>
    </row>
    <row r="5572" spans="18:20">
      <c r="R5572" s="22" t="str">
        <f>IF(H5572="","",H5572&amp;I5572)</f>
        <v/>
      </c>
      <c r="S5572" s="22" t="str">
        <f>IF(C5572="","",C5572&amp;I5572)</f>
        <v/>
      </c>
      <c r="T5572" t="str">
        <f>IF(OR(C5572="",I5572&lt;&gt;"ENTRADA"),"",TEXT(B5572,"AAMMDD")&amp;"-"&amp;TEXT(VALUE(SUBSTITUTE(A5572,"MOV-","")),"000"))</f>
        <v/>
      </c>
    </row>
    <row r="5573" spans="18:20">
      <c r="R5573" s="22" t="str">
        <f>IF(H5573="","",H5573&amp;I5573)</f>
        <v/>
      </c>
      <c r="S5573" s="22" t="str">
        <f>IF(C5573="","",C5573&amp;I5573)</f>
        <v/>
      </c>
      <c r="T5573" t="str">
        <f>IF(OR(C5573="",I5573&lt;&gt;"ENTRADA"),"",TEXT(B5573,"AAMMDD")&amp;"-"&amp;TEXT(VALUE(SUBSTITUTE(A5573,"MOV-","")),"000"))</f>
        <v/>
      </c>
    </row>
    <row r="5574" spans="18:20">
      <c r="R5574" s="22" t="str">
        <f>IF(H5574="","",H5574&amp;I5574)</f>
        <v/>
      </c>
      <c r="S5574" s="22" t="str">
        <f>IF(C5574="","",C5574&amp;I5574)</f>
        <v/>
      </c>
      <c r="T5574" t="str">
        <f>IF(OR(C5574="",I5574&lt;&gt;"ENTRADA"),"",TEXT(B5574,"AAMMDD")&amp;"-"&amp;TEXT(VALUE(SUBSTITUTE(A5574,"MOV-","")),"000"))</f>
        <v/>
      </c>
    </row>
    <row r="5575" spans="18:20">
      <c r="R5575" s="22" t="str">
        <f>IF(H5575="","",H5575&amp;I5575)</f>
        <v/>
      </c>
      <c r="S5575" s="22" t="str">
        <f>IF(C5575="","",C5575&amp;I5575)</f>
        <v/>
      </c>
      <c r="T5575" t="str">
        <f>IF(OR(C5575="",I5575&lt;&gt;"ENTRADA"),"",TEXT(B5575,"AAMMDD")&amp;"-"&amp;TEXT(VALUE(SUBSTITUTE(A5575,"MOV-","")),"000"))</f>
        <v/>
      </c>
    </row>
    <row r="5576" spans="18:20">
      <c r="R5576" s="22" t="str">
        <f>IF(H5576="","",H5576&amp;I5576)</f>
        <v/>
      </c>
      <c r="S5576" s="22" t="str">
        <f>IF(C5576="","",C5576&amp;I5576)</f>
        <v/>
      </c>
      <c r="T5576" t="str">
        <f>IF(OR(C5576="",I5576&lt;&gt;"ENTRADA"),"",TEXT(B5576,"AAMMDD")&amp;"-"&amp;TEXT(VALUE(SUBSTITUTE(A5576,"MOV-","")),"000"))</f>
        <v/>
      </c>
    </row>
    <row r="5577" spans="18:20">
      <c r="R5577" s="22" t="str">
        <f>IF(H5577="","",H5577&amp;I5577)</f>
        <v/>
      </c>
      <c r="S5577" s="22" t="str">
        <f>IF(C5577="","",C5577&amp;I5577)</f>
        <v/>
      </c>
      <c r="T5577" t="str">
        <f>IF(OR(C5577="",I5577&lt;&gt;"ENTRADA"),"",TEXT(B5577,"AAMMDD")&amp;"-"&amp;TEXT(VALUE(SUBSTITUTE(A5577,"MOV-","")),"000"))</f>
        <v/>
      </c>
    </row>
    <row r="5578" spans="18:20">
      <c r="R5578" s="22" t="str">
        <f>IF(H5578="","",H5578&amp;I5578)</f>
        <v/>
      </c>
      <c r="S5578" s="22" t="str">
        <f>IF(C5578="","",C5578&amp;I5578)</f>
        <v/>
      </c>
      <c r="T5578" t="str">
        <f>IF(OR(C5578="",I5578&lt;&gt;"ENTRADA"),"",TEXT(B5578,"AAMMDD")&amp;"-"&amp;TEXT(VALUE(SUBSTITUTE(A5578,"MOV-","")),"000"))</f>
        <v/>
      </c>
    </row>
    <row r="5579" spans="18:20">
      <c r="R5579" s="22" t="str">
        <f>IF(H5579="","",H5579&amp;I5579)</f>
        <v/>
      </c>
      <c r="S5579" s="22" t="str">
        <f>IF(C5579="","",C5579&amp;I5579)</f>
        <v/>
      </c>
      <c r="T5579" t="str">
        <f>IF(OR(C5579="",I5579&lt;&gt;"ENTRADA"),"",TEXT(B5579,"AAMMDD")&amp;"-"&amp;TEXT(VALUE(SUBSTITUTE(A5579,"MOV-","")),"000"))</f>
        <v/>
      </c>
    </row>
    <row r="5580" spans="18:20">
      <c r="R5580" s="22" t="str">
        <f>IF(H5580="","",H5580&amp;I5580)</f>
        <v/>
      </c>
      <c r="S5580" s="22" t="str">
        <f>IF(C5580="","",C5580&amp;I5580)</f>
        <v/>
      </c>
      <c r="T5580" t="str">
        <f>IF(OR(C5580="",I5580&lt;&gt;"ENTRADA"),"",TEXT(B5580,"AAMMDD")&amp;"-"&amp;TEXT(VALUE(SUBSTITUTE(A5580,"MOV-","")),"000"))</f>
        <v/>
      </c>
    </row>
    <row r="5581" spans="18:20">
      <c r="R5581" s="22" t="str">
        <f>IF(H5581="","",H5581&amp;I5581)</f>
        <v/>
      </c>
      <c r="S5581" s="22" t="str">
        <f>IF(C5581="","",C5581&amp;I5581)</f>
        <v/>
      </c>
      <c r="T5581" t="str">
        <f>IF(OR(C5581="",I5581&lt;&gt;"ENTRADA"),"",TEXT(B5581,"AAMMDD")&amp;"-"&amp;TEXT(VALUE(SUBSTITUTE(A5581,"MOV-","")),"000"))</f>
        <v/>
      </c>
    </row>
    <row r="5582" spans="18:20">
      <c r="R5582" s="22" t="str">
        <f>IF(H5582="","",H5582&amp;I5582)</f>
        <v/>
      </c>
      <c r="S5582" s="22" t="str">
        <f>IF(C5582="","",C5582&amp;I5582)</f>
        <v/>
      </c>
      <c r="T5582" t="str">
        <f>IF(OR(C5582="",I5582&lt;&gt;"ENTRADA"),"",TEXT(B5582,"AAMMDD")&amp;"-"&amp;TEXT(VALUE(SUBSTITUTE(A5582,"MOV-","")),"000"))</f>
        <v/>
      </c>
    </row>
    <row r="5583" spans="18:20">
      <c r="R5583" s="22" t="str">
        <f>IF(H5583="","",H5583&amp;I5583)</f>
        <v/>
      </c>
      <c r="S5583" s="22" t="str">
        <f>IF(C5583="","",C5583&amp;I5583)</f>
        <v/>
      </c>
      <c r="T5583" t="str">
        <f>IF(OR(C5583="",I5583&lt;&gt;"ENTRADA"),"",TEXT(B5583,"AAMMDD")&amp;"-"&amp;TEXT(VALUE(SUBSTITUTE(A5583,"MOV-","")),"000"))</f>
        <v/>
      </c>
    </row>
    <row r="5584" spans="18:20">
      <c r="R5584" s="22" t="str">
        <f>IF(H5584="","",H5584&amp;I5584)</f>
        <v/>
      </c>
      <c r="S5584" s="22" t="str">
        <f>IF(C5584="","",C5584&amp;I5584)</f>
        <v/>
      </c>
      <c r="T5584" t="str">
        <f>IF(OR(C5584="",I5584&lt;&gt;"ENTRADA"),"",TEXT(B5584,"AAMMDD")&amp;"-"&amp;TEXT(VALUE(SUBSTITUTE(A5584,"MOV-","")),"000"))</f>
        <v/>
      </c>
    </row>
    <row r="5585" spans="18:20">
      <c r="R5585" s="22" t="str">
        <f>IF(H5585="","",H5585&amp;I5585)</f>
        <v/>
      </c>
      <c r="S5585" s="22" t="str">
        <f>IF(C5585="","",C5585&amp;I5585)</f>
        <v/>
      </c>
      <c r="T5585" t="str">
        <f>IF(OR(C5585="",I5585&lt;&gt;"ENTRADA"),"",TEXT(B5585,"AAMMDD")&amp;"-"&amp;TEXT(VALUE(SUBSTITUTE(A5585,"MOV-","")),"000"))</f>
        <v/>
      </c>
    </row>
    <row r="5586" spans="18:20">
      <c r="R5586" s="22" t="str">
        <f>IF(H5586="","",H5586&amp;I5586)</f>
        <v/>
      </c>
      <c r="S5586" s="22" t="str">
        <f>IF(C5586="","",C5586&amp;I5586)</f>
        <v/>
      </c>
      <c r="T5586" t="str">
        <f>IF(OR(C5586="",I5586&lt;&gt;"ENTRADA"),"",TEXT(B5586,"AAMMDD")&amp;"-"&amp;TEXT(VALUE(SUBSTITUTE(A5586,"MOV-","")),"000"))</f>
        <v/>
      </c>
    </row>
    <row r="5587" spans="18:20">
      <c r="R5587" s="22" t="str">
        <f>IF(H5587="","",H5587&amp;I5587)</f>
        <v/>
      </c>
      <c r="S5587" s="22" t="str">
        <f>IF(C5587="","",C5587&amp;I5587)</f>
        <v/>
      </c>
      <c r="T5587" t="str">
        <f>IF(OR(C5587="",I5587&lt;&gt;"ENTRADA"),"",TEXT(B5587,"AAMMDD")&amp;"-"&amp;TEXT(VALUE(SUBSTITUTE(A5587,"MOV-","")),"000"))</f>
        <v/>
      </c>
    </row>
    <row r="5588" spans="18:20">
      <c r="R5588" s="22" t="str">
        <f>IF(H5588="","",H5588&amp;I5588)</f>
        <v/>
      </c>
      <c r="S5588" s="22" t="str">
        <f>IF(C5588="","",C5588&amp;I5588)</f>
        <v/>
      </c>
      <c r="T5588" t="str">
        <f>IF(OR(C5588="",I5588&lt;&gt;"ENTRADA"),"",TEXT(B5588,"AAMMDD")&amp;"-"&amp;TEXT(VALUE(SUBSTITUTE(A5588,"MOV-","")),"000"))</f>
        <v/>
      </c>
    </row>
    <row r="5589" spans="18:20">
      <c r="R5589" s="22" t="str">
        <f>IF(H5589="","",H5589&amp;I5589)</f>
        <v/>
      </c>
      <c r="S5589" s="22" t="str">
        <f>IF(C5589="","",C5589&amp;I5589)</f>
        <v/>
      </c>
      <c r="T5589" t="str">
        <f>IF(OR(C5589="",I5589&lt;&gt;"ENTRADA"),"",TEXT(B5589,"AAMMDD")&amp;"-"&amp;TEXT(VALUE(SUBSTITUTE(A5589,"MOV-","")),"000"))</f>
        <v/>
      </c>
    </row>
    <row r="5590" spans="18:20">
      <c r="R5590" s="22" t="str">
        <f>IF(H5590="","",H5590&amp;I5590)</f>
        <v/>
      </c>
      <c r="S5590" s="22" t="str">
        <f>IF(C5590="","",C5590&amp;I5590)</f>
        <v/>
      </c>
      <c r="T5590" t="str">
        <f>IF(OR(C5590="",I5590&lt;&gt;"ENTRADA"),"",TEXT(B5590,"AAMMDD")&amp;"-"&amp;TEXT(VALUE(SUBSTITUTE(A5590,"MOV-","")),"000"))</f>
        <v/>
      </c>
    </row>
    <row r="5591" spans="18:20">
      <c r="R5591" s="22" t="str">
        <f>IF(H5591="","",H5591&amp;I5591)</f>
        <v/>
      </c>
      <c r="S5591" s="22" t="str">
        <f>IF(C5591="","",C5591&amp;I5591)</f>
        <v/>
      </c>
      <c r="T5591" t="str">
        <f>IF(OR(C5591="",I5591&lt;&gt;"ENTRADA"),"",TEXT(B5591,"AAMMDD")&amp;"-"&amp;TEXT(VALUE(SUBSTITUTE(A5591,"MOV-","")),"000"))</f>
        <v/>
      </c>
    </row>
    <row r="5592" spans="18:20">
      <c r="R5592" s="22" t="str">
        <f>IF(H5592="","",H5592&amp;I5592)</f>
        <v/>
      </c>
      <c r="S5592" s="22" t="str">
        <f>IF(C5592="","",C5592&amp;I5592)</f>
        <v/>
      </c>
      <c r="T5592" t="str">
        <f>IF(OR(C5592="",I5592&lt;&gt;"ENTRADA"),"",TEXT(B5592,"AAMMDD")&amp;"-"&amp;TEXT(VALUE(SUBSTITUTE(A5592,"MOV-","")),"000"))</f>
        <v/>
      </c>
    </row>
    <row r="5593" spans="18:20">
      <c r="R5593" s="22" t="str">
        <f>IF(H5593="","",H5593&amp;I5593)</f>
        <v/>
      </c>
      <c r="S5593" s="22" t="str">
        <f>IF(C5593="","",C5593&amp;I5593)</f>
        <v/>
      </c>
      <c r="T5593" t="str">
        <f>IF(OR(C5593="",I5593&lt;&gt;"ENTRADA"),"",TEXT(B5593,"AAMMDD")&amp;"-"&amp;TEXT(VALUE(SUBSTITUTE(A5593,"MOV-","")),"000"))</f>
        <v/>
      </c>
    </row>
    <row r="5594" spans="18:20">
      <c r="R5594" s="22" t="str">
        <f>IF(H5594="","",H5594&amp;I5594)</f>
        <v/>
      </c>
      <c r="S5594" s="22" t="str">
        <f>IF(C5594="","",C5594&amp;I5594)</f>
        <v/>
      </c>
      <c r="T5594" t="str">
        <f>IF(OR(C5594="",I5594&lt;&gt;"ENTRADA"),"",TEXT(B5594,"AAMMDD")&amp;"-"&amp;TEXT(VALUE(SUBSTITUTE(A5594,"MOV-","")),"000"))</f>
        <v/>
      </c>
    </row>
    <row r="5595" spans="18:20">
      <c r="R5595" s="22" t="str">
        <f>IF(H5595="","",H5595&amp;I5595)</f>
        <v/>
      </c>
      <c r="S5595" s="22" t="str">
        <f>IF(C5595="","",C5595&amp;I5595)</f>
        <v/>
      </c>
      <c r="T5595" t="str">
        <f>IF(OR(C5595="",I5595&lt;&gt;"ENTRADA"),"",TEXT(B5595,"AAMMDD")&amp;"-"&amp;TEXT(VALUE(SUBSTITUTE(A5595,"MOV-","")),"000"))</f>
        <v/>
      </c>
    </row>
    <row r="5596" spans="18:20">
      <c r="R5596" s="22" t="str">
        <f>IF(H5596="","",H5596&amp;I5596)</f>
        <v/>
      </c>
      <c r="S5596" s="22" t="str">
        <f>IF(C5596="","",C5596&amp;I5596)</f>
        <v/>
      </c>
      <c r="T5596" t="str">
        <f>IF(OR(C5596="",I5596&lt;&gt;"ENTRADA"),"",TEXT(B5596,"AAMMDD")&amp;"-"&amp;TEXT(VALUE(SUBSTITUTE(A5596,"MOV-","")),"000"))</f>
        <v/>
      </c>
    </row>
    <row r="5597" spans="18:20">
      <c r="R5597" s="22" t="str">
        <f>IF(H5597="","",H5597&amp;I5597)</f>
        <v/>
      </c>
      <c r="S5597" s="22" t="str">
        <f>IF(C5597="","",C5597&amp;I5597)</f>
        <v/>
      </c>
      <c r="T5597" t="str">
        <f>IF(OR(C5597="",I5597&lt;&gt;"ENTRADA"),"",TEXT(B5597,"AAMMDD")&amp;"-"&amp;TEXT(VALUE(SUBSTITUTE(A5597,"MOV-","")),"000"))</f>
        <v/>
      </c>
    </row>
    <row r="5598" spans="18:20">
      <c r="R5598" s="22" t="str">
        <f>IF(H5598="","",H5598&amp;I5598)</f>
        <v/>
      </c>
      <c r="S5598" s="22" t="str">
        <f>IF(C5598="","",C5598&amp;I5598)</f>
        <v/>
      </c>
      <c r="T5598" t="str">
        <f>IF(OR(C5598="",I5598&lt;&gt;"ENTRADA"),"",TEXT(B5598,"AAMMDD")&amp;"-"&amp;TEXT(VALUE(SUBSTITUTE(A5598,"MOV-","")),"000"))</f>
        <v/>
      </c>
    </row>
    <row r="5599" spans="18:20">
      <c r="R5599" s="22" t="str">
        <f>IF(H5599="","",H5599&amp;I5599)</f>
        <v/>
      </c>
      <c r="S5599" s="22" t="str">
        <f>IF(C5599="","",C5599&amp;I5599)</f>
        <v/>
      </c>
      <c r="T5599" t="str">
        <f>IF(OR(C5599="",I5599&lt;&gt;"ENTRADA"),"",TEXT(B5599,"AAMMDD")&amp;"-"&amp;TEXT(VALUE(SUBSTITUTE(A5599,"MOV-","")),"000"))</f>
        <v/>
      </c>
    </row>
    <row r="5600" spans="18:20">
      <c r="R5600" s="22" t="str">
        <f>IF(H5600="","",H5600&amp;I5600)</f>
        <v/>
      </c>
      <c r="S5600" s="22" t="str">
        <f>IF(C5600="","",C5600&amp;I5600)</f>
        <v/>
      </c>
      <c r="T5600" t="str">
        <f>IF(OR(C5600="",I5600&lt;&gt;"ENTRADA"),"",TEXT(B5600,"AAMMDD")&amp;"-"&amp;TEXT(VALUE(SUBSTITUTE(A5600,"MOV-","")),"000"))</f>
        <v/>
      </c>
    </row>
    <row r="5601" spans="18:20">
      <c r="R5601" s="22" t="str">
        <f>IF(H5601="","",H5601&amp;I5601)</f>
        <v/>
      </c>
      <c r="S5601" s="22" t="str">
        <f>IF(C5601="","",C5601&amp;I5601)</f>
        <v/>
      </c>
      <c r="T5601" t="str">
        <f>IF(OR(C5601="",I5601&lt;&gt;"ENTRADA"),"",TEXT(B5601,"AAMMDD")&amp;"-"&amp;TEXT(VALUE(SUBSTITUTE(A5601,"MOV-","")),"000"))</f>
        <v/>
      </c>
    </row>
    <row r="5602" spans="18:20">
      <c r="R5602" s="22" t="str">
        <f>IF(H5602="","",H5602&amp;I5602)</f>
        <v/>
      </c>
      <c r="S5602" s="22" t="str">
        <f>IF(C5602="","",C5602&amp;I5602)</f>
        <v/>
      </c>
      <c r="T5602" t="str">
        <f>IF(OR(C5602="",I5602&lt;&gt;"ENTRADA"),"",TEXT(B5602,"AAMMDD")&amp;"-"&amp;TEXT(VALUE(SUBSTITUTE(A5602,"MOV-","")),"000"))</f>
        <v/>
      </c>
    </row>
    <row r="5603" spans="18:20">
      <c r="R5603" s="22" t="str">
        <f>IF(H5603="","",H5603&amp;I5603)</f>
        <v/>
      </c>
      <c r="S5603" s="22" t="str">
        <f>IF(C5603="","",C5603&amp;I5603)</f>
        <v/>
      </c>
      <c r="T5603" t="str">
        <f>IF(OR(C5603="",I5603&lt;&gt;"ENTRADA"),"",TEXT(B5603,"AAMMDD")&amp;"-"&amp;TEXT(VALUE(SUBSTITUTE(A5603,"MOV-","")),"000"))</f>
        <v/>
      </c>
    </row>
    <row r="5604" spans="18:20">
      <c r="R5604" s="22" t="str">
        <f>IF(H5604="","",H5604&amp;I5604)</f>
        <v/>
      </c>
      <c r="S5604" s="22" t="str">
        <f>IF(C5604="","",C5604&amp;I5604)</f>
        <v/>
      </c>
      <c r="T5604" t="str">
        <f>IF(OR(C5604="",I5604&lt;&gt;"ENTRADA"),"",TEXT(B5604,"AAMMDD")&amp;"-"&amp;TEXT(VALUE(SUBSTITUTE(A5604,"MOV-","")),"000"))</f>
        <v/>
      </c>
    </row>
    <row r="5605" spans="18:20">
      <c r="R5605" s="22" t="str">
        <f>IF(H5605="","",H5605&amp;I5605)</f>
        <v/>
      </c>
      <c r="S5605" s="22" t="str">
        <f>IF(C5605="","",C5605&amp;I5605)</f>
        <v/>
      </c>
      <c r="T5605" t="str">
        <f>IF(OR(C5605="",I5605&lt;&gt;"ENTRADA"),"",TEXT(B5605,"AAMMDD")&amp;"-"&amp;TEXT(VALUE(SUBSTITUTE(A5605,"MOV-","")),"000"))</f>
        <v/>
      </c>
    </row>
    <row r="5606" spans="18:20">
      <c r="R5606" s="22" t="str">
        <f>IF(H5606="","",H5606&amp;I5606)</f>
        <v/>
      </c>
      <c r="S5606" s="22" t="str">
        <f>IF(C5606="","",C5606&amp;I5606)</f>
        <v/>
      </c>
      <c r="T5606" t="str">
        <f>IF(OR(C5606="",I5606&lt;&gt;"ENTRADA"),"",TEXT(B5606,"AAMMDD")&amp;"-"&amp;TEXT(VALUE(SUBSTITUTE(A5606,"MOV-","")),"000"))</f>
        <v/>
      </c>
    </row>
    <row r="5607" spans="18:20">
      <c r="R5607" s="22" t="str">
        <f>IF(H5607="","",H5607&amp;I5607)</f>
        <v/>
      </c>
      <c r="S5607" s="22" t="str">
        <f>IF(C5607="","",C5607&amp;I5607)</f>
        <v/>
      </c>
      <c r="T5607" t="str">
        <f>IF(OR(C5607="",I5607&lt;&gt;"ENTRADA"),"",TEXT(B5607,"AAMMDD")&amp;"-"&amp;TEXT(VALUE(SUBSTITUTE(A5607,"MOV-","")),"000"))</f>
        <v/>
      </c>
    </row>
    <row r="5608" spans="18:20">
      <c r="R5608" s="22" t="str">
        <f>IF(H5608="","",H5608&amp;I5608)</f>
        <v/>
      </c>
      <c r="S5608" s="22" t="str">
        <f>IF(C5608="","",C5608&amp;I5608)</f>
        <v/>
      </c>
      <c r="T5608" t="str">
        <f>IF(OR(C5608="",I5608&lt;&gt;"ENTRADA"),"",TEXT(B5608,"AAMMDD")&amp;"-"&amp;TEXT(VALUE(SUBSTITUTE(A5608,"MOV-","")),"000"))</f>
        <v/>
      </c>
    </row>
    <row r="5609" spans="18:20">
      <c r="R5609" s="22" t="str">
        <f>IF(H5609="","",H5609&amp;I5609)</f>
        <v/>
      </c>
      <c r="S5609" s="22" t="str">
        <f>IF(C5609="","",C5609&amp;I5609)</f>
        <v/>
      </c>
      <c r="T5609" t="str">
        <f>IF(OR(C5609="",I5609&lt;&gt;"ENTRADA"),"",TEXT(B5609,"AAMMDD")&amp;"-"&amp;TEXT(VALUE(SUBSTITUTE(A5609,"MOV-","")),"000"))</f>
        <v/>
      </c>
    </row>
    <row r="5610" spans="18:20">
      <c r="R5610" s="22" t="str">
        <f>IF(H5610="","",H5610&amp;I5610)</f>
        <v/>
      </c>
      <c r="S5610" s="22" t="str">
        <f>IF(C5610="","",C5610&amp;I5610)</f>
        <v/>
      </c>
      <c r="T5610" t="str">
        <f>IF(OR(C5610="",I5610&lt;&gt;"ENTRADA"),"",TEXT(B5610,"AAMMDD")&amp;"-"&amp;TEXT(VALUE(SUBSTITUTE(A5610,"MOV-","")),"000"))</f>
        <v/>
      </c>
    </row>
    <row r="5611" spans="18:20">
      <c r="R5611" s="22" t="str">
        <f>IF(H5611="","",H5611&amp;I5611)</f>
        <v/>
      </c>
      <c r="S5611" s="22" t="str">
        <f>IF(C5611="","",C5611&amp;I5611)</f>
        <v/>
      </c>
      <c r="T5611" t="str">
        <f>IF(OR(C5611="",I5611&lt;&gt;"ENTRADA"),"",TEXT(B5611,"AAMMDD")&amp;"-"&amp;TEXT(VALUE(SUBSTITUTE(A5611,"MOV-","")),"000"))</f>
        <v/>
      </c>
    </row>
    <row r="5612" spans="18:20">
      <c r="R5612" s="22" t="str">
        <f>IF(H5612="","",H5612&amp;I5612)</f>
        <v/>
      </c>
      <c r="S5612" s="22" t="str">
        <f>IF(C5612="","",C5612&amp;I5612)</f>
        <v/>
      </c>
      <c r="T5612" t="str">
        <f>IF(OR(C5612="",I5612&lt;&gt;"ENTRADA"),"",TEXT(B5612,"AAMMDD")&amp;"-"&amp;TEXT(VALUE(SUBSTITUTE(A5612,"MOV-","")),"000"))</f>
        <v/>
      </c>
    </row>
    <row r="5613" spans="18:20">
      <c r="R5613" s="22" t="str">
        <f>IF(H5613="","",H5613&amp;I5613)</f>
        <v/>
      </c>
      <c r="S5613" s="22" t="str">
        <f>IF(C5613="","",C5613&amp;I5613)</f>
        <v/>
      </c>
      <c r="T5613" t="str">
        <f>IF(OR(C5613="",I5613&lt;&gt;"ENTRADA"),"",TEXT(B5613,"AAMMDD")&amp;"-"&amp;TEXT(VALUE(SUBSTITUTE(A5613,"MOV-","")),"000"))</f>
        <v/>
      </c>
    </row>
    <row r="5614" spans="18:20">
      <c r="R5614" s="22" t="str">
        <f>IF(H5614="","",H5614&amp;I5614)</f>
        <v/>
      </c>
      <c r="S5614" s="22" t="str">
        <f>IF(C5614="","",C5614&amp;I5614)</f>
        <v/>
      </c>
      <c r="T5614" t="str">
        <f>IF(OR(C5614="",I5614&lt;&gt;"ENTRADA"),"",TEXT(B5614,"AAMMDD")&amp;"-"&amp;TEXT(VALUE(SUBSTITUTE(A5614,"MOV-","")),"000"))</f>
        <v/>
      </c>
    </row>
    <row r="5615" spans="18:20">
      <c r="R5615" s="22" t="str">
        <f>IF(H5615="","",H5615&amp;I5615)</f>
        <v/>
      </c>
      <c r="S5615" s="22" t="str">
        <f>IF(C5615="","",C5615&amp;I5615)</f>
        <v/>
      </c>
      <c r="T5615" t="str">
        <f>IF(OR(C5615="",I5615&lt;&gt;"ENTRADA"),"",TEXT(B5615,"AAMMDD")&amp;"-"&amp;TEXT(VALUE(SUBSTITUTE(A5615,"MOV-","")),"000"))</f>
        <v/>
      </c>
    </row>
    <row r="5616" spans="18:20">
      <c r="R5616" s="22" t="str">
        <f>IF(H5616="","",H5616&amp;I5616)</f>
        <v/>
      </c>
      <c r="S5616" s="22" t="str">
        <f>IF(C5616="","",C5616&amp;I5616)</f>
        <v/>
      </c>
      <c r="T5616" t="str">
        <f>IF(OR(C5616="",I5616&lt;&gt;"ENTRADA"),"",TEXT(B5616,"AAMMDD")&amp;"-"&amp;TEXT(VALUE(SUBSTITUTE(A5616,"MOV-","")),"000"))</f>
        <v/>
      </c>
    </row>
    <row r="5617" spans="18:20">
      <c r="R5617" s="22" t="str">
        <f>IF(H5617="","",H5617&amp;I5617)</f>
        <v/>
      </c>
      <c r="S5617" s="22" t="str">
        <f>IF(C5617="","",C5617&amp;I5617)</f>
        <v/>
      </c>
      <c r="T5617" t="str">
        <f>IF(OR(C5617="",I5617&lt;&gt;"ENTRADA"),"",TEXT(B5617,"AAMMDD")&amp;"-"&amp;TEXT(VALUE(SUBSTITUTE(A5617,"MOV-","")),"000"))</f>
        <v/>
      </c>
    </row>
    <row r="5618" spans="18:20">
      <c r="R5618" s="22" t="str">
        <f>IF(H5618="","",H5618&amp;I5618)</f>
        <v/>
      </c>
      <c r="S5618" s="22" t="str">
        <f>IF(C5618="","",C5618&amp;I5618)</f>
        <v/>
      </c>
      <c r="T5618" t="str">
        <f>IF(OR(C5618="",I5618&lt;&gt;"ENTRADA"),"",TEXT(B5618,"AAMMDD")&amp;"-"&amp;TEXT(VALUE(SUBSTITUTE(A5618,"MOV-","")),"000"))</f>
        <v/>
      </c>
    </row>
    <row r="5619" spans="18:20">
      <c r="R5619" s="22" t="str">
        <f>IF(H5619="","",H5619&amp;I5619)</f>
        <v/>
      </c>
      <c r="S5619" s="22" t="str">
        <f>IF(C5619="","",C5619&amp;I5619)</f>
        <v/>
      </c>
      <c r="T5619" t="str">
        <f>IF(OR(C5619="",I5619&lt;&gt;"ENTRADA"),"",TEXT(B5619,"AAMMDD")&amp;"-"&amp;TEXT(VALUE(SUBSTITUTE(A5619,"MOV-","")),"000"))</f>
        <v/>
      </c>
    </row>
    <row r="5620" spans="18:20">
      <c r="R5620" s="22" t="str">
        <f>IF(H5620="","",H5620&amp;I5620)</f>
        <v/>
      </c>
      <c r="S5620" s="22" t="str">
        <f>IF(C5620="","",C5620&amp;I5620)</f>
        <v/>
      </c>
      <c r="T5620" t="str">
        <f>IF(OR(C5620="",I5620&lt;&gt;"ENTRADA"),"",TEXT(B5620,"AAMMDD")&amp;"-"&amp;TEXT(VALUE(SUBSTITUTE(A5620,"MOV-","")),"000"))</f>
        <v/>
      </c>
    </row>
    <row r="5621" spans="18:20">
      <c r="R5621" s="22" t="str">
        <f>IF(H5621="","",H5621&amp;I5621)</f>
        <v/>
      </c>
      <c r="S5621" s="22" t="str">
        <f>IF(C5621="","",C5621&amp;I5621)</f>
        <v/>
      </c>
      <c r="T5621" t="str">
        <f>IF(OR(C5621="",I5621&lt;&gt;"ENTRADA"),"",TEXT(B5621,"AAMMDD")&amp;"-"&amp;TEXT(VALUE(SUBSTITUTE(A5621,"MOV-","")),"000"))</f>
        <v/>
      </c>
    </row>
    <row r="5622" spans="18:20">
      <c r="R5622" s="22" t="str">
        <f>IF(H5622="","",H5622&amp;I5622)</f>
        <v/>
      </c>
      <c r="S5622" s="22" t="str">
        <f>IF(C5622="","",C5622&amp;I5622)</f>
        <v/>
      </c>
      <c r="T5622" t="str">
        <f>IF(OR(C5622="",I5622&lt;&gt;"ENTRADA"),"",TEXT(B5622,"AAMMDD")&amp;"-"&amp;TEXT(VALUE(SUBSTITUTE(A5622,"MOV-","")),"000"))</f>
        <v/>
      </c>
    </row>
    <row r="5623" spans="18:20">
      <c r="R5623" s="22" t="str">
        <f>IF(H5623="","",H5623&amp;I5623)</f>
        <v/>
      </c>
      <c r="S5623" s="22" t="str">
        <f>IF(C5623="","",C5623&amp;I5623)</f>
        <v/>
      </c>
      <c r="T5623" t="str">
        <f>IF(OR(C5623="",I5623&lt;&gt;"ENTRADA"),"",TEXT(B5623,"AAMMDD")&amp;"-"&amp;TEXT(VALUE(SUBSTITUTE(A5623,"MOV-","")),"000"))</f>
        <v/>
      </c>
    </row>
    <row r="5624" spans="18:20">
      <c r="R5624" s="22" t="str">
        <f>IF(H5624="","",H5624&amp;I5624)</f>
        <v/>
      </c>
      <c r="S5624" s="22" t="str">
        <f>IF(C5624="","",C5624&amp;I5624)</f>
        <v/>
      </c>
      <c r="T5624" t="str">
        <f>IF(OR(C5624="",I5624&lt;&gt;"ENTRADA"),"",TEXT(B5624,"AAMMDD")&amp;"-"&amp;TEXT(VALUE(SUBSTITUTE(A5624,"MOV-","")),"000"))</f>
        <v/>
      </c>
    </row>
    <row r="5625" spans="18:20">
      <c r="R5625" s="22" t="str">
        <f>IF(H5625="","",H5625&amp;I5625)</f>
        <v/>
      </c>
      <c r="S5625" s="22" t="str">
        <f>IF(C5625="","",C5625&amp;I5625)</f>
        <v/>
      </c>
      <c r="T5625" t="str">
        <f>IF(OR(C5625="",I5625&lt;&gt;"ENTRADA"),"",TEXT(B5625,"AAMMDD")&amp;"-"&amp;TEXT(VALUE(SUBSTITUTE(A5625,"MOV-","")),"000"))</f>
        <v/>
      </c>
    </row>
    <row r="5626" spans="18:20">
      <c r="R5626" s="22" t="str">
        <f>IF(H5626="","",H5626&amp;I5626)</f>
        <v/>
      </c>
      <c r="S5626" s="22" t="str">
        <f>IF(C5626="","",C5626&amp;I5626)</f>
        <v/>
      </c>
      <c r="T5626" t="str">
        <f>IF(OR(C5626="",I5626&lt;&gt;"ENTRADA"),"",TEXT(B5626,"AAMMDD")&amp;"-"&amp;TEXT(VALUE(SUBSTITUTE(A5626,"MOV-","")),"000"))</f>
        <v/>
      </c>
    </row>
    <row r="5627" spans="18:20">
      <c r="R5627" s="22" t="str">
        <f>IF(H5627="","",H5627&amp;I5627)</f>
        <v/>
      </c>
      <c r="S5627" s="22" t="str">
        <f>IF(C5627="","",C5627&amp;I5627)</f>
        <v/>
      </c>
      <c r="T5627" t="str">
        <f>IF(OR(C5627="",I5627&lt;&gt;"ENTRADA"),"",TEXT(B5627,"AAMMDD")&amp;"-"&amp;TEXT(VALUE(SUBSTITUTE(A5627,"MOV-","")),"000"))</f>
        <v/>
      </c>
    </row>
    <row r="5628" spans="18:20">
      <c r="R5628" s="22" t="str">
        <f>IF(H5628="","",H5628&amp;I5628)</f>
        <v/>
      </c>
      <c r="S5628" s="22" t="str">
        <f>IF(C5628="","",C5628&amp;I5628)</f>
        <v/>
      </c>
      <c r="T5628" t="str">
        <f>IF(OR(C5628="",I5628&lt;&gt;"ENTRADA"),"",TEXT(B5628,"AAMMDD")&amp;"-"&amp;TEXT(VALUE(SUBSTITUTE(A5628,"MOV-","")),"000"))</f>
        <v/>
      </c>
    </row>
    <row r="5629" spans="18:20">
      <c r="R5629" s="22" t="str">
        <f>IF(H5629="","",H5629&amp;I5629)</f>
        <v/>
      </c>
      <c r="S5629" s="22" t="str">
        <f>IF(C5629="","",C5629&amp;I5629)</f>
        <v/>
      </c>
      <c r="T5629" t="str">
        <f>IF(OR(C5629="",I5629&lt;&gt;"ENTRADA"),"",TEXT(B5629,"AAMMDD")&amp;"-"&amp;TEXT(VALUE(SUBSTITUTE(A5629,"MOV-","")),"000"))</f>
        <v/>
      </c>
    </row>
    <row r="5630" spans="18:20">
      <c r="R5630" s="22" t="str">
        <f>IF(H5630="","",H5630&amp;I5630)</f>
        <v/>
      </c>
      <c r="S5630" s="22" t="str">
        <f>IF(C5630="","",C5630&amp;I5630)</f>
        <v/>
      </c>
      <c r="T5630" t="str">
        <f>IF(OR(C5630="",I5630&lt;&gt;"ENTRADA"),"",TEXT(B5630,"AAMMDD")&amp;"-"&amp;TEXT(VALUE(SUBSTITUTE(A5630,"MOV-","")),"000"))</f>
        <v/>
      </c>
    </row>
    <row r="5631" spans="18:20">
      <c r="R5631" s="22" t="str">
        <f>IF(H5631="","",H5631&amp;I5631)</f>
        <v/>
      </c>
      <c r="S5631" s="22" t="str">
        <f>IF(C5631="","",C5631&amp;I5631)</f>
        <v/>
      </c>
      <c r="T5631" t="str">
        <f>IF(OR(C5631="",I5631&lt;&gt;"ENTRADA"),"",TEXT(B5631,"AAMMDD")&amp;"-"&amp;TEXT(VALUE(SUBSTITUTE(A5631,"MOV-","")),"000"))</f>
        <v/>
      </c>
    </row>
    <row r="5632" spans="18:20">
      <c r="R5632" s="22" t="str">
        <f>IF(H5632="","",H5632&amp;I5632)</f>
        <v/>
      </c>
      <c r="S5632" s="22" t="str">
        <f>IF(C5632="","",C5632&amp;I5632)</f>
        <v/>
      </c>
      <c r="T5632" t="str">
        <f>IF(OR(C5632="",I5632&lt;&gt;"ENTRADA"),"",TEXT(B5632,"AAMMDD")&amp;"-"&amp;TEXT(VALUE(SUBSTITUTE(A5632,"MOV-","")),"000"))</f>
        <v/>
      </c>
    </row>
    <row r="5633" spans="18:20">
      <c r="R5633" s="22" t="str">
        <f>IF(H5633="","",H5633&amp;I5633)</f>
        <v/>
      </c>
      <c r="S5633" s="22" t="str">
        <f>IF(C5633="","",C5633&amp;I5633)</f>
        <v/>
      </c>
      <c r="T5633" t="str">
        <f>IF(OR(C5633="",I5633&lt;&gt;"ENTRADA"),"",TEXT(B5633,"AAMMDD")&amp;"-"&amp;TEXT(VALUE(SUBSTITUTE(A5633,"MOV-","")),"000"))</f>
        <v/>
      </c>
    </row>
    <row r="5634" spans="18:20">
      <c r="R5634" s="22" t="str">
        <f>IF(H5634="","",H5634&amp;I5634)</f>
        <v/>
      </c>
      <c r="S5634" s="22" t="str">
        <f>IF(C5634="","",C5634&amp;I5634)</f>
        <v/>
      </c>
      <c r="T5634" t="str">
        <f>IF(OR(C5634="",I5634&lt;&gt;"ENTRADA"),"",TEXT(B5634,"AAMMDD")&amp;"-"&amp;TEXT(VALUE(SUBSTITUTE(A5634,"MOV-","")),"000"))</f>
        <v/>
      </c>
    </row>
    <row r="5635" spans="18:20">
      <c r="R5635" s="22" t="str">
        <f>IF(H5635="","",H5635&amp;I5635)</f>
        <v/>
      </c>
      <c r="S5635" s="22" t="str">
        <f>IF(C5635="","",C5635&amp;I5635)</f>
        <v/>
      </c>
      <c r="T5635" t="str">
        <f>IF(OR(C5635="",I5635&lt;&gt;"ENTRADA"),"",TEXT(B5635,"AAMMDD")&amp;"-"&amp;TEXT(VALUE(SUBSTITUTE(A5635,"MOV-","")),"000"))</f>
        <v/>
      </c>
    </row>
    <row r="5636" spans="18:20">
      <c r="R5636" s="22" t="str">
        <f>IF(H5636="","",H5636&amp;I5636)</f>
        <v/>
      </c>
      <c r="S5636" s="22" t="str">
        <f>IF(C5636="","",C5636&amp;I5636)</f>
        <v/>
      </c>
      <c r="T5636" t="str">
        <f>IF(OR(C5636="",I5636&lt;&gt;"ENTRADA"),"",TEXT(B5636,"AAMMDD")&amp;"-"&amp;TEXT(VALUE(SUBSTITUTE(A5636,"MOV-","")),"000"))</f>
        <v/>
      </c>
    </row>
    <row r="5637" spans="18:20">
      <c r="R5637" s="22" t="str">
        <f>IF(H5637="","",H5637&amp;I5637)</f>
        <v/>
      </c>
      <c r="S5637" s="22" t="str">
        <f>IF(C5637="","",C5637&amp;I5637)</f>
        <v/>
      </c>
      <c r="T5637" t="str">
        <f>IF(OR(C5637="",I5637&lt;&gt;"ENTRADA"),"",TEXT(B5637,"AAMMDD")&amp;"-"&amp;TEXT(VALUE(SUBSTITUTE(A5637,"MOV-","")),"000"))</f>
        <v/>
      </c>
    </row>
    <row r="5638" spans="18:20">
      <c r="R5638" s="22" t="str">
        <f>IF(H5638="","",H5638&amp;I5638)</f>
        <v/>
      </c>
      <c r="S5638" s="22" t="str">
        <f>IF(C5638="","",C5638&amp;I5638)</f>
        <v/>
      </c>
      <c r="T5638" t="str">
        <f>IF(OR(C5638="",I5638&lt;&gt;"ENTRADA"),"",TEXT(B5638,"AAMMDD")&amp;"-"&amp;TEXT(VALUE(SUBSTITUTE(A5638,"MOV-","")),"000"))</f>
        <v/>
      </c>
    </row>
    <row r="5639" spans="18:20">
      <c r="R5639" s="22" t="str">
        <f>IF(H5639="","",H5639&amp;I5639)</f>
        <v/>
      </c>
      <c r="S5639" s="22" t="str">
        <f>IF(C5639="","",C5639&amp;I5639)</f>
        <v/>
      </c>
      <c r="T5639" t="str">
        <f>IF(OR(C5639="",I5639&lt;&gt;"ENTRADA"),"",TEXT(B5639,"AAMMDD")&amp;"-"&amp;TEXT(VALUE(SUBSTITUTE(A5639,"MOV-","")),"000"))</f>
        <v/>
      </c>
    </row>
    <row r="5640" spans="18:20">
      <c r="R5640" s="22" t="str">
        <f>IF(H5640="","",H5640&amp;I5640)</f>
        <v/>
      </c>
      <c r="S5640" s="22" t="str">
        <f>IF(C5640="","",C5640&amp;I5640)</f>
        <v/>
      </c>
      <c r="T5640" t="str">
        <f>IF(OR(C5640="",I5640&lt;&gt;"ENTRADA"),"",TEXT(B5640,"AAMMDD")&amp;"-"&amp;TEXT(VALUE(SUBSTITUTE(A5640,"MOV-","")),"000"))</f>
        <v/>
      </c>
    </row>
    <row r="5641" spans="18:20">
      <c r="R5641" s="22" t="str">
        <f>IF(H5641="","",H5641&amp;I5641)</f>
        <v/>
      </c>
      <c r="S5641" s="22" t="str">
        <f>IF(C5641="","",C5641&amp;I5641)</f>
        <v/>
      </c>
      <c r="T5641" t="str">
        <f>IF(OR(C5641="",I5641&lt;&gt;"ENTRADA"),"",TEXT(B5641,"AAMMDD")&amp;"-"&amp;TEXT(VALUE(SUBSTITUTE(A5641,"MOV-","")),"000"))</f>
        <v/>
      </c>
    </row>
    <row r="5642" spans="18:20">
      <c r="R5642" s="22" t="str">
        <f>IF(H5642="","",H5642&amp;I5642)</f>
        <v/>
      </c>
      <c r="S5642" s="22" t="str">
        <f>IF(C5642="","",C5642&amp;I5642)</f>
        <v/>
      </c>
      <c r="T5642" t="str">
        <f>IF(OR(C5642="",I5642&lt;&gt;"ENTRADA"),"",TEXT(B5642,"AAMMDD")&amp;"-"&amp;TEXT(VALUE(SUBSTITUTE(A5642,"MOV-","")),"000"))</f>
        <v/>
      </c>
    </row>
    <row r="5643" spans="18:20">
      <c r="R5643" s="22" t="str">
        <f>IF(H5643="","",H5643&amp;I5643)</f>
        <v/>
      </c>
      <c r="S5643" s="22" t="str">
        <f>IF(C5643="","",C5643&amp;I5643)</f>
        <v/>
      </c>
      <c r="T5643" t="str">
        <f>IF(OR(C5643="",I5643&lt;&gt;"ENTRADA"),"",TEXT(B5643,"AAMMDD")&amp;"-"&amp;TEXT(VALUE(SUBSTITUTE(A5643,"MOV-","")),"000"))</f>
        <v/>
      </c>
    </row>
    <row r="5644" spans="18:20">
      <c r="R5644" s="22" t="str">
        <f>IF(H5644="","",H5644&amp;I5644)</f>
        <v/>
      </c>
      <c r="S5644" s="22" t="str">
        <f>IF(C5644="","",C5644&amp;I5644)</f>
        <v/>
      </c>
      <c r="T5644" t="str">
        <f>IF(OR(C5644="",I5644&lt;&gt;"ENTRADA"),"",TEXT(B5644,"AAMMDD")&amp;"-"&amp;TEXT(VALUE(SUBSTITUTE(A5644,"MOV-","")),"000"))</f>
        <v/>
      </c>
    </row>
    <row r="5645" spans="18:20">
      <c r="R5645" s="22" t="str">
        <f>IF(H5645="","",H5645&amp;I5645)</f>
        <v/>
      </c>
      <c r="S5645" s="22" t="str">
        <f>IF(C5645="","",C5645&amp;I5645)</f>
        <v/>
      </c>
      <c r="T5645" t="str">
        <f>IF(OR(C5645="",I5645&lt;&gt;"ENTRADA"),"",TEXT(B5645,"AAMMDD")&amp;"-"&amp;TEXT(VALUE(SUBSTITUTE(A5645,"MOV-","")),"000"))</f>
        <v/>
      </c>
    </row>
    <row r="5646" spans="18:20">
      <c r="R5646" s="22" t="str">
        <f>IF(H5646="","",H5646&amp;I5646)</f>
        <v/>
      </c>
      <c r="S5646" s="22" t="str">
        <f>IF(C5646="","",C5646&amp;I5646)</f>
        <v/>
      </c>
      <c r="T5646" t="str">
        <f>IF(OR(C5646="",I5646&lt;&gt;"ENTRADA"),"",TEXT(B5646,"AAMMDD")&amp;"-"&amp;TEXT(VALUE(SUBSTITUTE(A5646,"MOV-","")),"000"))</f>
        <v/>
      </c>
    </row>
    <row r="5647" spans="18:20">
      <c r="R5647" s="22" t="str">
        <f>IF(H5647="","",H5647&amp;I5647)</f>
        <v/>
      </c>
      <c r="S5647" s="22" t="str">
        <f>IF(C5647="","",C5647&amp;I5647)</f>
        <v/>
      </c>
      <c r="T5647" t="str">
        <f>IF(OR(C5647="",I5647&lt;&gt;"ENTRADA"),"",TEXT(B5647,"AAMMDD")&amp;"-"&amp;TEXT(VALUE(SUBSTITUTE(A5647,"MOV-","")),"000"))</f>
        <v/>
      </c>
    </row>
    <row r="5648" spans="18:20">
      <c r="R5648" s="22" t="str">
        <f>IF(H5648="","",H5648&amp;I5648)</f>
        <v/>
      </c>
      <c r="S5648" s="22" t="str">
        <f>IF(C5648="","",C5648&amp;I5648)</f>
        <v/>
      </c>
      <c r="T5648" t="str">
        <f>IF(OR(C5648="",I5648&lt;&gt;"ENTRADA"),"",TEXT(B5648,"AAMMDD")&amp;"-"&amp;TEXT(VALUE(SUBSTITUTE(A5648,"MOV-","")),"000"))</f>
        <v/>
      </c>
    </row>
    <row r="5649" spans="18:20">
      <c r="R5649" s="22" t="str">
        <f>IF(H5649="","",H5649&amp;I5649)</f>
        <v/>
      </c>
      <c r="S5649" s="22" t="str">
        <f>IF(C5649="","",C5649&amp;I5649)</f>
        <v/>
      </c>
      <c r="T5649" t="str">
        <f>IF(OR(C5649="",I5649&lt;&gt;"ENTRADA"),"",TEXT(B5649,"AAMMDD")&amp;"-"&amp;TEXT(VALUE(SUBSTITUTE(A5649,"MOV-","")),"000"))</f>
        <v/>
      </c>
    </row>
    <row r="5650" spans="18:20">
      <c r="R5650" s="22" t="str">
        <f>IF(H5650="","",H5650&amp;I5650)</f>
        <v/>
      </c>
      <c r="S5650" s="22" t="str">
        <f>IF(C5650="","",C5650&amp;I5650)</f>
        <v/>
      </c>
      <c r="T5650" t="str">
        <f>IF(OR(C5650="",I5650&lt;&gt;"ENTRADA"),"",TEXT(B5650,"AAMMDD")&amp;"-"&amp;TEXT(VALUE(SUBSTITUTE(A5650,"MOV-","")),"000"))</f>
        <v/>
      </c>
    </row>
    <row r="5651" spans="18:20">
      <c r="R5651" s="22" t="str">
        <f>IF(H5651="","",H5651&amp;I5651)</f>
        <v/>
      </c>
      <c r="S5651" s="22" t="str">
        <f>IF(C5651="","",C5651&amp;I5651)</f>
        <v/>
      </c>
      <c r="T5651" t="str">
        <f>IF(OR(C5651="",I5651&lt;&gt;"ENTRADA"),"",TEXT(B5651,"AAMMDD")&amp;"-"&amp;TEXT(VALUE(SUBSTITUTE(A5651,"MOV-","")),"000"))</f>
        <v/>
      </c>
    </row>
    <row r="5652" spans="18:20">
      <c r="R5652" s="22" t="str">
        <f>IF(H5652="","",H5652&amp;I5652)</f>
        <v/>
      </c>
      <c r="S5652" s="22" t="str">
        <f>IF(C5652="","",C5652&amp;I5652)</f>
        <v/>
      </c>
      <c r="T5652" t="str">
        <f>IF(OR(C5652="",I5652&lt;&gt;"ENTRADA"),"",TEXT(B5652,"AAMMDD")&amp;"-"&amp;TEXT(VALUE(SUBSTITUTE(A5652,"MOV-","")),"000"))</f>
        <v/>
      </c>
    </row>
    <row r="5653" spans="18:20">
      <c r="R5653" s="22" t="str">
        <f>IF(H5653="","",H5653&amp;I5653)</f>
        <v/>
      </c>
      <c r="S5653" s="22" t="str">
        <f>IF(C5653="","",C5653&amp;I5653)</f>
        <v/>
      </c>
      <c r="T5653" t="str">
        <f>IF(OR(C5653="",I5653&lt;&gt;"ENTRADA"),"",TEXT(B5653,"AAMMDD")&amp;"-"&amp;TEXT(VALUE(SUBSTITUTE(A5653,"MOV-","")),"000"))</f>
        <v/>
      </c>
    </row>
    <row r="5654" spans="18:20">
      <c r="R5654" s="22" t="str">
        <f>IF(H5654="","",H5654&amp;I5654)</f>
        <v/>
      </c>
      <c r="S5654" s="22" t="str">
        <f>IF(C5654="","",C5654&amp;I5654)</f>
        <v/>
      </c>
      <c r="T5654" t="str">
        <f>IF(OR(C5654="",I5654&lt;&gt;"ENTRADA"),"",TEXT(B5654,"AAMMDD")&amp;"-"&amp;TEXT(VALUE(SUBSTITUTE(A5654,"MOV-","")),"000"))</f>
        <v/>
      </c>
    </row>
    <row r="5655" spans="18:20">
      <c r="R5655" s="22" t="str">
        <f>IF(H5655="","",H5655&amp;I5655)</f>
        <v/>
      </c>
      <c r="S5655" s="22" t="str">
        <f>IF(C5655="","",C5655&amp;I5655)</f>
        <v/>
      </c>
      <c r="T5655" t="str">
        <f>IF(OR(C5655="",I5655&lt;&gt;"ENTRADA"),"",TEXT(B5655,"AAMMDD")&amp;"-"&amp;TEXT(VALUE(SUBSTITUTE(A5655,"MOV-","")),"000"))</f>
        <v/>
      </c>
    </row>
    <row r="5656" spans="18:20">
      <c r="R5656" s="22" t="str">
        <f>IF(H5656="","",H5656&amp;I5656)</f>
        <v/>
      </c>
      <c r="S5656" s="22" t="str">
        <f>IF(C5656="","",C5656&amp;I5656)</f>
        <v/>
      </c>
      <c r="T5656" t="str">
        <f>IF(OR(C5656="",I5656&lt;&gt;"ENTRADA"),"",TEXT(B5656,"AAMMDD")&amp;"-"&amp;TEXT(VALUE(SUBSTITUTE(A5656,"MOV-","")),"000"))</f>
        <v/>
      </c>
    </row>
    <row r="5657" spans="18:20">
      <c r="R5657" s="22" t="str">
        <f>IF(H5657="","",H5657&amp;I5657)</f>
        <v/>
      </c>
      <c r="S5657" s="22" t="str">
        <f>IF(C5657="","",C5657&amp;I5657)</f>
        <v/>
      </c>
      <c r="T5657" t="str">
        <f>IF(OR(C5657="",I5657&lt;&gt;"ENTRADA"),"",TEXT(B5657,"AAMMDD")&amp;"-"&amp;TEXT(VALUE(SUBSTITUTE(A5657,"MOV-","")),"000"))</f>
        <v/>
      </c>
    </row>
    <row r="5658" spans="18:20">
      <c r="R5658" s="22" t="str">
        <f>IF(H5658="","",H5658&amp;I5658)</f>
        <v/>
      </c>
      <c r="S5658" s="22" t="str">
        <f>IF(C5658="","",C5658&amp;I5658)</f>
        <v/>
      </c>
      <c r="T5658" t="str">
        <f>IF(OR(C5658="",I5658&lt;&gt;"ENTRADA"),"",TEXT(B5658,"AAMMDD")&amp;"-"&amp;TEXT(VALUE(SUBSTITUTE(A5658,"MOV-","")),"000"))</f>
        <v/>
      </c>
    </row>
    <row r="5659" spans="18:20">
      <c r="R5659" s="22" t="str">
        <f>IF(H5659="","",H5659&amp;I5659)</f>
        <v/>
      </c>
      <c r="S5659" s="22" t="str">
        <f>IF(C5659="","",C5659&amp;I5659)</f>
        <v/>
      </c>
      <c r="T5659" t="str">
        <f>IF(OR(C5659="",I5659&lt;&gt;"ENTRADA"),"",TEXT(B5659,"AAMMDD")&amp;"-"&amp;TEXT(VALUE(SUBSTITUTE(A5659,"MOV-","")),"000"))</f>
        <v/>
      </c>
    </row>
    <row r="5660" spans="18:20">
      <c r="R5660" s="22" t="str">
        <f>IF(H5660="","",H5660&amp;I5660)</f>
        <v/>
      </c>
      <c r="S5660" s="22" t="str">
        <f>IF(C5660="","",C5660&amp;I5660)</f>
        <v/>
      </c>
      <c r="T5660" t="str">
        <f>IF(OR(C5660="",I5660&lt;&gt;"ENTRADA"),"",TEXT(B5660,"AAMMDD")&amp;"-"&amp;TEXT(VALUE(SUBSTITUTE(A5660,"MOV-","")),"000"))</f>
        <v/>
      </c>
    </row>
    <row r="5661" spans="18:20">
      <c r="R5661" s="22" t="str">
        <f>IF(H5661="","",H5661&amp;I5661)</f>
        <v/>
      </c>
      <c r="S5661" s="22" t="str">
        <f>IF(C5661="","",C5661&amp;I5661)</f>
        <v/>
      </c>
      <c r="T5661" t="str">
        <f>IF(OR(C5661="",I5661&lt;&gt;"ENTRADA"),"",TEXT(B5661,"AAMMDD")&amp;"-"&amp;TEXT(VALUE(SUBSTITUTE(A5661,"MOV-","")),"000"))</f>
        <v/>
      </c>
    </row>
    <row r="5662" spans="18:20">
      <c r="R5662" s="22" t="str">
        <f>IF(H5662="","",H5662&amp;I5662)</f>
        <v/>
      </c>
      <c r="S5662" s="22" t="str">
        <f>IF(C5662="","",C5662&amp;I5662)</f>
        <v/>
      </c>
      <c r="T5662" t="str">
        <f>IF(OR(C5662="",I5662&lt;&gt;"ENTRADA"),"",TEXT(B5662,"AAMMDD")&amp;"-"&amp;TEXT(VALUE(SUBSTITUTE(A5662,"MOV-","")),"000"))</f>
        <v/>
      </c>
    </row>
    <row r="5663" spans="18:20">
      <c r="R5663" s="22" t="str">
        <f>IF(H5663="","",H5663&amp;I5663)</f>
        <v/>
      </c>
      <c r="S5663" s="22" t="str">
        <f>IF(C5663="","",C5663&amp;I5663)</f>
        <v/>
      </c>
      <c r="T5663" t="str">
        <f>IF(OR(C5663="",I5663&lt;&gt;"ENTRADA"),"",TEXT(B5663,"AAMMDD")&amp;"-"&amp;TEXT(VALUE(SUBSTITUTE(A5663,"MOV-","")),"000"))</f>
        <v/>
      </c>
    </row>
    <row r="5664" spans="18:20">
      <c r="R5664" s="22" t="str">
        <f>IF(H5664="","",H5664&amp;I5664)</f>
        <v/>
      </c>
      <c r="S5664" s="22" t="str">
        <f>IF(C5664="","",C5664&amp;I5664)</f>
        <v/>
      </c>
      <c r="T5664" t="str">
        <f>IF(OR(C5664="",I5664&lt;&gt;"ENTRADA"),"",TEXT(B5664,"AAMMDD")&amp;"-"&amp;TEXT(VALUE(SUBSTITUTE(A5664,"MOV-","")),"000"))</f>
        <v/>
      </c>
    </row>
    <row r="5665" spans="18:20">
      <c r="R5665" s="22" t="str">
        <f>IF(H5665="","",H5665&amp;I5665)</f>
        <v/>
      </c>
      <c r="S5665" s="22" t="str">
        <f>IF(C5665="","",C5665&amp;I5665)</f>
        <v/>
      </c>
      <c r="T5665" t="str">
        <f>IF(OR(C5665="",I5665&lt;&gt;"ENTRADA"),"",TEXT(B5665,"AAMMDD")&amp;"-"&amp;TEXT(VALUE(SUBSTITUTE(A5665,"MOV-","")),"000"))</f>
        <v/>
      </c>
    </row>
    <row r="5666" spans="18:20">
      <c r="R5666" s="22" t="str">
        <f>IF(H5666="","",H5666&amp;I5666)</f>
        <v/>
      </c>
      <c r="S5666" s="22" t="str">
        <f>IF(C5666="","",C5666&amp;I5666)</f>
        <v/>
      </c>
      <c r="T5666" t="str">
        <f>IF(OR(C5666="",I5666&lt;&gt;"ENTRADA"),"",TEXT(B5666,"AAMMDD")&amp;"-"&amp;TEXT(VALUE(SUBSTITUTE(A5666,"MOV-","")),"000"))</f>
        <v/>
      </c>
    </row>
    <row r="5667" spans="18:20">
      <c r="R5667" s="22" t="str">
        <f>IF(H5667="","",H5667&amp;I5667)</f>
        <v/>
      </c>
      <c r="S5667" s="22" t="str">
        <f>IF(C5667="","",C5667&amp;I5667)</f>
        <v/>
      </c>
      <c r="T5667" t="str">
        <f>IF(OR(C5667="",I5667&lt;&gt;"ENTRADA"),"",TEXT(B5667,"AAMMDD")&amp;"-"&amp;TEXT(VALUE(SUBSTITUTE(A5667,"MOV-","")),"000"))</f>
        <v/>
      </c>
    </row>
    <row r="5668" spans="18:20">
      <c r="R5668" s="22" t="str">
        <f>IF(H5668="","",H5668&amp;I5668)</f>
        <v/>
      </c>
      <c r="S5668" s="22" t="str">
        <f>IF(C5668="","",C5668&amp;I5668)</f>
        <v/>
      </c>
      <c r="T5668" t="str">
        <f>IF(OR(C5668="",I5668&lt;&gt;"ENTRADA"),"",TEXT(B5668,"AAMMDD")&amp;"-"&amp;TEXT(VALUE(SUBSTITUTE(A5668,"MOV-","")),"000"))</f>
        <v/>
      </c>
    </row>
    <row r="5669" spans="18:20">
      <c r="R5669" s="22" t="str">
        <f>IF(H5669="","",H5669&amp;I5669)</f>
        <v/>
      </c>
      <c r="S5669" s="22" t="str">
        <f>IF(C5669="","",C5669&amp;I5669)</f>
        <v/>
      </c>
      <c r="T5669" t="str">
        <f>IF(OR(C5669="",I5669&lt;&gt;"ENTRADA"),"",TEXT(B5669,"AAMMDD")&amp;"-"&amp;TEXT(VALUE(SUBSTITUTE(A5669,"MOV-","")),"000"))</f>
        <v/>
      </c>
    </row>
    <row r="5670" spans="18:20">
      <c r="R5670" s="22" t="str">
        <f>IF(H5670="","",H5670&amp;I5670)</f>
        <v/>
      </c>
      <c r="S5670" s="22" t="str">
        <f>IF(C5670="","",C5670&amp;I5670)</f>
        <v/>
      </c>
      <c r="T5670" t="str">
        <f>IF(OR(C5670="",I5670&lt;&gt;"ENTRADA"),"",TEXT(B5670,"AAMMDD")&amp;"-"&amp;TEXT(VALUE(SUBSTITUTE(A5670,"MOV-","")),"000"))</f>
        <v/>
      </c>
    </row>
    <row r="5671" spans="18:20">
      <c r="R5671" s="22" t="str">
        <f>IF(H5671="","",H5671&amp;I5671)</f>
        <v/>
      </c>
      <c r="S5671" s="22" t="str">
        <f>IF(C5671="","",C5671&amp;I5671)</f>
        <v/>
      </c>
      <c r="T5671" t="str">
        <f>IF(OR(C5671="",I5671&lt;&gt;"ENTRADA"),"",TEXT(B5671,"AAMMDD")&amp;"-"&amp;TEXT(VALUE(SUBSTITUTE(A5671,"MOV-","")),"000"))</f>
        <v/>
      </c>
    </row>
    <row r="5672" spans="18:20">
      <c r="R5672" s="22" t="str">
        <f>IF(H5672="","",H5672&amp;I5672)</f>
        <v/>
      </c>
      <c r="S5672" s="22" t="str">
        <f>IF(C5672="","",C5672&amp;I5672)</f>
        <v/>
      </c>
      <c r="T5672" t="str">
        <f>IF(OR(C5672="",I5672&lt;&gt;"ENTRADA"),"",TEXT(B5672,"AAMMDD")&amp;"-"&amp;TEXT(VALUE(SUBSTITUTE(A5672,"MOV-","")),"000"))</f>
        <v/>
      </c>
    </row>
    <row r="5673" spans="18:20">
      <c r="R5673" s="22" t="str">
        <f>IF(H5673="","",H5673&amp;I5673)</f>
        <v/>
      </c>
      <c r="S5673" s="22" t="str">
        <f>IF(C5673="","",C5673&amp;I5673)</f>
        <v/>
      </c>
      <c r="T5673" t="str">
        <f>IF(OR(C5673="",I5673&lt;&gt;"ENTRADA"),"",TEXT(B5673,"AAMMDD")&amp;"-"&amp;TEXT(VALUE(SUBSTITUTE(A5673,"MOV-","")),"000"))</f>
        <v/>
      </c>
    </row>
    <row r="5674" spans="18:20">
      <c r="R5674" s="22" t="str">
        <f>IF(H5674="","",H5674&amp;I5674)</f>
        <v/>
      </c>
      <c r="S5674" s="22" t="str">
        <f>IF(C5674="","",C5674&amp;I5674)</f>
        <v/>
      </c>
      <c r="T5674" t="str">
        <f>IF(OR(C5674="",I5674&lt;&gt;"ENTRADA"),"",TEXT(B5674,"AAMMDD")&amp;"-"&amp;TEXT(VALUE(SUBSTITUTE(A5674,"MOV-","")),"000"))</f>
        <v/>
      </c>
    </row>
    <row r="5675" spans="18:20">
      <c r="R5675" s="22" t="str">
        <f>IF(H5675="","",H5675&amp;I5675)</f>
        <v/>
      </c>
      <c r="S5675" s="22" t="str">
        <f>IF(C5675="","",C5675&amp;I5675)</f>
        <v/>
      </c>
      <c r="T5675" t="str">
        <f>IF(OR(C5675="",I5675&lt;&gt;"ENTRADA"),"",TEXT(B5675,"AAMMDD")&amp;"-"&amp;TEXT(VALUE(SUBSTITUTE(A5675,"MOV-","")),"000"))</f>
        <v/>
      </c>
    </row>
    <row r="5676" spans="18:20">
      <c r="R5676" s="22" t="str">
        <f>IF(H5676="","",H5676&amp;I5676)</f>
        <v/>
      </c>
      <c r="S5676" s="22" t="str">
        <f>IF(C5676="","",C5676&amp;I5676)</f>
        <v/>
      </c>
      <c r="T5676" t="str">
        <f>IF(OR(C5676="",I5676&lt;&gt;"ENTRADA"),"",TEXT(B5676,"AAMMDD")&amp;"-"&amp;TEXT(VALUE(SUBSTITUTE(A5676,"MOV-","")),"000"))</f>
        <v/>
      </c>
    </row>
    <row r="5677" spans="18:20">
      <c r="R5677" s="22" t="str">
        <f>IF(H5677="","",H5677&amp;I5677)</f>
        <v/>
      </c>
      <c r="S5677" s="22" t="str">
        <f>IF(C5677="","",C5677&amp;I5677)</f>
        <v/>
      </c>
      <c r="T5677" t="str">
        <f>IF(OR(C5677="",I5677&lt;&gt;"ENTRADA"),"",TEXT(B5677,"AAMMDD")&amp;"-"&amp;TEXT(VALUE(SUBSTITUTE(A5677,"MOV-","")),"000"))</f>
        <v/>
      </c>
    </row>
    <row r="5678" spans="18:20">
      <c r="R5678" s="22" t="str">
        <f>IF(H5678="","",H5678&amp;I5678)</f>
        <v/>
      </c>
      <c r="S5678" s="22" t="str">
        <f>IF(C5678="","",C5678&amp;I5678)</f>
        <v/>
      </c>
      <c r="T5678" t="str">
        <f>IF(OR(C5678="",I5678&lt;&gt;"ENTRADA"),"",TEXT(B5678,"AAMMDD")&amp;"-"&amp;TEXT(VALUE(SUBSTITUTE(A5678,"MOV-","")),"000"))</f>
        <v/>
      </c>
    </row>
    <row r="5679" spans="18:20">
      <c r="R5679" s="22" t="str">
        <f>IF(H5679="","",H5679&amp;I5679)</f>
        <v/>
      </c>
      <c r="S5679" s="22" t="str">
        <f>IF(C5679="","",C5679&amp;I5679)</f>
        <v/>
      </c>
      <c r="T5679" t="str">
        <f>IF(OR(C5679="",I5679&lt;&gt;"ENTRADA"),"",TEXT(B5679,"AAMMDD")&amp;"-"&amp;TEXT(VALUE(SUBSTITUTE(A5679,"MOV-","")),"000"))</f>
        <v/>
      </c>
    </row>
    <row r="5680" spans="18:20">
      <c r="R5680" s="22" t="str">
        <f>IF(H5680="","",H5680&amp;I5680)</f>
        <v/>
      </c>
      <c r="S5680" s="22" t="str">
        <f>IF(C5680="","",C5680&amp;I5680)</f>
        <v/>
      </c>
      <c r="T5680" t="str">
        <f>IF(OR(C5680="",I5680&lt;&gt;"ENTRADA"),"",TEXT(B5680,"AAMMDD")&amp;"-"&amp;TEXT(VALUE(SUBSTITUTE(A5680,"MOV-","")),"000"))</f>
        <v/>
      </c>
    </row>
    <row r="5681" spans="18:20">
      <c r="R5681" s="22" t="str">
        <f>IF(H5681="","",H5681&amp;I5681)</f>
        <v/>
      </c>
      <c r="S5681" s="22" t="str">
        <f>IF(C5681="","",C5681&amp;I5681)</f>
        <v/>
      </c>
      <c r="T5681" t="str">
        <f>IF(OR(C5681="",I5681&lt;&gt;"ENTRADA"),"",TEXT(B5681,"AAMMDD")&amp;"-"&amp;TEXT(VALUE(SUBSTITUTE(A5681,"MOV-","")),"000"))</f>
        <v/>
      </c>
    </row>
    <row r="5682" spans="18:20">
      <c r="R5682" s="22" t="str">
        <f>IF(H5682="","",H5682&amp;I5682)</f>
        <v/>
      </c>
      <c r="S5682" s="22" t="str">
        <f>IF(C5682="","",C5682&amp;I5682)</f>
        <v/>
      </c>
      <c r="T5682" t="str">
        <f>IF(OR(C5682="",I5682&lt;&gt;"ENTRADA"),"",TEXT(B5682,"AAMMDD")&amp;"-"&amp;TEXT(VALUE(SUBSTITUTE(A5682,"MOV-","")),"000"))</f>
        <v/>
      </c>
    </row>
    <row r="5683" spans="18:20">
      <c r="R5683" s="22" t="str">
        <f>IF(H5683="","",H5683&amp;I5683)</f>
        <v/>
      </c>
      <c r="S5683" s="22" t="str">
        <f>IF(C5683="","",C5683&amp;I5683)</f>
        <v/>
      </c>
      <c r="T5683" t="str">
        <f>IF(OR(C5683="",I5683&lt;&gt;"ENTRADA"),"",TEXT(B5683,"AAMMDD")&amp;"-"&amp;TEXT(VALUE(SUBSTITUTE(A5683,"MOV-","")),"000"))</f>
        <v/>
      </c>
    </row>
    <row r="5684" spans="18:20">
      <c r="R5684" s="22" t="str">
        <f>IF(H5684="","",H5684&amp;I5684)</f>
        <v/>
      </c>
      <c r="S5684" s="22" t="str">
        <f>IF(C5684="","",C5684&amp;I5684)</f>
        <v/>
      </c>
      <c r="T5684" t="str">
        <f>IF(OR(C5684="",I5684&lt;&gt;"ENTRADA"),"",TEXT(B5684,"AAMMDD")&amp;"-"&amp;TEXT(VALUE(SUBSTITUTE(A5684,"MOV-","")),"000"))</f>
        <v/>
      </c>
    </row>
    <row r="5685" spans="18:20">
      <c r="R5685" s="22" t="str">
        <f>IF(H5685="","",H5685&amp;I5685)</f>
        <v/>
      </c>
      <c r="S5685" s="22" t="str">
        <f>IF(C5685="","",C5685&amp;I5685)</f>
        <v/>
      </c>
      <c r="T5685" t="str">
        <f>IF(OR(C5685="",I5685&lt;&gt;"ENTRADA"),"",TEXT(B5685,"AAMMDD")&amp;"-"&amp;TEXT(VALUE(SUBSTITUTE(A5685,"MOV-","")),"000"))</f>
        <v/>
      </c>
    </row>
    <row r="5686" spans="18:20">
      <c r="R5686" s="22" t="str">
        <f>IF(H5686="","",H5686&amp;I5686)</f>
        <v/>
      </c>
      <c r="S5686" s="22" t="str">
        <f>IF(C5686="","",C5686&amp;I5686)</f>
        <v/>
      </c>
      <c r="T5686" t="str">
        <f>IF(OR(C5686="",I5686&lt;&gt;"ENTRADA"),"",TEXT(B5686,"AAMMDD")&amp;"-"&amp;TEXT(VALUE(SUBSTITUTE(A5686,"MOV-","")),"000"))</f>
        <v/>
      </c>
    </row>
    <row r="5687" spans="18:20">
      <c r="R5687" s="22" t="str">
        <f>IF(H5687="","",H5687&amp;I5687)</f>
        <v/>
      </c>
      <c r="S5687" s="22" t="str">
        <f>IF(C5687="","",C5687&amp;I5687)</f>
        <v/>
      </c>
      <c r="T5687" t="str">
        <f>IF(OR(C5687="",I5687&lt;&gt;"ENTRADA"),"",TEXT(B5687,"AAMMDD")&amp;"-"&amp;TEXT(VALUE(SUBSTITUTE(A5687,"MOV-","")),"000"))</f>
        <v/>
      </c>
    </row>
    <row r="5688" spans="18:20">
      <c r="R5688" s="22" t="str">
        <f>IF(H5688="","",H5688&amp;I5688)</f>
        <v/>
      </c>
      <c r="S5688" s="22" t="str">
        <f>IF(C5688="","",C5688&amp;I5688)</f>
        <v/>
      </c>
      <c r="T5688" t="str">
        <f>IF(OR(C5688="",I5688&lt;&gt;"ENTRADA"),"",TEXT(B5688,"AAMMDD")&amp;"-"&amp;TEXT(VALUE(SUBSTITUTE(A5688,"MOV-","")),"000"))</f>
        <v/>
      </c>
    </row>
    <row r="5689" spans="18:20">
      <c r="R5689" s="22" t="str">
        <f>IF(H5689="","",H5689&amp;I5689)</f>
        <v/>
      </c>
      <c r="S5689" s="22" t="str">
        <f>IF(C5689="","",C5689&amp;I5689)</f>
        <v/>
      </c>
      <c r="T5689" t="str">
        <f>IF(OR(C5689="",I5689&lt;&gt;"ENTRADA"),"",TEXT(B5689,"AAMMDD")&amp;"-"&amp;TEXT(VALUE(SUBSTITUTE(A5689,"MOV-","")),"000"))</f>
        <v/>
      </c>
    </row>
    <row r="5690" spans="18:20">
      <c r="R5690" s="22" t="str">
        <f>IF(H5690="","",H5690&amp;I5690)</f>
        <v/>
      </c>
      <c r="S5690" s="22" t="str">
        <f>IF(C5690="","",C5690&amp;I5690)</f>
        <v/>
      </c>
      <c r="T5690" t="str">
        <f>IF(OR(C5690="",I5690&lt;&gt;"ENTRADA"),"",TEXT(B5690,"AAMMDD")&amp;"-"&amp;TEXT(VALUE(SUBSTITUTE(A5690,"MOV-","")),"000"))</f>
        <v/>
      </c>
    </row>
    <row r="5691" spans="18:20">
      <c r="R5691" s="22" t="str">
        <f>IF(H5691="","",H5691&amp;I5691)</f>
        <v/>
      </c>
      <c r="S5691" s="22" t="str">
        <f>IF(C5691="","",C5691&amp;I5691)</f>
        <v/>
      </c>
      <c r="T5691" t="str">
        <f>IF(OR(C5691="",I5691&lt;&gt;"ENTRADA"),"",TEXT(B5691,"AAMMDD")&amp;"-"&amp;TEXT(VALUE(SUBSTITUTE(A5691,"MOV-","")),"000"))</f>
        <v/>
      </c>
    </row>
    <row r="5692" spans="18:20">
      <c r="R5692" s="22" t="str">
        <f>IF(H5692="","",H5692&amp;I5692)</f>
        <v/>
      </c>
      <c r="S5692" s="22" t="str">
        <f>IF(C5692="","",C5692&amp;I5692)</f>
        <v/>
      </c>
      <c r="T5692" t="str">
        <f>IF(OR(C5692="",I5692&lt;&gt;"ENTRADA"),"",TEXT(B5692,"AAMMDD")&amp;"-"&amp;TEXT(VALUE(SUBSTITUTE(A5692,"MOV-","")),"000"))</f>
        <v/>
      </c>
    </row>
    <row r="5693" spans="18:20">
      <c r="R5693" s="22" t="str">
        <f>IF(H5693="","",H5693&amp;I5693)</f>
        <v/>
      </c>
      <c r="S5693" s="22" t="str">
        <f>IF(C5693="","",C5693&amp;I5693)</f>
        <v/>
      </c>
      <c r="T5693" t="str">
        <f>IF(OR(C5693="",I5693&lt;&gt;"ENTRADA"),"",TEXT(B5693,"AAMMDD")&amp;"-"&amp;TEXT(VALUE(SUBSTITUTE(A5693,"MOV-","")),"000"))</f>
        <v/>
      </c>
    </row>
    <row r="5694" spans="18:20">
      <c r="R5694" s="22" t="str">
        <f>IF(H5694="","",H5694&amp;I5694)</f>
        <v/>
      </c>
      <c r="S5694" s="22" t="str">
        <f>IF(C5694="","",C5694&amp;I5694)</f>
        <v/>
      </c>
      <c r="T5694" t="str">
        <f>IF(OR(C5694="",I5694&lt;&gt;"ENTRADA"),"",TEXT(B5694,"AAMMDD")&amp;"-"&amp;TEXT(VALUE(SUBSTITUTE(A5694,"MOV-","")),"000"))</f>
        <v/>
      </c>
    </row>
    <row r="5695" spans="18:20">
      <c r="R5695" s="22" t="str">
        <f>IF(H5695="","",H5695&amp;I5695)</f>
        <v/>
      </c>
      <c r="S5695" s="22" t="str">
        <f>IF(C5695="","",C5695&amp;I5695)</f>
        <v/>
      </c>
      <c r="T5695" t="str">
        <f>IF(OR(C5695="",I5695&lt;&gt;"ENTRADA"),"",TEXT(B5695,"AAMMDD")&amp;"-"&amp;TEXT(VALUE(SUBSTITUTE(A5695,"MOV-","")),"000"))</f>
        <v/>
      </c>
    </row>
    <row r="5696" spans="18:20">
      <c r="R5696" s="22" t="str">
        <f>IF(H5696="","",H5696&amp;I5696)</f>
        <v/>
      </c>
      <c r="S5696" s="22" t="str">
        <f>IF(C5696="","",C5696&amp;I5696)</f>
        <v/>
      </c>
      <c r="T5696" t="str">
        <f>IF(OR(C5696="",I5696&lt;&gt;"ENTRADA"),"",TEXT(B5696,"AAMMDD")&amp;"-"&amp;TEXT(VALUE(SUBSTITUTE(A5696,"MOV-","")),"000"))</f>
        <v/>
      </c>
    </row>
    <row r="5697" spans="18:20">
      <c r="R5697" s="22" t="str">
        <f>IF(H5697="","",H5697&amp;I5697)</f>
        <v/>
      </c>
      <c r="S5697" s="22" t="str">
        <f>IF(C5697="","",C5697&amp;I5697)</f>
        <v/>
      </c>
      <c r="T5697" t="str">
        <f>IF(OR(C5697="",I5697&lt;&gt;"ENTRADA"),"",TEXT(B5697,"AAMMDD")&amp;"-"&amp;TEXT(VALUE(SUBSTITUTE(A5697,"MOV-","")),"000"))</f>
        <v/>
      </c>
    </row>
    <row r="5698" spans="18:20">
      <c r="R5698" s="22" t="str">
        <f>IF(H5698="","",H5698&amp;I5698)</f>
        <v/>
      </c>
      <c r="S5698" s="22" t="str">
        <f>IF(C5698="","",C5698&amp;I5698)</f>
        <v/>
      </c>
      <c r="T5698" t="str">
        <f>IF(OR(C5698="",I5698&lt;&gt;"ENTRADA"),"",TEXT(B5698,"AAMMDD")&amp;"-"&amp;TEXT(VALUE(SUBSTITUTE(A5698,"MOV-","")),"000"))</f>
        <v/>
      </c>
    </row>
    <row r="5699" spans="18:20">
      <c r="R5699" s="22" t="str">
        <f>IF(H5699="","",H5699&amp;I5699)</f>
        <v/>
      </c>
      <c r="S5699" s="22" t="str">
        <f>IF(C5699="","",C5699&amp;I5699)</f>
        <v/>
      </c>
      <c r="T5699" t="str">
        <f>IF(OR(C5699="",I5699&lt;&gt;"ENTRADA"),"",TEXT(B5699,"AAMMDD")&amp;"-"&amp;TEXT(VALUE(SUBSTITUTE(A5699,"MOV-","")),"000"))</f>
        <v/>
      </c>
    </row>
    <row r="5700" spans="18:20">
      <c r="R5700" s="22" t="str">
        <f>IF(H5700="","",H5700&amp;I5700)</f>
        <v/>
      </c>
      <c r="S5700" s="22" t="str">
        <f>IF(C5700="","",C5700&amp;I5700)</f>
        <v/>
      </c>
      <c r="T5700" t="str">
        <f>IF(OR(C5700="",I5700&lt;&gt;"ENTRADA"),"",TEXT(B5700,"AAMMDD")&amp;"-"&amp;TEXT(VALUE(SUBSTITUTE(A5700,"MOV-","")),"000"))</f>
        <v/>
      </c>
    </row>
    <row r="5701" spans="18:20">
      <c r="R5701" s="22" t="str">
        <f>IF(H5701="","",H5701&amp;I5701)</f>
        <v/>
      </c>
      <c r="S5701" s="22" t="str">
        <f>IF(C5701="","",C5701&amp;I5701)</f>
        <v/>
      </c>
      <c r="T5701" t="str">
        <f>IF(OR(C5701="",I5701&lt;&gt;"ENTRADA"),"",TEXT(B5701,"AAMMDD")&amp;"-"&amp;TEXT(VALUE(SUBSTITUTE(A5701,"MOV-","")),"000"))</f>
        <v/>
      </c>
    </row>
    <row r="5702" spans="18:20">
      <c r="R5702" s="22" t="str">
        <f>IF(H5702="","",H5702&amp;I5702)</f>
        <v/>
      </c>
      <c r="S5702" s="22" t="str">
        <f>IF(C5702="","",C5702&amp;I5702)</f>
        <v/>
      </c>
      <c r="T5702" t="str">
        <f>IF(OR(C5702="",I5702&lt;&gt;"ENTRADA"),"",TEXT(B5702,"AAMMDD")&amp;"-"&amp;TEXT(VALUE(SUBSTITUTE(A5702,"MOV-","")),"000"))</f>
        <v/>
      </c>
    </row>
    <row r="5703" spans="18:20">
      <c r="R5703" s="22" t="str">
        <f>IF(H5703="","",H5703&amp;I5703)</f>
        <v/>
      </c>
      <c r="S5703" s="22" t="str">
        <f>IF(C5703="","",C5703&amp;I5703)</f>
        <v/>
      </c>
      <c r="T5703" t="str">
        <f>IF(OR(C5703="",I5703&lt;&gt;"ENTRADA"),"",TEXT(B5703,"AAMMDD")&amp;"-"&amp;TEXT(VALUE(SUBSTITUTE(A5703,"MOV-","")),"000"))</f>
        <v/>
      </c>
    </row>
    <row r="5704" spans="18:20">
      <c r="R5704" s="22" t="str">
        <f>IF(H5704="","",H5704&amp;I5704)</f>
        <v/>
      </c>
      <c r="S5704" s="22" t="str">
        <f>IF(C5704="","",C5704&amp;I5704)</f>
        <v/>
      </c>
      <c r="T5704" t="str">
        <f>IF(OR(C5704="",I5704&lt;&gt;"ENTRADA"),"",TEXT(B5704,"AAMMDD")&amp;"-"&amp;TEXT(VALUE(SUBSTITUTE(A5704,"MOV-","")),"000"))</f>
        <v/>
      </c>
    </row>
    <row r="5705" spans="18:20">
      <c r="R5705" s="22" t="str">
        <f>IF(H5705="","",H5705&amp;I5705)</f>
        <v/>
      </c>
      <c r="S5705" s="22" t="str">
        <f>IF(C5705="","",C5705&amp;I5705)</f>
        <v/>
      </c>
      <c r="T5705" t="str">
        <f>IF(OR(C5705="",I5705&lt;&gt;"ENTRADA"),"",TEXT(B5705,"AAMMDD")&amp;"-"&amp;TEXT(VALUE(SUBSTITUTE(A5705,"MOV-","")),"000"))</f>
        <v/>
      </c>
    </row>
    <row r="5706" spans="18:20">
      <c r="R5706" s="22" t="str">
        <f>IF(H5706="","",H5706&amp;I5706)</f>
        <v/>
      </c>
      <c r="S5706" s="22" t="str">
        <f>IF(C5706="","",C5706&amp;I5706)</f>
        <v/>
      </c>
      <c r="T5706" t="str">
        <f>IF(OR(C5706="",I5706&lt;&gt;"ENTRADA"),"",TEXT(B5706,"AAMMDD")&amp;"-"&amp;TEXT(VALUE(SUBSTITUTE(A5706,"MOV-","")),"000"))</f>
        <v/>
      </c>
    </row>
    <row r="5707" spans="18:20">
      <c r="R5707" s="22" t="str">
        <f>IF(H5707="","",H5707&amp;I5707)</f>
        <v/>
      </c>
      <c r="S5707" s="22" t="str">
        <f>IF(C5707="","",C5707&amp;I5707)</f>
        <v/>
      </c>
      <c r="T5707" t="str">
        <f>IF(OR(C5707="",I5707&lt;&gt;"ENTRADA"),"",TEXT(B5707,"AAMMDD")&amp;"-"&amp;TEXT(VALUE(SUBSTITUTE(A5707,"MOV-","")),"000"))</f>
        <v/>
      </c>
    </row>
    <row r="5708" spans="18:20">
      <c r="R5708" s="22" t="str">
        <f>IF(H5708="","",H5708&amp;I5708)</f>
        <v/>
      </c>
      <c r="S5708" s="22" t="str">
        <f>IF(C5708="","",C5708&amp;I5708)</f>
        <v/>
      </c>
      <c r="T5708" t="str">
        <f>IF(OR(C5708="",I5708&lt;&gt;"ENTRADA"),"",TEXT(B5708,"AAMMDD")&amp;"-"&amp;TEXT(VALUE(SUBSTITUTE(A5708,"MOV-","")),"000"))</f>
        <v/>
      </c>
    </row>
    <row r="5709" spans="18:20">
      <c r="R5709" s="22" t="str">
        <f>IF(H5709="","",H5709&amp;I5709)</f>
        <v/>
      </c>
      <c r="S5709" s="22" t="str">
        <f>IF(C5709="","",C5709&amp;I5709)</f>
        <v/>
      </c>
      <c r="T5709" t="str">
        <f>IF(OR(C5709="",I5709&lt;&gt;"ENTRADA"),"",TEXT(B5709,"AAMMDD")&amp;"-"&amp;TEXT(VALUE(SUBSTITUTE(A5709,"MOV-","")),"000"))</f>
        <v/>
      </c>
    </row>
    <row r="5710" spans="18:20">
      <c r="R5710" s="22" t="str">
        <f>IF(H5710="","",H5710&amp;I5710)</f>
        <v/>
      </c>
      <c r="S5710" s="22" t="str">
        <f>IF(C5710="","",C5710&amp;I5710)</f>
        <v/>
      </c>
      <c r="T5710" t="str">
        <f>IF(OR(C5710="",I5710&lt;&gt;"ENTRADA"),"",TEXT(B5710,"AAMMDD")&amp;"-"&amp;TEXT(VALUE(SUBSTITUTE(A5710,"MOV-","")),"000"))</f>
        <v/>
      </c>
    </row>
    <row r="5711" spans="18:20">
      <c r="R5711" s="22" t="str">
        <f>IF(H5711="","",H5711&amp;I5711)</f>
        <v/>
      </c>
      <c r="S5711" s="22" t="str">
        <f>IF(C5711="","",C5711&amp;I5711)</f>
        <v/>
      </c>
      <c r="T5711" t="str">
        <f>IF(OR(C5711="",I5711&lt;&gt;"ENTRADA"),"",TEXT(B5711,"AAMMDD")&amp;"-"&amp;TEXT(VALUE(SUBSTITUTE(A5711,"MOV-","")),"000"))</f>
        <v/>
      </c>
    </row>
    <row r="5712" spans="18:20">
      <c r="R5712" s="22" t="str">
        <f>IF(H5712="","",H5712&amp;I5712)</f>
        <v/>
      </c>
      <c r="S5712" s="22" t="str">
        <f>IF(C5712="","",C5712&amp;I5712)</f>
        <v/>
      </c>
      <c r="T5712" t="str">
        <f>IF(OR(C5712="",I5712&lt;&gt;"ENTRADA"),"",TEXT(B5712,"AAMMDD")&amp;"-"&amp;TEXT(VALUE(SUBSTITUTE(A5712,"MOV-","")),"000"))</f>
        <v/>
      </c>
    </row>
    <row r="5713" spans="18:20">
      <c r="R5713" s="22" t="str">
        <f>IF(H5713="","",H5713&amp;I5713)</f>
        <v/>
      </c>
      <c r="S5713" s="22" t="str">
        <f>IF(C5713="","",C5713&amp;I5713)</f>
        <v/>
      </c>
      <c r="T5713" t="str">
        <f>IF(OR(C5713="",I5713&lt;&gt;"ENTRADA"),"",TEXT(B5713,"AAMMDD")&amp;"-"&amp;TEXT(VALUE(SUBSTITUTE(A5713,"MOV-","")),"000"))</f>
        <v/>
      </c>
    </row>
    <row r="5714" spans="18:20">
      <c r="R5714" s="22" t="str">
        <f>IF(H5714="","",H5714&amp;I5714)</f>
        <v/>
      </c>
      <c r="S5714" s="22" t="str">
        <f>IF(C5714="","",C5714&amp;I5714)</f>
        <v/>
      </c>
      <c r="T5714" t="str">
        <f>IF(OR(C5714="",I5714&lt;&gt;"ENTRADA"),"",TEXT(B5714,"AAMMDD")&amp;"-"&amp;TEXT(VALUE(SUBSTITUTE(A5714,"MOV-","")),"000"))</f>
        <v/>
      </c>
    </row>
    <row r="5715" spans="18:20">
      <c r="R5715" s="22" t="str">
        <f>IF(H5715="","",H5715&amp;I5715)</f>
        <v/>
      </c>
      <c r="S5715" s="22" t="str">
        <f>IF(C5715="","",C5715&amp;I5715)</f>
        <v/>
      </c>
      <c r="T5715" t="str">
        <f>IF(OR(C5715="",I5715&lt;&gt;"ENTRADA"),"",TEXT(B5715,"AAMMDD")&amp;"-"&amp;TEXT(VALUE(SUBSTITUTE(A5715,"MOV-","")),"000"))</f>
        <v/>
      </c>
    </row>
    <row r="5716" spans="18:20">
      <c r="R5716" s="22" t="str">
        <f>IF(H5716="","",H5716&amp;I5716)</f>
        <v/>
      </c>
      <c r="S5716" s="22" t="str">
        <f>IF(C5716="","",C5716&amp;I5716)</f>
        <v/>
      </c>
      <c r="T5716" t="str">
        <f>IF(OR(C5716="",I5716&lt;&gt;"ENTRADA"),"",TEXT(B5716,"AAMMDD")&amp;"-"&amp;TEXT(VALUE(SUBSTITUTE(A5716,"MOV-","")),"000"))</f>
        <v/>
      </c>
    </row>
    <row r="5717" spans="18:20">
      <c r="R5717" s="22" t="str">
        <f>IF(H5717="","",H5717&amp;I5717)</f>
        <v/>
      </c>
      <c r="S5717" s="22" t="str">
        <f>IF(C5717="","",C5717&amp;I5717)</f>
        <v/>
      </c>
      <c r="T5717" t="str">
        <f>IF(OR(C5717="",I5717&lt;&gt;"ENTRADA"),"",TEXT(B5717,"AAMMDD")&amp;"-"&amp;TEXT(VALUE(SUBSTITUTE(A5717,"MOV-","")),"000"))</f>
        <v/>
      </c>
    </row>
    <row r="5718" spans="18:20">
      <c r="R5718" s="22" t="str">
        <f>IF(H5718="","",H5718&amp;I5718)</f>
        <v/>
      </c>
      <c r="S5718" s="22" t="str">
        <f>IF(C5718="","",C5718&amp;I5718)</f>
        <v/>
      </c>
      <c r="T5718" t="str">
        <f>IF(OR(C5718="",I5718&lt;&gt;"ENTRADA"),"",TEXT(B5718,"AAMMDD")&amp;"-"&amp;TEXT(VALUE(SUBSTITUTE(A5718,"MOV-","")),"000"))</f>
        <v/>
      </c>
    </row>
    <row r="5719" spans="18:20">
      <c r="R5719" s="22" t="str">
        <f>IF(H5719="","",H5719&amp;I5719)</f>
        <v/>
      </c>
      <c r="S5719" s="22" t="str">
        <f>IF(C5719="","",C5719&amp;I5719)</f>
        <v/>
      </c>
      <c r="T5719" t="str">
        <f>IF(OR(C5719="",I5719&lt;&gt;"ENTRADA"),"",TEXT(B5719,"AAMMDD")&amp;"-"&amp;TEXT(VALUE(SUBSTITUTE(A5719,"MOV-","")),"000"))</f>
        <v/>
      </c>
    </row>
    <row r="5720" spans="18:20">
      <c r="R5720" s="22" t="str">
        <f>IF(H5720="","",H5720&amp;I5720)</f>
        <v/>
      </c>
      <c r="S5720" s="22" t="str">
        <f>IF(C5720="","",C5720&amp;I5720)</f>
        <v/>
      </c>
      <c r="T5720" t="str">
        <f>IF(OR(C5720="",I5720&lt;&gt;"ENTRADA"),"",TEXT(B5720,"AAMMDD")&amp;"-"&amp;TEXT(VALUE(SUBSTITUTE(A5720,"MOV-","")),"000"))</f>
        <v/>
      </c>
    </row>
    <row r="5721" spans="18:20">
      <c r="R5721" s="22" t="str">
        <f>IF(H5721="","",H5721&amp;I5721)</f>
        <v/>
      </c>
      <c r="S5721" s="22" t="str">
        <f>IF(C5721="","",C5721&amp;I5721)</f>
        <v/>
      </c>
      <c r="T5721" t="str">
        <f>IF(OR(C5721="",I5721&lt;&gt;"ENTRADA"),"",TEXT(B5721,"AAMMDD")&amp;"-"&amp;TEXT(VALUE(SUBSTITUTE(A5721,"MOV-","")),"000"))</f>
        <v/>
      </c>
    </row>
    <row r="5722" spans="18:20">
      <c r="R5722" s="22" t="str">
        <f>IF(H5722="","",H5722&amp;I5722)</f>
        <v/>
      </c>
      <c r="S5722" s="22" t="str">
        <f>IF(C5722="","",C5722&amp;I5722)</f>
        <v/>
      </c>
      <c r="T5722" t="str">
        <f>IF(OR(C5722="",I5722&lt;&gt;"ENTRADA"),"",TEXT(B5722,"AAMMDD")&amp;"-"&amp;TEXT(VALUE(SUBSTITUTE(A5722,"MOV-","")),"000"))</f>
        <v/>
      </c>
    </row>
    <row r="5723" spans="18:20">
      <c r="R5723" s="22" t="str">
        <f>IF(H5723="","",H5723&amp;I5723)</f>
        <v/>
      </c>
      <c r="S5723" s="22" t="str">
        <f>IF(C5723="","",C5723&amp;I5723)</f>
        <v/>
      </c>
      <c r="T5723" t="str">
        <f>IF(OR(C5723="",I5723&lt;&gt;"ENTRADA"),"",TEXT(B5723,"AAMMDD")&amp;"-"&amp;TEXT(VALUE(SUBSTITUTE(A5723,"MOV-","")),"000"))</f>
        <v/>
      </c>
    </row>
    <row r="5724" spans="18:20">
      <c r="R5724" s="22" t="str">
        <f>IF(H5724="","",H5724&amp;I5724)</f>
        <v/>
      </c>
      <c r="S5724" s="22" t="str">
        <f>IF(C5724="","",C5724&amp;I5724)</f>
        <v/>
      </c>
      <c r="T5724" t="str">
        <f>IF(OR(C5724="",I5724&lt;&gt;"ENTRADA"),"",TEXT(B5724,"AAMMDD")&amp;"-"&amp;TEXT(VALUE(SUBSTITUTE(A5724,"MOV-","")),"000"))</f>
        <v/>
      </c>
    </row>
    <row r="5725" spans="18:20">
      <c r="R5725" s="22" t="str">
        <f>IF(H5725="","",H5725&amp;I5725)</f>
        <v/>
      </c>
      <c r="S5725" s="22" t="str">
        <f>IF(C5725="","",C5725&amp;I5725)</f>
        <v/>
      </c>
      <c r="T5725" t="str">
        <f>IF(OR(C5725="",I5725&lt;&gt;"ENTRADA"),"",TEXT(B5725,"AAMMDD")&amp;"-"&amp;TEXT(VALUE(SUBSTITUTE(A5725,"MOV-","")),"000"))</f>
        <v/>
      </c>
    </row>
    <row r="5726" spans="18:20">
      <c r="R5726" s="22" t="str">
        <f>IF(H5726="","",H5726&amp;I5726)</f>
        <v/>
      </c>
      <c r="S5726" s="22" t="str">
        <f>IF(C5726="","",C5726&amp;I5726)</f>
        <v/>
      </c>
      <c r="T5726" t="str">
        <f>IF(OR(C5726="",I5726&lt;&gt;"ENTRADA"),"",TEXT(B5726,"AAMMDD")&amp;"-"&amp;TEXT(VALUE(SUBSTITUTE(A5726,"MOV-","")),"000"))</f>
        <v/>
      </c>
    </row>
    <row r="5727" spans="18:20">
      <c r="R5727" s="22" t="str">
        <f>IF(H5727="","",H5727&amp;I5727)</f>
        <v/>
      </c>
      <c r="S5727" s="22" t="str">
        <f>IF(C5727="","",C5727&amp;I5727)</f>
        <v/>
      </c>
      <c r="T5727" t="str">
        <f>IF(OR(C5727="",I5727&lt;&gt;"ENTRADA"),"",TEXT(B5727,"AAMMDD")&amp;"-"&amp;TEXT(VALUE(SUBSTITUTE(A5727,"MOV-","")),"000"))</f>
        <v/>
      </c>
    </row>
    <row r="5728" spans="18:20">
      <c r="R5728" s="22" t="str">
        <f>IF(H5728="","",H5728&amp;I5728)</f>
        <v/>
      </c>
      <c r="S5728" s="22" t="str">
        <f>IF(C5728="","",C5728&amp;I5728)</f>
        <v/>
      </c>
      <c r="T5728" t="str">
        <f>IF(OR(C5728="",I5728&lt;&gt;"ENTRADA"),"",TEXT(B5728,"AAMMDD")&amp;"-"&amp;TEXT(VALUE(SUBSTITUTE(A5728,"MOV-","")),"000"))</f>
        <v/>
      </c>
    </row>
    <row r="5729" spans="18:20">
      <c r="R5729" s="22" t="str">
        <f>IF(H5729="","",H5729&amp;I5729)</f>
        <v/>
      </c>
      <c r="S5729" s="22" t="str">
        <f>IF(C5729="","",C5729&amp;I5729)</f>
        <v/>
      </c>
      <c r="T5729" t="str">
        <f>IF(OR(C5729="",I5729&lt;&gt;"ENTRADA"),"",TEXT(B5729,"AAMMDD")&amp;"-"&amp;TEXT(VALUE(SUBSTITUTE(A5729,"MOV-","")),"000"))</f>
        <v/>
      </c>
    </row>
    <row r="5730" spans="18:20">
      <c r="R5730" s="22" t="str">
        <f>IF(H5730="","",H5730&amp;I5730)</f>
        <v/>
      </c>
      <c r="S5730" s="22" t="str">
        <f>IF(C5730="","",C5730&amp;I5730)</f>
        <v/>
      </c>
      <c r="T5730" t="str">
        <f>IF(OR(C5730="",I5730&lt;&gt;"ENTRADA"),"",TEXT(B5730,"AAMMDD")&amp;"-"&amp;TEXT(VALUE(SUBSTITUTE(A5730,"MOV-","")),"000"))</f>
        <v/>
      </c>
    </row>
    <row r="5731" spans="18:20">
      <c r="R5731" s="22" t="str">
        <f>IF(H5731="","",H5731&amp;I5731)</f>
        <v/>
      </c>
      <c r="S5731" s="22" t="str">
        <f>IF(C5731="","",C5731&amp;I5731)</f>
        <v/>
      </c>
      <c r="T5731" t="str">
        <f>IF(OR(C5731="",I5731&lt;&gt;"ENTRADA"),"",TEXT(B5731,"AAMMDD")&amp;"-"&amp;TEXT(VALUE(SUBSTITUTE(A5731,"MOV-","")),"000"))</f>
        <v/>
      </c>
    </row>
    <row r="5732" spans="18:20">
      <c r="R5732" s="22" t="str">
        <f>IF(H5732="","",H5732&amp;I5732)</f>
        <v/>
      </c>
      <c r="S5732" s="22" t="str">
        <f>IF(C5732="","",C5732&amp;I5732)</f>
        <v/>
      </c>
      <c r="T5732" t="str">
        <f>IF(OR(C5732="",I5732&lt;&gt;"ENTRADA"),"",TEXT(B5732,"AAMMDD")&amp;"-"&amp;TEXT(VALUE(SUBSTITUTE(A5732,"MOV-","")),"000"))</f>
        <v/>
      </c>
    </row>
    <row r="5733" spans="18:20">
      <c r="R5733" s="22" t="str">
        <f>IF(H5733="","",H5733&amp;I5733)</f>
        <v/>
      </c>
      <c r="S5733" s="22" t="str">
        <f>IF(C5733="","",C5733&amp;I5733)</f>
        <v/>
      </c>
      <c r="T5733" t="str">
        <f>IF(OR(C5733="",I5733&lt;&gt;"ENTRADA"),"",TEXT(B5733,"AAMMDD")&amp;"-"&amp;TEXT(VALUE(SUBSTITUTE(A5733,"MOV-","")),"000"))</f>
        <v/>
      </c>
    </row>
    <row r="5734" spans="18:20">
      <c r="R5734" s="22" t="str">
        <f>IF(H5734="","",H5734&amp;I5734)</f>
        <v/>
      </c>
      <c r="S5734" s="22" t="str">
        <f>IF(C5734="","",C5734&amp;I5734)</f>
        <v/>
      </c>
      <c r="T5734" t="str">
        <f>IF(OR(C5734="",I5734&lt;&gt;"ENTRADA"),"",TEXT(B5734,"AAMMDD")&amp;"-"&amp;TEXT(VALUE(SUBSTITUTE(A5734,"MOV-","")),"000"))</f>
        <v/>
      </c>
    </row>
    <row r="5735" spans="18:20">
      <c r="R5735" s="22" t="str">
        <f>IF(H5735="","",H5735&amp;I5735)</f>
        <v/>
      </c>
      <c r="S5735" s="22" t="str">
        <f>IF(C5735="","",C5735&amp;I5735)</f>
        <v/>
      </c>
      <c r="T5735" t="str">
        <f>IF(OR(C5735="",I5735&lt;&gt;"ENTRADA"),"",TEXT(B5735,"AAMMDD")&amp;"-"&amp;TEXT(VALUE(SUBSTITUTE(A5735,"MOV-","")),"000"))</f>
        <v/>
      </c>
    </row>
    <row r="5736" spans="18:20">
      <c r="R5736" s="22" t="str">
        <f>IF(H5736="","",H5736&amp;I5736)</f>
        <v/>
      </c>
      <c r="S5736" s="22" t="str">
        <f>IF(C5736="","",C5736&amp;I5736)</f>
        <v/>
      </c>
      <c r="T5736" t="str">
        <f>IF(OR(C5736="",I5736&lt;&gt;"ENTRADA"),"",TEXT(B5736,"AAMMDD")&amp;"-"&amp;TEXT(VALUE(SUBSTITUTE(A5736,"MOV-","")),"000"))</f>
        <v/>
      </c>
    </row>
    <row r="5737" spans="18:20">
      <c r="R5737" s="22" t="str">
        <f>IF(H5737="","",H5737&amp;I5737)</f>
        <v/>
      </c>
      <c r="S5737" s="22" t="str">
        <f>IF(C5737="","",C5737&amp;I5737)</f>
        <v/>
      </c>
      <c r="T5737" t="str">
        <f>IF(OR(C5737="",I5737&lt;&gt;"ENTRADA"),"",TEXT(B5737,"AAMMDD")&amp;"-"&amp;TEXT(VALUE(SUBSTITUTE(A5737,"MOV-","")),"000"))</f>
        <v/>
      </c>
    </row>
    <row r="5738" spans="18:20">
      <c r="R5738" s="22" t="str">
        <f>IF(H5738="","",H5738&amp;I5738)</f>
        <v/>
      </c>
      <c r="S5738" s="22" t="str">
        <f>IF(C5738="","",C5738&amp;I5738)</f>
        <v/>
      </c>
      <c r="T5738" t="str">
        <f>IF(OR(C5738="",I5738&lt;&gt;"ENTRADA"),"",TEXT(B5738,"AAMMDD")&amp;"-"&amp;TEXT(VALUE(SUBSTITUTE(A5738,"MOV-","")),"000"))</f>
        <v/>
      </c>
    </row>
    <row r="5739" spans="18:20">
      <c r="R5739" s="22" t="str">
        <f>IF(H5739="","",H5739&amp;I5739)</f>
        <v/>
      </c>
      <c r="S5739" s="22" t="str">
        <f>IF(C5739="","",C5739&amp;I5739)</f>
        <v/>
      </c>
      <c r="T5739" t="str">
        <f>IF(OR(C5739="",I5739&lt;&gt;"ENTRADA"),"",TEXT(B5739,"AAMMDD")&amp;"-"&amp;TEXT(VALUE(SUBSTITUTE(A5739,"MOV-","")),"000"))</f>
        <v/>
      </c>
    </row>
    <row r="5740" spans="18:20">
      <c r="R5740" s="22" t="str">
        <f>IF(H5740="","",H5740&amp;I5740)</f>
        <v/>
      </c>
      <c r="S5740" s="22" t="str">
        <f>IF(C5740="","",C5740&amp;I5740)</f>
        <v/>
      </c>
      <c r="T5740" t="str">
        <f>IF(OR(C5740="",I5740&lt;&gt;"ENTRADA"),"",TEXT(B5740,"AAMMDD")&amp;"-"&amp;TEXT(VALUE(SUBSTITUTE(A5740,"MOV-","")),"000"))</f>
        <v/>
      </c>
    </row>
    <row r="5741" spans="18:20">
      <c r="R5741" s="22" t="str">
        <f>IF(H5741="","",H5741&amp;I5741)</f>
        <v/>
      </c>
      <c r="S5741" s="22" t="str">
        <f>IF(C5741="","",C5741&amp;I5741)</f>
        <v/>
      </c>
      <c r="T5741" t="str">
        <f>IF(OR(C5741="",I5741&lt;&gt;"ENTRADA"),"",TEXT(B5741,"AAMMDD")&amp;"-"&amp;TEXT(VALUE(SUBSTITUTE(A5741,"MOV-","")),"000"))</f>
        <v/>
      </c>
    </row>
    <row r="5742" spans="18:20">
      <c r="R5742" s="22" t="str">
        <f>IF(H5742="","",H5742&amp;I5742)</f>
        <v/>
      </c>
      <c r="S5742" s="22" t="str">
        <f>IF(C5742="","",C5742&amp;I5742)</f>
        <v/>
      </c>
      <c r="T5742" t="str">
        <f>IF(OR(C5742="",I5742&lt;&gt;"ENTRADA"),"",TEXT(B5742,"AAMMDD")&amp;"-"&amp;TEXT(VALUE(SUBSTITUTE(A5742,"MOV-","")),"000"))</f>
        <v/>
      </c>
    </row>
    <row r="5743" spans="18:20">
      <c r="R5743" s="22" t="str">
        <f>IF(H5743="","",H5743&amp;I5743)</f>
        <v/>
      </c>
      <c r="S5743" s="22" t="str">
        <f>IF(C5743="","",C5743&amp;I5743)</f>
        <v/>
      </c>
      <c r="T5743" t="str">
        <f>IF(OR(C5743="",I5743&lt;&gt;"ENTRADA"),"",TEXT(B5743,"AAMMDD")&amp;"-"&amp;TEXT(VALUE(SUBSTITUTE(A5743,"MOV-","")),"000"))</f>
        <v/>
      </c>
    </row>
    <row r="5744" spans="18:20">
      <c r="R5744" s="22" t="str">
        <f>IF(H5744="","",H5744&amp;I5744)</f>
        <v/>
      </c>
      <c r="S5744" s="22" t="str">
        <f>IF(C5744="","",C5744&amp;I5744)</f>
        <v/>
      </c>
      <c r="T5744" t="str">
        <f>IF(OR(C5744="",I5744&lt;&gt;"ENTRADA"),"",TEXT(B5744,"AAMMDD")&amp;"-"&amp;TEXT(VALUE(SUBSTITUTE(A5744,"MOV-","")),"000"))</f>
        <v/>
      </c>
    </row>
    <row r="5745" spans="18:20">
      <c r="R5745" s="22" t="str">
        <f>IF(H5745="","",H5745&amp;I5745)</f>
        <v/>
      </c>
      <c r="S5745" s="22" t="str">
        <f>IF(C5745="","",C5745&amp;I5745)</f>
        <v/>
      </c>
      <c r="T5745" t="str">
        <f>IF(OR(C5745="",I5745&lt;&gt;"ENTRADA"),"",TEXT(B5745,"AAMMDD")&amp;"-"&amp;TEXT(VALUE(SUBSTITUTE(A5745,"MOV-","")),"000"))</f>
        <v/>
      </c>
    </row>
    <row r="5746" spans="18:20">
      <c r="R5746" s="22" t="str">
        <f>IF(H5746="","",H5746&amp;I5746)</f>
        <v/>
      </c>
      <c r="S5746" s="22" t="str">
        <f>IF(C5746="","",C5746&amp;I5746)</f>
        <v/>
      </c>
      <c r="T5746" t="str">
        <f>IF(OR(C5746="",I5746&lt;&gt;"ENTRADA"),"",TEXT(B5746,"AAMMDD")&amp;"-"&amp;TEXT(VALUE(SUBSTITUTE(A5746,"MOV-","")),"000"))</f>
        <v/>
      </c>
    </row>
    <row r="5747" spans="18:20">
      <c r="R5747" s="22" t="str">
        <f>IF(H5747="","",H5747&amp;I5747)</f>
        <v/>
      </c>
      <c r="S5747" s="22" t="str">
        <f>IF(C5747="","",C5747&amp;I5747)</f>
        <v/>
      </c>
      <c r="T5747" t="str">
        <f>IF(OR(C5747="",I5747&lt;&gt;"ENTRADA"),"",TEXT(B5747,"AAMMDD")&amp;"-"&amp;TEXT(VALUE(SUBSTITUTE(A5747,"MOV-","")),"000"))</f>
        <v/>
      </c>
    </row>
    <row r="5748" spans="18:20">
      <c r="R5748" s="22" t="str">
        <f>IF(H5748="","",H5748&amp;I5748)</f>
        <v/>
      </c>
      <c r="S5748" s="22" t="str">
        <f>IF(C5748="","",C5748&amp;I5748)</f>
        <v/>
      </c>
      <c r="T5748" t="str">
        <f>IF(OR(C5748="",I5748&lt;&gt;"ENTRADA"),"",TEXT(B5748,"AAMMDD")&amp;"-"&amp;TEXT(VALUE(SUBSTITUTE(A5748,"MOV-","")),"000"))</f>
        <v/>
      </c>
    </row>
    <row r="5749" spans="18:20">
      <c r="R5749" s="22" t="str">
        <f>IF(H5749="","",H5749&amp;I5749)</f>
        <v/>
      </c>
      <c r="S5749" s="22" t="str">
        <f>IF(C5749="","",C5749&amp;I5749)</f>
        <v/>
      </c>
      <c r="T5749" t="str">
        <f>IF(OR(C5749="",I5749&lt;&gt;"ENTRADA"),"",TEXT(B5749,"AAMMDD")&amp;"-"&amp;TEXT(VALUE(SUBSTITUTE(A5749,"MOV-","")),"000"))</f>
        <v/>
      </c>
    </row>
    <row r="5750" spans="18:20">
      <c r="R5750" s="22" t="str">
        <f>IF(H5750="","",H5750&amp;I5750)</f>
        <v/>
      </c>
      <c r="S5750" s="22" t="str">
        <f>IF(C5750="","",C5750&amp;I5750)</f>
        <v/>
      </c>
      <c r="T5750" t="str">
        <f>IF(OR(C5750="",I5750&lt;&gt;"ENTRADA"),"",TEXT(B5750,"AAMMDD")&amp;"-"&amp;TEXT(VALUE(SUBSTITUTE(A5750,"MOV-","")),"000"))</f>
        <v/>
      </c>
    </row>
    <row r="5751" spans="18:20">
      <c r="R5751" s="22" t="str">
        <f>IF(H5751="","",H5751&amp;I5751)</f>
        <v/>
      </c>
      <c r="S5751" s="22" t="str">
        <f>IF(C5751="","",C5751&amp;I5751)</f>
        <v/>
      </c>
      <c r="T5751" t="str">
        <f>IF(OR(C5751="",I5751&lt;&gt;"ENTRADA"),"",TEXT(B5751,"AAMMDD")&amp;"-"&amp;TEXT(VALUE(SUBSTITUTE(A5751,"MOV-","")),"000"))</f>
        <v/>
      </c>
    </row>
    <row r="5752" spans="18:20">
      <c r="R5752" s="22" t="str">
        <f>IF(H5752="","",H5752&amp;I5752)</f>
        <v/>
      </c>
      <c r="S5752" s="22" t="str">
        <f>IF(C5752="","",C5752&amp;I5752)</f>
        <v/>
      </c>
      <c r="T5752" t="str">
        <f>IF(OR(C5752="",I5752&lt;&gt;"ENTRADA"),"",TEXT(B5752,"AAMMDD")&amp;"-"&amp;TEXT(VALUE(SUBSTITUTE(A5752,"MOV-","")),"000"))</f>
        <v/>
      </c>
    </row>
    <row r="5753" spans="18:20">
      <c r="R5753" s="22" t="str">
        <f>IF(H5753="","",H5753&amp;I5753)</f>
        <v/>
      </c>
      <c r="S5753" s="22" t="str">
        <f>IF(C5753="","",C5753&amp;I5753)</f>
        <v/>
      </c>
      <c r="T5753" t="str">
        <f>IF(OR(C5753="",I5753&lt;&gt;"ENTRADA"),"",TEXT(B5753,"AAMMDD")&amp;"-"&amp;TEXT(VALUE(SUBSTITUTE(A5753,"MOV-","")),"000"))</f>
        <v/>
      </c>
    </row>
    <row r="5754" spans="18:20">
      <c r="R5754" s="22" t="str">
        <f>IF(H5754="","",H5754&amp;I5754)</f>
        <v/>
      </c>
      <c r="S5754" s="22" t="str">
        <f>IF(C5754="","",C5754&amp;I5754)</f>
        <v/>
      </c>
      <c r="T5754" t="str">
        <f>IF(OR(C5754="",I5754&lt;&gt;"ENTRADA"),"",TEXT(B5754,"AAMMDD")&amp;"-"&amp;TEXT(VALUE(SUBSTITUTE(A5754,"MOV-","")),"000"))</f>
        <v/>
      </c>
    </row>
    <row r="5755" spans="18:20">
      <c r="R5755" s="22" t="str">
        <f>IF(H5755="","",H5755&amp;I5755)</f>
        <v/>
      </c>
      <c r="S5755" s="22" t="str">
        <f>IF(C5755="","",C5755&amp;I5755)</f>
        <v/>
      </c>
      <c r="T5755" t="str">
        <f>IF(OR(C5755="",I5755&lt;&gt;"ENTRADA"),"",TEXT(B5755,"AAMMDD")&amp;"-"&amp;TEXT(VALUE(SUBSTITUTE(A5755,"MOV-","")),"000"))</f>
        <v/>
      </c>
    </row>
    <row r="5756" spans="18:20">
      <c r="R5756" s="22" t="str">
        <f>IF(H5756="","",H5756&amp;I5756)</f>
        <v/>
      </c>
      <c r="S5756" s="22" t="str">
        <f>IF(C5756="","",C5756&amp;I5756)</f>
        <v/>
      </c>
      <c r="T5756" t="str">
        <f>IF(OR(C5756="",I5756&lt;&gt;"ENTRADA"),"",TEXT(B5756,"AAMMDD")&amp;"-"&amp;TEXT(VALUE(SUBSTITUTE(A5756,"MOV-","")),"000"))</f>
        <v/>
      </c>
    </row>
    <row r="5757" spans="18:20">
      <c r="R5757" s="22" t="str">
        <f>IF(H5757="","",H5757&amp;I5757)</f>
        <v/>
      </c>
      <c r="S5757" s="22" t="str">
        <f>IF(C5757="","",C5757&amp;I5757)</f>
        <v/>
      </c>
      <c r="T5757" t="str">
        <f>IF(OR(C5757="",I5757&lt;&gt;"ENTRADA"),"",TEXT(B5757,"AAMMDD")&amp;"-"&amp;TEXT(VALUE(SUBSTITUTE(A5757,"MOV-","")),"000"))</f>
        <v/>
      </c>
    </row>
    <row r="5758" spans="18:20">
      <c r="R5758" s="22" t="str">
        <f>IF(H5758="","",H5758&amp;I5758)</f>
        <v/>
      </c>
      <c r="S5758" s="22" t="str">
        <f>IF(C5758="","",C5758&amp;I5758)</f>
        <v/>
      </c>
      <c r="T5758" t="str">
        <f>IF(OR(C5758="",I5758&lt;&gt;"ENTRADA"),"",TEXT(B5758,"AAMMDD")&amp;"-"&amp;TEXT(VALUE(SUBSTITUTE(A5758,"MOV-","")),"000"))</f>
        <v/>
      </c>
    </row>
    <row r="5759" spans="18:20">
      <c r="R5759" s="22" t="str">
        <f>IF(H5759="","",H5759&amp;I5759)</f>
        <v/>
      </c>
      <c r="S5759" s="22" t="str">
        <f>IF(C5759="","",C5759&amp;I5759)</f>
        <v/>
      </c>
      <c r="T5759" t="str">
        <f>IF(OR(C5759="",I5759&lt;&gt;"ENTRADA"),"",TEXT(B5759,"AAMMDD")&amp;"-"&amp;TEXT(VALUE(SUBSTITUTE(A5759,"MOV-","")),"000"))</f>
        <v/>
      </c>
    </row>
    <row r="5760" spans="18:20">
      <c r="R5760" s="22" t="str">
        <f>IF(H5760="","",H5760&amp;I5760)</f>
        <v/>
      </c>
      <c r="S5760" s="22" t="str">
        <f>IF(C5760="","",C5760&amp;I5760)</f>
        <v/>
      </c>
      <c r="T5760" t="str">
        <f>IF(OR(C5760="",I5760&lt;&gt;"ENTRADA"),"",TEXT(B5760,"AAMMDD")&amp;"-"&amp;TEXT(VALUE(SUBSTITUTE(A5760,"MOV-","")),"000"))</f>
        <v/>
      </c>
    </row>
    <row r="5761" spans="18:20">
      <c r="R5761" s="22" t="str">
        <f>IF(H5761="","",H5761&amp;I5761)</f>
        <v/>
      </c>
      <c r="S5761" s="22" t="str">
        <f>IF(C5761="","",C5761&amp;I5761)</f>
        <v/>
      </c>
      <c r="T5761" t="str">
        <f>IF(OR(C5761="",I5761&lt;&gt;"ENTRADA"),"",TEXT(B5761,"AAMMDD")&amp;"-"&amp;TEXT(VALUE(SUBSTITUTE(A5761,"MOV-","")),"000"))</f>
        <v/>
      </c>
    </row>
    <row r="5762" spans="18:20">
      <c r="R5762" s="22" t="str">
        <f>IF(H5762="","",H5762&amp;I5762)</f>
        <v/>
      </c>
      <c r="S5762" s="22" t="str">
        <f>IF(C5762="","",C5762&amp;I5762)</f>
        <v/>
      </c>
      <c r="T5762" t="str">
        <f>IF(OR(C5762="",I5762&lt;&gt;"ENTRADA"),"",TEXT(B5762,"AAMMDD")&amp;"-"&amp;TEXT(VALUE(SUBSTITUTE(A5762,"MOV-","")),"000"))</f>
        <v/>
      </c>
    </row>
    <row r="5763" spans="18:20">
      <c r="R5763" s="22" t="str">
        <f>IF(H5763="","",H5763&amp;I5763)</f>
        <v/>
      </c>
      <c r="S5763" s="22" t="str">
        <f>IF(C5763="","",C5763&amp;I5763)</f>
        <v/>
      </c>
      <c r="T5763" t="str">
        <f>IF(OR(C5763="",I5763&lt;&gt;"ENTRADA"),"",TEXT(B5763,"AAMMDD")&amp;"-"&amp;TEXT(VALUE(SUBSTITUTE(A5763,"MOV-","")),"000"))</f>
        <v/>
      </c>
    </row>
    <row r="5764" spans="18:20">
      <c r="R5764" s="22" t="str">
        <f>IF(H5764="","",H5764&amp;I5764)</f>
        <v/>
      </c>
      <c r="S5764" s="22" t="str">
        <f>IF(C5764="","",C5764&amp;I5764)</f>
        <v/>
      </c>
      <c r="T5764" t="str">
        <f>IF(OR(C5764="",I5764&lt;&gt;"ENTRADA"),"",TEXT(B5764,"AAMMDD")&amp;"-"&amp;TEXT(VALUE(SUBSTITUTE(A5764,"MOV-","")),"000"))</f>
        <v/>
      </c>
    </row>
    <row r="5765" spans="18:20">
      <c r="R5765" s="22" t="str">
        <f>IF(H5765="","",H5765&amp;I5765)</f>
        <v/>
      </c>
      <c r="S5765" s="22" t="str">
        <f>IF(C5765="","",C5765&amp;I5765)</f>
        <v/>
      </c>
      <c r="T5765" t="str">
        <f>IF(OR(C5765="",I5765&lt;&gt;"ENTRADA"),"",TEXT(B5765,"AAMMDD")&amp;"-"&amp;TEXT(VALUE(SUBSTITUTE(A5765,"MOV-","")),"000"))</f>
        <v/>
      </c>
    </row>
    <row r="5766" spans="18:20">
      <c r="R5766" s="22" t="str">
        <f>IF(H5766="","",H5766&amp;I5766)</f>
        <v/>
      </c>
      <c r="S5766" s="22" t="str">
        <f>IF(C5766="","",C5766&amp;I5766)</f>
        <v/>
      </c>
      <c r="T5766" t="str">
        <f>IF(OR(C5766="",I5766&lt;&gt;"ENTRADA"),"",TEXT(B5766,"AAMMDD")&amp;"-"&amp;TEXT(VALUE(SUBSTITUTE(A5766,"MOV-","")),"000"))</f>
        <v/>
      </c>
    </row>
    <row r="5767" spans="18:20">
      <c r="R5767" s="22" t="str">
        <f>IF(H5767="","",H5767&amp;I5767)</f>
        <v/>
      </c>
      <c r="S5767" s="22" t="str">
        <f>IF(C5767="","",C5767&amp;I5767)</f>
        <v/>
      </c>
      <c r="T5767" t="str">
        <f>IF(OR(C5767="",I5767&lt;&gt;"ENTRADA"),"",TEXT(B5767,"AAMMDD")&amp;"-"&amp;TEXT(VALUE(SUBSTITUTE(A5767,"MOV-","")),"000"))</f>
        <v/>
      </c>
    </row>
    <row r="5768" spans="18:20">
      <c r="R5768" s="22" t="str">
        <f>IF(H5768="","",H5768&amp;I5768)</f>
        <v/>
      </c>
      <c r="S5768" s="22" t="str">
        <f>IF(C5768="","",C5768&amp;I5768)</f>
        <v/>
      </c>
      <c r="T5768" t="str">
        <f>IF(OR(C5768="",I5768&lt;&gt;"ENTRADA"),"",TEXT(B5768,"AAMMDD")&amp;"-"&amp;TEXT(VALUE(SUBSTITUTE(A5768,"MOV-","")),"000"))</f>
        <v/>
      </c>
    </row>
    <row r="5769" spans="18:20">
      <c r="R5769" s="22" t="str">
        <f>IF(H5769="","",H5769&amp;I5769)</f>
        <v/>
      </c>
      <c r="S5769" s="22" t="str">
        <f>IF(C5769="","",C5769&amp;I5769)</f>
        <v/>
      </c>
      <c r="T5769" t="str">
        <f>IF(OR(C5769="",I5769&lt;&gt;"ENTRADA"),"",TEXT(B5769,"AAMMDD")&amp;"-"&amp;TEXT(VALUE(SUBSTITUTE(A5769,"MOV-","")),"000"))</f>
        <v/>
      </c>
    </row>
    <row r="5770" spans="18:20">
      <c r="R5770" s="22" t="str">
        <f>IF(H5770="","",H5770&amp;I5770)</f>
        <v/>
      </c>
      <c r="S5770" s="22" t="str">
        <f>IF(C5770="","",C5770&amp;I5770)</f>
        <v/>
      </c>
      <c r="T5770" t="str">
        <f>IF(OR(C5770="",I5770&lt;&gt;"ENTRADA"),"",TEXT(B5770,"AAMMDD")&amp;"-"&amp;TEXT(VALUE(SUBSTITUTE(A5770,"MOV-","")),"000"))</f>
        <v/>
      </c>
    </row>
    <row r="5771" spans="18:20">
      <c r="R5771" s="22" t="str">
        <f>IF(H5771="","",H5771&amp;I5771)</f>
        <v/>
      </c>
      <c r="S5771" s="22" t="str">
        <f>IF(C5771="","",C5771&amp;I5771)</f>
        <v/>
      </c>
      <c r="T5771" t="str">
        <f>IF(OR(C5771="",I5771&lt;&gt;"ENTRADA"),"",TEXT(B5771,"AAMMDD")&amp;"-"&amp;TEXT(VALUE(SUBSTITUTE(A5771,"MOV-","")),"000"))</f>
        <v/>
      </c>
    </row>
    <row r="5772" spans="18:20">
      <c r="R5772" s="22" t="str">
        <f>IF(H5772="","",H5772&amp;I5772)</f>
        <v/>
      </c>
      <c r="S5772" s="22" t="str">
        <f>IF(C5772="","",C5772&amp;I5772)</f>
        <v/>
      </c>
      <c r="T5772" t="str">
        <f>IF(OR(C5772="",I5772&lt;&gt;"ENTRADA"),"",TEXT(B5772,"AAMMDD")&amp;"-"&amp;TEXT(VALUE(SUBSTITUTE(A5772,"MOV-","")),"000"))</f>
        <v/>
      </c>
    </row>
    <row r="5773" spans="18:20">
      <c r="R5773" s="22" t="str">
        <f>IF(H5773="","",H5773&amp;I5773)</f>
        <v/>
      </c>
      <c r="S5773" s="22" t="str">
        <f>IF(C5773="","",C5773&amp;I5773)</f>
        <v/>
      </c>
      <c r="T5773" t="str">
        <f>IF(OR(C5773="",I5773&lt;&gt;"ENTRADA"),"",TEXT(B5773,"AAMMDD")&amp;"-"&amp;TEXT(VALUE(SUBSTITUTE(A5773,"MOV-","")),"000"))</f>
        <v/>
      </c>
    </row>
    <row r="5774" spans="18:20">
      <c r="R5774" s="22" t="str">
        <f>IF(H5774="","",H5774&amp;I5774)</f>
        <v/>
      </c>
      <c r="S5774" s="22" t="str">
        <f>IF(C5774="","",C5774&amp;I5774)</f>
        <v/>
      </c>
      <c r="T5774" t="str">
        <f>IF(OR(C5774="",I5774&lt;&gt;"ENTRADA"),"",TEXT(B5774,"AAMMDD")&amp;"-"&amp;TEXT(VALUE(SUBSTITUTE(A5774,"MOV-","")),"000"))</f>
        <v/>
      </c>
    </row>
    <row r="5775" spans="18:20">
      <c r="R5775" s="22" t="str">
        <f>IF(H5775="","",H5775&amp;I5775)</f>
        <v/>
      </c>
      <c r="S5775" s="22" t="str">
        <f>IF(C5775="","",C5775&amp;I5775)</f>
        <v/>
      </c>
      <c r="T5775" t="str">
        <f>IF(OR(C5775="",I5775&lt;&gt;"ENTRADA"),"",TEXT(B5775,"AAMMDD")&amp;"-"&amp;TEXT(VALUE(SUBSTITUTE(A5775,"MOV-","")),"000"))</f>
        <v/>
      </c>
    </row>
    <row r="5776" spans="18:20">
      <c r="R5776" s="22" t="str">
        <f>IF(H5776="","",H5776&amp;I5776)</f>
        <v/>
      </c>
      <c r="S5776" s="22" t="str">
        <f>IF(C5776="","",C5776&amp;I5776)</f>
        <v/>
      </c>
      <c r="T5776" t="str">
        <f>IF(OR(C5776="",I5776&lt;&gt;"ENTRADA"),"",TEXT(B5776,"AAMMDD")&amp;"-"&amp;TEXT(VALUE(SUBSTITUTE(A5776,"MOV-","")),"000"))</f>
        <v/>
      </c>
    </row>
    <row r="5777" spans="17:20">
      <c r="R5777" s="22" t="str">
        <f>IF(H5777="","",H5777&amp;I5777)</f>
        <v/>
      </c>
      <c r="S5777" s="22" t="str">
        <f>IF(C5777="","",C5777&amp;I5777)</f>
        <v/>
      </c>
      <c r="T5777" t="str">
        <f>IF(OR(C5777="",I5777&lt;&gt;"ENTRADA"),"",TEXT(B5777,"AAMMDD")&amp;"-"&amp;TEXT(VALUE(SUBSTITUTE(A5777,"MOV-","")),"000"))</f>
        <v/>
      </c>
    </row>
    <row r="5778" spans="17:20">
      <c r="R5778" s="22" t="str">
        <f>IF(H5778="","",H5778&amp;I5778)</f>
        <v/>
      </c>
      <c r="S5778" s="22" t="str">
        <f>IF(C5778="","",C5778&amp;I5778)</f>
        <v/>
      </c>
      <c r="T5778" t="str">
        <f>IF(OR(C5778="",I5778&lt;&gt;"ENTRADA"),"",TEXT(B5778,"AAMMDD")&amp;"-"&amp;TEXT(VALUE(SUBSTITUTE(A5778,"MOV-","")),"000"))</f>
        <v/>
      </c>
    </row>
    <row r="5779" spans="17:20">
      <c r="R5779" s="22" t="str">
        <f>IF(H5779="","",H5779&amp;I5779)</f>
        <v/>
      </c>
      <c r="S5779" s="22" t="str">
        <f>IF(C5779="","",C5779&amp;I5779)</f>
        <v/>
      </c>
      <c r="T5779" t="str">
        <f>IF(OR(C5779="",I5779&lt;&gt;"ENTRADA"),"",TEXT(B5779,"AAMMDD")&amp;"-"&amp;TEXT(VALUE(SUBSTITUTE(A5779,"MOV-","")),"000"))</f>
        <v/>
      </c>
    </row>
    <row r="5780" spans="17:20">
      <c r="R5780" s="22" t="str">
        <f>IF(H5780="","",H5780&amp;I5780)</f>
        <v/>
      </c>
      <c r="S5780" s="22" t="str">
        <f>IF(C5780="","",C5780&amp;I5780)</f>
        <v/>
      </c>
      <c r="T5780" t="str">
        <f>IF(OR(C5780="",I5780&lt;&gt;"ENTRADA"),"",TEXT(B5780,"AAMMDD")&amp;"-"&amp;TEXT(VALUE(SUBSTITUTE(A5780,"MOV-","")),"000"))</f>
        <v/>
      </c>
    </row>
    <row r="5781" spans="17:20">
      <c r="R5781" s="22" t="str">
        <f>IF(H5781="","",H5781&amp;I5781)</f>
        <v/>
      </c>
      <c r="S5781" s="22" t="str">
        <f>IF(C5781="","",C5781&amp;I5781)</f>
        <v/>
      </c>
      <c r="T5781" t="str">
        <f>IF(OR(C5781="",I5781&lt;&gt;"ENTRADA"),"",TEXT(B5781,"AAMMDD")&amp;"-"&amp;TEXT(VALUE(SUBSTITUTE(A5781,"MOV-","")),"000"))</f>
        <v/>
      </c>
    </row>
    <row r="5782" spans="17:20">
      <c r="R5782" s="22" t="str">
        <f>IF(H5782="","",H5782&amp;I5782)</f>
        <v/>
      </c>
      <c r="S5782" s="22" t="str">
        <f>IF(C5782="","",C5782&amp;I5782)</f>
        <v/>
      </c>
      <c r="T5782" t="str">
        <f>IF(OR(C5782="",I5782&lt;&gt;"ENTRADA"),"",TEXT(B5782,"AAMMDD")&amp;"-"&amp;TEXT(VALUE(SUBSTITUTE(A5782,"MOV-","")),"000"))</f>
        <v/>
      </c>
    </row>
    <row r="5783" spans="17:20">
      <c r="R5783" s="22" t="str">
        <f>IF(H5783="","",H5783&amp;I5783)</f>
        <v/>
      </c>
      <c r="S5783" s="22" t="str">
        <f>IF(C5783="","",C5783&amp;I5783)</f>
        <v/>
      </c>
      <c r="T5783" t="str">
        <f>IF(OR(C5783="",I5783&lt;&gt;"ENTRADA"),"",TEXT(B5783,"AAMMDD")&amp;"-"&amp;TEXT(VALUE(SUBSTITUTE(A5783,"MOV-","")),"000"))</f>
        <v/>
      </c>
    </row>
    <row r="5784" spans="17:20">
      <c r="R5784" s="22" t="str">
        <f>IF(H5784="","",H5784&amp;I5784)</f>
        <v/>
      </c>
      <c r="S5784" s="22" t="str">
        <f>IF(C5784="","",C5784&amp;I5784)</f>
        <v/>
      </c>
      <c r="T5784" t="str">
        <f>IF(OR(C5784="",I5784&lt;&gt;"ENTRADA"),"",TEXT(B5784,"AAMMDD")&amp;"-"&amp;TEXT(VALUE(SUBSTITUTE(A5784,"MOV-","")),"000"))</f>
        <v/>
      </c>
    </row>
    <row r="5785" spans="17:20">
      <c r="R5785" s="22" t="str">
        <f>IF(H5785="","",H5785&amp;I5785)</f>
        <v/>
      </c>
      <c r="S5785" s="22" t="str">
        <f>IF(C5785="","",C5785&amp;I5785)</f>
        <v/>
      </c>
      <c r="T5785" t="str">
        <f>IF(OR(C5785="",I5785&lt;&gt;"ENTRADA"),"",TEXT(B5785,"AAMMDD")&amp;"-"&amp;TEXT(VALUE(SUBSTITUTE(A5785,"MOV-","")),"000"))</f>
        <v/>
      </c>
    </row>
    <row r="5786" spans="17:20">
      <c r="R5786" s="22" t="str">
        <f>IF(H5786="","",H5786&amp;I5786)</f>
        <v/>
      </c>
      <c r="S5786" s="22" t="str">
        <f>IF(C5786="","",C5786&amp;I5786)</f>
        <v/>
      </c>
      <c r="T5786" t="str">
        <f>IF(OR(C5786="",I5786&lt;&gt;"ENTRADA"),"",TEXT(B5786,"AAMMDD")&amp;"-"&amp;TEXT(VALUE(SUBSTITUTE(A5786,"MOV-","")),"000"))</f>
        <v/>
      </c>
    </row>
    <row r="5787" spans="17:20">
      <c r="R5787" s="22" t="str">
        <f>IF(H5787="","",H5787&amp;I5787)</f>
        <v/>
      </c>
      <c r="S5787" s="22" t="str">
        <f>IF(C5787="","",C5787&amp;I5787)</f>
        <v/>
      </c>
      <c r="T5787" t="str">
        <f>IF(OR(C5787="",I5787&lt;&gt;"ENTRADA"),"",TEXT(B5787,"AAMMDD")&amp;"-"&amp;TEXT(VALUE(SUBSTITUTE(A5787,"MOV-","")),"000"))</f>
        <v/>
      </c>
    </row>
    <row r="5788" spans="17:20">
      <c r="Q5788" s="33"/>
      <c r="R5788" s="22" t="str">
        <f>IF(H5788="","",H5788&amp;I5788)</f>
        <v/>
      </c>
      <c r="S5788" s="22" t="str">
        <f>IF(C5788="","",C5788&amp;I5788)</f>
        <v/>
      </c>
      <c r="T5788" t="str">
        <f>IF(OR(C5788="",I5788&lt;&gt;"ENTRADA"),"",TEXT(B5788,"AAMMDD")&amp;"-"&amp;TEXT(VALUE(SUBSTITUTE(A5788,"MOV-","")),"000"))</f>
        <v/>
      </c>
    </row>
    <row r="5789" spans="17:20">
      <c r="R5789" s="22" t="str">
        <f>IF(H5789="","",H5789&amp;I5789)</f>
        <v/>
      </c>
      <c r="S5789" s="22" t="str">
        <f>IF(C5789="","",C5789&amp;I5789)</f>
        <v/>
      </c>
      <c r="T5789" t="str">
        <f>IF(OR(C5789="",I5789&lt;&gt;"ENTRADA"),"",TEXT(B5789,"AAMMDD")&amp;"-"&amp;TEXT(VALUE(SUBSTITUTE(A5789,"MOV-","")),"000"))</f>
        <v/>
      </c>
    </row>
    <row r="5790" spans="17:20">
      <c r="R5790" s="22" t="str">
        <f>IF(H5790="","",H5790&amp;I5790)</f>
        <v/>
      </c>
      <c r="S5790" s="22" t="str">
        <f>IF(C5790="","",C5790&amp;I5790)</f>
        <v/>
      </c>
      <c r="T5790" t="str">
        <f>IF(OR(C5790="",I5790&lt;&gt;"ENTRADA"),"",TEXT(B5790,"AAMMDD")&amp;"-"&amp;TEXT(VALUE(SUBSTITUTE(A5790,"MOV-","")),"000"))</f>
        <v/>
      </c>
    </row>
    <row r="5791" spans="17:20">
      <c r="R5791" s="22" t="str">
        <f>IF(H5791="","",H5791&amp;I5791)</f>
        <v/>
      </c>
      <c r="S5791" s="22" t="str">
        <f>IF(C5791="","",C5791&amp;I5791)</f>
        <v/>
      </c>
      <c r="T5791" t="str">
        <f>IF(OR(C5791="",I5791&lt;&gt;"ENTRADA"),"",TEXT(B5791,"AAMMDD")&amp;"-"&amp;TEXT(VALUE(SUBSTITUTE(A5791,"MOV-","")),"000"))</f>
        <v/>
      </c>
    </row>
    <row r="5792" spans="17:20">
      <c r="R5792" s="22" t="str">
        <f>IF(H5792="","",H5792&amp;I5792)</f>
        <v/>
      </c>
      <c r="S5792" s="22" t="str">
        <f>IF(C5792="","",C5792&amp;I5792)</f>
        <v/>
      </c>
      <c r="T5792" t="str">
        <f>IF(OR(C5792="",I5792&lt;&gt;"ENTRADA"),"",TEXT(B5792,"AAMMDD")&amp;"-"&amp;TEXT(VALUE(SUBSTITUTE(A5792,"MOV-","")),"000"))</f>
        <v/>
      </c>
    </row>
    <row r="5793" spans="18:20">
      <c r="R5793" s="22" t="str">
        <f>IF(H5793="","",H5793&amp;I5793)</f>
        <v/>
      </c>
      <c r="S5793" s="22" t="str">
        <f>IF(C5793="","",C5793&amp;I5793)</f>
        <v/>
      </c>
      <c r="T5793" t="str">
        <f>IF(OR(C5793="",I5793&lt;&gt;"ENTRADA"),"",TEXT(B5793,"AAMMDD")&amp;"-"&amp;TEXT(VALUE(SUBSTITUTE(A5793,"MOV-","")),"000"))</f>
        <v/>
      </c>
    </row>
    <row r="5794" spans="18:20">
      <c r="R5794" s="22" t="str">
        <f>IF(H5794="","",H5794&amp;I5794)</f>
        <v/>
      </c>
      <c r="S5794" s="22" t="str">
        <f>IF(C5794="","",C5794&amp;I5794)</f>
        <v/>
      </c>
      <c r="T5794" t="str">
        <f>IF(OR(C5794="",I5794&lt;&gt;"ENTRADA"),"",TEXT(B5794,"AAMMDD")&amp;"-"&amp;TEXT(VALUE(SUBSTITUTE(A5794,"MOV-","")),"000"))</f>
        <v/>
      </c>
    </row>
    <row r="5795" spans="18:20">
      <c r="R5795" s="22" t="str">
        <f>IF(H5795="","",H5795&amp;I5795)</f>
        <v/>
      </c>
      <c r="S5795" s="22" t="str">
        <f>IF(C5795="","",C5795&amp;I5795)</f>
        <v/>
      </c>
      <c r="T5795" t="str">
        <f>IF(OR(C5795="",I5795&lt;&gt;"ENTRADA"),"",TEXT(B5795,"AAMMDD")&amp;"-"&amp;TEXT(VALUE(SUBSTITUTE(A5795,"MOV-","")),"000"))</f>
        <v/>
      </c>
    </row>
    <row r="5796" spans="18:20">
      <c r="R5796" s="22" t="str">
        <f>IF(H5796="","",H5796&amp;I5796)</f>
        <v/>
      </c>
      <c r="S5796" s="22" t="str">
        <f>IF(C5796="","",C5796&amp;I5796)</f>
        <v/>
      </c>
      <c r="T5796" t="str">
        <f>IF(OR(C5796="",I5796&lt;&gt;"ENTRADA"),"",TEXT(B5796,"AAMMDD")&amp;"-"&amp;TEXT(VALUE(SUBSTITUTE(A5796,"MOV-","")),"000"))</f>
        <v/>
      </c>
    </row>
    <row r="5797" spans="18:20">
      <c r="R5797" s="22" t="str">
        <f>IF(H5797="","",H5797&amp;I5797)</f>
        <v/>
      </c>
      <c r="S5797" s="22" t="str">
        <f>IF(C5797="","",C5797&amp;I5797)</f>
        <v/>
      </c>
      <c r="T5797" t="str">
        <f>IF(OR(C5797="",I5797&lt;&gt;"ENTRADA"),"",TEXT(B5797,"AAMMDD")&amp;"-"&amp;TEXT(VALUE(SUBSTITUTE(A5797,"MOV-","")),"000"))</f>
        <v/>
      </c>
    </row>
    <row r="5798" spans="18:20">
      <c r="R5798" s="22" t="str">
        <f>IF(H5798="","",H5798&amp;I5798)</f>
        <v/>
      </c>
      <c r="S5798" s="22" t="str">
        <f>IF(C5798="","",C5798&amp;I5798)</f>
        <v/>
      </c>
      <c r="T5798" t="str">
        <f>IF(OR(C5798="",I5798&lt;&gt;"ENTRADA"),"",TEXT(B5798,"AAMMDD")&amp;"-"&amp;TEXT(VALUE(SUBSTITUTE(A5798,"MOV-","")),"000"))</f>
        <v/>
      </c>
    </row>
    <row r="5799" spans="18:20">
      <c r="R5799" s="22" t="str">
        <f>IF(H5799="","",H5799&amp;I5799)</f>
        <v/>
      </c>
      <c r="S5799" s="22" t="str">
        <f>IF(C5799="","",C5799&amp;I5799)</f>
        <v/>
      </c>
      <c r="T5799" t="str">
        <f>IF(OR(C5799="",I5799&lt;&gt;"ENTRADA"),"",TEXT(B5799,"AAMMDD")&amp;"-"&amp;TEXT(VALUE(SUBSTITUTE(A5799,"MOV-","")),"000"))</f>
        <v/>
      </c>
    </row>
    <row r="5800" spans="18:20">
      <c r="R5800" s="22" t="str">
        <f>IF(H5800="","",H5800&amp;I5800)</f>
        <v/>
      </c>
      <c r="S5800" s="22" t="str">
        <f>IF(C5800="","",C5800&amp;I5800)</f>
        <v/>
      </c>
      <c r="T5800" t="str">
        <f>IF(OR(C5800="",I5800&lt;&gt;"ENTRADA"),"",TEXT(B5800,"AAMMDD")&amp;"-"&amp;TEXT(VALUE(SUBSTITUTE(A5800,"MOV-","")),"000"))</f>
        <v/>
      </c>
    </row>
    <row r="5801" spans="18:20">
      <c r="R5801" s="22" t="str">
        <f>IF(H5801="","",H5801&amp;I5801)</f>
        <v/>
      </c>
      <c r="S5801" s="22" t="str">
        <f>IF(C5801="","",C5801&amp;I5801)</f>
        <v/>
      </c>
      <c r="T5801" t="str">
        <f>IF(OR(C5801="",I5801&lt;&gt;"ENTRADA"),"",TEXT(B5801,"AAMMDD")&amp;"-"&amp;TEXT(VALUE(SUBSTITUTE(A5801,"MOV-","")),"000"))</f>
        <v/>
      </c>
    </row>
    <row r="5802" spans="18:20">
      <c r="R5802" s="22" t="str">
        <f>IF(H5802="","",H5802&amp;I5802)</f>
        <v/>
      </c>
      <c r="S5802" s="22" t="str">
        <f>IF(C5802="","",C5802&amp;I5802)</f>
        <v/>
      </c>
      <c r="T5802" t="str">
        <f>IF(OR(C5802="",I5802&lt;&gt;"ENTRADA"),"",TEXT(B5802,"AAMMDD")&amp;"-"&amp;TEXT(VALUE(SUBSTITUTE(A5802,"MOV-","")),"000"))</f>
        <v/>
      </c>
    </row>
    <row r="5803" spans="18:20">
      <c r="R5803" s="22" t="str">
        <f>IF(H5803="","",H5803&amp;I5803)</f>
        <v/>
      </c>
      <c r="S5803" s="22" t="str">
        <f>IF(C5803="","",C5803&amp;I5803)</f>
        <v/>
      </c>
      <c r="T5803" t="str">
        <f>IF(OR(C5803="",I5803&lt;&gt;"ENTRADA"),"",TEXT(B5803,"AAMMDD")&amp;"-"&amp;TEXT(VALUE(SUBSTITUTE(A5803,"MOV-","")),"000"))</f>
        <v/>
      </c>
    </row>
    <row r="5804" spans="18:20">
      <c r="R5804" s="22" t="str">
        <f>IF(H5804="","",H5804&amp;I5804)</f>
        <v/>
      </c>
      <c r="S5804" s="22" t="str">
        <f>IF(C5804="","",C5804&amp;I5804)</f>
        <v/>
      </c>
      <c r="T5804" t="str">
        <f>IF(OR(C5804="",I5804&lt;&gt;"ENTRADA"),"",TEXT(B5804,"AAMMDD")&amp;"-"&amp;TEXT(VALUE(SUBSTITUTE(A5804,"MOV-","")),"000"))</f>
        <v/>
      </c>
    </row>
    <row r="5805" spans="18:20">
      <c r="R5805" s="22" t="str">
        <f>IF(H5805="","",H5805&amp;I5805)</f>
        <v/>
      </c>
      <c r="S5805" s="22" t="str">
        <f>IF(C5805="","",C5805&amp;I5805)</f>
        <v/>
      </c>
      <c r="T5805" t="str">
        <f>IF(OR(C5805="",I5805&lt;&gt;"ENTRADA"),"",TEXT(B5805,"AAMMDD")&amp;"-"&amp;TEXT(VALUE(SUBSTITUTE(A5805,"MOV-","")),"000"))</f>
        <v/>
      </c>
    </row>
    <row r="5806" spans="18:20">
      <c r="R5806" s="22" t="str">
        <f>IF(H5806="","",H5806&amp;I5806)</f>
        <v/>
      </c>
      <c r="S5806" s="22" t="str">
        <f>IF(C5806="","",C5806&amp;I5806)</f>
        <v/>
      </c>
      <c r="T5806" t="str">
        <f>IF(OR(C5806="",I5806&lt;&gt;"ENTRADA"),"",TEXT(B5806,"AAMMDD")&amp;"-"&amp;TEXT(VALUE(SUBSTITUTE(A5806,"MOV-","")),"000"))</f>
        <v/>
      </c>
    </row>
    <row r="5807" spans="18:20">
      <c r="R5807" s="22" t="str">
        <f>IF(H5807="","",H5807&amp;I5807)</f>
        <v/>
      </c>
      <c r="S5807" s="22" t="str">
        <f>IF(C5807="","",C5807&amp;I5807)</f>
        <v/>
      </c>
      <c r="T5807" t="str">
        <f>IF(OR(C5807="",I5807&lt;&gt;"ENTRADA"),"",TEXT(B5807,"AAMMDD")&amp;"-"&amp;TEXT(VALUE(SUBSTITUTE(A5807,"MOV-","")),"000"))</f>
        <v/>
      </c>
    </row>
    <row r="5808" spans="18:20">
      <c r="R5808" s="22" t="str">
        <f>IF(H5808="","",H5808&amp;I5808)</f>
        <v/>
      </c>
      <c r="S5808" s="22" t="str">
        <f>IF(C5808="","",C5808&amp;I5808)</f>
        <v/>
      </c>
      <c r="T5808" t="str">
        <f>IF(OR(C5808="",I5808&lt;&gt;"ENTRADA"),"",TEXT(B5808,"AAMMDD")&amp;"-"&amp;TEXT(VALUE(SUBSTITUTE(A5808,"MOV-","")),"000"))</f>
        <v/>
      </c>
    </row>
    <row r="5809" spans="18:20">
      <c r="R5809" s="22" t="str">
        <f>IF(H5809="","",H5809&amp;I5809)</f>
        <v/>
      </c>
      <c r="S5809" s="22" t="str">
        <f>IF(C5809="","",C5809&amp;I5809)</f>
        <v/>
      </c>
      <c r="T5809" t="str">
        <f>IF(OR(C5809="",I5809&lt;&gt;"ENTRADA"),"",TEXT(B5809,"AAMMDD")&amp;"-"&amp;TEXT(VALUE(SUBSTITUTE(A5809,"MOV-","")),"000"))</f>
        <v/>
      </c>
    </row>
    <row r="5810" spans="18:20">
      <c r="R5810" s="22" t="str">
        <f>IF(H5810="","",H5810&amp;I5810)</f>
        <v/>
      </c>
      <c r="S5810" s="22" t="str">
        <f>IF(C5810="","",C5810&amp;I5810)</f>
        <v/>
      </c>
      <c r="T5810" t="str">
        <f>IF(OR(C5810="",I5810&lt;&gt;"ENTRADA"),"",TEXT(B5810,"AAMMDD")&amp;"-"&amp;TEXT(VALUE(SUBSTITUTE(A5810,"MOV-","")),"000"))</f>
        <v/>
      </c>
    </row>
    <row r="5811" spans="18:20">
      <c r="R5811" s="22" t="str">
        <f>IF(H5811="","",H5811&amp;I5811)</f>
        <v/>
      </c>
      <c r="S5811" s="22" t="str">
        <f>IF(C5811="","",C5811&amp;I5811)</f>
        <v/>
      </c>
      <c r="T5811" t="str">
        <f>IF(OR(C5811="",I5811&lt;&gt;"ENTRADA"),"",TEXT(B5811,"AAMMDD")&amp;"-"&amp;TEXT(VALUE(SUBSTITUTE(A5811,"MOV-","")),"000"))</f>
        <v/>
      </c>
    </row>
    <row r="5812" spans="18:20">
      <c r="R5812" s="22" t="str">
        <f>IF(H5812="","",H5812&amp;I5812)</f>
        <v/>
      </c>
      <c r="S5812" s="22" t="str">
        <f>IF(C5812="","",C5812&amp;I5812)</f>
        <v/>
      </c>
      <c r="T5812" t="str">
        <f>IF(OR(C5812="",I5812&lt;&gt;"ENTRADA"),"",TEXT(B5812,"AAMMDD")&amp;"-"&amp;TEXT(VALUE(SUBSTITUTE(A5812,"MOV-","")),"000"))</f>
        <v/>
      </c>
    </row>
    <row r="5813" spans="18:20">
      <c r="R5813" s="22" t="str">
        <f>IF(H5813="","",H5813&amp;I5813)</f>
        <v/>
      </c>
      <c r="S5813" s="22" t="str">
        <f>IF(C5813="","",C5813&amp;I5813)</f>
        <v/>
      </c>
      <c r="T5813" t="str">
        <f>IF(OR(C5813="",I5813&lt;&gt;"ENTRADA"),"",TEXT(B5813,"AAMMDD")&amp;"-"&amp;TEXT(VALUE(SUBSTITUTE(A5813,"MOV-","")),"000"))</f>
        <v/>
      </c>
    </row>
    <row r="5814" spans="18:20">
      <c r="R5814" s="22" t="str">
        <f>IF(H5814="","",H5814&amp;I5814)</f>
        <v/>
      </c>
      <c r="S5814" s="22" t="str">
        <f>IF(C5814="","",C5814&amp;I5814)</f>
        <v/>
      </c>
      <c r="T5814" t="str">
        <f>IF(OR(C5814="",I5814&lt;&gt;"ENTRADA"),"",TEXT(B5814,"AAMMDD")&amp;"-"&amp;TEXT(VALUE(SUBSTITUTE(A5814,"MOV-","")),"000"))</f>
        <v/>
      </c>
    </row>
    <row r="5815" spans="18:20">
      <c r="R5815" s="22" t="str">
        <f>IF(H5815="","",H5815&amp;I5815)</f>
        <v/>
      </c>
      <c r="S5815" s="22" t="str">
        <f>IF(C5815="","",C5815&amp;I5815)</f>
        <v/>
      </c>
      <c r="T5815" t="str">
        <f>IF(OR(C5815="",I5815&lt;&gt;"ENTRADA"),"",TEXT(B5815,"AAMMDD")&amp;"-"&amp;TEXT(VALUE(SUBSTITUTE(A5815,"MOV-","")),"000"))</f>
        <v/>
      </c>
    </row>
    <row r="5816" spans="18:20">
      <c r="R5816" s="22" t="str">
        <f>IF(H5816="","",H5816&amp;I5816)</f>
        <v/>
      </c>
      <c r="S5816" s="22" t="str">
        <f>IF(C5816="","",C5816&amp;I5816)</f>
        <v/>
      </c>
      <c r="T5816" t="str">
        <f>IF(OR(C5816="",I5816&lt;&gt;"ENTRADA"),"",TEXT(B5816,"AAMMDD")&amp;"-"&amp;TEXT(VALUE(SUBSTITUTE(A5816,"MOV-","")),"000"))</f>
        <v/>
      </c>
    </row>
    <row r="5817" spans="18:20">
      <c r="R5817" s="22" t="str">
        <f>IF(H5817="","",H5817&amp;I5817)</f>
        <v/>
      </c>
      <c r="S5817" s="22" t="str">
        <f>IF(C5817="","",C5817&amp;I5817)</f>
        <v/>
      </c>
      <c r="T5817" t="str">
        <f>IF(OR(C5817="",I5817&lt;&gt;"ENTRADA"),"",TEXT(B5817,"AAMMDD")&amp;"-"&amp;TEXT(VALUE(SUBSTITUTE(A5817,"MOV-","")),"000"))</f>
        <v/>
      </c>
    </row>
    <row r="5818" spans="18:20">
      <c r="R5818" s="22" t="str">
        <f>IF(H5818="","",H5818&amp;I5818)</f>
        <v/>
      </c>
      <c r="S5818" s="22" t="str">
        <f>IF(C5818="","",C5818&amp;I5818)</f>
        <v/>
      </c>
      <c r="T5818" t="str">
        <f>IF(OR(C5818="",I5818&lt;&gt;"ENTRADA"),"",TEXT(B5818,"AAMMDD")&amp;"-"&amp;TEXT(VALUE(SUBSTITUTE(A5818,"MOV-","")),"000"))</f>
        <v/>
      </c>
    </row>
    <row r="5819" spans="18:20">
      <c r="R5819" s="22" t="str">
        <f>IF(H5819="","",H5819&amp;I5819)</f>
        <v/>
      </c>
      <c r="S5819" s="22" t="str">
        <f>IF(C5819="","",C5819&amp;I5819)</f>
        <v/>
      </c>
      <c r="T5819" t="str">
        <f>IF(OR(C5819="",I5819&lt;&gt;"ENTRADA"),"",TEXT(B5819,"AAMMDD")&amp;"-"&amp;TEXT(VALUE(SUBSTITUTE(A5819,"MOV-","")),"000"))</f>
        <v/>
      </c>
    </row>
    <row r="5820" spans="18:20">
      <c r="R5820" s="22" t="str">
        <f>IF(H5820="","",H5820&amp;I5820)</f>
        <v/>
      </c>
      <c r="S5820" s="22" t="str">
        <f>IF(C5820="","",C5820&amp;I5820)</f>
        <v/>
      </c>
      <c r="T5820" t="str">
        <f>IF(OR(C5820="",I5820&lt;&gt;"ENTRADA"),"",TEXT(B5820,"AAMMDD")&amp;"-"&amp;TEXT(VALUE(SUBSTITUTE(A5820,"MOV-","")),"000"))</f>
        <v/>
      </c>
    </row>
    <row r="5821" spans="18:20">
      <c r="R5821" s="22" t="str">
        <f>IF(H5821="","",H5821&amp;I5821)</f>
        <v/>
      </c>
      <c r="S5821" s="22" t="str">
        <f>IF(C5821="","",C5821&amp;I5821)</f>
        <v/>
      </c>
      <c r="T5821" t="str">
        <f>IF(OR(C5821="",I5821&lt;&gt;"ENTRADA"),"",TEXT(B5821,"AAMMDD")&amp;"-"&amp;TEXT(VALUE(SUBSTITUTE(A5821,"MOV-","")),"000"))</f>
        <v/>
      </c>
    </row>
    <row r="5822" spans="18:20">
      <c r="R5822" s="22" t="str">
        <f>IF(H5822="","",H5822&amp;I5822)</f>
        <v/>
      </c>
      <c r="S5822" s="22" t="str">
        <f>IF(C5822="","",C5822&amp;I5822)</f>
        <v/>
      </c>
      <c r="T5822" t="str">
        <f>IF(OR(C5822="",I5822&lt;&gt;"ENTRADA"),"",TEXT(B5822,"AAMMDD")&amp;"-"&amp;TEXT(VALUE(SUBSTITUTE(A5822,"MOV-","")),"000"))</f>
        <v/>
      </c>
    </row>
    <row r="5823" spans="18:20">
      <c r="R5823" s="22" t="str">
        <f>IF(H5823="","",H5823&amp;I5823)</f>
        <v/>
      </c>
      <c r="S5823" s="22" t="str">
        <f>IF(C5823="","",C5823&amp;I5823)</f>
        <v/>
      </c>
      <c r="T5823" t="str">
        <f>IF(OR(C5823="",I5823&lt;&gt;"ENTRADA"),"",TEXT(B5823,"AAMMDD")&amp;"-"&amp;TEXT(VALUE(SUBSTITUTE(A5823,"MOV-","")),"000"))</f>
        <v/>
      </c>
    </row>
    <row r="5824" spans="18:20">
      <c r="R5824" s="22" t="str">
        <f>IF(H5824="","",H5824&amp;I5824)</f>
        <v/>
      </c>
      <c r="S5824" s="22" t="str">
        <f>IF(C5824="","",C5824&amp;I5824)</f>
        <v/>
      </c>
      <c r="T5824" t="str">
        <f>IF(OR(C5824="",I5824&lt;&gt;"ENTRADA"),"",TEXT(B5824,"AAMMDD")&amp;"-"&amp;TEXT(VALUE(SUBSTITUTE(A5824,"MOV-","")),"000"))</f>
        <v/>
      </c>
    </row>
    <row r="5825" spans="18:20">
      <c r="R5825" s="22" t="str">
        <f>IF(H5825="","",H5825&amp;I5825)</f>
        <v/>
      </c>
      <c r="S5825" s="22" t="str">
        <f>IF(C5825="","",C5825&amp;I5825)</f>
        <v/>
      </c>
      <c r="T5825" t="str">
        <f>IF(OR(C5825="",I5825&lt;&gt;"ENTRADA"),"",TEXT(B5825,"AAMMDD")&amp;"-"&amp;TEXT(VALUE(SUBSTITUTE(A5825,"MOV-","")),"000"))</f>
        <v/>
      </c>
    </row>
    <row r="5826" spans="18:20">
      <c r="R5826" s="22" t="str">
        <f>IF(H5826="","",H5826&amp;I5826)</f>
        <v/>
      </c>
      <c r="S5826" s="22" t="str">
        <f>IF(C5826="","",C5826&amp;I5826)</f>
        <v/>
      </c>
      <c r="T5826" t="str">
        <f>IF(OR(C5826="",I5826&lt;&gt;"ENTRADA"),"",TEXT(B5826,"AAMMDD")&amp;"-"&amp;TEXT(VALUE(SUBSTITUTE(A5826,"MOV-","")),"000"))</f>
        <v/>
      </c>
    </row>
    <row r="5827" spans="18:20">
      <c r="R5827" s="22" t="str">
        <f>IF(H5827="","",H5827&amp;I5827)</f>
        <v/>
      </c>
      <c r="S5827" s="22" t="str">
        <f>IF(C5827="","",C5827&amp;I5827)</f>
        <v/>
      </c>
      <c r="T5827" t="str">
        <f>IF(OR(C5827="",I5827&lt;&gt;"ENTRADA"),"",TEXT(B5827,"AAMMDD")&amp;"-"&amp;TEXT(VALUE(SUBSTITUTE(A5827,"MOV-","")),"000"))</f>
        <v/>
      </c>
    </row>
    <row r="5828" spans="18:20">
      <c r="R5828" s="22" t="str">
        <f>IF(H5828="","",H5828&amp;I5828)</f>
        <v/>
      </c>
      <c r="S5828" s="22" t="str">
        <f>IF(C5828="","",C5828&amp;I5828)</f>
        <v/>
      </c>
      <c r="T5828" t="str">
        <f>IF(OR(C5828="",I5828&lt;&gt;"ENTRADA"),"",TEXT(B5828,"AAMMDD")&amp;"-"&amp;TEXT(VALUE(SUBSTITUTE(A5828,"MOV-","")),"000"))</f>
        <v/>
      </c>
    </row>
    <row r="5829" spans="18:20">
      <c r="R5829" s="22" t="str">
        <f>IF(H5829="","",H5829&amp;I5829)</f>
        <v/>
      </c>
      <c r="S5829" s="22" t="str">
        <f>IF(C5829="","",C5829&amp;I5829)</f>
        <v/>
      </c>
      <c r="T5829" t="str">
        <f>IF(OR(C5829="",I5829&lt;&gt;"ENTRADA"),"",TEXT(B5829,"AAMMDD")&amp;"-"&amp;TEXT(VALUE(SUBSTITUTE(A5829,"MOV-","")),"000"))</f>
        <v/>
      </c>
    </row>
    <row r="5830" spans="18:20">
      <c r="R5830" s="22" t="str">
        <f>IF(H5830="","",H5830&amp;I5830)</f>
        <v/>
      </c>
      <c r="S5830" s="22" t="str">
        <f>IF(C5830="","",C5830&amp;I5830)</f>
        <v/>
      </c>
      <c r="T5830" t="str">
        <f>IF(OR(C5830="",I5830&lt;&gt;"ENTRADA"),"",TEXT(B5830,"AAMMDD")&amp;"-"&amp;TEXT(VALUE(SUBSTITUTE(A5830,"MOV-","")),"000"))</f>
        <v/>
      </c>
    </row>
    <row r="5831" spans="18:20">
      <c r="R5831" s="22" t="str">
        <f>IF(H5831="","",H5831&amp;I5831)</f>
        <v/>
      </c>
      <c r="S5831" s="22" t="str">
        <f>IF(C5831="","",C5831&amp;I5831)</f>
        <v/>
      </c>
      <c r="T5831" t="str">
        <f>IF(OR(C5831="",I5831&lt;&gt;"ENTRADA"),"",TEXT(B5831,"AAMMDD")&amp;"-"&amp;TEXT(VALUE(SUBSTITUTE(A5831,"MOV-","")),"000"))</f>
        <v/>
      </c>
    </row>
    <row r="5832" spans="18:20">
      <c r="R5832" s="22" t="str">
        <f>IF(H5832="","",H5832&amp;I5832)</f>
        <v/>
      </c>
      <c r="S5832" s="22" t="str">
        <f>IF(C5832="","",C5832&amp;I5832)</f>
        <v/>
      </c>
      <c r="T5832" t="str">
        <f>IF(OR(C5832="",I5832&lt;&gt;"ENTRADA"),"",TEXT(B5832,"AAMMDD")&amp;"-"&amp;TEXT(VALUE(SUBSTITUTE(A5832,"MOV-","")),"000"))</f>
        <v/>
      </c>
    </row>
    <row r="5833" spans="18:20">
      <c r="R5833" s="22" t="str">
        <f>IF(H5833="","",H5833&amp;I5833)</f>
        <v/>
      </c>
      <c r="S5833" s="22" t="str">
        <f>IF(C5833="","",C5833&amp;I5833)</f>
        <v/>
      </c>
      <c r="T5833" t="str">
        <f>IF(OR(C5833="",I5833&lt;&gt;"ENTRADA"),"",TEXT(B5833,"AAMMDD")&amp;"-"&amp;TEXT(VALUE(SUBSTITUTE(A5833,"MOV-","")),"000"))</f>
        <v/>
      </c>
    </row>
    <row r="5834" spans="18:20">
      <c r="R5834" s="22" t="str">
        <f>IF(H5834="","",H5834&amp;I5834)</f>
        <v/>
      </c>
      <c r="S5834" s="22" t="str">
        <f>IF(C5834="","",C5834&amp;I5834)</f>
        <v/>
      </c>
      <c r="T5834" t="str">
        <f>IF(OR(C5834="",I5834&lt;&gt;"ENTRADA"),"",TEXT(B5834,"AAMMDD")&amp;"-"&amp;TEXT(VALUE(SUBSTITUTE(A5834,"MOV-","")),"000"))</f>
        <v/>
      </c>
    </row>
    <row r="5835" spans="18:20">
      <c r="R5835" s="22" t="str">
        <f>IF(H5835="","",H5835&amp;I5835)</f>
        <v/>
      </c>
      <c r="S5835" s="22" t="str">
        <f>IF(C5835="","",C5835&amp;I5835)</f>
        <v/>
      </c>
      <c r="T5835" t="str">
        <f>IF(OR(C5835="",I5835&lt;&gt;"ENTRADA"),"",TEXT(B5835,"AAMMDD")&amp;"-"&amp;TEXT(VALUE(SUBSTITUTE(A5835,"MOV-","")),"000"))</f>
        <v/>
      </c>
    </row>
    <row r="5836" spans="18:20">
      <c r="R5836" s="22" t="str">
        <f>IF(H5836="","",H5836&amp;I5836)</f>
        <v/>
      </c>
      <c r="S5836" s="22" t="str">
        <f>IF(C5836="","",C5836&amp;I5836)</f>
        <v/>
      </c>
      <c r="T5836" t="str">
        <f>IF(OR(C5836="",I5836&lt;&gt;"ENTRADA"),"",TEXT(B5836,"AAMMDD")&amp;"-"&amp;TEXT(VALUE(SUBSTITUTE(A5836,"MOV-","")),"000"))</f>
        <v/>
      </c>
    </row>
    <row r="5837" spans="18:20">
      <c r="R5837" s="22" t="str">
        <f>IF(H5837="","",H5837&amp;I5837)</f>
        <v/>
      </c>
      <c r="S5837" s="22" t="str">
        <f>IF(C5837="","",C5837&amp;I5837)</f>
        <v/>
      </c>
      <c r="T5837" t="str">
        <f>IF(OR(C5837="",I5837&lt;&gt;"ENTRADA"),"",TEXT(B5837,"AAMMDD")&amp;"-"&amp;TEXT(VALUE(SUBSTITUTE(A5837,"MOV-","")),"000"))</f>
        <v/>
      </c>
    </row>
    <row r="5838" spans="18:20">
      <c r="R5838" s="22" t="str">
        <f>IF(H5838="","",H5838&amp;I5838)</f>
        <v/>
      </c>
      <c r="S5838" s="22" t="str">
        <f>IF(C5838="","",C5838&amp;I5838)</f>
        <v/>
      </c>
      <c r="T5838" t="str">
        <f>IF(OR(C5838="",I5838&lt;&gt;"ENTRADA"),"",TEXT(B5838,"AAMMDD")&amp;"-"&amp;TEXT(VALUE(SUBSTITUTE(A5838,"MOV-","")),"000"))</f>
        <v/>
      </c>
    </row>
    <row r="5839" spans="18:20">
      <c r="R5839" s="22" t="str">
        <f>IF(H5839="","",H5839&amp;I5839)</f>
        <v/>
      </c>
      <c r="S5839" s="22" t="str">
        <f>IF(C5839="","",C5839&amp;I5839)</f>
        <v/>
      </c>
      <c r="T5839" t="str">
        <f>IF(OR(C5839="",I5839&lt;&gt;"ENTRADA"),"",TEXT(B5839,"AAMMDD")&amp;"-"&amp;TEXT(VALUE(SUBSTITUTE(A5839,"MOV-","")),"000"))</f>
        <v/>
      </c>
    </row>
    <row r="5840" spans="18:20">
      <c r="R5840" s="22" t="str">
        <f>IF(H5840="","",H5840&amp;I5840)</f>
        <v/>
      </c>
      <c r="S5840" s="22" t="str">
        <f>IF(C5840="","",C5840&amp;I5840)</f>
        <v/>
      </c>
      <c r="T5840" t="str">
        <f>IF(OR(C5840="",I5840&lt;&gt;"ENTRADA"),"",TEXT(B5840,"AAMMDD")&amp;"-"&amp;TEXT(VALUE(SUBSTITUTE(A5840,"MOV-","")),"000"))</f>
        <v/>
      </c>
    </row>
    <row r="5841" spans="18:20">
      <c r="R5841" s="22" t="str">
        <f>IF(H5841="","",H5841&amp;I5841)</f>
        <v/>
      </c>
      <c r="S5841" s="22" t="str">
        <f>IF(C5841="","",C5841&amp;I5841)</f>
        <v/>
      </c>
      <c r="T5841" t="str">
        <f>IF(OR(C5841="",I5841&lt;&gt;"ENTRADA"),"",TEXT(B5841,"AAMMDD")&amp;"-"&amp;TEXT(VALUE(SUBSTITUTE(A5841,"MOV-","")),"000"))</f>
        <v/>
      </c>
    </row>
    <row r="5842" spans="18:20">
      <c r="R5842" s="22" t="str">
        <f>IF(H5842="","",H5842&amp;I5842)</f>
        <v/>
      </c>
      <c r="S5842" s="22" t="str">
        <f>IF(C5842="","",C5842&amp;I5842)</f>
        <v/>
      </c>
      <c r="T5842" t="str">
        <f>IF(OR(C5842="",I5842&lt;&gt;"ENTRADA"),"",TEXT(B5842,"AAMMDD")&amp;"-"&amp;TEXT(VALUE(SUBSTITUTE(A5842,"MOV-","")),"000"))</f>
        <v/>
      </c>
    </row>
    <row r="5843" spans="18:20">
      <c r="R5843" s="22" t="str">
        <f>IF(H5843="","",H5843&amp;I5843)</f>
        <v/>
      </c>
      <c r="S5843" s="22" t="str">
        <f>IF(C5843="","",C5843&amp;I5843)</f>
        <v/>
      </c>
      <c r="T5843" t="str">
        <f>IF(OR(C5843="",I5843&lt;&gt;"ENTRADA"),"",TEXT(B5843,"AAMMDD")&amp;"-"&amp;TEXT(VALUE(SUBSTITUTE(A5843,"MOV-","")),"000"))</f>
        <v/>
      </c>
    </row>
    <row r="5844" spans="18:20">
      <c r="R5844" s="22" t="str">
        <f>IF(H5844="","",H5844&amp;I5844)</f>
        <v/>
      </c>
      <c r="S5844" s="22" t="str">
        <f>IF(C5844="","",C5844&amp;I5844)</f>
        <v/>
      </c>
      <c r="T5844" t="str">
        <f>IF(OR(C5844="",I5844&lt;&gt;"ENTRADA"),"",TEXT(B5844,"AAMMDD")&amp;"-"&amp;TEXT(VALUE(SUBSTITUTE(A5844,"MOV-","")),"000"))</f>
        <v/>
      </c>
    </row>
    <row r="5845" spans="18:20">
      <c r="R5845" s="22" t="str">
        <f>IF(H5845="","",H5845&amp;I5845)</f>
        <v/>
      </c>
      <c r="S5845" s="22" t="str">
        <f>IF(C5845="","",C5845&amp;I5845)</f>
        <v/>
      </c>
      <c r="T5845" t="str">
        <f>IF(OR(C5845="",I5845&lt;&gt;"ENTRADA"),"",TEXT(B5845,"AAMMDD")&amp;"-"&amp;TEXT(VALUE(SUBSTITUTE(A5845,"MOV-","")),"000"))</f>
        <v/>
      </c>
    </row>
    <row r="5846" spans="18:20">
      <c r="R5846" s="22" t="str">
        <f>IF(H5846="","",H5846&amp;I5846)</f>
        <v/>
      </c>
      <c r="S5846" s="22" t="str">
        <f>IF(C5846="","",C5846&amp;I5846)</f>
        <v/>
      </c>
      <c r="T5846" t="str">
        <f>IF(OR(C5846="",I5846&lt;&gt;"ENTRADA"),"",TEXT(B5846,"AAMMDD")&amp;"-"&amp;TEXT(VALUE(SUBSTITUTE(A5846,"MOV-","")),"000"))</f>
        <v/>
      </c>
    </row>
    <row r="5847" spans="18:20">
      <c r="R5847" s="22" t="str">
        <f>IF(H5847="","",H5847&amp;I5847)</f>
        <v/>
      </c>
      <c r="S5847" s="22" t="str">
        <f>IF(C5847="","",C5847&amp;I5847)</f>
        <v/>
      </c>
      <c r="T5847" t="str">
        <f>IF(OR(C5847="",I5847&lt;&gt;"ENTRADA"),"",TEXT(B5847,"AAMMDD")&amp;"-"&amp;TEXT(VALUE(SUBSTITUTE(A5847,"MOV-","")),"000"))</f>
        <v/>
      </c>
    </row>
    <row r="5848" spans="18:20">
      <c r="R5848" s="22" t="str">
        <f>IF(H5848="","",H5848&amp;I5848)</f>
        <v/>
      </c>
      <c r="S5848" s="22" t="str">
        <f>IF(C5848="","",C5848&amp;I5848)</f>
        <v/>
      </c>
      <c r="T5848" t="str">
        <f>IF(OR(C5848="",I5848&lt;&gt;"ENTRADA"),"",TEXT(B5848,"AAMMDD")&amp;"-"&amp;TEXT(VALUE(SUBSTITUTE(A5848,"MOV-","")),"000"))</f>
        <v/>
      </c>
    </row>
    <row r="5849" spans="18:20">
      <c r="R5849" s="22" t="str">
        <f>IF(H5849="","",H5849&amp;I5849)</f>
        <v/>
      </c>
      <c r="S5849" s="22" t="str">
        <f>IF(C5849="","",C5849&amp;I5849)</f>
        <v/>
      </c>
      <c r="T5849" t="str">
        <f>IF(OR(C5849="",I5849&lt;&gt;"ENTRADA"),"",TEXT(B5849,"AAMMDD")&amp;"-"&amp;TEXT(VALUE(SUBSTITUTE(A5849,"MOV-","")),"000"))</f>
        <v/>
      </c>
    </row>
    <row r="5850" spans="18:20">
      <c r="R5850" s="22" t="str">
        <f>IF(H5850="","",H5850&amp;I5850)</f>
        <v/>
      </c>
      <c r="S5850" s="22" t="str">
        <f>IF(C5850="","",C5850&amp;I5850)</f>
        <v/>
      </c>
      <c r="T5850" t="str">
        <f>IF(OR(C5850="",I5850&lt;&gt;"ENTRADA"),"",TEXT(B5850,"AAMMDD")&amp;"-"&amp;TEXT(VALUE(SUBSTITUTE(A5850,"MOV-","")),"000"))</f>
        <v/>
      </c>
    </row>
    <row r="5851" spans="18:20">
      <c r="R5851" s="22" t="str">
        <f>IF(H5851="","",H5851&amp;I5851)</f>
        <v/>
      </c>
      <c r="S5851" s="22" t="str">
        <f>IF(C5851="","",C5851&amp;I5851)</f>
        <v/>
      </c>
      <c r="T5851" t="str">
        <f>IF(OR(C5851="",I5851&lt;&gt;"ENTRADA"),"",TEXT(B5851,"AAMMDD")&amp;"-"&amp;TEXT(VALUE(SUBSTITUTE(A5851,"MOV-","")),"000"))</f>
        <v/>
      </c>
    </row>
    <row r="5852" spans="18:20">
      <c r="R5852" s="22" t="str">
        <f>IF(H5852="","",H5852&amp;I5852)</f>
        <v/>
      </c>
      <c r="S5852" s="22" t="str">
        <f>IF(C5852="","",C5852&amp;I5852)</f>
        <v/>
      </c>
      <c r="T5852" t="str">
        <f>IF(OR(C5852="",I5852&lt;&gt;"ENTRADA"),"",TEXT(B5852,"AAMMDD")&amp;"-"&amp;TEXT(VALUE(SUBSTITUTE(A5852,"MOV-","")),"000"))</f>
        <v/>
      </c>
    </row>
    <row r="5853" spans="18:20">
      <c r="R5853" s="22" t="str">
        <f>IF(H5853="","",H5853&amp;I5853)</f>
        <v/>
      </c>
      <c r="S5853" s="22" t="str">
        <f>IF(C5853="","",C5853&amp;I5853)</f>
        <v/>
      </c>
      <c r="T5853" t="str">
        <f>IF(OR(C5853="",I5853&lt;&gt;"ENTRADA"),"",TEXT(B5853,"AAMMDD")&amp;"-"&amp;TEXT(VALUE(SUBSTITUTE(A5853,"MOV-","")),"000"))</f>
        <v/>
      </c>
    </row>
    <row r="5854" spans="18:20">
      <c r="R5854" s="22" t="str">
        <f>IF(H5854="","",H5854&amp;I5854)</f>
        <v/>
      </c>
      <c r="S5854" s="22" t="str">
        <f>IF(C5854="","",C5854&amp;I5854)</f>
        <v/>
      </c>
      <c r="T5854" t="str">
        <f>IF(OR(C5854="",I5854&lt;&gt;"ENTRADA"),"",TEXT(B5854,"AAMMDD")&amp;"-"&amp;TEXT(VALUE(SUBSTITUTE(A5854,"MOV-","")),"000"))</f>
        <v/>
      </c>
    </row>
    <row r="5855" spans="18:20">
      <c r="R5855" s="22" t="str">
        <f>IF(H5855="","",H5855&amp;I5855)</f>
        <v/>
      </c>
      <c r="S5855" s="22" t="str">
        <f>IF(C5855="","",C5855&amp;I5855)</f>
        <v/>
      </c>
      <c r="T5855" t="str">
        <f>IF(OR(C5855="",I5855&lt;&gt;"ENTRADA"),"",TEXT(B5855,"AAMMDD")&amp;"-"&amp;TEXT(VALUE(SUBSTITUTE(A5855,"MOV-","")),"000"))</f>
        <v/>
      </c>
    </row>
    <row r="5856" spans="18:20">
      <c r="R5856" s="22" t="str">
        <f>IF(H5856="","",H5856&amp;I5856)</f>
        <v/>
      </c>
      <c r="S5856" s="22" t="str">
        <f>IF(C5856="","",C5856&amp;I5856)</f>
        <v/>
      </c>
      <c r="T5856" t="str">
        <f>IF(OR(C5856="",I5856&lt;&gt;"ENTRADA"),"",TEXT(B5856,"AAMMDD")&amp;"-"&amp;TEXT(VALUE(SUBSTITUTE(A5856,"MOV-","")),"000"))</f>
        <v/>
      </c>
    </row>
    <row r="5857" spans="18:20">
      <c r="R5857" s="22" t="str">
        <f>IF(H5857="","",H5857&amp;I5857)</f>
        <v/>
      </c>
      <c r="S5857" s="22" t="str">
        <f>IF(C5857="","",C5857&amp;I5857)</f>
        <v/>
      </c>
      <c r="T5857" t="str">
        <f>IF(OR(C5857="",I5857&lt;&gt;"ENTRADA"),"",TEXT(B5857,"AAMMDD")&amp;"-"&amp;TEXT(VALUE(SUBSTITUTE(A5857,"MOV-","")),"000"))</f>
        <v/>
      </c>
    </row>
    <row r="5858" spans="18:20">
      <c r="R5858" s="22" t="str">
        <f>IF(H5858="","",H5858&amp;I5858)</f>
        <v/>
      </c>
      <c r="S5858" s="22" t="str">
        <f>IF(C5858="","",C5858&amp;I5858)</f>
        <v/>
      </c>
      <c r="T5858" t="str">
        <f>IF(OR(C5858="",I5858&lt;&gt;"ENTRADA"),"",TEXT(B5858,"AAMMDD")&amp;"-"&amp;TEXT(VALUE(SUBSTITUTE(A5858,"MOV-","")),"000"))</f>
        <v/>
      </c>
    </row>
    <row r="5859" spans="18:20">
      <c r="R5859" s="22" t="str">
        <f>IF(H5859="","",H5859&amp;I5859)</f>
        <v/>
      </c>
      <c r="S5859" s="22" t="str">
        <f>IF(C5859="","",C5859&amp;I5859)</f>
        <v/>
      </c>
      <c r="T5859" t="str">
        <f>IF(OR(C5859="",I5859&lt;&gt;"ENTRADA"),"",TEXT(B5859,"AAMMDD")&amp;"-"&amp;TEXT(VALUE(SUBSTITUTE(A5859,"MOV-","")),"000"))</f>
        <v/>
      </c>
    </row>
    <row r="5860" spans="18:20">
      <c r="R5860" s="22" t="str">
        <f>IF(H5860="","",H5860&amp;I5860)</f>
        <v/>
      </c>
      <c r="S5860" s="22" t="str">
        <f>IF(C5860="","",C5860&amp;I5860)</f>
        <v/>
      </c>
      <c r="T5860" t="str">
        <f>IF(OR(C5860="",I5860&lt;&gt;"ENTRADA"),"",TEXT(B5860,"AAMMDD")&amp;"-"&amp;TEXT(VALUE(SUBSTITUTE(A5860,"MOV-","")),"000"))</f>
        <v/>
      </c>
    </row>
    <row r="5861" spans="18:20">
      <c r="R5861" s="22" t="str">
        <f>IF(H5861="","",H5861&amp;I5861)</f>
        <v/>
      </c>
      <c r="S5861" s="22" t="str">
        <f>IF(C5861="","",C5861&amp;I5861)</f>
        <v/>
      </c>
      <c r="T5861" t="str">
        <f>IF(OR(C5861="",I5861&lt;&gt;"ENTRADA"),"",TEXT(B5861,"AAMMDD")&amp;"-"&amp;TEXT(VALUE(SUBSTITUTE(A5861,"MOV-","")),"000"))</f>
        <v/>
      </c>
    </row>
    <row r="5862" spans="18:20">
      <c r="R5862" s="22" t="str">
        <f>IF(H5862="","",H5862&amp;I5862)</f>
        <v/>
      </c>
      <c r="S5862" s="22" t="str">
        <f>IF(C5862="","",C5862&amp;I5862)</f>
        <v/>
      </c>
      <c r="T5862" t="str">
        <f>IF(OR(C5862="",I5862&lt;&gt;"ENTRADA"),"",TEXT(B5862,"AAMMDD")&amp;"-"&amp;TEXT(VALUE(SUBSTITUTE(A5862,"MOV-","")),"000"))</f>
        <v/>
      </c>
    </row>
    <row r="5863" spans="18:20">
      <c r="R5863" s="22" t="str">
        <f>IF(H5863="","",H5863&amp;I5863)</f>
        <v/>
      </c>
      <c r="S5863" s="22" t="str">
        <f>IF(C5863="","",C5863&amp;I5863)</f>
        <v/>
      </c>
      <c r="T5863" t="str">
        <f>IF(OR(C5863="",I5863&lt;&gt;"ENTRADA"),"",TEXT(B5863,"AAMMDD")&amp;"-"&amp;TEXT(VALUE(SUBSTITUTE(A5863,"MOV-","")),"000"))</f>
        <v/>
      </c>
    </row>
    <row r="5864" spans="18:20">
      <c r="R5864" s="22" t="str">
        <f>IF(H5864="","",H5864&amp;I5864)</f>
        <v/>
      </c>
      <c r="S5864" s="22" t="str">
        <f>IF(C5864="","",C5864&amp;I5864)</f>
        <v/>
      </c>
      <c r="T5864" t="str">
        <f>IF(OR(C5864="",I5864&lt;&gt;"ENTRADA"),"",TEXT(B5864,"AAMMDD")&amp;"-"&amp;TEXT(VALUE(SUBSTITUTE(A5864,"MOV-","")),"000"))</f>
        <v/>
      </c>
    </row>
    <row r="5865" spans="18:20">
      <c r="R5865" s="22" t="str">
        <f>IF(H5865="","",H5865&amp;I5865)</f>
        <v/>
      </c>
      <c r="S5865" s="22" t="str">
        <f>IF(C5865="","",C5865&amp;I5865)</f>
        <v/>
      </c>
      <c r="T5865" t="str">
        <f>IF(OR(C5865="",I5865&lt;&gt;"ENTRADA"),"",TEXT(B5865,"AAMMDD")&amp;"-"&amp;TEXT(VALUE(SUBSTITUTE(A5865,"MOV-","")),"000"))</f>
        <v/>
      </c>
    </row>
    <row r="5866" spans="18:20">
      <c r="R5866" s="22" t="str">
        <f>IF(H5866="","",H5866&amp;I5866)</f>
        <v/>
      </c>
      <c r="S5866" s="22" t="str">
        <f>IF(C5866="","",C5866&amp;I5866)</f>
        <v/>
      </c>
      <c r="T5866" t="str">
        <f>IF(OR(C5866="",I5866&lt;&gt;"ENTRADA"),"",TEXT(B5866,"AAMMDD")&amp;"-"&amp;TEXT(VALUE(SUBSTITUTE(A5866,"MOV-","")),"000"))</f>
        <v/>
      </c>
    </row>
    <row r="5867" spans="18:20">
      <c r="R5867" s="22" t="str">
        <f>IF(H5867="","",H5867&amp;I5867)</f>
        <v/>
      </c>
      <c r="S5867" s="22" t="str">
        <f>IF(C5867="","",C5867&amp;I5867)</f>
        <v/>
      </c>
      <c r="T5867" t="str">
        <f>IF(OR(C5867="",I5867&lt;&gt;"ENTRADA"),"",TEXT(B5867,"AAMMDD")&amp;"-"&amp;TEXT(VALUE(SUBSTITUTE(A5867,"MOV-","")),"000"))</f>
        <v/>
      </c>
    </row>
    <row r="5868" spans="18:20">
      <c r="R5868" s="22" t="str">
        <f>IF(H5868="","",H5868&amp;I5868)</f>
        <v/>
      </c>
      <c r="S5868" s="22" t="str">
        <f>IF(C5868="","",C5868&amp;I5868)</f>
        <v/>
      </c>
      <c r="T5868" t="str">
        <f>IF(OR(C5868="",I5868&lt;&gt;"ENTRADA"),"",TEXT(B5868,"AAMMDD")&amp;"-"&amp;TEXT(VALUE(SUBSTITUTE(A5868,"MOV-","")),"000"))</f>
        <v/>
      </c>
    </row>
    <row r="5869" spans="18:20">
      <c r="R5869" s="22" t="str">
        <f>IF(H5869="","",H5869&amp;I5869)</f>
        <v/>
      </c>
      <c r="S5869" s="22" t="str">
        <f>IF(C5869="","",C5869&amp;I5869)</f>
        <v/>
      </c>
      <c r="T5869" t="str">
        <f>IF(OR(C5869="",I5869&lt;&gt;"ENTRADA"),"",TEXT(B5869,"AAMMDD")&amp;"-"&amp;TEXT(VALUE(SUBSTITUTE(A5869,"MOV-","")),"000"))</f>
        <v/>
      </c>
    </row>
    <row r="5870" spans="18:20">
      <c r="R5870" s="22" t="str">
        <f>IF(H5870="","",H5870&amp;I5870)</f>
        <v/>
      </c>
      <c r="S5870" s="22" t="str">
        <f>IF(C5870="","",C5870&amp;I5870)</f>
        <v/>
      </c>
      <c r="T5870" t="str">
        <f>IF(OR(C5870="",I5870&lt;&gt;"ENTRADA"),"",TEXT(B5870,"AAMMDD")&amp;"-"&amp;TEXT(VALUE(SUBSTITUTE(A5870,"MOV-","")),"000"))</f>
        <v/>
      </c>
    </row>
    <row r="5871" spans="18:20">
      <c r="R5871" s="22" t="str">
        <f>IF(H5871="","",H5871&amp;I5871)</f>
        <v/>
      </c>
      <c r="S5871" s="22" t="str">
        <f>IF(C5871="","",C5871&amp;I5871)</f>
        <v/>
      </c>
      <c r="T5871" t="str">
        <f>IF(OR(C5871="",I5871&lt;&gt;"ENTRADA"),"",TEXT(B5871,"AAMMDD")&amp;"-"&amp;TEXT(VALUE(SUBSTITUTE(A5871,"MOV-","")),"000"))</f>
        <v/>
      </c>
    </row>
    <row r="5872" spans="18:20">
      <c r="R5872" s="22" t="str">
        <f>IF(H5872="","",H5872&amp;I5872)</f>
        <v/>
      </c>
      <c r="S5872" s="22" t="str">
        <f>IF(C5872="","",C5872&amp;I5872)</f>
        <v/>
      </c>
      <c r="T5872" t="str">
        <f>IF(OR(C5872="",I5872&lt;&gt;"ENTRADA"),"",TEXT(B5872,"AAMMDD")&amp;"-"&amp;TEXT(VALUE(SUBSTITUTE(A5872,"MOV-","")),"000"))</f>
        <v/>
      </c>
    </row>
    <row r="5873" spans="18:20">
      <c r="R5873" s="22" t="str">
        <f>IF(H5873="","",H5873&amp;I5873)</f>
        <v/>
      </c>
      <c r="S5873" s="22" t="str">
        <f>IF(C5873="","",C5873&amp;I5873)</f>
        <v/>
      </c>
      <c r="T5873" t="str">
        <f>IF(OR(C5873="",I5873&lt;&gt;"ENTRADA"),"",TEXT(B5873,"AAMMDD")&amp;"-"&amp;TEXT(VALUE(SUBSTITUTE(A5873,"MOV-","")),"000"))</f>
        <v/>
      </c>
    </row>
    <row r="5874" spans="18:20">
      <c r="R5874" s="22" t="str">
        <f>IF(H5874="","",H5874&amp;I5874)</f>
        <v/>
      </c>
      <c r="S5874" s="22" t="str">
        <f>IF(C5874="","",C5874&amp;I5874)</f>
        <v/>
      </c>
      <c r="T5874" t="str">
        <f>IF(OR(C5874="",I5874&lt;&gt;"ENTRADA"),"",TEXT(B5874,"AAMMDD")&amp;"-"&amp;TEXT(VALUE(SUBSTITUTE(A5874,"MOV-","")),"000"))</f>
        <v/>
      </c>
    </row>
    <row r="5875" spans="18:20">
      <c r="R5875" s="22" t="str">
        <f>IF(H5875="","",H5875&amp;I5875)</f>
        <v/>
      </c>
      <c r="S5875" s="22" t="str">
        <f>IF(C5875="","",C5875&amp;I5875)</f>
        <v/>
      </c>
      <c r="T5875" t="str">
        <f>IF(OR(C5875="",I5875&lt;&gt;"ENTRADA"),"",TEXT(B5875,"AAMMDD")&amp;"-"&amp;TEXT(VALUE(SUBSTITUTE(A5875,"MOV-","")),"000"))</f>
        <v/>
      </c>
    </row>
    <row r="5876" spans="18:20">
      <c r="R5876" s="22" t="str">
        <f>IF(H5876="","",H5876&amp;I5876)</f>
        <v/>
      </c>
      <c r="S5876" s="22" t="str">
        <f>IF(C5876="","",C5876&amp;I5876)</f>
        <v/>
      </c>
      <c r="T5876" t="str">
        <f>IF(OR(C5876="",I5876&lt;&gt;"ENTRADA"),"",TEXT(B5876,"AAMMDD")&amp;"-"&amp;TEXT(VALUE(SUBSTITUTE(A5876,"MOV-","")),"000"))</f>
        <v/>
      </c>
    </row>
    <row r="5877" spans="18:20">
      <c r="R5877" s="22" t="str">
        <f>IF(H5877="","",H5877&amp;I5877)</f>
        <v/>
      </c>
      <c r="S5877" s="22" t="str">
        <f>IF(C5877="","",C5877&amp;I5877)</f>
        <v/>
      </c>
      <c r="T5877" t="str">
        <f>IF(OR(C5877="",I5877&lt;&gt;"ENTRADA"),"",TEXT(B5877,"AAMMDD")&amp;"-"&amp;TEXT(VALUE(SUBSTITUTE(A5877,"MOV-","")),"000"))</f>
        <v/>
      </c>
    </row>
    <row r="5878" spans="18:20">
      <c r="R5878" s="22" t="str">
        <f>IF(H5878="","",H5878&amp;I5878)</f>
        <v/>
      </c>
      <c r="S5878" s="22" t="str">
        <f>IF(C5878="","",C5878&amp;I5878)</f>
        <v/>
      </c>
      <c r="T5878" t="str">
        <f>IF(OR(C5878="",I5878&lt;&gt;"ENTRADA"),"",TEXT(B5878,"AAMMDD")&amp;"-"&amp;TEXT(VALUE(SUBSTITUTE(A5878,"MOV-","")),"000"))</f>
        <v/>
      </c>
    </row>
    <row r="5879" spans="18:20">
      <c r="R5879" s="22" t="str">
        <f>IF(H5879="","",H5879&amp;I5879)</f>
        <v/>
      </c>
      <c r="S5879" s="22" t="str">
        <f>IF(C5879="","",C5879&amp;I5879)</f>
        <v/>
      </c>
      <c r="T5879" t="str">
        <f>IF(OR(C5879="",I5879&lt;&gt;"ENTRADA"),"",TEXT(B5879,"AAMMDD")&amp;"-"&amp;TEXT(VALUE(SUBSTITUTE(A5879,"MOV-","")),"000"))</f>
        <v/>
      </c>
    </row>
    <row r="5880" spans="18:20">
      <c r="R5880" s="22" t="str">
        <f>IF(H5880="","",H5880&amp;I5880)</f>
        <v/>
      </c>
      <c r="S5880" s="22" t="str">
        <f>IF(C5880="","",C5880&amp;I5880)</f>
        <v/>
      </c>
      <c r="T5880" t="str">
        <f>IF(OR(C5880="",I5880&lt;&gt;"ENTRADA"),"",TEXT(B5880,"AAMMDD")&amp;"-"&amp;TEXT(VALUE(SUBSTITUTE(A5880,"MOV-","")),"000"))</f>
        <v/>
      </c>
    </row>
    <row r="5881" spans="18:20">
      <c r="R5881" s="22" t="str">
        <f>IF(H5881="","",H5881&amp;I5881)</f>
        <v/>
      </c>
      <c r="S5881" s="22" t="str">
        <f>IF(C5881="","",C5881&amp;I5881)</f>
        <v/>
      </c>
      <c r="T5881" t="str">
        <f>IF(OR(C5881="",I5881&lt;&gt;"ENTRADA"),"",TEXT(B5881,"AAMMDD")&amp;"-"&amp;TEXT(VALUE(SUBSTITUTE(A5881,"MOV-","")),"000"))</f>
        <v/>
      </c>
    </row>
    <row r="5882" spans="18:20">
      <c r="R5882" s="22" t="str">
        <f>IF(H5882="","",H5882&amp;I5882)</f>
        <v/>
      </c>
      <c r="S5882" s="22" t="str">
        <f>IF(C5882="","",C5882&amp;I5882)</f>
        <v/>
      </c>
      <c r="T5882" t="str">
        <f>IF(OR(C5882="",I5882&lt;&gt;"ENTRADA"),"",TEXT(B5882,"AAMMDD")&amp;"-"&amp;TEXT(VALUE(SUBSTITUTE(A5882,"MOV-","")),"000"))</f>
        <v/>
      </c>
    </row>
    <row r="5883" spans="18:20">
      <c r="R5883" s="22" t="str">
        <f>IF(H5883="","",H5883&amp;I5883)</f>
        <v/>
      </c>
      <c r="S5883" s="22" t="str">
        <f>IF(C5883="","",C5883&amp;I5883)</f>
        <v/>
      </c>
      <c r="T5883" t="str">
        <f>IF(OR(C5883="",I5883&lt;&gt;"ENTRADA"),"",TEXT(B5883,"AAMMDD")&amp;"-"&amp;TEXT(VALUE(SUBSTITUTE(A5883,"MOV-","")),"000"))</f>
        <v/>
      </c>
    </row>
    <row r="5884" spans="18:20">
      <c r="R5884" s="22" t="str">
        <f>IF(H5884="","",H5884&amp;I5884)</f>
        <v/>
      </c>
      <c r="S5884" s="22" t="str">
        <f>IF(C5884="","",C5884&amp;I5884)</f>
        <v/>
      </c>
      <c r="T5884" t="str">
        <f>IF(OR(C5884="",I5884&lt;&gt;"ENTRADA"),"",TEXT(B5884,"AAMMDD")&amp;"-"&amp;TEXT(VALUE(SUBSTITUTE(A5884,"MOV-","")),"000"))</f>
        <v/>
      </c>
    </row>
    <row r="5885" spans="18:20">
      <c r="R5885" s="22" t="str">
        <f>IF(H5885="","",H5885&amp;I5885)</f>
        <v/>
      </c>
      <c r="S5885" s="22" t="str">
        <f>IF(C5885="","",C5885&amp;I5885)</f>
        <v/>
      </c>
      <c r="T5885" t="str">
        <f>IF(OR(C5885="",I5885&lt;&gt;"ENTRADA"),"",TEXT(B5885,"AAMMDD")&amp;"-"&amp;TEXT(VALUE(SUBSTITUTE(A5885,"MOV-","")),"000"))</f>
        <v/>
      </c>
    </row>
    <row r="5886" spans="18:20">
      <c r="R5886" s="22" t="str">
        <f>IF(H5886="","",H5886&amp;I5886)</f>
        <v/>
      </c>
      <c r="S5886" s="22" t="str">
        <f>IF(C5886="","",C5886&amp;I5886)</f>
        <v/>
      </c>
      <c r="T5886" t="str">
        <f>IF(OR(C5886="",I5886&lt;&gt;"ENTRADA"),"",TEXT(B5886,"AAMMDD")&amp;"-"&amp;TEXT(VALUE(SUBSTITUTE(A5886,"MOV-","")),"000"))</f>
        <v/>
      </c>
    </row>
    <row r="5887" spans="18:20">
      <c r="R5887" s="22" t="str">
        <f>IF(H5887="","",H5887&amp;I5887)</f>
        <v/>
      </c>
      <c r="S5887" s="22" t="str">
        <f>IF(C5887="","",C5887&amp;I5887)</f>
        <v/>
      </c>
      <c r="T5887" t="str">
        <f>IF(OR(C5887="",I5887&lt;&gt;"ENTRADA"),"",TEXT(B5887,"AAMMDD")&amp;"-"&amp;TEXT(VALUE(SUBSTITUTE(A5887,"MOV-","")),"000"))</f>
        <v/>
      </c>
    </row>
    <row r="5888" spans="18:20">
      <c r="R5888" s="22" t="str">
        <f>IF(H5888="","",H5888&amp;I5888)</f>
        <v/>
      </c>
      <c r="S5888" s="22" t="str">
        <f>IF(C5888="","",C5888&amp;I5888)</f>
        <v/>
      </c>
      <c r="T5888" t="str">
        <f>IF(OR(C5888="",I5888&lt;&gt;"ENTRADA"),"",TEXT(B5888,"AAMMDD")&amp;"-"&amp;TEXT(VALUE(SUBSTITUTE(A5888,"MOV-","")),"000"))</f>
        <v/>
      </c>
    </row>
    <row r="5889" spans="18:20">
      <c r="R5889" s="22" t="str">
        <f>IF(H5889="","",H5889&amp;I5889)</f>
        <v/>
      </c>
      <c r="S5889" s="22" t="str">
        <f>IF(C5889="","",C5889&amp;I5889)</f>
        <v/>
      </c>
      <c r="T5889" t="str">
        <f>IF(OR(C5889="",I5889&lt;&gt;"ENTRADA"),"",TEXT(B5889,"AAMMDD")&amp;"-"&amp;TEXT(VALUE(SUBSTITUTE(A5889,"MOV-","")),"000"))</f>
        <v/>
      </c>
    </row>
    <row r="5890" spans="18:20">
      <c r="R5890" s="22" t="str">
        <f>IF(H5890="","",H5890&amp;I5890)</f>
        <v/>
      </c>
      <c r="S5890" s="22" t="str">
        <f>IF(C5890="","",C5890&amp;I5890)</f>
        <v/>
      </c>
      <c r="T5890" t="str">
        <f>IF(OR(C5890="",I5890&lt;&gt;"ENTRADA"),"",TEXT(B5890,"AAMMDD")&amp;"-"&amp;TEXT(VALUE(SUBSTITUTE(A5890,"MOV-","")),"000"))</f>
        <v/>
      </c>
    </row>
    <row r="5891" spans="18:20">
      <c r="R5891" s="22" t="str">
        <f>IF(H5891="","",H5891&amp;I5891)</f>
        <v/>
      </c>
      <c r="S5891" s="22" t="str">
        <f>IF(C5891="","",C5891&amp;I5891)</f>
        <v/>
      </c>
      <c r="T5891" t="str">
        <f>IF(OR(C5891="",I5891&lt;&gt;"ENTRADA"),"",TEXT(B5891,"AAMMDD")&amp;"-"&amp;TEXT(VALUE(SUBSTITUTE(A5891,"MOV-","")),"000"))</f>
        <v/>
      </c>
    </row>
    <row r="5892" spans="18:20">
      <c r="R5892" s="22" t="str">
        <f>IF(H5892="","",H5892&amp;I5892)</f>
        <v/>
      </c>
      <c r="S5892" s="22" t="str">
        <f>IF(C5892="","",C5892&amp;I5892)</f>
        <v/>
      </c>
      <c r="T5892" t="str">
        <f>IF(OR(C5892="",I5892&lt;&gt;"ENTRADA"),"",TEXT(B5892,"AAMMDD")&amp;"-"&amp;TEXT(VALUE(SUBSTITUTE(A5892,"MOV-","")),"000"))</f>
        <v/>
      </c>
    </row>
    <row r="5893" spans="18:20">
      <c r="R5893" s="22" t="str">
        <f>IF(H5893="","",H5893&amp;I5893)</f>
        <v/>
      </c>
      <c r="S5893" s="22" t="str">
        <f>IF(C5893="","",C5893&amp;I5893)</f>
        <v/>
      </c>
      <c r="T5893" t="str">
        <f>IF(OR(C5893="",I5893&lt;&gt;"ENTRADA"),"",TEXT(B5893,"AAMMDD")&amp;"-"&amp;TEXT(VALUE(SUBSTITUTE(A5893,"MOV-","")),"000"))</f>
        <v/>
      </c>
    </row>
    <row r="5894" spans="18:20">
      <c r="R5894" s="22" t="str">
        <f>IF(H5894="","",H5894&amp;I5894)</f>
        <v/>
      </c>
      <c r="S5894" s="22" t="str">
        <f>IF(C5894="","",C5894&amp;I5894)</f>
        <v/>
      </c>
      <c r="T5894" t="str">
        <f>IF(OR(C5894="",I5894&lt;&gt;"ENTRADA"),"",TEXT(B5894,"AAMMDD")&amp;"-"&amp;TEXT(VALUE(SUBSTITUTE(A5894,"MOV-","")),"000"))</f>
        <v/>
      </c>
    </row>
    <row r="5895" spans="18:20">
      <c r="R5895" s="22" t="str">
        <f>IF(H5895="","",H5895&amp;I5895)</f>
        <v/>
      </c>
      <c r="S5895" s="22" t="str">
        <f>IF(C5895="","",C5895&amp;I5895)</f>
        <v/>
      </c>
      <c r="T5895" t="str">
        <f>IF(OR(C5895="",I5895&lt;&gt;"ENTRADA"),"",TEXT(B5895,"AAMMDD")&amp;"-"&amp;TEXT(VALUE(SUBSTITUTE(A5895,"MOV-","")),"000"))</f>
        <v/>
      </c>
    </row>
    <row r="5896" spans="18:20">
      <c r="R5896" s="22" t="str">
        <f>IF(H5896="","",H5896&amp;I5896)</f>
        <v/>
      </c>
      <c r="S5896" s="22" t="str">
        <f>IF(C5896="","",C5896&amp;I5896)</f>
        <v/>
      </c>
      <c r="T5896" t="str">
        <f>IF(OR(C5896="",I5896&lt;&gt;"ENTRADA"),"",TEXT(B5896,"AAMMDD")&amp;"-"&amp;TEXT(VALUE(SUBSTITUTE(A5896,"MOV-","")),"000"))</f>
        <v/>
      </c>
    </row>
    <row r="5897" spans="18:20">
      <c r="R5897" s="22" t="str">
        <f>IF(H5897="","",H5897&amp;I5897)</f>
        <v/>
      </c>
      <c r="S5897" s="22" t="str">
        <f>IF(C5897="","",C5897&amp;I5897)</f>
        <v/>
      </c>
      <c r="T5897" t="str">
        <f>IF(OR(C5897="",I5897&lt;&gt;"ENTRADA"),"",TEXT(B5897,"AAMMDD")&amp;"-"&amp;TEXT(VALUE(SUBSTITUTE(A5897,"MOV-","")),"000"))</f>
        <v/>
      </c>
    </row>
    <row r="5898" spans="18:20">
      <c r="R5898" s="22" t="str">
        <f>IF(H5898="","",H5898&amp;I5898)</f>
        <v/>
      </c>
      <c r="S5898" s="22" t="str">
        <f>IF(C5898="","",C5898&amp;I5898)</f>
        <v/>
      </c>
      <c r="T5898" t="str">
        <f>IF(OR(C5898="",I5898&lt;&gt;"ENTRADA"),"",TEXT(B5898,"AAMMDD")&amp;"-"&amp;TEXT(VALUE(SUBSTITUTE(A5898,"MOV-","")),"000"))</f>
        <v/>
      </c>
    </row>
    <row r="5899" spans="18:20">
      <c r="R5899" s="22" t="str">
        <f>IF(H5899="","",H5899&amp;I5899)</f>
        <v/>
      </c>
      <c r="S5899" s="22" t="str">
        <f>IF(C5899="","",C5899&amp;I5899)</f>
        <v/>
      </c>
      <c r="T5899" t="str">
        <f>IF(OR(C5899="",I5899&lt;&gt;"ENTRADA"),"",TEXT(B5899,"AAMMDD")&amp;"-"&amp;TEXT(VALUE(SUBSTITUTE(A5899,"MOV-","")),"000"))</f>
        <v/>
      </c>
    </row>
    <row r="5900" spans="18:20">
      <c r="R5900" s="22" t="str">
        <f>IF(H5900="","",H5900&amp;I5900)</f>
        <v/>
      </c>
      <c r="S5900" s="22" t="str">
        <f>IF(C5900="","",C5900&amp;I5900)</f>
        <v/>
      </c>
      <c r="T5900" t="str">
        <f>IF(OR(C5900="",I5900&lt;&gt;"ENTRADA"),"",TEXT(B5900,"AAMMDD")&amp;"-"&amp;TEXT(VALUE(SUBSTITUTE(A5900,"MOV-","")),"000"))</f>
        <v/>
      </c>
    </row>
    <row r="5901" spans="18:20">
      <c r="R5901" s="22" t="str">
        <f>IF(H5901="","",H5901&amp;I5901)</f>
        <v/>
      </c>
      <c r="S5901" s="22" t="str">
        <f>IF(C5901="","",C5901&amp;I5901)</f>
        <v/>
      </c>
      <c r="T5901" t="str">
        <f>IF(OR(C5901="",I5901&lt;&gt;"ENTRADA"),"",TEXT(B5901,"AAMMDD")&amp;"-"&amp;TEXT(VALUE(SUBSTITUTE(A5901,"MOV-","")),"000"))</f>
        <v/>
      </c>
    </row>
    <row r="5902" spans="18:20">
      <c r="R5902" s="22" t="str">
        <f>IF(H5902="","",H5902&amp;I5902)</f>
        <v/>
      </c>
      <c r="S5902" s="22" t="str">
        <f>IF(C5902="","",C5902&amp;I5902)</f>
        <v/>
      </c>
      <c r="T5902" t="str">
        <f>IF(OR(C5902="",I5902&lt;&gt;"ENTRADA"),"",TEXT(B5902,"AAMMDD")&amp;"-"&amp;TEXT(VALUE(SUBSTITUTE(A5902,"MOV-","")),"000"))</f>
        <v/>
      </c>
    </row>
    <row r="5903" spans="18:20">
      <c r="R5903" s="22" t="str">
        <f>IF(H5903="","",H5903&amp;I5903)</f>
        <v/>
      </c>
      <c r="S5903" s="22" t="str">
        <f>IF(C5903="","",C5903&amp;I5903)</f>
        <v/>
      </c>
      <c r="T5903" t="str">
        <f>IF(OR(C5903="",I5903&lt;&gt;"ENTRADA"),"",TEXT(B5903,"AAMMDD")&amp;"-"&amp;TEXT(VALUE(SUBSTITUTE(A5903,"MOV-","")),"000"))</f>
        <v/>
      </c>
    </row>
    <row r="5904" spans="18:20">
      <c r="R5904" s="22" t="str">
        <f>IF(H5904="","",H5904&amp;I5904)</f>
        <v/>
      </c>
      <c r="S5904" s="22" t="str">
        <f>IF(C5904="","",C5904&amp;I5904)</f>
        <v/>
      </c>
      <c r="T5904" t="str">
        <f>IF(OR(C5904="",I5904&lt;&gt;"ENTRADA"),"",TEXT(B5904,"AAMMDD")&amp;"-"&amp;TEXT(VALUE(SUBSTITUTE(A5904,"MOV-","")),"000"))</f>
        <v/>
      </c>
    </row>
    <row r="5905" spans="18:20">
      <c r="R5905" s="22" t="str">
        <f>IF(H5905="","",H5905&amp;I5905)</f>
        <v/>
      </c>
      <c r="S5905" s="22" t="str">
        <f>IF(C5905="","",C5905&amp;I5905)</f>
        <v/>
      </c>
      <c r="T5905" t="str">
        <f>IF(OR(C5905="",I5905&lt;&gt;"ENTRADA"),"",TEXT(B5905,"AAMMDD")&amp;"-"&amp;TEXT(VALUE(SUBSTITUTE(A5905,"MOV-","")),"000"))</f>
        <v/>
      </c>
    </row>
    <row r="5906" spans="18:20">
      <c r="R5906" s="22" t="str">
        <f>IF(H5906="","",H5906&amp;I5906)</f>
        <v/>
      </c>
      <c r="S5906" s="22" t="str">
        <f>IF(C5906="","",C5906&amp;I5906)</f>
        <v/>
      </c>
      <c r="T5906" t="str">
        <f>IF(OR(C5906="",I5906&lt;&gt;"ENTRADA"),"",TEXT(B5906,"AAMMDD")&amp;"-"&amp;TEXT(VALUE(SUBSTITUTE(A5906,"MOV-","")),"000"))</f>
        <v/>
      </c>
    </row>
    <row r="5907" spans="18:20">
      <c r="R5907" s="22" t="str">
        <f>IF(H5907="","",H5907&amp;I5907)</f>
        <v/>
      </c>
      <c r="S5907" s="22" t="str">
        <f>IF(C5907="","",C5907&amp;I5907)</f>
        <v/>
      </c>
      <c r="T5907" t="str">
        <f>IF(OR(C5907="",I5907&lt;&gt;"ENTRADA"),"",TEXT(B5907,"AAMMDD")&amp;"-"&amp;TEXT(VALUE(SUBSTITUTE(A5907,"MOV-","")),"000"))</f>
        <v/>
      </c>
    </row>
    <row r="5908" spans="18:20">
      <c r="R5908" s="22" t="str">
        <f>IF(H5908="","",H5908&amp;I5908)</f>
        <v/>
      </c>
      <c r="S5908" s="22" t="str">
        <f>IF(C5908="","",C5908&amp;I5908)</f>
        <v/>
      </c>
      <c r="T5908" t="str">
        <f>IF(OR(C5908="",I5908&lt;&gt;"ENTRADA"),"",TEXT(B5908,"AAMMDD")&amp;"-"&amp;TEXT(VALUE(SUBSTITUTE(A5908,"MOV-","")),"000"))</f>
        <v/>
      </c>
    </row>
    <row r="5909" spans="18:20">
      <c r="R5909" s="22" t="str">
        <f>IF(H5909="","",H5909&amp;I5909)</f>
        <v/>
      </c>
      <c r="S5909" s="22" t="str">
        <f>IF(C5909="","",C5909&amp;I5909)</f>
        <v/>
      </c>
      <c r="T5909" t="str">
        <f>IF(OR(C5909="",I5909&lt;&gt;"ENTRADA"),"",TEXT(B5909,"AAMMDD")&amp;"-"&amp;TEXT(VALUE(SUBSTITUTE(A5909,"MOV-","")),"000"))</f>
        <v/>
      </c>
    </row>
    <row r="5910" spans="18:20">
      <c r="R5910" s="22" t="str">
        <f>IF(H5910="","",H5910&amp;I5910)</f>
        <v/>
      </c>
      <c r="S5910" s="22" t="str">
        <f>IF(C5910="","",C5910&amp;I5910)</f>
        <v/>
      </c>
      <c r="T5910" t="str">
        <f>IF(OR(C5910="",I5910&lt;&gt;"ENTRADA"),"",TEXT(B5910,"AAMMDD")&amp;"-"&amp;TEXT(VALUE(SUBSTITUTE(A5910,"MOV-","")),"000"))</f>
        <v/>
      </c>
    </row>
    <row r="5911" spans="18:20">
      <c r="R5911" s="22" t="str">
        <f>IF(H5911="","",H5911&amp;I5911)</f>
        <v/>
      </c>
      <c r="S5911" s="22" t="str">
        <f>IF(C5911="","",C5911&amp;I5911)</f>
        <v/>
      </c>
      <c r="T5911" t="str">
        <f>IF(OR(C5911="",I5911&lt;&gt;"ENTRADA"),"",TEXT(B5911,"AAMMDD")&amp;"-"&amp;TEXT(VALUE(SUBSTITUTE(A5911,"MOV-","")),"000"))</f>
        <v/>
      </c>
    </row>
    <row r="5912" spans="18:20">
      <c r="R5912" s="22" t="str">
        <f>IF(H5912="","",H5912&amp;I5912)</f>
        <v/>
      </c>
      <c r="S5912" s="22" t="str">
        <f>IF(C5912="","",C5912&amp;I5912)</f>
        <v/>
      </c>
      <c r="T5912" t="str">
        <f>IF(OR(C5912="",I5912&lt;&gt;"ENTRADA"),"",TEXT(B5912,"AAMMDD")&amp;"-"&amp;TEXT(VALUE(SUBSTITUTE(A5912,"MOV-","")),"000"))</f>
        <v/>
      </c>
    </row>
    <row r="5913" spans="18:20">
      <c r="R5913" s="22" t="str">
        <f>IF(H5913="","",H5913&amp;I5913)</f>
        <v/>
      </c>
      <c r="S5913" s="22" t="str">
        <f>IF(C5913="","",C5913&amp;I5913)</f>
        <v/>
      </c>
      <c r="T5913" t="str">
        <f>IF(OR(C5913="",I5913&lt;&gt;"ENTRADA"),"",TEXT(B5913,"AAMMDD")&amp;"-"&amp;TEXT(VALUE(SUBSTITUTE(A5913,"MOV-","")),"000"))</f>
        <v/>
      </c>
    </row>
    <row r="5914" spans="18:20">
      <c r="R5914" s="22" t="str">
        <f>IF(H5914="","",H5914&amp;I5914)</f>
        <v/>
      </c>
      <c r="S5914" s="22" t="str">
        <f>IF(C5914="","",C5914&amp;I5914)</f>
        <v/>
      </c>
      <c r="T5914" t="str">
        <f>IF(OR(C5914="",I5914&lt;&gt;"ENTRADA"),"",TEXT(B5914,"AAMMDD")&amp;"-"&amp;TEXT(VALUE(SUBSTITUTE(A5914,"MOV-","")),"000"))</f>
        <v/>
      </c>
    </row>
    <row r="5915" spans="18:20">
      <c r="R5915" s="22" t="str">
        <f>IF(H5915="","",H5915&amp;I5915)</f>
        <v/>
      </c>
      <c r="S5915" s="22" t="str">
        <f>IF(C5915="","",C5915&amp;I5915)</f>
        <v/>
      </c>
      <c r="T5915" t="str">
        <f>IF(OR(C5915="",I5915&lt;&gt;"ENTRADA"),"",TEXT(B5915,"AAMMDD")&amp;"-"&amp;TEXT(VALUE(SUBSTITUTE(A5915,"MOV-","")),"000"))</f>
        <v/>
      </c>
    </row>
    <row r="5916" spans="18:20">
      <c r="R5916" s="22" t="str">
        <f>IF(H5916="","",H5916&amp;I5916)</f>
        <v/>
      </c>
      <c r="S5916" s="22" t="str">
        <f>IF(C5916="","",C5916&amp;I5916)</f>
        <v/>
      </c>
      <c r="T5916" t="str">
        <f>IF(OR(C5916="",I5916&lt;&gt;"ENTRADA"),"",TEXT(B5916,"AAMMDD")&amp;"-"&amp;TEXT(VALUE(SUBSTITUTE(A5916,"MOV-","")),"000"))</f>
        <v/>
      </c>
    </row>
    <row r="5917" spans="18:20">
      <c r="R5917" s="22" t="str">
        <f>IF(H5917="","",H5917&amp;I5917)</f>
        <v/>
      </c>
      <c r="S5917" s="22" t="str">
        <f>IF(C5917="","",C5917&amp;I5917)</f>
        <v/>
      </c>
      <c r="T5917" t="str">
        <f>IF(OR(C5917="",I5917&lt;&gt;"ENTRADA"),"",TEXT(B5917,"AAMMDD")&amp;"-"&amp;TEXT(VALUE(SUBSTITUTE(A5917,"MOV-","")),"000"))</f>
        <v/>
      </c>
    </row>
    <row r="5918" spans="18:20">
      <c r="R5918" s="22" t="str">
        <f>IF(H5918="","",H5918&amp;I5918)</f>
        <v/>
      </c>
      <c r="S5918" s="22" t="str">
        <f>IF(C5918="","",C5918&amp;I5918)</f>
        <v/>
      </c>
      <c r="T5918" t="str">
        <f>IF(OR(C5918="",I5918&lt;&gt;"ENTRADA"),"",TEXT(B5918,"AAMMDD")&amp;"-"&amp;TEXT(VALUE(SUBSTITUTE(A5918,"MOV-","")),"000"))</f>
        <v/>
      </c>
    </row>
    <row r="5919" spans="18:20">
      <c r="R5919" s="22" t="str">
        <f>IF(H5919="","",H5919&amp;I5919)</f>
        <v/>
      </c>
      <c r="S5919" s="22" t="str">
        <f>IF(C5919="","",C5919&amp;I5919)</f>
        <v/>
      </c>
      <c r="T5919" t="str">
        <f>IF(OR(C5919="",I5919&lt;&gt;"ENTRADA"),"",TEXT(B5919,"AAMMDD")&amp;"-"&amp;TEXT(VALUE(SUBSTITUTE(A5919,"MOV-","")),"000"))</f>
        <v/>
      </c>
    </row>
    <row r="5920" spans="18:20">
      <c r="R5920" s="22" t="str">
        <f>IF(H5920="","",H5920&amp;I5920)</f>
        <v/>
      </c>
      <c r="S5920" s="22" t="str">
        <f>IF(C5920="","",C5920&amp;I5920)</f>
        <v/>
      </c>
      <c r="T5920" t="str">
        <f>IF(OR(C5920="",I5920&lt;&gt;"ENTRADA"),"",TEXT(B5920,"AAMMDD")&amp;"-"&amp;TEXT(VALUE(SUBSTITUTE(A5920,"MOV-","")),"000"))</f>
        <v/>
      </c>
    </row>
    <row r="5921" spans="18:20">
      <c r="R5921" s="22" t="str">
        <f>IF(H5921="","",H5921&amp;I5921)</f>
        <v/>
      </c>
      <c r="S5921" s="22" t="str">
        <f>IF(C5921="","",C5921&amp;I5921)</f>
        <v/>
      </c>
      <c r="T5921" t="str">
        <f>IF(OR(C5921="",I5921&lt;&gt;"ENTRADA"),"",TEXT(B5921,"AAMMDD")&amp;"-"&amp;TEXT(VALUE(SUBSTITUTE(A5921,"MOV-","")),"000"))</f>
        <v/>
      </c>
    </row>
    <row r="5922" spans="18:20">
      <c r="R5922" s="22" t="str">
        <f>IF(H5922="","",H5922&amp;I5922)</f>
        <v/>
      </c>
      <c r="S5922" s="22" t="str">
        <f>IF(C5922="","",C5922&amp;I5922)</f>
        <v/>
      </c>
      <c r="T5922" t="str">
        <f>IF(OR(C5922="",I5922&lt;&gt;"ENTRADA"),"",TEXT(B5922,"AAMMDD")&amp;"-"&amp;TEXT(VALUE(SUBSTITUTE(A5922,"MOV-","")),"000"))</f>
        <v/>
      </c>
    </row>
    <row r="5923" spans="18:20">
      <c r="R5923" s="22" t="str">
        <f>IF(H5923="","",H5923&amp;I5923)</f>
        <v/>
      </c>
      <c r="S5923" s="22" t="str">
        <f>IF(C5923="","",C5923&amp;I5923)</f>
        <v/>
      </c>
      <c r="T5923" t="str">
        <f>IF(OR(C5923="",I5923&lt;&gt;"ENTRADA"),"",TEXT(B5923,"AAMMDD")&amp;"-"&amp;TEXT(VALUE(SUBSTITUTE(A5923,"MOV-","")),"000"))</f>
        <v/>
      </c>
    </row>
    <row r="5924" spans="18:20">
      <c r="R5924" s="22" t="str">
        <f>IF(H5924="","",H5924&amp;I5924)</f>
        <v/>
      </c>
      <c r="S5924" s="22" t="str">
        <f>IF(C5924="","",C5924&amp;I5924)</f>
        <v/>
      </c>
      <c r="T5924" t="str">
        <f>IF(OR(C5924="",I5924&lt;&gt;"ENTRADA"),"",TEXT(B5924,"AAMMDD")&amp;"-"&amp;TEXT(VALUE(SUBSTITUTE(A5924,"MOV-","")),"000"))</f>
        <v/>
      </c>
    </row>
    <row r="5925" spans="18:20">
      <c r="R5925" s="22" t="str">
        <f>IF(H5925="","",H5925&amp;I5925)</f>
        <v/>
      </c>
      <c r="S5925" s="22" t="str">
        <f>IF(C5925="","",C5925&amp;I5925)</f>
        <v/>
      </c>
      <c r="T5925" t="str">
        <f>IF(OR(C5925="",I5925&lt;&gt;"ENTRADA"),"",TEXT(B5925,"AAMMDD")&amp;"-"&amp;TEXT(VALUE(SUBSTITUTE(A5925,"MOV-","")),"000"))</f>
        <v/>
      </c>
    </row>
    <row r="5926" spans="18:20">
      <c r="R5926" s="22" t="str">
        <f>IF(H5926="","",H5926&amp;I5926)</f>
        <v/>
      </c>
      <c r="S5926" s="22" t="str">
        <f>IF(C5926="","",C5926&amp;I5926)</f>
        <v/>
      </c>
      <c r="T5926" t="str">
        <f>IF(OR(C5926="",I5926&lt;&gt;"ENTRADA"),"",TEXT(B5926,"AAMMDD")&amp;"-"&amp;TEXT(VALUE(SUBSTITUTE(A5926,"MOV-","")),"000"))</f>
        <v/>
      </c>
    </row>
    <row r="5927" spans="18:20">
      <c r="R5927" s="22" t="str">
        <f>IF(H5927="","",H5927&amp;I5927)</f>
        <v/>
      </c>
      <c r="S5927" s="22" t="str">
        <f>IF(C5927="","",C5927&amp;I5927)</f>
        <v/>
      </c>
      <c r="T5927" t="str">
        <f>IF(OR(C5927="",I5927&lt;&gt;"ENTRADA"),"",TEXT(B5927,"AAMMDD")&amp;"-"&amp;TEXT(VALUE(SUBSTITUTE(A5927,"MOV-","")),"000"))</f>
        <v/>
      </c>
    </row>
    <row r="5928" spans="18:20">
      <c r="R5928" s="22" t="str">
        <f>IF(H5928="","",H5928&amp;I5928)</f>
        <v/>
      </c>
      <c r="S5928" s="22" t="str">
        <f>IF(C5928="","",C5928&amp;I5928)</f>
        <v/>
      </c>
      <c r="T5928" t="str">
        <f>IF(OR(C5928="",I5928&lt;&gt;"ENTRADA"),"",TEXT(B5928,"AAMMDD")&amp;"-"&amp;TEXT(VALUE(SUBSTITUTE(A5928,"MOV-","")),"000"))</f>
        <v/>
      </c>
    </row>
    <row r="5929" spans="18:20">
      <c r="R5929" s="22" t="str">
        <f>IF(H5929="","",H5929&amp;I5929)</f>
        <v/>
      </c>
      <c r="S5929" s="22" t="str">
        <f>IF(C5929="","",C5929&amp;I5929)</f>
        <v/>
      </c>
      <c r="T5929" t="str">
        <f>IF(OR(C5929="",I5929&lt;&gt;"ENTRADA"),"",TEXT(B5929,"AAMMDD")&amp;"-"&amp;TEXT(VALUE(SUBSTITUTE(A5929,"MOV-","")),"000"))</f>
        <v/>
      </c>
    </row>
    <row r="5930" spans="18:20">
      <c r="R5930" s="22" t="str">
        <f>IF(H5930="","",H5930&amp;I5930)</f>
        <v/>
      </c>
      <c r="S5930" s="22" t="str">
        <f>IF(C5930="","",C5930&amp;I5930)</f>
        <v/>
      </c>
      <c r="T5930" t="str">
        <f>IF(OR(C5930="",I5930&lt;&gt;"ENTRADA"),"",TEXT(B5930,"AAMMDD")&amp;"-"&amp;TEXT(VALUE(SUBSTITUTE(A5930,"MOV-","")),"000"))</f>
        <v/>
      </c>
    </row>
    <row r="5931" spans="18:20">
      <c r="R5931" s="22" t="str">
        <f>IF(H5931="","",H5931&amp;I5931)</f>
        <v/>
      </c>
      <c r="S5931" s="22" t="str">
        <f>IF(C5931="","",C5931&amp;I5931)</f>
        <v/>
      </c>
      <c r="T5931" t="str">
        <f>IF(OR(C5931="",I5931&lt;&gt;"ENTRADA"),"",TEXT(B5931,"AAMMDD")&amp;"-"&amp;TEXT(VALUE(SUBSTITUTE(A5931,"MOV-","")),"000"))</f>
        <v/>
      </c>
    </row>
    <row r="5932" spans="18:20">
      <c r="R5932" s="22" t="str">
        <f>IF(H5932="","",H5932&amp;I5932)</f>
        <v/>
      </c>
      <c r="S5932" s="22" t="str">
        <f>IF(C5932="","",C5932&amp;I5932)</f>
        <v/>
      </c>
      <c r="T5932" t="str">
        <f>IF(OR(C5932="",I5932&lt;&gt;"ENTRADA"),"",TEXT(B5932,"AAMMDD")&amp;"-"&amp;TEXT(VALUE(SUBSTITUTE(A5932,"MOV-","")),"000"))</f>
        <v/>
      </c>
    </row>
    <row r="5933" spans="18:20">
      <c r="R5933" s="22" t="str">
        <f>IF(H5933="","",H5933&amp;I5933)</f>
        <v/>
      </c>
      <c r="S5933" s="22" t="str">
        <f>IF(C5933="","",C5933&amp;I5933)</f>
        <v/>
      </c>
      <c r="T5933" t="str">
        <f>IF(OR(C5933="",I5933&lt;&gt;"ENTRADA"),"",TEXT(B5933,"AAMMDD")&amp;"-"&amp;TEXT(VALUE(SUBSTITUTE(A5933,"MOV-","")),"000"))</f>
        <v/>
      </c>
    </row>
    <row r="5934" spans="18:20">
      <c r="R5934" s="22" t="str">
        <f>IF(H5934="","",H5934&amp;I5934)</f>
        <v/>
      </c>
      <c r="S5934" s="22" t="str">
        <f>IF(C5934="","",C5934&amp;I5934)</f>
        <v/>
      </c>
      <c r="T5934" t="str">
        <f>IF(OR(C5934="",I5934&lt;&gt;"ENTRADA"),"",TEXT(B5934,"AAMMDD")&amp;"-"&amp;TEXT(VALUE(SUBSTITUTE(A5934,"MOV-","")),"000"))</f>
        <v/>
      </c>
    </row>
    <row r="5935" spans="18:20">
      <c r="R5935" s="22" t="str">
        <f>IF(H5935="","",H5935&amp;I5935)</f>
        <v/>
      </c>
      <c r="S5935" s="22" t="str">
        <f>IF(C5935="","",C5935&amp;I5935)</f>
        <v/>
      </c>
      <c r="T5935" t="str">
        <f>IF(OR(C5935="",I5935&lt;&gt;"ENTRADA"),"",TEXT(B5935,"AAMMDD")&amp;"-"&amp;TEXT(VALUE(SUBSTITUTE(A5935,"MOV-","")),"000"))</f>
        <v/>
      </c>
    </row>
    <row r="5936" spans="18:20">
      <c r="R5936" s="22" t="str">
        <f>IF(H5936="","",H5936&amp;I5936)</f>
        <v/>
      </c>
      <c r="S5936" s="22" t="str">
        <f>IF(C5936="","",C5936&amp;I5936)</f>
        <v/>
      </c>
      <c r="T5936" t="str">
        <f>IF(OR(C5936="",I5936&lt;&gt;"ENTRADA"),"",TEXT(B5936,"AAMMDD")&amp;"-"&amp;TEXT(VALUE(SUBSTITUTE(A5936,"MOV-","")),"000"))</f>
        <v/>
      </c>
    </row>
    <row r="5937" spans="18:20">
      <c r="R5937" s="22" t="str">
        <f>IF(H5937="","",H5937&amp;I5937)</f>
        <v/>
      </c>
      <c r="S5937" s="22" t="str">
        <f>IF(C5937="","",C5937&amp;I5937)</f>
        <v/>
      </c>
      <c r="T5937" t="str">
        <f>IF(OR(C5937="",I5937&lt;&gt;"ENTRADA"),"",TEXT(B5937,"AAMMDD")&amp;"-"&amp;TEXT(VALUE(SUBSTITUTE(A5937,"MOV-","")),"000"))</f>
        <v/>
      </c>
    </row>
    <row r="5938" spans="18:20">
      <c r="R5938" s="22" t="str">
        <f>IF(H5938="","",H5938&amp;I5938)</f>
        <v/>
      </c>
      <c r="S5938" s="22" t="str">
        <f>IF(C5938="","",C5938&amp;I5938)</f>
        <v/>
      </c>
      <c r="T5938" t="str">
        <f>IF(OR(C5938="",I5938&lt;&gt;"ENTRADA"),"",TEXT(B5938,"AAMMDD")&amp;"-"&amp;TEXT(VALUE(SUBSTITUTE(A5938,"MOV-","")),"000"))</f>
        <v/>
      </c>
    </row>
    <row r="5939" spans="18:20">
      <c r="R5939" s="22" t="str">
        <f>IF(H5939="","",H5939&amp;I5939)</f>
        <v/>
      </c>
      <c r="S5939" s="22" t="str">
        <f>IF(C5939="","",C5939&amp;I5939)</f>
        <v/>
      </c>
      <c r="T5939" t="str">
        <f>IF(OR(C5939="",I5939&lt;&gt;"ENTRADA"),"",TEXT(B5939,"AAMMDD")&amp;"-"&amp;TEXT(VALUE(SUBSTITUTE(A5939,"MOV-","")),"000"))</f>
        <v/>
      </c>
    </row>
    <row r="5940" spans="18:20">
      <c r="R5940" s="22" t="str">
        <f>IF(H5940="","",H5940&amp;I5940)</f>
        <v/>
      </c>
      <c r="S5940" s="22" t="str">
        <f>IF(C5940="","",C5940&amp;I5940)</f>
        <v/>
      </c>
      <c r="T5940" t="str">
        <f>IF(OR(C5940="",I5940&lt;&gt;"ENTRADA"),"",TEXT(B5940,"AAMMDD")&amp;"-"&amp;TEXT(VALUE(SUBSTITUTE(A5940,"MOV-","")),"000"))</f>
        <v/>
      </c>
    </row>
    <row r="5941" spans="18:20">
      <c r="R5941" s="22" t="str">
        <f>IF(H5941="","",H5941&amp;I5941)</f>
        <v/>
      </c>
      <c r="S5941" s="22" t="str">
        <f>IF(C5941="","",C5941&amp;I5941)</f>
        <v/>
      </c>
      <c r="T5941" t="str">
        <f>IF(OR(C5941="",I5941&lt;&gt;"ENTRADA"),"",TEXT(B5941,"AAMMDD")&amp;"-"&amp;TEXT(VALUE(SUBSTITUTE(A5941,"MOV-","")),"000"))</f>
        <v/>
      </c>
    </row>
    <row r="5942" spans="18:20">
      <c r="R5942" s="22" t="str">
        <f>IF(H5942="","",H5942&amp;I5942)</f>
        <v/>
      </c>
      <c r="S5942" s="22" t="str">
        <f>IF(C5942="","",C5942&amp;I5942)</f>
        <v/>
      </c>
      <c r="T5942" t="str">
        <f>IF(OR(C5942="",I5942&lt;&gt;"ENTRADA"),"",TEXT(B5942,"AAMMDD")&amp;"-"&amp;TEXT(VALUE(SUBSTITUTE(A5942,"MOV-","")),"000"))</f>
        <v/>
      </c>
    </row>
    <row r="5943" spans="18:20">
      <c r="R5943" s="22" t="str">
        <f>IF(H5943="","",H5943&amp;I5943)</f>
        <v/>
      </c>
      <c r="S5943" s="22" t="str">
        <f>IF(C5943="","",C5943&amp;I5943)</f>
        <v/>
      </c>
      <c r="T5943" t="str">
        <f>IF(OR(C5943="",I5943&lt;&gt;"ENTRADA"),"",TEXT(B5943,"AAMMDD")&amp;"-"&amp;TEXT(VALUE(SUBSTITUTE(A5943,"MOV-","")),"000"))</f>
        <v/>
      </c>
    </row>
    <row r="5944" spans="18:20">
      <c r="R5944" s="22" t="str">
        <f>IF(H5944="","",H5944&amp;I5944)</f>
        <v/>
      </c>
      <c r="S5944" s="22" t="str">
        <f>IF(C5944="","",C5944&amp;I5944)</f>
        <v/>
      </c>
      <c r="T5944" t="str">
        <f>IF(OR(C5944="",I5944&lt;&gt;"ENTRADA"),"",TEXT(B5944,"AAMMDD")&amp;"-"&amp;TEXT(VALUE(SUBSTITUTE(A5944,"MOV-","")),"000"))</f>
        <v/>
      </c>
    </row>
    <row r="5945" spans="18:20">
      <c r="R5945" s="22" t="str">
        <f>IF(H5945="","",H5945&amp;I5945)</f>
        <v/>
      </c>
      <c r="S5945" s="22" t="str">
        <f>IF(C5945="","",C5945&amp;I5945)</f>
        <v/>
      </c>
      <c r="T5945" t="str">
        <f>IF(OR(C5945="",I5945&lt;&gt;"ENTRADA"),"",TEXT(B5945,"AAMMDD")&amp;"-"&amp;TEXT(VALUE(SUBSTITUTE(A5945,"MOV-","")),"000"))</f>
        <v/>
      </c>
    </row>
    <row r="5946" spans="18:20">
      <c r="R5946" s="22" t="str">
        <f>IF(H5946="","",H5946&amp;I5946)</f>
        <v/>
      </c>
      <c r="S5946" s="22" t="str">
        <f>IF(C5946="","",C5946&amp;I5946)</f>
        <v/>
      </c>
      <c r="T5946" t="str">
        <f>IF(OR(C5946="",I5946&lt;&gt;"ENTRADA"),"",TEXT(B5946,"AAMMDD")&amp;"-"&amp;TEXT(VALUE(SUBSTITUTE(A5946,"MOV-","")),"000"))</f>
        <v/>
      </c>
    </row>
    <row r="5947" spans="18:20">
      <c r="R5947" s="22" t="str">
        <f>IF(H5947="","",H5947&amp;I5947)</f>
        <v/>
      </c>
      <c r="S5947" s="22" t="str">
        <f>IF(C5947="","",C5947&amp;I5947)</f>
        <v/>
      </c>
      <c r="T5947" t="str">
        <f>IF(OR(C5947="",I5947&lt;&gt;"ENTRADA"),"",TEXT(B5947,"AAMMDD")&amp;"-"&amp;TEXT(VALUE(SUBSTITUTE(A5947,"MOV-","")),"000"))</f>
        <v/>
      </c>
    </row>
    <row r="5948" spans="18:20">
      <c r="R5948" s="22" t="str">
        <f>IF(H5948="","",H5948&amp;I5948)</f>
        <v/>
      </c>
      <c r="S5948" s="22" t="str">
        <f>IF(C5948="","",C5948&amp;I5948)</f>
        <v/>
      </c>
      <c r="T5948" t="str">
        <f>IF(OR(C5948="",I5948&lt;&gt;"ENTRADA"),"",TEXT(B5948,"AAMMDD")&amp;"-"&amp;TEXT(VALUE(SUBSTITUTE(A5948,"MOV-","")),"000"))</f>
        <v/>
      </c>
    </row>
    <row r="5949" spans="18:20">
      <c r="R5949" s="22" t="str">
        <f>IF(H5949="","",H5949&amp;I5949)</f>
        <v/>
      </c>
      <c r="S5949" s="22" t="str">
        <f>IF(C5949="","",C5949&amp;I5949)</f>
        <v/>
      </c>
      <c r="T5949" t="str">
        <f>IF(OR(C5949="",I5949&lt;&gt;"ENTRADA"),"",TEXT(B5949,"AAMMDD")&amp;"-"&amp;TEXT(VALUE(SUBSTITUTE(A5949,"MOV-","")),"000"))</f>
        <v/>
      </c>
    </row>
    <row r="5950" spans="18:20">
      <c r="R5950" s="22" t="str">
        <f>IF(H5950="","",H5950&amp;I5950)</f>
        <v/>
      </c>
      <c r="S5950" s="22" t="str">
        <f>IF(C5950="","",C5950&amp;I5950)</f>
        <v/>
      </c>
      <c r="T5950" t="str">
        <f>IF(OR(C5950="",I5950&lt;&gt;"ENTRADA"),"",TEXT(B5950,"AAMMDD")&amp;"-"&amp;TEXT(VALUE(SUBSTITUTE(A5950,"MOV-","")),"000"))</f>
        <v/>
      </c>
    </row>
    <row r="5951" spans="18:20">
      <c r="R5951" s="22" t="str">
        <f>IF(H5951="","",H5951&amp;I5951)</f>
        <v/>
      </c>
      <c r="S5951" s="22" t="str">
        <f>IF(C5951="","",C5951&amp;I5951)</f>
        <v/>
      </c>
      <c r="T5951" t="str">
        <f>IF(OR(C5951="",I5951&lt;&gt;"ENTRADA"),"",TEXT(B5951,"AAMMDD")&amp;"-"&amp;TEXT(VALUE(SUBSTITUTE(A5951,"MOV-","")),"000"))</f>
        <v/>
      </c>
    </row>
    <row r="5952" spans="18:20">
      <c r="R5952" s="22" t="str">
        <f>IF(H5952="","",H5952&amp;I5952)</f>
        <v/>
      </c>
      <c r="S5952" s="22" t="str">
        <f>IF(C5952="","",C5952&amp;I5952)</f>
        <v/>
      </c>
      <c r="T5952" t="str">
        <f>IF(OR(C5952="",I5952&lt;&gt;"ENTRADA"),"",TEXT(B5952,"AAMMDD")&amp;"-"&amp;TEXT(VALUE(SUBSTITUTE(A5952,"MOV-","")),"000"))</f>
        <v/>
      </c>
    </row>
    <row r="5953" spans="18:20">
      <c r="R5953" s="22" t="str">
        <f>IF(H5953="","",H5953&amp;I5953)</f>
        <v/>
      </c>
      <c r="S5953" s="22" t="str">
        <f>IF(C5953="","",C5953&amp;I5953)</f>
        <v/>
      </c>
      <c r="T5953" t="str">
        <f>IF(OR(C5953="",I5953&lt;&gt;"ENTRADA"),"",TEXT(B5953,"AAMMDD")&amp;"-"&amp;TEXT(VALUE(SUBSTITUTE(A5953,"MOV-","")),"000"))</f>
        <v/>
      </c>
    </row>
    <row r="5954" spans="18:20">
      <c r="R5954" s="22" t="str">
        <f>IF(H5954="","",H5954&amp;I5954)</f>
        <v/>
      </c>
      <c r="S5954" s="22" t="str">
        <f>IF(C5954="","",C5954&amp;I5954)</f>
        <v/>
      </c>
      <c r="T5954" t="str">
        <f>IF(OR(C5954="",I5954&lt;&gt;"ENTRADA"),"",TEXT(B5954,"AAMMDD")&amp;"-"&amp;TEXT(VALUE(SUBSTITUTE(A5954,"MOV-","")),"000"))</f>
        <v/>
      </c>
    </row>
    <row r="5955" spans="18:20">
      <c r="R5955" s="22" t="str">
        <f>IF(H5955="","",H5955&amp;I5955)</f>
        <v/>
      </c>
      <c r="S5955" s="22" t="str">
        <f>IF(C5955="","",C5955&amp;I5955)</f>
        <v/>
      </c>
      <c r="T5955" t="str">
        <f>IF(OR(C5955="",I5955&lt;&gt;"ENTRADA"),"",TEXT(B5955,"AAMMDD")&amp;"-"&amp;TEXT(VALUE(SUBSTITUTE(A5955,"MOV-","")),"000"))</f>
        <v/>
      </c>
    </row>
    <row r="5956" spans="18:20">
      <c r="R5956" s="22" t="str">
        <f>IF(H5956="","",H5956&amp;I5956)</f>
        <v/>
      </c>
      <c r="S5956" s="22" t="str">
        <f>IF(C5956="","",C5956&amp;I5956)</f>
        <v/>
      </c>
      <c r="T5956" t="str">
        <f>IF(OR(C5956="",I5956&lt;&gt;"ENTRADA"),"",TEXT(B5956,"AAMMDD")&amp;"-"&amp;TEXT(VALUE(SUBSTITUTE(A5956,"MOV-","")),"000"))</f>
        <v/>
      </c>
    </row>
    <row r="5957" spans="18:20">
      <c r="R5957" s="22" t="str">
        <f>IF(H5957="","",H5957&amp;I5957)</f>
        <v/>
      </c>
      <c r="S5957" s="22" t="str">
        <f>IF(C5957="","",C5957&amp;I5957)</f>
        <v/>
      </c>
      <c r="T5957" t="str">
        <f>IF(OR(C5957="",I5957&lt;&gt;"ENTRADA"),"",TEXT(B5957,"AAMMDD")&amp;"-"&amp;TEXT(VALUE(SUBSTITUTE(A5957,"MOV-","")),"000"))</f>
        <v/>
      </c>
    </row>
    <row r="5958" spans="18:20">
      <c r="R5958" s="22" t="str">
        <f>IF(H5958="","",H5958&amp;I5958)</f>
        <v/>
      </c>
      <c r="S5958" s="22" t="str">
        <f>IF(C5958="","",C5958&amp;I5958)</f>
        <v/>
      </c>
      <c r="T5958" t="str">
        <f>IF(OR(C5958="",I5958&lt;&gt;"ENTRADA"),"",TEXT(B5958,"AAMMDD")&amp;"-"&amp;TEXT(VALUE(SUBSTITUTE(A5958,"MOV-","")),"000"))</f>
        <v/>
      </c>
    </row>
    <row r="5959" spans="18:20">
      <c r="R5959" s="22" t="str">
        <f>IF(H5959="","",H5959&amp;I5959)</f>
        <v/>
      </c>
      <c r="S5959" s="22" t="str">
        <f>IF(C5959="","",C5959&amp;I5959)</f>
        <v/>
      </c>
      <c r="T5959" t="str">
        <f>IF(OR(C5959="",I5959&lt;&gt;"ENTRADA"),"",TEXT(B5959,"AAMMDD")&amp;"-"&amp;TEXT(VALUE(SUBSTITUTE(A5959,"MOV-","")),"000"))</f>
        <v/>
      </c>
    </row>
    <row r="5960" spans="18:20">
      <c r="R5960" s="22" t="str">
        <f>IF(H5960="","",H5960&amp;I5960)</f>
        <v/>
      </c>
      <c r="S5960" s="22" t="str">
        <f>IF(C5960="","",C5960&amp;I5960)</f>
        <v/>
      </c>
      <c r="T5960" t="str">
        <f>IF(OR(C5960="",I5960&lt;&gt;"ENTRADA"),"",TEXT(B5960,"AAMMDD")&amp;"-"&amp;TEXT(VALUE(SUBSTITUTE(A5960,"MOV-","")),"000"))</f>
        <v/>
      </c>
    </row>
    <row r="5961" spans="18:20">
      <c r="R5961" s="22" t="str">
        <f>IF(H5961="","",H5961&amp;I5961)</f>
        <v/>
      </c>
      <c r="S5961" s="22" t="str">
        <f>IF(C5961="","",C5961&amp;I5961)</f>
        <v/>
      </c>
      <c r="T5961" t="str">
        <f>IF(OR(C5961="",I5961&lt;&gt;"ENTRADA"),"",TEXT(B5961,"AAMMDD")&amp;"-"&amp;TEXT(VALUE(SUBSTITUTE(A5961,"MOV-","")),"000"))</f>
        <v/>
      </c>
    </row>
    <row r="5962" spans="18:20">
      <c r="R5962" s="22" t="str">
        <f>IF(H5962="","",H5962&amp;I5962)</f>
        <v/>
      </c>
      <c r="S5962" s="22" t="str">
        <f>IF(C5962="","",C5962&amp;I5962)</f>
        <v/>
      </c>
      <c r="T5962" t="str">
        <f>IF(OR(C5962="",I5962&lt;&gt;"ENTRADA"),"",TEXT(B5962,"AAMMDD")&amp;"-"&amp;TEXT(VALUE(SUBSTITUTE(A5962,"MOV-","")),"000"))</f>
        <v/>
      </c>
    </row>
    <row r="5963" spans="18:20">
      <c r="R5963" s="22" t="str">
        <f>IF(H5963="","",H5963&amp;I5963)</f>
        <v/>
      </c>
      <c r="S5963" s="22" t="str">
        <f>IF(C5963="","",C5963&amp;I5963)</f>
        <v/>
      </c>
      <c r="T5963" t="str">
        <f>IF(OR(C5963="",I5963&lt;&gt;"ENTRADA"),"",TEXT(B5963,"AAMMDD")&amp;"-"&amp;TEXT(VALUE(SUBSTITUTE(A5963,"MOV-","")),"000"))</f>
        <v/>
      </c>
    </row>
    <row r="5964" spans="18:20">
      <c r="R5964" s="22" t="str">
        <f>IF(H5964="","",H5964&amp;I5964)</f>
        <v/>
      </c>
      <c r="S5964" s="22" t="str">
        <f>IF(C5964="","",C5964&amp;I5964)</f>
        <v/>
      </c>
      <c r="T5964" t="str">
        <f>IF(OR(C5964="",I5964&lt;&gt;"ENTRADA"),"",TEXT(B5964,"AAMMDD")&amp;"-"&amp;TEXT(VALUE(SUBSTITUTE(A5964,"MOV-","")),"000"))</f>
        <v/>
      </c>
    </row>
    <row r="5965" spans="18:20">
      <c r="R5965" s="22" t="str">
        <f>IF(H5965="","",H5965&amp;I5965)</f>
        <v/>
      </c>
      <c r="S5965" s="22" t="str">
        <f>IF(C5965="","",C5965&amp;I5965)</f>
        <v/>
      </c>
      <c r="T5965" t="str">
        <f>IF(OR(C5965="",I5965&lt;&gt;"ENTRADA"),"",TEXT(B5965,"AAMMDD")&amp;"-"&amp;TEXT(VALUE(SUBSTITUTE(A5965,"MOV-","")),"000"))</f>
        <v/>
      </c>
    </row>
    <row r="5966" spans="18:20">
      <c r="R5966" s="22" t="str">
        <f>IF(H5966="","",H5966&amp;I5966)</f>
        <v/>
      </c>
      <c r="S5966" s="22" t="str">
        <f>IF(C5966="","",C5966&amp;I5966)</f>
        <v/>
      </c>
      <c r="T5966" t="str">
        <f>IF(OR(C5966="",I5966&lt;&gt;"ENTRADA"),"",TEXT(B5966,"AAMMDD")&amp;"-"&amp;TEXT(VALUE(SUBSTITUTE(A5966,"MOV-","")),"000"))</f>
        <v/>
      </c>
    </row>
    <row r="5967" spans="18:20">
      <c r="R5967" s="22" t="str">
        <f>IF(H5967="","",H5967&amp;I5967)</f>
        <v/>
      </c>
      <c r="S5967" s="22" t="str">
        <f>IF(C5967="","",C5967&amp;I5967)</f>
        <v/>
      </c>
      <c r="T5967" t="str">
        <f>IF(OR(C5967="",I5967&lt;&gt;"ENTRADA"),"",TEXT(B5967,"AAMMDD")&amp;"-"&amp;TEXT(VALUE(SUBSTITUTE(A5967,"MOV-","")),"000"))</f>
        <v/>
      </c>
    </row>
    <row r="5968" spans="18:20">
      <c r="R5968" s="22" t="str">
        <f>IF(H5968="","",H5968&amp;I5968)</f>
        <v/>
      </c>
      <c r="S5968" s="22" t="str">
        <f>IF(C5968="","",C5968&amp;I5968)</f>
        <v/>
      </c>
      <c r="T5968" t="str">
        <f>IF(OR(C5968="",I5968&lt;&gt;"ENTRADA"),"",TEXT(B5968,"AAMMDD")&amp;"-"&amp;TEXT(VALUE(SUBSTITUTE(A5968,"MOV-","")),"000"))</f>
        <v/>
      </c>
    </row>
    <row r="5969" spans="18:20">
      <c r="R5969" s="22" t="str">
        <f>IF(H5969="","",H5969&amp;I5969)</f>
        <v/>
      </c>
      <c r="S5969" s="22" t="str">
        <f>IF(C5969="","",C5969&amp;I5969)</f>
        <v/>
      </c>
      <c r="T5969" t="str">
        <f>IF(OR(C5969="",I5969&lt;&gt;"ENTRADA"),"",TEXT(B5969,"AAMMDD")&amp;"-"&amp;TEXT(VALUE(SUBSTITUTE(A5969,"MOV-","")),"000"))</f>
        <v/>
      </c>
    </row>
    <row r="5970" spans="18:20">
      <c r="R5970" s="22" t="str">
        <f>IF(H5970="","",H5970&amp;I5970)</f>
        <v/>
      </c>
      <c r="S5970" s="22" t="str">
        <f>IF(C5970="","",C5970&amp;I5970)</f>
        <v/>
      </c>
      <c r="T5970" t="str">
        <f>IF(OR(C5970="",I5970&lt;&gt;"ENTRADA"),"",TEXT(B5970,"AAMMDD")&amp;"-"&amp;TEXT(VALUE(SUBSTITUTE(A5970,"MOV-","")),"000"))</f>
        <v/>
      </c>
    </row>
    <row r="5971" spans="18:20">
      <c r="R5971" s="22" t="str">
        <f>IF(H5971="","",H5971&amp;I5971)</f>
        <v/>
      </c>
      <c r="S5971" s="22" t="str">
        <f>IF(C5971="","",C5971&amp;I5971)</f>
        <v/>
      </c>
      <c r="T5971" t="str">
        <f>IF(OR(C5971="",I5971&lt;&gt;"ENTRADA"),"",TEXT(B5971,"AAMMDD")&amp;"-"&amp;TEXT(VALUE(SUBSTITUTE(A5971,"MOV-","")),"000"))</f>
        <v/>
      </c>
    </row>
    <row r="5972" spans="18:20">
      <c r="R5972" s="22" t="str">
        <f>IF(H5972="","",H5972&amp;I5972)</f>
        <v/>
      </c>
      <c r="S5972" s="22" t="str">
        <f>IF(C5972="","",C5972&amp;I5972)</f>
        <v/>
      </c>
      <c r="T5972" t="str">
        <f>IF(OR(C5972="",I5972&lt;&gt;"ENTRADA"),"",TEXT(B5972,"AAMMDD")&amp;"-"&amp;TEXT(VALUE(SUBSTITUTE(A5972,"MOV-","")),"000"))</f>
        <v/>
      </c>
    </row>
    <row r="5973" spans="18:20">
      <c r="R5973" s="22" t="str">
        <f>IF(H5973="","",H5973&amp;I5973)</f>
        <v/>
      </c>
      <c r="S5973" s="22" t="str">
        <f>IF(C5973="","",C5973&amp;I5973)</f>
        <v/>
      </c>
      <c r="T5973" t="str">
        <f>IF(OR(C5973="",I5973&lt;&gt;"ENTRADA"),"",TEXT(B5973,"AAMMDD")&amp;"-"&amp;TEXT(VALUE(SUBSTITUTE(A5973,"MOV-","")),"000"))</f>
        <v/>
      </c>
    </row>
    <row r="5974" spans="18:20">
      <c r="R5974" s="22" t="str">
        <f>IF(H5974="","",H5974&amp;I5974)</f>
        <v/>
      </c>
      <c r="S5974" s="22" t="str">
        <f>IF(C5974="","",C5974&amp;I5974)</f>
        <v/>
      </c>
      <c r="T5974" t="str">
        <f>IF(OR(C5974="",I5974&lt;&gt;"ENTRADA"),"",TEXT(B5974,"AAMMDD")&amp;"-"&amp;TEXT(VALUE(SUBSTITUTE(A5974,"MOV-","")),"000"))</f>
        <v/>
      </c>
    </row>
    <row r="5975" spans="18:20">
      <c r="R5975" s="22" t="str">
        <f>IF(H5975="","",H5975&amp;I5975)</f>
        <v/>
      </c>
      <c r="S5975" s="22" t="str">
        <f>IF(C5975="","",C5975&amp;I5975)</f>
        <v/>
      </c>
      <c r="T5975" t="str">
        <f>IF(OR(C5975="",I5975&lt;&gt;"ENTRADA"),"",TEXT(B5975,"AAMMDD")&amp;"-"&amp;TEXT(VALUE(SUBSTITUTE(A5975,"MOV-","")),"000"))</f>
        <v/>
      </c>
    </row>
    <row r="5976" spans="18:20">
      <c r="R5976" s="22" t="str">
        <f>IF(H5976="","",H5976&amp;I5976)</f>
        <v/>
      </c>
      <c r="S5976" s="22" t="str">
        <f>IF(C5976="","",C5976&amp;I5976)</f>
        <v/>
      </c>
      <c r="T5976" t="str">
        <f>IF(OR(C5976="",I5976&lt;&gt;"ENTRADA"),"",TEXT(B5976,"AAMMDD")&amp;"-"&amp;TEXT(VALUE(SUBSTITUTE(A5976,"MOV-","")),"000"))</f>
        <v/>
      </c>
    </row>
    <row r="5977" spans="18:20">
      <c r="R5977" s="22" t="str">
        <f>IF(H5977="","",H5977&amp;I5977)</f>
        <v/>
      </c>
      <c r="S5977" s="22" t="str">
        <f>IF(C5977="","",C5977&amp;I5977)</f>
        <v/>
      </c>
      <c r="T5977" t="str">
        <f>IF(OR(C5977="",I5977&lt;&gt;"ENTRADA"),"",TEXT(B5977,"AAMMDD")&amp;"-"&amp;TEXT(VALUE(SUBSTITUTE(A5977,"MOV-","")),"000"))</f>
        <v/>
      </c>
    </row>
    <row r="5978" spans="18:20">
      <c r="R5978" s="22" t="str">
        <f>IF(H5978="","",H5978&amp;I5978)</f>
        <v/>
      </c>
      <c r="S5978" s="22" t="str">
        <f>IF(C5978="","",C5978&amp;I5978)</f>
        <v/>
      </c>
      <c r="T5978" t="str">
        <f>IF(OR(C5978="",I5978&lt;&gt;"ENTRADA"),"",TEXT(B5978,"AAMMDD")&amp;"-"&amp;TEXT(VALUE(SUBSTITUTE(A5978,"MOV-","")),"000"))</f>
        <v/>
      </c>
    </row>
    <row r="5979" spans="18:20">
      <c r="R5979" s="22" t="str">
        <f>IF(H5979="","",H5979&amp;I5979)</f>
        <v/>
      </c>
      <c r="S5979" s="22" t="str">
        <f>IF(C5979="","",C5979&amp;I5979)</f>
        <v/>
      </c>
      <c r="T5979" t="str">
        <f>IF(OR(C5979="",I5979&lt;&gt;"ENTRADA"),"",TEXT(B5979,"AAMMDD")&amp;"-"&amp;TEXT(VALUE(SUBSTITUTE(A5979,"MOV-","")),"000"))</f>
        <v/>
      </c>
    </row>
    <row r="5980" spans="18:20">
      <c r="R5980" s="22" t="str">
        <f>IF(H5980="","",H5980&amp;I5980)</f>
        <v/>
      </c>
      <c r="S5980" s="22" t="str">
        <f>IF(C5980="","",C5980&amp;I5980)</f>
        <v/>
      </c>
      <c r="T5980" t="str">
        <f>IF(OR(C5980="",I5980&lt;&gt;"ENTRADA"),"",TEXT(B5980,"AAMMDD")&amp;"-"&amp;TEXT(VALUE(SUBSTITUTE(A5980,"MOV-","")),"000"))</f>
        <v/>
      </c>
    </row>
    <row r="5981" spans="18:20">
      <c r="R5981" s="22" t="str">
        <f>IF(H5981="","",H5981&amp;I5981)</f>
        <v/>
      </c>
      <c r="S5981" s="22" t="str">
        <f>IF(C5981="","",C5981&amp;I5981)</f>
        <v/>
      </c>
      <c r="T5981" t="str">
        <f>IF(OR(C5981="",I5981&lt;&gt;"ENTRADA"),"",TEXT(B5981,"AAMMDD")&amp;"-"&amp;TEXT(VALUE(SUBSTITUTE(A5981,"MOV-","")),"000"))</f>
        <v/>
      </c>
    </row>
    <row r="5982" spans="18:20">
      <c r="R5982" s="22" t="str">
        <f>IF(H5982="","",H5982&amp;I5982)</f>
        <v/>
      </c>
      <c r="S5982" s="22" t="str">
        <f>IF(C5982="","",C5982&amp;I5982)</f>
        <v/>
      </c>
      <c r="T5982" t="str">
        <f>IF(OR(C5982="",I5982&lt;&gt;"ENTRADA"),"",TEXT(B5982,"AAMMDD")&amp;"-"&amp;TEXT(VALUE(SUBSTITUTE(A5982,"MOV-","")),"000"))</f>
        <v/>
      </c>
    </row>
    <row r="5983" spans="18:20">
      <c r="R5983" s="22" t="str">
        <f>IF(H5983="","",H5983&amp;I5983)</f>
        <v/>
      </c>
      <c r="S5983" s="22" t="str">
        <f>IF(C5983="","",C5983&amp;I5983)</f>
        <v/>
      </c>
      <c r="T5983" t="str">
        <f>IF(OR(C5983="",I5983&lt;&gt;"ENTRADA"),"",TEXT(B5983,"AAMMDD")&amp;"-"&amp;TEXT(VALUE(SUBSTITUTE(A5983,"MOV-","")),"000"))</f>
        <v/>
      </c>
    </row>
    <row r="5984" spans="18:20">
      <c r="R5984" s="22" t="str">
        <f>IF(H5984="","",H5984&amp;I5984)</f>
        <v/>
      </c>
      <c r="S5984" s="22" t="str">
        <f>IF(C5984="","",C5984&amp;I5984)</f>
        <v/>
      </c>
      <c r="T5984" t="str">
        <f>IF(OR(C5984="",I5984&lt;&gt;"ENTRADA"),"",TEXT(B5984,"AAMMDD")&amp;"-"&amp;TEXT(VALUE(SUBSTITUTE(A5984,"MOV-","")),"000"))</f>
        <v/>
      </c>
    </row>
    <row r="5985" spans="18:20">
      <c r="R5985" s="22" t="str">
        <f>IF(H5985="","",H5985&amp;I5985)</f>
        <v/>
      </c>
      <c r="S5985" s="22" t="str">
        <f>IF(C5985="","",C5985&amp;I5985)</f>
        <v/>
      </c>
      <c r="T5985" t="str">
        <f>IF(OR(C5985="",I5985&lt;&gt;"ENTRADA"),"",TEXT(B5985,"AAMMDD")&amp;"-"&amp;TEXT(VALUE(SUBSTITUTE(A5985,"MOV-","")),"000"))</f>
        <v/>
      </c>
    </row>
    <row r="5986" spans="18:20">
      <c r="R5986" s="22" t="str">
        <f>IF(H5986="","",H5986&amp;I5986)</f>
        <v/>
      </c>
      <c r="S5986" s="22" t="str">
        <f>IF(C5986="","",C5986&amp;I5986)</f>
        <v/>
      </c>
      <c r="T5986" t="str">
        <f>IF(OR(C5986="",I5986&lt;&gt;"ENTRADA"),"",TEXT(B5986,"AAMMDD")&amp;"-"&amp;TEXT(VALUE(SUBSTITUTE(A5986,"MOV-","")),"000"))</f>
        <v/>
      </c>
    </row>
    <row r="5987" spans="18:20">
      <c r="R5987" s="22" t="str">
        <f>IF(H5987="","",H5987&amp;I5987)</f>
        <v/>
      </c>
      <c r="S5987" s="22" t="str">
        <f>IF(C5987="","",C5987&amp;I5987)</f>
        <v/>
      </c>
      <c r="T5987" t="str">
        <f>IF(OR(C5987="",I5987&lt;&gt;"ENTRADA"),"",TEXT(B5987,"AAMMDD")&amp;"-"&amp;TEXT(VALUE(SUBSTITUTE(A5987,"MOV-","")),"000"))</f>
        <v/>
      </c>
    </row>
    <row r="5988" spans="18:20">
      <c r="R5988" s="22" t="str">
        <f>IF(H5988="","",H5988&amp;I5988)</f>
        <v/>
      </c>
      <c r="S5988" s="22" t="str">
        <f>IF(C5988="","",C5988&amp;I5988)</f>
        <v/>
      </c>
      <c r="T5988" t="str">
        <f>IF(OR(C5988="",I5988&lt;&gt;"ENTRADA"),"",TEXT(B5988,"AAMMDD")&amp;"-"&amp;TEXT(VALUE(SUBSTITUTE(A5988,"MOV-","")),"000"))</f>
        <v/>
      </c>
    </row>
    <row r="5989" spans="18:20">
      <c r="R5989" s="22" t="str">
        <f>IF(H5989="","",H5989&amp;I5989)</f>
        <v/>
      </c>
      <c r="S5989" s="22" t="str">
        <f>IF(C5989="","",C5989&amp;I5989)</f>
        <v/>
      </c>
      <c r="T5989" t="str">
        <f>IF(OR(C5989="",I5989&lt;&gt;"ENTRADA"),"",TEXT(B5989,"AAMMDD")&amp;"-"&amp;TEXT(VALUE(SUBSTITUTE(A5989,"MOV-","")),"000"))</f>
        <v/>
      </c>
    </row>
    <row r="5990" spans="18:20">
      <c r="R5990" s="22" t="str">
        <f>IF(H5990="","",H5990&amp;I5990)</f>
        <v/>
      </c>
      <c r="S5990" s="22" t="str">
        <f>IF(C5990="","",C5990&amp;I5990)</f>
        <v/>
      </c>
      <c r="T5990" t="str">
        <f>IF(OR(C5990="",I5990&lt;&gt;"ENTRADA"),"",TEXT(B5990,"AAMMDD")&amp;"-"&amp;TEXT(VALUE(SUBSTITUTE(A5990,"MOV-","")),"000"))</f>
        <v/>
      </c>
    </row>
    <row r="5991" spans="18:20">
      <c r="R5991" s="22" t="str">
        <f>IF(H5991="","",H5991&amp;I5991)</f>
        <v/>
      </c>
      <c r="S5991" s="22" t="str">
        <f>IF(C5991="","",C5991&amp;I5991)</f>
        <v/>
      </c>
      <c r="T5991" t="str">
        <f>IF(OR(C5991="",I5991&lt;&gt;"ENTRADA"),"",TEXT(B5991,"AAMMDD")&amp;"-"&amp;TEXT(VALUE(SUBSTITUTE(A5991,"MOV-","")),"000"))</f>
        <v/>
      </c>
    </row>
    <row r="5992" spans="18:20">
      <c r="R5992" s="22" t="str">
        <f>IF(H5992="","",H5992&amp;I5992)</f>
        <v/>
      </c>
      <c r="S5992" s="22" t="str">
        <f>IF(C5992="","",C5992&amp;I5992)</f>
        <v/>
      </c>
      <c r="T5992" t="str">
        <f>IF(OR(C5992="",I5992&lt;&gt;"ENTRADA"),"",TEXT(B5992,"AAMMDD")&amp;"-"&amp;TEXT(VALUE(SUBSTITUTE(A5992,"MOV-","")),"000"))</f>
        <v/>
      </c>
    </row>
    <row r="5993" spans="18:20">
      <c r="R5993" s="22" t="str">
        <f>IF(H5993="","",H5993&amp;I5993)</f>
        <v/>
      </c>
      <c r="S5993" s="22" t="str">
        <f>IF(C5993="","",C5993&amp;I5993)</f>
        <v/>
      </c>
      <c r="T5993" t="str">
        <f>IF(OR(C5993="",I5993&lt;&gt;"ENTRADA"),"",TEXT(B5993,"AAMMDD")&amp;"-"&amp;TEXT(VALUE(SUBSTITUTE(A5993,"MOV-","")),"000"))</f>
        <v/>
      </c>
    </row>
    <row r="5994" spans="18:20">
      <c r="R5994" s="22" t="str">
        <f>IF(H5994="","",H5994&amp;I5994)</f>
        <v/>
      </c>
      <c r="S5994" s="22" t="str">
        <f>IF(C5994="","",C5994&amp;I5994)</f>
        <v/>
      </c>
      <c r="T5994" t="str">
        <f>IF(OR(C5994="",I5994&lt;&gt;"ENTRADA"),"",TEXT(B5994,"AAMMDD")&amp;"-"&amp;TEXT(VALUE(SUBSTITUTE(A5994,"MOV-","")),"000"))</f>
        <v/>
      </c>
    </row>
    <row r="5995" spans="18:20">
      <c r="R5995" s="22" t="str">
        <f>IF(H5995="","",H5995&amp;I5995)</f>
        <v/>
      </c>
      <c r="S5995" s="22" t="str">
        <f>IF(C5995="","",C5995&amp;I5995)</f>
        <v/>
      </c>
      <c r="T5995" t="str">
        <f>IF(OR(C5995="",I5995&lt;&gt;"ENTRADA"),"",TEXT(B5995,"AAMMDD")&amp;"-"&amp;TEXT(VALUE(SUBSTITUTE(A5995,"MOV-","")),"000"))</f>
        <v/>
      </c>
    </row>
    <row r="5996" spans="18:20">
      <c r="R5996" s="22" t="str">
        <f>IF(H5996="","",H5996&amp;I5996)</f>
        <v/>
      </c>
      <c r="S5996" s="22" t="str">
        <f>IF(C5996="","",C5996&amp;I5996)</f>
        <v/>
      </c>
      <c r="T5996" t="str">
        <f>IF(OR(C5996="",I5996&lt;&gt;"ENTRADA"),"",TEXT(B5996,"AAMMDD")&amp;"-"&amp;TEXT(VALUE(SUBSTITUTE(A5996,"MOV-","")),"000"))</f>
        <v/>
      </c>
    </row>
    <row r="5997" spans="18:20">
      <c r="R5997" s="22" t="str">
        <f>IF(H5997="","",H5997&amp;I5997)</f>
        <v/>
      </c>
      <c r="S5997" s="22" t="str">
        <f>IF(C5997="","",C5997&amp;I5997)</f>
        <v/>
      </c>
      <c r="T5997" t="str">
        <f>IF(OR(C5997="",I5997&lt;&gt;"ENTRADA"),"",TEXT(B5997,"AAMMDD")&amp;"-"&amp;TEXT(VALUE(SUBSTITUTE(A5997,"MOV-","")),"000"))</f>
        <v/>
      </c>
    </row>
    <row r="5998" spans="18:20">
      <c r="R5998" s="22" t="str">
        <f>IF(H5998="","",H5998&amp;I5998)</f>
        <v/>
      </c>
      <c r="S5998" s="22" t="str">
        <f>IF(C5998="","",C5998&amp;I5998)</f>
        <v/>
      </c>
      <c r="T5998" t="str">
        <f>IF(OR(C5998="",I5998&lt;&gt;"ENTRADA"),"",TEXT(B5998,"AAMMDD")&amp;"-"&amp;TEXT(VALUE(SUBSTITUTE(A5998,"MOV-","")),"000"))</f>
        <v/>
      </c>
    </row>
    <row r="5999" spans="18:20">
      <c r="R5999" s="22" t="str">
        <f>IF(H5999="","",H5999&amp;I5999)</f>
        <v/>
      </c>
      <c r="S5999" s="22" t="str">
        <f>IF(C5999="","",C5999&amp;I5999)</f>
        <v/>
      </c>
      <c r="T5999" t="str">
        <f>IF(OR(C5999="",I5999&lt;&gt;"ENTRADA"),"",TEXT(B5999,"AAMMDD")&amp;"-"&amp;TEXT(VALUE(SUBSTITUTE(A5999,"MOV-","")),"000"))</f>
        <v/>
      </c>
    </row>
    <row r="6000" spans="18:20">
      <c r="R6000" s="33"/>
      <c r="S6000" s="33"/>
      <c r="T6000" t="str">
        <f>IF(C6000="","",UPPER(LEFT(SUBSTITUTE(C6000," ",""),3))&amp;"-"&amp;TEXT(B6000,"AAMMDD")&amp;"-1")</f>
        <v/>
      </c>
    </row>
    <row r="6001" spans="18:20">
      <c r="R6001" s="33"/>
      <c r="S6001" s="33"/>
      <c r="T6001" t="str">
        <f>IF(C6001="","",UPPER(LEFT(SUBSTITUTE(C6001," ",""),3))&amp;"-"&amp;TEXT(B6001,"AAMMDD")&amp;"-1")</f>
        <v/>
      </c>
    </row>
    <row r="6002" spans="18:20">
      <c r="R6002" s="33"/>
      <c r="S6002" s="33"/>
      <c r="T6002" t="str">
        <f>IF(C6002="","",UPPER(LEFT(SUBSTITUTE(C6002," ",""),3))&amp;"-"&amp;TEXT(B6002,"AAMMDD")&amp;"-1")</f>
        <v/>
      </c>
    </row>
    <row r="6003" spans="18:20">
      <c r="R6003" s="33"/>
      <c r="S6003" s="33"/>
      <c r="T6003" t="str">
        <f>IF(C6003="","",UPPER(LEFT(SUBSTITUTE(C6003," ",""),3))&amp;"-"&amp;TEXT(B6003,"AAMMDD")&amp;"-1")</f>
        <v/>
      </c>
    </row>
    <row r="6004" spans="18:20">
      <c r="R6004" s="33"/>
      <c r="S6004" s="33"/>
      <c r="T6004" t="str">
        <f>IF(C6004="","",UPPER(LEFT(SUBSTITUTE(C6004," ",""),3))&amp;"-"&amp;TEXT(B6004,"AAMMDD")&amp;"-1")</f>
        <v/>
      </c>
    </row>
    <row r="6005" spans="18:20">
      <c r="R6005" s="22" t="str">
        <f>IF(H6005="","",H6005&amp;I6005)</f>
        <v/>
      </c>
      <c r="S6005" s="22" t="str">
        <f>IF(C6005="","",C6005&amp;I6005)</f>
        <v/>
      </c>
      <c r="T6005" t="str">
        <f>IF(OR(C6005="",I6005&lt;&gt;"ENTRADA"),"",TEXT(B6005,"AAMMDD")&amp;"-"&amp;TEXT(VALUE(SUBSTITUTE(A6005,"MOV-","")),"000"))</f>
        <v/>
      </c>
    </row>
    <row r="6006" spans="18:20">
      <c r="R6006" s="22" t="str">
        <f>IF(H6006="","",H6006&amp;I6006)</f>
        <v/>
      </c>
      <c r="S6006" s="22" t="str">
        <f>IF(C6006="","",C6006&amp;I6006)</f>
        <v/>
      </c>
      <c r="T6006" t="str">
        <f>IF(OR(C6006="",I6006&lt;&gt;"ENTRADA"),"",TEXT(B6006,"AAMMDD")&amp;"-"&amp;TEXT(VALUE(SUBSTITUTE(A6006,"MOV-","")),"000"))</f>
        <v/>
      </c>
    </row>
    <row r="6007" spans="18:20">
      <c r="R6007" s="22" t="str">
        <f>IF(H6007="","",H6007&amp;I6007)</f>
        <v/>
      </c>
      <c r="S6007" s="22" t="str">
        <f>IF(C6007="","",C6007&amp;I6007)</f>
        <v/>
      </c>
      <c r="T6007" t="str">
        <f>IF(OR(C6007="",I6007&lt;&gt;"ENTRADA"),"",TEXT(B6007,"AAMMDD")&amp;"-"&amp;TEXT(VALUE(SUBSTITUTE(A6007,"MOV-","")),"000"))</f>
        <v/>
      </c>
    </row>
    <row r="6008" spans="18:20">
      <c r="R6008" s="22" t="str">
        <f>IF(H6008="","",H6008&amp;I6008)</f>
        <v/>
      </c>
      <c r="S6008" s="22" t="str">
        <f>IF(C6008="","",C6008&amp;I6008)</f>
        <v/>
      </c>
      <c r="T6008" t="str">
        <f>IF(OR(C6008="",I6008&lt;&gt;"ENTRADA"),"",TEXT(B6008,"AAMMDD")&amp;"-"&amp;TEXT(VALUE(SUBSTITUTE(A6008,"MOV-","")),"000"))</f>
        <v/>
      </c>
    </row>
    <row r="6009" spans="18:20">
      <c r="R6009" s="22" t="str">
        <f>IF(H6009="","",H6009&amp;I6009)</f>
        <v/>
      </c>
      <c r="S6009" s="22" t="str">
        <f>IF(C6009="","",C6009&amp;I6009)</f>
        <v/>
      </c>
      <c r="T6009" t="str">
        <f>IF(OR(C6009="",I6009&lt;&gt;"ENTRADA"),"",TEXT(B6009,"AAMMDD")&amp;"-"&amp;TEXT(VALUE(SUBSTITUTE(A6009,"MOV-","")),"000"))</f>
        <v/>
      </c>
    </row>
    <row r="6010" spans="18:20">
      <c r="R6010" s="22" t="str">
        <f>IF(H6010="","",H6010&amp;I6010)</f>
        <v/>
      </c>
      <c r="S6010" s="22" t="str">
        <f>IF(C6010="","",C6010&amp;I6010)</f>
        <v/>
      </c>
      <c r="T6010" t="str">
        <f>IF(OR(C6010="",I6010&lt;&gt;"ENTRADA"),"",TEXT(B6010,"AAMMDD")&amp;"-"&amp;TEXT(VALUE(SUBSTITUTE(A6010,"MOV-","")),"000"))</f>
        <v/>
      </c>
    </row>
    <row r="6011" spans="18:20">
      <c r="R6011" s="22" t="str">
        <f>IF(H6011="","",H6011&amp;I6011)</f>
        <v/>
      </c>
      <c r="S6011" s="22" t="str">
        <f>IF(C6011="","",C6011&amp;I6011)</f>
        <v/>
      </c>
      <c r="T6011" t="str">
        <f>IF(OR(C6011="",I6011&lt;&gt;"ENTRADA"),"",TEXT(B6011,"AAMMDD")&amp;"-"&amp;TEXT(VALUE(SUBSTITUTE(A6011,"MOV-","")),"000"))</f>
        <v/>
      </c>
    </row>
    <row r="6012" spans="18:20">
      <c r="R6012" s="22" t="str">
        <f>IF(H6012="","",H6012&amp;I6012)</f>
        <v/>
      </c>
      <c r="S6012" s="22" t="str">
        <f>IF(C6012="","",C6012&amp;I6012)</f>
        <v/>
      </c>
      <c r="T6012" t="str">
        <f>IF(OR(C6012="",I6012&lt;&gt;"ENTRADA"),"",TEXT(B6012,"AAMMDD")&amp;"-"&amp;TEXT(VALUE(SUBSTITUTE(A6012,"MOV-","")),"000"))</f>
        <v/>
      </c>
    </row>
    <row r="6013" spans="18:20">
      <c r="R6013" s="22" t="str">
        <f>IF(H6013="","",H6013&amp;I6013)</f>
        <v/>
      </c>
      <c r="S6013" s="22" t="str">
        <f>IF(C6013="","",C6013&amp;I6013)</f>
        <v/>
      </c>
      <c r="T6013" t="str">
        <f>IF(OR(C6013="",I6013&lt;&gt;"ENTRADA"),"",TEXT(B6013,"AAMMDD")&amp;"-"&amp;TEXT(VALUE(SUBSTITUTE(A6013,"MOV-","")),"000"))</f>
        <v/>
      </c>
    </row>
    <row r="6014" spans="18:20">
      <c r="R6014" s="22" t="str">
        <f>IF(H6014="","",H6014&amp;I6014)</f>
        <v/>
      </c>
      <c r="S6014" s="22" t="str">
        <f>IF(C6014="","",C6014&amp;I6014)</f>
        <v/>
      </c>
      <c r="T6014" t="str">
        <f>IF(OR(C6014="",I6014&lt;&gt;"ENTRADA"),"",TEXT(B6014,"AAMMDD")&amp;"-"&amp;TEXT(VALUE(SUBSTITUTE(A6014,"MOV-","")),"000"))</f>
        <v/>
      </c>
    </row>
    <row r="6015" spans="18:20">
      <c r="R6015" s="22" t="str">
        <f>IF(H6015="","",H6015&amp;I6015)</f>
        <v/>
      </c>
      <c r="S6015" s="22" t="str">
        <f>IF(C6015="","",C6015&amp;I6015)</f>
        <v/>
      </c>
      <c r="T6015" t="str">
        <f>IF(OR(C6015="",I6015&lt;&gt;"ENTRADA"),"",TEXT(B6015,"AAMMDD")&amp;"-"&amp;TEXT(VALUE(SUBSTITUTE(A6015,"MOV-","")),"000"))</f>
        <v/>
      </c>
    </row>
    <row r="6016" spans="18:20">
      <c r="R6016" s="22" t="str">
        <f>IF(H6016="","",H6016&amp;I6016)</f>
        <v/>
      </c>
      <c r="S6016" s="22" t="str">
        <f>IF(C6016="","",C6016&amp;I6016)</f>
        <v/>
      </c>
      <c r="T6016" t="str">
        <f>IF(OR(C6016="",I6016&lt;&gt;"ENTRADA"),"",TEXT(B6016,"AAMMDD")&amp;"-"&amp;TEXT(VALUE(SUBSTITUTE(A6016,"MOV-","")),"000"))</f>
        <v/>
      </c>
    </row>
    <row r="6017" spans="18:20">
      <c r="R6017" s="22" t="str">
        <f>IF(H6017="","",H6017&amp;I6017)</f>
        <v/>
      </c>
      <c r="S6017" s="22" t="str">
        <f>IF(C6017="","",C6017&amp;I6017)</f>
        <v/>
      </c>
      <c r="T6017" t="str">
        <f>IF(OR(C6017="",I6017&lt;&gt;"ENTRADA"),"",TEXT(B6017,"AAMMDD")&amp;"-"&amp;TEXT(VALUE(SUBSTITUTE(A6017,"MOV-","")),"000"))</f>
        <v/>
      </c>
    </row>
    <row r="6018" spans="18:20">
      <c r="R6018" s="22" t="str">
        <f>IF(H6018="","",H6018&amp;I6018)</f>
        <v/>
      </c>
      <c r="S6018" s="22" t="str">
        <f>IF(C6018="","",C6018&amp;I6018)</f>
        <v/>
      </c>
      <c r="T6018" t="str">
        <f>IF(OR(C6018="",I6018&lt;&gt;"ENTRADA"),"",TEXT(B6018,"AAMMDD")&amp;"-"&amp;TEXT(VALUE(SUBSTITUTE(A6018,"MOV-","")),"000"))</f>
        <v/>
      </c>
    </row>
    <row r="6019" spans="18:20">
      <c r="R6019" s="22" t="str">
        <f>IF(H6019="","",H6019&amp;I6019)</f>
        <v/>
      </c>
      <c r="S6019" s="22" t="str">
        <f>IF(C6019="","",C6019&amp;I6019)</f>
        <v/>
      </c>
      <c r="T6019" t="str">
        <f>IF(OR(C6019="",I6019&lt;&gt;"ENTRADA"),"",TEXT(B6019,"AAMMDD")&amp;"-"&amp;TEXT(VALUE(SUBSTITUTE(A6019,"MOV-","")),"000"))</f>
        <v/>
      </c>
    </row>
    <row r="6020" spans="18:20">
      <c r="R6020" s="22" t="str">
        <f>IF(H6020="","",H6020&amp;I6020)</f>
        <v/>
      </c>
      <c r="S6020" s="22" t="str">
        <f>IF(C6020="","",C6020&amp;I6020)</f>
        <v/>
      </c>
      <c r="T6020" t="str">
        <f>IF(OR(C6020="",I6020&lt;&gt;"ENTRADA"),"",TEXT(B6020,"AAMMDD")&amp;"-"&amp;TEXT(VALUE(SUBSTITUTE(A6020,"MOV-","")),"000"))</f>
        <v/>
      </c>
    </row>
    <row r="6021" spans="18:20">
      <c r="R6021" s="22" t="str">
        <f>IF(H6021="","",H6021&amp;I6021)</f>
        <v/>
      </c>
      <c r="S6021" s="22" t="str">
        <f>IF(C6021="","",C6021&amp;I6021)</f>
        <v/>
      </c>
      <c r="T6021" t="str">
        <f>IF(OR(C6021="",I6021&lt;&gt;"ENTRADA"),"",TEXT(B6021,"AAMMDD")&amp;"-"&amp;TEXT(VALUE(SUBSTITUTE(A6021,"MOV-","")),"000"))</f>
        <v/>
      </c>
    </row>
    <row r="6022" spans="18:20">
      <c r="R6022" s="22" t="str">
        <f>IF(H6022="","",H6022&amp;I6022)</f>
        <v/>
      </c>
      <c r="S6022" s="22" t="str">
        <f>IF(C6022="","",C6022&amp;I6022)</f>
        <v/>
      </c>
      <c r="T6022" t="str">
        <f>IF(OR(C6022="",I6022&lt;&gt;"ENTRADA"),"",TEXT(B6022,"AAMMDD")&amp;"-"&amp;TEXT(VALUE(SUBSTITUTE(A6022,"MOV-","")),"000"))</f>
        <v/>
      </c>
    </row>
    <row r="6023" spans="18:20">
      <c r="R6023" s="22" t="str">
        <f>IF(H6023="","",H6023&amp;I6023)</f>
        <v/>
      </c>
      <c r="S6023" s="22" t="str">
        <f>IF(C6023="","",C6023&amp;I6023)</f>
        <v/>
      </c>
      <c r="T6023" t="str">
        <f>IF(OR(C6023="",I6023&lt;&gt;"ENTRADA"),"",TEXT(B6023,"AAMMDD")&amp;"-"&amp;TEXT(VALUE(SUBSTITUTE(A6023,"MOV-","")),"000"))</f>
        <v/>
      </c>
    </row>
    <row r="6024" spans="18:20">
      <c r="R6024" s="22" t="str">
        <f>IF(H6024="","",H6024&amp;I6024)</f>
        <v/>
      </c>
      <c r="S6024" s="22" t="str">
        <f>IF(C6024="","",C6024&amp;I6024)</f>
        <v/>
      </c>
      <c r="T6024" t="str">
        <f>IF(OR(C6024="",I6024&lt;&gt;"ENTRADA"),"",TEXT(B6024,"AAMMDD")&amp;"-"&amp;TEXT(VALUE(SUBSTITUTE(A6024,"MOV-","")),"000"))</f>
        <v/>
      </c>
    </row>
    <row r="6025" spans="18:20">
      <c r="R6025" s="22" t="str">
        <f>IF(H6025="","",H6025&amp;I6025)</f>
        <v/>
      </c>
      <c r="S6025" s="22" t="str">
        <f>IF(C6025="","",C6025&amp;I6025)</f>
        <v/>
      </c>
      <c r="T6025" t="str">
        <f>IF(OR(C6025="",I6025&lt;&gt;"ENTRADA"),"",TEXT(B6025,"AAMMDD")&amp;"-"&amp;TEXT(VALUE(SUBSTITUTE(A6025,"MOV-","")),"000"))</f>
        <v/>
      </c>
    </row>
    <row r="6026" spans="18:20">
      <c r="R6026" s="22" t="str">
        <f>IF(H6026="","",H6026&amp;I6026)</f>
        <v/>
      </c>
      <c r="S6026" s="22" t="str">
        <f>IF(C6026="","",C6026&amp;I6026)</f>
        <v/>
      </c>
      <c r="T6026" t="str">
        <f>IF(OR(C6026="",I6026&lt;&gt;"ENTRADA"),"",TEXT(B6026,"AAMMDD")&amp;"-"&amp;TEXT(VALUE(SUBSTITUTE(A6026,"MOV-","")),"000"))</f>
        <v/>
      </c>
    </row>
    <row r="6027" spans="18:20">
      <c r="R6027" s="22" t="str">
        <f>IF(H6027="","",H6027&amp;I6027)</f>
        <v/>
      </c>
      <c r="S6027" s="22" t="str">
        <f>IF(C6027="","",C6027&amp;I6027)</f>
        <v/>
      </c>
      <c r="T6027" t="str">
        <f>IF(OR(C6027="",I6027&lt;&gt;"ENTRADA"),"",TEXT(B6027,"AAMMDD")&amp;"-"&amp;TEXT(VALUE(SUBSTITUTE(A6027,"MOV-","")),"000"))</f>
        <v/>
      </c>
    </row>
    <row r="6028" spans="18:20">
      <c r="R6028" s="22" t="str">
        <f>IF(H6028="","",H6028&amp;I6028)</f>
        <v/>
      </c>
      <c r="S6028" s="22" t="str">
        <f>IF(C6028="","",C6028&amp;I6028)</f>
        <v/>
      </c>
      <c r="T6028" t="str">
        <f>IF(OR(C6028="",I6028&lt;&gt;"ENTRADA"),"",TEXT(B6028,"AAMMDD")&amp;"-"&amp;TEXT(VALUE(SUBSTITUTE(A6028,"MOV-","")),"000"))</f>
        <v/>
      </c>
    </row>
    <row r="6029" spans="18:20">
      <c r="R6029" s="22" t="str">
        <f>IF(H6029="","",H6029&amp;I6029)</f>
        <v/>
      </c>
      <c r="S6029" s="22" t="str">
        <f>IF(C6029="","",C6029&amp;I6029)</f>
        <v/>
      </c>
      <c r="T6029" t="str">
        <f>IF(OR(C6029="",I6029&lt;&gt;"ENTRADA"),"",TEXT(B6029,"AAMMDD")&amp;"-"&amp;TEXT(VALUE(SUBSTITUTE(A6029,"MOV-","")),"000"))</f>
        <v/>
      </c>
    </row>
    <row r="6030" spans="18:20">
      <c r="R6030" s="22" t="str">
        <f>IF(H6030="","",H6030&amp;I6030)</f>
        <v/>
      </c>
      <c r="S6030" s="22" t="str">
        <f>IF(C6030="","",C6030&amp;I6030)</f>
        <v/>
      </c>
      <c r="T6030" t="str">
        <f>IF(OR(C6030="",I6030&lt;&gt;"ENTRADA"),"",TEXT(B6030,"AAMMDD")&amp;"-"&amp;TEXT(VALUE(SUBSTITUTE(A6030,"MOV-","")),"000"))</f>
        <v/>
      </c>
    </row>
    <row r="6031" spans="18:20">
      <c r="R6031" s="22" t="str">
        <f>IF(H6031="","",H6031&amp;I6031)</f>
        <v/>
      </c>
      <c r="S6031" s="22" t="str">
        <f>IF(C6031="","",C6031&amp;I6031)</f>
        <v/>
      </c>
      <c r="T6031" t="str">
        <f>IF(OR(C6031="",I6031&lt;&gt;"ENTRADA"),"",TEXT(B6031,"AAMMDD")&amp;"-"&amp;TEXT(VALUE(SUBSTITUTE(A6031,"MOV-","")),"000"))</f>
        <v/>
      </c>
    </row>
    <row r="6032" spans="18:20">
      <c r="R6032" s="22" t="str">
        <f>IF(H6032="","",H6032&amp;I6032)</f>
        <v/>
      </c>
      <c r="S6032" s="22" t="str">
        <f>IF(C6032="","",C6032&amp;I6032)</f>
        <v/>
      </c>
      <c r="T6032" t="str">
        <f>IF(OR(C6032="",I6032&lt;&gt;"ENTRADA"),"",TEXT(B6032,"AAMMDD")&amp;"-"&amp;TEXT(VALUE(SUBSTITUTE(A6032,"MOV-","")),"000"))</f>
        <v/>
      </c>
    </row>
    <row r="6033" spans="18:20">
      <c r="R6033" s="22" t="str">
        <f>IF(H6033="","",H6033&amp;I6033)</f>
        <v/>
      </c>
      <c r="S6033" s="22" t="str">
        <f>IF(C6033="","",C6033&amp;I6033)</f>
        <v/>
      </c>
      <c r="T6033" t="str">
        <f>IF(OR(C6033="",I6033&lt;&gt;"ENTRADA"),"",TEXT(B6033,"AAMMDD")&amp;"-"&amp;TEXT(VALUE(SUBSTITUTE(A6033,"MOV-","")),"000"))</f>
        <v/>
      </c>
    </row>
    <row r="6034" spans="18:20">
      <c r="R6034" s="22" t="str">
        <f>IF(H6034="","",H6034&amp;I6034)</f>
        <v/>
      </c>
      <c r="S6034" s="22" t="str">
        <f>IF(C6034="","",C6034&amp;I6034)</f>
        <v/>
      </c>
      <c r="T6034" t="str">
        <f>IF(OR(C6034="",I6034&lt;&gt;"ENTRADA"),"",TEXT(B6034,"AAMMDD")&amp;"-"&amp;TEXT(VALUE(SUBSTITUTE(A6034,"MOV-","")),"000"))</f>
        <v/>
      </c>
    </row>
    <row r="6035" spans="18:20">
      <c r="R6035" s="22" t="str">
        <f>IF(H6035="","",H6035&amp;I6035)</f>
        <v/>
      </c>
      <c r="S6035" s="22" t="str">
        <f>IF(C6035="","",C6035&amp;I6035)</f>
        <v/>
      </c>
      <c r="T6035" t="str">
        <f>IF(OR(C6035="",I6035&lt;&gt;"ENTRADA"),"",TEXT(B6035,"AAMMDD")&amp;"-"&amp;TEXT(VALUE(SUBSTITUTE(A6035,"MOV-","")),"000"))</f>
        <v/>
      </c>
    </row>
    <row r="6036" spans="18:20">
      <c r="R6036" s="22" t="str">
        <f>IF(H6036="","",H6036&amp;I6036)</f>
        <v/>
      </c>
      <c r="S6036" s="22" t="str">
        <f>IF(C6036="","",C6036&amp;I6036)</f>
        <v/>
      </c>
      <c r="T6036" t="str">
        <f>IF(OR(C6036="",I6036&lt;&gt;"ENTRADA"),"",TEXT(B6036,"AAMMDD")&amp;"-"&amp;TEXT(VALUE(SUBSTITUTE(A6036,"MOV-","")),"000"))</f>
        <v/>
      </c>
    </row>
    <row r="6037" spans="18:20">
      <c r="R6037" s="22" t="str">
        <f>IF(H6037="","",H6037&amp;I6037)</f>
        <v/>
      </c>
      <c r="S6037" s="22" t="str">
        <f>IF(C6037="","",C6037&amp;I6037)</f>
        <v/>
      </c>
      <c r="T6037" t="str">
        <f>IF(OR(C6037="",I6037&lt;&gt;"ENTRADA"),"",TEXT(B6037,"AAMMDD")&amp;"-"&amp;TEXT(VALUE(SUBSTITUTE(A6037,"MOV-","")),"000"))</f>
        <v/>
      </c>
    </row>
    <row r="6038" spans="18:20">
      <c r="R6038" s="22" t="str">
        <f>IF(H6038="","",H6038&amp;I6038)</f>
        <v/>
      </c>
      <c r="S6038" s="22" t="str">
        <f>IF(C6038="","",C6038&amp;I6038)</f>
        <v/>
      </c>
      <c r="T6038" t="str">
        <f>IF(OR(C6038="",I6038&lt;&gt;"ENTRADA"),"",TEXT(B6038,"AAMMDD")&amp;"-"&amp;TEXT(VALUE(SUBSTITUTE(A6038,"MOV-","")),"000"))</f>
        <v/>
      </c>
    </row>
    <row r="6039" spans="18:20">
      <c r="R6039" s="22" t="str">
        <f>IF(H6039="","",H6039&amp;I6039)</f>
        <v/>
      </c>
      <c r="S6039" s="22" t="str">
        <f>IF(C6039="","",C6039&amp;I6039)</f>
        <v/>
      </c>
      <c r="T6039" t="str">
        <f>IF(OR(C6039="",I6039&lt;&gt;"ENTRADA"),"",TEXT(B6039,"AAMMDD")&amp;"-"&amp;TEXT(VALUE(SUBSTITUTE(A6039,"MOV-","")),"000"))</f>
        <v/>
      </c>
    </row>
    <row r="6040" spans="18:20">
      <c r="R6040" s="22" t="str">
        <f>IF(H6040="","",H6040&amp;I6040)</f>
        <v/>
      </c>
      <c r="S6040" s="22" t="str">
        <f>IF(C6040="","",C6040&amp;I6040)</f>
        <v/>
      </c>
      <c r="T6040" t="str">
        <f>IF(OR(C6040="",I6040&lt;&gt;"ENTRADA"),"",TEXT(B6040,"AAMMDD")&amp;"-"&amp;TEXT(VALUE(SUBSTITUTE(A6040,"MOV-","")),"000"))</f>
        <v/>
      </c>
    </row>
    <row r="6041" spans="18:20">
      <c r="R6041" s="22" t="str">
        <f>IF(H6041="","",H6041&amp;I6041)</f>
        <v/>
      </c>
      <c r="S6041" s="22" t="str">
        <f>IF(C6041="","",C6041&amp;I6041)</f>
        <v/>
      </c>
      <c r="T6041" t="str">
        <f>IF(OR(C6041="",I6041&lt;&gt;"ENTRADA"),"",TEXT(B6041,"AAMMDD")&amp;"-"&amp;TEXT(VALUE(SUBSTITUTE(A6041,"MOV-","")),"000"))</f>
        <v/>
      </c>
    </row>
    <row r="6042" spans="18:20">
      <c r="R6042" s="22" t="str">
        <f>IF(H6042="","",H6042&amp;I6042)</f>
        <v/>
      </c>
      <c r="S6042" s="22" t="str">
        <f>IF(C6042="","",C6042&amp;I6042)</f>
        <v/>
      </c>
      <c r="T6042" t="str">
        <f>IF(OR(C6042="",I6042&lt;&gt;"ENTRADA"),"",TEXT(B6042,"AAMMDD")&amp;"-"&amp;TEXT(VALUE(SUBSTITUTE(A6042,"MOV-","")),"000"))</f>
        <v/>
      </c>
    </row>
    <row r="6043" spans="18:20">
      <c r="R6043" s="22" t="str">
        <f>IF(H6043="","",H6043&amp;I6043)</f>
        <v/>
      </c>
      <c r="S6043" s="22" t="str">
        <f>IF(C6043="","",C6043&amp;I6043)</f>
        <v/>
      </c>
      <c r="T6043" t="str">
        <f>IF(OR(C6043="",I6043&lt;&gt;"ENTRADA"),"",TEXT(B6043,"AAMMDD")&amp;"-"&amp;TEXT(VALUE(SUBSTITUTE(A6043,"MOV-","")),"000"))</f>
        <v/>
      </c>
    </row>
    <row r="6044" spans="18:20">
      <c r="R6044" s="22" t="str">
        <f>IF(H6044="","",H6044&amp;I6044)</f>
        <v/>
      </c>
      <c r="S6044" s="22" t="str">
        <f>IF(C6044="","",C6044&amp;I6044)</f>
        <v/>
      </c>
      <c r="T6044" t="str">
        <f>IF(OR(C6044="",I6044&lt;&gt;"ENTRADA"),"",TEXT(B6044,"AAMMDD")&amp;"-"&amp;TEXT(VALUE(SUBSTITUTE(A6044,"MOV-","")),"000"))</f>
        <v/>
      </c>
    </row>
    <row r="6045" spans="18:20">
      <c r="R6045" s="22" t="str">
        <f>IF(H6045="","",H6045&amp;I6045)</f>
        <v/>
      </c>
      <c r="S6045" s="22" t="str">
        <f>IF(C6045="","",C6045&amp;I6045)</f>
        <v/>
      </c>
      <c r="T6045" t="str">
        <f>IF(OR(C6045="",I6045&lt;&gt;"ENTRADA"),"",TEXT(B6045,"AAMMDD")&amp;"-"&amp;TEXT(VALUE(SUBSTITUTE(A6045,"MOV-","")),"000"))</f>
        <v/>
      </c>
    </row>
    <row r="6046" spans="18:20">
      <c r="R6046" s="22" t="str">
        <f>IF(H6046="","",H6046&amp;I6046)</f>
        <v/>
      </c>
      <c r="S6046" s="22" t="str">
        <f>IF(C6046="","",C6046&amp;I6046)</f>
        <v/>
      </c>
      <c r="T6046" t="str">
        <f>IF(OR(C6046="",I6046&lt;&gt;"ENTRADA"),"",TEXT(B6046,"AAMMDD")&amp;"-"&amp;TEXT(VALUE(SUBSTITUTE(A6046,"MOV-","")),"000"))</f>
        <v/>
      </c>
    </row>
    <row r="6047" spans="18:20">
      <c r="R6047" s="22" t="str">
        <f>IF(H6047="","",H6047&amp;I6047)</f>
        <v/>
      </c>
      <c r="S6047" s="22" t="str">
        <f>IF(C6047="","",C6047&amp;I6047)</f>
        <v/>
      </c>
      <c r="T6047" t="str">
        <f>IF(OR(C6047="",I6047&lt;&gt;"ENTRADA"),"",TEXT(B6047,"AAMMDD")&amp;"-"&amp;TEXT(VALUE(SUBSTITUTE(A6047,"MOV-","")),"000"))</f>
        <v/>
      </c>
    </row>
    <row r="6048" spans="18:20">
      <c r="R6048" s="22" t="str">
        <f>IF(H6048="","",H6048&amp;I6048)</f>
        <v/>
      </c>
      <c r="S6048" s="22" t="str">
        <f>IF(C6048="","",C6048&amp;I6048)</f>
        <v/>
      </c>
      <c r="T6048" t="str">
        <f>IF(OR(C6048="",I6048&lt;&gt;"ENTRADA"),"",TEXT(B6048,"AAMMDD")&amp;"-"&amp;TEXT(VALUE(SUBSTITUTE(A6048,"MOV-","")),"000"))</f>
        <v/>
      </c>
    </row>
    <row r="6049" spans="18:20">
      <c r="R6049" s="22" t="str">
        <f>IF(H6049="","",H6049&amp;I6049)</f>
        <v/>
      </c>
      <c r="S6049" s="22" t="str">
        <f>IF(C6049="","",C6049&amp;I6049)</f>
        <v/>
      </c>
      <c r="T6049" t="str">
        <f>IF(OR(C6049="",I6049&lt;&gt;"ENTRADA"),"",TEXT(B6049,"AAMMDD")&amp;"-"&amp;TEXT(VALUE(SUBSTITUTE(A6049,"MOV-","")),"000"))</f>
        <v/>
      </c>
    </row>
    <row r="6050" spans="18:20">
      <c r="R6050" s="22" t="str">
        <f>IF(H6050="","",H6050&amp;I6050)</f>
        <v/>
      </c>
      <c r="S6050" s="22" t="str">
        <f>IF(C6050="","",C6050&amp;I6050)</f>
        <v/>
      </c>
      <c r="T6050" t="str">
        <f>IF(OR(C6050="",I6050&lt;&gt;"ENTRADA"),"",TEXT(B6050,"AAMMDD")&amp;"-"&amp;TEXT(VALUE(SUBSTITUTE(A6050,"MOV-","")),"000"))</f>
        <v/>
      </c>
    </row>
    <row r="6051" spans="18:20">
      <c r="R6051" s="22" t="str">
        <f>IF(H6051="","",H6051&amp;I6051)</f>
        <v/>
      </c>
      <c r="S6051" s="22" t="str">
        <f>IF(C6051="","",C6051&amp;I6051)</f>
        <v/>
      </c>
      <c r="T6051" t="str">
        <f>IF(OR(C6051="",I6051&lt;&gt;"ENTRADA"),"",TEXT(B6051,"AAMMDD")&amp;"-"&amp;TEXT(VALUE(SUBSTITUTE(A6051,"MOV-","")),"000"))</f>
        <v/>
      </c>
    </row>
    <row r="6052" spans="18:20">
      <c r="R6052" s="22" t="str">
        <f>IF(H6052="","",H6052&amp;I6052)</f>
        <v/>
      </c>
      <c r="S6052" s="22" t="str">
        <f>IF(C6052="","",C6052&amp;I6052)</f>
        <v/>
      </c>
      <c r="T6052" t="str">
        <f>IF(OR(C6052="",I6052&lt;&gt;"ENTRADA"),"",TEXT(B6052,"AAMMDD")&amp;"-"&amp;TEXT(VALUE(SUBSTITUTE(A6052,"MOV-","")),"000"))</f>
        <v/>
      </c>
    </row>
    <row r="6053" spans="18:20">
      <c r="R6053" s="22" t="str">
        <f>IF(H6053="","",H6053&amp;I6053)</f>
        <v/>
      </c>
      <c r="S6053" s="22" t="str">
        <f>IF(C6053="","",C6053&amp;I6053)</f>
        <v/>
      </c>
      <c r="T6053" t="str">
        <f>IF(OR(C6053="",I6053&lt;&gt;"ENTRADA"),"",TEXT(B6053,"AAMMDD")&amp;"-"&amp;TEXT(VALUE(SUBSTITUTE(A6053,"MOV-","")),"000"))</f>
        <v/>
      </c>
    </row>
    <row r="6054" spans="18:20">
      <c r="R6054" s="22" t="str">
        <f>IF(H6054="","",H6054&amp;I6054)</f>
        <v/>
      </c>
      <c r="S6054" s="22" t="str">
        <f>IF(C6054="","",C6054&amp;I6054)</f>
        <v/>
      </c>
      <c r="T6054" t="str">
        <f>IF(OR(C6054="",I6054&lt;&gt;"ENTRADA"),"",TEXT(B6054,"AAMMDD")&amp;"-"&amp;TEXT(VALUE(SUBSTITUTE(A6054,"MOV-","")),"000"))</f>
        <v/>
      </c>
    </row>
    <row r="6055" spans="18:20">
      <c r="R6055" s="22" t="str">
        <f>IF(H6055="","",H6055&amp;I6055)</f>
        <v/>
      </c>
      <c r="S6055" s="22" t="str">
        <f>IF(C6055="","",C6055&amp;I6055)</f>
        <v/>
      </c>
      <c r="T6055" t="str">
        <f>IF(OR(C6055="",I6055&lt;&gt;"ENTRADA"),"",TEXT(B6055,"AAMMDD")&amp;"-"&amp;TEXT(VALUE(SUBSTITUTE(A6055,"MOV-","")),"000"))</f>
        <v/>
      </c>
    </row>
    <row r="6056" spans="18:20">
      <c r="R6056" s="22" t="str">
        <f>IF(H6056="","",H6056&amp;I6056)</f>
        <v/>
      </c>
      <c r="S6056" s="22" t="str">
        <f>IF(C6056="","",C6056&amp;I6056)</f>
        <v/>
      </c>
      <c r="T6056" t="str">
        <f>IF(OR(C6056="",I6056&lt;&gt;"ENTRADA"),"",TEXT(B6056,"AAMMDD")&amp;"-"&amp;TEXT(VALUE(SUBSTITUTE(A6056,"MOV-","")),"000"))</f>
        <v/>
      </c>
    </row>
    <row r="6057" spans="18:20">
      <c r="R6057" s="22" t="str">
        <f>IF(H6057="","",H6057&amp;I6057)</f>
        <v/>
      </c>
      <c r="S6057" s="22" t="str">
        <f>IF(C6057="","",C6057&amp;I6057)</f>
        <v/>
      </c>
      <c r="T6057" t="str">
        <f>IF(OR(C6057="",I6057&lt;&gt;"ENTRADA"),"",TEXT(B6057,"AAMMDD")&amp;"-"&amp;TEXT(VALUE(SUBSTITUTE(A6057,"MOV-","")),"000"))</f>
        <v/>
      </c>
    </row>
    <row r="6058" spans="18:20">
      <c r="R6058" s="22" t="str">
        <f>IF(H6058="","",H6058&amp;I6058)</f>
        <v/>
      </c>
      <c r="S6058" s="22" t="str">
        <f>IF(C6058="","",C6058&amp;I6058)</f>
        <v/>
      </c>
      <c r="T6058" t="str">
        <f>IF(OR(C6058="",I6058&lt;&gt;"ENTRADA"),"",TEXT(B6058,"AAMMDD")&amp;"-"&amp;TEXT(VALUE(SUBSTITUTE(A6058,"MOV-","")),"000"))</f>
        <v/>
      </c>
    </row>
    <row r="6059" spans="18:20">
      <c r="R6059" s="22" t="str">
        <f>IF(H6059="","",H6059&amp;I6059)</f>
        <v/>
      </c>
      <c r="S6059" s="22" t="str">
        <f>IF(C6059="","",C6059&amp;I6059)</f>
        <v/>
      </c>
      <c r="T6059" t="str">
        <f>IF(OR(C6059="",I6059&lt;&gt;"ENTRADA"),"",TEXT(B6059,"AAMMDD")&amp;"-"&amp;TEXT(VALUE(SUBSTITUTE(A6059,"MOV-","")),"000"))</f>
        <v/>
      </c>
    </row>
    <row r="6060" spans="18:20">
      <c r="R6060" s="22" t="str">
        <f>IF(H6060="","",H6060&amp;I6060)</f>
        <v/>
      </c>
      <c r="S6060" s="22" t="str">
        <f>IF(C6060="","",C6060&amp;I6060)</f>
        <v/>
      </c>
      <c r="T6060" t="str">
        <f>IF(OR(C6060="",I6060&lt;&gt;"ENTRADA"),"",TEXT(B6060,"AAMMDD")&amp;"-"&amp;TEXT(VALUE(SUBSTITUTE(A6060,"MOV-","")),"000"))</f>
        <v/>
      </c>
    </row>
    <row r="6061" spans="18:20">
      <c r="R6061" s="22" t="str">
        <f>IF(H6061="","",H6061&amp;I6061)</f>
        <v/>
      </c>
      <c r="S6061" s="22" t="str">
        <f>IF(C6061="","",C6061&amp;I6061)</f>
        <v/>
      </c>
      <c r="T6061" t="str">
        <f>IF(OR(C6061="",I6061&lt;&gt;"ENTRADA"),"",TEXT(B6061,"AAMMDD")&amp;"-"&amp;TEXT(VALUE(SUBSTITUTE(A6061,"MOV-","")),"000"))</f>
        <v/>
      </c>
    </row>
    <row r="6062" spans="18:20">
      <c r="R6062" s="22" t="str">
        <f>IF(H6062="","",H6062&amp;I6062)</f>
        <v/>
      </c>
      <c r="S6062" s="22" t="str">
        <f>IF(C6062="","",C6062&amp;I6062)</f>
        <v/>
      </c>
      <c r="T6062" t="str">
        <f>IF(OR(C6062="",I6062&lt;&gt;"ENTRADA"),"",TEXT(B6062,"AAMMDD")&amp;"-"&amp;TEXT(VALUE(SUBSTITUTE(A6062,"MOV-","")),"000"))</f>
        <v/>
      </c>
    </row>
    <row r="6063" spans="18:20">
      <c r="R6063" s="22" t="str">
        <f>IF(H6063="","",H6063&amp;I6063)</f>
        <v/>
      </c>
      <c r="S6063" s="22" t="str">
        <f>IF(C6063="","",C6063&amp;I6063)</f>
        <v/>
      </c>
      <c r="T6063" t="str">
        <f>IF(OR(C6063="",I6063&lt;&gt;"ENTRADA"),"",TEXT(B6063,"AAMMDD")&amp;"-"&amp;TEXT(VALUE(SUBSTITUTE(A6063,"MOV-","")),"000"))</f>
        <v/>
      </c>
    </row>
    <row r="6064" spans="18:20">
      <c r="R6064" s="22" t="str">
        <f>IF(H6064="","",H6064&amp;I6064)</f>
        <v/>
      </c>
      <c r="S6064" s="22" t="str">
        <f>IF(C6064="","",C6064&amp;I6064)</f>
        <v/>
      </c>
      <c r="T6064" t="str">
        <f>IF(OR(C6064="",I6064&lt;&gt;"ENTRADA"),"",TEXT(B6064,"AAMMDD")&amp;"-"&amp;TEXT(VALUE(SUBSTITUTE(A6064,"MOV-","")),"000"))</f>
        <v/>
      </c>
    </row>
    <row r="6065" spans="18:20">
      <c r="R6065" s="22" t="str">
        <f>IF(H6065="","",H6065&amp;I6065)</f>
        <v/>
      </c>
      <c r="S6065" s="22" t="str">
        <f>IF(C6065="","",C6065&amp;I6065)</f>
        <v/>
      </c>
      <c r="T6065" t="str">
        <f>IF(OR(C6065="",I6065&lt;&gt;"ENTRADA"),"",TEXT(B6065,"AAMMDD")&amp;"-"&amp;TEXT(VALUE(SUBSTITUTE(A6065,"MOV-","")),"000"))</f>
        <v/>
      </c>
    </row>
    <row r="6066" spans="18:20">
      <c r="R6066" s="22" t="str">
        <f>IF(H6066="","",H6066&amp;I6066)</f>
        <v/>
      </c>
      <c r="S6066" s="22" t="str">
        <f>IF(C6066="","",C6066&amp;I6066)</f>
        <v/>
      </c>
      <c r="T6066" t="str">
        <f>IF(OR(C6066="",I6066&lt;&gt;"ENTRADA"),"",TEXT(B6066,"AAMMDD")&amp;"-"&amp;TEXT(VALUE(SUBSTITUTE(A6066,"MOV-","")),"000"))</f>
        <v/>
      </c>
    </row>
    <row r="6067" spans="18:20">
      <c r="R6067" s="22" t="str">
        <f>IF(H6067="","",H6067&amp;I6067)</f>
        <v/>
      </c>
      <c r="S6067" s="22" t="str">
        <f>IF(C6067="","",C6067&amp;I6067)</f>
        <v/>
      </c>
      <c r="T6067" t="str">
        <f>IF(OR(C6067="",I6067&lt;&gt;"ENTRADA"),"",TEXT(B6067,"AAMMDD")&amp;"-"&amp;TEXT(VALUE(SUBSTITUTE(A6067,"MOV-","")),"000"))</f>
        <v/>
      </c>
    </row>
    <row r="6068" spans="18:20">
      <c r="R6068" s="22" t="str">
        <f>IF(H6068="","",H6068&amp;I6068)</f>
        <v/>
      </c>
      <c r="S6068" s="22" t="str">
        <f>IF(C6068="","",C6068&amp;I6068)</f>
        <v/>
      </c>
      <c r="T6068" t="str">
        <f>IF(OR(C6068="",I6068&lt;&gt;"ENTRADA"),"",TEXT(B6068,"AAMMDD")&amp;"-"&amp;TEXT(VALUE(SUBSTITUTE(A6068,"MOV-","")),"000"))</f>
        <v/>
      </c>
    </row>
    <row r="6069" spans="18:20">
      <c r="R6069" s="22" t="str">
        <f>IF(H6069="","",H6069&amp;I6069)</f>
        <v/>
      </c>
      <c r="S6069" s="22" t="str">
        <f>IF(C6069="","",C6069&amp;I6069)</f>
        <v/>
      </c>
      <c r="T6069" t="str">
        <f>IF(OR(C6069="",I6069&lt;&gt;"ENTRADA"),"",TEXT(B6069,"AAMMDD")&amp;"-"&amp;TEXT(VALUE(SUBSTITUTE(A6069,"MOV-","")),"000"))</f>
        <v/>
      </c>
    </row>
    <row r="6070" spans="18:20">
      <c r="R6070" s="22" t="str">
        <f>IF(H6070="","",H6070&amp;I6070)</f>
        <v/>
      </c>
      <c r="S6070" s="22" t="str">
        <f>IF(C6070="","",C6070&amp;I6070)</f>
        <v/>
      </c>
      <c r="T6070" t="str">
        <f>IF(OR(C6070="",I6070&lt;&gt;"ENTRADA"),"",TEXT(B6070,"AAMMDD")&amp;"-"&amp;TEXT(VALUE(SUBSTITUTE(A6070,"MOV-","")),"000"))</f>
        <v/>
      </c>
    </row>
    <row r="6071" spans="18:20">
      <c r="R6071" s="22" t="str">
        <f>IF(H6071="","",H6071&amp;I6071)</f>
        <v/>
      </c>
      <c r="S6071" s="22" t="str">
        <f>IF(C6071="","",C6071&amp;I6071)</f>
        <v/>
      </c>
      <c r="T6071" t="str">
        <f>IF(OR(C6071="",I6071&lt;&gt;"ENTRADA"),"",TEXT(B6071,"AAMMDD")&amp;"-"&amp;TEXT(VALUE(SUBSTITUTE(A6071,"MOV-","")),"000"))</f>
        <v/>
      </c>
    </row>
    <row r="6072" spans="18:20">
      <c r="R6072" s="22" t="str">
        <f>IF(H6072="","",H6072&amp;I6072)</f>
        <v/>
      </c>
      <c r="S6072" s="22" t="str">
        <f>IF(C6072="","",C6072&amp;I6072)</f>
        <v/>
      </c>
      <c r="T6072" t="str">
        <f>IF(OR(C6072="",I6072&lt;&gt;"ENTRADA"),"",TEXT(B6072,"AAMMDD")&amp;"-"&amp;TEXT(VALUE(SUBSTITUTE(A6072,"MOV-","")),"000"))</f>
        <v/>
      </c>
    </row>
    <row r="6073" spans="18:20">
      <c r="R6073" s="22" t="str">
        <f>IF(H6073="","",H6073&amp;I6073)</f>
        <v/>
      </c>
      <c r="S6073" s="22" t="str">
        <f>IF(C6073="","",C6073&amp;I6073)</f>
        <v/>
      </c>
      <c r="T6073" t="str">
        <f>IF(OR(C6073="",I6073&lt;&gt;"ENTRADA"),"",TEXT(B6073,"AAMMDD")&amp;"-"&amp;TEXT(VALUE(SUBSTITUTE(A6073,"MOV-","")),"000"))</f>
        <v/>
      </c>
    </row>
    <row r="6074" spans="18:20">
      <c r="R6074" s="22" t="str">
        <f>IF(H6074="","",H6074&amp;I6074)</f>
        <v/>
      </c>
      <c r="S6074" s="22" t="str">
        <f>IF(C6074="","",C6074&amp;I6074)</f>
        <v/>
      </c>
      <c r="T6074" t="str">
        <f>IF(OR(C6074="",I6074&lt;&gt;"ENTRADA"),"",TEXT(B6074,"AAMMDD")&amp;"-"&amp;TEXT(VALUE(SUBSTITUTE(A6074,"MOV-","")),"000"))</f>
        <v/>
      </c>
    </row>
    <row r="6075" spans="18:20">
      <c r="R6075" s="22" t="str">
        <f>IF(H6075="","",H6075&amp;I6075)</f>
        <v/>
      </c>
      <c r="S6075" s="22" t="str">
        <f>IF(C6075="","",C6075&amp;I6075)</f>
        <v/>
      </c>
      <c r="T6075" t="str">
        <f>IF(OR(C6075="",I6075&lt;&gt;"ENTRADA"),"",TEXT(B6075,"AAMMDD")&amp;"-"&amp;TEXT(VALUE(SUBSTITUTE(A6075,"MOV-","")),"000"))</f>
        <v/>
      </c>
    </row>
    <row r="6076" spans="18:20">
      <c r="R6076" s="22" t="str">
        <f>IF(H6076="","",H6076&amp;I6076)</f>
        <v/>
      </c>
      <c r="S6076" s="22" t="str">
        <f>IF(C6076="","",C6076&amp;I6076)</f>
        <v/>
      </c>
      <c r="T6076" t="str">
        <f>IF(OR(C6076="",I6076&lt;&gt;"ENTRADA"),"",TEXT(B6076,"AAMMDD")&amp;"-"&amp;TEXT(VALUE(SUBSTITUTE(A6076,"MOV-","")),"000"))</f>
        <v/>
      </c>
    </row>
    <row r="6077" spans="18:20">
      <c r="R6077" s="22" t="str">
        <f>IF(H6077="","",H6077&amp;I6077)</f>
        <v/>
      </c>
      <c r="S6077" s="22" t="str">
        <f>IF(C6077="","",C6077&amp;I6077)</f>
        <v/>
      </c>
      <c r="T6077" t="str">
        <f>IF(OR(C6077="",I6077&lt;&gt;"ENTRADA"),"",TEXT(B6077,"AAMMDD")&amp;"-"&amp;TEXT(VALUE(SUBSTITUTE(A6077,"MOV-","")),"000"))</f>
        <v/>
      </c>
    </row>
    <row r="6078" spans="18:20">
      <c r="R6078" s="22" t="str">
        <f>IF(H6078="","",H6078&amp;I6078)</f>
        <v/>
      </c>
      <c r="S6078" s="22" t="str">
        <f>IF(C6078="","",C6078&amp;I6078)</f>
        <v/>
      </c>
      <c r="T6078" t="str">
        <f>IF(OR(C6078="",I6078&lt;&gt;"ENTRADA"),"",TEXT(B6078,"AAMMDD")&amp;"-"&amp;TEXT(VALUE(SUBSTITUTE(A6078,"MOV-","")),"000"))</f>
        <v/>
      </c>
    </row>
    <row r="6079" spans="18:20">
      <c r="R6079" s="22" t="str">
        <f>IF(H6079="","",H6079&amp;I6079)</f>
        <v/>
      </c>
      <c r="S6079" s="22" t="str">
        <f>IF(C6079="","",C6079&amp;I6079)</f>
        <v/>
      </c>
      <c r="T6079" t="str">
        <f>IF(OR(C6079="",I6079&lt;&gt;"ENTRADA"),"",TEXT(B6079,"AAMMDD")&amp;"-"&amp;TEXT(VALUE(SUBSTITUTE(A6079,"MOV-","")),"000"))</f>
        <v/>
      </c>
    </row>
    <row r="6080" spans="18:20">
      <c r="R6080" s="22" t="str">
        <f>IF(H6080="","",H6080&amp;I6080)</f>
        <v/>
      </c>
      <c r="S6080" s="22" t="str">
        <f>IF(C6080="","",C6080&amp;I6080)</f>
        <v/>
      </c>
      <c r="T6080" t="str">
        <f>IF(OR(C6080="",I6080&lt;&gt;"ENTRADA"),"",TEXT(B6080,"AAMMDD")&amp;"-"&amp;TEXT(VALUE(SUBSTITUTE(A6080,"MOV-","")),"000"))</f>
        <v/>
      </c>
    </row>
    <row r="6081" spans="18:20">
      <c r="R6081" s="22" t="str">
        <f>IF(H6081="","",H6081&amp;I6081)</f>
        <v/>
      </c>
      <c r="S6081" s="22" t="str">
        <f>IF(C6081="","",C6081&amp;I6081)</f>
        <v/>
      </c>
      <c r="T6081" t="str">
        <f>IF(OR(C6081="",I6081&lt;&gt;"ENTRADA"),"",TEXT(B6081,"AAMMDD")&amp;"-"&amp;TEXT(VALUE(SUBSTITUTE(A6081,"MOV-","")),"000"))</f>
        <v/>
      </c>
    </row>
    <row r="6082" spans="18:20">
      <c r="R6082" s="22" t="str">
        <f>IF(H6082="","",H6082&amp;I6082)</f>
        <v/>
      </c>
      <c r="S6082" s="22" t="str">
        <f>IF(C6082="","",C6082&amp;I6082)</f>
        <v/>
      </c>
      <c r="T6082" t="str">
        <f>IF(OR(C6082="",I6082&lt;&gt;"ENTRADA"),"",TEXT(B6082,"AAMMDD")&amp;"-"&amp;TEXT(VALUE(SUBSTITUTE(A6082,"MOV-","")),"000"))</f>
        <v/>
      </c>
    </row>
    <row r="6083" spans="18:20">
      <c r="R6083" s="22" t="str">
        <f>IF(H6083="","",H6083&amp;I6083)</f>
        <v/>
      </c>
      <c r="S6083" s="22" t="str">
        <f>IF(C6083="","",C6083&amp;I6083)</f>
        <v/>
      </c>
      <c r="T6083" t="str">
        <f>IF(OR(C6083="",I6083&lt;&gt;"ENTRADA"),"",TEXT(B6083,"AAMMDD")&amp;"-"&amp;TEXT(VALUE(SUBSTITUTE(A6083,"MOV-","")),"000"))</f>
        <v/>
      </c>
    </row>
    <row r="6084" spans="18:20">
      <c r="R6084" s="22" t="str">
        <f>IF(H6084="","",H6084&amp;I6084)</f>
        <v/>
      </c>
      <c r="S6084" s="22" t="str">
        <f>IF(C6084="","",C6084&amp;I6084)</f>
        <v/>
      </c>
      <c r="T6084" t="str">
        <f>IF(OR(C6084="",I6084&lt;&gt;"ENTRADA"),"",TEXT(B6084,"AAMMDD")&amp;"-"&amp;TEXT(VALUE(SUBSTITUTE(A6084,"MOV-","")),"000"))</f>
        <v/>
      </c>
    </row>
    <row r="6085" spans="18:20">
      <c r="R6085" s="22" t="str">
        <f>IF(H6085="","",H6085&amp;I6085)</f>
        <v/>
      </c>
      <c r="S6085" s="22" t="str">
        <f>IF(C6085="","",C6085&amp;I6085)</f>
        <v/>
      </c>
      <c r="T6085" t="str">
        <f>IF(OR(C6085="",I6085&lt;&gt;"ENTRADA"),"",TEXT(B6085,"AAMMDD")&amp;"-"&amp;TEXT(VALUE(SUBSTITUTE(A6085,"MOV-","")),"000"))</f>
        <v/>
      </c>
    </row>
    <row r="6086" spans="18:20">
      <c r="R6086" s="22" t="str">
        <f>IF(H6086="","",H6086&amp;I6086)</f>
        <v/>
      </c>
      <c r="S6086" s="22" t="str">
        <f>IF(C6086="","",C6086&amp;I6086)</f>
        <v/>
      </c>
      <c r="T6086" t="str">
        <f>IF(OR(C6086="",I6086&lt;&gt;"ENTRADA"),"",TEXT(B6086,"AAMMDD")&amp;"-"&amp;TEXT(VALUE(SUBSTITUTE(A6086,"MOV-","")),"000"))</f>
        <v/>
      </c>
    </row>
    <row r="6087" spans="18:20">
      <c r="R6087" s="22" t="str">
        <f>IF(H6087="","",H6087&amp;I6087)</f>
        <v/>
      </c>
      <c r="S6087" s="22" t="str">
        <f>IF(C6087="","",C6087&amp;I6087)</f>
        <v/>
      </c>
      <c r="T6087" t="str">
        <f>IF(OR(C6087="",I6087&lt;&gt;"ENTRADA"),"",TEXT(B6087,"AAMMDD")&amp;"-"&amp;TEXT(VALUE(SUBSTITUTE(A6087,"MOV-","")),"000"))</f>
        <v/>
      </c>
    </row>
    <row r="6088" spans="18:20">
      <c r="R6088" s="22" t="str">
        <f>IF(H6088="","",H6088&amp;I6088)</f>
        <v/>
      </c>
      <c r="S6088" s="22" t="str">
        <f>IF(C6088="","",C6088&amp;I6088)</f>
        <v/>
      </c>
      <c r="T6088" t="str">
        <f>IF(OR(C6088="",I6088&lt;&gt;"ENTRADA"),"",TEXT(B6088,"AAMMDD")&amp;"-"&amp;TEXT(VALUE(SUBSTITUTE(A6088,"MOV-","")),"000"))</f>
        <v/>
      </c>
    </row>
    <row r="6089" spans="18:20">
      <c r="R6089" s="22" t="str">
        <f>IF(H6089="","",H6089&amp;I6089)</f>
        <v/>
      </c>
      <c r="S6089" s="22" t="str">
        <f>IF(C6089="","",C6089&amp;I6089)</f>
        <v/>
      </c>
      <c r="T6089" t="str">
        <f>IF(OR(C6089="",I6089&lt;&gt;"ENTRADA"),"",TEXT(B6089,"AAMMDD")&amp;"-"&amp;TEXT(VALUE(SUBSTITUTE(A6089,"MOV-","")),"000"))</f>
        <v/>
      </c>
    </row>
    <row r="6090" spans="18:20">
      <c r="R6090" s="22" t="str">
        <f>IF(H6090="","",H6090&amp;I6090)</f>
        <v/>
      </c>
      <c r="S6090" s="22" t="str">
        <f>IF(C6090="","",C6090&amp;I6090)</f>
        <v/>
      </c>
      <c r="T6090" t="str">
        <f>IF(OR(C6090="",I6090&lt;&gt;"ENTRADA"),"",TEXT(B6090,"AAMMDD")&amp;"-"&amp;TEXT(VALUE(SUBSTITUTE(A6090,"MOV-","")),"000"))</f>
        <v/>
      </c>
    </row>
    <row r="6091" spans="18:20">
      <c r="R6091" s="22" t="str">
        <f>IF(H6091="","",H6091&amp;I6091)</f>
        <v/>
      </c>
      <c r="S6091" s="22" t="str">
        <f>IF(C6091="","",C6091&amp;I6091)</f>
        <v/>
      </c>
      <c r="T6091" t="str">
        <f>IF(OR(C6091="",I6091&lt;&gt;"ENTRADA"),"",TEXT(B6091,"AAMMDD")&amp;"-"&amp;TEXT(VALUE(SUBSTITUTE(A6091,"MOV-","")),"000"))</f>
        <v/>
      </c>
    </row>
    <row r="6092" spans="18:20">
      <c r="R6092" s="22" t="str">
        <f>IF(H6092="","",H6092&amp;I6092)</f>
        <v/>
      </c>
      <c r="S6092" s="22" t="str">
        <f>IF(C6092="","",C6092&amp;I6092)</f>
        <v/>
      </c>
      <c r="T6092" t="str">
        <f>IF(OR(C6092="",I6092&lt;&gt;"ENTRADA"),"",TEXT(B6092,"AAMMDD")&amp;"-"&amp;TEXT(VALUE(SUBSTITUTE(A6092,"MOV-","")),"000"))</f>
        <v/>
      </c>
    </row>
    <row r="6093" spans="18:20">
      <c r="R6093" s="22" t="str">
        <f>IF(H6093="","",H6093&amp;I6093)</f>
        <v/>
      </c>
      <c r="S6093" s="22" t="str">
        <f>IF(C6093="","",C6093&amp;I6093)</f>
        <v/>
      </c>
      <c r="T6093" t="str">
        <f>IF(OR(C6093="",I6093&lt;&gt;"ENTRADA"),"",TEXT(B6093,"AAMMDD")&amp;"-"&amp;TEXT(VALUE(SUBSTITUTE(A6093,"MOV-","")),"000"))</f>
        <v/>
      </c>
    </row>
    <row r="6094" spans="18:20">
      <c r="R6094" s="22" t="str">
        <f>IF(H6094="","",H6094&amp;I6094)</f>
        <v/>
      </c>
      <c r="S6094" s="22" t="str">
        <f>IF(C6094="","",C6094&amp;I6094)</f>
        <v/>
      </c>
      <c r="T6094" t="str">
        <f>IF(OR(C6094="",I6094&lt;&gt;"ENTRADA"),"",TEXT(B6094,"AAMMDD")&amp;"-"&amp;TEXT(VALUE(SUBSTITUTE(A6094,"MOV-","")),"000"))</f>
        <v/>
      </c>
    </row>
    <row r="6095" spans="18:20">
      <c r="R6095" s="22" t="str">
        <f>IF(H6095="","",H6095&amp;I6095)</f>
        <v/>
      </c>
      <c r="S6095" s="22" t="str">
        <f>IF(C6095="","",C6095&amp;I6095)</f>
        <v/>
      </c>
      <c r="T6095" t="str">
        <f>IF(OR(C6095="",I6095&lt;&gt;"ENTRADA"),"",TEXT(B6095,"AAMMDD")&amp;"-"&amp;TEXT(VALUE(SUBSTITUTE(A6095,"MOV-","")),"000"))</f>
        <v/>
      </c>
    </row>
    <row r="6096" spans="18:20">
      <c r="R6096" s="22" t="str">
        <f>IF(H6096="","",H6096&amp;I6096)</f>
        <v/>
      </c>
      <c r="S6096" s="22" t="str">
        <f>IF(C6096="","",C6096&amp;I6096)</f>
        <v/>
      </c>
      <c r="T6096" t="str">
        <f>IF(OR(C6096="",I6096&lt;&gt;"ENTRADA"),"",TEXT(B6096,"AAMMDD")&amp;"-"&amp;TEXT(VALUE(SUBSTITUTE(A6096,"MOV-","")),"000"))</f>
        <v/>
      </c>
    </row>
    <row r="6097" spans="18:20">
      <c r="R6097" s="22" t="str">
        <f>IF(H6097="","",H6097&amp;I6097)</f>
        <v/>
      </c>
      <c r="S6097" s="22" t="str">
        <f>IF(C6097="","",C6097&amp;I6097)</f>
        <v/>
      </c>
      <c r="T6097" t="str">
        <f>IF(OR(C6097="",I6097&lt;&gt;"ENTRADA"),"",TEXT(B6097,"AAMMDD")&amp;"-"&amp;TEXT(VALUE(SUBSTITUTE(A6097,"MOV-","")),"000"))</f>
        <v/>
      </c>
    </row>
    <row r="6098" spans="18:20">
      <c r="R6098" s="22" t="str">
        <f>IF(H6098="","",H6098&amp;I6098)</f>
        <v/>
      </c>
      <c r="S6098" s="22" t="str">
        <f>IF(C6098="","",C6098&amp;I6098)</f>
        <v/>
      </c>
      <c r="T6098" t="str">
        <f>IF(OR(C6098="",I6098&lt;&gt;"ENTRADA"),"",TEXT(B6098,"AAMMDD")&amp;"-"&amp;TEXT(VALUE(SUBSTITUTE(A6098,"MOV-","")),"000"))</f>
        <v/>
      </c>
    </row>
    <row r="6099" spans="18:20">
      <c r="R6099" s="22" t="str">
        <f>IF(H6099="","",H6099&amp;I6099)</f>
        <v/>
      </c>
      <c r="S6099" s="22" t="str">
        <f>IF(C6099="","",C6099&amp;I6099)</f>
        <v/>
      </c>
      <c r="T6099" t="str">
        <f>IF(OR(C6099="",I6099&lt;&gt;"ENTRADA"),"",TEXT(B6099,"AAMMDD")&amp;"-"&amp;TEXT(VALUE(SUBSTITUTE(A6099,"MOV-","")),"000"))</f>
        <v/>
      </c>
    </row>
    <row r="6100" spans="18:20">
      <c r="R6100" s="22" t="str">
        <f>IF(H6100="","",H6100&amp;I6100)</f>
        <v/>
      </c>
      <c r="S6100" s="22" t="str">
        <f>IF(C6100="","",C6100&amp;I6100)</f>
        <v/>
      </c>
      <c r="T6100" t="str">
        <f>IF(OR(C6100="",I6100&lt;&gt;"ENTRADA"),"",TEXT(B6100,"AAMMDD")&amp;"-"&amp;TEXT(VALUE(SUBSTITUTE(A6100,"MOV-","")),"000"))</f>
        <v/>
      </c>
    </row>
    <row r="6101" spans="18:20">
      <c r="R6101" s="22" t="str">
        <f>IF(H6101="","",H6101&amp;I6101)</f>
        <v/>
      </c>
      <c r="S6101" s="22" t="str">
        <f>IF(C6101="","",C6101&amp;I6101)</f>
        <v/>
      </c>
      <c r="T6101" t="str">
        <f>IF(OR(C6101="",I6101&lt;&gt;"ENTRADA"),"",TEXT(B6101,"AAMMDD")&amp;"-"&amp;TEXT(VALUE(SUBSTITUTE(A6101,"MOV-","")),"000"))</f>
        <v/>
      </c>
    </row>
    <row r="6102" spans="18:20">
      <c r="R6102" s="22" t="str">
        <f>IF(H6102="","",H6102&amp;I6102)</f>
        <v/>
      </c>
      <c r="S6102" s="22" t="str">
        <f>IF(C6102="","",C6102&amp;I6102)</f>
        <v/>
      </c>
      <c r="T6102" t="str">
        <f>IF(OR(C6102="",I6102&lt;&gt;"ENTRADA"),"",TEXT(B6102,"AAMMDD")&amp;"-"&amp;TEXT(VALUE(SUBSTITUTE(A6102,"MOV-","")),"000"))</f>
        <v/>
      </c>
    </row>
    <row r="6103" spans="18:20">
      <c r="R6103" s="22" t="str">
        <f>IF(H6103="","",H6103&amp;I6103)</f>
        <v/>
      </c>
      <c r="S6103" s="22" t="str">
        <f>IF(C6103="","",C6103&amp;I6103)</f>
        <v/>
      </c>
      <c r="T6103" t="str">
        <f>IF(OR(C6103="",I6103&lt;&gt;"ENTRADA"),"",TEXT(B6103,"AAMMDD")&amp;"-"&amp;TEXT(VALUE(SUBSTITUTE(A6103,"MOV-","")),"000"))</f>
        <v/>
      </c>
    </row>
    <row r="6104" spans="18:20">
      <c r="R6104" s="22" t="str">
        <f>IF(H6104="","",H6104&amp;I6104)</f>
        <v/>
      </c>
      <c r="S6104" s="22" t="str">
        <f>IF(C6104="","",C6104&amp;I6104)</f>
        <v/>
      </c>
      <c r="T6104" t="str">
        <f>IF(OR(C6104="",I6104&lt;&gt;"ENTRADA"),"",TEXT(B6104,"AAMMDD")&amp;"-"&amp;TEXT(VALUE(SUBSTITUTE(A6104,"MOV-","")),"000"))</f>
        <v/>
      </c>
    </row>
    <row r="6105" spans="18:20">
      <c r="R6105" s="22" t="str">
        <f>IF(H6105="","",H6105&amp;I6105)</f>
        <v/>
      </c>
      <c r="S6105" s="22" t="str">
        <f>IF(C6105="","",C6105&amp;I6105)</f>
        <v/>
      </c>
      <c r="T6105" t="str">
        <f>IF(OR(C6105="",I6105&lt;&gt;"ENTRADA"),"",TEXT(B6105,"AAMMDD")&amp;"-"&amp;TEXT(VALUE(SUBSTITUTE(A6105,"MOV-","")),"000"))</f>
        <v/>
      </c>
    </row>
    <row r="6106" spans="18:20">
      <c r="R6106" s="22" t="str">
        <f>IF(H6106="","",H6106&amp;I6106)</f>
        <v/>
      </c>
      <c r="S6106" s="22" t="str">
        <f>IF(C6106="","",C6106&amp;I6106)</f>
        <v/>
      </c>
      <c r="T6106" t="str">
        <f>IF(OR(C6106="",I6106&lt;&gt;"ENTRADA"),"",TEXT(B6106,"AAMMDD")&amp;"-"&amp;TEXT(VALUE(SUBSTITUTE(A6106,"MOV-","")),"000"))</f>
        <v/>
      </c>
    </row>
    <row r="6107" spans="18:20">
      <c r="R6107" s="22" t="str">
        <f>IF(H6107="","",H6107&amp;I6107)</f>
        <v/>
      </c>
      <c r="S6107" s="22" t="str">
        <f>IF(C6107="","",C6107&amp;I6107)</f>
        <v/>
      </c>
      <c r="T6107" t="str">
        <f>IF(OR(C6107="",I6107&lt;&gt;"ENTRADA"),"",TEXT(B6107,"AAMMDD")&amp;"-"&amp;TEXT(VALUE(SUBSTITUTE(A6107,"MOV-","")),"000"))</f>
        <v/>
      </c>
    </row>
    <row r="6108" spans="18:20">
      <c r="R6108" s="22" t="str">
        <f>IF(H6108="","",H6108&amp;I6108)</f>
        <v/>
      </c>
      <c r="S6108" s="22" t="str">
        <f>IF(C6108="","",C6108&amp;I6108)</f>
        <v/>
      </c>
      <c r="T6108" t="str">
        <f>IF(OR(C6108="",I6108&lt;&gt;"ENTRADA"),"",TEXT(B6108,"AAMMDD")&amp;"-"&amp;TEXT(VALUE(SUBSTITUTE(A6108,"MOV-","")),"000"))</f>
        <v/>
      </c>
    </row>
    <row r="6109" spans="18:20">
      <c r="R6109" s="22" t="str">
        <f>IF(H6109="","",H6109&amp;I6109)</f>
        <v/>
      </c>
      <c r="S6109" s="22" t="str">
        <f>IF(C6109="","",C6109&amp;I6109)</f>
        <v/>
      </c>
      <c r="T6109" t="str">
        <f>IF(OR(C6109="",I6109&lt;&gt;"ENTRADA"),"",TEXT(B6109,"AAMMDD")&amp;"-"&amp;TEXT(VALUE(SUBSTITUTE(A6109,"MOV-","")),"000"))</f>
        <v/>
      </c>
    </row>
    <row r="6110" spans="18:20">
      <c r="R6110" s="22" t="str">
        <f>IF(H6110="","",H6110&amp;I6110)</f>
        <v/>
      </c>
      <c r="S6110" s="22" t="str">
        <f>IF(C6110="","",C6110&amp;I6110)</f>
        <v/>
      </c>
      <c r="T6110" t="str">
        <f>IF(OR(C6110="",I6110&lt;&gt;"ENTRADA"),"",TEXT(B6110,"AAMMDD")&amp;"-"&amp;TEXT(VALUE(SUBSTITUTE(A6110,"MOV-","")),"000"))</f>
        <v/>
      </c>
    </row>
    <row r="6111" spans="18:20">
      <c r="R6111" s="22" t="str">
        <f>IF(H6111="","",H6111&amp;I6111)</f>
        <v/>
      </c>
      <c r="S6111" s="22" t="str">
        <f>IF(C6111="","",C6111&amp;I6111)</f>
        <v/>
      </c>
      <c r="T6111" t="str">
        <f>IF(OR(C6111="",I6111&lt;&gt;"ENTRADA"),"",TEXT(B6111,"AAMMDD")&amp;"-"&amp;TEXT(VALUE(SUBSTITUTE(A6111,"MOV-","")),"000"))</f>
        <v/>
      </c>
    </row>
    <row r="6112" spans="18:20">
      <c r="R6112" s="22" t="str">
        <f>IF(H6112="","",H6112&amp;I6112)</f>
        <v/>
      </c>
      <c r="S6112" s="22" t="str">
        <f>IF(C6112="","",C6112&amp;I6112)</f>
        <v/>
      </c>
      <c r="T6112" t="str">
        <f>IF(OR(C6112="",I6112&lt;&gt;"ENTRADA"),"",TEXT(B6112,"AAMMDD")&amp;"-"&amp;TEXT(VALUE(SUBSTITUTE(A6112,"MOV-","")),"000"))</f>
        <v/>
      </c>
    </row>
    <row r="6113" spans="18:20">
      <c r="R6113" s="22" t="str">
        <f>IF(H6113="","",H6113&amp;I6113)</f>
        <v/>
      </c>
      <c r="S6113" s="22" t="str">
        <f>IF(C6113="","",C6113&amp;I6113)</f>
        <v/>
      </c>
      <c r="T6113" t="str">
        <f>IF(OR(C6113="",I6113&lt;&gt;"ENTRADA"),"",TEXT(B6113,"AAMMDD")&amp;"-"&amp;TEXT(VALUE(SUBSTITUTE(A6113,"MOV-","")),"000"))</f>
        <v/>
      </c>
    </row>
    <row r="6114" spans="18:20">
      <c r="R6114" s="22" t="str">
        <f>IF(H6114="","",H6114&amp;I6114)</f>
        <v/>
      </c>
      <c r="S6114" s="22" t="str">
        <f>IF(C6114="","",C6114&amp;I6114)</f>
        <v/>
      </c>
      <c r="T6114" t="str">
        <f>IF(OR(C6114="",I6114&lt;&gt;"ENTRADA"),"",TEXT(B6114,"AAMMDD")&amp;"-"&amp;TEXT(VALUE(SUBSTITUTE(A6114,"MOV-","")),"000"))</f>
        <v/>
      </c>
    </row>
    <row r="6115" spans="18:20">
      <c r="R6115" s="22" t="str">
        <f>IF(H6115="","",H6115&amp;I6115)</f>
        <v/>
      </c>
      <c r="S6115" s="22" t="str">
        <f>IF(C6115="","",C6115&amp;I6115)</f>
        <v/>
      </c>
      <c r="T6115" t="str">
        <f>IF(OR(C6115="",I6115&lt;&gt;"ENTRADA"),"",TEXT(B6115,"AAMMDD")&amp;"-"&amp;TEXT(VALUE(SUBSTITUTE(A6115,"MOV-","")),"000"))</f>
        <v/>
      </c>
    </row>
    <row r="6116" spans="18:20">
      <c r="R6116" s="22" t="str">
        <f>IF(H6116="","",H6116&amp;I6116)</f>
        <v/>
      </c>
      <c r="S6116" s="22" t="str">
        <f>IF(C6116="","",C6116&amp;I6116)</f>
        <v/>
      </c>
      <c r="T6116" t="str">
        <f>IF(OR(C6116="",I6116&lt;&gt;"ENTRADA"),"",TEXT(B6116,"AAMMDD")&amp;"-"&amp;TEXT(VALUE(SUBSTITUTE(A6116,"MOV-","")),"000"))</f>
        <v/>
      </c>
    </row>
    <row r="6117" spans="18:20">
      <c r="R6117" s="22" t="str">
        <f>IF(H6117="","",H6117&amp;I6117)</f>
        <v/>
      </c>
      <c r="S6117" s="22" t="str">
        <f>IF(C6117="","",C6117&amp;I6117)</f>
        <v/>
      </c>
      <c r="T6117" t="str">
        <f>IF(OR(C6117="",I6117&lt;&gt;"ENTRADA"),"",TEXT(B6117,"AAMMDD")&amp;"-"&amp;TEXT(VALUE(SUBSTITUTE(A6117,"MOV-","")),"000"))</f>
        <v/>
      </c>
    </row>
    <row r="6118" spans="18:20">
      <c r="R6118" s="22" t="str">
        <f>IF(H6118="","",H6118&amp;I6118)</f>
        <v/>
      </c>
      <c r="S6118" s="22" t="str">
        <f>IF(C6118="","",C6118&amp;I6118)</f>
        <v/>
      </c>
      <c r="T6118" t="str">
        <f>IF(OR(C6118="",I6118&lt;&gt;"ENTRADA"),"",TEXT(B6118,"AAMMDD")&amp;"-"&amp;TEXT(VALUE(SUBSTITUTE(A6118,"MOV-","")),"000"))</f>
        <v/>
      </c>
    </row>
    <row r="6119" spans="18:20">
      <c r="R6119" s="22" t="str">
        <f>IF(H6119="","",H6119&amp;I6119)</f>
        <v/>
      </c>
      <c r="S6119" s="22" t="str">
        <f>IF(C6119="","",C6119&amp;I6119)</f>
        <v/>
      </c>
      <c r="T6119" t="str">
        <f>IF(OR(C6119="",I6119&lt;&gt;"ENTRADA"),"",TEXT(B6119,"AAMMDD")&amp;"-"&amp;TEXT(VALUE(SUBSTITUTE(A6119,"MOV-","")),"000"))</f>
        <v/>
      </c>
    </row>
    <row r="6120" spans="18:20">
      <c r="R6120" s="22" t="str">
        <f>IF(H6120="","",H6120&amp;I6120)</f>
        <v/>
      </c>
      <c r="S6120" s="22" t="str">
        <f>IF(C6120="","",C6120&amp;I6120)</f>
        <v/>
      </c>
      <c r="T6120" t="str">
        <f>IF(OR(C6120="",I6120&lt;&gt;"ENTRADA"),"",TEXT(B6120,"AAMMDD")&amp;"-"&amp;TEXT(VALUE(SUBSTITUTE(A6120,"MOV-","")),"000"))</f>
        <v/>
      </c>
    </row>
    <row r="6121" spans="18:20">
      <c r="R6121" s="22" t="str">
        <f>IF(H6121="","",H6121&amp;I6121)</f>
        <v/>
      </c>
      <c r="S6121" s="22" t="str">
        <f>IF(C6121="","",C6121&amp;I6121)</f>
        <v/>
      </c>
      <c r="T6121" t="str">
        <f>IF(OR(C6121="",I6121&lt;&gt;"ENTRADA"),"",TEXT(B6121,"AAMMDD")&amp;"-"&amp;TEXT(VALUE(SUBSTITUTE(A6121,"MOV-","")),"000"))</f>
        <v/>
      </c>
    </row>
    <row r="6122" spans="18:20">
      <c r="R6122" s="22" t="str">
        <f>IF(H6122="","",H6122&amp;I6122)</f>
        <v/>
      </c>
      <c r="S6122" s="22" t="str">
        <f>IF(C6122="","",C6122&amp;I6122)</f>
        <v/>
      </c>
      <c r="T6122" t="str">
        <f>IF(OR(C6122="",I6122&lt;&gt;"ENTRADA"),"",TEXT(B6122,"AAMMDD")&amp;"-"&amp;TEXT(VALUE(SUBSTITUTE(A6122,"MOV-","")),"000"))</f>
        <v/>
      </c>
    </row>
    <row r="6123" spans="18:20">
      <c r="R6123" s="22" t="str">
        <f>IF(H6123="","",H6123&amp;I6123)</f>
        <v/>
      </c>
      <c r="S6123" s="22" t="str">
        <f>IF(C6123="","",C6123&amp;I6123)</f>
        <v/>
      </c>
      <c r="T6123" t="str">
        <f>IF(OR(C6123="",I6123&lt;&gt;"ENTRADA"),"",TEXT(B6123,"AAMMDD")&amp;"-"&amp;TEXT(VALUE(SUBSTITUTE(A6123,"MOV-","")),"000"))</f>
        <v/>
      </c>
    </row>
    <row r="6124" spans="18:20">
      <c r="R6124" s="22" t="str">
        <f>IF(H6124="","",H6124&amp;I6124)</f>
        <v/>
      </c>
      <c r="S6124" s="22" t="str">
        <f>IF(C6124="","",C6124&amp;I6124)</f>
        <v/>
      </c>
      <c r="T6124" t="str">
        <f>IF(OR(C6124="",I6124&lt;&gt;"ENTRADA"),"",TEXT(B6124,"AAMMDD")&amp;"-"&amp;TEXT(VALUE(SUBSTITUTE(A6124,"MOV-","")),"000"))</f>
        <v/>
      </c>
    </row>
    <row r="6125" spans="18:20">
      <c r="R6125" s="22" t="str">
        <f>IF(H6125="","",H6125&amp;I6125)</f>
        <v/>
      </c>
      <c r="S6125" s="22" t="str">
        <f>IF(C6125="","",C6125&amp;I6125)</f>
        <v/>
      </c>
      <c r="T6125" t="str">
        <f>IF(OR(C6125="",I6125&lt;&gt;"ENTRADA"),"",TEXT(B6125,"AAMMDD")&amp;"-"&amp;TEXT(VALUE(SUBSTITUTE(A6125,"MOV-","")),"000"))</f>
        <v/>
      </c>
    </row>
    <row r="6126" spans="18:20">
      <c r="R6126" s="22" t="str">
        <f>IF(H6126="","",H6126&amp;I6126)</f>
        <v/>
      </c>
      <c r="S6126" s="22" t="str">
        <f>IF(C6126="","",C6126&amp;I6126)</f>
        <v/>
      </c>
      <c r="T6126" t="str">
        <f>IF(OR(C6126="",I6126&lt;&gt;"ENTRADA"),"",TEXT(B6126,"AAMMDD")&amp;"-"&amp;TEXT(VALUE(SUBSTITUTE(A6126,"MOV-","")),"000"))</f>
        <v/>
      </c>
    </row>
    <row r="6127" spans="18:20">
      <c r="R6127" s="22" t="str">
        <f>IF(H6127="","",H6127&amp;I6127)</f>
        <v/>
      </c>
      <c r="S6127" s="22" t="str">
        <f>IF(C6127="","",C6127&amp;I6127)</f>
        <v/>
      </c>
      <c r="T6127" t="str">
        <f>IF(OR(C6127="",I6127&lt;&gt;"ENTRADA"),"",TEXT(B6127,"AAMMDD")&amp;"-"&amp;TEXT(VALUE(SUBSTITUTE(A6127,"MOV-","")),"000"))</f>
        <v/>
      </c>
    </row>
    <row r="6128" spans="18:20">
      <c r="R6128" s="22" t="str">
        <f>IF(H6128="","",H6128&amp;I6128)</f>
        <v/>
      </c>
      <c r="S6128" s="22" t="str">
        <f>IF(C6128="","",C6128&amp;I6128)</f>
        <v/>
      </c>
      <c r="T6128" t="str">
        <f>IF(OR(C6128="",I6128&lt;&gt;"ENTRADA"),"",TEXT(B6128,"AAMMDD")&amp;"-"&amp;TEXT(VALUE(SUBSTITUTE(A6128,"MOV-","")),"000"))</f>
        <v/>
      </c>
    </row>
    <row r="6129" spans="18:20">
      <c r="R6129" s="22" t="str">
        <f>IF(H6129="","",H6129&amp;I6129)</f>
        <v/>
      </c>
      <c r="S6129" s="22" t="str">
        <f>IF(C6129="","",C6129&amp;I6129)</f>
        <v/>
      </c>
      <c r="T6129" t="str">
        <f>IF(OR(C6129="",I6129&lt;&gt;"ENTRADA"),"",TEXT(B6129,"AAMMDD")&amp;"-"&amp;TEXT(VALUE(SUBSTITUTE(A6129,"MOV-","")),"000"))</f>
        <v/>
      </c>
    </row>
    <row r="6130" spans="18:20">
      <c r="R6130" s="22" t="str">
        <f>IF(H6130="","",H6130&amp;I6130)</f>
        <v/>
      </c>
      <c r="S6130" s="22" t="str">
        <f>IF(C6130="","",C6130&amp;I6130)</f>
        <v/>
      </c>
      <c r="T6130" t="str">
        <f>IF(OR(C6130="",I6130&lt;&gt;"ENTRADA"),"",TEXT(B6130,"AAMMDD")&amp;"-"&amp;TEXT(VALUE(SUBSTITUTE(A6130,"MOV-","")),"000"))</f>
        <v/>
      </c>
    </row>
    <row r="6131" spans="18:20">
      <c r="R6131" s="22" t="str">
        <f>IF(H6131="","",H6131&amp;I6131)</f>
        <v/>
      </c>
      <c r="S6131" s="22" t="str">
        <f>IF(C6131="","",C6131&amp;I6131)</f>
        <v/>
      </c>
      <c r="T6131" t="str">
        <f>IF(OR(C6131="",I6131&lt;&gt;"ENTRADA"),"",TEXT(B6131,"AAMMDD")&amp;"-"&amp;TEXT(VALUE(SUBSTITUTE(A6131,"MOV-","")),"000"))</f>
        <v/>
      </c>
    </row>
    <row r="6132" spans="18:20">
      <c r="R6132" s="22" t="str">
        <f>IF(H6132="","",H6132&amp;I6132)</f>
        <v/>
      </c>
      <c r="S6132" s="22" t="str">
        <f>IF(C6132="","",C6132&amp;I6132)</f>
        <v/>
      </c>
      <c r="T6132" t="str">
        <f>IF(OR(C6132="",I6132&lt;&gt;"ENTRADA"),"",TEXT(B6132,"AAMMDD")&amp;"-"&amp;TEXT(VALUE(SUBSTITUTE(A6132,"MOV-","")),"000"))</f>
        <v/>
      </c>
    </row>
    <row r="6133" spans="18:20">
      <c r="R6133" s="22" t="str">
        <f>IF(H6133="","",H6133&amp;I6133)</f>
        <v/>
      </c>
      <c r="S6133" s="22" t="str">
        <f>IF(C6133="","",C6133&amp;I6133)</f>
        <v/>
      </c>
      <c r="T6133" t="str">
        <f>IF(OR(C6133="",I6133&lt;&gt;"ENTRADA"),"",TEXT(B6133,"AAMMDD")&amp;"-"&amp;TEXT(VALUE(SUBSTITUTE(A6133,"MOV-","")),"000"))</f>
        <v/>
      </c>
    </row>
    <row r="6134" spans="18:20">
      <c r="R6134" s="22" t="str">
        <f>IF(H6134="","",H6134&amp;I6134)</f>
        <v/>
      </c>
      <c r="S6134" s="22" t="str">
        <f>IF(C6134="","",C6134&amp;I6134)</f>
        <v/>
      </c>
      <c r="T6134" t="str">
        <f>IF(OR(C6134="",I6134&lt;&gt;"ENTRADA"),"",TEXT(B6134,"AAMMDD")&amp;"-"&amp;TEXT(VALUE(SUBSTITUTE(A6134,"MOV-","")),"000"))</f>
        <v/>
      </c>
    </row>
    <row r="6135" spans="18:20">
      <c r="R6135" s="22" t="str">
        <f>IF(H6135="","",H6135&amp;I6135)</f>
        <v/>
      </c>
      <c r="S6135" s="22" t="str">
        <f>IF(C6135="","",C6135&amp;I6135)</f>
        <v/>
      </c>
      <c r="T6135" t="str">
        <f>IF(OR(C6135="",I6135&lt;&gt;"ENTRADA"),"",TEXT(B6135,"AAMMDD")&amp;"-"&amp;TEXT(VALUE(SUBSTITUTE(A6135,"MOV-","")),"000"))</f>
        <v/>
      </c>
    </row>
    <row r="6136" spans="18:20">
      <c r="R6136" s="22" t="str">
        <f>IF(H6136="","",H6136&amp;I6136)</f>
        <v/>
      </c>
      <c r="S6136" s="22" t="str">
        <f>IF(C6136="","",C6136&amp;I6136)</f>
        <v/>
      </c>
      <c r="T6136" t="str">
        <f>IF(OR(C6136="",I6136&lt;&gt;"ENTRADA"),"",TEXT(B6136,"AAMMDD")&amp;"-"&amp;TEXT(VALUE(SUBSTITUTE(A6136,"MOV-","")),"000"))</f>
        <v/>
      </c>
    </row>
    <row r="6137" spans="18:20">
      <c r="R6137" s="22" t="str">
        <f>IF(H6137="","",H6137&amp;I6137)</f>
        <v/>
      </c>
      <c r="S6137" s="22" t="str">
        <f>IF(C6137="","",C6137&amp;I6137)</f>
        <v/>
      </c>
      <c r="T6137" t="str">
        <f>IF(OR(C6137="",I6137&lt;&gt;"ENTRADA"),"",TEXT(B6137,"AAMMDD")&amp;"-"&amp;TEXT(VALUE(SUBSTITUTE(A6137,"MOV-","")),"000"))</f>
        <v/>
      </c>
    </row>
    <row r="6138" spans="18:20">
      <c r="R6138" s="22" t="str">
        <f>IF(H6138="","",H6138&amp;I6138)</f>
        <v/>
      </c>
      <c r="S6138" s="22" t="str">
        <f>IF(C6138="","",C6138&amp;I6138)</f>
        <v/>
      </c>
      <c r="T6138" t="str">
        <f>IF(OR(C6138="",I6138&lt;&gt;"ENTRADA"),"",TEXT(B6138,"AAMMDD")&amp;"-"&amp;TEXT(VALUE(SUBSTITUTE(A6138,"MOV-","")),"000"))</f>
        <v/>
      </c>
    </row>
    <row r="6139" spans="18:20">
      <c r="R6139" s="22" t="str">
        <f>IF(H6139="","",H6139&amp;I6139)</f>
        <v/>
      </c>
      <c r="S6139" s="22" t="str">
        <f>IF(C6139="","",C6139&amp;I6139)</f>
        <v/>
      </c>
      <c r="T6139" t="str">
        <f>IF(OR(C6139="",I6139&lt;&gt;"ENTRADA"),"",TEXT(B6139,"AAMMDD")&amp;"-"&amp;TEXT(VALUE(SUBSTITUTE(A6139,"MOV-","")),"000"))</f>
        <v/>
      </c>
    </row>
    <row r="6140" spans="18:20">
      <c r="R6140" s="22" t="str">
        <f>IF(H6140="","",H6140&amp;I6140)</f>
        <v/>
      </c>
      <c r="S6140" s="22" t="str">
        <f>IF(C6140="","",C6140&amp;I6140)</f>
        <v/>
      </c>
      <c r="T6140" t="str">
        <f>IF(OR(C6140="",I6140&lt;&gt;"ENTRADA"),"",TEXT(B6140,"AAMMDD")&amp;"-"&amp;TEXT(VALUE(SUBSTITUTE(A6140,"MOV-","")),"000"))</f>
        <v/>
      </c>
    </row>
    <row r="6141" spans="18:20">
      <c r="R6141" s="22" t="str">
        <f>IF(H6141="","",H6141&amp;I6141)</f>
        <v/>
      </c>
      <c r="S6141" s="22" t="str">
        <f>IF(C6141="","",C6141&amp;I6141)</f>
        <v/>
      </c>
      <c r="T6141" t="str">
        <f>IF(OR(C6141="",I6141&lt;&gt;"ENTRADA"),"",TEXT(B6141,"AAMMDD")&amp;"-"&amp;TEXT(VALUE(SUBSTITUTE(A6141,"MOV-","")),"000"))</f>
        <v/>
      </c>
    </row>
    <row r="6142" spans="18:20">
      <c r="R6142" s="22" t="str">
        <f>IF(H6142="","",H6142&amp;I6142)</f>
        <v/>
      </c>
      <c r="S6142" s="22" t="str">
        <f>IF(C6142="","",C6142&amp;I6142)</f>
        <v/>
      </c>
      <c r="T6142" t="str">
        <f>IF(OR(C6142="",I6142&lt;&gt;"ENTRADA"),"",TEXT(B6142,"AAMMDD")&amp;"-"&amp;TEXT(VALUE(SUBSTITUTE(A6142,"MOV-","")),"000"))</f>
        <v/>
      </c>
    </row>
    <row r="6143" spans="18:20">
      <c r="R6143" s="22" t="str">
        <f>IF(H6143="","",H6143&amp;I6143)</f>
        <v/>
      </c>
      <c r="S6143" s="22" t="str">
        <f>IF(C6143="","",C6143&amp;I6143)</f>
        <v/>
      </c>
      <c r="T6143" t="str">
        <f>IF(OR(C6143="",I6143&lt;&gt;"ENTRADA"),"",TEXT(B6143,"AAMMDD")&amp;"-"&amp;TEXT(VALUE(SUBSTITUTE(A6143,"MOV-","")),"000"))</f>
        <v/>
      </c>
    </row>
    <row r="6144" spans="18:20">
      <c r="R6144" s="22" t="str">
        <f>IF(H6144="","",H6144&amp;I6144)</f>
        <v/>
      </c>
      <c r="S6144" s="22" t="str">
        <f>IF(C6144="","",C6144&amp;I6144)</f>
        <v/>
      </c>
      <c r="T6144" t="str">
        <f>IF(OR(C6144="",I6144&lt;&gt;"ENTRADA"),"",TEXT(B6144,"AAMMDD")&amp;"-"&amp;TEXT(VALUE(SUBSTITUTE(A6144,"MOV-","")),"000"))</f>
        <v/>
      </c>
    </row>
    <row r="6145" spans="18:20">
      <c r="R6145" s="22" t="str">
        <f>IF(H6145="","",H6145&amp;I6145)</f>
        <v/>
      </c>
      <c r="S6145" s="22" t="str">
        <f>IF(C6145="","",C6145&amp;I6145)</f>
        <v/>
      </c>
      <c r="T6145" t="str">
        <f>IF(OR(C6145="",I6145&lt;&gt;"ENTRADA"),"",TEXT(B6145,"AAMMDD")&amp;"-"&amp;TEXT(VALUE(SUBSTITUTE(A6145,"MOV-","")),"000"))</f>
        <v/>
      </c>
    </row>
    <row r="6146" spans="18:20">
      <c r="R6146" s="22" t="str">
        <f>IF(H6146="","",H6146&amp;I6146)</f>
        <v/>
      </c>
      <c r="S6146" s="22" t="str">
        <f>IF(C6146="","",C6146&amp;I6146)</f>
        <v/>
      </c>
      <c r="T6146" t="str">
        <f>IF(OR(C6146="",I6146&lt;&gt;"ENTRADA"),"",TEXT(B6146,"AAMMDD")&amp;"-"&amp;TEXT(VALUE(SUBSTITUTE(A6146,"MOV-","")),"000"))</f>
        <v/>
      </c>
    </row>
    <row r="6147" spans="18:20">
      <c r="R6147" s="22" t="str">
        <f>IF(H6147="","",H6147&amp;I6147)</f>
        <v/>
      </c>
      <c r="S6147" s="22" t="str">
        <f>IF(C6147="","",C6147&amp;I6147)</f>
        <v/>
      </c>
      <c r="T6147" t="str">
        <f>IF(OR(C6147="",I6147&lt;&gt;"ENTRADA"),"",TEXT(B6147,"AAMMDD")&amp;"-"&amp;TEXT(VALUE(SUBSTITUTE(A6147,"MOV-","")),"000"))</f>
        <v/>
      </c>
    </row>
    <row r="6148" spans="18:20">
      <c r="R6148" s="22" t="str">
        <f>IF(H6148="","",H6148&amp;I6148)</f>
        <v/>
      </c>
      <c r="S6148" s="22" t="str">
        <f>IF(C6148="","",C6148&amp;I6148)</f>
        <v/>
      </c>
      <c r="T6148" t="str">
        <f>IF(OR(C6148="",I6148&lt;&gt;"ENTRADA"),"",TEXT(B6148,"AAMMDD")&amp;"-"&amp;TEXT(VALUE(SUBSTITUTE(A6148,"MOV-","")),"000"))</f>
        <v/>
      </c>
    </row>
    <row r="6149" spans="18:20">
      <c r="R6149" s="22" t="str">
        <f>IF(H6149="","",H6149&amp;I6149)</f>
        <v/>
      </c>
      <c r="S6149" s="22" t="str">
        <f>IF(C6149="","",C6149&amp;I6149)</f>
        <v/>
      </c>
      <c r="T6149" t="str">
        <f>IF(OR(C6149="",I6149&lt;&gt;"ENTRADA"),"",TEXT(B6149,"AAMMDD")&amp;"-"&amp;TEXT(VALUE(SUBSTITUTE(A6149,"MOV-","")),"000"))</f>
        <v/>
      </c>
    </row>
    <row r="6150" spans="18:20">
      <c r="R6150" s="22" t="str">
        <f>IF(H6150="","",H6150&amp;I6150)</f>
        <v/>
      </c>
      <c r="S6150" s="22" t="str">
        <f>IF(C6150="","",C6150&amp;I6150)</f>
        <v/>
      </c>
      <c r="T6150" t="str">
        <f>IF(OR(C6150="",I6150&lt;&gt;"ENTRADA"),"",TEXT(B6150,"AAMMDD")&amp;"-"&amp;TEXT(VALUE(SUBSTITUTE(A6150,"MOV-","")),"000"))</f>
        <v/>
      </c>
    </row>
    <row r="6151" spans="18:20">
      <c r="R6151" s="22" t="str">
        <f>IF(H6151="","",H6151&amp;I6151)</f>
        <v/>
      </c>
      <c r="S6151" s="22" t="str">
        <f>IF(C6151="","",C6151&amp;I6151)</f>
        <v/>
      </c>
      <c r="T6151" t="str">
        <f>IF(OR(C6151="",I6151&lt;&gt;"ENTRADA"),"",TEXT(B6151,"AAMMDD")&amp;"-"&amp;TEXT(VALUE(SUBSTITUTE(A6151,"MOV-","")),"000"))</f>
        <v/>
      </c>
    </row>
    <row r="6152" spans="18:20">
      <c r="R6152" s="22" t="str">
        <f>IF(H6152="","",H6152&amp;I6152)</f>
        <v/>
      </c>
      <c r="S6152" s="22" t="str">
        <f>IF(C6152="","",C6152&amp;I6152)</f>
        <v/>
      </c>
      <c r="T6152" t="str">
        <f>IF(OR(C6152="",I6152&lt;&gt;"ENTRADA"),"",TEXT(B6152,"AAMMDD")&amp;"-"&amp;TEXT(VALUE(SUBSTITUTE(A6152,"MOV-","")),"000"))</f>
        <v/>
      </c>
    </row>
    <row r="6153" spans="18:20">
      <c r="R6153" s="22" t="str">
        <f>IF(H6153="","",H6153&amp;I6153)</f>
        <v/>
      </c>
      <c r="S6153" s="22" t="str">
        <f>IF(C6153="","",C6153&amp;I6153)</f>
        <v/>
      </c>
      <c r="T6153" t="str">
        <f>IF(OR(C6153="",I6153&lt;&gt;"ENTRADA"),"",TEXT(B6153,"AAMMDD")&amp;"-"&amp;TEXT(VALUE(SUBSTITUTE(A6153,"MOV-","")),"000"))</f>
        <v/>
      </c>
    </row>
    <row r="6154" spans="18:20">
      <c r="R6154" s="22" t="str">
        <f>IF(H6154="","",H6154&amp;I6154)</f>
        <v/>
      </c>
      <c r="S6154" s="22" t="str">
        <f>IF(C6154="","",C6154&amp;I6154)</f>
        <v/>
      </c>
      <c r="T6154" t="str">
        <f>IF(OR(C6154="",I6154&lt;&gt;"ENTRADA"),"",TEXT(B6154,"AAMMDD")&amp;"-"&amp;TEXT(VALUE(SUBSTITUTE(A6154,"MOV-","")),"000"))</f>
        <v/>
      </c>
    </row>
    <row r="6155" spans="18:20">
      <c r="R6155" s="22" t="str">
        <f>IF(H6155="","",H6155&amp;I6155)</f>
        <v/>
      </c>
      <c r="S6155" s="22" t="str">
        <f>IF(C6155="","",C6155&amp;I6155)</f>
        <v/>
      </c>
      <c r="T6155" t="str">
        <f>IF(OR(C6155="",I6155&lt;&gt;"ENTRADA"),"",TEXT(B6155,"AAMMDD")&amp;"-"&amp;TEXT(VALUE(SUBSTITUTE(A6155,"MOV-","")),"000"))</f>
        <v/>
      </c>
    </row>
    <row r="6156" spans="18:20">
      <c r="R6156" s="22" t="str">
        <f>IF(H6156="","",H6156&amp;I6156)</f>
        <v/>
      </c>
      <c r="S6156" s="22" t="str">
        <f>IF(C6156="","",C6156&amp;I6156)</f>
        <v/>
      </c>
      <c r="T6156" t="str">
        <f>IF(OR(C6156="",I6156&lt;&gt;"ENTRADA"),"",TEXT(B6156,"AAMMDD")&amp;"-"&amp;TEXT(VALUE(SUBSTITUTE(A6156,"MOV-","")),"000"))</f>
        <v/>
      </c>
    </row>
    <row r="6157" spans="18:20">
      <c r="R6157" s="22" t="str">
        <f>IF(H6157="","",H6157&amp;I6157)</f>
        <v/>
      </c>
      <c r="S6157" s="22" t="str">
        <f>IF(C6157="","",C6157&amp;I6157)</f>
        <v/>
      </c>
      <c r="T6157" t="str">
        <f>IF(OR(C6157="",I6157&lt;&gt;"ENTRADA"),"",TEXT(B6157,"AAMMDD")&amp;"-"&amp;TEXT(VALUE(SUBSTITUTE(A6157,"MOV-","")),"000"))</f>
        <v/>
      </c>
    </row>
    <row r="6158" spans="18:20">
      <c r="R6158" s="22" t="str">
        <f>IF(H6158="","",H6158&amp;I6158)</f>
        <v/>
      </c>
      <c r="S6158" s="22" t="str">
        <f>IF(C6158="","",C6158&amp;I6158)</f>
        <v/>
      </c>
      <c r="T6158" t="str">
        <f>IF(OR(C6158="",I6158&lt;&gt;"ENTRADA"),"",TEXT(B6158,"AAMMDD")&amp;"-"&amp;TEXT(VALUE(SUBSTITUTE(A6158,"MOV-","")),"000"))</f>
        <v/>
      </c>
    </row>
    <row r="6159" spans="18:20">
      <c r="R6159" s="22" t="str">
        <f>IF(H6159="","",H6159&amp;I6159)</f>
        <v/>
      </c>
      <c r="S6159" s="22" t="str">
        <f>IF(C6159="","",C6159&amp;I6159)</f>
        <v/>
      </c>
      <c r="T6159" t="str">
        <f>IF(OR(C6159="",I6159&lt;&gt;"ENTRADA"),"",TEXT(B6159,"AAMMDD")&amp;"-"&amp;TEXT(VALUE(SUBSTITUTE(A6159,"MOV-","")),"000"))</f>
        <v/>
      </c>
    </row>
    <row r="6160" spans="18:20">
      <c r="R6160" s="22" t="str">
        <f>IF(H6160="","",H6160&amp;I6160)</f>
        <v/>
      </c>
      <c r="S6160" s="22" t="str">
        <f>IF(C6160="","",C6160&amp;I6160)</f>
        <v/>
      </c>
      <c r="T6160" t="str">
        <f>IF(OR(C6160="",I6160&lt;&gt;"ENTRADA"),"",TEXT(B6160,"AAMMDD")&amp;"-"&amp;TEXT(VALUE(SUBSTITUTE(A6160,"MOV-","")),"000"))</f>
        <v/>
      </c>
    </row>
    <row r="6161" spans="18:20">
      <c r="R6161" s="22" t="str">
        <f>IF(H6161="","",H6161&amp;I6161)</f>
        <v/>
      </c>
      <c r="S6161" s="22" t="str">
        <f>IF(C6161="","",C6161&amp;I6161)</f>
        <v/>
      </c>
      <c r="T6161" t="str">
        <f>IF(OR(C6161="",I6161&lt;&gt;"ENTRADA"),"",TEXT(B6161,"AAMMDD")&amp;"-"&amp;TEXT(VALUE(SUBSTITUTE(A6161,"MOV-","")),"000"))</f>
        <v/>
      </c>
    </row>
    <row r="6162" spans="18:20">
      <c r="R6162" s="22" t="str">
        <f>IF(H6162="","",H6162&amp;I6162)</f>
        <v/>
      </c>
      <c r="S6162" s="22" t="str">
        <f>IF(C6162="","",C6162&amp;I6162)</f>
        <v/>
      </c>
      <c r="T6162" t="str">
        <f>IF(OR(C6162="",I6162&lt;&gt;"ENTRADA"),"",TEXT(B6162,"AAMMDD")&amp;"-"&amp;TEXT(VALUE(SUBSTITUTE(A6162,"MOV-","")),"000"))</f>
        <v/>
      </c>
    </row>
    <row r="6163" spans="18:20">
      <c r="R6163" s="22" t="str">
        <f>IF(H6163="","",H6163&amp;I6163)</f>
        <v/>
      </c>
      <c r="S6163" s="22" t="str">
        <f>IF(C6163="","",C6163&amp;I6163)</f>
        <v/>
      </c>
      <c r="T6163" t="str">
        <f>IF(OR(C6163="",I6163&lt;&gt;"ENTRADA"),"",TEXT(B6163,"AAMMDD")&amp;"-"&amp;TEXT(VALUE(SUBSTITUTE(A6163,"MOV-","")),"000"))</f>
        <v/>
      </c>
    </row>
    <row r="6164" spans="18:20">
      <c r="R6164" s="22" t="str">
        <f>IF(H6164="","",H6164&amp;I6164)</f>
        <v/>
      </c>
      <c r="S6164" s="22" t="str">
        <f>IF(C6164="","",C6164&amp;I6164)</f>
        <v/>
      </c>
      <c r="T6164" t="str">
        <f>IF(OR(C6164="",I6164&lt;&gt;"ENTRADA"),"",TEXT(B6164,"AAMMDD")&amp;"-"&amp;TEXT(VALUE(SUBSTITUTE(A6164,"MOV-","")),"000"))</f>
        <v/>
      </c>
    </row>
    <row r="6165" spans="18:20">
      <c r="R6165" s="22" t="str">
        <f>IF(H6165="","",H6165&amp;I6165)</f>
        <v/>
      </c>
      <c r="S6165" s="22" t="str">
        <f>IF(C6165="","",C6165&amp;I6165)</f>
        <v/>
      </c>
      <c r="T6165" t="str">
        <f>IF(OR(C6165="",I6165&lt;&gt;"ENTRADA"),"",TEXT(B6165,"AAMMDD")&amp;"-"&amp;TEXT(VALUE(SUBSTITUTE(A6165,"MOV-","")),"000"))</f>
        <v/>
      </c>
    </row>
    <row r="6166" spans="18:20">
      <c r="R6166" s="22" t="str">
        <f>IF(H6166="","",H6166&amp;I6166)</f>
        <v/>
      </c>
      <c r="S6166" s="22" t="str">
        <f>IF(C6166="","",C6166&amp;I6166)</f>
        <v/>
      </c>
      <c r="T6166" t="str">
        <f>IF(OR(C6166="",I6166&lt;&gt;"ENTRADA"),"",TEXT(B6166,"AAMMDD")&amp;"-"&amp;TEXT(VALUE(SUBSTITUTE(A6166,"MOV-","")),"000"))</f>
        <v/>
      </c>
    </row>
    <row r="6167" spans="18:20">
      <c r="R6167" s="22" t="str">
        <f>IF(H6167="","",H6167&amp;I6167)</f>
        <v/>
      </c>
      <c r="S6167" s="22" t="str">
        <f>IF(C6167="","",C6167&amp;I6167)</f>
        <v/>
      </c>
      <c r="T6167" t="str">
        <f>IF(OR(C6167="",I6167&lt;&gt;"ENTRADA"),"",TEXT(B6167,"AAMMDD")&amp;"-"&amp;TEXT(VALUE(SUBSTITUTE(A6167,"MOV-","")),"000"))</f>
        <v/>
      </c>
    </row>
    <row r="6168" spans="18:20">
      <c r="R6168" s="22" t="str">
        <f>IF(H6168="","",H6168&amp;I6168)</f>
        <v/>
      </c>
      <c r="S6168" s="22" t="str">
        <f>IF(C6168="","",C6168&amp;I6168)</f>
        <v/>
      </c>
      <c r="T6168" t="str">
        <f>IF(OR(C6168="",I6168&lt;&gt;"ENTRADA"),"",TEXT(B6168,"AAMMDD")&amp;"-"&amp;TEXT(VALUE(SUBSTITUTE(A6168,"MOV-","")),"000"))</f>
        <v/>
      </c>
    </row>
    <row r="6169" spans="18:20">
      <c r="R6169" s="22" t="str">
        <f>IF(H6169="","",H6169&amp;I6169)</f>
        <v/>
      </c>
      <c r="S6169" s="22" t="str">
        <f>IF(C6169="","",C6169&amp;I6169)</f>
        <v/>
      </c>
      <c r="T6169" t="str">
        <f>IF(OR(C6169="",I6169&lt;&gt;"ENTRADA"),"",TEXT(B6169,"AAMMDD")&amp;"-"&amp;TEXT(VALUE(SUBSTITUTE(A6169,"MOV-","")),"000"))</f>
        <v/>
      </c>
    </row>
    <row r="6170" spans="18:20">
      <c r="R6170" s="22" t="str">
        <f>IF(H6170="","",H6170&amp;I6170)</f>
        <v/>
      </c>
      <c r="S6170" s="22" t="str">
        <f>IF(C6170="","",C6170&amp;I6170)</f>
        <v/>
      </c>
      <c r="T6170" t="str">
        <f>IF(OR(C6170="",I6170&lt;&gt;"ENTRADA"),"",TEXT(B6170,"AAMMDD")&amp;"-"&amp;TEXT(VALUE(SUBSTITUTE(A6170,"MOV-","")),"000"))</f>
        <v/>
      </c>
    </row>
    <row r="6171" spans="18:20">
      <c r="R6171" s="22" t="str">
        <f>IF(H6171="","",H6171&amp;I6171)</f>
        <v/>
      </c>
      <c r="S6171" s="22" t="str">
        <f>IF(C6171="","",C6171&amp;I6171)</f>
        <v/>
      </c>
      <c r="T6171" t="str">
        <f>IF(OR(C6171="",I6171&lt;&gt;"ENTRADA"),"",TEXT(B6171,"AAMMDD")&amp;"-"&amp;TEXT(VALUE(SUBSTITUTE(A6171,"MOV-","")),"000"))</f>
        <v/>
      </c>
    </row>
    <row r="6172" spans="18:20">
      <c r="R6172" s="22" t="str">
        <f>IF(H6172="","",H6172&amp;I6172)</f>
        <v/>
      </c>
      <c r="S6172" s="22" t="str">
        <f>IF(C6172="","",C6172&amp;I6172)</f>
        <v/>
      </c>
      <c r="T6172" t="str">
        <f>IF(OR(C6172="",I6172&lt;&gt;"ENTRADA"),"",TEXT(B6172,"AAMMDD")&amp;"-"&amp;TEXT(VALUE(SUBSTITUTE(A6172,"MOV-","")),"000"))</f>
        <v/>
      </c>
    </row>
    <row r="6173" spans="18:20">
      <c r="R6173" s="22" t="str">
        <f>IF(H6173="","",H6173&amp;I6173)</f>
        <v/>
      </c>
      <c r="S6173" s="22" t="str">
        <f>IF(C6173="","",C6173&amp;I6173)</f>
        <v/>
      </c>
      <c r="T6173" t="str">
        <f>IF(OR(C6173="",I6173&lt;&gt;"ENTRADA"),"",TEXT(B6173,"AAMMDD")&amp;"-"&amp;TEXT(VALUE(SUBSTITUTE(A6173,"MOV-","")),"000"))</f>
        <v/>
      </c>
    </row>
    <row r="6174" spans="18:20">
      <c r="R6174" s="22" t="str">
        <f>IF(H6174="","",H6174&amp;I6174)</f>
        <v/>
      </c>
      <c r="S6174" s="22" t="str">
        <f>IF(C6174="","",C6174&amp;I6174)</f>
        <v/>
      </c>
      <c r="T6174" t="str">
        <f>IF(OR(C6174="",I6174&lt;&gt;"ENTRADA"),"",TEXT(B6174,"AAMMDD")&amp;"-"&amp;TEXT(VALUE(SUBSTITUTE(A6174,"MOV-","")),"000"))</f>
        <v/>
      </c>
    </row>
    <row r="6175" spans="18:20">
      <c r="R6175" s="22" t="str">
        <f>IF(H6175="","",H6175&amp;I6175)</f>
        <v/>
      </c>
      <c r="S6175" s="22" t="str">
        <f>IF(C6175="","",C6175&amp;I6175)</f>
        <v/>
      </c>
      <c r="T6175" t="str">
        <f>IF(OR(C6175="",I6175&lt;&gt;"ENTRADA"),"",TEXT(B6175,"AAMMDD")&amp;"-"&amp;TEXT(VALUE(SUBSTITUTE(A6175,"MOV-","")),"000"))</f>
        <v/>
      </c>
    </row>
    <row r="6176" spans="18:20">
      <c r="R6176" s="22" t="str">
        <f>IF(H6176="","",H6176&amp;I6176)</f>
        <v/>
      </c>
      <c r="S6176" s="22" t="str">
        <f>IF(C6176="","",C6176&amp;I6176)</f>
        <v/>
      </c>
      <c r="T6176" t="str">
        <f>IF(OR(C6176="",I6176&lt;&gt;"ENTRADA"),"",TEXT(B6176,"AAMMDD")&amp;"-"&amp;TEXT(VALUE(SUBSTITUTE(A6176,"MOV-","")),"000"))</f>
        <v/>
      </c>
    </row>
    <row r="6177" spans="18:20">
      <c r="R6177" s="22" t="str">
        <f>IF(H6177="","",H6177&amp;I6177)</f>
        <v/>
      </c>
      <c r="S6177" s="22" t="str">
        <f>IF(C6177="","",C6177&amp;I6177)</f>
        <v/>
      </c>
      <c r="T6177" t="str">
        <f>IF(OR(C6177="",I6177&lt;&gt;"ENTRADA"),"",TEXT(B6177,"AAMMDD")&amp;"-"&amp;TEXT(VALUE(SUBSTITUTE(A6177,"MOV-","")),"000"))</f>
        <v/>
      </c>
    </row>
    <row r="6178" spans="18:20">
      <c r="R6178" s="22" t="str">
        <f>IF(H6178="","",H6178&amp;I6178)</f>
        <v/>
      </c>
      <c r="S6178" s="22" t="str">
        <f>IF(C6178="","",C6178&amp;I6178)</f>
        <v/>
      </c>
      <c r="T6178" t="str">
        <f>IF(OR(C6178="",I6178&lt;&gt;"ENTRADA"),"",TEXT(B6178,"AAMMDD")&amp;"-"&amp;TEXT(VALUE(SUBSTITUTE(A6178,"MOV-","")),"000"))</f>
        <v/>
      </c>
    </row>
    <row r="6179" spans="18:20">
      <c r="R6179" s="22" t="str">
        <f>IF(H6179="","",H6179&amp;I6179)</f>
        <v/>
      </c>
      <c r="S6179" s="22" t="str">
        <f>IF(C6179="","",C6179&amp;I6179)</f>
        <v/>
      </c>
      <c r="T6179" t="str">
        <f>IF(OR(C6179="",I6179&lt;&gt;"ENTRADA"),"",TEXT(B6179,"AAMMDD")&amp;"-"&amp;TEXT(VALUE(SUBSTITUTE(A6179,"MOV-","")),"000"))</f>
        <v/>
      </c>
    </row>
    <row r="6180" spans="18:20">
      <c r="R6180" s="22" t="str">
        <f>IF(H6180="","",H6180&amp;I6180)</f>
        <v/>
      </c>
      <c r="S6180" s="22" t="str">
        <f>IF(C6180="","",C6180&amp;I6180)</f>
        <v/>
      </c>
      <c r="T6180" t="str">
        <f>IF(OR(C6180="",I6180&lt;&gt;"ENTRADA"),"",TEXT(B6180,"AAMMDD")&amp;"-"&amp;TEXT(VALUE(SUBSTITUTE(A6180,"MOV-","")),"000"))</f>
        <v/>
      </c>
    </row>
    <row r="6181" spans="18:20">
      <c r="R6181" s="22" t="str">
        <f>IF(H6181="","",H6181&amp;I6181)</f>
        <v/>
      </c>
      <c r="S6181" s="22" t="str">
        <f>IF(C6181="","",C6181&amp;I6181)</f>
        <v/>
      </c>
      <c r="T6181" t="str">
        <f>IF(OR(C6181="",I6181&lt;&gt;"ENTRADA"),"",TEXT(B6181,"AAMMDD")&amp;"-"&amp;TEXT(VALUE(SUBSTITUTE(A6181,"MOV-","")),"000"))</f>
        <v/>
      </c>
    </row>
    <row r="6182" spans="18:20">
      <c r="R6182" s="33"/>
      <c r="S6182" s="33"/>
      <c r="T6182" t="str">
        <f>IF(C6182="","",UPPER(LEFT(SUBSTITUTE(C6182," ",""),3))&amp;"-"&amp;TEXT(B6182,"AAMMDD")&amp;"-1")</f>
        <v/>
      </c>
    </row>
    <row r="6183" spans="18:20">
      <c r="R6183" s="22" t="str">
        <f>IF(H6183="","",H6183&amp;I6183)</f>
        <v/>
      </c>
      <c r="S6183" s="22" t="str">
        <f>IF(C6183="","",C6183&amp;I6183)</f>
        <v/>
      </c>
      <c r="T6183" t="str">
        <f>IF(OR(C6183="",I6183&lt;&gt;"ENTRADA"),"",TEXT(B6183,"AAMMDD")&amp;"-"&amp;TEXT(VALUE(SUBSTITUTE(A6183,"MOV-","")),"000"))</f>
        <v/>
      </c>
    </row>
    <row r="6184" spans="18:20">
      <c r="R6184" s="22" t="str">
        <f>IF(H6184="","",H6184&amp;I6184)</f>
        <v/>
      </c>
      <c r="S6184" s="22" t="str">
        <f>IF(C6184="","",C6184&amp;I6184)</f>
        <v/>
      </c>
      <c r="T6184" t="str">
        <f>IF(OR(C6184="",I6184&lt;&gt;"ENTRADA"),"",TEXT(B6184,"AAMMDD")&amp;"-"&amp;TEXT(VALUE(SUBSTITUTE(A6184,"MOV-","")),"000"))</f>
        <v/>
      </c>
    </row>
    <row r="6185" spans="18:20">
      <c r="R6185" s="22" t="str">
        <f>IF(H6185="","",H6185&amp;I6185)</f>
        <v/>
      </c>
      <c r="S6185" s="22" t="str">
        <f>IF(C6185="","",C6185&amp;I6185)</f>
        <v/>
      </c>
      <c r="T6185" t="str">
        <f>IF(OR(C6185="",I6185&lt;&gt;"ENTRADA"),"",TEXT(B6185,"AAMMDD")&amp;"-"&amp;TEXT(VALUE(SUBSTITUTE(A6185,"MOV-","")),"000"))</f>
        <v/>
      </c>
    </row>
    <row r="6186" spans="18:20">
      <c r="R6186" s="22" t="str">
        <f>IF(H6186="","",H6186&amp;I6186)</f>
        <v/>
      </c>
      <c r="S6186" s="22" t="str">
        <f>IF(C6186="","",C6186&amp;I6186)</f>
        <v/>
      </c>
      <c r="T6186" t="str">
        <f>IF(OR(C6186="",I6186&lt;&gt;"ENTRADA"),"",TEXT(B6186,"AAMMDD")&amp;"-"&amp;TEXT(VALUE(SUBSTITUTE(A6186,"MOV-","")),"000"))</f>
        <v/>
      </c>
    </row>
    <row r="6187" spans="18:20">
      <c r="R6187" s="22" t="str">
        <f>IF(H6187="","",H6187&amp;I6187)</f>
        <v/>
      </c>
      <c r="S6187" s="22" t="str">
        <f>IF(C6187="","",C6187&amp;I6187)</f>
        <v/>
      </c>
      <c r="T6187" t="str">
        <f>IF(OR(C6187="",I6187&lt;&gt;"ENTRADA"),"",TEXT(B6187,"AAMMDD")&amp;"-"&amp;TEXT(VALUE(SUBSTITUTE(A6187,"MOV-","")),"000"))</f>
        <v/>
      </c>
    </row>
    <row r="6188" spans="18:20">
      <c r="R6188" s="22" t="str">
        <f>IF(H6188="","",H6188&amp;I6188)</f>
        <v/>
      </c>
      <c r="S6188" s="22" t="str">
        <f>IF(C6188="","",C6188&amp;I6188)</f>
        <v/>
      </c>
      <c r="T6188" t="str">
        <f>IF(OR(C6188="",I6188&lt;&gt;"ENTRADA"),"",TEXT(B6188,"AAMMDD")&amp;"-"&amp;TEXT(VALUE(SUBSTITUTE(A6188,"MOV-","")),"000"))</f>
        <v/>
      </c>
    </row>
    <row r="6189" spans="18:20">
      <c r="R6189" s="22" t="str">
        <f>IF(H6189="","",H6189&amp;I6189)</f>
        <v/>
      </c>
      <c r="S6189" s="22" t="str">
        <f>IF(C6189="","",C6189&amp;I6189)</f>
        <v/>
      </c>
      <c r="T6189" t="str">
        <f>IF(OR(C6189="",I6189&lt;&gt;"ENTRADA"),"",TEXT(B6189,"AAMMDD")&amp;"-"&amp;TEXT(VALUE(SUBSTITUTE(A6189,"MOV-","")),"000"))</f>
        <v/>
      </c>
    </row>
    <row r="6190" spans="18:20">
      <c r="R6190" s="22" t="str">
        <f>IF(H6190="","",H6190&amp;I6190)</f>
        <v/>
      </c>
      <c r="S6190" s="22" t="str">
        <f>IF(C6190="","",C6190&amp;I6190)</f>
        <v/>
      </c>
      <c r="T6190" t="str">
        <f>IF(OR(C6190="",I6190&lt;&gt;"ENTRADA"),"",TEXT(B6190,"AAMMDD")&amp;"-"&amp;TEXT(VALUE(SUBSTITUTE(A6190,"MOV-","")),"000"))</f>
        <v/>
      </c>
    </row>
    <row r="6191" spans="18:20">
      <c r="R6191" s="22" t="str">
        <f>IF(H6191="","",H6191&amp;I6191)</f>
        <v/>
      </c>
      <c r="S6191" s="22" t="str">
        <f>IF(C6191="","",C6191&amp;I6191)</f>
        <v/>
      </c>
      <c r="T6191" t="str">
        <f>IF(OR(C6191="",I6191&lt;&gt;"ENTRADA"),"",TEXT(B6191,"AAMMDD")&amp;"-"&amp;TEXT(VALUE(SUBSTITUTE(A6191,"MOV-","")),"000"))</f>
        <v/>
      </c>
    </row>
    <row r="6192" spans="18:20">
      <c r="R6192" s="22" t="str">
        <f>IF(H6192="","",H6192&amp;I6192)</f>
        <v/>
      </c>
      <c r="S6192" s="22" t="str">
        <f>IF(C6192="","",C6192&amp;I6192)</f>
        <v/>
      </c>
      <c r="T6192" t="str">
        <f>IF(OR(C6192="",I6192&lt;&gt;"ENTRADA"),"",TEXT(B6192,"AAMMDD")&amp;"-"&amp;TEXT(VALUE(SUBSTITUTE(A6192,"MOV-","")),"000"))</f>
        <v/>
      </c>
    </row>
    <row r="6193" spans="18:20">
      <c r="R6193" s="22" t="str">
        <f>IF(H6193="","",H6193&amp;I6193)</f>
        <v/>
      </c>
      <c r="S6193" s="22" t="str">
        <f>IF(C6193="","",C6193&amp;I6193)</f>
        <v/>
      </c>
      <c r="T6193" t="str">
        <f>IF(OR(C6193="",I6193&lt;&gt;"ENTRADA"),"",TEXT(B6193,"AAMMDD")&amp;"-"&amp;TEXT(VALUE(SUBSTITUTE(A6193,"MOV-","")),"000"))</f>
        <v/>
      </c>
    </row>
    <row r="6194" spans="18:20">
      <c r="R6194" s="22" t="str">
        <f>IF(H6194="","",H6194&amp;I6194)</f>
        <v/>
      </c>
      <c r="S6194" s="22" t="str">
        <f>IF(C6194="","",C6194&amp;I6194)</f>
        <v/>
      </c>
      <c r="T6194" t="str">
        <f>IF(OR(C6194="",I6194&lt;&gt;"ENTRADA"),"",TEXT(B6194,"AAMMDD")&amp;"-"&amp;TEXT(VALUE(SUBSTITUTE(A6194,"MOV-","")),"000"))</f>
        <v/>
      </c>
    </row>
    <row r="6195" spans="18:20">
      <c r="R6195" s="22" t="str">
        <f>IF(H6195="","",H6195&amp;I6195)</f>
        <v/>
      </c>
      <c r="S6195" s="22" t="str">
        <f>IF(C6195="","",C6195&amp;I6195)</f>
        <v/>
      </c>
      <c r="T6195" t="str">
        <f>IF(OR(C6195="",I6195&lt;&gt;"ENTRADA"),"",TEXT(B6195,"AAMMDD")&amp;"-"&amp;TEXT(VALUE(SUBSTITUTE(A6195,"MOV-","")),"000"))</f>
        <v/>
      </c>
    </row>
    <row r="6196" spans="18:20">
      <c r="R6196" s="22" t="str">
        <f>IF(H6196="","",H6196&amp;I6196)</f>
        <v/>
      </c>
      <c r="S6196" s="22" t="str">
        <f>IF(C6196="","",C6196&amp;I6196)</f>
        <v/>
      </c>
      <c r="T6196" t="str">
        <f>IF(OR(C6196="",I6196&lt;&gt;"ENTRADA"),"",TEXT(B6196,"AAMMDD")&amp;"-"&amp;TEXT(VALUE(SUBSTITUTE(A6196,"MOV-","")),"000"))</f>
        <v/>
      </c>
    </row>
    <row r="6197" spans="18:20">
      <c r="R6197" s="22" t="str">
        <f>IF(H6197="","",H6197&amp;I6197)</f>
        <v/>
      </c>
      <c r="S6197" s="22" t="str">
        <f>IF(C6197="","",C6197&amp;I6197)</f>
        <v/>
      </c>
      <c r="T6197" t="str">
        <f>IF(OR(C6197="",I6197&lt;&gt;"ENTRADA"),"",TEXT(B6197,"AAMMDD")&amp;"-"&amp;TEXT(VALUE(SUBSTITUTE(A6197,"MOV-","")),"000"))</f>
        <v/>
      </c>
    </row>
    <row r="6198" spans="18:20">
      <c r="R6198" s="22" t="str">
        <f>IF(H6198="","",H6198&amp;I6198)</f>
        <v/>
      </c>
      <c r="S6198" s="22" t="str">
        <f>IF(C6198="","",C6198&amp;I6198)</f>
        <v/>
      </c>
      <c r="T6198" t="str">
        <f>IF(OR(C6198="",I6198&lt;&gt;"ENTRADA"),"",TEXT(B6198,"AAMMDD")&amp;"-"&amp;TEXT(VALUE(SUBSTITUTE(A6198,"MOV-","")),"000"))</f>
        <v/>
      </c>
    </row>
    <row r="6199" spans="18:20">
      <c r="R6199" s="22" t="str">
        <f>IF(H6199="","",H6199&amp;I6199)</f>
        <v/>
      </c>
      <c r="S6199" s="22" t="str">
        <f>IF(C6199="","",C6199&amp;I6199)</f>
        <v/>
      </c>
      <c r="T6199" t="str">
        <f>IF(OR(C6199="",I6199&lt;&gt;"ENTRADA"),"",TEXT(B6199,"AAMMDD")&amp;"-"&amp;TEXT(VALUE(SUBSTITUTE(A6199,"MOV-","")),"000"))</f>
        <v/>
      </c>
    </row>
    <row r="6200" spans="18:20">
      <c r="R6200" s="22" t="str">
        <f>IF(H6200="","",H6200&amp;I6200)</f>
        <v/>
      </c>
      <c r="S6200" s="22" t="str">
        <f>IF(C6200="","",C6200&amp;I6200)</f>
        <v/>
      </c>
      <c r="T6200" t="str">
        <f>IF(OR(C6200="",I6200&lt;&gt;"ENTRADA"),"",TEXT(B6200,"AAMMDD")&amp;"-"&amp;TEXT(VALUE(SUBSTITUTE(A6200,"MOV-","")),"000"))</f>
        <v/>
      </c>
    </row>
    <row r="6201" spans="18:20">
      <c r="R6201" s="22" t="str">
        <f>IF(H6201="","",H6201&amp;I6201)</f>
        <v/>
      </c>
      <c r="S6201" s="22" t="str">
        <f>IF(C6201="","",C6201&amp;I6201)</f>
        <v/>
      </c>
      <c r="T6201" t="str">
        <f>IF(OR(C6201="",I6201&lt;&gt;"ENTRADA"),"",TEXT(B6201,"AAMMDD")&amp;"-"&amp;TEXT(VALUE(SUBSTITUTE(A6201,"MOV-","")),"000"))</f>
        <v/>
      </c>
    </row>
    <row r="6202" spans="18:20">
      <c r="R6202" s="22" t="str">
        <f>IF(H6202="","",H6202&amp;I6202)</f>
        <v/>
      </c>
      <c r="S6202" s="22" t="str">
        <f>IF(C6202="","",C6202&amp;I6202)</f>
        <v/>
      </c>
      <c r="T6202" t="str">
        <f>IF(OR(C6202="",I6202&lt;&gt;"ENTRADA"),"",TEXT(B6202,"AAMMDD")&amp;"-"&amp;TEXT(VALUE(SUBSTITUTE(A6202,"MOV-","")),"000"))</f>
        <v/>
      </c>
    </row>
    <row r="6203" spans="18:20">
      <c r="R6203" s="22" t="str">
        <f>IF(H6203="","",H6203&amp;I6203)</f>
        <v/>
      </c>
      <c r="S6203" s="22" t="str">
        <f>IF(C6203="","",C6203&amp;I6203)</f>
        <v/>
      </c>
      <c r="T6203" t="str">
        <f>IF(OR(C6203="",I6203&lt;&gt;"ENTRADA"),"",TEXT(B6203,"AAMMDD")&amp;"-"&amp;TEXT(VALUE(SUBSTITUTE(A6203,"MOV-","")),"000"))</f>
        <v/>
      </c>
    </row>
    <row r="6204" spans="18:20">
      <c r="R6204" s="22" t="str">
        <f>IF(H6204="","",H6204&amp;I6204)</f>
        <v/>
      </c>
      <c r="S6204" s="22" t="str">
        <f>IF(C6204="","",C6204&amp;I6204)</f>
        <v/>
      </c>
      <c r="T6204" t="str">
        <f>IF(OR(C6204="",I6204&lt;&gt;"ENTRADA"),"",TEXT(B6204,"AAMMDD")&amp;"-"&amp;TEXT(VALUE(SUBSTITUTE(A6204,"MOV-","")),"000"))</f>
        <v/>
      </c>
    </row>
    <row r="6205" spans="18:20">
      <c r="R6205" s="22" t="str">
        <f>IF(H6205="","",H6205&amp;I6205)</f>
        <v/>
      </c>
      <c r="S6205" s="22" t="str">
        <f>IF(C6205="","",C6205&amp;I6205)</f>
        <v/>
      </c>
      <c r="T6205" t="str">
        <f>IF(OR(C6205="",I6205&lt;&gt;"ENTRADA"),"",TEXT(B6205,"AAMMDD")&amp;"-"&amp;TEXT(VALUE(SUBSTITUTE(A6205,"MOV-","")),"000"))</f>
        <v/>
      </c>
    </row>
    <row r="6206" spans="18:20">
      <c r="R6206" s="22" t="str">
        <f>IF(H6206="","",H6206&amp;I6206)</f>
        <v/>
      </c>
      <c r="S6206" s="22" t="str">
        <f>IF(C6206="","",C6206&amp;I6206)</f>
        <v/>
      </c>
      <c r="T6206" t="str">
        <f>IF(OR(C6206="",I6206&lt;&gt;"ENTRADA"),"",TEXT(B6206,"AAMMDD")&amp;"-"&amp;TEXT(VALUE(SUBSTITUTE(A6206,"MOV-","")),"000"))</f>
        <v/>
      </c>
    </row>
    <row r="6207" spans="18:20">
      <c r="R6207" s="22" t="str">
        <f>IF(H6207="","",H6207&amp;I6207)</f>
        <v/>
      </c>
      <c r="S6207" s="22" t="str">
        <f>IF(C6207="","",C6207&amp;I6207)</f>
        <v/>
      </c>
      <c r="T6207" t="str">
        <f>IF(OR(C6207="",I6207&lt;&gt;"ENTRADA"),"",TEXT(B6207,"AAMMDD")&amp;"-"&amp;TEXT(VALUE(SUBSTITUTE(A6207,"MOV-","")),"000"))</f>
        <v/>
      </c>
    </row>
    <row r="6208" spans="18:20">
      <c r="R6208" s="22" t="str">
        <f>IF(H6208="","",H6208&amp;I6208)</f>
        <v/>
      </c>
      <c r="S6208" s="22" t="str">
        <f>IF(C6208="","",C6208&amp;I6208)</f>
        <v/>
      </c>
      <c r="T6208" t="str">
        <f>IF(OR(C6208="",I6208&lt;&gt;"ENTRADA"),"",TEXT(B6208,"AAMMDD")&amp;"-"&amp;TEXT(VALUE(SUBSTITUTE(A6208,"MOV-","")),"000"))</f>
        <v/>
      </c>
    </row>
    <row r="6209" spans="18:20">
      <c r="R6209" s="22" t="str">
        <f>IF(H6209="","",H6209&amp;I6209)</f>
        <v/>
      </c>
      <c r="S6209" s="22" t="str">
        <f>IF(C6209="","",C6209&amp;I6209)</f>
        <v/>
      </c>
      <c r="T6209" t="str">
        <f>IF(OR(C6209="",I6209&lt;&gt;"ENTRADA"),"",TEXT(B6209,"AAMMDD")&amp;"-"&amp;TEXT(VALUE(SUBSTITUTE(A6209,"MOV-","")),"000"))</f>
        <v/>
      </c>
    </row>
    <row r="6210" spans="18:20">
      <c r="R6210" s="22" t="str">
        <f>IF(H6210="","",H6210&amp;I6210)</f>
        <v/>
      </c>
      <c r="S6210" s="22" t="str">
        <f>IF(C6210="","",C6210&amp;I6210)</f>
        <v/>
      </c>
      <c r="T6210" t="str">
        <f>IF(OR(C6210="",I6210&lt;&gt;"ENTRADA"),"",TEXT(B6210,"AAMMDD")&amp;"-"&amp;TEXT(VALUE(SUBSTITUTE(A6210,"MOV-","")),"000"))</f>
        <v/>
      </c>
    </row>
    <row r="6211" spans="18:20">
      <c r="R6211" s="22" t="str">
        <f>IF(H6211="","",H6211&amp;I6211)</f>
        <v/>
      </c>
      <c r="S6211" s="22" t="str">
        <f>IF(C6211="","",C6211&amp;I6211)</f>
        <v/>
      </c>
      <c r="T6211" t="str">
        <f>IF(OR(C6211="",I6211&lt;&gt;"ENTRADA"),"",TEXT(B6211,"AAMMDD")&amp;"-"&amp;TEXT(VALUE(SUBSTITUTE(A6211,"MOV-","")),"000"))</f>
        <v/>
      </c>
    </row>
    <row r="6212" spans="18:20">
      <c r="R6212" s="22" t="str">
        <f>IF(H6212="","",H6212&amp;I6212)</f>
        <v/>
      </c>
      <c r="S6212" s="22" t="str">
        <f>IF(C6212="","",C6212&amp;I6212)</f>
        <v/>
      </c>
      <c r="T6212" t="str">
        <f>IF(OR(C6212="",I6212&lt;&gt;"ENTRADA"),"",TEXT(B6212,"AAMMDD")&amp;"-"&amp;TEXT(VALUE(SUBSTITUTE(A6212,"MOV-","")),"000"))</f>
        <v/>
      </c>
    </row>
    <row r="6213" spans="18:20">
      <c r="R6213" s="22" t="str">
        <f>IF(H6213="","",H6213&amp;I6213)</f>
        <v/>
      </c>
      <c r="S6213" s="22" t="str">
        <f>IF(C6213="","",C6213&amp;I6213)</f>
        <v/>
      </c>
      <c r="T6213" t="str">
        <f>IF(OR(C6213="",I6213&lt;&gt;"ENTRADA"),"",TEXT(B6213,"AAMMDD")&amp;"-"&amp;TEXT(VALUE(SUBSTITUTE(A6213,"MOV-","")),"000"))</f>
        <v/>
      </c>
    </row>
    <row r="6214" spans="18:20">
      <c r="R6214" s="22" t="str">
        <f>IF(H6214="","",H6214&amp;I6214)</f>
        <v/>
      </c>
      <c r="S6214" s="22" t="str">
        <f>IF(C6214="","",C6214&amp;I6214)</f>
        <v/>
      </c>
      <c r="T6214" t="str">
        <f>IF(OR(C6214="",I6214&lt;&gt;"ENTRADA"),"",TEXT(B6214,"AAMMDD")&amp;"-"&amp;TEXT(VALUE(SUBSTITUTE(A6214,"MOV-","")),"000"))</f>
        <v/>
      </c>
    </row>
    <row r="6215" spans="18:20">
      <c r="R6215" s="22" t="str">
        <f>IF(H6215="","",H6215&amp;I6215)</f>
        <v/>
      </c>
      <c r="S6215" s="22" t="str">
        <f>IF(C6215="","",C6215&amp;I6215)</f>
        <v/>
      </c>
      <c r="T6215" t="str">
        <f>IF(OR(C6215="",I6215&lt;&gt;"ENTRADA"),"",TEXT(B6215,"AAMMDD")&amp;"-"&amp;TEXT(VALUE(SUBSTITUTE(A6215,"MOV-","")),"000"))</f>
        <v/>
      </c>
    </row>
    <row r="6216" spans="18:20">
      <c r="R6216" s="22" t="str">
        <f>IF(H6216="","",H6216&amp;I6216)</f>
        <v/>
      </c>
      <c r="S6216" s="22" t="str">
        <f>IF(C6216="","",C6216&amp;I6216)</f>
        <v/>
      </c>
      <c r="T6216" t="str">
        <f>IF(OR(C6216="",I6216&lt;&gt;"ENTRADA"),"",TEXT(B6216,"AAMMDD")&amp;"-"&amp;TEXT(VALUE(SUBSTITUTE(A6216,"MOV-","")),"000"))</f>
        <v/>
      </c>
    </row>
    <row r="6217" spans="18:20">
      <c r="R6217" s="22" t="str">
        <f>IF(H6217="","",H6217&amp;I6217)</f>
        <v/>
      </c>
      <c r="S6217" s="22" t="str">
        <f>IF(C6217="","",C6217&amp;I6217)</f>
        <v/>
      </c>
      <c r="T6217" t="str">
        <f>IF(OR(C6217="",I6217&lt;&gt;"ENTRADA"),"",TEXT(B6217,"AAMMDD")&amp;"-"&amp;TEXT(VALUE(SUBSTITUTE(A6217,"MOV-","")),"000"))</f>
        <v/>
      </c>
    </row>
    <row r="6218" spans="18:20">
      <c r="R6218" s="22" t="str">
        <f>IF(H6218="","",H6218&amp;I6218)</f>
        <v/>
      </c>
      <c r="S6218" s="22" t="str">
        <f>IF(C6218="","",C6218&amp;I6218)</f>
        <v/>
      </c>
      <c r="T6218" t="str">
        <f>IF(OR(C6218="",I6218&lt;&gt;"ENTRADA"),"",TEXT(B6218,"AAMMDD")&amp;"-"&amp;TEXT(VALUE(SUBSTITUTE(A6218,"MOV-","")),"000"))</f>
        <v/>
      </c>
    </row>
    <row r="6219" spans="18:20">
      <c r="R6219" s="22" t="str">
        <f>IF(H6219="","",H6219&amp;I6219)</f>
        <v/>
      </c>
      <c r="S6219" s="22" t="str">
        <f>IF(C6219="","",C6219&amp;I6219)</f>
        <v/>
      </c>
      <c r="T6219" t="str">
        <f>IF(OR(C6219="",I6219&lt;&gt;"ENTRADA"),"",TEXT(B6219,"AAMMDD")&amp;"-"&amp;TEXT(VALUE(SUBSTITUTE(A6219,"MOV-","")),"000"))</f>
        <v/>
      </c>
    </row>
    <row r="6220" spans="18:20">
      <c r="R6220" s="22" t="str">
        <f>IF(H6220="","",H6220&amp;I6220)</f>
        <v/>
      </c>
      <c r="S6220" s="22" t="str">
        <f>IF(C6220="","",C6220&amp;I6220)</f>
        <v/>
      </c>
      <c r="T6220" t="str">
        <f>IF(OR(C6220="",I6220&lt;&gt;"ENTRADA"),"",TEXT(B6220,"AAMMDD")&amp;"-"&amp;TEXT(VALUE(SUBSTITUTE(A6220,"MOV-","")),"000"))</f>
        <v/>
      </c>
    </row>
    <row r="6221" spans="18:20">
      <c r="R6221" s="22" t="str">
        <f>IF(H6221="","",H6221&amp;I6221)</f>
        <v/>
      </c>
      <c r="S6221" s="22" t="str">
        <f>IF(C6221="","",C6221&amp;I6221)</f>
        <v/>
      </c>
      <c r="T6221" t="str">
        <f>IF(OR(C6221="",I6221&lt;&gt;"ENTRADA"),"",TEXT(B6221,"AAMMDD")&amp;"-"&amp;TEXT(VALUE(SUBSTITUTE(A6221,"MOV-","")),"000"))</f>
        <v/>
      </c>
    </row>
    <row r="6222" spans="18:20">
      <c r="R6222" s="22" t="str">
        <f>IF(H6222="","",H6222&amp;I6222)</f>
        <v/>
      </c>
      <c r="S6222" s="22" t="str">
        <f>IF(C6222="","",C6222&amp;I6222)</f>
        <v/>
      </c>
      <c r="T6222" t="str">
        <f>IF(OR(C6222="",I6222&lt;&gt;"ENTRADA"),"",TEXT(B6222,"AAMMDD")&amp;"-"&amp;TEXT(VALUE(SUBSTITUTE(A6222,"MOV-","")),"000"))</f>
        <v/>
      </c>
    </row>
    <row r="6223" spans="18:20">
      <c r="R6223" s="22" t="str">
        <f>IF(H6223="","",H6223&amp;I6223)</f>
        <v/>
      </c>
      <c r="S6223" s="22" t="str">
        <f>IF(C6223="","",C6223&amp;I6223)</f>
        <v/>
      </c>
      <c r="T6223" t="str">
        <f>IF(OR(C6223="",I6223&lt;&gt;"ENTRADA"),"",TEXT(B6223,"AAMMDD")&amp;"-"&amp;TEXT(VALUE(SUBSTITUTE(A6223,"MOV-","")),"000"))</f>
        <v/>
      </c>
    </row>
    <row r="6224" spans="18:20">
      <c r="R6224" s="22" t="str">
        <f>IF(H6224="","",H6224&amp;I6224)</f>
        <v/>
      </c>
      <c r="S6224" s="22" t="str">
        <f>IF(C6224="","",C6224&amp;I6224)</f>
        <v/>
      </c>
      <c r="T6224" t="str">
        <f>IF(OR(C6224="",I6224&lt;&gt;"ENTRADA"),"",TEXT(B6224,"AAMMDD")&amp;"-"&amp;TEXT(VALUE(SUBSTITUTE(A6224,"MOV-","")),"000"))</f>
        <v/>
      </c>
    </row>
    <row r="6225" spans="18:20">
      <c r="R6225" s="22" t="str">
        <f>IF(H6225="","",H6225&amp;I6225)</f>
        <v/>
      </c>
      <c r="S6225" s="22" t="str">
        <f>IF(C6225="","",C6225&amp;I6225)</f>
        <v/>
      </c>
      <c r="T6225" t="str">
        <f>IF(OR(C6225="",I6225&lt;&gt;"ENTRADA"),"",TEXT(B6225,"AAMMDD")&amp;"-"&amp;TEXT(VALUE(SUBSTITUTE(A6225,"MOV-","")),"000"))</f>
        <v/>
      </c>
    </row>
    <row r="6226" spans="18:20">
      <c r="R6226" s="22" t="str">
        <f>IF(H6226="","",H6226&amp;I6226)</f>
        <v/>
      </c>
      <c r="S6226" s="22" t="str">
        <f>IF(C6226="","",C6226&amp;I6226)</f>
        <v/>
      </c>
      <c r="T6226" t="str">
        <f>IF(OR(C6226="",I6226&lt;&gt;"ENTRADA"),"",TEXT(B6226,"AAMMDD")&amp;"-"&amp;TEXT(VALUE(SUBSTITUTE(A6226,"MOV-","")),"000"))</f>
        <v/>
      </c>
    </row>
    <row r="6227" spans="18:20">
      <c r="R6227" s="22" t="str">
        <f>IF(H6227="","",H6227&amp;I6227)</f>
        <v/>
      </c>
      <c r="S6227" s="22" t="str">
        <f>IF(C6227="","",C6227&amp;I6227)</f>
        <v/>
      </c>
      <c r="T6227" t="str">
        <f>IF(OR(C6227="",I6227&lt;&gt;"ENTRADA"),"",TEXT(B6227,"AAMMDD")&amp;"-"&amp;TEXT(VALUE(SUBSTITUTE(A6227,"MOV-","")),"000"))</f>
        <v/>
      </c>
    </row>
    <row r="6228" spans="18:20">
      <c r="R6228" s="22" t="str">
        <f>IF(H6228="","",H6228&amp;I6228)</f>
        <v/>
      </c>
      <c r="S6228" s="22" t="str">
        <f>IF(C6228="","",C6228&amp;I6228)</f>
        <v/>
      </c>
      <c r="T6228" t="str">
        <f>IF(OR(C6228="",I6228&lt;&gt;"ENTRADA"),"",TEXT(B6228,"AAMMDD")&amp;"-"&amp;TEXT(VALUE(SUBSTITUTE(A6228,"MOV-","")),"000"))</f>
        <v/>
      </c>
    </row>
    <row r="6229" spans="18:20">
      <c r="R6229" s="22" t="str">
        <f>IF(H6229="","",H6229&amp;I6229)</f>
        <v/>
      </c>
      <c r="S6229" s="22" t="str">
        <f>IF(C6229="","",C6229&amp;I6229)</f>
        <v/>
      </c>
      <c r="T6229" t="str">
        <f>IF(OR(C6229="",I6229&lt;&gt;"ENTRADA"),"",TEXT(B6229,"AAMMDD")&amp;"-"&amp;TEXT(VALUE(SUBSTITUTE(A6229,"MOV-","")),"000"))</f>
        <v/>
      </c>
    </row>
    <row r="6230" spans="18:20">
      <c r="R6230" s="22" t="str">
        <f>IF(H6230="","",H6230&amp;I6230)</f>
        <v/>
      </c>
      <c r="S6230" s="22" t="str">
        <f>IF(C6230="","",C6230&amp;I6230)</f>
        <v/>
      </c>
      <c r="T6230" t="str">
        <f>IF(OR(C6230="",I6230&lt;&gt;"ENTRADA"),"",TEXT(B6230,"AAMMDD")&amp;"-"&amp;TEXT(VALUE(SUBSTITUTE(A6230,"MOV-","")),"000"))</f>
        <v/>
      </c>
    </row>
    <row r="6231" spans="18:20">
      <c r="R6231" s="22" t="str">
        <f>IF(H6231="","",H6231&amp;I6231)</f>
        <v/>
      </c>
      <c r="S6231" s="22" t="str">
        <f>IF(C6231="","",C6231&amp;I6231)</f>
        <v/>
      </c>
      <c r="T6231" t="str">
        <f>IF(OR(C6231="",I6231&lt;&gt;"ENTRADA"),"",TEXT(B6231,"AAMMDD")&amp;"-"&amp;TEXT(VALUE(SUBSTITUTE(A6231,"MOV-","")),"000"))</f>
        <v/>
      </c>
    </row>
    <row r="6232" spans="18:20">
      <c r="R6232" s="22" t="str">
        <f>IF(H6232="","",H6232&amp;I6232)</f>
        <v/>
      </c>
      <c r="S6232" s="22" t="str">
        <f>IF(C6232="","",C6232&amp;I6232)</f>
        <v/>
      </c>
      <c r="T6232" t="str">
        <f>IF(OR(C6232="",I6232&lt;&gt;"ENTRADA"),"",TEXT(B6232,"AAMMDD")&amp;"-"&amp;TEXT(VALUE(SUBSTITUTE(A6232,"MOV-","")),"000"))</f>
        <v/>
      </c>
    </row>
    <row r="6233" spans="18:20">
      <c r="R6233" s="22" t="str">
        <f>IF(H6233="","",H6233&amp;I6233)</f>
        <v/>
      </c>
      <c r="S6233" s="22" t="str">
        <f>IF(C6233="","",C6233&amp;I6233)</f>
        <v/>
      </c>
      <c r="T6233" t="str">
        <f>IF(OR(C6233="",I6233&lt;&gt;"ENTRADA"),"",TEXT(B6233,"AAMMDD")&amp;"-"&amp;TEXT(VALUE(SUBSTITUTE(A6233,"MOV-","")),"000"))</f>
        <v/>
      </c>
    </row>
    <row r="6234" spans="18:20">
      <c r="R6234" s="22" t="str">
        <f>IF(H6234="","",H6234&amp;I6234)</f>
        <v/>
      </c>
      <c r="S6234" s="22" t="str">
        <f>IF(C6234="","",C6234&amp;I6234)</f>
        <v/>
      </c>
      <c r="T6234" t="str">
        <f>IF(OR(C6234="",I6234&lt;&gt;"ENTRADA"),"",TEXT(B6234,"AAMMDD")&amp;"-"&amp;TEXT(VALUE(SUBSTITUTE(A6234,"MOV-","")),"000"))</f>
        <v/>
      </c>
    </row>
    <row r="6235" spans="18:20">
      <c r="R6235" s="22" t="str">
        <f>IF(H6235="","",H6235&amp;I6235)</f>
        <v/>
      </c>
      <c r="S6235" s="22" t="str">
        <f>IF(C6235="","",C6235&amp;I6235)</f>
        <v/>
      </c>
      <c r="T6235" t="str">
        <f>IF(OR(C6235="",I6235&lt;&gt;"ENTRADA"),"",TEXT(B6235,"AAMMDD")&amp;"-"&amp;TEXT(VALUE(SUBSTITUTE(A6235,"MOV-","")),"000"))</f>
        <v/>
      </c>
    </row>
    <row r="6236" spans="18:20">
      <c r="R6236" s="22" t="str">
        <f>IF(H6236="","",H6236&amp;I6236)</f>
        <v/>
      </c>
      <c r="S6236" s="22" t="str">
        <f>IF(C6236="","",C6236&amp;I6236)</f>
        <v/>
      </c>
      <c r="T6236" t="str">
        <f>IF(OR(C6236="",I6236&lt;&gt;"ENTRADA"),"",TEXT(B6236,"AAMMDD")&amp;"-"&amp;TEXT(VALUE(SUBSTITUTE(A6236,"MOV-","")),"000"))</f>
        <v/>
      </c>
    </row>
    <row r="6237" spans="18:20">
      <c r="R6237" s="22" t="str">
        <f>IF(H6237="","",H6237&amp;I6237)</f>
        <v/>
      </c>
      <c r="S6237" s="22" t="str">
        <f>IF(C6237="","",C6237&amp;I6237)</f>
        <v/>
      </c>
      <c r="T6237" t="str">
        <f>IF(OR(C6237="",I6237&lt;&gt;"ENTRADA"),"",TEXT(B6237,"AAMMDD")&amp;"-"&amp;TEXT(VALUE(SUBSTITUTE(A6237,"MOV-","")),"000"))</f>
        <v/>
      </c>
    </row>
    <row r="6238" spans="18:20">
      <c r="R6238" s="22" t="str">
        <f>IF(H6238="","",H6238&amp;I6238)</f>
        <v/>
      </c>
      <c r="S6238" s="22" t="str">
        <f>IF(C6238="","",C6238&amp;I6238)</f>
        <v/>
      </c>
      <c r="T6238" t="str">
        <f>IF(OR(C6238="",I6238&lt;&gt;"ENTRADA"),"",TEXT(B6238,"AAMMDD")&amp;"-"&amp;TEXT(VALUE(SUBSTITUTE(A6238,"MOV-","")),"000"))</f>
        <v/>
      </c>
    </row>
    <row r="6239" spans="18:20">
      <c r="R6239" s="22" t="str">
        <f>IF(H6239="","",H6239&amp;I6239)</f>
        <v/>
      </c>
      <c r="S6239" s="22" t="str">
        <f>IF(C6239="","",C6239&amp;I6239)</f>
        <v/>
      </c>
      <c r="T6239" t="str">
        <f>IF(OR(C6239="",I6239&lt;&gt;"ENTRADA"),"",TEXT(B6239,"AAMMDD")&amp;"-"&amp;TEXT(VALUE(SUBSTITUTE(A6239,"MOV-","")),"000"))</f>
        <v/>
      </c>
    </row>
    <row r="6240" spans="18:20">
      <c r="R6240" s="22" t="str">
        <f>IF(H6240="","",H6240&amp;I6240)</f>
        <v/>
      </c>
      <c r="S6240" s="22" t="str">
        <f>IF(C6240="","",C6240&amp;I6240)</f>
        <v/>
      </c>
      <c r="T6240" t="str">
        <f>IF(OR(C6240="",I6240&lt;&gt;"ENTRADA"),"",TEXT(B6240,"AAMMDD")&amp;"-"&amp;TEXT(VALUE(SUBSTITUTE(A6240,"MOV-","")),"000"))</f>
        <v/>
      </c>
    </row>
    <row r="6241" spans="18:20">
      <c r="R6241" s="22" t="str">
        <f>IF(H6241="","",H6241&amp;I6241)</f>
        <v/>
      </c>
      <c r="S6241" s="22" t="str">
        <f>IF(C6241="","",C6241&amp;I6241)</f>
        <v/>
      </c>
      <c r="T6241" t="str">
        <f>IF(OR(C6241="",I6241&lt;&gt;"ENTRADA"),"",TEXT(B6241,"AAMMDD")&amp;"-"&amp;TEXT(VALUE(SUBSTITUTE(A6241,"MOV-","")),"000"))</f>
        <v/>
      </c>
    </row>
    <row r="6242" spans="18:20">
      <c r="R6242" s="22" t="str">
        <f>IF(H6242="","",H6242&amp;I6242)</f>
        <v/>
      </c>
      <c r="S6242" s="22" t="str">
        <f>IF(C6242="","",C6242&amp;I6242)</f>
        <v/>
      </c>
      <c r="T6242" t="str">
        <f>IF(OR(C6242="",I6242&lt;&gt;"ENTRADA"),"",TEXT(B6242,"AAMMDD")&amp;"-"&amp;TEXT(VALUE(SUBSTITUTE(A6242,"MOV-","")),"000"))</f>
        <v/>
      </c>
    </row>
    <row r="6243" spans="18:20">
      <c r="R6243" s="22" t="str">
        <f>IF(H6243="","",H6243&amp;I6243)</f>
        <v/>
      </c>
      <c r="S6243" s="22" t="str">
        <f>IF(C6243="","",C6243&amp;I6243)</f>
        <v/>
      </c>
      <c r="T6243" t="str">
        <f>IF(OR(C6243="",I6243&lt;&gt;"ENTRADA"),"",TEXT(B6243,"AAMMDD")&amp;"-"&amp;TEXT(VALUE(SUBSTITUTE(A6243,"MOV-","")),"000"))</f>
        <v/>
      </c>
    </row>
    <row r="6244" spans="18:20">
      <c r="R6244" s="22" t="str">
        <f>IF(H6244="","",H6244&amp;I6244)</f>
        <v/>
      </c>
      <c r="S6244" s="22" t="str">
        <f>IF(C6244="","",C6244&amp;I6244)</f>
        <v/>
      </c>
      <c r="T6244" t="str">
        <f>IF(OR(C6244="",I6244&lt;&gt;"ENTRADA"),"",TEXT(B6244,"AAMMDD")&amp;"-"&amp;TEXT(VALUE(SUBSTITUTE(A6244,"MOV-","")),"000"))</f>
        <v/>
      </c>
    </row>
    <row r="6245" spans="18:20">
      <c r="R6245" s="22" t="str">
        <f>IF(H6245="","",H6245&amp;I6245)</f>
        <v/>
      </c>
      <c r="S6245" s="22" t="str">
        <f>IF(C6245="","",C6245&amp;I6245)</f>
        <v/>
      </c>
      <c r="T6245" t="str">
        <f>IF(OR(C6245="",I6245&lt;&gt;"ENTRADA"),"",TEXT(B6245,"AAMMDD")&amp;"-"&amp;TEXT(VALUE(SUBSTITUTE(A6245,"MOV-","")),"000"))</f>
        <v/>
      </c>
    </row>
    <row r="6246" spans="18:20">
      <c r="R6246" s="22" t="str">
        <f>IF(H6246="","",H6246&amp;I6246)</f>
        <v/>
      </c>
      <c r="S6246" s="22" t="str">
        <f>IF(C6246="","",C6246&amp;I6246)</f>
        <v/>
      </c>
      <c r="T6246" t="str">
        <f>IF(OR(C6246="",I6246&lt;&gt;"ENTRADA"),"",TEXT(B6246,"AAMMDD")&amp;"-"&amp;TEXT(VALUE(SUBSTITUTE(A6246,"MOV-","")),"000"))</f>
        <v/>
      </c>
    </row>
    <row r="6247" spans="18:20">
      <c r="R6247" s="22" t="str">
        <f>IF(H6247="","",H6247&amp;I6247)</f>
        <v/>
      </c>
      <c r="S6247" s="22" t="str">
        <f>IF(C6247="","",C6247&amp;I6247)</f>
        <v/>
      </c>
      <c r="T6247" t="str">
        <f>IF(OR(C6247="",I6247&lt;&gt;"ENTRADA"),"",TEXT(B6247,"AAMMDD")&amp;"-"&amp;TEXT(VALUE(SUBSTITUTE(A6247,"MOV-","")),"000"))</f>
        <v/>
      </c>
    </row>
    <row r="6248" spans="18:20">
      <c r="R6248" s="22" t="str">
        <f>IF(H6248="","",H6248&amp;I6248)</f>
        <v/>
      </c>
      <c r="S6248" s="22" t="str">
        <f>IF(C6248="","",C6248&amp;I6248)</f>
        <v/>
      </c>
      <c r="T6248" t="str">
        <f>IF(OR(C6248="",I6248&lt;&gt;"ENTRADA"),"",TEXT(B6248,"AAMMDD")&amp;"-"&amp;TEXT(VALUE(SUBSTITUTE(A6248,"MOV-","")),"000"))</f>
        <v/>
      </c>
    </row>
    <row r="6249" spans="18:20">
      <c r="R6249" s="22" t="str">
        <f>IF(H6249="","",H6249&amp;I6249)</f>
        <v/>
      </c>
      <c r="S6249" s="22" t="str">
        <f>IF(C6249="","",C6249&amp;I6249)</f>
        <v/>
      </c>
      <c r="T6249" t="str">
        <f>IF(OR(C6249="",I6249&lt;&gt;"ENTRADA"),"",TEXT(B6249,"AAMMDD")&amp;"-"&amp;TEXT(VALUE(SUBSTITUTE(A6249,"MOV-","")),"000"))</f>
        <v/>
      </c>
    </row>
    <row r="6250" spans="18:20">
      <c r="R6250" s="22" t="str">
        <f>IF(H6250="","",H6250&amp;I6250)</f>
        <v/>
      </c>
      <c r="S6250" s="22" t="str">
        <f>IF(C6250="","",C6250&amp;I6250)</f>
        <v/>
      </c>
      <c r="T6250" t="str">
        <f>IF(OR(C6250="",I6250&lt;&gt;"ENTRADA"),"",TEXT(B6250,"AAMMDD")&amp;"-"&amp;TEXT(VALUE(SUBSTITUTE(A6250,"MOV-","")),"000"))</f>
        <v/>
      </c>
    </row>
    <row r="6251" spans="18:20">
      <c r="R6251" s="22" t="str">
        <f>IF(H6251="","",H6251&amp;I6251)</f>
        <v/>
      </c>
      <c r="S6251" s="22" t="str">
        <f>IF(C6251="","",C6251&amp;I6251)</f>
        <v/>
      </c>
      <c r="T6251" t="str">
        <f>IF(OR(C6251="",I6251&lt;&gt;"ENTRADA"),"",TEXT(B6251,"AAMMDD")&amp;"-"&amp;TEXT(VALUE(SUBSTITUTE(A6251,"MOV-","")),"000"))</f>
        <v/>
      </c>
    </row>
    <row r="6252" spans="18:20">
      <c r="R6252" s="22" t="str">
        <f>IF(H6252="","",H6252&amp;I6252)</f>
        <v/>
      </c>
      <c r="S6252" s="22" t="str">
        <f>IF(C6252="","",C6252&amp;I6252)</f>
        <v/>
      </c>
      <c r="T6252" t="str">
        <f>IF(OR(C6252="",I6252&lt;&gt;"ENTRADA"),"",TEXT(B6252,"AAMMDD")&amp;"-"&amp;TEXT(VALUE(SUBSTITUTE(A6252,"MOV-","")),"000"))</f>
        <v/>
      </c>
    </row>
    <row r="6253" spans="18:20">
      <c r="R6253" s="22" t="str">
        <f>IF(H6253="","",H6253&amp;I6253)</f>
        <v/>
      </c>
      <c r="S6253" s="22" t="str">
        <f>IF(C6253="","",C6253&amp;I6253)</f>
        <v/>
      </c>
      <c r="T6253" t="str">
        <f>IF(OR(C6253="",I6253&lt;&gt;"ENTRADA"),"",TEXT(B6253,"AAMMDD")&amp;"-"&amp;TEXT(VALUE(SUBSTITUTE(A6253,"MOV-","")),"000"))</f>
        <v/>
      </c>
    </row>
    <row r="6254" spans="18:20">
      <c r="R6254" s="22" t="str">
        <f>IF(H6254="","",H6254&amp;I6254)</f>
        <v/>
      </c>
      <c r="S6254" s="22" t="str">
        <f>IF(C6254="","",C6254&amp;I6254)</f>
        <v/>
      </c>
      <c r="T6254" t="str">
        <f>IF(OR(C6254="",I6254&lt;&gt;"ENTRADA"),"",TEXT(B6254,"AAMMDD")&amp;"-"&amp;TEXT(VALUE(SUBSTITUTE(A6254,"MOV-","")),"000"))</f>
        <v/>
      </c>
    </row>
    <row r="6255" spans="18:20">
      <c r="R6255" s="22" t="str">
        <f>IF(H6255="","",H6255&amp;I6255)</f>
        <v/>
      </c>
      <c r="S6255" s="22" t="str">
        <f>IF(C6255="","",C6255&amp;I6255)</f>
        <v/>
      </c>
      <c r="T6255" t="str">
        <f>IF(OR(C6255="",I6255&lt;&gt;"ENTRADA"),"",TEXT(B6255,"AAMMDD")&amp;"-"&amp;TEXT(VALUE(SUBSTITUTE(A6255,"MOV-","")),"000"))</f>
        <v/>
      </c>
    </row>
    <row r="6256" spans="18:20">
      <c r="R6256" s="22" t="str">
        <f>IF(H6256="","",H6256&amp;I6256)</f>
        <v/>
      </c>
      <c r="S6256" s="22" t="str">
        <f>IF(C6256="","",C6256&amp;I6256)</f>
        <v/>
      </c>
      <c r="T6256" t="str">
        <f>IF(OR(C6256="",I6256&lt;&gt;"ENTRADA"),"",TEXT(B6256,"AAMMDD")&amp;"-"&amp;TEXT(VALUE(SUBSTITUTE(A6256,"MOV-","")),"000"))</f>
        <v/>
      </c>
    </row>
    <row r="6257" spans="18:20">
      <c r="R6257" s="22" t="str">
        <f>IF(H6257="","",H6257&amp;I6257)</f>
        <v/>
      </c>
      <c r="S6257" s="22" t="str">
        <f>IF(C6257="","",C6257&amp;I6257)</f>
        <v/>
      </c>
      <c r="T6257" t="str">
        <f>IF(OR(C6257="",I6257&lt;&gt;"ENTRADA"),"",TEXT(B6257,"AAMMDD")&amp;"-"&amp;TEXT(VALUE(SUBSTITUTE(A6257,"MOV-","")),"000"))</f>
        <v/>
      </c>
    </row>
    <row r="6258" spans="18:20">
      <c r="R6258" s="22" t="str">
        <f>IF(H6258="","",H6258&amp;I6258)</f>
        <v/>
      </c>
      <c r="S6258" s="22" t="str">
        <f>IF(C6258="","",C6258&amp;I6258)</f>
        <v/>
      </c>
      <c r="T6258" t="str">
        <f>IF(OR(C6258="",I6258&lt;&gt;"ENTRADA"),"",TEXT(B6258,"AAMMDD")&amp;"-"&amp;TEXT(VALUE(SUBSTITUTE(A6258,"MOV-","")),"000"))</f>
        <v/>
      </c>
    </row>
    <row r="6259" spans="18:20">
      <c r="R6259" s="22" t="str">
        <f>IF(H6259="","",H6259&amp;I6259)</f>
        <v/>
      </c>
      <c r="S6259" s="22" t="str">
        <f>IF(C6259="","",C6259&amp;I6259)</f>
        <v/>
      </c>
      <c r="T6259" t="str">
        <f>IF(OR(C6259="",I6259&lt;&gt;"ENTRADA"),"",TEXT(B6259,"AAMMDD")&amp;"-"&amp;TEXT(VALUE(SUBSTITUTE(A6259,"MOV-","")),"000"))</f>
        <v/>
      </c>
    </row>
    <row r="6260" spans="18:20">
      <c r="R6260" s="22" t="str">
        <f>IF(H6260="","",H6260&amp;I6260)</f>
        <v/>
      </c>
      <c r="S6260" s="22" t="str">
        <f>IF(C6260="","",C6260&amp;I6260)</f>
        <v/>
      </c>
      <c r="T6260" t="str">
        <f>IF(OR(C6260="",I6260&lt;&gt;"ENTRADA"),"",TEXT(B6260,"AAMMDD")&amp;"-"&amp;TEXT(VALUE(SUBSTITUTE(A6260,"MOV-","")),"000"))</f>
        <v/>
      </c>
    </row>
    <row r="6261" spans="18:20">
      <c r="R6261" s="22" t="str">
        <f>IF(H6261="","",H6261&amp;I6261)</f>
        <v/>
      </c>
      <c r="S6261" s="22" t="str">
        <f>IF(C6261="","",C6261&amp;I6261)</f>
        <v/>
      </c>
      <c r="T6261" t="str">
        <f>IF(OR(C6261="",I6261&lt;&gt;"ENTRADA"),"",TEXT(B6261,"AAMMDD")&amp;"-"&amp;TEXT(VALUE(SUBSTITUTE(A6261,"MOV-","")),"000"))</f>
        <v/>
      </c>
    </row>
    <row r="6262" spans="18:20">
      <c r="R6262" s="22" t="str">
        <f>IF(H6262="","",H6262&amp;I6262)</f>
        <v/>
      </c>
      <c r="S6262" s="22" t="str">
        <f>IF(C6262="","",C6262&amp;I6262)</f>
        <v/>
      </c>
      <c r="T6262" t="str">
        <f>IF(OR(C6262="",I6262&lt;&gt;"ENTRADA"),"",TEXT(B6262,"AAMMDD")&amp;"-"&amp;TEXT(VALUE(SUBSTITUTE(A6262,"MOV-","")),"000"))</f>
        <v/>
      </c>
    </row>
    <row r="6263" spans="18:20">
      <c r="R6263" s="22" t="str">
        <f>IF(H6263="","",H6263&amp;I6263)</f>
        <v/>
      </c>
      <c r="S6263" s="22" t="str">
        <f>IF(C6263="","",C6263&amp;I6263)</f>
        <v/>
      </c>
      <c r="T6263" t="str">
        <f>IF(OR(C6263="",I6263&lt;&gt;"ENTRADA"),"",TEXT(B6263,"AAMMDD")&amp;"-"&amp;TEXT(VALUE(SUBSTITUTE(A6263,"MOV-","")),"000"))</f>
        <v/>
      </c>
    </row>
    <row r="6264" spans="18:20">
      <c r="R6264" s="22" t="str">
        <f>IF(H6264="","",H6264&amp;I6264)</f>
        <v/>
      </c>
      <c r="S6264" s="22" t="str">
        <f>IF(C6264="","",C6264&amp;I6264)</f>
        <v/>
      </c>
      <c r="T6264" t="str">
        <f>IF(OR(C6264="",I6264&lt;&gt;"ENTRADA"),"",TEXT(B6264,"AAMMDD")&amp;"-"&amp;TEXT(VALUE(SUBSTITUTE(A6264,"MOV-","")),"000"))</f>
        <v/>
      </c>
    </row>
    <row r="6265" spans="18:20">
      <c r="R6265" s="22" t="str">
        <f>IF(H6265="","",H6265&amp;I6265)</f>
        <v/>
      </c>
      <c r="S6265" s="22" t="str">
        <f>IF(C6265="","",C6265&amp;I6265)</f>
        <v/>
      </c>
      <c r="T6265" t="str">
        <f>IF(OR(C6265="",I6265&lt;&gt;"ENTRADA"),"",TEXT(B6265,"AAMMDD")&amp;"-"&amp;TEXT(VALUE(SUBSTITUTE(A6265,"MOV-","")),"000"))</f>
        <v/>
      </c>
    </row>
    <row r="6266" spans="18:20">
      <c r="R6266" s="22" t="str">
        <f>IF(H6266="","",H6266&amp;I6266)</f>
        <v/>
      </c>
      <c r="S6266" s="22" t="str">
        <f>IF(C6266="","",C6266&amp;I6266)</f>
        <v/>
      </c>
      <c r="T6266" t="str">
        <f>IF(OR(C6266="",I6266&lt;&gt;"ENTRADA"),"",TEXT(B6266,"AAMMDD")&amp;"-"&amp;TEXT(VALUE(SUBSTITUTE(A6266,"MOV-","")),"000"))</f>
        <v/>
      </c>
    </row>
    <row r="6267" spans="18:20">
      <c r="R6267" s="22" t="str">
        <f>IF(H6267="","",H6267&amp;I6267)</f>
        <v/>
      </c>
      <c r="S6267" s="22" t="str">
        <f>IF(C6267="","",C6267&amp;I6267)</f>
        <v/>
      </c>
      <c r="T6267" t="str">
        <f>IF(OR(C6267="",I6267&lt;&gt;"ENTRADA"),"",TEXT(B6267,"AAMMDD")&amp;"-"&amp;TEXT(VALUE(SUBSTITUTE(A6267,"MOV-","")),"000"))</f>
        <v/>
      </c>
    </row>
    <row r="6268" spans="18:20">
      <c r="R6268" s="22" t="str">
        <f>IF(H6268="","",H6268&amp;I6268)</f>
        <v/>
      </c>
      <c r="S6268" s="22" t="str">
        <f>IF(C6268="","",C6268&amp;I6268)</f>
        <v/>
      </c>
      <c r="T6268" t="str">
        <f>IF(OR(C6268="",I6268&lt;&gt;"ENTRADA"),"",TEXT(B6268,"AAMMDD")&amp;"-"&amp;TEXT(VALUE(SUBSTITUTE(A6268,"MOV-","")),"000"))</f>
        <v/>
      </c>
    </row>
    <row r="6269" spans="18:20">
      <c r="R6269" s="22" t="str">
        <f>IF(H6269="","",H6269&amp;I6269)</f>
        <v/>
      </c>
      <c r="S6269" s="22" t="str">
        <f>IF(C6269="","",C6269&amp;I6269)</f>
        <v/>
      </c>
      <c r="T6269" t="str">
        <f>IF(OR(C6269="",I6269&lt;&gt;"ENTRADA"),"",TEXT(B6269,"AAMMDD")&amp;"-"&amp;TEXT(VALUE(SUBSTITUTE(A6269,"MOV-","")),"000"))</f>
        <v/>
      </c>
    </row>
    <row r="6270" spans="18:20">
      <c r="R6270" s="22" t="str">
        <f>IF(H6270="","",H6270&amp;I6270)</f>
        <v/>
      </c>
      <c r="S6270" s="22" t="str">
        <f>IF(C6270="","",C6270&amp;I6270)</f>
        <v/>
      </c>
      <c r="T6270" t="str">
        <f>IF(OR(C6270="",I6270&lt;&gt;"ENTRADA"),"",TEXT(B6270,"AAMMDD")&amp;"-"&amp;TEXT(VALUE(SUBSTITUTE(A6270,"MOV-","")),"000"))</f>
        <v/>
      </c>
    </row>
    <row r="6271" spans="18:20">
      <c r="R6271" s="22" t="str">
        <f>IF(H6271="","",H6271&amp;I6271)</f>
        <v/>
      </c>
      <c r="S6271" s="22" t="str">
        <f>IF(C6271="","",C6271&amp;I6271)</f>
        <v/>
      </c>
      <c r="T6271" t="str">
        <f>IF(OR(C6271="",I6271&lt;&gt;"ENTRADA"),"",TEXT(B6271,"AAMMDD")&amp;"-"&amp;TEXT(VALUE(SUBSTITUTE(A6271,"MOV-","")),"000"))</f>
        <v/>
      </c>
    </row>
    <row r="6272" spans="18:20">
      <c r="R6272" s="22" t="str">
        <f>IF(H6272="","",H6272&amp;I6272)</f>
        <v/>
      </c>
      <c r="S6272" s="22" t="str">
        <f>IF(C6272="","",C6272&amp;I6272)</f>
        <v/>
      </c>
      <c r="T6272" t="str">
        <f>IF(OR(C6272="",I6272&lt;&gt;"ENTRADA"),"",TEXT(B6272,"AAMMDD")&amp;"-"&amp;TEXT(VALUE(SUBSTITUTE(A6272,"MOV-","")),"000"))</f>
        <v/>
      </c>
    </row>
    <row r="6273" spans="18:20">
      <c r="R6273" s="22" t="str">
        <f>IF(H6273="","",H6273&amp;I6273)</f>
        <v/>
      </c>
      <c r="S6273" s="22" t="str">
        <f>IF(C6273="","",C6273&amp;I6273)</f>
        <v/>
      </c>
      <c r="T6273" t="str">
        <f>IF(OR(C6273="",I6273&lt;&gt;"ENTRADA"),"",TEXT(B6273,"AAMMDD")&amp;"-"&amp;TEXT(VALUE(SUBSTITUTE(A6273,"MOV-","")),"000"))</f>
        <v/>
      </c>
    </row>
    <row r="6274" spans="18:20">
      <c r="R6274" s="22" t="str">
        <f>IF(H6274="","",H6274&amp;I6274)</f>
        <v/>
      </c>
      <c r="S6274" s="22" t="str">
        <f>IF(C6274="","",C6274&amp;I6274)</f>
        <v/>
      </c>
      <c r="T6274" t="str">
        <f>IF(OR(C6274="",I6274&lt;&gt;"ENTRADA"),"",TEXT(B6274,"AAMMDD")&amp;"-"&amp;TEXT(VALUE(SUBSTITUTE(A6274,"MOV-","")),"000"))</f>
        <v/>
      </c>
    </row>
    <row r="6275" spans="18:20">
      <c r="R6275" s="22" t="str">
        <f>IF(H6275="","",H6275&amp;I6275)</f>
        <v/>
      </c>
      <c r="S6275" s="22" t="str">
        <f>IF(C6275="","",C6275&amp;I6275)</f>
        <v/>
      </c>
      <c r="T6275" t="str">
        <f>IF(OR(C6275="",I6275&lt;&gt;"ENTRADA"),"",TEXT(B6275,"AAMMDD")&amp;"-"&amp;TEXT(VALUE(SUBSTITUTE(A6275,"MOV-","")),"000"))</f>
        <v/>
      </c>
    </row>
    <row r="6276" spans="18:20">
      <c r="R6276" s="22" t="str">
        <f>IF(H6276="","",H6276&amp;I6276)</f>
        <v/>
      </c>
      <c r="S6276" s="22" t="str">
        <f>IF(C6276="","",C6276&amp;I6276)</f>
        <v/>
      </c>
      <c r="T6276" t="str">
        <f>IF(OR(C6276="",I6276&lt;&gt;"ENTRADA"),"",TEXT(B6276,"AAMMDD")&amp;"-"&amp;TEXT(VALUE(SUBSTITUTE(A6276,"MOV-","")),"000"))</f>
        <v/>
      </c>
    </row>
    <row r="6277" spans="18:20">
      <c r="R6277" s="22" t="str">
        <f>IF(H6277="","",H6277&amp;I6277)</f>
        <v/>
      </c>
      <c r="S6277" s="22" t="str">
        <f>IF(C6277="","",C6277&amp;I6277)</f>
        <v/>
      </c>
      <c r="T6277" t="str">
        <f>IF(OR(C6277="",I6277&lt;&gt;"ENTRADA"),"",TEXT(B6277,"AAMMDD")&amp;"-"&amp;TEXT(VALUE(SUBSTITUTE(A6277,"MOV-","")),"000"))</f>
        <v/>
      </c>
    </row>
    <row r="6278" spans="18:20">
      <c r="R6278" s="22" t="str">
        <f>IF(H6278="","",H6278&amp;I6278)</f>
        <v/>
      </c>
      <c r="S6278" s="22" t="str">
        <f>IF(C6278="","",C6278&amp;I6278)</f>
        <v/>
      </c>
      <c r="T6278" t="str">
        <f>IF(OR(C6278="",I6278&lt;&gt;"ENTRADA"),"",TEXT(B6278,"AAMMDD")&amp;"-"&amp;TEXT(VALUE(SUBSTITUTE(A6278,"MOV-","")),"000"))</f>
        <v/>
      </c>
    </row>
    <row r="6279" spans="18:20">
      <c r="R6279" s="22" t="str">
        <f>IF(H6279="","",H6279&amp;I6279)</f>
        <v/>
      </c>
      <c r="S6279" s="22" t="str">
        <f>IF(C6279="","",C6279&amp;I6279)</f>
        <v/>
      </c>
      <c r="T6279" t="str">
        <f>IF(OR(C6279="",I6279&lt;&gt;"ENTRADA"),"",TEXT(B6279,"AAMMDD")&amp;"-"&amp;TEXT(VALUE(SUBSTITUTE(A6279,"MOV-","")),"000"))</f>
        <v/>
      </c>
    </row>
    <row r="6280" spans="18:20">
      <c r="R6280" s="22" t="str">
        <f>IF(H6280="","",H6280&amp;I6280)</f>
        <v/>
      </c>
      <c r="S6280" s="22" t="str">
        <f>IF(C6280="","",C6280&amp;I6280)</f>
        <v/>
      </c>
      <c r="T6280" t="str">
        <f>IF(OR(C6280="",I6280&lt;&gt;"ENTRADA"),"",TEXT(B6280,"AAMMDD")&amp;"-"&amp;TEXT(VALUE(SUBSTITUTE(A6280,"MOV-","")),"000"))</f>
        <v/>
      </c>
    </row>
    <row r="6281" spans="18:20">
      <c r="R6281" s="22" t="str">
        <f>IF(H6281="","",H6281&amp;I6281)</f>
        <v/>
      </c>
      <c r="S6281" s="22" t="str">
        <f>IF(C6281="","",C6281&amp;I6281)</f>
        <v/>
      </c>
      <c r="T6281" t="str">
        <f>IF(OR(C6281="",I6281&lt;&gt;"ENTRADA"),"",TEXT(B6281,"AAMMDD")&amp;"-"&amp;TEXT(VALUE(SUBSTITUTE(A6281,"MOV-","")),"000"))</f>
        <v/>
      </c>
    </row>
    <row r="6282" spans="18:20">
      <c r="R6282" s="22" t="str">
        <f>IF(H6282="","",H6282&amp;I6282)</f>
        <v/>
      </c>
      <c r="S6282" s="22" t="str">
        <f>IF(C6282="","",C6282&amp;I6282)</f>
        <v/>
      </c>
      <c r="T6282" t="str">
        <f>IF(OR(C6282="",I6282&lt;&gt;"ENTRADA"),"",TEXT(B6282,"AAMMDD")&amp;"-"&amp;TEXT(VALUE(SUBSTITUTE(A6282,"MOV-","")),"000"))</f>
        <v/>
      </c>
    </row>
    <row r="6283" spans="18:20">
      <c r="R6283" s="22" t="str">
        <f>IF(H6283="","",H6283&amp;I6283)</f>
        <v/>
      </c>
      <c r="S6283" s="22" t="str">
        <f>IF(C6283="","",C6283&amp;I6283)</f>
        <v/>
      </c>
      <c r="T6283" t="str">
        <f>IF(OR(C6283="",I6283&lt;&gt;"ENTRADA"),"",TEXT(B6283,"AAMMDD")&amp;"-"&amp;TEXT(VALUE(SUBSTITUTE(A6283,"MOV-","")),"000"))</f>
        <v/>
      </c>
    </row>
    <row r="6284" spans="18:20">
      <c r="R6284" s="22" t="str">
        <f>IF(H6284="","",H6284&amp;I6284)</f>
        <v/>
      </c>
      <c r="S6284" s="22" t="str">
        <f>IF(C6284="","",C6284&amp;I6284)</f>
        <v/>
      </c>
      <c r="T6284" t="str">
        <f>IF(OR(C6284="",I6284&lt;&gt;"ENTRADA"),"",TEXT(B6284,"AAMMDD")&amp;"-"&amp;TEXT(VALUE(SUBSTITUTE(A6284,"MOV-","")),"000"))</f>
        <v/>
      </c>
    </row>
    <row r="6285" spans="18:20">
      <c r="R6285" s="22" t="str">
        <f>IF(H6285="","",H6285&amp;I6285)</f>
        <v/>
      </c>
      <c r="S6285" s="22" t="str">
        <f>IF(C6285="","",C6285&amp;I6285)</f>
        <v/>
      </c>
      <c r="T6285" t="str">
        <f>IF(OR(C6285="",I6285&lt;&gt;"ENTRADA"),"",TEXT(B6285,"AAMMDD")&amp;"-"&amp;TEXT(VALUE(SUBSTITUTE(A6285,"MOV-","")),"000"))</f>
        <v/>
      </c>
    </row>
    <row r="6286" spans="18:20">
      <c r="R6286" s="22" t="str">
        <f>IF(H6286="","",H6286&amp;I6286)</f>
        <v/>
      </c>
      <c r="S6286" s="22" t="str">
        <f>IF(C6286="","",C6286&amp;I6286)</f>
        <v/>
      </c>
      <c r="T6286" t="str">
        <f>IF(OR(C6286="",I6286&lt;&gt;"ENTRADA"),"",TEXT(B6286,"AAMMDD")&amp;"-"&amp;TEXT(VALUE(SUBSTITUTE(A6286,"MOV-","")),"000"))</f>
        <v/>
      </c>
    </row>
    <row r="6287" spans="18:20">
      <c r="R6287" s="22" t="str">
        <f>IF(H6287="","",H6287&amp;I6287)</f>
        <v/>
      </c>
      <c r="S6287" s="22" t="str">
        <f>IF(C6287="","",C6287&amp;I6287)</f>
        <v/>
      </c>
      <c r="T6287" t="str">
        <f>IF(OR(C6287="",I6287&lt;&gt;"ENTRADA"),"",TEXT(B6287,"AAMMDD")&amp;"-"&amp;TEXT(VALUE(SUBSTITUTE(A6287,"MOV-","")),"000"))</f>
        <v/>
      </c>
    </row>
    <row r="6288" spans="18:20">
      <c r="R6288" s="22" t="str">
        <f>IF(H6288="","",H6288&amp;I6288)</f>
        <v/>
      </c>
      <c r="S6288" s="22" t="str">
        <f>IF(C6288="","",C6288&amp;I6288)</f>
        <v/>
      </c>
      <c r="T6288" t="str">
        <f>IF(OR(C6288="",I6288&lt;&gt;"ENTRADA"),"",TEXT(B6288,"AAMMDD")&amp;"-"&amp;TEXT(VALUE(SUBSTITUTE(A6288,"MOV-","")),"000"))</f>
        <v/>
      </c>
    </row>
    <row r="6289" spans="18:20">
      <c r="R6289" s="22" t="str">
        <f>IF(H6289="","",H6289&amp;I6289)</f>
        <v/>
      </c>
      <c r="S6289" s="22" t="str">
        <f>IF(C6289="","",C6289&amp;I6289)</f>
        <v/>
      </c>
      <c r="T6289" t="str">
        <f>IF(OR(C6289="",I6289&lt;&gt;"ENTRADA"),"",TEXT(B6289,"AAMMDD")&amp;"-"&amp;TEXT(VALUE(SUBSTITUTE(A6289,"MOV-","")),"000"))</f>
        <v/>
      </c>
    </row>
    <row r="6290" spans="18:20">
      <c r="R6290" s="22" t="str">
        <f>IF(H6290="","",H6290&amp;I6290)</f>
        <v/>
      </c>
      <c r="S6290" s="22" t="str">
        <f>IF(C6290="","",C6290&amp;I6290)</f>
        <v/>
      </c>
      <c r="T6290" t="str">
        <f>IF(OR(C6290="",I6290&lt;&gt;"ENTRADA"),"",TEXT(B6290,"AAMMDD")&amp;"-"&amp;TEXT(VALUE(SUBSTITUTE(A6290,"MOV-","")),"000"))</f>
        <v/>
      </c>
    </row>
    <row r="6291" spans="18:20">
      <c r="R6291" s="22" t="str">
        <f>IF(H6291="","",H6291&amp;I6291)</f>
        <v/>
      </c>
      <c r="S6291" s="22" t="str">
        <f>IF(C6291="","",C6291&amp;I6291)</f>
        <v/>
      </c>
      <c r="T6291" t="str">
        <f>IF(OR(C6291="",I6291&lt;&gt;"ENTRADA"),"",TEXT(B6291,"AAMMDD")&amp;"-"&amp;TEXT(VALUE(SUBSTITUTE(A6291,"MOV-","")),"000"))</f>
        <v/>
      </c>
    </row>
    <row r="6292" spans="18:20">
      <c r="R6292" s="22" t="str">
        <f>IF(H6292="","",H6292&amp;I6292)</f>
        <v/>
      </c>
      <c r="S6292" s="22" t="str">
        <f>IF(C6292="","",C6292&amp;I6292)</f>
        <v/>
      </c>
      <c r="T6292" t="str">
        <f>IF(OR(C6292="",I6292&lt;&gt;"ENTRADA"),"",TEXT(B6292,"AAMMDD")&amp;"-"&amp;TEXT(VALUE(SUBSTITUTE(A6292,"MOV-","")),"000"))</f>
        <v/>
      </c>
    </row>
    <row r="6293" spans="18:20">
      <c r="R6293" s="22" t="str">
        <f>IF(H6293="","",H6293&amp;I6293)</f>
        <v/>
      </c>
      <c r="S6293" s="22" t="str">
        <f>IF(C6293="","",C6293&amp;I6293)</f>
        <v/>
      </c>
      <c r="T6293" t="str">
        <f>IF(OR(C6293="",I6293&lt;&gt;"ENTRADA"),"",TEXT(B6293,"AAMMDD")&amp;"-"&amp;TEXT(VALUE(SUBSTITUTE(A6293,"MOV-","")),"000"))</f>
        <v/>
      </c>
    </row>
    <row r="6294" spans="18:20">
      <c r="R6294" s="22" t="str">
        <f>IF(H6294="","",H6294&amp;I6294)</f>
        <v/>
      </c>
      <c r="S6294" s="22" t="str">
        <f>IF(C6294="","",C6294&amp;I6294)</f>
        <v/>
      </c>
      <c r="T6294" t="str">
        <f>IF(OR(C6294="",I6294&lt;&gt;"ENTRADA"),"",TEXT(B6294,"AAMMDD")&amp;"-"&amp;TEXT(VALUE(SUBSTITUTE(A6294,"MOV-","")),"000"))</f>
        <v/>
      </c>
    </row>
    <row r="6295" spans="18:20">
      <c r="R6295" s="22" t="str">
        <f>IF(H6295="","",H6295&amp;I6295)</f>
        <v/>
      </c>
      <c r="S6295" s="22" t="str">
        <f>IF(C6295="","",C6295&amp;I6295)</f>
        <v/>
      </c>
      <c r="T6295" t="str">
        <f>IF(OR(C6295="",I6295&lt;&gt;"ENTRADA"),"",TEXT(B6295,"AAMMDD")&amp;"-"&amp;TEXT(VALUE(SUBSTITUTE(A6295,"MOV-","")),"000"))</f>
        <v/>
      </c>
    </row>
    <row r="6296" spans="18:20">
      <c r="R6296" s="22" t="str">
        <f>IF(H6296="","",H6296&amp;I6296)</f>
        <v/>
      </c>
      <c r="S6296" s="22" t="str">
        <f>IF(C6296="","",C6296&amp;I6296)</f>
        <v/>
      </c>
      <c r="T6296" t="str">
        <f>IF(OR(C6296="",I6296&lt;&gt;"ENTRADA"),"",TEXT(B6296,"AAMMDD")&amp;"-"&amp;TEXT(VALUE(SUBSTITUTE(A6296,"MOV-","")),"000"))</f>
        <v/>
      </c>
    </row>
    <row r="6297" spans="18:20">
      <c r="R6297" s="22" t="str">
        <f>IF(H6297="","",H6297&amp;I6297)</f>
        <v/>
      </c>
      <c r="S6297" s="22" t="str">
        <f>IF(C6297="","",C6297&amp;I6297)</f>
        <v/>
      </c>
      <c r="T6297" t="str">
        <f>IF(OR(C6297="",I6297&lt;&gt;"ENTRADA"),"",TEXT(B6297,"AAMMDD")&amp;"-"&amp;TEXT(VALUE(SUBSTITUTE(A6297,"MOV-","")),"000"))</f>
        <v/>
      </c>
    </row>
    <row r="6298" spans="18:20">
      <c r="R6298" s="22" t="str">
        <f>IF(H6298="","",H6298&amp;I6298)</f>
        <v/>
      </c>
      <c r="S6298" s="22" t="str">
        <f>IF(C6298="","",C6298&amp;I6298)</f>
        <v/>
      </c>
      <c r="T6298" t="str">
        <f>IF(OR(C6298="",I6298&lt;&gt;"ENTRADA"),"",TEXT(B6298,"AAMMDD")&amp;"-"&amp;TEXT(VALUE(SUBSTITUTE(A6298,"MOV-","")),"000"))</f>
        <v/>
      </c>
    </row>
    <row r="6299" spans="18:20">
      <c r="R6299" s="22" t="str">
        <f>IF(H6299="","",H6299&amp;I6299)</f>
        <v/>
      </c>
      <c r="S6299" s="22" t="str">
        <f>IF(C6299="","",C6299&amp;I6299)</f>
        <v/>
      </c>
      <c r="T6299" t="str">
        <f>IF(OR(C6299="",I6299&lt;&gt;"ENTRADA"),"",TEXT(B6299,"AAMMDD")&amp;"-"&amp;TEXT(VALUE(SUBSTITUTE(A6299,"MOV-","")),"000"))</f>
        <v/>
      </c>
    </row>
    <row r="6300" spans="18:20">
      <c r="R6300" s="22" t="str">
        <f>IF(H6300="","",H6300&amp;I6300)</f>
        <v/>
      </c>
      <c r="S6300" s="22" t="str">
        <f>IF(C6300="","",C6300&amp;I6300)</f>
        <v/>
      </c>
      <c r="T6300" t="str">
        <f>IF(OR(C6300="",I6300&lt;&gt;"ENTRADA"),"",TEXT(B6300,"AAMMDD")&amp;"-"&amp;TEXT(VALUE(SUBSTITUTE(A6300,"MOV-","")),"000"))</f>
        <v/>
      </c>
    </row>
    <row r="6301" spans="18:20">
      <c r="R6301" s="22" t="str">
        <f>IF(H6301="","",H6301&amp;I6301)</f>
        <v/>
      </c>
      <c r="S6301" s="22" t="str">
        <f>IF(C6301="","",C6301&amp;I6301)</f>
        <v/>
      </c>
      <c r="T6301" t="str">
        <f>IF(OR(C6301="",I6301&lt;&gt;"ENTRADA"),"",TEXT(B6301,"AAMMDD")&amp;"-"&amp;TEXT(VALUE(SUBSTITUTE(A6301,"MOV-","")),"000"))</f>
        <v/>
      </c>
    </row>
    <row r="6302" spans="18:20">
      <c r="R6302" s="22" t="str">
        <f>IF(H6302="","",H6302&amp;I6302)</f>
        <v/>
      </c>
      <c r="S6302" s="22" t="str">
        <f>IF(C6302="","",C6302&amp;I6302)</f>
        <v/>
      </c>
      <c r="T6302" t="str">
        <f>IF(OR(C6302="",I6302&lt;&gt;"ENTRADA"),"",TEXT(B6302,"AAMMDD")&amp;"-"&amp;TEXT(VALUE(SUBSTITUTE(A6302,"MOV-","")),"000"))</f>
        <v/>
      </c>
    </row>
    <row r="6303" spans="18:20">
      <c r="R6303" s="22" t="str">
        <f>IF(H6303="","",H6303&amp;I6303)</f>
        <v/>
      </c>
      <c r="S6303" s="22" t="str">
        <f>IF(C6303="","",C6303&amp;I6303)</f>
        <v/>
      </c>
      <c r="T6303" t="str">
        <f>IF(OR(C6303="",I6303&lt;&gt;"ENTRADA"),"",TEXT(B6303,"AAMMDD")&amp;"-"&amp;TEXT(VALUE(SUBSTITUTE(A6303,"MOV-","")),"000"))</f>
        <v/>
      </c>
    </row>
    <row r="6304" spans="18:20">
      <c r="R6304" s="22" t="str">
        <f>IF(H6304="","",H6304&amp;I6304)</f>
        <v/>
      </c>
      <c r="S6304" s="22" t="str">
        <f>IF(C6304="","",C6304&amp;I6304)</f>
        <v/>
      </c>
      <c r="T6304" t="str">
        <f>IF(OR(C6304="",I6304&lt;&gt;"ENTRADA"),"",TEXT(B6304,"AAMMDD")&amp;"-"&amp;TEXT(VALUE(SUBSTITUTE(A6304,"MOV-","")),"000"))</f>
        <v/>
      </c>
    </row>
    <row r="6305" spans="18:20">
      <c r="R6305" s="22" t="str">
        <f>IF(H6305="","",H6305&amp;I6305)</f>
        <v/>
      </c>
      <c r="S6305" s="22" t="str">
        <f>IF(C6305="","",C6305&amp;I6305)</f>
        <v/>
      </c>
      <c r="T6305" t="str">
        <f>IF(OR(C6305="",I6305&lt;&gt;"ENTRADA"),"",TEXT(B6305,"AAMMDD")&amp;"-"&amp;TEXT(VALUE(SUBSTITUTE(A6305,"MOV-","")),"000"))</f>
        <v/>
      </c>
    </row>
    <row r="6306" spans="18:20">
      <c r="R6306" s="22" t="str">
        <f>IF(H6306="","",H6306&amp;I6306)</f>
        <v/>
      </c>
      <c r="S6306" s="22" t="str">
        <f>IF(C6306="","",C6306&amp;I6306)</f>
        <v/>
      </c>
      <c r="T6306" t="str">
        <f>IF(OR(C6306="",I6306&lt;&gt;"ENTRADA"),"",TEXT(B6306,"AAMMDD")&amp;"-"&amp;TEXT(VALUE(SUBSTITUTE(A6306,"MOV-","")),"000"))</f>
        <v/>
      </c>
    </row>
    <row r="6307" spans="18:20">
      <c r="R6307" s="22" t="str">
        <f>IF(H6307="","",H6307&amp;I6307)</f>
        <v/>
      </c>
      <c r="S6307" s="22" t="str">
        <f>IF(C6307="","",C6307&amp;I6307)</f>
        <v/>
      </c>
      <c r="T6307" t="str">
        <f>IF(OR(C6307="",I6307&lt;&gt;"ENTRADA"),"",TEXT(B6307,"AAMMDD")&amp;"-"&amp;TEXT(VALUE(SUBSTITUTE(A6307,"MOV-","")),"000"))</f>
        <v/>
      </c>
    </row>
    <row r="6308" spans="18:20">
      <c r="R6308" s="22" t="str">
        <f>IF(H6308="","",H6308&amp;I6308)</f>
        <v/>
      </c>
      <c r="S6308" s="22" t="str">
        <f>IF(C6308="","",C6308&amp;I6308)</f>
        <v/>
      </c>
      <c r="T6308" t="str">
        <f>IF(OR(C6308="",I6308&lt;&gt;"ENTRADA"),"",TEXT(B6308,"AAMMDD")&amp;"-"&amp;TEXT(VALUE(SUBSTITUTE(A6308,"MOV-","")),"000"))</f>
        <v/>
      </c>
    </row>
    <row r="6309" spans="18:20">
      <c r="R6309" s="22" t="str">
        <f>IF(H6309="","",H6309&amp;I6309)</f>
        <v/>
      </c>
      <c r="S6309" s="22" t="str">
        <f>IF(C6309="","",C6309&amp;I6309)</f>
        <v/>
      </c>
      <c r="T6309" t="str">
        <f>IF(OR(C6309="",I6309&lt;&gt;"ENTRADA"),"",TEXT(B6309,"AAMMDD")&amp;"-"&amp;TEXT(VALUE(SUBSTITUTE(A6309,"MOV-","")),"000"))</f>
        <v/>
      </c>
    </row>
    <row r="6310" spans="18:20">
      <c r="R6310" s="22" t="str">
        <f>IF(H6310="","",H6310&amp;I6310)</f>
        <v/>
      </c>
      <c r="S6310" s="22" t="str">
        <f>IF(C6310="","",C6310&amp;I6310)</f>
        <v/>
      </c>
      <c r="T6310" t="str">
        <f>IF(OR(C6310="",I6310&lt;&gt;"ENTRADA"),"",TEXT(B6310,"AAMMDD")&amp;"-"&amp;TEXT(VALUE(SUBSTITUTE(A6310,"MOV-","")),"000"))</f>
        <v/>
      </c>
    </row>
    <row r="6311" spans="18:20">
      <c r="R6311" s="22" t="str">
        <f>IF(H6311="","",H6311&amp;I6311)</f>
        <v/>
      </c>
      <c r="S6311" s="22" t="str">
        <f>IF(C6311="","",C6311&amp;I6311)</f>
        <v/>
      </c>
      <c r="T6311" t="str">
        <f>IF(OR(C6311="",I6311&lt;&gt;"ENTRADA"),"",TEXT(B6311,"AAMMDD")&amp;"-"&amp;TEXT(VALUE(SUBSTITUTE(A6311,"MOV-","")),"000"))</f>
        <v/>
      </c>
    </row>
    <row r="6312" spans="18:20">
      <c r="R6312" s="22" t="str">
        <f>IF(H6312="","",H6312&amp;I6312)</f>
        <v/>
      </c>
      <c r="S6312" s="22" t="str">
        <f>IF(C6312="","",C6312&amp;I6312)</f>
        <v/>
      </c>
      <c r="T6312" t="str">
        <f>IF(OR(C6312="",I6312&lt;&gt;"ENTRADA"),"",TEXT(B6312,"AAMMDD")&amp;"-"&amp;TEXT(VALUE(SUBSTITUTE(A6312,"MOV-","")),"000"))</f>
        <v/>
      </c>
    </row>
    <row r="6313" spans="18:20">
      <c r="R6313" s="22" t="str">
        <f>IF(H6313="","",H6313&amp;I6313)</f>
        <v/>
      </c>
      <c r="S6313" s="22" t="str">
        <f>IF(C6313="","",C6313&amp;I6313)</f>
        <v/>
      </c>
      <c r="T6313" t="str">
        <f>IF(OR(C6313="",I6313&lt;&gt;"ENTRADA"),"",TEXT(B6313,"AAMMDD")&amp;"-"&amp;TEXT(VALUE(SUBSTITUTE(A6313,"MOV-","")),"000"))</f>
        <v/>
      </c>
    </row>
    <row r="6314" spans="18:20">
      <c r="R6314" s="22" t="str">
        <f>IF(H6314="","",H6314&amp;I6314)</f>
        <v/>
      </c>
      <c r="S6314" s="22" t="str">
        <f>IF(C6314="","",C6314&amp;I6314)</f>
        <v/>
      </c>
      <c r="T6314" t="str">
        <f>IF(OR(C6314="",I6314&lt;&gt;"ENTRADA"),"",TEXT(B6314,"AAMMDD")&amp;"-"&amp;TEXT(VALUE(SUBSTITUTE(A6314,"MOV-","")),"000"))</f>
        <v/>
      </c>
    </row>
    <row r="6315" spans="18:20">
      <c r="R6315" s="22" t="str">
        <f>IF(H6315="","",H6315&amp;I6315)</f>
        <v/>
      </c>
      <c r="S6315" s="22" t="str">
        <f>IF(C6315="","",C6315&amp;I6315)</f>
        <v/>
      </c>
      <c r="T6315" t="str">
        <f>IF(OR(C6315="",I6315&lt;&gt;"ENTRADA"),"",TEXT(B6315,"AAMMDD")&amp;"-"&amp;TEXT(VALUE(SUBSTITUTE(A6315,"MOV-","")),"000"))</f>
        <v/>
      </c>
    </row>
    <row r="6316" spans="18:20">
      <c r="R6316" s="22" t="str">
        <f>IF(H6316="","",H6316&amp;I6316)</f>
        <v/>
      </c>
      <c r="S6316" s="22" t="str">
        <f>IF(C6316="","",C6316&amp;I6316)</f>
        <v/>
      </c>
      <c r="T6316" t="str">
        <f>IF(OR(C6316="",I6316&lt;&gt;"ENTRADA"),"",TEXT(B6316,"AAMMDD")&amp;"-"&amp;TEXT(VALUE(SUBSTITUTE(A6316,"MOV-","")),"000"))</f>
        <v/>
      </c>
    </row>
    <row r="6317" spans="18:20">
      <c r="R6317" s="22" t="str">
        <f>IF(H6317="","",H6317&amp;I6317)</f>
        <v/>
      </c>
      <c r="S6317" s="22" t="str">
        <f>IF(C6317="","",C6317&amp;I6317)</f>
        <v/>
      </c>
      <c r="T6317" t="str">
        <f>IF(OR(C6317="",I6317&lt;&gt;"ENTRADA"),"",TEXT(B6317,"AAMMDD")&amp;"-"&amp;TEXT(VALUE(SUBSTITUTE(A6317,"MOV-","")),"000"))</f>
        <v/>
      </c>
    </row>
    <row r="6318" spans="18:20">
      <c r="R6318" s="22" t="str">
        <f>IF(H6318="","",H6318&amp;I6318)</f>
        <v/>
      </c>
      <c r="S6318" s="22" t="str">
        <f>IF(C6318="","",C6318&amp;I6318)</f>
        <v/>
      </c>
      <c r="T6318" t="str">
        <f>IF(OR(C6318="",I6318&lt;&gt;"ENTRADA"),"",TEXT(B6318,"AAMMDD")&amp;"-"&amp;TEXT(VALUE(SUBSTITUTE(A6318,"MOV-","")),"000"))</f>
        <v/>
      </c>
    </row>
    <row r="6319" spans="18:20">
      <c r="R6319" s="22" t="str">
        <f>IF(H6319="","",H6319&amp;I6319)</f>
        <v/>
      </c>
      <c r="S6319" s="22" t="str">
        <f>IF(C6319="","",C6319&amp;I6319)</f>
        <v/>
      </c>
      <c r="T6319" t="str">
        <f>IF(OR(C6319="",I6319&lt;&gt;"ENTRADA"),"",TEXT(B6319,"AAMMDD")&amp;"-"&amp;TEXT(VALUE(SUBSTITUTE(A6319,"MOV-","")),"000"))</f>
        <v/>
      </c>
    </row>
    <row r="6320" spans="18:20">
      <c r="R6320" s="22" t="str">
        <f>IF(H6320="","",H6320&amp;I6320)</f>
        <v/>
      </c>
      <c r="S6320" s="22" t="str">
        <f>IF(C6320="","",C6320&amp;I6320)</f>
        <v/>
      </c>
      <c r="T6320" t="str">
        <f>IF(OR(C6320="",I6320&lt;&gt;"ENTRADA"),"",TEXT(B6320,"AAMMDD")&amp;"-"&amp;TEXT(VALUE(SUBSTITUTE(A6320,"MOV-","")),"000"))</f>
        <v/>
      </c>
    </row>
    <row r="6321" spans="18:20">
      <c r="R6321" s="22" t="str">
        <f>IF(H6321="","",H6321&amp;I6321)</f>
        <v/>
      </c>
      <c r="S6321" s="22" t="str">
        <f>IF(C6321="","",C6321&amp;I6321)</f>
        <v/>
      </c>
      <c r="T6321" t="str">
        <f>IF(OR(C6321="",I6321&lt;&gt;"ENTRADA"),"",TEXT(B6321,"AAMMDD")&amp;"-"&amp;TEXT(VALUE(SUBSTITUTE(A6321,"MOV-","")),"000"))</f>
        <v/>
      </c>
    </row>
    <row r="6322" spans="18:20">
      <c r="R6322" s="22" t="str">
        <f>IF(H6322="","",H6322&amp;I6322)</f>
        <v/>
      </c>
      <c r="S6322" s="22" t="str">
        <f>IF(C6322="","",C6322&amp;I6322)</f>
        <v/>
      </c>
      <c r="T6322" t="str">
        <f>IF(OR(C6322="",I6322&lt;&gt;"ENTRADA"),"",TEXT(B6322,"AAMMDD")&amp;"-"&amp;TEXT(VALUE(SUBSTITUTE(A6322,"MOV-","")),"000"))</f>
        <v/>
      </c>
    </row>
    <row r="6323" spans="18:20">
      <c r="R6323" s="22" t="str">
        <f>IF(H6323="","",H6323&amp;I6323)</f>
        <v/>
      </c>
      <c r="S6323" s="22" t="str">
        <f>IF(C6323="","",C6323&amp;I6323)</f>
        <v/>
      </c>
      <c r="T6323" t="str">
        <f>IF(OR(C6323="",I6323&lt;&gt;"ENTRADA"),"",TEXT(B6323,"AAMMDD")&amp;"-"&amp;TEXT(VALUE(SUBSTITUTE(A6323,"MOV-","")),"000"))</f>
        <v/>
      </c>
    </row>
    <row r="6324" spans="18:20">
      <c r="R6324" s="22" t="str">
        <f>IF(H6324="","",H6324&amp;I6324)</f>
        <v/>
      </c>
      <c r="S6324" s="22" t="str">
        <f>IF(C6324="","",C6324&amp;I6324)</f>
        <v/>
      </c>
      <c r="T6324" t="str">
        <f>IF(OR(C6324="",I6324&lt;&gt;"ENTRADA"),"",TEXT(B6324,"AAMMDD")&amp;"-"&amp;TEXT(VALUE(SUBSTITUTE(A6324,"MOV-","")),"000"))</f>
        <v/>
      </c>
    </row>
    <row r="6325" spans="18:20">
      <c r="R6325" s="22" t="str">
        <f>IF(H6325="","",H6325&amp;I6325)</f>
        <v/>
      </c>
      <c r="S6325" s="22" t="str">
        <f>IF(C6325="","",C6325&amp;I6325)</f>
        <v/>
      </c>
      <c r="T6325" t="str">
        <f>IF(OR(C6325="",I6325&lt;&gt;"ENTRADA"),"",TEXT(B6325,"AAMMDD")&amp;"-"&amp;TEXT(VALUE(SUBSTITUTE(A6325,"MOV-","")),"000"))</f>
        <v/>
      </c>
    </row>
    <row r="6326" spans="18:20">
      <c r="R6326" s="22" t="str">
        <f>IF(H6326="","",H6326&amp;I6326)</f>
        <v/>
      </c>
      <c r="S6326" s="22" t="str">
        <f>IF(C6326="","",C6326&amp;I6326)</f>
        <v/>
      </c>
      <c r="T6326" t="str">
        <f>IF(OR(C6326="",I6326&lt;&gt;"ENTRADA"),"",TEXT(B6326,"AAMMDD")&amp;"-"&amp;TEXT(VALUE(SUBSTITUTE(A6326,"MOV-","")),"000"))</f>
        <v/>
      </c>
    </row>
    <row r="6327" spans="18:20">
      <c r="R6327" s="22" t="str">
        <f>IF(H6327="","",H6327&amp;I6327)</f>
        <v/>
      </c>
      <c r="S6327" s="22" t="str">
        <f>IF(C6327="","",C6327&amp;I6327)</f>
        <v/>
      </c>
      <c r="T6327" t="str">
        <f>IF(OR(C6327="",I6327&lt;&gt;"ENTRADA"),"",TEXT(B6327,"AAMMDD")&amp;"-"&amp;TEXT(VALUE(SUBSTITUTE(A6327,"MOV-","")),"000"))</f>
        <v/>
      </c>
    </row>
    <row r="6328" spans="18:20">
      <c r="R6328" s="22" t="str">
        <f>IF(H6328="","",H6328&amp;I6328)</f>
        <v/>
      </c>
      <c r="S6328" s="22" t="str">
        <f>IF(C6328="","",C6328&amp;I6328)</f>
        <v/>
      </c>
      <c r="T6328" t="str">
        <f>IF(OR(C6328="",I6328&lt;&gt;"ENTRADA"),"",TEXT(B6328,"AAMMDD")&amp;"-"&amp;TEXT(VALUE(SUBSTITUTE(A6328,"MOV-","")),"000"))</f>
        <v/>
      </c>
    </row>
    <row r="6329" spans="18:20">
      <c r="R6329" s="22" t="str">
        <f>IF(H6329="","",H6329&amp;I6329)</f>
        <v/>
      </c>
      <c r="S6329" s="22" t="str">
        <f>IF(C6329="","",C6329&amp;I6329)</f>
        <v/>
      </c>
      <c r="T6329" t="str">
        <f>IF(OR(C6329="",I6329&lt;&gt;"ENTRADA"),"",TEXT(B6329,"AAMMDD")&amp;"-"&amp;TEXT(VALUE(SUBSTITUTE(A6329,"MOV-","")),"000"))</f>
        <v/>
      </c>
    </row>
    <row r="6330" spans="18:20">
      <c r="R6330" s="22" t="str">
        <f>IF(H6330="","",H6330&amp;I6330)</f>
        <v/>
      </c>
      <c r="S6330" s="22" t="str">
        <f>IF(C6330="","",C6330&amp;I6330)</f>
        <v/>
      </c>
      <c r="T6330" t="str">
        <f>IF(OR(C6330="",I6330&lt;&gt;"ENTRADA"),"",TEXT(B6330,"AAMMDD")&amp;"-"&amp;TEXT(VALUE(SUBSTITUTE(A6330,"MOV-","")),"000"))</f>
        <v/>
      </c>
    </row>
    <row r="6331" spans="18:20">
      <c r="R6331" s="22" t="str">
        <f>IF(H6331="","",H6331&amp;I6331)</f>
        <v/>
      </c>
      <c r="S6331" s="22" t="str">
        <f>IF(C6331="","",C6331&amp;I6331)</f>
        <v/>
      </c>
      <c r="T6331" t="str">
        <f>IF(OR(C6331="",I6331&lt;&gt;"ENTRADA"),"",TEXT(B6331,"AAMMDD")&amp;"-"&amp;TEXT(VALUE(SUBSTITUTE(A6331,"MOV-","")),"000"))</f>
        <v/>
      </c>
    </row>
    <row r="6332" spans="18:20">
      <c r="R6332" s="22" t="str">
        <f>IF(H6332="","",H6332&amp;I6332)</f>
        <v/>
      </c>
      <c r="S6332" s="22" t="str">
        <f>IF(C6332="","",C6332&amp;I6332)</f>
        <v/>
      </c>
      <c r="T6332" t="str">
        <f>IF(OR(C6332="",I6332&lt;&gt;"ENTRADA"),"",TEXT(B6332,"AAMMDD")&amp;"-"&amp;TEXT(VALUE(SUBSTITUTE(A6332,"MOV-","")),"000"))</f>
        <v/>
      </c>
    </row>
    <row r="6333" spans="18:20">
      <c r="R6333" s="22" t="str">
        <f>IF(H6333="","",H6333&amp;I6333)</f>
        <v/>
      </c>
      <c r="S6333" s="22" t="str">
        <f>IF(C6333="","",C6333&amp;I6333)</f>
        <v/>
      </c>
      <c r="T6333" t="str">
        <f>IF(OR(C6333="",I6333&lt;&gt;"ENTRADA"),"",TEXT(B6333,"AAMMDD")&amp;"-"&amp;TEXT(VALUE(SUBSTITUTE(A6333,"MOV-","")),"000"))</f>
        <v/>
      </c>
    </row>
    <row r="6334" spans="18:20">
      <c r="R6334" s="22" t="str">
        <f>IF(H6334="","",H6334&amp;I6334)</f>
        <v/>
      </c>
      <c r="S6334" s="22" t="str">
        <f>IF(C6334="","",C6334&amp;I6334)</f>
        <v/>
      </c>
      <c r="T6334" t="str">
        <f>IF(OR(C6334="",I6334&lt;&gt;"ENTRADA"),"",TEXT(B6334,"AAMMDD")&amp;"-"&amp;TEXT(VALUE(SUBSTITUTE(A6334,"MOV-","")),"000"))</f>
        <v/>
      </c>
    </row>
    <row r="6335" spans="18:20">
      <c r="R6335" s="22" t="str">
        <f>IF(H6335="","",H6335&amp;I6335)</f>
        <v/>
      </c>
      <c r="S6335" s="22" t="str">
        <f>IF(C6335="","",C6335&amp;I6335)</f>
        <v/>
      </c>
      <c r="T6335" t="str">
        <f>IF(OR(C6335="",I6335&lt;&gt;"ENTRADA"),"",TEXT(B6335,"AAMMDD")&amp;"-"&amp;TEXT(VALUE(SUBSTITUTE(A6335,"MOV-","")),"000"))</f>
        <v/>
      </c>
    </row>
    <row r="6336" spans="18:20">
      <c r="R6336" s="22" t="str">
        <f>IF(H6336="","",H6336&amp;I6336)</f>
        <v/>
      </c>
      <c r="S6336" s="22" t="str">
        <f>IF(C6336="","",C6336&amp;I6336)</f>
        <v/>
      </c>
      <c r="T6336" t="str">
        <f>IF(OR(C6336="",I6336&lt;&gt;"ENTRADA"),"",TEXT(B6336,"AAMMDD")&amp;"-"&amp;TEXT(VALUE(SUBSTITUTE(A6336,"MOV-","")),"000"))</f>
        <v/>
      </c>
    </row>
    <row r="6337" spans="18:20">
      <c r="R6337" s="22" t="str">
        <f>IF(H6337="","",H6337&amp;I6337)</f>
        <v/>
      </c>
      <c r="S6337" s="22" t="str">
        <f>IF(C6337="","",C6337&amp;I6337)</f>
        <v/>
      </c>
      <c r="T6337" t="str">
        <f>IF(OR(C6337="",I6337&lt;&gt;"ENTRADA"),"",TEXT(B6337,"AAMMDD")&amp;"-"&amp;TEXT(VALUE(SUBSTITUTE(A6337,"MOV-","")),"000"))</f>
        <v/>
      </c>
    </row>
    <row r="6338" spans="18:20">
      <c r="R6338" s="22" t="str">
        <f>IF(H6338="","",H6338&amp;I6338)</f>
        <v/>
      </c>
      <c r="S6338" s="22" t="str">
        <f>IF(C6338="","",C6338&amp;I6338)</f>
        <v/>
      </c>
      <c r="T6338" t="str">
        <f>IF(OR(C6338="",I6338&lt;&gt;"ENTRADA"),"",TEXT(B6338,"AAMMDD")&amp;"-"&amp;TEXT(VALUE(SUBSTITUTE(A6338,"MOV-","")),"000"))</f>
        <v/>
      </c>
    </row>
    <row r="6339" spans="18:20">
      <c r="R6339" s="22" t="str">
        <f>IF(H6339="","",H6339&amp;I6339)</f>
        <v/>
      </c>
      <c r="S6339" s="22" t="str">
        <f>IF(C6339="","",C6339&amp;I6339)</f>
        <v/>
      </c>
      <c r="T6339" t="str">
        <f>IF(OR(C6339="",I6339&lt;&gt;"ENTRADA"),"",TEXT(B6339,"AAMMDD")&amp;"-"&amp;TEXT(VALUE(SUBSTITUTE(A6339,"MOV-","")),"000"))</f>
        <v/>
      </c>
    </row>
    <row r="6340" spans="18:20">
      <c r="R6340" s="22" t="str">
        <f>IF(H6340="","",H6340&amp;I6340)</f>
        <v/>
      </c>
      <c r="S6340" s="22" t="str">
        <f>IF(C6340="","",C6340&amp;I6340)</f>
        <v/>
      </c>
      <c r="T6340" t="str">
        <f>IF(OR(C6340="",I6340&lt;&gt;"ENTRADA"),"",TEXT(B6340,"AAMMDD")&amp;"-"&amp;TEXT(VALUE(SUBSTITUTE(A6340,"MOV-","")),"000"))</f>
        <v/>
      </c>
    </row>
    <row r="6341" spans="18:20">
      <c r="R6341" s="22" t="str">
        <f>IF(H6341="","",H6341&amp;I6341)</f>
        <v/>
      </c>
      <c r="S6341" s="22" t="str">
        <f>IF(C6341="","",C6341&amp;I6341)</f>
        <v/>
      </c>
      <c r="T6341" t="str">
        <f>IF(OR(C6341="",I6341&lt;&gt;"ENTRADA"),"",TEXT(B6341,"AAMMDD")&amp;"-"&amp;TEXT(VALUE(SUBSTITUTE(A6341,"MOV-","")),"000"))</f>
        <v/>
      </c>
    </row>
    <row r="6342" spans="18:20">
      <c r="R6342" s="22" t="str">
        <f>IF(H6342="","",H6342&amp;I6342)</f>
        <v/>
      </c>
      <c r="S6342" s="22" t="str">
        <f>IF(C6342="","",C6342&amp;I6342)</f>
        <v/>
      </c>
      <c r="T6342" t="str">
        <f>IF(OR(C6342="",I6342&lt;&gt;"ENTRADA"),"",TEXT(B6342,"AAMMDD")&amp;"-"&amp;TEXT(VALUE(SUBSTITUTE(A6342,"MOV-","")),"000"))</f>
        <v/>
      </c>
    </row>
    <row r="6343" spans="18:20">
      <c r="R6343" s="22" t="str">
        <f>IF(H6343="","",H6343&amp;I6343)</f>
        <v/>
      </c>
      <c r="S6343" s="22" t="str">
        <f>IF(C6343="","",C6343&amp;I6343)</f>
        <v/>
      </c>
      <c r="T6343" t="str">
        <f>IF(OR(C6343="",I6343&lt;&gt;"ENTRADA"),"",TEXT(B6343,"AAMMDD")&amp;"-"&amp;TEXT(VALUE(SUBSTITUTE(A6343,"MOV-","")),"000"))</f>
        <v/>
      </c>
    </row>
    <row r="6344" spans="18:20">
      <c r="R6344" s="22" t="str">
        <f>IF(H6344="","",H6344&amp;I6344)</f>
        <v/>
      </c>
      <c r="S6344" s="22" t="str">
        <f>IF(C6344="","",C6344&amp;I6344)</f>
        <v/>
      </c>
      <c r="T6344" t="str">
        <f>IF(OR(C6344="",I6344&lt;&gt;"ENTRADA"),"",TEXT(B6344,"AAMMDD")&amp;"-"&amp;TEXT(VALUE(SUBSTITUTE(A6344,"MOV-","")),"000"))</f>
        <v/>
      </c>
    </row>
    <row r="6345" spans="18:20">
      <c r="R6345" s="22" t="str">
        <f>IF(H6345="","",H6345&amp;I6345)</f>
        <v/>
      </c>
      <c r="S6345" s="22" t="str">
        <f>IF(C6345="","",C6345&amp;I6345)</f>
        <v/>
      </c>
      <c r="T6345" t="str">
        <f>IF(OR(C6345="",I6345&lt;&gt;"ENTRADA"),"",TEXT(B6345,"AAMMDD")&amp;"-"&amp;TEXT(VALUE(SUBSTITUTE(A6345,"MOV-","")),"000"))</f>
        <v/>
      </c>
    </row>
    <row r="6346" spans="18:20">
      <c r="R6346" s="22" t="str">
        <f>IF(H6346="","",H6346&amp;I6346)</f>
        <v/>
      </c>
      <c r="S6346" s="22" t="str">
        <f>IF(C6346="","",C6346&amp;I6346)</f>
        <v/>
      </c>
      <c r="T6346" t="str">
        <f>IF(OR(C6346="",I6346&lt;&gt;"ENTRADA"),"",TEXT(B6346,"AAMMDD")&amp;"-"&amp;TEXT(VALUE(SUBSTITUTE(A6346,"MOV-","")),"000"))</f>
        <v/>
      </c>
    </row>
    <row r="6347" spans="18:20">
      <c r="R6347" s="22" t="str">
        <f>IF(H6347="","",H6347&amp;I6347)</f>
        <v/>
      </c>
      <c r="S6347" s="22" t="str">
        <f>IF(C6347="","",C6347&amp;I6347)</f>
        <v/>
      </c>
      <c r="T6347" t="str">
        <f>IF(OR(C6347="",I6347&lt;&gt;"ENTRADA"),"",TEXT(B6347,"AAMMDD")&amp;"-"&amp;TEXT(VALUE(SUBSTITUTE(A6347,"MOV-","")),"000"))</f>
        <v/>
      </c>
    </row>
    <row r="6348" spans="18:20">
      <c r="R6348" s="22" t="str">
        <f>IF(H6348="","",H6348&amp;I6348)</f>
        <v/>
      </c>
      <c r="S6348" s="22" t="str">
        <f>IF(C6348="","",C6348&amp;I6348)</f>
        <v/>
      </c>
      <c r="T6348" t="str">
        <f>IF(OR(C6348="",I6348&lt;&gt;"ENTRADA"),"",TEXT(B6348,"AAMMDD")&amp;"-"&amp;TEXT(VALUE(SUBSTITUTE(A6348,"MOV-","")),"000"))</f>
        <v/>
      </c>
    </row>
    <row r="6349" spans="18:20">
      <c r="R6349" s="22" t="str">
        <f>IF(H6349="","",H6349&amp;I6349)</f>
        <v/>
      </c>
      <c r="S6349" s="22" t="str">
        <f>IF(C6349="","",C6349&amp;I6349)</f>
        <v/>
      </c>
      <c r="T6349" t="str">
        <f>IF(OR(C6349="",I6349&lt;&gt;"ENTRADA"),"",TEXT(B6349,"AAMMDD")&amp;"-"&amp;TEXT(VALUE(SUBSTITUTE(A6349,"MOV-","")),"000"))</f>
        <v/>
      </c>
    </row>
    <row r="6350" spans="18:20">
      <c r="R6350" s="22" t="str">
        <f>IF(H6350="","",H6350&amp;I6350)</f>
        <v/>
      </c>
      <c r="S6350" s="22" t="str">
        <f>IF(C6350="","",C6350&amp;I6350)</f>
        <v/>
      </c>
      <c r="T6350" t="str">
        <f>IF(OR(C6350="",I6350&lt;&gt;"ENTRADA"),"",TEXT(B6350,"AAMMDD")&amp;"-"&amp;TEXT(VALUE(SUBSTITUTE(A6350,"MOV-","")),"000"))</f>
        <v/>
      </c>
    </row>
    <row r="6351" spans="18:20">
      <c r="R6351" s="22" t="str">
        <f>IF(H6351="","",H6351&amp;I6351)</f>
        <v/>
      </c>
      <c r="S6351" s="22" t="str">
        <f>IF(C6351="","",C6351&amp;I6351)</f>
        <v/>
      </c>
      <c r="T6351" t="str">
        <f>IF(OR(C6351="",I6351&lt;&gt;"ENTRADA"),"",TEXT(B6351,"AAMMDD")&amp;"-"&amp;TEXT(VALUE(SUBSTITUTE(A6351,"MOV-","")),"000"))</f>
        <v/>
      </c>
    </row>
    <row r="6352" spans="18:20">
      <c r="R6352" s="22" t="str">
        <f>IF(H6352="","",H6352&amp;I6352)</f>
        <v/>
      </c>
      <c r="S6352" s="22" t="str">
        <f>IF(C6352="","",C6352&amp;I6352)</f>
        <v/>
      </c>
      <c r="T6352" t="str">
        <f>IF(OR(C6352="",I6352&lt;&gt;"ENTRADA"),"",TEXT(B6352,"AAMMDD")&amp;"-"&amp;TEXT(VALUE(SUBSTITUTE(A6352,"MOV-","")),"000"))</f>
        <v/>
      </c>
    </row>
    <row r="6353" spans="18:20">
      <c r="R6353" s="22" t="str">
        <f>IF(H6353="","",H6353&amp;I6353)</f>
        <v/>
      </c>
      <c r="S6353" s="22" t="str">
        <f>IF(C6353="","",C6353&amp;I6353)</f>
        <v/>
      </c>
      <c r="T6353" t="str">
        <f>IF(OR(C6353="",I6353&lt;&gt;"ENTRADA"),"",TEXT(B6353,"AAMMDD")&amp;"-"&amp;TEXT(VALUE(SUBSTITUTE(A6353,"MOV-","")),"000"))</f>
        <v/>
      </c>
    </row>
    <row r="6354" spans="18:20">
      <c r="R6354" s="22" t="str">
        <f>IF(H6354="","",H6354&amp;I6354)</f>
        <v/>
      </c>
      <c r="S6354" s="22" t="str">
        <f>IF(C6354="","",C6354&amp;I6354)</f>
        <v/>
      </c>
      <c r="T6354" t="str">
        <f>IF(OR(C6354="",I6354&lt;&gt;"ENTRADA"),"",TEXT(B6354,"AAMMDD")&amp;"-"&amp;TEXT(VALUE(SUBSTITUTE(A6354,"MOV-","")),"000"))</f>
        <v/>
      </c>
    </row>
    <row r="6355" spans="18:20">
      <c r="R6355" s="22" t="str">
        <f>IF(H6355="","",H6355&amp;I6355)</f>
        <v/>
      </c>
      <c r="S6355" s="22" t="str">
        <f>IF(C6355="","",C6355&amp;I6355)</f>
        <v/>
      </c>
      <c r="T6355" t="str">
        <f>IF(OR(C6355="",I6355&lt;&gt;"ENTRADA"),"",TEXT(B6355,"AAMMDD")&amp;"-"&amp;TEXT(VALUE(SUBSTITUTE(A6355,"MOV-","")),"000"))</f>
        <v/>
      </c>
    </row>
    <row r="6356" spans="18:20">
      <c r="R6356" s="22" t="str">
        <f>IF(H6356="","",H6356&amp;I6356)</f>
        <v/>
      </c>
      <c r="S6356" s="22" t="str">
        <f>IF(C6356="","",C6356&amp;I6356)</f>
        <v/>
      </c>
      <c r="T6356" t="str">
        <f>IF(OR(C6356="",I6356&lt;&gt;"ENTRADA"),"",TEXT(B6356,"AAMMDD")&amp;"-"&amp;TEXT(VALUE(SUBSTITUTE(A6356,"MOV-","")),"000"))</f>
        <v/>
      </c>
    </row>
    <row r="6357" spans="18:20">
      <c r="R6357" s="22" t="str">
        <f>IF(H6357="","",H6357&amp;I6357)</f>
        <v/>
      </c>
      <c r="S6357" s="22" t="str">
        <f>IF(C6357="","",C6357&amp;I6357)</f>
        <v/>
      </c>
      <c r="T6357" t="str">
        <f>IF(OR(C6357="",I6357&lt;&gt;"ENTRADA"),"",TEXT(B6357,"AAMMDD")&amp;"-"&amp;TEXT(VALUE(SUBSTITUTE(A6357,"MOV-","")),"000"))</f>
        <v/>
      </c>
    </row>
    <row r="6358" spans="18:20">
      <c r="R6358" s="22" t="str">
        <f>IF(H6358="","",H6358&amp;I6358)</f>
        <v/>
      </c>
      <c r="S6358" s="22" t="str">
        <f>IF(C6358="","",C6358&amp;I6358)</f>
        <v/>
      </c>
      <c r="T6358" t="str">
        <f>IF(OR(C6358="",I6358&lt;&gt;"ENTRADA"),"",TEXT(B6358,"AAMMDD")&amp;"-"&amp;TEXT(VALUE(SUBSTITUTE(A6358,"MOV-","")),"000"))</f>
        <v/>
      </c>
    </row>
    <row r="6359" spans="18:20">
      <c r="R6359" s="22" t="str">
        <f>IF(H6359="","",H6359&amp;I6359)</f>
        <v/>
      </c>
      <c r="S6359" s="22" t="str">
        <f>IF(C6359="","",C6359&amp;I6359)</f>
        <v/>
      </c>
      <c r="T6359" t="str">
        <f>IF(OR(C6359="",I6359&lt;&gt;"ENTRADA"),"",TEXT(B6359,"AAMMDD")&amp;"-"&amp;TEXT(VALUE(SUBSTITUTE(A6359,"MOV-","")),"000"))</f>
        <v/>
      </c>
    </row>
    <row r="6360" spans="18:20">
      <c r="R6360" s="22" t="str">
        <f>IF(H6360="","",H6360&amp;I6360)</f>
        <v/>
      </c>
      <c r="S6360" s="22" t="str">
        <f>IF(C6360="","",C6360&amp;I6360)</f>
        <v/>
      </c>
      <c r="T6360" t="str">
        <f>IF(OR(C6360="",I6360&lt;&gt;"ENTRADA"),"",TEXT(B6360,"AAMMDD")&amp;"-"&amp;TEXT(VALUE(SUBSTITUTE(A6360,"MOV-","")),"000"))</f>
        <v/>
      </c>
    </row>
    <row r="6361" spans="18:20">
      <c r="R6361" s="22" t="str">
        <f>IF(H6361="","",H6361&amp;I6361)</f>
        <v/>
      </c>
      <c r="S6361" s="22" t="str">
        <f>IF(C6361="","",C6361&amp;I6361)</f>
        <v/>
      </c>
      <c r="T6361" t="str">
        <f>IF(OR(C6361="",I6361&lt;&gt;"ENTRADA"),"",TEXT(B6361,"AAMMDD")&amp;"-"&amp;TEXT(VALUE(SUBSTITUTE(A6361,"MOV-","")),"000"))</f>
        <v/>
      </c>
    </row>
    <row r="6362" spans="18:20">
      <c r="R6362" s="22" t="str">
        <f>IF(H6362="","",H6362&amp;I6362)</f>
        <v/>
      </c>
      <c r="S6362" s="22" t="str">
        <f>IF(C6362="","",C6362&amp;I6362)</f>
        <v/>
      </c>
      <c r="T6362" t="str">
        <f>IF(OR(C6362="",I6362&lt;&gt;"ENTRADA"),"",TEXT(B6362,"AAMMDD")&amp;"-"&amp;TEXT(VALUE(SUBSTITUTE(A6362,"MOV-","")),"000"))</f>
        <v/>
      </c>
    </row>
    <row r="6363" spans="18:20">
      <c r="R6363" s="22" t="str">
        <f>IF(H6363="","",H6363&amp;I6363)</f>
        <v/>
      </c>
      <c r="S6363" s="22" t="str">
        <f>IF(C6363="","",C6363&amp;I6363)</f>
        <v/>
      </c>
      <c r="T6363" t="str">
        <f>IF(OR(C6363="",I6363&lt;&gt;"ENTRADA"),"",TEXT(B6363,"AAMMDD")&amp;"-"&amp;TEXT(VALUE(SUBSTITUTE(A6363,"MOV-","")),"000"))</f>
        <v/>
      </c>
    </row>
    <row r="6364" spans="18:20">
      <c r="R6364" s="22" t="str">
        <f>IF(H6364="","",H6364&amp;I6364)</f>
        <v/>
      </c>
      <c r="S6364" s="22" t="str">
        <f>IF(C6364="","",C6364&amp;I6364)</f>
        <v/>
      </c>
      <c r="T6364" t="str">
        <f>IF(OR(C6364="",I6364&lt;&gt;"ENTRADA"),"",TEXT(B6364,"AAMMDD")&amp;"-"&amp;TEXT(VALUE(SUBSTITUTE(A6364,"MOV-","")),"000"))</f>
        <v/>
      </c>
    </row>
    <row r="6365" spans="18:20">
      <c r="R6365" s="22" t="str">
        <f>IF(H6365="","",H6365&amp;I6365)</f>
        <v/>
      </c>
      <c r="S6365" s="22" t="str">
        <f>IF(C6365="","",C6365&amp;I6365)</f>
        <v/>
      </c>
      <c r="T6365" t="str">
        <f>IF(OR(C6365="",I6365&lt;&gt;"ENTRADA"),"",TEXT(B6365,"AAMMDD")&amp;"-"&amp;TEXT(VALUE(SUBSTITUTE(A6365,"MOV-","")),"000"))</f>
        <v/>
      </c>
    </row>
    <row r="6366" spans="18:20">
      <c r="R6366" s="22" t="str">
        <f>IF(H6366="","",H6366&amp;I6366)</f>
        <v/>
      </c>
      <c r="S6366" s="22" t="str">
        <f>IF(C6366="","",C6366&amp;I6366)</f>
        <v/>
      </c>
      <c r="T6366" t="str">
        <f>IF(OR(C6366="",I6366&lt;&gt;"ENTRADA"),"",TEXT(B6366,"AAMMDD")&amp;"-"&amp;TEXT(VALUE(SUBSTITUTE(A6366,"MOV-","")),"000"))</f>
        <v/>
      </c>
    </row>
    <row r="6367" spans="18:20">
      <c r="R6367" s="22" t="str">
        <f>IF(H6367="","",H6367&amp;I6367)</f>
        <v/>
      </c>
      <c r="S6367" s="22" t="str">
        <f>IF(C6367="","",C6367&amp;I6367)</f>
        <v/>
      </c>
      <c r="T6367" t="str">
        <f>IF(OR(C6367="",I6367&lt;&gt;"ENTRADA"),"",TEXT(B6367,"AAMMDD")&amp;"-"&amp;TEXT(VALUE(SUBSTITUTE(A6367,"MOV-","")),"000"))</f>
        <v/>
      </c>
    </row>
    <row r="6368" spans="18:20">
      <c r="R6368" s="22" t="str">
        <f>IF(H6368="","",H6368&amp;I6368)</f>
        <v/>
      </c>
      <c r="S6368" s="22" t="str">
        <f>IF(C6368="","",C6368&amp;I6368)</f>
        <v/>
      </c>
      <c r="T6368" t="str">
        <f>IF(OR(C6368="",I6368&lt;&gt;"ENTRADA"),"",TEXT(B6368,"AAMMDD")&amp;"-"&amp;TEXT(VALUE(SUBSTITUTE(A6368,"MOV-","")),"000"))</f>
        <v/>
      </c>
    </row>
    <row r="6369" spans="18:20">
      <c r="R6369" s="22" t="str">
        <f>IF(H6369="","",H6369&amp;I6369)</f>
        <v/>
      </c>
      <c r="S6369" s="22" t="str">
        <f>IF(C6369="","",C6369&amp;I6369)</f>
        <v/>
      </c>
      <c r="T6369" t="str">
        <f>IF(OR(C6369="",I6369&lt;&gt;"ENTRADA"),"",TEXT(B6369,"AAMMDD")&amp;"-"&amp;TEXT(VALUE(SUBSTITUTE(A6369,"MOV-","")),"000"))</f>
        <v/>
      </c>
    </row>
    <row r="6370" spans="18:20">
      <c r="R6370" s="22" t="str">
        <f>IF(H6370="","",H6370&amp;I6370)</f>
        <v/>
      </c>
      <c r="S6370" s="22" t="str">
        <f>IF(C6370="","",C6370&amp;I6370)</f>
        <v/>
      </c>
      <c r="T6370" t="str">
        <f>IF(OR(C6370="",I6370&lt;&gt;"ENTRADA"),"",TEXT(B6370,"AAMMDD")&amp;"-"&amp;TEXT(VALUE(SUBSTITUTE(A6370,"MOV-","")),"000"))</f>
        <v/>
      </c>
    </row>
    <row r="6371" spans="18:20">
      <c r="R6371" s="22" t="str">
        <f>IF(H6371="","",H6371&amp;I6371)</f>
        <v/>
      </c>
      <c r="S6371" s="22" t="str">
        <f>IF(C6371="","",C6371&amp;I6371)</f>
        <v/>
      </c>
      <c r="T6371" t="str">
        <f>IF(OR(C6371="",I6371&lt;&gt;"ENTRADA"),"",TEXT(B6371,"AAMMDD")&amp;"-"&amp;TEXT(VALUE(SUBSTITUTE(A6371,"MOV-","")),"000"))</f>
        <v/>
      </c>
    </row>
    <row r="6372" spans="18:20">
      <c r="R6372" s="22" t="str">
        <f>IF(H6372="","",H6372&amp;I6372)</f>
        <v/>
      </c>
      <c r="S6372" s="22" t="str">
        <f>IF(C6372="","",C6372&amp;I6372)</f>
        <v/>
      </c>
      <c r="T6372" t="str">
        <f>IF(OR(C6372="",I6372&lt;&gt;"ENTRADA"),"",TEXT(B6372,"AAMMDD")&amp;"-"&amp;TEXT(VALUE(SUBSTITUTE(A6372,"MOV-","")),"000"))</f>
        <v/>
      </c>
    </row>
    <row r="6373" spans="18:20">
      <c r="R6373" s="22" t="str">
        <f>IF(H6373="","",H6373&amp;I6373)</f>
        <v/>
      </c>
      <c r="S6373" s="22" t="str">
        <f>IF(C6373="","",C6373&amp;I6373)</f>
        <v/>
      </c>
      <c r="T6373" t="str">
        <f>IF(OR(C6373="",I6373&lt;&gt;"ENTRADA"),"",TEXT(B6373,"AAMMDD")&amp;"-"&amp;TEXT(VALUE(SUBSTITUTE(A6373,"MOV-","")),"000"))</f>
        <v/>
      </c>
    </row>
    <row r="6374" spans="18:20">
      <c r="R6374" s="22" t="str">
        <f>IF(H6374="","",H6374&amp;I6374)</f>
        <v/>
      </c>
      <c r="S6374" s="22" t="str">
        <f>IF(C6374="","",C6374&amp;I6374)</f>
        <v/>
      </c>
      <c r="T6374" t="str">
        <f>IF(OR(C6374="",I6374&lt;&gt;"ENTRADA"),"",TEXT(B6374,"AAMMDD")&amp;"-"&amp;TEXT(VALUE(SUBSTITUTE(A6374,"MOV-","")),"000"))</f>
        <v/>
      </c>
    </row>
    <row r="6375" spans="18:20">
      <c r="R6375" s="22" t="str">
        <f>IF(H6375="","",H6375&amp;I6375)</f>
        <v/>
      </c>
      <c r="S6375" s="22" t="str">
        <f>IF(C6375="","",C6375&amp;I6375)</f>
        <v/>
      </c>
      <c r="T6375" t="str">
        <f>IF(OR(C6375="",I6375&lt;&gt;"ENTRADA"),"",TEXT(B6375,"AAMMDD")&amp;"-"&amp;TEXT(VALUE(SUBSTITUTE(A6375,"MOV-","")),"000"))</f>
        <v/>
      </c>
    </row>
    <row r="6376" spans="18:20">
      <c r="R6376" s="22" t="str">
        <f>IF(H6376="","",H6376&amp;I6376)</f>
        <v/>
      </c>
      <c r="S6376" s="22" t="str">
        <f>IF(C6376="","",C6376&amp;I6376)</f>
        <v/>
      </c>
      <c r="T6376" t="str">
        <f>IF(OR(C6376="",I6376&lt;&gt;"ENTRADA"),"",TEXT(B6376,"AAMMDD")&amp;"-"&amp;TEXT(VALUE(SUBSTITUTE(A6376,"MOV-","")),"000"))</f>
        <v/>
      </c>
    </row>
    <row r="6377" spans="18:20">
      <c r="R6377" s="22" t="str">
        <f>IF(H6377="","",H6377&amp;I6377)</f>
        <v/>
      </c>
      <c r="S6377" s="22" t="str">
        <f>IF(C6377="","",C6377&amp;I6377)</f>
        <v/>
      </c>
      <c r="T6377" t="str">
        <f>IF(OR(C6377="",I6377&lt;&gt;"ENTRADA"),"",TEXT(B6377,"AAMMDD")&amp;"-"&amp;TEXT(VALUE(SUBSTITUTE(A6377,"MOV-","")),"000"))</f>
        <v/>
      </c>
    </row>
    <row r="6378" spans="18:20">
      <c r="R6378" s="22" t="str">
        <f>IF(H6378="","",H6378&amp;I6378)</f>
        <v/>
      </c>
      <c r="S6378" s="22" t="str">
        <f>IF(C6378="","",C6378&amp;I6378)</f>
        <v/>
      </c>
      <c r="T6378" t="str">
        <f>IF(OR(C6378="",I6378&lt;&gt;"ENTRADA"),"",TEXT(B6378,"AAMMDD")&amp;"-"&amp;TEXT(VALUE(SUBSTITUTE(A6378,"MOV-","")),"000"))</f>
        <v/>
      </c>
    </row>
    <row r="6379" spans="18:20">
      <c r="R6379" s="22" t="str">
        <f>IF(H6379="","",H6379&amp;I6379)</f>
        <v/>
      </c>
      <c r="S6379" s="22" t="str">
        <f>IF(C6379="","",C6379&amp;I6379)</f>
        <v/>
      </c>
      <c r="T6379" t="str">
        <f>IF(OR(C6379="",I6379&lt;&gt;"ENTRADA"),"",TEXT(B6379,"AAMMDD")&amp;"-"&amp;TEXT(VALUE(SUBSTITUTE(A6379,"MOV-","")),"000"))</f>
        <v/>
      </c>
    </row>
    <row r="6380" spans="18:20">
      <c r="R6380" s="22" t="str">
        <f>IF(H6380="","",H6380&amp;I6380)</f>
        <v/>
      </c>
      <c r="S6380" s="22" t="str">
        <f>IF(C6380="","",C6380&amp;I6380)</f>
        <v/>
      </c>
      <c r="T6380" t="str">
        <f>IF(OR(C6380="",I6380&lt;&gt;"ENTRADA"),"",TEXT(B6380,"AAMMDD")&amp;"-"&amp;TEXT(VALUE(SUBSTITUTE(A6380,"MOV-","")),"000"))</f>
        <v/>
      </c>
    </row>
    <row r="6381" spans="18:20">
      <c r="R6381" s="22" t="str">
        <f>IF(H6381="","",H6381&amp;I6381)</f>
        <v/>
      </c>
      <c r="S6381" s="22" t="str">
        <f>IF(C6381="","",C6381&amp;I6381)</f>
        <v/>
      </c>
      <c r="T6381" t="str">
        <f>IF(OR(C6381="",I6381&lt;&gt;"ENTRADA"),"",TEXT(B6381,"AAMMDD")&amp;"-"&amp;TEXT(VALUE(SUBSTITUTE(A6381,"MOV-","")),"000"))</f>
        <v/>
      </c>
    </row>
    <row r="6382" spans="18:20">
      <c r="R6382" s="22" t="str">
        <f>IF(H6382="","",H6382&amp;I6382)</f>
        <v/>
      </c>
      <c r="S6382" s="22" t="str">
        <f>IF(C6382="","",C6382&amp;I6382)</f>
        <v/>
      </c>
      <c r="T6382" t="str">
        <f>IF(OR(C6382="",I6382&lt;&gt;"ENTRADA"),"",TEXT(B6382,"AAMMDD")&amp;"-"&amp;TEXT(VALUE(SUBSTITUTE(A6382,"MOV-","")),"000"))</f>
        <v/>
      </c>
    </row>
    <row r="6383" spans="18:20">
      <c r="R6383" s="22" t="str">
        <f>IF(H6383="","",H6383&amp;I6383)</f>
        <v/>
      </c>
      <c r="S6383" s="22" t="str">
        <f>IF(C6383="","",C6383&amp;I6383)</f>
        <v/>
      </c>
      <c r="T6383" t="str">
        <f>IF(OR(C6383="",I6383&lt;&gt;"ENTRADA"),"",TEXT(B6383,"AAMMDD")&amp;"-"&amp;TEXT(VALUE(SUBSTITUTE(A6383,"MOV-","")),"000"))</f>
        <v/>
      </c>
    </row>
    <row r="6384" spans="18:20">
      <c r="R6384" s="22" t="str">
        <f>IF(H6384="","",H6384&amp;I6384)</f>
        <v/>
      </c>
      <c r="S6384" s="22" t="str">
        <f>IF(C6384="","",C6384&amp;I6384)</f>
        <v/>
      </c>
      <c r="T6384" t="str">
        <f>IF(OR(C6384="",I6384&lt;&gt;"ENTRADA"),"",TEXT(B6384,"AAMMDD")&amp;"-"&amp;TEXT(VALUE(SUBSTITUTE(A6384,"MOV-","")),"000"))</f>
        <v/>
      </c>
    </row>
    <row r="6385" spans="18:20">
      <c r="R6385" s="22" t="str">
        <f>IF(H6385="","",H6385&amp;I6385)</f>
        <v/>
      </c>
      <c r="S6385" s="22" t="str">
        <f>IF(C6385="","",C6385&amp;I6385)</f>
        <v/>
      </c>
      <c r="T6385" t="str">
        <f>IF(OR(C6385="",I6385&lt;&gt;"ENTRADA"),"",TEXT(B6385,"AAMMDD")&amp;"-"&amp;TEXT(VALUE(SUBSTITUTE(A6385,"MOV-","")),"000"))</f>
        <v/>
      </c>
    </row>
    <row r="6386" spans="18:20">
      <c r="R6386" s="22" t="str">
        <f>IF(H6386="","",H6386&amp;I6386)</f>
        <v/>
      </c>
      <c r="S6386" s="22" t="str">
        <f>IF(C6386="","",C6386&amp;I6386)</f>
        <v/>
      </c>
      <c r="T6386" t="str">
        <f>IF(OR(C6386="",I6386&lt;&gt;"ENTRADA"),"",TEXT(B6386,"AAMMDD")&amp;"-"&amp;TEXT(VALUE(SUBSTITUTE(A6386,"MOV-","")),"000"))</f>
        <v/>
      </c>
    </row>
    <row r="6387" spans="18:20">
      <c r="R6387" s="22" t="str">
        <f>IF(H6387="","",H6387&amp;I6387)</f>
        <v/>
      </c>
      <c r="S6387" s="22" t="str">
        <f>IF(C6387="","",C6387&amp;I6387)</f>
        <v/>
      </c>
      <c r="T6387" t="str">
        <f>IF(OR(C6387="",I6387&lt;&gt;"ENTRADA"),"",TEXT(B6387,"AAMMDD")&amp;"-"&amp;TEXT(VALUE(SUBSTITUTE(A6387,"MOV-","")),"000"))</f>
        <v/>
      </c>
    </row>
    <row r="6388" spans="18:20">
      <c r="R6388" s="22" t="str">
        <f>IF(H6388="","",H6388&amp;I6388)</f>
        <v/>
      </c>
      <c r="S6388" s="22" t="str">
        <f>IF(C6388="","",C6388&amp;I6388)</f>
        <v/>
      </c>
      <c r="T6388" t="str">
        <f>IF(OR(C6388="",I6388&lt;&gt;"ENTRADA"),"",TEXT(B6388,"AAMMDD")&amp;"-"&amp;TEXT(VALUE(SUBSTITUTE(A6388,"MOV-","")),"000"))</f>
        <v/>
      </c>
    </row>
    <row r="6389" spans="18:20">
      <c r="R6389" s="22" t="str">
        <f>IF(H6389="","",H6389&amp;I6389)</f>
        <v/>
      </c>
      <c r="S6389" s="22" t="str">
        <f>IF(C6389="","",C6389&amp;I6389)</f>
        <v/>
      </c>
      <c r="T6389" t="str">
        <f>IF(OR(C6389="",I6389&lt;&gt;"ENTRADA"),"",TEXT(B6389,"AAMMDD")&amp;"-"&amp;TEXT(VALUE(SUBSTITUTE(A6389,"MOV-","")),"000"))</f>
        <v/>
      </c>
    </row>
    <row r="6390" spans="18:20">
      <c r="R6390" s="22" t="str">
        <f>IF(H6390="","",H6390&amp;I6390)</f>
        <v/>
      </c>
      <c r="S6390" s="22" t="str">
        <f>IF(C6390="","",C6390&amp;I6390)</f>
        <v/>
      </c>
      <c r="T6390" t="str">
        <f>IF(OR(C6390="",I6390&lt;&gt;"ENTRADA"),"",TEXT(B6390,"AAMMDD")&amp;"-"&amp;TEXT(VALUE(SUBSTITUTE(A6390,"MOV-","")),"000"))</f>
        <v/>
      </c>
    </row>
    <row r="6391" spans="18:20">
      <c r="R6391" s="22" t="str">
        <f>IF(H6391="","",H6391&amp;I6391)</f>
        <v/>
      </c>
      <c r="S6391" s="22" t="str">
        <f>IF(C6391="","",C6391&amp;I6391)</f>
        <v/>
      </c>
      <c r="T6391" t="str">
        <f>IF(OR(C6391="",I6391&lt;&gt;"ENTRADA"),"",TEXT(B6391,"AAMMDD")&amp;"-"&amp;TEXT(VALUE(SUBSTITUTE(A6391,"MOV-","")),"000"))</f>
        <v/>
      </c>
    </row>
    <row r="6392" spans="18:20">
      <c r="R6392" s="22" t="str">
        <f>IF(H6392="","",H6392&amp;I6392)</f>
        <v/>
      </c>
      <c r="S6392" s="22" t="str">
        <f>IF(C6392="","",C6392&amp;I6392)</f>
        <v/>
      </c>
      <c r="T6392" t="str">
        <f>IF(OR(C6392="",I6392&lt;&gt;"ENTRADA"),"",TEXT(B6392,"AAMMDD")&amp;"-"&amp;TEXT(VALUE(SUBSTITUTE(A6392,"MOV-","")),"000"))</f>
        <v/>
      </c>
    </row>
    <row r="6393" spans="18:20">
      <c r="R6393" s="22" t="str">
        <f>IF(H6393="","",H6393&amp;I6393)</f>
        <v/>
      </c>
      <c r="S6393" s="22" t="str">
        <f>IF(C6393="","",C6393&amp;I6393)</f>
        <v/>
      </c>
      <c r="T6393" t="str">
        <f>IF(OR(C6393="",I6393&lt;&gt;"ENTRADA"),"",TEXT(B6393,"AAMMDD")&amp;"-"&amp;TEXT(VALUE(SUBSTITUTE(A6393,"MOV-","")),"000"))</f>
        <v/>
      </c>
    </row>
    <row r="6394" spans="18:20">
      <c r="R6394" s="22" t="str">
        <f>IF(H6394="","",H6394&amp;I6394)</f>
        <v/>
      </c>
      <c r="S6394" s="22" t="str">
        <f>IF(C6394="","",C6394&amp;I6394)</f>
        <v/>
      </c>
      <c r="T6394" t="str">
        <f>IF(OR(C6394="",I6394&lt;&gt;"ENTRADA"),"",TEXT(B6394,"AAMMDD")&amp;"-"&amp;TEXT(VALUE(SUBSTITUTE(A6394,"MOV-","")),"000"))</f>
        <v/>
      </c>
    </row>
    <row r="6395" spans="18:20">
      <c r="R6395" s="22" t="str">
        <f>IF(H6395="","",H6395&amp;I6395)</f>
        <v/>
      </c>
      <c r="S6395" s="22" t="str">
        <f>IF(C6395="","",C6395&amp;I6395)</f>
        <v/>
      </c>
      <c r="T6395" t="str">
        <f>IF(OR(C6395="",I6395&lt;&gt;"ENTRADA"),"",TEXT(B6395,"AAMMDD")&amp;"-"&amp;TEXT(VALUE(SUBSTITUTE(A6395,"MOV-","")),"000"))</f>
        <v/>
      </c>
    </row>
    <row r="6396" spans="18:20">
      <c r="R6396" s="22" t="str">
        <f>IF(H6396="","",H6396&amp;I6396)</f>
        <v/>
      </c>
      <c r="S6396" s="22" t="str">
        <f>IF(C6396="","",C6396&amp;I6396)</f>
        <v/>
      </c>
      <c r="T6396" t="str">
        <f>IF(OR(C6396="",I6396&lt;&gt;"ENTRADA"),"",TEXT(B6396,"AAMMDD")&amp;"-"&amp;TEXT(VALUE(SUBSTITUTE(A6396,"MOV-","")),"000"))</f>
        <v/>
      </c>
    </row>
    <row r="6397" spans="18:20">
      <c r="R6397" s="22" t="str">
        <f>IF(H6397="","",H6397&amp;I6397)</f>
        <v/>
      </c>
      <c r="S6397" s="22" t="str">
        <f>IF(C6397="","",C6397&amp;I6397)</f>
        <v/>
      </c>
      <c r="T6397" t="str">
        <f>IF(OR(C6397="",I6397&lt;&gt;"ENTRADA"),"",TEXT(B6397,"AAMMDD")&amp;"-"&amp;TEXT(VALUE(SUBSTITUTE(A6397,"MOV-","")),"000"))</f>
        <v/>
      </c>
    </row>
    <row r="6398" spans="18:20">
      <c r="R6398" s="22" t="str">
        <f>IF(H6398="","",H6398&amp;I6398)</f>
        <v/>
      </c>
      <c r="S6398" s="22" t="str">
        <f>IF(C6398="","",C6398&amp;I6398)</f>
        <v/>
      </c>
      <c r="T6398" t="str">
        <f>IF(OR(C6398="",I6398&lt;&gt;"ENTRADA"),"",TEXT(B6398,"AAMMDD")&amp;"-"&amp;TEXT(VALUE(SUBSTITUTE(A6398,"MOV-","")),"000"))</f>
        <v/>
      </c>
    </row>
    <row r="6399" spans="18:20">
      <c r="R6399" s="22" t="str">
        <f>IF(H6399="","",H6399&amp;I6399)</f>
        <v/>
      </c>
      <c r="S6399" s="22" t="str">
        <f>IF(C6399="","",C6399&amp;I6399)</f>
        <v/>
      </c>
      <c r="T6399" t="str">
        <f>IF(OR(C6399="",I6399&lt;&gt;"ENTRADA"),"",TEXT(B6399,"AAMMDD")&amp;"-"&amp;TEXT(VALUE(SUBSTITUTE(A6399,"MOV-","")),"000"))</f>
        <v/>
      </c>
    </row>
    <row r="6400" spans="18:20">
      <c r="R6400" s="22" t="str">
        <f>IF(H6400="","",H6400&amp;I6400)</f>
        <v/>
      </c>
      <c r="S6400" s="22" t="str">
        <f>IF(C6400="","",C6400&amp;I6400)</f>
        <v/>
      </c>
      <c r="T6400" t="str">
        <f>IF(OR(C6400="",I6400&lt;&gt;"ENTRADA"),"",TEXT(B6400,"AAMMDD")&amp;"-"&amp;TEXT(VALUE(SUBSTITUTE(A6400,"MOV-","")),"000"))</f>
        <v/>
      </c>
    </row>
    <row r="6401" spans="18:20">
      <c r="R6401" s="22" t="str">
        <f>IF(H6401="","",H6401&amp;I6401)</f>
        <v/>
      </c>
      <c r="S6401" s="22" t="str">
        <f>IF(C6401="","",C6401&amp;I6401)</f>
        <v/>
      </c>
      <c r="T6401" t="str">
        <f>IF(OR(C6401="",I6401&lt;&gt;"ENTRADA"),"",TEXT(B6401,"AAMMDD")&amp;"-"&amp;TEXT(VALUE(SUBSTITUTE(A6401,"MOV-","")),"000"))</f>
        <v/>
      </c>
    </row>
    <row r="6402" spans="18:20">
      <c r="R6402" s="22" t="str">
        <f>IF(H6402="","",H6402&amp;I6402)</f>
        <v/>
      </c>
      <c r="S6402" s="22" t="str">
        <f>IF(C6402="","",C6402&amp;I6402)</f>
        <v/>
      </c>
      <c r="T6402" t="str">
        <f>IF(OR(C6402="",I6402&lt;&gt;"ENTRADA"),"",TEXT(B6402,"AAMMDD")&amp;"-"&amp;TEXT(VALUE(SUBSTITUTE(A6402,"MOV-","")),"000"))</f>
        <v/>
      </c>
    </row>
    <row r="6403" spans="18:20">
      <c r="R6403" s="22" t="str">
        <f>IF(H6403="","",H6403&amp;I6403)</f>
        <v/>
      </c>
      <c r="S6403" s="22" t="str">
        <f>IF(C6403="","",C6403&amp;I6403)</f>
        <v/>
      </c>
      <c r="T6403" t="str">
        <f>IF(OR(C6403="",I6403&lt;&gt;"ENTRADA"),"",TEXT(B6403,"AAMMDD")&amp;"-"&amp;TEXT(VALUE(SUBSTITUTE(A6403,"MOV-","")),"000"))</f>
        <v/>
      </c>
    </row>
    <row r="6404" spans="18:20">
      <c r="R6404" s="22" t="str">
        <f>IF(H6404="","",H6404&amp;I6404)</f>
        <v/>
      </c>
      <c r="S6404" s="22" t="str">
        <f>IF(C6404="","",C6404&amp;I6404)</f>
        <v/>
      </c>
      <c r="T6404" t="str">
        <f>IF(OR(C6404="",I6404&lt;&gt;"ENTRADA"),"",TEXT(B6404,"AAMMDD")&amp;"-"&amp;TEXT(VALUE(SUBSTITUTE(A6404,"MOV-","")),"000"))</f>
        <v/>
      </c>
    </row>
    <row r="6405" spans="18:20">
      <c r="R6405" s="22" t="str">
        <f>IF(H6405="","",H6405&amp;I6405)</f>
        <v/>
      </c>
      <c r="S6405" s="22" t="str">
        <f>IF(C6405="","",C6405&amp;I6405)</f>
        <v/>
      </c>
      <c r="T6405" t="str">
        <f>IF(OR(C6405="",I6405&lt;&gt;"ENTRADA"),"",TEXT(B6405,"AAMMDD")&amp;"-"&amp;TEXT(VALUE(SUBSTITUTE(A6405,"MOV-","")),"000"))</f>
        <v/>
      </c>
    </row>
    <row r="6406" spans="18:20">
      <c r="R6406" s="22" t="str">
        <f>IF(H6406="","",H6406&amp;I6406)</f>
        <v/>
      </c>
      <c r="S6406" s="22" t="str">
        <f>IF(C6406="","",C6406&amp;I6406)</f>
        <v/>
      </c>
      <c r="T6406" t="str">
        <f>IF(OR(C6406="",I6406&lt;&gt;"ENTRADA"),"",TEXT(B6406,"AAMMDD")&amp;"-"&amp;TEXT(VALUE(SUBSTITUTE(A6406,"MOV-","")),"000"))</f>
        <v/>
      </c>
    </row>
    <row r="6407" spans="18:20">
      <c r="R6407" s="22" t="str">
        <f>IF(H6407="","",H6407&amp;I6407)</f>
        <v/>
      </c>
      <c r="S6407" s="22" t="str">
        <f>IF(C6407="","",C6407&amp;I6407)</f>
        <v/>
      </c>
      <c r="T6407" t="str">
        <f>IF(OR(C6407="",I6407&lt;&gt;"ENTRADA"),"",TEXT(B6407,"AAMMDD")&amp;"-"&amp;TEXT(VALUE(SUBSTITUTE(A6407,"MOV-","")),"000"))</f>
        <v/>
      </c>
    </row>
    <row r="6408" spans="18:20">
      <c r="R6408" s="22" t="str">
        <f>IF(H6408="","",H6408&amp;I6408)</f>
        <v/>
      </c>
      <c r="S6408" s="22" t="str">
        <f>IF(C6408="","",C6408&amp;I6408)</f>
        <v/>
      </c>
      <c r="T6408" t="str">
        <f>IF(OR(C6408="",I6408&lt;&gt;"ENTRADA"),"",TEXT(B6408,"AAMMDD")&amp;"-"&amp;TEXT(VALUE(SUBSTITUTE(A6408,"MOV-","")),"000"))</f>
        <v/>
      </c>
    </row>
    <row r="6409" spans="18:20">
      <c r="R6409" s="22" t="str">
        <f>IF(H6409="","",H6409&amp;I6409)</f>
        <v/>
      </c>
      <c r="S6409" s="22" t="str">
        <f>IF(C6409="","",C6409&amp;I6409)</f>
        <v/>
      </c>
      <c r="T6409" t="str">
        <f>IF(OR(C6409="",I6409&lt;&gt;"ENTRADA"),"",TEXT(B6409,"AAMMDD")&amp;"-"&amp;TEXT(VALUE(SUBSTITUTE(A6409,"MOV-","")),"000"))</f>
        <v/>
      </c>
    </row>
    <row r="6410" spans="18:20">
      <c r="R6410" s="22" t="str">
        <f>IF(H6410="","",H6410&amp;I6410)</f>
        <v/>
      </c>
      <c r="S6410" s="22" t="str">
        <f>IF(C6410="","",C6410&amp;I6410)</f>
        <v/>
      </c>
      <c r="T6410" t="str">
        <f>IF(OR(C6410="",I6410&lt;&gt;"ENTRADA"),"",TEXT(B6410,"AAMMDD")&amp;"-"&amp;TEXT(VALUE(SUBSTITUTE(A6410,"MOV-","")),"000"))</f>
        <v/>
      </c>
    </row>
    <row r="6411" spans="18:20">
      <c r="R6411" s="22" t="str">
        <f>IF(H6411="","",H6411&amp;I6411)</f>
        <v/>
      </c>
      <c r="S6411" s="22" t="str">
        <f>IF(C6411="","",C6411&amp;I6411)</f>
        <v/>
      </c>
      <c r="T6411" t="str">
        <f>IF(OR(C6411="",I6411&lt;&gt;"ENTRADA"),"",TEXT(B6411,"AAMMDD")&amp;"-"&amp;TEXT(VALUE(SUBSTITUTE(A6411,"MOV-","")),"000"))</f>
        <v/>
      </c>
    </row>
    <row r="6412" spans="18:20">
      <c r="R6412" s="22" t="str">
        <f>IF(H6412="","",H6412&amp;I6412)</f>
        <v/>
      </c>
      <c r="S6412" s="22" t="str">
        <f>IF(C6412="","",C6412&amp;I6412)</f>
        <v/>
      </c>
      <c r="T6412" t="str">
        <f>IF(OR(C6412="",I6412&lt;&gt;"ENTRADA"),"",TEXT(B6412,"AAMMDD")&amp;"-"&amp;TEXT(VALUE(SUBSTITUTE(A6412,"MOV-","")),"000"))</f>
        <v/>
      </c>
    </row>
    <row r="6413" spans="18:20">
      <c r="R6413" s="22" t="str">
        <f>IF(H6413="","",H6413&amp;I6413)</f>
        <v/>
      </c>
      <c r="S6413" s="22" t="str">
        <f>IF(C6413="","",C6413&amp;I6413)</f>
        <v/>
      </c>
      <c r="T6413" t="str">
        <f>IF(OR(C6413="",I6413&lt;&gt;"ENTRADA"),"",TEXT(B6413,"AAMMDD")&amp;"-"&amp;TEXT(VALUE(SUBSTITUTE(A6413,"MOV-","")),"000"))</f>
        <v/>
      </c>
    </row>
    <row r="6414" spans="18:20">
      <c r="R6414" s="22" t="str">
        <f>IF(H6414="","",H6414&amp;I6414)</f>
        <v/>
      </c>
      <c r="S6414" s="22" t="str">
        <f>IF(C6414="","",C6414&amp;I6414)</f>
        <v/>
      </c>
      <c r="T6414" t="str">
        <f>IF(OR(C6414="",I6414&lt;&gt;"ENTRADA"),"",TEXT(B6414,"AAMMDD")&amp;"-"&amp;TEXT(VALUE(SUBSTITUTE(A6414,"MOV-","")),"000"))</f>
        <v/>
      </c>
    </row>
    <row r="6415" spans="18:20">
      <c r="R6415" s="22" t="str">
        <f>IF(H6415="","",H6415&amp;I6415)</f>
        <v/>
      </c>
      <c r="S6415" s="22" t="str">
        <f>IF(C6415="","",C6415&amp;I6415)</f>
        <v/>
      </c>
      <c r="T6415" t="str">
        <f>IF(OR(C6415="",I6415&lt;&gt;"ENTRADA"),"",TEXT(B6415,"AAMMDD")&amp;"-"&amp;TEXT(VALUE(SUBSTITUTE(A6415,"MOV-","")),"000"))</f>
        <v/>
      </c>
    </row>
    <row r="6416" spans="18:20">
      <c r="R6416" s="22" t="str">
        <f>IF(H6416="","",H6416&amp;I6416)</f>
        <v/>
      </c>
      <c r="S6416" s="22" t="str">
        <f>IF(C6416="","",C6416&amp;I6416)</f>
        <v/>
      </c>
      <c r="T6416" t="str">
        <f>IF(OR(C6416="",I6416&lt;&gt;"ENTRADA"),"",TEXT(B6416,"AAMMDD")&amp;"-"&amp;TEXT(VALUE(SUBSTITUTE(A6416,"MOV-","")),"000"))</f>
        <v/>
      </c>
    </row>
    <row r="6417" spans="18:20">
      <c r="R6417" s="22" t="str">
        <f>IF(H6417="","",H6417&amp;I6417)</f>
        <v/>
      </c>
      <c r="S6417" s="22" t="str">
        <f>IF(C6417="","",C6417&amp;I6417)</f>
        <v/>
      </c>
      <c r="T6417" t="str">
        <f>IF(OR(C6417="",I6417&lt;&gt;"ENTRADA"),"",TEXT(B6417,"AAMMDD")&amp;"-"&amp;TEXT(VALUE(SUBSTITUTE(A6417,"MOV-","")),"000"))</f>
        <v/>
      </c>
    </row>
    <row r="6418" spans="18:20">
      <c r="R6418" s="22" t="str">
        <f>IF(H6418="","",H6418&amp;I6418)</f>
        <v/>
      </c>
      <c r="S6418" s="22" t="str">
        <f>IF(C6418="","",C6418&amp;I6418)</f>
        <v/>
      </c>
      <c r="T6418" t="str">
        <f>IF(OR(C6418="",I6418&lt;&gt;"ENTRADA"),"",TEXT(B6418,"AAMMDD")&amp;"-"&amp;TEXT(VALUE(SUBSTITUTE(A6418,"MOV-","")),"000"))</f>
        <v/>
      </c>
    </row>
    <row r="6419" spans="18:20">
      <c r="R6419" s="22" t="str">
        <f>IF(H6419="","",H6419&amp;I6419)</f>
        <v/>
      </c>
      <c r="S6419" s="22" t="str">
        <f>IF(C6419="","",C6419&amp;I6419)</f>
        <v/>
      </c>
      <c r="T6419" t="str">
        <f>IF(OR(C6419="",I6419&lt;&gt;"ENTRADA"),"",TEXT(B6419,"AAMMDD")&amp;"-"&amp;TEXT(VALUE(SUBSTITUTE(A6419,"MOV-","")),"000"))</f>
        <v/>
      </c>
    </row>
    <row r="6420" spans="18:20">
      <c r="R6420" s="22" t="str">
        <f>IF(H6420="","",H6420&amp;I6420)</f>
        <v/>
      </c>
      <c r="S6420" s="22" t="str">
        <f>IF(C6420="","",C6420&amp;I6420)</f>
        <v/>
      </c>
      <c r="T6420" t="str">
        <f>IF(OR(C6420="",I6420&lt;&gt;"ENTRADA"),"",TEXT(B6420,"AAMMDD")&amp;"-"&amp;TEXT(VALUE(SUBSTITUTE(A6420,"MOV-","")),"000"))</f>
        <v/>
      </c>
    </row>
    <row r="6421" spans="18:20">
      <c r="R6421" s="22" t="str">
        <f>IF(H6421="","",H6421&amp;I6421)</f>
        <v/>
      </c>
      <c r="S6421" s="22" t="str">
        <f>IF(C6421="","",C6421&amp;I6421)</f>
        <v/>
      </c>
      <c r="T6421" t="str">
        <f>IF(OR(C6421="",I6421&lt;&gt;"ENTRADA"),"",TEXT(B6421,"AAMMDD")&amp;"-"&amp;TEXT(VALUE(SUBSTITUTE(A6421,"MOV-","")),"000"))</f>
        <v/>
      </c>
    </row>
    <row r="6422" spans="18:20">
      <c r="R6422" s="22" t="str">
        <f>IF(H6422="","",H6422&amp;I6422)</f>
        <v/>
      </c>
      <c r="S6422" s="22" t="str">
        <f>IF(C6422="","",C6422&amp;I6422)</f>
        <v/>
      </c>
      <c r="T6422" t="str">
        <f>IF(OR(C6422="",I6422&lt;&gt;"ENTRADA"),"",TEXT(B6422,"AAMMDD")&amp;"-"&amp;TEXT(VALUE(SUBSTITUTE(A6422,"MOV-","")),"000"))</f>
        <v/>
      </c>
    </row>
    <row r="6423" spans="18:20">
      <c r="R6423" s="22" t="str">
        <f>IF(H6423="","",H6423&amp;I6423)</f>
        <v/>
      </c>
      <c r="S6423" s="22" t="str">
        <f>IF(C6423="","",C6423&amp;I6423)</f>
        <v/>
      </c>
      <c r="T6423" t="str">
        <f>IF(OR(C6423="",I6423&lt;&gt;"ENTRADA"),"",TEXT(B6423,"AAMMDD")&amp;"-"&amp;TEXT(VALUE(SUBSTITUTE(A6423,"MOV-","")),"000"))</f>
        <v/>
      </c>
    </row>
    <row r="6424" spans="18:20">
      <c r="R6424" s="22" t="str">
        <f>IF(H6424="","",H6424&amp;I6424)</f>
        <v/>
      </c>
      <c r="S6424" s="22" t="str">
        <f>IF(C6424="","",C6424&amp;I6424)</f>
        <v/>
      </c>
      <c r="T6424" t="str">
        <f>IF(OR(C6424="",I6424&lt;&gt;"ENTRADA"),"",TEXT(B6424,"AAMMDD")&amp;"-"&amp;TEXT(VALUE(SUBSTITUTE(A6424,"MOV-","")),"000"))</f>
        <v/>
      </c>
    </row>
    <row r="6425" spans="18:20">
      <c r="R6425" s="22" t="str">
        <f>IF(H6425="","",H6425&amp;I6425)</f>
        <v/>
      </c>
      <c r="S6425" s="22" t="str">
        <f>IF(C6425="","",C6425&amp;I6425)</f>
        <v/>
      </c>
      <c r="T6425" t="str">
        <f>IF(OR(C6425="",I6425&lt;&gt;"ENTRADA"),"",TEXT(B6425,"AAMMDD")&amp;"-"&amp;TEXT(VALUE(SUBSTITUTE(A6425,"MOV-","")),"000"))</f>
        <v/>
      </c>
    </row>
    <row r="6426" spans="18:20">
      <c r="R6426" s="22" t="str">
        <f>IF(H6426="","",H6426&amp;I6426)</f>
        <v/>
      </c>
      <c r="S6426" s="22" t="str">
        <f>IF(C6426="","",C6426&amp;I6426)</f>
        <v/>
      </c>
      <c r="T6426" t="str">
        <f>IF(OR(C6426="",I6426&lt;&gt;"ENTRADA"),"",TEXT(B6426,"AAMMDD")&amp;"-"&amp;TEXT(VALUE(SUBSTITUTE(A6426,"MOV-","")),"000"))</f>
        <v/>
      </c>
    </row>
    <row r="6427" spans="18:20">
      <c r="R6427" s="22" t="str">
        <f>IF(H6427="","",H6427&amp;I6427)</f>
        <v/>
      </c>
      <c r="S6427" s="22" t="str">
        <f>IF(C6427="","",C6427&amp;I6427)</f>
        <v/>
      </c>
      <c r="T6427" t="str">
        <f>IF(OR(C6427="",I6427&lt;&gt;"ENTRADA"),"",TEXT(B6427,"AAMMDD")&amp;"-"&amp;TEXT(VALUE(SUBSTITUTE(A6427,"MOV-","")),"000"))</f>
        <v/>
      </c>
    </row>
    <row r="6428" spans="18:20">
      <c r="R6428" s="22" t="str">
        <f>IF(H6428="","",H6428&amp;I6428)</f>
        <v/>
      </c>
      <c r="S6428" s="22" t="str">
        <f>IF(C6428="","",C6428&amp;I6428)</f>
        <v/>
      </c>
      <c r="T6428" t="str">
        <f>IF(OR(C6428="",I6428&lt;&gt;"ENTRADA"),"",TEXT(B6428,"AAMMDD")&amp;"-"&amp;TEXT(VALUE(SUBSTITUTE(A6428,"MOV-","")),"000"))</f>
        <v/>
      </c>
    </row>
    <row r="6429" spans="18:20">
      <c r="R6429" s="22" t="str">
        <f>IF(H6429="","",H6429&amp;I6429)</f>
        <v/>
      </c>
      <c r="S6429" s="22" t="str">
        <f>IF(C6429="","",C6429&amp;I6429)</f>
        <v/>
      </c>
      <c r="T6429" t="str">
        <f>IF(OR(C6429="",I6429&lt;&gt;"ENTRADA"),"",TEXT(B6429,"AAMMDD")&amp;"-"&amp;TEXT(VALUE(SUBSTITUTE(A6429,"MOV-","")),"000"))</f>
        <v/>
      </c>
    </row>
    <row r="6430" spans="18:20">
      <c r="R6430" s="22" t="str">
        <f>IF(H6430="","",H6430&amp;I6430)</f>
        <v/>
      </c>
      <c r="S6430" s="22" t="str">
        <f>IF(C6430="","",C6430&amp;I6430)</f>
        <v/>
      </c>
      <c r="T6430" t="str">
        <f>IF(OR(C6430="",I6430&lt;&gt;"ENTRADA"),"",TEXT(B6430,"AAMMDD")&amp;"-"&amp;TEXT(VALUE(SUBSTITUTE(A6430,"MOV-","")),"000"))</f>
        <v/>
      </c>
    </row>
    <row r="6431" spans="18:20">
      <c r="R6431" s="22" t="str">
        <f>IF(H6431="","",H6431&amp;I6431)</f>
        <v/>
      </c>
      <c r="S6431" s="22" t="str">
        <f>IF(C6431="","",C6431&amp;I6431)</f>
        <v/>
      </c>
      <c r="T6431" t="str">
        <f>IF(OR(C6431="",I6431&lt;&gt;"ENTRADA"),"",TEXT(B6431,"AAMMDD")&amp;"-"&amp;TEXT(VALUE(SUBSTITUTE(A6431,"MOV-","")),"000"))</f>
        <v/>
      </c>
    </row>
    <row r="6432" spans="18:20">
      <c r="R6432" s="22" t="str">
        <f>IF(H6432="","",H6432&amp;I6432)</f>
        <v/>
      </c>
      <c r="S6432" s="22" t="str">
        <f>IF(C6432="","",C6432&amp;I6432)</f>
        <v/>
      </c>
      <c r="T6432" t="str">
        <f>IF(OR(C6432="",I6432&lt;&gt;"ENTRADA"),"",TEXT(B6432,"AAMMDD")&amp;"-"&amp;TEXT(VALUE(SUBSTITUTE(A6432,"MOV-","")),"000"))</f>
        <v/>
      </c>
    </row>
    <row r="6433" spans="18:20">
      <c r="R6433" s="22" t="str">
        <f>IF(H6433="","",H6433&amp;I6433)</f>
        <v/>
      </c>
      <c r="S6433" s="22" t="str">
        <f>IF(C6433="","",C6433&amp;I6433)</f>
        <v/>
      </c>
      <c r="T6433" t="str">
        <f>IF(OR(C6433="",I6433&lt;&gt;"ENTRADA"),"",TEXT(B6433,"AAMMDD")&amp;"-"&amp;TEXT(VALUE(SUBSTITUTE(A6433,"MOV-","")),"000"))</f>
        <v/>
      </c>
    </row>
    <row r="6434" spans="18:20">
      <c r="R6434" s="22" t="str">
        <f>IF(H6434="","",H6434&amp;I6434)</f>
        <v/>
      </c>
      <c r="S6434" s="22" t="str">
        <f>IF(C6434="","",C6434&amp;I6434)</f>
        <v/>
      </c>
      <c r="T6434" t="str">
        <f>IF(OR(C6434="",I6434&lt;&gt;"ENTRADA"),"",TEXT(B6434,"AAMMDD")&amp;"-"&amp;TEXT(VALUE(SUBSTITUTE(A6434,"MOV-","")),"000"))</f>
        <v/>
      </c>
    </row>
    <row r="6435" spans="18:20">
      <c r="R6435" s="22" t="str">
        <f>IF(H6435="","",H6435&amp;I6435)</f>
        <v/>
      </c>
      <c r="S6435" s="22" t="str">
        <f>IF(C6435="","",C6435&amp;I6435)</f>
        <v/>
      </c>
      <c r="T6435" t="str">
        <f>IF(OR(C6435="",I6435&lt;&gt;"ENTRADA"),"",TEXT(B6435,"AAMMDD")&amp;"-"&amp;TEXT(VALUE(SUBSTITUTE(A6435,"MOV-","")),"000"))</f>
        <v/>
      </c>
    </row>
    <row r="6436" spans="18:20">
      <c r="R6436" s="22" t="str">
        <f>IF(H6436="","",H6436&amp;I6436)</f>
        <v/>
      </c>
      <c r="S6436" s="22" t="str">
        <f>IF(C6436="","",C6436&amp;I6436)</f>
        <v/>
      </c>
      <c r="T6436" t="str">
        <f>IF(OR(C6436="",I6436&lt;&gt;"ENTRADA"),"",TEXT(B6436,"AAMMDD")&amp;"-"&amp;TEXT(VALUE(SUBSTITUTE(A6436,"MOV-","")),"000"))</f>
        <v/>
      </c>
    </row>
    <row r="6437" spans="18:20">
      <c r="R6437" s="22" t="str">
        <f>IF(H6437="","",H6437&amp;I6437)</f>
        <v/>
      </c>
      <c r="S6437" s="22" t="str">
        <f>IF(C6437="","",C6437&amp;I6437)</f>
        <v/>
      </c>
      <c r="T6437" t="str">
        <f>IF(OR(C6437="",I6437&lt;&gt;"ENTRADA"),"",TEXT(B6437,"AAMMDD")&amp;"-"&amp;TEXT(VALUE(SUBSTITUTE(A6437,"MOV-","")),"000"))</f>
        <v/>
      </c>
    </row>
    <row r="6438" spans="18:20">
      <c r="R6438" s="22" t="str">
        <f>IF(H6438="","",H6438&amp;I6438)</f>
        <v/>
      </c>
      <c r="S6438" s="22" t="str">
        <f>IF(C6438="","",C6438&amp;I6438)</f>
        <v/>
      </c>
      <c r="T6438" t="str">
        <f>IF(OR(C6438="",I6438&lt;&gt;"ENTRADA"),"",TEXT(B6438,"AAMMDD")&amp;"-"&amp;TEXT(VALUE(SUBSTITUTE(A6438,"MOV-","")),"000"))</f>
        <v/>
      </c>
    </row>
    <row r="6439" spans="18:20">
      <c r="R6439" s="22" t="str">
        <f>IF(H6439="","",H6439&amp;I6439)</f>
        <v/>
      </c>
      <c r="S6439" s="22" t="str">
        <f>IF(C6439="","",C6439&amp;I6439)</f>
        <v/>
      </c>
      <c r="T6439" t="str">
        <f>IF(OR(C6439="",I6439&lt;&gt;"ENTRADA"),"",TEXT(B6439,"AAMMDD")&amp;"-"&amp;TEXT(VALUE(SUBSTITUTE(A6439,"MOV-","")),"000"))</f>
        <v/>
      </c>
    </row>
    <row r="6440" spans="18:20">
      <c r="R6440" s="22" t="str">
        <f>IF(H6440="","",H6440&amp;I6440)</f>
        <v/>
      </c>
      <c r="S6440" s="22" t="str">
        <f>IF(C6440="","",C6440&amp;I6440)</f>
        <v/>
      </c>
      <c r="T6440" t="str">
        <f>IF(OR(C6440="",I6440&lt;&gt;"ENTRADA"),"",TEXT(B6440,"AAMMDD")&amp;"-"&amp;TEXT(VALUE(SUBSTITUTE(A6440,"MOV-","")),"000"))</f>
        <v/>
      </c>
    </row>
    <row r="6441" spans="18:20">
      <c r="R6441" s="22" t="str">
        <f>IF(H6441="","",H6441&amp;I6441)</f>
        <v/>
      </c>
      <c r="S6441" s="22" t="str">
        <f>IF(C6441="","",C6441&amp;I6441)</f>
        <v/>
      </c>
      <c r="T6441" t="str">
        <f>IF(OR(C6441="",I6441&lt;&gt;"ENTRADA"),"",TEXT(B6441,"AAMMDD")&amp;"-"&amp;TEXT(VALUE(SUBSTITUTE(A6441,"MOV-","")),"000"))</f>
        <v/>
      </c>
    </row>
    <row r="6442" spans="18:20">
      <c r="R6442" s="22" t="str">
        <f>IF(H6442="","",H6442&amp;I6442)</f>
        <v/>
      </c>
      <c r="S6442" s="22" t="str">
        <f>IF(C6442="","",C6442&amp;I6442)</f>
        <v/>
      </c>
      <c r="T6442" t="str">
        <f>IF(OR(C6442="",I6442&lt;&gt;"ENTRADA"),"",TEXT(B6442,"AAMMDD")&amp;"-"&amp;TEXT(VALUE(SUBSTITUTE(A6442,"MOV-","")),"000"))</f>
        <v/>
      </c>
    </row>
    <row r="6443" spans="18:20">
      <c r="R6443" s="22" t="str">
        <f>IF(H6443="","",H6443&amp;I6443)</f>
        <v/>
      </c>
      <c r="S6443" s="22" t="str">
        <f>IF(C6443="","",C6443&amp;I6443)</f>
        <v/>
      </c>
      <c r="T6443" t="str">
        <f>IF(OR(C6443="",I6443&lt;&gt;"ENTRADA"),"",TEXT(B6443,"AAMMDD")&amp;"-"&amp;TEXT(VALUE(SUBSTITUTE(A6443,"MOV-","")),"000"))</f>
        <v/>
      </c>
    </row>
    <row r="6444" spans="18:20">
      <c r="R6444" s="22" t="str">
        <f>IF(H6444="","",H6444&amp;I6444)</f>
        <v/>
      </c>
      <c r="S6444" s="22" t="str">
        <f>IF(C6444="","",C6444&amp;I6444)</f>
        <v/>
      </c>
      <c r="T6444" t="str">
        <f>IF(OR(C6444="",I6444&lt;&gt;"ENTRADA"),"",TEXT(B6444,"AAMMDD")&amp;"-"&amp;TEXT(VALUE(SUBSTITUTE(A6444,"MOV-","")),"000"))</f>
        <v/>
      </c>
    </row>
    <row r="6445" spans="18:20">
      <c r="R6445" s="22" t="str">
        <f>IF(H6445="","",H6445&amp;I6445)</f>
        <v/>
      </c>
      <c r="S6445" s="22" t="str">
        <f>IF(C6445="","",C6445&amp;I6445)</f>
        <v/>
      </c>
      <c r="T6445" t="str">
        <f>IF(OR(C6445="",I6445&lt;&gt;"ENTRADA"),"",TEXT(B6445,"AAMMDD")&amp;"-"&amp;TEXT(VALUE(SUBSTITUTE(A6445,"MOV-","")),"000"))</f>
        <v/>
      </c>
    </row>
    <row r="6446" spans="18:20">
      <c r="R6446" s="22" t="str">
        <f>IF(H6446="","",H6446&amp;I6446)</f>
        <v/>
      </c>
      <c r="S6446" s="22" t="str">
        <f>IF(C6446="","",C6446&amp;I6446)</f>
        <v/>
      </c>
      <c r="T6446" t="str">
        <f>IF(OR(C6446="",I6446&lt;&gt;"ENTRADA"),"",TEXT(B6446,"AAMMDD")&amp;"-"&amp;TEXT(VALUE(SUBSTITUTE(A6446,"MOV-","")),"000"))</f>
        <v/>
      </c>
    </row>
    <row r="6447" spans="18:20">
      <c r="R6447" s="22" t="str">
        <f>IF(H6447="","",H6447&amp;I6447)</f>
        <v/>
      </c>
      <c r="S6447" s="22" t="str">
        <f>IF(C6447="","",C6447&amp;I6447)</f>
        <v/>
      </c>
      <c r="T6447" t="str">
        <f>IF(OR(C6447="",I6447&lt;&gt;"ENTRADA"),"",TEXT(B6447,"AAMMDD")&amp;"-"&amp;TEXT(VALUE(SUBSTITUTE(A6447,"MOV-","")),"000"))</f>
        <v/>
      </c>
    </row>
    <row r="6448" spans="18:20">
      <c r="R6448" s="22" t="str">
        <f>IF(H6448="","",H6448&amp;I6448)</f>
        <v/>
      </c>
      <c r="S6448" s="22" t="str">
        <f>IF(C6448="","",C6448&amp;I6448)</f>
        <v/>
      </c>
      <c r="T6448" t="str">
        <f>IF(OR(C6448="",I6448&lt;&gt;"ENTRADA"),"",TEXT(B6448,"AAMMDD")&amp;"-"&amp;TEXT(VALUE(SUBSTITUTE(A6448,"MOV-","")),"000"))</f>
        <v/>
      </c>
    </row>
    <row r="6449" spans="18:20">
      <c r="R6449" s="22" t="str">
        <f>IF(H6449="","",H6449&amp;I6449)</f>
        <v/>
      </c>
      <c r="S6449" s="22" t="str">
        <f>IF(C6449="","",C6449&amp;I6449)</f>
        <v/>
      </c>
      <c r="T6449" t="str">
        <f>IF(OR(C6449="",I6449&lt;&gt;"ENTRADA"),"",TEXT(B6449,"AAMMDD")&amp;"-"&amp;TEXT(VALUE(SUBSTITUTE(A6449,"MOV-","")),"000"))</f>
        <v/>
      </c>
    </row>
    <row r="6450" spans="18:20">
      <c r="R6450" s="22" t="str">
        <f>IF(H6450="","",H6450&amp;I6450)</f>
        <v/>
      </c>
      <c r="S6450" s="22" t="str">
        <f>IF(C6450="","",C6450&amp;I6450)</f>
        <v/>
      </c>
      <c r="T6450" t="str">
        <f>IF(OR(C6450="",I6450&lt;&gt;"ENTRADA"),"",TEXT(B6450,"AAMMDD")&amp;"-"&amp;TEXT(VALUE(SUBSTITUTE(A6450,"MOV-","")),"000"))</f>
        <v/>
      </c>
    </row>
    <row r="6451" spans="18:20">
      <c r="R6451" s="22" t="str">
        <f>IF(H6451="","",H6451&amp;I6451)</f>
        <v/>
      </c>
      <c r="S6451" s="22" t="str">
        <f>IF(C6451="","",C6451&amp;I6451)</f>
        <v/>
      </c>
      <c r="T6451" t="str">
        <f>IF(OR(C6451="",I6451&lt;&gt;"ENTRADA"),"",TEXT(B6451,"AAMMDD")&amp;"-"&amp;TEXT(VALUE(SUBSTITUTE(A6451,"MOV-","")),"000"))</f>
        <v/>
      </c>
    </row>
    <row r="6452" spans="18:20">
      <c r="R6452" s="22" t="str">
        <f>IF(H6452="","",H6452&amp;I6452)</f>
        <v/>
      </c>
      <c r="S6452" s="22" t="str">
        <f>IF(C6452="","",C6452&amp;I6452)</f>
        <v/>
      </c>
      <c r="T6452" t="str">
        <f>IF(OR(C6452="",I6452&lt;&gt;"ENTRADA"),"",TEXT(B6452,"AAMMDD")&amp;"-"&amp;TEXT(VALUE(SUBSTITUTE(A6452,"MOV-","")),"000"))</f>
        <v/>
      </c>
    </row>
    <row r="6453" spans="18:20">
      <c r="R6453" s="22" t="str">
        <f>IF(H6453="","",H6453&amp;I6453)</f>
        <v/>
      </c>
      <c r="S6453" s="22" t="str">
        <f>IF(C6453="","",C6453&amp;I6453)</f>
        <v/>
      </c>
      <c r="T6453" t="str">
        <f>IF(OR(C6453="",I6453&lt;&gt;"ENTRADA"),"",TEXT(B6453,"AAMMDD")&amp;"-"&amp;TEXT(VALUE(SUBSTITUTE(A6453,"MOV-","")),"000"))</f>
        <v/>
      </c>
    </row>
    <row r="6454" spans="18:20">
      <c r="R6454" s="22" t="str">
        <f>IF(H6454="","",H6454&amp;I6454)</f>
        <v/>
      </c>
      <c r="S6454" s="22" t="str">
        <f>IF(C6454="","",C6454&amp;I6454)</f>
        <v/>
      </c>
      <c r="T6454" t="str">
        <f>IF(OR(C6454="",I6454&lt;&gt;"ENTRADA"),"",TEXT(B6454,"AAMMDD")&amp;"-"&amp;TEXT(VALUE(SUBSTITUTE(A6454,"MOV-","")),"000"))</f>
        <v/>
      </c>
    </row>
    <row r="6455" spans="18:20">
      <c r="R6455" s="22" t="str">
        <f>IF(H6455="","",H6455&amp;I6455)</f>
        <v/>
      </c>
      <c r="S6455" s="22" t="str">
        <f>IF(C6455="","",C6455&amp;I6455)</f>
        <v/>
      </c>
      <c r="T6455" t="str">
        <f>IF(OR(C6455="",I6455&lt;&gt;"ENTRADA"),"",TEXT(B6455,"AAMMDD")&amp;"-"&amp;TEXT(VALUE(SUBSTITUTE(A6455,"MOV-","")),"000"))</f>
        <v/>
      </c>
    </row>
    <row r="6456" spans="18:20">
      <c r="R6456" s="22" t="str">
        <f>IF(H6456="","",H6456&amp;I6456)</f>
        <v/>
      </c>
      <c r="S6456" s="22" t="str">
        <f>IF(C6456="","",C6456&amp;I6456)</f>
        <v/>
      </c>
      <c r="T6456" t="str">
        <f>IF(OR(C6456="",I6456&lt;&gt;"ENTRADA"),"",TEXT(B6456,"AAMMDD")&amp;"-"&amp;TEXT(VALUE(SUBSTITUTE(A6456,"MOV-","")),"000"))</f>
        <v/>
      </c>
    </row>
    <row r="6457" spans="18:20">
      <c r="R6457" s="22" t="str">
        <f>IF(H6457="","",H6457&amp;I6457)</f>
        <v/>
      </c>
      <c r="S6457" s="22" t="str">
        <f>IF(C6457="","",C6457&amp;I6457)</f>
        <v/>
      </c>
      <c r="T6457" t="str">
        <f>IF(OR(C6457="",I6457&lt;&gt;"ENTRADA"),"",TEXT(B6457,"AAMMDD")&amp;"-"&amp;TEXT(VALUE(SUBSTITUTE(A6457,"MOV-","")),"000"))</f>
        <v/>
      </c>
    </row>
    <row r="6458" spans="18:20">
      <c r="R6458" s="22" t="str">
        <f>IF(H6458="","",H6458&amp;I6458)</f>
        <v/>
      </c>
      <c r="S6458" s="22" t="str">
        <f>IF(C6458="","",C6458&amp;I6458)</f>
        <v/>
      </c>
      <c r="T6458" t="str">
        <f>IF(OR(C6458="",I6458&lt;&gt;"ENTRADA"),"",TEXT(B6458,"AAMMDD")&amp;"-"&amp;TEXT(VALUE(SUBSTITUTE(A6458,"MOV-","")),"000"))</f>
        <v/>
      </c>
    </row>
    <row r="6459" spans="18:20">
      <c r="R6459" s="22" t="str">
        <f>IF(H6459="","",H6459&amp;I6459)</f>
        <v/>
      </c>
      <c r="S6459" s="22" t="str">
        <f>IF(C6459="","",C6459&amp;I6459)</f>
        <v/>
      </c>
      <c r="T6459" t="str">
        <f>IF(OR(C6459="",I6459&lt;&gt;"ENTRADA"),"",TEXT(B6459,"AAMMDD")&amp;"-"&amp;TEXT(VALUE(SUBSTITUTE(A6459,"MOV-","")),"000"))</f>
        <v/>
      </c>
    </row>
    <row r="6460" spans="18:20">
      <c r="R6460" s="22" t="str">
        <f>IF(H6460="","",H6460&amp;I6460)</f>
        <v/>
      </c>
      <c r="S6460" s="22" t="str">
        <f>IF(C6460="","",C6460&amp;I6460)</f>
        <v/>
      </c>
      <c r="T6460" t="str">
        <f>IF(OR(C6460="",I6460&lt;&gt;"ENTRADA"),"",TEXT(B6460,"AAMMDD")&amp;"-"&amp;TEXT(VALUE(SUBSTITUTE(A6460,"MOV-","")),"000"))</f>
        <v/>
      </c>
    </row>
    <row r="6461" spans="18:20">
      <c r="R6461" s="22" t="str">
        <f>IF(H6461="","",H6461&amp;I6461)</f>
        <v/>
      </c>
      <c r="S6461" s="22" t="str">
        <f>IF(C6461="","",C6461&amp;I6461)</f>
        <v/>
      </c>
      <c r="T6461" t="str">
        <f>IF(OR(C6461="",I6461&lt;&gt;"ENTRADA"),"",TEXT(B6461,"AAMMDD")&amp;"-"&amp;TEXT(VALUE(SUBSTITUTE(A6461,"MOV-","")),"000"))</f>
        <v/>
      </c>
    </row>
    <row r="6462" spans="18:20">
      <c r="R6462" s="22" t="str">
        <f>IF(H6462="","",H6462&amp;I6462)</f>
        <v/>
      </c>
      <c r="S6462" s="22" t="str">
        <f>IF(C6462="","",C6462&amp;I6462)</f>
        <v/>
      </c>
      <c r="T6462" t="str">
        <f>IF(OR(C6462="",I6462&lt;&gt;"ENTRADA"),"",TEXT(B6462,"AAMMDD")&amp;"-"&amp;TEXT(VALUE(SUBSTITUTE(A6462,"MOV-","")),"000"))</f>
        <v/>
      </c>
    </row>
    <row r="6463" spans="18:20">
      <c r="R6463" s="22" t="str">
        <f>IF(H6463="","",H6463&amp;I6463)</f>
        <v/>
      </c>
      <c r="S6463" s="22" t="str">
        <f>IF(C6463="","",C6463&amp;I6463)</f>
        <v/>
      </c>
      <c r="T6463" t="str">
        <f>IF(OR(C6463="",I6463&lt;&gt;"ENTRADA"),"",TEXT(B6463,"AAMMDD")&amp;"-"&amp;TEXT(VALUE(SUBSTITUTE(A6463,"MOV-","")),"000"))</f>
        <v/>
      </c>
    </row>
    <row r="6464" spans="18:20">
      <c r="R6464" s="22" t="str">
        <f>IF(H6464="","",H6464&amp;I6464)</f>
        <v/>
      </c>
      <c r="S6464" s="22" t="str">
        <f>IF(C6464="","",C6464&amp;I6464)</f>
        <v/>
      </c>
      <c r="T6464" t="str">
        <f>IF(OR(C6464="",I6464&lt;&gt;"ENTRADA"),"",TEXT(B6464,"AAMMDD")&amp;"-"&amp;TEXT(VALUE(SUBSTITUTE(A6464,"MOV-","")),"000"))</f>
        <v/>
      </c>
    </row>
    <row r="6465" spans="18:20">
      <c r="R6465" s="22" t="str">
        <f>IF(H6465="","",H6465&amp;I6465)</f>
        <v/>
      </c>
      <c r="S6465" s="22" t="str">
        <f>IF(C6465="","",C6465&amp;I6465)</f>
        <v/>
      </c>
      <c r="T6465" t="str">
        <f>IF(OR(C6465="",I6465&lt;&gt;"ENTRADA"),"",TEXT(B6465,"AAMMDD")&amp;"-"&amp;TEXT(VALUE(SUBSTITUTE(A6465,"MOV-","")),"000"))</f>
        <v/>
      </c>
    </row>
    <row r="6466" spans="18:20">
      <c r="R6466" s="22" t="str">
        <f>IF(H6466="","",H6466&amp;I6466)</f>
        <v/>
      </c>
      <c r="S6466" s="22" t="str">
        <f>IF(C6466="","",C6466&amp;I6466)</f>
        <v/>
      </c>
      <c r="T6466" t="str">
        <f>IF(OR(C6466="",I6466&lt;&gt;"ENTRADA"),"",TEXT(B6466,"AAMMDD")&amp;"-"&amp;TEXT(VALUE(SUBSTITUTE(A6466,"MOV-","")),"000"))</f>
        <v/>
      </c>
    </row>
    <row r="6467" spans="18:20">
      <c r="R6467" s="22" t="str">
        <f>IF(H6467="","",H6467&amp;I6467)</f>
        <v/>
      </c>
      <c r="S6467" s="22" t="str">
        <f>IF(C6467="","",C6467&amp;I6467)</f>
        <v/>
      </c>
      <c r="T6467" t="str">
        <f>IF(OR(C6467="",I6467&lt;&gt;"ENTRADA"),"",TEXT(B6467,"AAMMDD")&amp;"-"&amp;TEXT(VALUE(SUBSTITUTE(A6467,"MOV-","")),"000"))</f>
        <v/>
      </c>
    </row>
    <row r="6468" spans="18:20">
      <c r="R6468" s="22" t="str">
        <f>IF(H6468="","",H6468&amp;I6468)</f>
        <v/>
      </c>
      <c r="S6468" s="22" t="str">
        <f>IF(C6468="","",C6468&amp;I6468)</f>
        <v/>
      </c>
      <c r="T6468" t="str">
        <f>IF(OR(C6468="",I6468&lt;&gt;"ENTRADA"),"",TEXT(B6468,"AAMMDD")&amp;"-"&amp;TEXT(VALUE(SUBSTITUTE(A6468,"MOV-","")),"000"))</f>
        <v/>
      </c>
    </row>
    <row r="6469" spans="18:20">
      <c r="R6469" s="22" t="str">
        <f>IF(H6469="","",H6469&amp;I6469)</f>
        <v/>
      </c>
      <c r="S6469" s="22" t="str">
        <f>IF(C6469="","",C6469&amp;I6469)</f>
        <v/>
      </c>
      <c r="T6469" t="str">
        <f>IF(OR(C6469="",I6469&lt;&gt;"ENTRADA"),"",TEXT(B6469,"AAMMDD")&amp;"-"&amp;TEXT(VALUE(SUBSTITUTE(A6469,"MOV-","")),"000"))</f>
        <v/>
      </c>
    </row>
    <row r="6470" spans="18:20">
      <c r="R6470" s="22" t="str">
        <f>IF(H6470="","",H6470&amp;I6470)</f>
        <v/>
      </c>
      <c r="S6470" s="22" t="str">
        <f>IF(C6470="","",C6470&amp;I6470)</f>
        <v/>
      </c>
      <c r="T6470" t="str">
        <f>IF(OR(C6470="",I6470&lt;&gt;"ENTRADA"),"",TEXT(B6470,"AAMMDD")&amp;"-"&amp;TEXT(VALUE(SUBSTITUTE(A6470,"MOV-","")),"000"))</f>
        <v/>
      </c>
    </row>
    <row r="6471" spans="18:20">
      <c r="R6471" s="22" t="str">
        <f>IF(H6471="","",H6471&amp;I6471)</f>
        <v/>
      </c>
      <c r="S6471" s="22" t="str">
        <f>IF(C6471="","",C6471&amp;I6471)</f>
        <v/>
      </c>
      <c r="T6471" t="str">
        <f>IF(OR(C6471="",I6471&lt;&gt;"ENTRADA"),"",TEXT(B6471,"AAMMDD")&amp;"-"&amp;TEXT(VALUE(SUBSTITUTE(A6471,"MOV-","")),"000"))</f>
        <v/>
      </c>
    </row>
    <row r="6472" spans="18:20">
      <c r="R6472" s="22" t="str">
        <f>IF(H6472="","",H6472&amp;I6472)</f>
        <v/>
      </c>
      <c r="S6472" s="22" t="str">
        <f>IF(C6472="","",C6472&amp;I6472)</f>
        <v/>
      </c>
      <c r="T6472" t="str">
        <f>IF(OR(C6472="",I6472&lt;&gt;"ENTRADA"),"",TEXT(B6472,"AAMMDD")&amp;"-"&amp;TEXT(VALUE(SUBSTITUTE(A6472,"MOV-","")),"000"))</f>
        <v/>
      </c>
    </row>
    <row r="6473" spans="18:20">
      <c r="R6473" s="22" t="str">
        <f>IF(H6473="","",H6473&amp;I6473)</f>
        <v/>
      </c>
      <c r="S6473" s="22" t="str">
        <f>IF(C6473="","",C6473&amp;I6473)</f>
        <v/>
      </c>
      <c r="T6473" t="str">
        <f>IF(OR(C6473="",I6473&lt;&gt;"ENTRADA"),"",TEXT(B6473,"AAMMDD")&amp;"-"&amp;TEXT(VALUE(SUBSTITUTE(A6473,"MOV-","")),"000"))</f>
        <v/>
      </c>
    </row>
    <row r="6474" spans="18:20">
      <c r="R6474" s="22" t="str">
        <f>IF(H6474="","",H6474&amp;I6474)</f>
        <v/>
      </c>
      <c r="S6474" s="22" t="str">
        <f>IF(C6474="","",C6474&amp;I6474)</f>
        <v/>
      </c>
      <c r="T6474" t="str">
        <f>IF(OR(C6474="",I6474&lt;&gt;"ENTRADA"),"",TEXT(B6474,"AAMMDD")&amp;"-"&amp;TEXT(VALUE(SUBSTITUTE(A6474,"MOV-","")),"000"))</f>
        <v/>
      </c>
    </row>
    <row r="6475" spans="18:20">
      <c r="R6475" s="22" t="str">
        <f>IF(H6475="","",H6475&amp;I6475)</f>
        <v/>
      </c>
      <c r="S6475" s="22" t="str">
        <f>IF(C6475="","",C6475&amp;I6475)</f>
        <v/>
      </c>
      <c r="T6475" t="str">
        <f>IF(OR(C6475="",I6475&lt;&gt;"ENTRADA"),"",TEXT(B6475,"AAMMDD")&amp;"-"&amp;TEXT(VALUE(SUBSTITUTE(A6475,"MOV-","")),"000"))</f>
        <v/>
      </c>
    </row>
    <row r="6476" spans="18:20">
      <c r="R6476" s="22" t="str">
        <f>IF(H6476="","",H6476&amp;I6476)</f>
        <v/>
      </c>
      <c r="S6476" s="22" t="str">
        <f>IF(C6476="","",C6476&amp;I6476)</f>
        <v/>
      </c>
      <c r="T6476" t="str">
        <f>IF(OR(C6476="",I6476&lt;&gt;"ENTRADA"),"",TEXT(B6476,"AAMMDD")&amp;"-"&amp;TEXT(VALUE(SUBSTITUTE(A6476,"MOV-","")),"000"))</f>
        <v/>
      </c>
    </row>
    <row r="6477" spans="18:20">
      <c r="R6477" s="22" t="str">
        <f>IF(H6477="","",H6477&amp;I6477)</f>
        <v/>
      </c>
      <c r="S6477" s="22" t="str">
        <f>IF(C6477="","",C6477&amp;I6477)</f>
        <v/>
      </c>
      <c r="T6477" t="str">
        <f>IF(OR(C6477="",I6477&lt;&gt;"ENTRADA"),"",TEXT(B6477,"AAMMDD")&amp;"-"&amp;TEXT(VALUE(SUBSTITUTE(A6477,"MOV-","")),"000"))</f>
        <v/>
      </c>
    </row>
    <row r="6478" spans="18:20">
      <c r="R6478" s="22" t="str">
        <f>IF(H6478="","",H6478&amp;I6478)</f>
        <v/>
      </c>
      <c r="S6478" s="22" t="str">
        <f>IF(C6478="","",C6478&amp;I6478)</f>
        <v/>
      </c>
      <c r="T6478" t="str">
        <f>IF(OR(C6478="",I6478&lt;&gt;"ENTRADA"),"",TEXT(B6478,"AAMMDD")&amp;"-"&amp;TEXT(VALUE(SUBSTITUTE(A6478,"MOV-","")),"000"))</f>
        <v/>
      </c>
    </row>
    <row r="6479" spans="18:20">
      <c r="R6479" s="22" t="str">
        <f>IF(H6479="","",H6479&amp;I6479)</f>
        <v/>
      </c>
      <c r="S6479" s="22" t="str">
        <f>IF(C6479="","",C6479&amp;I6479)</f>
        <v/>
      </c>
      <c r="T6479" t="str">
        <f>IF(OR(C6479="",I6479&lt;&gt;"ENTRADA"),"",TEXT(B6479,"AAMMDD")&amp;"-"&amp;TEXT(VALUE(SUBSTITUTE(A6479,"MOV-","")),"000"))</f>
        <v/>
      </c>
    </row>
    <row r="6480" spans="18:20">
      <c r="R6480" s="22" t="str">
        <f>IF(H6480="","",H6480&amp;I6480)</f>
        <v/>
      </c>
      <c r="S6480" s="22" t="str">
        <f>IF(C6480="","",C6480&amp;I6480)</f>
        <v/>
      </c>
      <c r="T6480" t="str">
        <f>IF(OR(C6480="",I6480&lt;&gt;"ENTRADA"),"",TEXT(B6480,"AAMMDD")&amp;"-"&amp;TEXT(VALUE(SUBSTITUTE(A6480,"MOV-","")),"000"))</f>
        <v/>
      </c>
    </row>
    <row r="6481" spans="18:20">
      <c r="R6481" s="22" t="str">
        <f>IF(H6481="","",H6481&amp;I6481)</f>
        <v/>
      </c>
      <c r="S6481" s="22" t="str">
        <f>IF(C6481="","",C6481&amp;I6481)</f>
        <v/>
      </c>
      <c r="T6481" t="str">
        <f>IF(OR(C6481="",I6481&lt;&gt;"ENTRADA"),"",TEXT(B6481,"AAMMDD")&amp;"-"&amp;TEXT(VALUE(SUBSTITUTE(A6481,"MOV-","")),"000"))</f>
        <v/>
      </c>
    </row>
    <row r="6482" spans="18:20">
      <c r="R6482" s="22" t="str">
        <f>IF(H6482="","",H6482&amp;I6482)</f>
        <v/>
      </c>
      <c r="S6482" s="22" t="str">
        <f>IF(C6482="","",C6482&amp;I6482)</f>
        <v/>
      </c>
      <c r="T6482" t="str">
        <f>IF(OR(C6482="",I6482&lt;&gt;"ENTRADA"),"",TEXT(B6482,"AAMMDD")&amp;"-"&amp;TEXT(VALUE(SUBSTITUTE(A6482,"MOV-","")),"000"))</f>
        <v/>
      </c>
    </row>
    <row r="6483" spans="18:20">
      <c r="R6483" s="22" t="str">
        <f>IF(H6483="","",H6483&amp;I6483)</f>
        <v/>
      </c>
      <c r="S6483" s="22" t="str">
        <f>IF(C6483="","",C6483&amp;I6483)</f>
        <v/>
      </c>
      <c r="T6483" t="str">
        <f>IF(OR(C6483="",I6483&lt;&gt;"ENTRADA"),"",TEXT(B6483,"AAMMDD")&amp;"-"&amp;TEXT(VALUE(SUBSTITUTE(A6483,"MOV-","")),"000"))</f>
        <v/>
      </c>
    </row>
    <row r="6484" spans="18:20">
      <c r="R6484" s="22" t="str">
        <f>IF(H6484="","",H6484&amp;I6484)</f>
        <v/>
      </c>
      <c r="S6484" s="22" t="str">
        <f>IF(C6484="","",C6484&amp;I6484)</f>
        <v/>
      </c>
      <c r="T6484" t="str">
        <f>IF(OR(C6484="",I6484&lt;&gt;"ENTRADA"),"",TEXT(B6484,"AAMMDD")&amp;"-"&amp;TEXT(VALUE(SUBSTITUTE(A6484,"MOV-","")),"000"))</f>
        <v/>
      </c>
    </row>
    <row r="6485" spans="18:20">
      <c r="R6485" s="22" t="str">
        <f>IF(H6485="","",H6485&amp;I6485)</f>
        <v/>
      </c>
      <c r="S6485" s="22" t="str">
        <f>IF(C6485="","",C6485&amp;I6485)</f>
        <v/>
      </c>
      <c r="T6485" t="str">
        <f>IF(OR(C6485="",I6485&lt;&gt;"ENTRADA"),"",TEXT(B6485,"AAMMDD")&amp;"-"&amp;TEXT(VALUE(SUBSTITUTE(A6485,"MOV-","")),"000"))</f>
        <v/>
      </c>
    </row>
    <row r="6486" spans="18:20">
      <c r="R6486" s="22" t="str">
        <f>IF(H6486="","",H6486&amp;I6486)</f>
        <v/>
      </c>
      <c r="S6486" s="22" t="str">
        <f>IF(C6486="","",C6486&amp;I6486)</f>
        <v/>
      </c>
      <c r="T6486" t="str">
        <f>IF(OR(C6486="",I6486&lt;&gt;"ENTRADA"),"",TEXT(B6486,"AAMMDD")&amp;"-"&amp;TEXT(VALUE(SUBSTITUTE(A6486,"MOV-","")),"000"))</f>
        <v/>
      </c>
    </row>
    <row r="6487" spans="18:20">
      <c r="R6487" s="22" t="str">
        <f>IF(H6487="","",H6487&amp;I6487)</f>
        <v/>
      </c>
      <c r="S6487" s="22" t="str">
        <f>IF(C6487="","",C6487&amp;I6487)</f>
        <v/>
      </c>
      <c r="T6487" t="str">
        <f>IF(OR(C6487="",I6487&lt;&gt;"ENTRADA"),"",TEXT(B6487,"AAMMDD")&amp;"-"&amp;TEXT(VALUE(SUBSTITUTE(A6487,"MOV-","")),"000"))</f>
        <v/>
      </c>
    </row>
    <row r="6488" spans="18:20">
      <c r="R6488" s="22" t="str">
        <f>IF(H6488="","",H6488&amp;I6488)</f>
        <v/>
      </c>
      <c r="S6488" s="22" t="str">
        <f>IF(C6488="","",C6488&amp;I6488)</f>
        <v/>
      </c>
      <c r="T6488" t="str">
        <f>IF(OR(C6488="",I6488&lt;&gt;"ENTRADA"),"",TEXT(B6488,"AAMMDD")&amp;"-"&amp;TEXT(VALUE(SUBSTITUTE(A6488,"MOV-","")),"000"))</f>
        <v/>
      </c>
    </row>
    <row r="6489" spans="18:20">
      <c r="R6489" s="22" t="str">
        <f>IF(H6489="","",H6489&amp;I6489)</f>
        <v/>
      </c>
      <c r="S6489" s="22" t="str">
        <f>IF(C6489="","",C6489&amp;I6489)</f>
        <v/>
      </c>
      <c r="T6489" t="str">
        <f>IF(OR(C6489="",I6489&lt;&gt;"ENTRADA"),"",TEXT(B6489,"AAMMDD")&amp;"-"&amp;TEXT(VALUE(SUBSTITUTE(A6489,"MOV-","")),"000"))</f>
        <v/>
      </c>
    </row>
    <row r="6490" spans="18:20">
      <c r="R6490" s="22" t="str">
        <f>IF(H6490="","",H6490&amp;I6490)</f>
        <v/>
      </c>
      <c r="S6490" s="22" t="str">
        <f>IF(C6490="","",C6490&amp;I6490)</f>
        <v/>
      </c>
      <c r="T6490" t="str">
        <f>IF(OR(C6490="",I6490&lt;&gt;"ENTRADA"),"",TEXT(B6490,"AAMMDD")&amp;"-"&amp;TEXT(VALUE(SUBSTITUTE(A6490,"MOV-","")),"000"))</f>
        <v/>
      </c>
    </row>
    <row r="6491" spans="18:20">
      <c r="R6491" s="22" t="str">
        <f>IF(H6491="","",H6491&amp;I6491)</f>
        <v/>
      </c>
      <c r="S6491" s="22" t="str">
        <f>IF(C6491="","",C6491&amp;I6491)</f>
        <v/>
      </c>
      <c r="T6491" t="str">
        <f>IF(OR(C6491="",I6491&lt;&gt;"ENTRADA"),"",TEXT(B6491,"AAMMDD")&amp;"-"&amp;TEXT(VALUE(SUBSTITUTE(A6491,"MOV-","")),"000"))</f>
        <v/>
      </c>
    </row>
    <row r="6492" spans="18:20">
      <c r="R6492" s="22" t="str">
        <f>IF(H6492="","",H6492&amp;I6492)</f>
        <v/>
      </c>
      <c r="S6492" s="22" t="str">
        <f>IF(C6492="","",C6492&amp;I6492)</f>
        <v/>
      </c>
      <c r="T6492" t="str">
        <f>IF(OR(C6492="",I6492&lt;&gt;"ENTRADA"),"",TEXT(B6492,"AAMMDD")&amp;"-"&amp;TEXT(VALUE(SUBSTITUTE(A6492,"MOV-","")),"000"))</f>
        <v/>
      </c>
    </row>
    <row r="6493" spans="18:20">
      <c r="R6493" s="22" t="str">
        <f>IF(H6493="","",H6493&amp;I6493)</f>
        <v/>
      </c>
      <c r="S6493" s="22" t="str">
        <f>IF(C6493="","",C6493&amp;I6493)</f>
        <v/>
      </c>
      <c r="T6493" t="str">
        <f>IF(OR(C6493="",I6493&lt;&gt;"ENTRADA"),"",TEXT(B6493,"AAMMDD")&amp;"-"&amp;TEXT(VALUE(SUBSTITUTE(A6493,"MOV-","")),"000"))</f>
        <v/>
      </c>
    </row>
    <row r="6494" spans="18:20">
      <c r="R6494" s="22" t="str">
        <f>IF(H6494="","",H6494&amp;I6494)</f>
        <v/>
      </c>
      <c r="S6494" s="22" t="str">
        <f>IF(C6494="","",C6494&amp;I6494)</f>
        <v/>
      </c>
      <c r="T6494" t="str">
        <f>IF(OR(C6494="",I6494&lt;&gt;"ENTRADA"),"",TEXT(B6494,"AAMMDD")&amp;"-"&amp;TEXT(VALUE(SUBSTITUTE(A6494,"MOV-","")),"000"))</f>
        <v/>
      </c>
    </row>
    <row r="6495" spans="18:20">
      <c r="R6495" s="22" t="str">
        <f>IF(H6495="","",H6495&amp;I6495)</f>
        <v/>
      </c>
      <c r="S6495" s="22" t="str">
        <f>IF(C6495="","",C6495&amp;I6495)</f>
        <v/>
      </c>
      <c r="T6495" t="str">
        <f>IF(OR(C6495="",I6495&lt;&gt;"ENTRADA"),"",TEXT(B6495,"AAMMDD")&amp;"-"&amp;TEXT(VALUE(SUBSTITUTE(A6495,"MOV-","")),"000"))</f>
        <v/>
      </c>
    </row>
    <row r="6496" spans="18:20">
      <c r="R6496" s="22" t="str">
        <f>IF(H6496="","",H6496&amp;I6496)</f>
        <v/>
      </c>
      <c r="S6496" s="22" t="str">
        <f>IF(C6496="","",C6496&amp;I6496)</f>
        <v/>
      </c>
      <c r="T6496" t="str">
        <f>IF(OR(C6496="",I6496&lt;&gt;"ENTRADA"),"",TEXT(B6496,"AAMMDD")&amp;"-"&amp;TEXT(VALUE(SUBSTITUTE(A6496,"MOV-","")),"000"))</f>
        <v/>
      </c>
    </row>
    <row r="6497" spans="18:20">
      <c r="R6497" s="22" t="str">
        <f>IF(H6497="","",H6497&amp;I6497)</f>
        <v/>
      </c>
      <c r="S6497" s="22" t="str">
        <f>IF(C6497="","",C6497&amp;I6497)</f>
        <v/>
      </c>
      <c r="T6497" t="str">
        <f>IF(OR(C6497="",I6497&lt;&gt;"ENTRADA"),"",TEXT(B6497,"AAMMDD")&amp;"-"&amp;TEXT(VALUE(SUBSTITUTE(A6497,"MOV-","")),"000"))</f>
        <v/>
      </c>
    </row>
    <row r="6498" spans="18:20">
      <c r="R6498" s="22" t="str">
        <f>IF(H6498="","",H6498&amp;I6498)</f>
        <v/>
      </c>
      <c r="S6498" s="22" t="str">
        <f>IF(C6498="","",C6498&amp;I6498)</f>
        <v/>
      </c>
      <c r="T6498" t="str">
        <f>IF(OR(C6498="",I6498&lt;&gt;"ENTRADA"),"",TEXT(B6498,"AAMMDD")&amp;"-"&amp;TEXT(VALUE(SUBSTITUTE(A6498,"MOV-","")),"000"))</f>
        <v/>
      </c>
    </row>
    <row r="6499" spans="18:20">
      <c r="R6499" s="22" t="str">
        <f>IF(H6499="","",H6499&amp;I6499)</f>
        <v/>
      </c>
      <c r="S6499" s="22" t="str">
        <f>IF(C6499="","",C6499&amp;I6499)</f>
        <v/>
      </c>
      <c r="T6499" t="str">
        <f>IF(OR(C6499="",I6499&lt;&gt;"ENTRADA"),"",TEXT(B6499,"AAMMDD")&amp;"-"&amp;TEXT(VALUE(SUBSTITUTE(A6499,"MOV-","")),"000"))</f>
        <v/>
      </c>
    </row>
    <row r="6500" spans="18:20">
      <c r="R6500" s="22" t="str">
        <f>IF(H6500="","",H6500&amp;I6500)</f>
        <v/>
      </c>
      <c r="S6500" s="22" t="str">
        <f>IF(C6500="","",C6500&amp;I6500)</f>
        <v/>
      </c>
      <c r="T6500" t="str">
        <f>IF(OR(C6500="",I6500&lt;&gt;"ENTRADA"),"",TEXT(B6500,"AAMMDD")&amp;"-"&amp;TEXT(VALUE(SUBSTITUTE(A6500,"MOV-","")),"000"))</f>
        <v/>
      </c>
    </row>
    <row r="6501" spans="18:20">
      <c r="R6501" s="22" t="str">
        <f>IF(H6501="","",H6501&amp;I6501)</f>
        <v/>
      </c>
      <c r="S6501" s="22" t="str">
        <f>IF(C6501="","",C6501&amp;I6501)</f>
        <v/>
      </c>
      <c r="T6501" t="str">
        <f>IF(OR(C6501="",I6501&lt;&gt;"ENTRADA"),"",TEXT(B6501,"AAMMDD")&amp;"-"&amp;TEXT(VALUE(SUBSTITUTE(A6501,"MOV-","")),"000"))</f>
        <v/>
      </c>
    </row>
    <row r="6502" spans="18:20">
      <c r="R6502" s="22" t="str">
        <f>IF(H6502="","",H6502&amp;I6502)</f>
        <v/>
      </c>
      <c r="S6502" s="22" t="str">
        <f>IF(C6502="","",C6502&amp;I6502)</f>
        <v/>
      </c>
      <c r="T6502" t="str">
        <f>IF(OR(C6502="",I6502&lt;&gt;"ENTRADA"),"",TEXT(B6502,"AAMMDD")&amp;"-"&amp;TEXT(VALUE(SUBSTITUTE(A6502,"MOV-","")),"000"))</f>
        <v/>
      </c>
    </row>
    <row r="6503" spans="18:20">
      <c r="R6503" s="22" t="str">
        <f>IF(H6503="","",H6503&amp;I6503)</f>
        <v/>
      </c>
      <c r="S6503" s="22" t="str">
        <f>IF(C6503="","",C6503&amp;I6503)</f>
        <v/>
      </c>
      <c r="T6503" t="str">
        <f>IF(OR(C6503="",I6503&lt;&gt;"ENTRADA"),"",TEXT(B6503,"AAMMDD")&amp;"-"&amp;TEXT(VALUE(SUBSTITUTE(A6503,"MOV-","")),"000"))</f>
        <v/>
      </c>
    </row>
    <row r="6504" spans="18:20">
      <c r="R6504" s="22" t="str">
        <f>IF(H6504="","",H6504&amp;I6504)</f>
        <v/>
      </c>
      <c r="S6504" s="22" t="str">
        <f>IF(C6504="","",C6504&amp;I6504)</f>
        <v/>
      </c>
      <c r="T6504" t="str">
        <f>IF(OR(C6504="",I6504&lt;&gt;"ENTRADA"),"",TEXT(B6504,"AAMMDD")&amp;"-"&amp;TEXT(VALUE(SUBSTITUTE(A6504,"MOV-","")),"000"))</f>
        <v/>
      </c>
    </row>
    <row r="6505" spans="18:20">
      <c r="R6505" s="22" t="str">
        <f>IF(H6505="","",H6505&amp;I6505)</f>
        <v/>
      </c>
      <c r="S6505" s="22" t="str">
        <f>IF(C6505="","",C6505&amp;I6505)</f>
        <v/>
      </c>
      <c r="T6505" t="str">
        <f>IF(OR(C6505="",I6505&lt;&gt;"ENTRADA"),"",TEXT(B6505,"AAMMDD")&amp;"-"&amp;TEXT(VALUE(SUBSTITUTE(A6505,"MOV-","")),"000"))</f>
        <v/>
      </c>
    </row>
    <row r="6506" spans="18:20">
      <c r="R6506" s="22" t="str">
        <f>IF(H6506="","",H6506&amp;I6506)</f>
        <v/>
      </c>
      <c r="S6506" s="22" t="str">
        <f>IF(C6506="","",C6506&amp;I6506)</f>
        <v/>
      </c>
      <c r="T6506" t="str">
        <f>IF(OR(C6506="",I6506&lt;&gt;"ENTRADA"),"",TEXT(B6506,"AAMMDD")&amp;"-"&amp;TEXT(VALUE(SUBSTITUTE(A6506,"MOV-","")),"000"))</f>
        <v/>
      </c>
    </row>
    <row r="6507" spans="18:20">
      <c r="R6507" s="22" t="str">
        <f>IF(H6507="","",H6507&amp;I6507)</f>
        <v/>
      </c>
      <c r="S6507" s="22" t="str">
        <f>IF(C6507="","",C6507&amp;I6507)</f>
        <v/>
      </c>
      <c r="T6507" t="str">
        <f>IF(OR(C6507="",I6507&lt;&gt;"ENTRADA"),"",TEXT(B6507,"AAMMDD")&amp;"-"&amp;TEXT(VALUE(SUBSTITUTE(A6507,"MOV-","")),"000"))</f>
        <v/>
      </c>
    </row>
    <row r="6508" spans="18:20">
      <c r="R6508" s="22" t="str">
        <f>IF(H6508="","",H6508&amp;I6508)</f>
        <v/>
      </c>
      <c r="S6508" s="22" t="str">
        <f>IF(C6508="","",C6508&amp;I6508)</f>
        <v/>
      </c>
      <c r="T6508" t="str">
        <f>IF(OR(C6508="",I6508&lt;&gt;"ENTRADA"),"",TEXT(B6508,"AAMMDD")&amp;"-"&amp;TEXT(VALUE(SUBSTITUTE(A6508,"MOV-","")),"000"))</f>
        <v/>
      </c>
    </row>
    <row r="6509" spans="18:20">
      <c r="R6509" s="22" t="str">
        <f>IF(H6509="","",H6509&amp;I6509)</f>
        <v/>
      </c>
      <c r="S6509" s="22" t="str">
        <f>IF(C6509="","",C6509&amp;I6509)</f>
        <v/>
      </c>
      <c r="T6509" t="str">
        <f>IF(OR(C6509="",I6509&lt;&gt;"ENTRADA"),"",TEXT(B6509,"AAMMDD")&amp;"-"&amp;TEXT(VALUE(SUBSTITUTE(A6509,"MOV-","")),"000"))</f>
        <v/>
      </c>
    </row>
    <row r="6510" spans="18:20">
      <c r="R6510" s="22" t="str">
        <f>IF(H6510="","",H6510&amp;I6510)</f>
        <v/>
      </c>
      <c r="S6510" s="22" t="str">
        <f>IF(C6510="","",C6510&amp;I6510)</f>
        <v/>
      </c>
      <c r="T6510" t="str">
        <f>IF(OR(C6510="",I6510&lt;&gt;"ENTRADA"),"",TEXT(B6510,"AAMMDD")&amp;"-"&amp;TEXT(VALUE(SUBSTITUTE(A6510,"MOV-","")),"000"))</f>
        <v/>
      </c>
    </row>
    <row r="6511" spans="18:20">
      <c r="R6511" s="22" t="str">
        <f>IF(H6511="","",H6511&amp;I6511)</f>
        <v/>
      </c>
      <c r="S6511" s="22" t="str">
        <f>IF(C6511="","",C6511&amp;I6511)</f>
        <v/>
      </c>
      <c r="T6511" t="str">
        <f>IF(OR(C6511="",I6511&lt;&gt;"ENTRADA"),"",TEXT(B6511,"AAMMDD")&amp;"-"&amp;TEXT(VALUE(SUBSTITUTE(A6511,"MOV-","")),"000"))</f>
        <v/>
      </c>
    </row>
    <row r="6512" spans="18:20">
      <c r="R6512" s="22" t="str">
        <f>IF(H6512="","",H6512&amp;I6512)</f>
        <v/>
      </c>
      <c r="S6512" s="22" t="str">
        <f>IF(C6512="","",C6512&amp;I6512)</f>
        <v/>
      </c>
      <c r="T6512" t="str">
        <f>IF(OR(C6512="",I6512&lt;&gt;"ENTRADA"),"",TEXT(B6512,"AAMMDD")&amp;"-"&amp;TEXT(VALUE(SUBSTITUTE(A6512,"MOV-","")),"000"))</f>
        <v/>
      </c>
    </row>
    <row r="6513" spans="18:20">
      <c r="R6513" s="22" t="str">
        <f>IF(H6513="","",H6513&amp;I6513)</f>
        <v/>
      </c>
      <c r="S6513" s="22" t="str">
        <f>IF(C6513="","",C6513&amp;I6513)</f>
        <v/>
      </c>
      <c r="T6513" t="str">
        <f>IF(OR(C6513="",I6513&lt;&gt;"ENTRADA"),"",TEXT(B6513,"AAMMDD")&amp;"-"&amp;TEXT(VALUE(SUBSTITUTE(A6513,"MOV-","")),"000"))</f>
        <v/>
      </c>
    </row>
    <row r="6514" spans="18:20">
      <c r="R6514" s="22" t="str">
        <f>IF(H6514="","",H6514&amp;I6514)</f>
        <v/>
      </c>
      <c r="S6514" s="22" t="str">
        <f>IF(C6514="","",C6514&amp;I6514)</f>
        <v/>
      </c>
      <c r="T6514" t="str">
        <f>IF(OR(C6514="",I6514&lt;&gt;"ENTRADA"),"",TEXT(B6514,"AAMMDD")&amp;"-"&amp;TEXT(VALUE(SUBSTITUTE(A6514,"MOV-","")),"000"))</f>
        <v/>
      </c>
    </row>
    <row r="6515" spans="18:20">
      <c r="R6515" s="22" t="str">
        <f>IF(H6515="","",H6515&amp;I6515)</f>
        <v/>
      </c>
      <c r="S6515" s="22" t="str">
        <f>IF(C6515="","",C6515&amp;I6515)</f>
        <v/>
      </c>
      <c r="T6515" t="str">
        <f>IF(OR(C6515="",I6515&lt;&gt;"ENTRADA"),"",TEXT(B6515,"AAMMDD")&amp;"-"&amp;TEXT(VALUE(SUBSTITUTE(A6515,"MOV-","")),"000"))</f>
        <v/>
      </c>
    </row>
    <row r="6516" spans="18:20">
      <c r="R6516" s="22" t="str">
        <f>IF(H6516="","",H6516&amp;I6516)</f>
        <v/>
      </c>
      <c r="S6516" s="22" t="str">
        <f>IF(C6516="","",C6516&amp;I6516)</f>
        <v/>
      </c>
      <c r="T6516" t="str">
        <f>IF(OR(C6516="",I6516&lt;&gt;"ENTRADA"),"",TEXT(B6516,"AAMMDD")&amp;"-"&amp;TEXT(VALUE(SUBSTITUTE(A6516,"MOV-","")),"000"))</f>
        <v/>
      </c>
    </row>
    <row r="6517" spans="18:20">
      <c r="R6517" s="22" t="str">
        <f>IF(H6517="","",H6517&amp;I6517)</f>
        <v/>
      </c>
      <c r="S6517" s="22" t="str">
        <f>IF(C6517="","",C6517&amp;I6517)</f>
        <v/>
      </c>
      <c r="T6517" t="str">
        <f>IF(OR(C6517="",I6517&lt;&gt;"ENTRADA"),"",TEXT(B6517,"AAMMDD")&amp;"-"&amp;TEXT(VALUE(SUBSTITUTE(A6517,"MOV-","")),"000"))</f>
        <v/>
      </c>
    </row>
    <row r="6518" spans="18:20">
      <c r="R6518" s="22" t="str">
        <f>IF(H6518="","",H6518&amp;I6518)</f>
        <v/>
      </c>
      <c r="S6518" s="22" t="str">
        <f>IF(C6518="","",C6518&amp;I6518)</f>
        <v/>
      </c>
      <c r="T6518" t="str">
        <f>IF(OR(C6518="",I6518&lt;&gt;"ENTRADA"),"",TEXT(B6518,"AAMMDD")&amp;"-"&amp;TEXT(VALUE(SUBSTITUTE(A6518,"MOV-","")),"000"))</f>
        <v/>
      </c>
    </row>
    <row r="6519" spans="18:20">
      <c r="R6519" s="22" t="str">
        <f>IF(H6519="","",H6519&amp;I6519)</f>
        <v/>
      </c>
      <c r="S6519" s="22" t="str">
        <f>IF(C6519="","",C6519&amp;I6519)</f>
        <v/>
      </c>
      <c r="T6519" t="str">
        <f>IF(OR(C6519="",I6519&lt;&gt;"ENTRADA"),"",TEXT(B6519,"AAMMDD")&amp;"-"&amp;TEXT(VALUE(SUBSTITUTE(A6519,"MOV-","")),"000"))</f>
        <v/>
      </c>
    </row>
    <row r="6520" spans="18:20">
      <c r="R6520" s="22" t="str">
        <f>IF(H6520="","",H6520&amp;I6520)</f>
        <v/>
      </c>
      <c r="S6520" s="22" t="str">
        <f>IF(C6520="","",C6520&amp;I6520)</f>
        <v/>
      </c>
      <c r="T6520" t="str">
        <f>IF(OR(C6520="",I6520&lt;&gt;"ENTRADA"),"",TEXT(B6520,"AAMMDD")&amp;"-"&amp;TEXT(VALUE(SUBSTITUTE(A6520,"MOV-","")),"000"))</f>
        <v/>
      </c>
    </row>
    <row r="6521" spans="18:20">
      <c r="R6521" s="22" t="str">
        <f>IF(H6521="","",H6521&amp;I6521)</f>
        <v/>
      </c>
      <c r="S6521" s="22" t="str">
        <f>IF(C6521="","",C6521&amp;I6521)</f>
        <v/>
      </c>
      <c r="T6521" t="str">
        <f>IF(OR(C6521="",I6521&lt;&gt;"ENTRADA"),"",TEXT(B6521,"AAMMDD")&amp;"-"&amp;TEXT(VALUE(SUBSTITUTE(A6521,"MOV-","")),"000"))</f>
        <v/>
      </c>
    </row>
    <row r="6522" spans="18:20">
      <c r="R6522" s="22" t="str">
        <f>IF(H6522="","",H6522&amp;I6522)</f>
        <v/>
      </c>
      <c r="S6522" s="22" t="str">
        <f>IF(C6522="","",C6522&amp;I6522)</f>
        <v/>
      </c>
      <c r="T6522" t="str">
        <f>IF(OR(C6522="",I6522&lt;&gt;"ENTRADA"),"",TEXT(B6522,"AAMMDD")&amp;"-"&amp;TEXT(VALUE(SUBSTITUTE(A6522,"MOV-","")),"000"))</f>
        <v/>
      </c>
    </row>
    <row r="6523" spans="18:20">
      <c r="R6523" s="22" t="str">
        <f>IF(H6523="","",H6523&amp;I6523)</f>
        <v/>
      </c>
      <c r="S6523" s="22" t="str">
        <f>IF(C6523="","",C6523&amp;I6523)</f>
        <v/>
      </c>
      <c r="T6523" t="str">
        <f>IF(OR(C6523="",I6523&lt;&gt;"ENTRADA"),"",TEXT(B6523,"AAMMDD")&amp;"-"&amp;TEXT(VALUE(SUBSTITUTE(A6523,"MOV-","")),"000"))</f>
        <v/>
      </c>
    </row>
    <row r="6524" spans="18:20">
      <c r="R6524" s="22" t="str">
        <f>IF(H6524="","",H6524&amp;I6524)</f>
        <v/>
      </c>
      <c r="S6524" s="22" t="str">
        <f>IF(C6524="","",C6524&amp;I6524)</f>
        <v/>
      </c>
      <c r="T6524" t="str">
        <f>IF(OR(C6524="",I6524&lt;&gt;"ENTRADA"),"",TEXT(B6524,"AAMMDD")&amp;"-"&amp;TEXT(VALUE(SUBSTITUTE(A6524,"MOV-","")),"000"))</f>
        <v/>
      </c>
    </row>
    <row r="6525" spans="18:20">
      <c r="R6525" s="22" t="str">
        <f>IF(H6525="","",H6525&amp;I6525)</f>
        <v/>
      </c>
      <c r="S6525" s="22" t="str">
        <f>IF(C6525="","",C6525&amp;I6525)</f>
        <v/>
      </c>
      <c r="T6525" t="str">
        <f>IF(OR(C6525="",I6525&lt;&gt;"ENTRADA"),"",TEXT(B6525,"AAMMDD")&amp;"-"&amp;TEXT(VALUE(SUBSTITUTE(A6525,"MOV-","")),"000"))</f>
        <v/>
      </c>
    </row>
    <row r="6526" spans="18:20">
      <c r="R6526" s="22" t="str">
        <f>IF(H6526="","",H6526&amp;I6526)</f>
        <v/>
      </c>
      <c r="S6526" s="22" t="str">
        <f>IF(C6526="","",C6526&amp;I6526)</f>
        <v/>
      </c>
      <c r="T6526" t="str">
        <f>IF(OR(C6526="",I6526&lt;&gt;"ENTRADA"),"",TEXT(B6526,"AAMMDD")&amp;"-"&amp;TEXT(VALUE(SUBSTITUTE(A6526,"MOV-","")),"000"))</f>
        <v/>
      </c>
    </row>
    <row r="6527" spans="18:20">
      <c r="R6527" s="22" t="str">
        <f>IF(H6527="","",H6527&amp;I6527)</f>
        <v/>
      </c>
      <c r="S6527" s="22" t="str">
        <f>IF(C6527="","",C6527&amp;I6527)</f>
        <v/>
      </c>
      <c r="T6527" t="str">
        <f>IF(OR(C6527="",I6527&lt;&gt;"ENTRADA"),"",TEXT(B6527,"AAMMDD")&amp;"-"&amp;TEXT(VALUE(SUBSTITUTE(A6527,"MOV-","")),"000"))</f>
        <v/>
      </c>
    </row>
    <row r="6528" spans="18:20">
      <c r="R6528" s="22" t="str">
        <f>IF(H6528="","",H6528&amp;I6528)</f>
        <v/>
      </c>
      <c r="S6528" s="22" t="str">
        <f>IF(C6528="","",C6528&amp;I6528)</f>
        <v/>
      </c>
      <c r="T6528" t="str">
        <f>IF(OR(C6528="",I6528&lt;&gt;"ENTRADA"),"",TEXT(B6528,"AAMMDD")&amp;"-"&amp;TEXT(VALUE(SUBSTITUTE(A6528,"MOV-","")),"000"))</f>
        <v/>
      </c>
    </row>
    <row r="6529" spans="18:20">
      <c r="R6529" s="22" t="str">
        <f>IF(H6529="","",H6529&amp;I6529)</f>
        <v/>
      </c>
      <c r="S6529" s="22" t="str">
        <f>IF(C6529="","",C6529&amp;I6529)</f>
        <v/>
      </c>
      <c r="T6529" t="str">
        <f>IF(OR(C6529="",I6529&lt;&gt;"ENTRADA"),"",TEXT(B6529,"AAMMDD")&amp;"-"&amp;TEXT(VALUE(SUBSTITUTE(A6529,"MOV-","")),"000"))</f>
        <v/>
      </c>
    </row>
    <row r="6530" spans="18:20">
      <c r="R6530" s="22" t="str">
        <f>IF(H6530="","",H6530&amp;I6530)</f>
        <v/>
      </c>
      <c r="S6530" s="22" t="str">
        <f>IF(C6530="","",C6530&amp;I6530)</f>
        <v/>
      </c>
      <c r="T6530" t="str">
        <f>IF(OR(C6530="",I6530&lt;&gt;"ENTRADA"),"",TEXT(B6530,"AAMMDD")&amp;"-"&amp;TEXT(VALUE(SUBSTITUTE(A6530,"MOV-","")),"000"))</f>
        <v/>
      </c>
    </row>
    <row r="6531" spans="18:20">
      <c r="R6531" s="22" t="str">
        <f>IF(H6531="","",H6531&amp;I6531)</f>
        <v/>
      </c>
      <c r="S6531" s="22" t="str">
        <f>IF(C6531="","",C6531&amp;I6531)</f>
        <v/>
      </c>
      <c r="T6531" t="str">
        <f>IF(OR(C6531="",I6531&lt;&gt;"ENTRADA"),"",TEXT(B6531,"AAMMDD")&amp;"-"&amp;TEXT(VALUE(SUBSTITUTE(A6531,"MOV-","")),"000"))</f>
        <v/>
      </c>
    </row>
    <row r="6532" spans="18:20">
      <c r="R6532" s="22" t="str">
        <f>IF(H6532="","",H6532&amp;I6532)</f>
        <v/>
      </c>
      <c r="S6532" s="22" t="str">
        <f>IF(C6532="","",C6532&amp;I6532)</f>
        <v/>
      </c>
      <c r="T6532" t="str">
        <f>IF(OR(C6532="",I6532&lt;&gt;"ENTRADA"),"",TEXT(B6532,"AAMMDD")&amp;"-"&amp;TEXT(VALUE(SUBSTITUTE(A6532,"MOV-","")),"000"))</f>
        <v/>
      </c>
    </row>
    <row r="6533" spans="18:20">
      <c r="R6533" s="22" t="str">
        <f>IF(H6533="","",H6533&amp;I6533)</f>
        <v/>
      </c>
      <c r="S6533" s="22" t="str">
        <f>IF(C6533="","",C6533&amp;I6533)</f>
        <v/>
      </c>
      <c r="T6533" t="str">
        <f>IF(OR(C6533="",I6533&lt;&gt;"ENTRADA"),"",TEXT(B6533,"AAMMDD")&amp;"-"&amp;TEXT(VALUE(SUBSTITUTE(A6533,"MOV-","")),"000"))</f>
        <v/>
      </c>
    </row>
    <row r="6534" spans="18:20">
      <c r="R6534" s="22" t="str">
        <f>IF(H6534="","",H6534&amp;I6534)</f>
        <v/>
      </c>
      <c r="S6534" s="22" t="str">
        <f>IF(C6534="","",C6534&amp;I6534)</f>
        <v/>
      </c>
      <c r="T6534" t="str">
        <f>IF(OR(C6534="",I6534&lt;&gt;"ENTRADA"),"",TEXT(B6534,"AAMMDD")&amp;"-"&amp;TEXT(VALUE(SUBSTITUTE(A6534,"MOV-","")),"000"))</f>
        <v/>
      </c>
    </row>
    <row r="6535" spans="18:20">
      <c r="R6535" s="22" t="str">
        <f>IF(H6535="","",H6535&amp;I6535)</f>
        <v/>
      </c>
      <c r="S6535" s="22" t="str">
        <f>IF(C6535="","",C6535&amp;I6535)</f>
        <v/>
      </c>
      <c r="T6535" t="str">
        <f>IF(OR(C6535="",I6535&lt;&gt;"ENTRADA"),"",TEXT(B6535,"AAMMDD")&amp;"-"&amp;TEXT(VALUE(SUBSTITUTE(A6535,"MOV-","")),"000"))</f>
        <v/>
      </c>
    </row>
    <row r="6536" spans="18:20">
      <c r="R6536" s="22" t="str">
        <f>IF(H6536="","",H6536&amp;I6536)</f>
        <v/>
      </c>
      <c r="S6536" s="22" t="str">
        <f>IF(C6536="","",C6536&amp;I6536)</f>
        <v/>
      </c>
      <c r="T6536" t="str">
        <f>IF(OR(C6536="",I6536&lt;&gt;"ENTRADA"),"",TEXT(B6536,"AAMMDD")&amp;"-"&amp;TEXT(VALUE(SUBSTITUTE(A6536,"MOV-","")),"000"))</f>
        <v/>
      </c>
    </row>
    <row r="6537" spans="18:20">
      <c r="R6537" s="22" t="str">
        <f>IF(H6537="","",H6537&amp;I6537)</f>
        <v/>
      </c>
      <c r="S6537" s="22" t="str">
        <f>IF(C6537="","",C6537&amp;I6537)</f>
        <v/>
      </c>
      <c r="T6537" t="str">
        <f>IF(OR(C6537="",I6537&lt;&gt;"ENTRADA"),"",TEXT(B6537,"AAMMDD")&amp;"-"&amp;TEXT(VALUE(SUBSTITUTE(A6537,"MOV-","")),"000"))</f>
        <v/>
      </c>
    </row>
    <row r="6538" spans="18:20">
      <c r="R6538" s="22" t="str">
        <f>IF(H6538="","",H6538&amp;I6538)</f>
        <v/>
      </c>
      <c r="S6538" s="22" t="str">
        <f>IF(C6538="","",C6538&amp;I6538)</f>
        <v/>
      </c>
      <c r="T6538" t="str">
        <f>IF(OR(C6538="",I6538&lt;&gt;"ENTRADA"),"",TEXT(B6538,"AAMMDD")&amp;"-"&amp;TEXT(VALUE(SUBSTITUTE(A6538,"MOV-","")),"000"))</f>
        <v/>
      </c>
    </row>
    <row r="6539" spans="18:20">
      <c r="R6539" s="22" t="str">
        <f>IF(H6539="","",H6539&amp;I6539)</f>
        <v/>
      </c>
      <c r="S6539" s="22" t="str">
        <f>IF(C6539="","",C6539&amp;I6539)</f>
        <v/>
      </c>
      <c r="T6539" t="str">
        <f>IF(OR(C6539="",I6539&lt;&gt;"ENTRADA"),"",TEXT(B6539,"AAMMDD")&amp;"-"&amp;TEXT(VALUE(SUBSTITUTE(A6539,"MOV-","")),"000"))</f>
        <v/>
      </c>
    </row>
    <row r="6540" spans="18:20">
      <c r="R6540" s="22" t="str">
        <f>IF(H6540="","",H6540&amp;I6540)</f>
        <v/>
      </c>
      <c r="S6540" s="22" t="str">
        <f>IF(C6540="","",C6540&amp;I6540)</f>
        <v/>
      </c>
      <c r="T6540" t="str">
        <f>IF(OR(C6540="",I6540&lt;&gt;"ENTRADA"),"",TEXT(B6540,"AAMMDD")&amp;"-"&amp;TEXT(VALUE(SUBSTITUTE(A6540,"MOV-","")),"000"))</f>
        <v/>
      </c>
    </row>
    <row r="6541" spans="18:20">
      <c r="R6541" s="22" t="str">
        <f>IF(H6541="","",H6541&amp;I6541)</f>
        <v/>
      </c>
      <c r="S6541" s="22" t="str">
        <f>IF(C6541="","",C6541&amp;I6541)</f>
        <v/>
      </c>
      <c r="T6541" t="str">
        <f>IF(OR(C6541="",I6541&lt;&gt;"ENTRADA"),"",TEXT(B6541,"AAMMDD")&amp;"-"&amp;TEXT(VALUE(SUBSTITUTE(A6541,"MOV-","")),"000"))</f>
        <v/>
      </c>
    </row>
    <row r="6542" spans="18:20">
      <c r="R6542" s="22" t="str">
        <f>IF(H6542="","",H6542&amp;I6542)</f>
        <v/>
      </c>
      <c r="S6542" s="22" t="str">
        <f>IF(C6542="","",C6542&amp;I6542)</f>
        <v/>
      </c>
      <c r="T6542" t="str">
        <f>IF(OR(C6542="",I6542&lt;&gt;"ENTRADA"),"",TEXT(B6542,"AAMMDD")&amp;"-"&amp;TEXT(VALUE(SUBSTITUTE(A6542,"MOV-","")),"000"))</f>
        <v/>
      </c>
    </row>
    <row r="6543" spans="18:20">
      <c r="R6543" s="22" t="str">
        <f>IF(H6543="","",H6543&amp;I6543)</f>
        <v/>
      </c>
      <c r="S6543" s="22" t="str">
        <f>IF(C6543="","",C6543&amp;I6543)</f>
        <v/>
      </c>
      <c r="T6543" t="str">
        <f>IF(OR(C6543="",I6543&lt;&gt;"ENTRADA"),"",TEXT(B6543,"AAMMDD")&amp;"-"&amp;TEXT(VALUE(SUBSTITUTE(A6543,"MOV-","")),"000"))</f>
        <v/>
      </c>
    </row>
    <row r="6544" spans="18:20">
      <c r="R6544" s="22" t="str">
        <f>IF(H6544="","",H6544&amp;I6544)</f>
        <v/>
      </c>
      <c r="S6544" s="22" t="str">
        <f>IF(C6544="","",C6544&amp;I6544)</f>
        <v/>
      </c>
      <c r="T6544" t="str">
        <f>IF(OR(C6544="",I6544&lt;&gt;"ENTRADA"),"",TEXT(B6544,"AAMMDD")&amp;"-"&amp;TEXT(VALUE(SUBSTITUTE(A6544,"MOV-","")),"000"))</f>
        <v/>
      </c>
    </row>
    <row r="6545" spans="18:20">
      <c r="R6545" s="22" t="str">
        <f>IF(H6545="","",H6545&amp;I6545)</f>
        <v/>
      </c>
      <c r="S6545" s="22" t="str">
        <f>IF(C6545="","",C6545&amp;I6545)</f>
        <v/>
      </c>
      <c r="T6545" t="str">
        <f>IF(OR(C6545="",I6545&lt;&gt;"ENTRADA"),"",TEXT(B6545,"AAMMDD")&amp;"-"&amp;TEXT(VALUE(SUBSTITUTE(A6545,"MOV-","")),"000"))</f>
        <v/>
      </c>
    </row>
    <row r="6546" spans="18:20">
      <c r="R6546" s="22" t="str">
        <f>IF(H6546="","",H6546&amp;I6546)</f>
        <v/>
      </c>
      <c r="S6546" s="22" t="str">
        <f>IF(C6546="","",C6546&amp;I6546)</f>
        <v/>
      </c>
      <c r="T6546" t="str">
        <f>IF(OR(C6546="",I6546&lt;&gt;"ENTRADA"),"",TEXT(B6546,"AAMMDD")&amp;"-"&amp;TEXT(VALUE(SUBSTITUTE(A6546,"MOV-","")),"000"))</f>
        <v/>
      </c>
    </row>
    <row r="6547" spans="18:20">
      <c r="R6547" s="22" t="str">
        <f>IF(H6547="","",H6547&amp;I6547)</f>
        <v/>
      </c>
      <c r="S6547" s="22" t="str">
        <f>IF(C6547="","",C6547&amp;I6547)</f>
        <v/>
      </c>
      <c r="T6547" t="str">
        <f>IF(OR(C6547="",I6547&lt;&gt;"ENTRADA"),"",TEXT(B6547,"AAMMDD")&amp;"-"&amp;TEXT(VALUE(SUBSTITUTE(A6547,"MOV-","")),"000"))</f>
        <v/>
      </c>
    </row>
    <row r="6548" spans="18:20">
      <c r="R6548" s="22" t="str">
        <f>IF(H6548="","",H6548&amp;I6548)</f>
        <v/>
      </c>
      <c r="S6548" s="22" t="str">
        <f>IF(C6548="","",C6548&amp;I6548)</f>
        <v/>
      </c>
      <c r="T6548" t="str">
        <f>IF(OR(C6548="",I6548&lt;&gt;"ENTRADA"),"",TEXT(B6548,"AAMMDD")&amp;"-"&amp;TEXT(VALUE(SUBSTITUTE(A6548,"MOV-","")),"000"))</f>
        <v/>
      </c>
    </row>
    <row r="6549" spans="18:20">
      <c r="R6549" s="22" t="str">
        <f>IF(H6549="","",H6549&amp;I6549)</f>
        <v/>
      </c>
      <c r="S6549" s="22" t="str">
        <f>IF(C6549="","",C6549&amp;I6549)</f>
        <v/>
      </c>
      <c r="T6549" t="str">
        <f>IF(OR(C6549="",I6549&lt;&gt;"ENTRADA"),"",TEXT(B6549,"AAMMDD")&amp;"-"&amp;TEXT(VALUE(SUBSTITUTE(A6549,"MOV-","")),"000"))</f>
        <v/>
      </c>
    </row>
    <row r="6550" spans="18:20">
      <c r="R6550" s="22" t="str">
        <f>IF(H6550="","",H6550&amp;I6550)</f>
        <v/>
      </c>
      <c r="S6550" s="22" t="str">
        <f>IF(C6550="","",C6550&amp;I6550)</f>
        <v/>
      </c>
      <c r="T6550" t="str">
        <f>IF(OR(C6550="",I6550&lt;&gt;"ENTRADA"),"",TEXT(B6550,"AAMMDD")&amp;"-"&amp;TEXT(VALUE(SUBSTITUTE(A6550,"MOV-","")),"000"))</f>
        <v/>
      </c>
    </row>
    <row r="6551" spans="18:20">
      <c r="R6551" s="22" t="str">
        <f>IF(H6551="","",H6551&amp;I6551)</f>
        <v/>
      </c>
      <c r="S6551" s="22" t="str">
        <f>IF(C6551="","",C6551&amp;I6551)</f>
        <v/>
      </c>
      <c r="T6551" t="str">
        <f>IF(OR(C6551="",I6551&lt;&gt;"ENTRADA"),"",TEXT(B6551,"AAMMDD")&amp;"-"&amp;TEXT(VALUE(SUBSTITUTE(A6551,"MOV-","")),"000"))</f>
        <v/>
      </c>
    </row>
    <row r="6552" spans="18:20">
      <c r="R6552" s="22" t="str">
        <f>IF(H6552="","",H6552&amp;I6552)</f>
        <v/>
      </c>
      <c r="S6552" s="22" t="str">
        <f>IF(C6552="","",C6552&amp;I6552)</f>
        <v/>
      </c>
      <c r="T6552" t="str">
        <f>IF(OR(C6552="",I6552&lt;&gt;"ENTRADA"),"",TEXT(B6552,"AAMMDD")&amp;"-"&amp;TEXT(VALUE(SUBSTITUTE(A6552,"MOV-","")),"000"))</f>
        <v/>
      </c>
    </row>
    <row r="6553" spans="18:20">
      <c r="R6553" s="22" t="str">
        <f>IF(H6553="","",H6553&amp;I6553)</f>
        <v/>
      </c>
      <c r="S6553" s="22" t="str">
        <f>IF(C6553="","",C6553&amp;I6553)</f>
        <v/>
      </c>
      <c r="T6553" t="str">
        <f>IF(OR(C6553="",I6553&lt;&gt;"ENTRADA"),"",TEXT(B6553,"AAMMDD")&amp;"-"&amp;TEXT(VALUE(SUBSTITUTE(A6553,"MOV-","")),"000"))</f>
        <v/>
      </c>
    </row>
    <row r="6554" spans="18:20">
      <c r="R6554" s="22" t="str">
        <f>IF(H6554="","",H6554&amp;I6554)</f>
        <v/>
      </c>
      <c r="S6554" s="22" t="str">
        <f>IF(C6554="","",C6554&amp;I6554)</f>
        <v/>
      </c>
      <c r="T6554" t="str">
        <f>IF(OR(C6554="",I6554&lt;&gt;"ENTRADA"),"",TEXT(B6554,"AAMMDD")&amp;"-"&amp;TEXT(VALUE(SUBSTITUTE(A6554,"MOV-","")),"000"))</f>
        <v/>
      </c>
    </row>
    <row r="6555" spans="18:20">
      <c r="R6555" s="22" t="str">
        <f>IF(H6555="","",H6555&amp;I6555)</f>
        <v/>
      </c>
      <c r="S6555" s="22" t="str">
        <f>IF(C6555="","",C6555&amp;I6555)</f>
        <v/>
      </c>
      <c r="T6555" t="str">
        <f>IF(OR(C6555="",I6555&lt;&gt;"ENTRADA"),"",TEXT(B6555,"AAMMDD")&amp;"-"&amp;TEXT(VALUE(SUBSTITUTE(A6555,"MOV-","")),"000"))</f>
        <v/>
      </c>
    </row>
    <row r="6556" spans="18:20">
      <c r="R6556" s="22" t="str">
        <f>IF(H6556="","",H6556&amp;I6556)</f>
        <v/>
      </c>
      <c r="S6556" s="22" t="str">
        <f>IF(C6556="","",C6556&amp;I6556)</f>
        <v/>
      </c>
      <c r="T6556" t="str">
        <f>IF(OR(C6556="",I6556&lt;&gt;"ENTRADA"),"",TEXT(B6556,"AAMMDD")&amp;"-"&amp;TEXT(VALUE(SUBSTITUTE(A6556,"MOV-","")),"000"))</f>
        <v/>
      </c>
    </row>
    <row r="6557" spans="18:20">
      <c r="R6557" s="22" t="str">
        <f>IF(H6557="","",H6557&amp;I6557)</f>
        <v/>
      </c>
      <c r="S6557" s="22" t="str">
        <f>IF(C6557="","",C6557&amp;I6557)</f>
        <v/>
      </c>
      <c r="T6557" t="str">
        <f>IF(OR(C6557="",I6557&lt;&gt;"ENTRADA"),"",TEXT(B6557,"AAMMDD")&amp;"-"&amp;TEXT(VALUE(SUBSTITUTE(A6557,"MOV-","")),"000"))</f>
        <v/>
      </c>
    </row>
    <row r="6558" spans="18:20">
      <c r="R6558" s="22" t="str">
        <f>IF(H6558="","",H6558&amp;I6558)</f>
        <v/>
      </c>
      <c r="S6558" s="22" t="str">
        <f>IF(C6558="","",C6558&amp;I6558)</f>
        <v/>
      </c>
      <c r="T6558" t="str">
        <f>IF(OR(C6558="",I6558&lt;&gt;"ENTRADA"),"",TEXT(B6558,"AAMMDD")&amp;"-"&amp;TEXT(VALUE(SUBSTITUTE(A6558,"MOV-","")),"000"))</f>
        <v/>
      </c>
    </row>
    <row r="6559" spans="18:20">
      <c r="R6559" s="22" t="str">
        <f>IF(H6559="","",H6559&amp;I6559)</f>
        <v/>
      </c>
      <c r="S6559" s="22" t="str">
        <f>IF(C6559="","",C6559&amp;I6559)</f>
        <v/>
      </c>
      <c r="T6559" t="str">
        <f>IF(OR(C6559="",I6559&lt;&gt;"ENTRADA"),"",TEXT(B6559,"AAMMDD")&amp;"-"&amp;TEXT(VALUE(SUBSTITUTE(A6559,"MOV-","")),"000"))</f>
        <v/>
      </c>
    </row>
    <row r="6560" spans="18:20">
      <c r="R6560" s="22" t="str">
        <f>IF(H6560="","",H6560&amp;I6560)</f>
        <v/>
      </c>
      <c r="S6560" s="22" t="str">
        <f>IF(C6560="","",C6560&amp;I6560)</f>
        <v/>
      </c>
      <c r="T6560" t="str">
        <f>IF(OR(C6560="",I6560&lt;&gt;"ENTRADA"),"",TEXT(B6560,"AAMMDD")&amp;"-"&amp;TEXT(VALUE(SUBSTITUTE(A6560,"MOV-","")),"000"))</f>
        <v/>
      </c>
    </row>
    <row r="6561" spans="18:20">
      <c r="R6561" s="22" t="str">
        <f>IF(H6561="","",H6561&amp;I6561)</f>
        <v/>
      </c>
      <c r="S6561" s="22" t="str">
        <f>IF(C6561="","",C6561&amp;I6561)</f>
        <v/>
      </c>
      <c r="T6561" t="str">
        <f>IF(OR(C6561="",I6561&lt;&gt;"ENTRADA"),"",TEXT(B6561,"AAMMDD")&amp;"-"&amp;TEXT(VALUE(SUBSTITUTE(A6561,"MOV-","")),"000"))</f>
        <v/>
      </c>
    </row>
    <row r="6562" spans="18:20">
      <c r="R6562" s="22" t="str">
        <f>IF(H6562="","",H6562&amp;I6562)</f>
        <v/>
      </c>
      <c r="S6562" s="22" t="str">
        <f>IF(C6562="","",C6562&amp;I6562)</f>
        <v/>
      </c>
      <c r="T6562" t="str">
        <f>IF(OR(C6562="",I6562&lt;&gt;"ENTRADA"),"",TEXT(B6562,"AAMMDD")&amp;"-"&amp;TEXT(VALUE(SUBSTITUTE(A6562,"MOV-","")),"000"))</f>
        <v/>
      </c>
    </row>
    <row r="6563" spans="18:20">
      <c r="R6563" s="22" t="str">
        <f>IF(H6563="","",H6563&amp;I6563)</f>
        <v/>
      </c>
      <c r="S6563" s="22" t="str">
        <f>IF(C6563="","",C6563&amp;I6563)</f>
        <v/>
      </c>
      <c r="T6563" t="str">
        <f>IF(OR(C6563="",I6563&lt;&gt;"ENTRADA"),"",TEXT(B6563,"AAMMDD")&amp;"-"&amp;TEXT(VALUE(SUBSTITUTE(A6563,"MOV-","")),"000"))</f>
        <v/>
      </c>
    </row>
    <row r="6564" spans="18:20">
      <c r="R6564" s="22" t="str">
        <f>IF(H6564="","",H6564&amp;I6564)</f>
        <v/>
      </c>
      <c r="S6564" s="22" t="str">
        <f>IF(C6564="","",C6564&amp;I6564)</f>
        <v/>
      </c>
      <c r="T6564" t="str">
        <f>IF(OR(C6564="",I6564&lt;&gt;"ENTRADA"),"",TEXT(B6564,"AAMMDD")&amp;"-"&amp;TEXT(VALUE(SUBSTITUTE(A6564,"MOV-","")),"000"))</f>
        <v/>
      </c>
    </row>
    <row r="6565" spans="18:20">
      <c r="R6565" s="22" t="str">
        <f>IF(H6565="","",H6565&amp;I6565)</f>
        <v/>
      </c>
      <c r="S6565" s="22" t="str">
        <f>IF(C6565="","",C6565&amp;I6565)</f>
        <v/>
      </c>
      <c r="T6565" t="str">
        <f>IF(OR(C6565="",I6565&lt;&gt;"ENTRADA"),"",TEXT(B6565,"AAMMDD")&amp;"-"&amp;TEXT(VALUE(SUBSTITUTE(A6565,"MOV-","")),"000"))</f>
        <v/>
      </c>
    </row>
    <row r="6566" spans="18:20">
      <c r="R6566" s="22" t="str">
        <f>IF(H6566="","",H6566&amp;I6566)</f>
        <v/>
      </c>
      <c r="S6566" s="22" t="str">
        <f>IF(C6566="","",C6566&amp;I6566)</f>
        <v/>
      </c>
      <c r="T6566" t="str">
        <f>IF(OR(C6566="",I6566&lt;&gt;"ENTRADA"),"",TEXT(B6566,"AAMMDD")&amp;"-"&amp;TEXT(VALUE(SUBSTITUTE(A6566,"MOV-","")),"000"))</f>
        <v/>
      </c>
    </row>
    <row r="6567" spans="18:20">
      <c r="R6567" s="22" t="str">
        <f>IF(H6567="","",H6567&amp;I6567)</f>
        <v/>
      </c>
      <c r="S6567" s="22" t="str">
        <f>IF(C6567="","",C6567&amp;I6567)</f>
        <v/>
      </c>
      <c r="T6567" t="str">
        <f>IF(OR(C6567="",I6567&lt;&gt;"ENTRADA"),"",TEXT(B6567,"AAMMDD")&amp;"-"&amp;TEXT(VALUE(SUBSTITUTE(A6567,"MOV-","")),"000"))</f>
        <v/>
      </c>
    </row>
    <row r="6568" spans="18:20">
      <c r="R6568" s="22" t="str">
        <f>IF(H6568="","",H6568&amp;I6568)</f>
        <v/>
      </c>
      <c r="S6568" s="22" t="str">
        <f>IF(C6568="","",C6568&amp;I6568)</f>
        <v/>
      </c>
      <c r="T6568" t="str">
        <f>IF(OR(C6568="",I6568&lt;&gt;"ENTRADA"),"",TEXT(B6568,"AAMMDD")&amp;"-"&amp;TEXT(VALUE(SUBSTITUTE(A6568,"MOV-","")),"000"))</f>
        <v/>
      </c>
    </row>
    <row r="6569" spans="18:20">
      <c r="R6569" s="22" t="str">
        <f>IF(H6569="","",H6569&amp;I6569)</f>
        <v/>
      </c>
      <c r="S6569" s="22" t="str">
        <f>IF(C6569="","",C6569&amp;I6569)</f>
        <v/>
      </c>
      <c r="T6569" t="str">
        <f>IF(OR(C6569="",I6569&lt;&gt;"ENTRADA"),"",TEXT(B6569,"AAMMDD")&amp;"-"&amp;TEXT(VALUE(SUBSTITUTE(A6569,"MOV-","")),"000"))</f>
        <v/>
      </c>
    </row>
    <row r="6570" spans="18:20">
      <c r="R6570" s="22" t="str">
        <f>IF(H6570="","",H6570&amp;I6570)</f>
        <v/>
      </c>
      <c r="S6570" s="22" t="str">
        <f>IF(C6570="","",C6570&amp;I6570)</f>
        <v/>
      </c>
      <c r="T6570" t="str">
        <f>IF(OR(C6570="",I6570&lt;&gt;"ENTRADA"),"",TEXT(B6570,"AAMMDD")&amp;"-"&amp;TEXT(VALUE(SUBSTITUTE(A6570,"MOV-","")),"000"))</f>
        <v/>
      </c>
    </row>
    <row r="6571" spans="18:20">
      <c r="R6571" s="22" t="str">
        <f>IF(H6571="","",H6571&amp;I6571)</f>
        <v/>
      </c>
      <c r="S6571" s="22" t="str">
        <f>IF(C6571="","",C6571&amp;I6571)</f>
        <v/>
      </c>
      <c r="T6571" t="str">
        <f>IF(OR(C6571="",I6571&lt;&gt;"ENTRADA"),"",TEXT(B6571,"AAMMDD")&amp;"-"&amp;TEXT(VALUE(SUBSTITUTE(A6571,"MOV-","")),"000"))</f>
        <v/>
      </c>
    </row>
    <row r="6572" spans="18:20">
      <c r="R6572" s="22" t="str">
        <f>IF(H6572="","",H6572&amp;I6572)</f>
        <v/>
      </c>
      <c r="S6572" s="22" t="str">
        <f>IF(C6572="","",C6572&amp;I6572)</f>
        <v/>
      </c>
      <c r="T6572" t="str">
        <f>IF(OR(C6572="",I6572&lt;&gt;"ENTRADA"),"",TEXT(B6572,"AAMMDD")&amp;"-"&amp;TEXT(VALUE(SUBSTITUTE(A6572,"MOV-","")),"000"))</f>
        <v/>
      </c>
    </row>
    <row r="6573" spans="18:20">
      <c r="R6573" s="22" t="str">
        <f>IF(H6573="","",H6573&amp;I6573)</f>
        <v/>
      </c>
      <c r="S6573" s="22" t="str">
        <f>IF(C6573="","",C6573&amp;I6573)</f>
        <v/>
      </c>
      <c r="T6573" t="str">
        <f>IF(OR(C6573="",I6573&lt;&gt;"ENTRADA"),"",TEXT(B6573,"AAMMDD")&amp;"-"&amp;TEXT(VALUE(SUBSTITUTE(A6573,"MOV-","")),"000"))</f>
        <v/>
      </c>
    </row>
    <row r="6574" spans="18:20">
      <c r="R6574" s="22" t="str">
        <f>IF(H6574="","",H6574&amp;I6574)</f>
        <v/>
      </c>
      <c r="S6574" s="22" t="str">
        <f>IF(C6574="","",C6574&amp;I6574)</f>
        <v/>
      </c>
      <c r="T6574" t="str">
        <f>IF(OR(C6574="",I6574&lt;&gt;"ENTRADA"),"",TEXT(B6574,"AAMMDD")&amp;"-"&amp;TEXT(VALUE(SUBSTITUTE(A6574,"MOV-","")),"000"))</f>
        <v/>
      </c>
    </row>
    <row r="6575" spans="18:20">
      <c r="R6575" s="22" t="str">
        <f>IF(H6575="","",H6575&amp;I6575)</f>
        <v/>
      </c>
      <c r="S6575" s="22" t="str">
        <f>IF(C6575="","",C6575&amp;I6575)</f>
        <v/>
      </c>
      <c r="T6575" t="str">
        <f>IF(OR(C6575="",I6575&lt;&gt;"ENTRADA"),"",TEXT(B6575,"AAMMDD")&amp;"-"&amp;TEXT(VALUE(SUBSTITUTE(A6575,"MOV-","")),"000"))</f>
        <v/>
      </c>
    </row>
    <row r="6576" spans="18:20">
      <c r="R6576" s="22" t="str">
        <f>IF(H6576="","",H6576&amp;I6576)</f>
        <v/>
      </c>
      <c r="S6576" s="22" t="str">
        <f>IF(C6576="","",C6576&amp;I6576)</f>
        <v/>
      </c>
      <c r="T6576" t="str">
        <f>IF(OR(C6576="",I6576&lt;&gt;"ENTRADA"),"",TEXT(B6576,"AAMMDD")&amp;"-"&amp;TEXT(VALUE(SUBSTITUTE(A6576,"MOV-","")),"000"))</f>
        <v/>
      </c>
    </row>
    <row r="6577" spans="18:20">
      <c r="R6577" s="22" t="str">
        <f>IF(H6577="","",H6577&amp;I6577)</f>
        <v/>
      </c>
      <c r="S6577" s="22" t="str">
        <f>IF(C6577="","",C6577&amp;I6577)</f>
        <v/>
      </c>
      <c r="T6577" t="str">
        <f>IF(OR(C6577="",I6577&lt;&gt;"ENTRADA"),"",TEXT(B6577,"AAMMDD")&amp;"-"&amp;TEXT(VALUE(SUBSTITUTE(A6577,"MOV-","")),"000"))</f>
        <v/>
      </c>
    </row>
    <row r="6578" spans="18:20">
      <c r="R6578" s="22" t="str">
        <f>IF(H6578="","",H6578&amp;I6578)</f>
        <v/>
      </c>
      <c r="S6578" s="22" t="str">
        <f>IF(C6578="","",C6578&amp;I6578)</f>
        <v/>
      </c>
      <c r="T6578" t="str">
        <f>IF(OR(C6578="",I6578&lt;&gt;"ENTRADA"),"",TEXT(B6578,"AAMMDD")&amp;"-"&amp;TEXT(VALUE(SUBSTITUTE(A6578,"MOV-","")),"000"))</f>
        <v/>
      </c>
    </row>
    <row r="6579" spans="18:20">
      <c r="R6579" s="22" t="str">
        <f>IF(H6579="","",H6579&amp;I6579)</f>
        <v/>
      </c>
      <c r="S6579" s="22" t="str">
        <f>IF(C6579="","",C6579&amp;I6579)</f>
        <v/>
      </c>
      <c r="T6579" t="str">
        <f>IF(OR(C6579="",I6579&lt;&gt;"ENTRADA"),"",TEXT(B6579,"AAMMDD")&amp;"-"&amp;TEXT(VALUE(SUBSTITUTE(A6579,"MOV-","")),"000"))</f>
        <v/>
      </c>
    </row>
    <row r="6580" spans="18:20">
      <c r="R6580" s="22" t="str">
        <f>IF(H6580="","",H6580&amp;I6580)</f>
        <v/>
      </c>
      <c r="S6580" s="22" t="str">
        <f>IF(C6580="","",C6580&amp;I6580)</f>
        <v/>
      </c>
      <c r="T6580" t="str">
        <f>IF(OR(C6580="",I6580&lt;&gt;"ENTRADA"),"",TEXT(B6580,"AAMMDD")&amp;"-"&amp;TEXT(VALUE(SUBSTITUTE(A6580,"MOV-","")),"000"))</f>
        <v/>
      </c>
    </row>
    <row r="6581" spans="18:20">
      <c r="R6581" s="22" t="str">
        <f>IF(H6581="","",H6581&amp;I6581)</f>
        <v/>
      </c>
      <c r="S6581" s="22" t="str">
        <f>IF(C6581="","",C6581&amp;I6581)</f>
        <v/>
      </c>
      <c r="T6581" t="str">
        <f>IF(OR(C6581="",I6581&lt;&gt;"ENTRADA"),"",TEXT(B6581,"AAMMDD")&amp;"-"&amp;TEXT(VALUE(SUBSTITUTE(A6581,"MOV-","")),"000"))</f>
        <v/>
      </c>
    </row>
    <row r="6582" spans="18:20">
      <c r="R6582" s="22" t="str">
        <f>IF(H6582="","",H6582&amp;I6582)</f>
        <v/>
      </c>
      <c r="S6582" s="22" t="str">
        <f>IF(C6582="","",C6582&amp;I6582)</f>
        <v/>
      </c>
      <c r="T6582" t="str">
        <f>IF(OR(C6582="",I6582&lt;&gt;"ENTRADA"),"",TEXT(B6582,"AAMMDD")&amp;"-"&amp;TEXT(VALUE(SUBSTITUTE(A6582,"MOV-","")),"000"))</f>
        <v/>
      </c>
    </row>
    <row r="6583" spans="18:20">
      <c r="R6583" s="22" t="str">
        <f>IF(H6583="","",H6583&amp;I6583)</f>
        <v/>
      </c>
      <c r="S6583" s="22" t="str">
        <f>IF(C6583="","",C6583&amp;I6583)</f>
        <v/>
      </c>
      <c r="T6583" t="str">
        <f>IF(OR(C6583="",I6583&lt;&gt;"ENTRADA"),"",TEXT(B6583,"AAMMDD")&amp;"-"&amp;TEXT(VALUE(SUBSTITUTE(A6583,"MOV-","")),"000"))</f>
        <v/>
      </c>
    </row>
    <row r="6584" spans="18:20">
      <c r="R6584" s="22" t="str">
        <f>IF(H6584="","",H6584&amp;I6584)</f>
        <v/>
      </c>
      <c r="S6584" s="22" t="str">
        <f>IF(C6584="","",C6584&amp;I6584)</f>
        <v/>
      </c>
      <c r="T6584" t="str">
        <f>IF(OR(C6584="",I6584&lt;&gt;"ENTRADA"),"",TEXT(B6584,"AAMMDD")&amp;"-"&amp;TEXT(VALUE(SUBSTITUTE(A6584,"MOV-","")),"000"))</f>
        <v/>
      </c>
    </row>
    <row r="6585" spans="18:20">
      <c r="R6585" s="22" t="str">
        <f>IF(H6585="","",H6585&amp;I6585)</f>
        <v/>
      </c>
      <c r="S6585" s="22" t="str">
        <f>IF(C6585="","",C6585&amp;I6585)</f>
        <v/>
      </c>
      <c r="T6585" t="str">
        <f>IF(OR(C6585="",I6585&lt;&gt;"ENTRADA"),"",TEXT(B6585,"AAMMDD")&amp;"-"&amp;TEXT(VALUE(SUBSTITUTE(A6585,"MOV-","")),"000"))</f>
        <v/>
      </c>
    </row>
    <row r="6586" spans="18:20">
      <c r="R6586" s="22" t="str">
        <f>IF(H6586="","",H6586&amp;I6586)</f>
        <v/>
      </c>
      <c r="S6586" s="22" t="str">
        <f>IF(C6586="","",C6586&amp;I6586)</f>
        <v/>
      </c>
      <c r="T6586" t="str">
        <f>IF(OR(C6586="",I6586&lt;&gt;"ENTRADA"),"",TEXT(B6586,"AAMMDD")&amp;"-"&amp;TEXT(VALUE(SUBSTITUTE(A6586,"MOV-","")),"000"))</f>
        <v/>
      </c>
    </row>
    <row r="6587" spans="18:20">
      <c r="R6587" s="22" t="str">
        <f>IF(H6587="","",H6587&amp;I6587)</f>
        <v/>
      </c>
      <c r="S6587" s="22" t="str">
        <f>IF(C6587="","",C6587&amp;I6587)</f>
        <v/>
      </c>
      <c r="T6587" t="str">
        <f>IF(OR(C6587="",I6587&lt;&gt;"ENTRADA"),"",TEXT(B6587,"AAMMDD")&amp;"-"&amp;TEXT(VALUE(SUBSTITUTE(A6587,"MOV-","")),"000"))</f>
        <v/>
      </c>
    </row>
    <row r="6588" spans="18:20">
      <c r="R6588" s="22" t="str">
        <f>IF(H6588="","",H6588&amp;I6588)</f>
        <v/>
      </c>
      <c r="S6588" s="22" t="str">
        <f>IF(C6588="","",C6588&amp;I6588)</f>
        <v/>
      </c>
      <c r="T6588" t="str">
        <f>IF(OR(C6588="",I6588&lt;&gt;"ENTRADA"),"",TEXT(B6588,"AAMMDD")&amp;"-"&amp;TEXT(VALUE(SUBSTITUTE(A6588,"MOV-","")),"000"))</f>
        <v/>
      </c>
    </row>
    <row r="6589" spans="18:20">
      <c r="R6589" s="22" t="str">
        <f>IF(H6589="","",H6589&amp;I6589)</f>
        <v/>
      </c>
      <c r="S6589" s="22" t="str">
        <f>IF(C6589="","",C6589&amp;I6589)</f>
        <v/>
      </c>
      <c r="T6589" t="str">
        <f>IF(OR(C6589="",I6589&lt;&gt;"ENTRADA"),"",TEXT(B6589,"AAMMDD")&amp;"-"&amp;TEXT(VALUE(SUBSTITUTE(A6589,"MOV-","")),"000"))</f>
        <v/>
      </c>
    </row>
    <row r="6590" spans="18:20">
      <c r="R6590" s="22" t="str">
        <f>IF(H6590="","",H6590&amp;I6590)</f>
        <v/>
      </c>
      <c r="S6590" s="22" t="str">
        <f>IF(C6590="","",C6590&amp;I6590)</f>
        <v/>
      </c>
      <c r="T6590" t="str">
        <f>IF(OR(C6590="",I6590&lt;&gt;"ENTRADA"),"",TEXT(B6590,"AAMMDD")&amp;"-"&amp;TEXT(VALUE(SUBSTITUTE(A6590,"MOV-","")),"000"))</f>
        <v/>
      </c>
    </row>
    <row r="6591" spans="18:20">
      <c r="R6591" s="22" t="str">
        <f>IF(H6591="","",H6591&amp;I6591)</f>
        <v/>
      </c>
      <c r="S6591" s="22" t="str">
        <f>IF(C6591="","",C6591&amp;I6591)</f>
        <v/>
      </c>
      <c r="T6591" t="str">
        <f>IF(OR(C6591="",I6591&lt;&gt;"ENTRADA"),"",TEXT(B6591,"AAMMDD")&amp;"-"&amp;TEXT(VALUE(SUBSTITUTE(A6591,"MOV-","")),"000"))</f>
        <v/>
      </c>
    </row>
    <row r="6592" spans="18:20">
      <c r="R6592" s="22" t="str">
        <f>IF(H6592="","",H6592&amp;I6592)</f>
        <v/>
      </c>
      <c r="S6592" s="22" t="str">
        <f>IF(C6592="","",C6592&amp;I6592)</f>
        <v/>
      </c>
      <c r="T6592" t="str">
        <f>IF(OR(C6592="",I6592&lt;&gt;"ENTRADA"),"",TEXT(B6592,"AAMMDD")&amp;"-"&amp;TEXT(VALUE(SUBSTITUTE(A6592,"MOV-","")),"000"))</f>
        <v/>
      </c>
    </row>
    <row r="6593" spans="18:20">
      <c r="R6593" s="22" t="str">
        <f>IF(H6593="","",H6593&amp;I6593)</f>
        <v/>
      </c>
      <c r="S6593" s="22" t="str">
        <f>IF(C6593="","",C6593&amp;I6593)</f>
        <v/>
      </c>
      <c r="T6593" t="str">
        <f>IF(OR(C6593="",I6593&lt;&gt;"ENTRADA"),"",TEXT(B6593,"AAMMDD")&amp;"-"&amp;TEXT(VALUE(SUBSTITUTE(A6593,"MOV-","")),"000"))</f>
        <v/>
      </c>
    </row>
    <row r="6594" spans="18:20">
      <c r="R6594" s="22" t="str">
        <f>IF(H6594="","",H6594&amp;I6594)</f>
        <v/>
      </c>
      <c r="S6594" s="22" t="str">
        <f>IF(C6594="","",C6594&amp;I6594)</f>
        <v/>
      </c>
      <c r="T6594" t="str">
        <f>IF(OR(C6594="",I6594&lt;&gt;"ENTRADA"),"",TEXT(B6594,"AAMMDD")&amp;"-"&amp;TEXT(VALUE(SUBSTITUTE(A6594,"MOV-","")),"000"))</f>
        <v/>
      </c>
    </row>
    <row r="6595" spans="18:20">
      <c r="R6595" s="22" t="str">
        <f>IF(H6595="","",H6595&amp;I6595)</f>
        <v/>
      </c>
      <c r="S6595" s="22" t="str">
        <f>IF(C6595="","",C6595&amp;I6595)</f>
        <v/>
      </c>
      <c r="T6595" t="str">
        <f>IF(OR(C6595="",I6595&lt;&gt;"ENTRADA"),"",TEXT(B6595,"AAMMDD")&amp;"-"&amp;TEXT(VALUE(SUBSTITUTE(A6595,"MOV-","")),"000"))</f>
        <v/>
      </c>
    </row>
    <row r="6596" spans="18:20">
      <c r="R6596" s="22" t="str">
        <f>IF(H6596="","",H6596&amp;I6596)</f>
        <v/>
      </c>
      <c r="S6596" s="22" t="str">
        <f>IF(C6596="","",C6596&amp;I6596)</f>
        <v/>
      </c>
      <c r="T6596" t="str">
        <f>IF(OR(C6596="",I6596&lt;&gt;"ENTRADA"),"",TEXT(B6596,"AAMMDD")&amp;"-"&amp;TEXT(VALUE(SUBSTITUTE(A6596,"MOV-","")),"000"))</f>
        <v/>
      </c>
    </row>
    <row r="6597" spans="18:20">
      <c r="R6597" s="22" t="str">
        <f>IF(H6597="","",H6597&amp;I6597)</f>
        <v/>
      </c>
      <c r="S6597" s="22" t="str">
        <f>IF(C6597="","",C6597&amp;I6597)</f>
        <v/>
      </c>
      <c r="T6597" t="str">
        <f>IF(OR(C6597="",I6597&lt;&gt;"ENTRADA"),"",TEXT(B6597,"AAMMDD")&amp;"-"&amp;TEXT(VALUE(SUBSTITUTE(A6597,"MOV-","")),"000"))</f>
        <v/>
      </c>
    </row>
    <row r="6598" spans="18:20">
      <c r="R6598" s="22" t="str">
        <f>IF(H6598="","",H6598&amp;I6598)</f>
        <v/>
      </c>
      <c r="S6598" s="22" t="str">
        <f>IF(C6598="","",C6598&amp;I6598)</f>
        <v/>
      </c>
      <c r="T6598" t="str">
        <f>IF(OR(C6598="",I6598&lt;&gt;"ENTRADA"),"",TEXT(B6598,"AAMMDD")&amp;"-"&amp;TEXT(VALUE(SUBSTITUTE(A6598,"MOV-","")),"000"))</f>
        <v/>
      </c>
    </row>
    <row r="6599" spans="18:20">
      <c r="R6599" s="22" t="str">
        <f>IF(H6599="","",H6599&amp;I6599)</f>
        <v/>
      </c>
      <c r="S6599" s="22" t="str">
        <f>IF(C6599="","",C6599&amp;I6599)</f>
        <v/>
      </c>
      <c r="T6599" t="str">
        <f>IF(OR(C6599="",I6599&lt;&gt;"ENTRADA"),"",TEXT(B6599,"AAMMDD")&amp;"-"&amp;TEXT(VALUE(SUBSTITUTE(A6599,"MOV-","")),"000"))</f>
        <v/>
      </c>
    </row>
    <row r="6600" spans="18:20">
      <c r="R6600" s="22" t="str">
        <f>IF(H6600="","",H6600&amp;I6600)</f>
        <v/>
      </c>
      <c r="S6600" s="22" t="str">
        <f>IF(C6600="","",C6600&amp;I6600)</f>
        <v/>
      </c>
      <c r="T6600" t="str">
        <f>IF(OR(C6600="",I6600&lt;&gt;"ENTRADA"),"",TEXT(B6600,"AAMMDD")&amp;"-"&amp;TEXT(VALUE(SUBSTITUTE(A6600,"MOV-","")),"000"))</f>
        <v/>
      </c>
    </row>
    <row r="6601" spans="18:20">
      <c r="R6601" s="22" t="str">
        <f>IF(H6601="","",H6601&amp;I6601)</f>
        <v/>
      </c>
      <c r="S6601" s="22" t="str">
        <f>IF(C6601="","",C6601&amp;I6601)</f>
        <v/>
      </c>
      <c r="T6601" t="str">
        <f>IF(OR(C6601="",I6601&lt;&gt;"ENTRADA"),"",TEXT(B6601,"AAMMDD")&amp;"-"&amp;TEXT(VALUE(SUBSTITUTE(A6601,"MOV-","")),"000"))</f>
        <v/>
      </c>
    </row>
    <row r="6602" spans="18:20">
      <c r="R6602" s="22" t="str">
        <f>IF(H6602="","",H6602&amp;I6602)</f>
        <v/>
      </c>
      <c r="S6602" s="22" t="str">
        <f>IF(C6602="","",C6602&amp;I6602)</f>
        <v/>
      </c>
      <c r="T6602" t="str">
        <f>IF(OR(C6602="",I6602&lt;&gt;"ENTRADA"),"",TEXT(B6602,"AAMMDD")&amp;"-"&amp;TEXT(VALUE(SUBSTITUTE(A6602,"MOV-","")),"000"))</f>
        <v/>
      </c>
    </row>
    <row r="6603" spans="18:20">
      <c r="R6603" s="22" t="str">
        <f>IF(H6603="","",H6603&amp;I6603)</f>
        <v/>
      </c>
      <c r="S6603" s="22" t="str">
        <f>IF(C6603="","",C6603&amp;I6603)</f>
        <v/>
      </c>
      <c r="T6603" t="str">
        <f>IF(OR(C6603="",I6603&lt;&gt;"ENTRADA"),"",TEXT(B6603,"AAMMDD")&amp;"-"&amp;TEXT(VALUE(SUBSTITUTE(A6603,"MOV-","")),"000"))</f>
        <v/>
      </c>
    </row>
    <row r="6604" spans="18:20">
      <c r="R6604" s="22" t="str">
        <f>IF(H6604="","",H6604&amp;I6604)</f>
        <v/>
      </c>
      <c r="S6604" s="22" t="str">
        <f>IF(C6604="","",C6604&amp;I6604)</f>
        <v/>
      </c>
      <c r="T6604" t="str">
        <f>IF(OR(C6604="",I6604&lt;&gt;"ENTRADA"),"",TEXT(B6604,"AAMMDD")&amp;"-"&amp;TEXT(VALUE(SUBSTITUTE(A6604,"MOV-","")),"000"))</f>
        <v/>
      </c>
    </row>
    <row r="6605" spans="18:20">
      <c r="R6605" s="22" t="str">
        <f>IF(H6605="","",H6605&amp;I6605)</f>
        <v/>
      </c>
      <c r="S6605" s="22" t="str">
        <f>IF(C6605="","",C6605&amp;I6605)</f>
        <v/>
      </c>
      <c r="T6605" t="str">
        <f>IF(OR(C6605="",I6605&lt;&gt;"ENTRADA"),"",TEXT(B6605,"AAMMDD")&amp;"-"&amp;TEXT(VALUE(SUBSTITUTE(A6605,"MOV-","")),"000"))</f>
        <v/>
      </c>
    </row>
    <row r="6606" spans="18:20">
      <c r="R6606" s="22" t="str">
        <f>IF(H6606="","",H6606&amp;I6606)</f>
        <v/>
      </c>
      <c r="S6606" s="22" t="str">
        <f>IF(C6606="","",C6606&amp;I6606)</f>
        <v/>
      </c>
      <c r="T6606" t="str">
        <f>IF(OR(C6606="",I6606&lt;&gt;"ENTRADA"),"",TEXT(B6606,"AAMMDD")&amp;"-"&amp;TEXT(VALUE(SUBSTITUTE(A6606,"MOV-","")),"000"))</f>
        <v/>
      </c>
    </row>
    <row r="6607" spans="18:20">
      <c r="R6607" s="22" t="str">
        <f>IF(H6607="","",H6607&amp;I6607)</f>
        <v/>
      </c>
      <c r="S6607" s="22" t="str">
        <f>IF(C6607="","",C6607&amp;I6607)</f>
        <v/>
      </c>
      <c r="T6607" t="str">
        <f>IF(OR(C6607="",I6607&lt;&gt;"ENTRADA"),"",TEXT(B6607,"AAMMDD")&amp;"-"&amp;TEXT(VALUE(SUBSTITUTE(A6607,"MOV-","")),"000"))</f>
        <v/>
      </c>
    </row>
    <row r="6608" spans="18:20">
      <c r="R6608" s="22" t="str">
        <f>IF(H6608="","",H6608&amp;I6608)</f>
        <v/>
      </c>
      <c r="S6608" s="22" t="str">
        <f>IF(C6608="","",C6608&amp;I6608)</f>
        <v/>
      </c>
      <c r="T6608" t="str">
        <f>IF(OR(C6608="",I6608&lt;&gt;"ENTRADA"),"",TEXT(B6608,"AAMMDD")&amp;"-"&amp;TEXT(VALUE(SUBSTITUTE(A6608,"MOV-","")),"000"))</f>
        <v/>
      </c>
    </row>
    <row r="6609" spans="18:20">
      <c r="R6609" s="22" t="str">
        <f>IF(H6609="","",H6609&amp;I6609)</f>
        <v/>
      </c>
      <c r="S6609" s="22" t="str">
        <f>IF(C6609="","",C6609&amp;I6609)</f>
        <v/>
      </c>
      <c r="T6609" t="str">
        <f>IF(OR(C6609="",I6609&lt;&gt;"ENTRADA"),"",TEXT(B6609,"AAMMDD")&amp;"-"&amp;TEXT(VALUE(SUBSTITUTE(A6609,"MOV-","")),"000"))</f>
        <v/>
      </c>
    </row>
    <row r="6610" spans="18:20">
      <c r="R6610" s="22" t="str">
        <f>IF(H6610="","",H6610&amp;I6610)</f>
        <v/>
      </c>
      <c r="S6610" s="22" t="str">
        <f>IF(C6610="","",C6610&amp;I6610)</f>
        <v/>
      </c>
      <c r="T6610" t="str">
        <f>IF(OR(C6610="",I6610&lt;&gt;"ENTRADA"),"",TEXT(B6610,"AAMMDD")&amp;"-"&amp;TEXT(VALUE(SUBSTITUTE(A6610,"MOV-","")),"000"))</f>
        <v/>
      </c>
    </row>
    <row r="6611" spans="18:20">
      <c r="R6611" s="22" t="str">
        <f>IF(H6611="","",H6611&amp;I6611)</f>
        <v/>
      </c>
      <c r="S6611" s="22" t="str">
        <f>IF(C6611="","",C6611&amp;I6611)</f>
        <v/>
      </c>
      <c r="T6611" t="str">
        <f>IF(OR(C6611="",I6611&lt;&gt;"ENTRADA"),"",TEXT(B6611,"AAMMDD")&amp;"-"&amp;TEXT(VALUE(SUBSTITUTE(A6611,"MOV-","")),"000"))</f>
        <v/>
      </c>
    </row>
    <row r="6612" spans="18:20">
      <c r="R6612" s="22" t="str">
        <f>IF(H6612="","",H6612&amp;I6612)</f>
        <v/>
      </c>
      <c r="S6612" s="22" t="str">
        <f>IF(C6612="","",C6612&amp;I6612)</f>
        <v/>
      </c>
      <c r="T6612" t="str">
        <f>IF(OR(C6612="",I6612&lt;&gt;"ENTRADA"),"",TEXT(B6612,"AAMMDD")&amp;"-"&amp;TEXT(VALUE(SUBSTITUTE(A6612,"MOV-","")),"000"))</f>
        <v/>
      </c>
    </row>
    <row r="6613" spans="18:20">
      <c r="R6613" s="22" t="str">
        <f>IF(H6613="","",H6613&amp;I6613)</f>
        <v/>
      </c>
      <c r="S6613" s="22" t="str">
        <f>IF(C6613="","",C6613&amp;I6613)</f>
        <v/>
      </c>
      <c r="T6613" t="str">
        <f>IF(OR(C6613="",I6613&lt;&gt;"ENTRADA"),"",TEXT(B6613,"AAMMDD")&amp;"-"&amp;TEXT(VALUE(SUBSTITUTE(A6613,"MOV-","")),"000"))</f>
        <v/>
      </c>
    </row>
    <row r="6614" spans="18:20">
      <c r="R6614" s="22" t="str">
        <f>IF(H6614="","",H6614&amp;I6614)</f>
        <v/>
      </c>
      <c r="S6614" s="22" t="str">
        <f>IF(C6614="","",C6614&amp;I6614)</f>
        <v/>
      </c>
      <c r="T6614" t="str">
        <f>IF(OR(C6614="",I6614&lt;&gt;"ENTRADA"),"",TEXT(B6614,"AAMMDD")&amp;"-"&amp;TEXT(VALUE(SUBSTITUTE(A6614,"MOV-","")),"000"))</f>
        <v/>
      </c>
    </row>
    <row r="6615" spans="18:20">
      <c r="R6615" s="22" t="str">
        <f>IF(H6615="","",H6615&amp;I6615)</f>
        <v/>
      </c>
      <c r="S6615" s="22" t="str">
        <f>IF(C6615="","",C6615&amp;I6615)</f>
        <v/>
      </c>
      <c r="T6615" t="str">
        <f>IF(OR(C6615="",I6615&lt;&gt;"ENTRADA"),"",TEXT(B6615,"AAMMDD")&amp;"-"&amp;TEXT(VALUE(SUBSTITUTE(A6615,"MOV-","")),"000"))</f>
        <v/>
      </c>
    </row>
    <row r="6616" spans="18:20">
      <c r="R6616" s="22" t="str">
        <f>IF(H6616="","",H6616&amp;I6616)</f>
        <v/>
      </c>
      <c r="S6616" s="22" t="str">
        <f>IF(C6616="","",C6616&amp;I6616)</f>
        <v/>
      </c>
      <c r="T6616" t="str">
        <f>IF(OR(C6616="",I6616&lt;&gt;"ENTRADA"),"",TEXT(B6616,"AAMMDD")&amp;"-"&amp;TEXT(VALUE(SUBSTITUTE(A6616,"MOV-","")),"000"))</f>
        <v/>
      </c>
    </row>
    <row r="6617" spans="18:20">
      <c r="R6617" s="22" t="str">
        <f>IF(H6617="","",H6617&amp;I6617)</f>
        <v/>
      </c>
      <c r="S6617" s="22" t="str">
        <f>IF(C6617="","",C6617&amp;I6617)</f>
        <v/>
      </c>
      <c r="T6617" t="str">
        <f>IF(OR(C6617="",I6617&lt;&gt;"ENTRADA"),"",TEXT(B6617,"AAMMDD")&amp;"-"&amp;TEXT(VALUE(SUBSTITUTE(A6617,"MOV-","")),"000"))</f>
        <v/>
      </c>
    </row>
    <row r="6618" spans="18:20">
      <c r="R6618" s="22" t="str">
        <f>IF(H6618="","",H6618&amp;I6618)</f>
        <v/>
      </c>
      <c r="S6618" s="22" t="str">
        <f>IF(C6618="","",C6618&amp;I6618)</f>
        <v/>
      </c>
      <c r="T6618" t="str">
        <f>IF(OR(C6618="",I6618&lt;&gt;"ENTRADA"),"",TEXT(B6618,"AAMMDD")&amp;"-"&amp;TEXT(VALUE(SUBSTITUTE(A6618,"MOV-","")),"000"))</f>
        <v/>
      </c>
    </row>
    <row r="6619" spans="18:20">
      <c r="R6619" s="22" t="str">
        <f>IF(H6619="","",H6619&amp;I6619)</f>
        <v/>
      </c>
      <c r="S6619" s="22" t="str">
        <f>IF(C6619="","",C6619&amp;I6619)</f>
        <v/>
      </c>
      <c r="T6619" t="str">
        <f>IF(OR(C6619="",I6619&lt;&gt;"ENTRADA"),"",TEXT(B6619,"AAMMDD")&amp;"-"&amp;TEXT(VALUE(SUBSTITUTE(A6619,"MOV-","")),"000"))</f>
        <v/>
      </c>
    </row>
    <row r="6620" spans="18:20">
      <c r="R6620" s="22" t="str">
        <f>IF(H6620="","",H6620&amp;I6620)</f>
        <v/>
      </c>
      <c r="S6620" s="22" t="str">
        <f>IF(C6620="","",C6620&amp;I6620)</f>
        <v/>
      </c>
      <c r="T6620" t="str">
        <f>IF(OR(C6620="",I6620&lt;&gt;"ENTRADA"),"",TEXT(B6620,"AAMMDD")&amp;"-"&amp;TEXT(VALUE(SUBSTITUTE(A6620,"MOV-","")),"000"))</f>
        <v/>
      </c>
    </row>
    <row r="6621" spans="18:20">
      <c r="R6621" s="22" t="str">
        <f>IF(H6621="","",H6621&amp;I6621)</f>
        <v/>
      </c>
      <c r="S6621" s="22" t="str">
        <f>IF(C6621="","",C6621&amp;I6621)</f>
        <v/>
      </c>
      <c r="T6621" t="str">
        <f>IF(OR(C6621="",I6621&lt;&gt;"ENTRADA"),"",TEXT(B6621,"AAMMDD")&amp;"-"&amp;TEXT(VALUE(SUBSTITUTE(A6621,"MOV-","")),"000"))</f>
        <v/>
      </c>
    </row>
    <row r="6622" spans="18:20">
      <c r="R6622" s="22" t="str">
        <f>IF(H6622="","",H6622&amp;I6622)</f>
        <v/>
      </c>
      <c r="S6622" s="22" t="str">
        <f>IF(C6622="","",C6622&amp;I6622)</f>
        <v/>
      </c>
      <c r="T6622" t="str">
        <f>IF(OR(C6622="",I6622&lt;&gt;"ENTRADA"),"",TEXT(B6622,"AAMMDD")&amp;"-"&amp;TEXT(VALUE(SUBSTITUTE(A6622,"MOV-","")),"000"))</f>
        <v/>
      </c>
    </row>
    <row r="6623" spans="18:20">
      <c r="R6623" s="22" t="str">
        <f>IF(H6623="","",H6623&amp;I6623)</f>
        <v/>
      </c>
      <c r="S6623" s="22" t="str">
        <f>IF(C6623="","",C6623&amp;I6623)</f>
        <v/>
      </c>
      <c r="T6623" t="str">
        <f>IF(OR(C6623="",I6623&lt;&gt;"ENTRADA"),"",TEXT(B6623,"AAMMDD")&amp;"-"&amp;TEXT(VALUE(SUBSTITUTE(A6623,"MOV-","")),"000"))</f>
        <v/>
      </c>
    </row>
    <row r="6624" spans="18:20">
      <c r="R6624" s="22" t="str">
        <f>IF(H6624="","",H6624&amp;I6624)</f>
        <v/>
      </c>
      <c r="S6624" s="22" t="str">
        <f>IF(C6624="","",C6624&amp;I6624)</f>
        <v/>
      </c>
      <c r="T6624" t="str">
        <f>IF(OR(C6624="",I6624&lt;&gt;"ENTRADA"),"",TEXT(B6624,"AAMMDD")&amp;"-"&amp;TEXT(VALUE(SUBSTITUTE(A6624,"MOV-","")),"000"))</f>
        <v/>
      </c>
    </row>
    <row r="6625" spans="18:20">
      <c r="R6625" s="22" t="str">
        <f>IF(H6625="","",H6625&amp;I6625)</f>
        <v/>
      </c>
      <c r="S6625" s="22" t="str">
        <f>IF(C6625="","",C6625&amp;I6625)</f>
        <v/>
      </c>
      <c r="T6625" t="str">
        <f>IF(OR(C6625="",I6625&lt;&gt;"ENTRADA"),"",TEXT(B6625,"AAMMDD")&amp;"-"&amp;TEXT(VALUE(SUBSTITUTE(A6625,"MOV-","")),"000"))</f>
        <v/>
      </c>
    </row>
    <row r="6626" spans="18:20">
      <c r="R6626" s="22" t="str">
        <f>IF(H6626="","",H6626&amp;I6626)</f>
        <v/>
      </c>
      <c r="S6626" s="22" t="str">
        <f>IF(C6626="","",C6626&amp;I6626)</f>
        <v/>
      </c>
      <c r="T6626" t="str">
        <f>IF(OR(C6626="",I6626&lt;&gt;"ENTRADA"),"",TEXT(B6626,"AAMMDD")&amp;"-"&amp;TEXT(VALUE(SUBSTITUTE(A6626,"MOV-","")),"000"))</f>
        <v/>
      </c>
    </row>
    <row r="6627" spans="18:20">
      <c r="R6627" s="22" t="str">
        <f>IF(H6627="","",H6627&amp;I6627)</f>
        <v/>
      </c>
      <c r="S6627" s="22" t="str">
        <f>IF(C6627="","",C6627&amp;I6627)</f>
        <v/>
      </c>
      <c r="T6627" t="str">
        <f>IF(OR(C6627="",I6627&lt;&gt;"ENTRADA"),"",TEXT(B6627,"AAMMDD")&amp;"-"&amp;TEXT(VALUE(SUBSTITUTE(A6627,"MOV-","")),"000"))</f>
        <v/>
      </c>
    </row>
    <row r="6628" spans="18:20">
      <c r="R6628" s="22" t="str">
        <f>IF(H6628="","",H6628&amp;I6628)</f>
        <v/>
      </c>
      <c r="S6628" s="22" t="str">
        <f>IF(C6628="","",C6628&amp;I6628)</f>
        <v/>
      </c>
      <c r="T6628" t="str">
        <f>IF(OR(C6628="",I6628&lt;&gt;"ENTRADA"),"",TEXT(B6628,"AAMMDD")&amp;"-"&amp;TEXT(VALUE(SUBSTITUTE(A6628,"MOV-","")),"000"))</f>
        <v/>
      </c>
    </row>
    <row r="6629" spans="18:20">
      <c r="R6629" s="22" t="str">
        <f>IF(H6629="","",H6629&amp;I6629)</f>
        <v/>
      </c>
      <c r="S6629" s="22" t="str">
        <f>IF(C6629="","",C6629&amp;I6629)</f>
        <v/>
      </c>
      <c r="T6629" t="str">
        <f>IF(OR(C6629="",I6629&lt;&gt;"ENTRADA"),"",TEXT(B6629,"AAMMDD")&amp;"-"&amp;TEXT(VALUE(SUBSTITUTE(A6629,"MOV-","")),"000"))</f>
        <v/>
      </c>
    </row>
    <row r="6630" spans="18:20">
      <c r="R6630" s="22" t="str">
        <f>IF(H6630="","",H6630&amp;I6630)</f>
        <v/>
      </c>
      <c r="S6630" s="22" t="str">
        <f>IF(C6630="","",C6630&amp;I6630)</f>
        <v/>
      </c>
      <c r="T6630" t="str">
        <f>IF(OR(C6630="",I6630&lt;&gt;"ENTRADA"),"",TEXT(B6630,"AAMMDD")&amp;"-"&amp;TEXT(VALUE(SUBSTITUTE(A6630,"MOV-","")),"000"))</f>
        <v/>
      </c>
    </row>
    <row r="6631" spans="18:20">
      <c r="R6631" s="22" t="str">
        <f>IF(H6631="","",H6631&amp;I6631)</f>
        <v/>
      </c>
      <c r="S6631" s="22" t="str">
        <f>IF(C6631="","",C6631&amp;I6631)</f>
        <v/>
      </c>
      <c r="T6631" t="str">
        <f>IF(OR(C6631="",I6631&lt;&gt;"ENTRADA"),"",TEXT(B6631,"AAMMDD")&amp;"-"&amp;TEXT(VALUE(SUBSTITUTE(A6631,"MOV-","")),"000"))</f>
        <v/>
      </c>
    </row>
    <row r="6632" spans="18:20">
      <c r="R6632" s="22" t="str">
        <f>IF(H6632="","",H6632&amp;I6632)</f>
        <v/>
      </c>
      <c r="S6632" s="22" t="str">
        <f>IF(C6632="","",C6632&amp;I6632)</f>
        <v/>
      </c>
      <c r="T6632" t="str">
        <f>IF(OR(C6632="",I6632&lt;&gt;"ENTRADA"),"",TEXT(B6632,"AAMMDD")&amp;"-"&amp;TEXT(VALUE(SUBSTITUTE(A6632,"MOV-","")),"000"))</f>
        <v/>
      </c>
    </row>
    <row r="6633" spans="18:20">
      <c r="R6633" s="22" t="str">
        <f>IF(H6633="","",H6633&amp;I6633)</f>
        <v/>
      </c>
      <c r="S6633" s="22" t="str">
        <f>IF(C6633="","",C6633&amp;I6633)</f>
        <v/>
      </c>
      <c r="T6633" t="str">
        <f>IF(OR(C6633="",I6633&lt;&gt;"ENTRADA"),"",TEXT(B6633,"AAMMDD")&amp;"-"&amp;TEXT(VALUE(SUBSTITUTE(A6633,"MOV-","")),"000"))</f>
        <v/>
      </c>
    </row>
    <row r="6634" spans="18:20">
      <c r="R6634" s="22" t="str">
        <f>IF(H6634="","",H6634&amp;I6634)</f>
        <v/>
      </c>
      <c r="S6634" s="22" t="str">
        <f>IF(C6634="","",C6634&amp;I6634)</f>
        <v/>
      </c>
      <c r="T6634" t="str">
        <f>IF(OR(C6634="",I6634&lt;&gt;"ENTRADA"),"",TEXT(B6634,"AAMMDD")&amp;"-"&amp;TEXT(VALUE(SUBSTITUTE(A6634,"MOV-","")),"000"))</f>
        <v/>
      </c>
    </row>
    <row r="6635" spans="18:20">
      <c r="R6635" s="22" t="str">
        <f>IF(H6635="","",H6635&amp;I6635)</f>
        <v/>
      </c>
      <c r="S6635" s="22" t="str">
        <f>IF(C6635="","",C6635&amp;I6635)</f>
        <v/>
      </c>
      <c r="T6635" t="str">
        <f>IF(OR(C6635="",I6635&lt;&gt;"ENTRADA"),"",TEXT(B6635,"AAMMDD")&amp;"-"&amp;TEXT(VALUE(SUBSTITUTE(A6635,"MOV-","")),"000"))</f>
        <v/>
      </c>
    </row>
    <row r="6636" spans="18:20">
      <c r="R6636" s="22" t="str">
        <f>IF(H6636="","",H6636&amp;I6636)</f>
        <v/>
      </c>
      <c r="S6636" s="22" t="str">
        <f>IF(C6636="","",C6636&amp;I6636)</f>
        <v/>
      </c>
      <c r="T6636" t="str">
        <f>IF(OR(C6636="",I6636&lt;&gt;"ENTRADA"),"",TEXT(B6636,"AAMMDD")&amp;"-"&amp;TEXT(VALUE(SUBSTITUTE(A6636,"MOV-","")),"000"))</f>
        <v/>
      </c>
    </row>
    <row r="6637" spans="18:20">
      <c r="R6637" s="22" t="str">
        <f>IF(H6637="","",H6637&amp;I6637)</f>
        <v/>
      </c>
      <c r="S6637" s="22" t="str">
        <f>IF(C6637="","",C6637&amp;I6637)</f>
        <v/>
      </c>
      <c r="T6637" t="str">
        <f>IF(OR(C6637="",I6637&lt;&gt;"ENTRADA"),"",TEXT(B6637,"AAMMDD")&amp;"-"&amp;TEXT(VALUE(SUBSTITUTE(A6637,"MOV-","")),"000"))</f>
        <v/>
      </c>
    </row>
    <row r="6638" spans="18:20">
      <c r="R6638" s="22" t="str">
        <f>IF(H6638="","",H6638&amp;I6638)</f>
        <v/>
      </c>
      <c r="S6638" s="22" t="str">
        <f>IF(C6638="","",C6638&amp;I6638)</f>
        <v/>
      </c>
      <c r="T6638" t="str">
        <f>IF(OR(C6638="",I6638&lt;&gt;"ENTRADA"),"",TEXT(B6638,"AAMMDD")&amp;"-"&amp;TEXT(VALUE(SUBSTITUTE(A6638,"MOV-","")),"000"))</f>
        <v/>
      </c>
    </row>
    <row r="6639" spans="18:20">
      <c r="R6639" s="22" t="str">
        <f>IF(H6639="","",H6639&amp;I6639)</f>
        <v/>
      </c>
      <c r="S6639" s="22" t="str">
        <f>IF(C6639="","",C6639&amp;I6639)</f>
        <v/>
      </c>
      <c r="T6639" t="str">
        <f>IF(OR(C6639="",I6639&lt;&gt;"ENTRADA"),"",TEXT(B6639,"AAMMDD")&amp;"-"&amp;TEXT(VALUE(SUBSTITUTE(A6639,"MOV-","")),"000"))</f>
        <v/>
      </c>
    </row>
    <row r="6640" spans="18:20">
      <c r="R6640" s="22" t="str">
        <f>IF(H6640="","",H6640&amp;I6640)</f>
        <v/>
      </c>
      <c r="S6640" s="22" t="str">
        <f>IF(C6640="","",C6640&amp;I6640)</f>
        <v/>
      </c>
      <c r="T6640" t="str">
        <f>IF(OR(C6640="",I6640&lt;&gt;"ENTRADA"),"",TEXT(B6640,"AAMMDD")&amp;"-"&amp;TEXT(VALUE(SUBSTITUTE(A6640,"MOV-","")),"000"))</f>
        <v/>
      </c>
    </row>
    <row r="6641" spans="18:20">
      <c r="R6641" s="22" t="str">
        <f>IF(H6641="","",H6641&amp;I6641)</f>
        <v/>
      </c>
      <c r="S6641" s="22" t="str">
        <f>IF(C6641="","",C6641&amp;I6641)</f>
        <v/>
      </c>
      <c r="T6641" t="str">
        <f>IF(OR(C6641="",I6641&lt;&gt;"ENTRADA"),"",TEXT(B6641,"AAMMDD")&amp;"-"&amp;TEXT(VALUE(SUBSTITUTE(A6641,"MOV-","")),"000"))</f>
        <v/>
      </c>
    </row>
    <row r="6642" spans="18:20">
      <c r="R6642" s="22" t="str">
        <f>IF(H6642="","",H6642&amp;I6642)</f>
        <v/>
      </c>
      <c r="S6642" s="22" t="str">
        <f>IF(C6642="","",C6642&amp;I6642)</f>
        <v/>
      </c>
      <c r="T6642" t="str">
        <f>IF(OR(C6642="",I6642&lt;&gt;"ENTRADA"),"",TEXT(B6642,"AAMMDD")&amp;"-"&amp;TEXT(VALUE(SUBSTITUTE(A6642,"MOV-","")),"000"))</f>
        <v/>
      </c>
    </row>
    <row r="6643" spans="18:20">
      <c r="R6643" s="22" t="str">
        <f>IF(H6643="","",H6643&amp;I6643)</f>
        <v/>
      </c>
      <c r="S6643" s="22" t="str">
        <f>IF(C6643="","",C6643&amp;I6643)</f>
        <v/>
      </c>
      <c r="T6643" t="str">
        <f>IF(OR(C6643="",I6643&lt;&gt;"ENTRADA"),"",TEXT(B6643,"AAMMDD")&amp;"-"&amp;TEXT(VALUE(SUBSTITUTE(A6643,"MOV-","")),"000"))</f>
        <v/>
      </c>
    </row>
    <row r="6644" spans="18:20">
      <c r="R6644" s="22" t="str">
        <f>IF(H6644="","",H6644&amp;I6644)</f>
        <v/>
      </c>
      <c r="S6644" s="22" t="str">
        <f>IF(C6644="","",C6644&amp;I6644)</f>
        <v/>
      </c>
      <c r="T6644" t="str">
        <f>IF(OR(C6644="",I6644&lt;&gt;"ENTRADA"),"",TEXT(B6644,"AAMMDD")&amp;"-"&amp;TEXT(VALUE(SUBSTITUTE(A6644,"MOV-","")),"000"))</f>
        <v/>
      </c>
    </row>
    <row r="6645" spans="18:20">
      <c r="R6645" s="22" t="str">
        <f>IF(H6645="","",H6645&amp;I6645)</f>
        <v/>
      </c>
      <c r="S6645" s="22" t="str">
        <f>IF(C6645="","",C6645&amp;I6645)</f>
        <v/>
      </c>
      <c r="T6645" t="str">
        <f>IF(OR(C6645="",I6645&lt;&gt;"ENTRADA"),"",TEXT(B6645,"AAMMDD")&amp;"-"&amp;TEXT(VALUE(SUBSTITUTE(A6645,"MOV-","")),"000"))</f>
        <v/>
      </c>
    </row>
    <row r="6646" spans="18:20">
      <c r="R6646" s="22" t="str">
        <f>IF(H6646="","",H6646&amp;I6646)</f>
        <v/>
      </c>
      <c r="S6646" s="22" t="str">
        <f>IF(C6646="","",C6646&amp;I6646)</f>
        <v/>
      </c>
      <c r="T6646" t="str">
        <f>IF(OR(C6646="",I6646&lt;&gt;"ENTRADA"),"",TEXT(B6646,"AAMMDD")&amp;"-"&amp;TEXT(VALUE(SUBSTITUTE(A6646,"MOV-","")),"000"))</f>
        <v/>
      </c>
    </row>
    <row r="6647" spans="18:20">
      <c r="R6647" s="22" t="str">
        <f>IF(H6647="","",H6647&amp;I6647)</f>
        <v/>
      </c>
      <c r="S6647" s="22" t="str">
        <f>IF(C6647="","",C6647&amp;I6647)</f>
        <v/>
      </c>
      <c r="T6647" t="str">
        <f>IF(OR(C6647="",I6647&lt;&gt;"ENTRADA"),"",TEXT(B6647,"AAMMDD")&amp;"-"&amp;TEXT(VALUE(SUBSTITUTE(A6647,"MOV-","")),"000"))</f>
        <v/>
      </c>
    </row>
    <row r="6648" spans="18:20">
      <c r="R6648" s="22" t="str">
        <f>IF(H6648="","",H6648&amp;I6648)</f>
        <v/>
      </c>
      <c r="S6648" s="22" t="str">
        <f>IF(C6648="","",C6648&amp;I6648)</f>
        <v/>
      </c>
      <c r="T6648" t="str">
        <f>IF(OR(C6648="",I6648&lt;&gt;"ENTRADA"),"",TEXT(B6648,"AAMMDD")&amp;"-"&amp;TEXT(VALUE(SUBSTITUTE(A6648,"MOV-","")),"000"))</f>
        <v/>
      </c>
    </row>
    <row r="6649" spans="18:20">
      <c r="R6649" s="22" t="str">
        <f>IF(H6649="","",H6649&amp;I6649)</f>
        <v/>
      </c>
      <c r="S6649" s="22" t="str">
        <f>IF(C6649="","",C6649&amp;I6649)</f>
        <v/>
      </c>
      <c r="T6649" t="str">
        <f>IF(OR(C6649="",I6649&lt;&gt;"ENTRADA"),"",TEXT(B6649,"AAMMDD")&amp;"-"&amp;TEXT(VALUE(SUBSTITUTE(A6649,"MOV-","")),"000"))</f>
        <v/>
      </c>
    </row>
    <row r="6650" spans="18:20">
      <c r="R6650" s="22" t="str">
        <f>IF(H6650="","",H6650&amp;I6650)</f>
        <v/>
      </c>
      <c r="S6650" s="22" t="str">
        <f>IF(C6650="","",C6650&amp;I6650)</f>
        <v/>
      </c>
      <c r="T6650" t="str">
        <f>IF(OR(C6650="",I6650&lt;&gt;"ENTRADA"),"",TEXT(B6650,"AAMMDD")&amp;"-"&amp;TEXT(VALUE(SUBSTITUTE(A6650,"MOV-","")),"000"))</f>
        <v/>
      </c>
    </row>
    <row r="6651" spans="18:20">
      <c r="R6651" s="22" t="str">
        <f>IF(H6651="","",H6651&amp;I6651)</f>
        <v/>
      </c>
      <c r="S6651" s="22" t="str">
        <f>IF(C6651="","",C6651&amp;I6651)</f>
        <v/>
      </c>
      <c r="T6651" t="str">
        <f>IF(OR(C6651="",I6651&lt;&gt;"ENTRADA"),"",TEXT(B6651,"AAMMDD")&amp;"-"&amp;TEXT(VALUE(SUBSTITUTE(A6651,"MOV-","")),"000"))</f>
        <v/>
      </c>
    </row>
    <row r="6652" spans="18:20">
      <c r="R6652" s="22" t="str">
        <f>IF(H6652="","",H6652&amp;I6652)</f>
        <v/>
      </c>
      <c r="S6652" s="22" t="str">
        <f>IF(C6652="","",C6652&amp;I6652)</f>
        <v/>
      </c>
      <c r="T6652" t="str">
        <f>IF(OR(C6652="",I6652&lt;&gt;"ENTRADA"),"",TEXT(B6652,"AAMMDD")&amp;"-"&amp;TEXT(VALUE(SUBSTITUTE(A6652,"MOV-","")),"000"))</f>
        <v/>
      </c>
    </row>
    <row r="6653" spans="18:20">
      <c r="R6653" s="22" t="str">
        <f>IF(H6653="","",H6653&amp;I6653)</f>
        <v/>
      </c>
      <c r="S6653" s="22" t="str">
        <f>IF(C6653="","",C6653&amp;I6653)</f>
        <v/>
      </c>
      <c r="T6653" t="str">
        <f>IF(OR(C6653="",I6653&lt;&gt;"ENTRADA"),"",TEXT(B6653,"AAMMDD")&amp;"-"&amp;TEXT(VALUE(SUBSTITUTE(A6653,"MOV-","")),"000"))</f>
        <v/>
      </c>
    </row>
    <row r="6654" spans="18:20">
      <c r="R6654" s="22" t="str">
        <f>IF(H6654="","",H6654&amp;I6654)</f>
        <v/>
      </c>
      <c r="S6654" s="22" t="str">
        <f>IF(C6654="","",C6654&amp;I6654)</f>
        <v/>
      </c>
      <c r="T6654" t="str">
        <f>IF(OR(C6654="",I6654&lt;&gt;"ENTRADA"),"",TEXT(B6654,"AAMMDD")&amp;"-"&amp;TEXT(VALUE(SUBSTITUTE(A6654,"MOV-","")),"000"))</f>
        <v/>
      </c>
    </row>
    <row r="6655" spans="18:20">
      <c r="R6655" s="22" t="str">
        <f>IF(H6655="","",H6655&amp;I6655)</f>
        <v/>
      </c>
      <c r="S6655" s="22" t="str">
        <f>IF(C6655="","",C6655&amp;I6655)</f>
        <v/>
      </c>
      <c r="T6655" t="str">
        <f>IF(OR(C6655="",I6655&lt;&gt;"ENTRADA"),"",TEXT(B6655,"AAMMDD")&amp;"-"&amp;TEXT(VALUE(SUBSTITUTE(A6655,"MOV-","")),"000"))</f>
        <v/>
      </c>
    </row>
    <row r="6656" spans="18:20">
      <c r="R6656" s="22" t="str">
        <f>IF(H6656="","",H6656&amp;I6656)</f>
        <v/>
      </c>
      <c r="S6656" s="22" t="str">
        <f>IF(C6656="","",C6656&amp;I6656)</f>
        <v/>
      </c>
      <c r="T6656" t="str">
        <f>IF(OR(C6656="",I6656&lt;&gt;"ENTRADA"),"",TEXT(B6656,"AAMMDD")&amp;"-"&amp;TEXT(VALUE(SUBSTITUTE(A6656,"MOV-","")),"000"))</f>
        <v/>
      </c>
    </row>
    <row r="6657" spans="18:20">
      <c r="R6657" s="22" t="str">
        <f>IF(H6657="","",H6657&amp;I6657)</f>
        <v/>
      </c>
      <c r="S6657" s="22" t="str">
        <f>IF(C6657="","",C6657&amp;I6657)</f>
        <v/>
      </c>
      <c r="T6657" t="str">
        <f>IF(OR(C6657="",I6657&lt;&gt;"ENTRADA"),"",TEXT(B6657,"AAMMDD")&amp;"-"&amp;TEXT(VALUE(SUBSTITUTE(A6657,"MOV-","")),"000"))</f>
        <v/>
      </c>
    </row>
    <row r="6658" spans="18:20">
      <c r="R6658" s="22" t="str">
        <f>IF(H6658="","",H6658&amp;I6658)</f>
        <v/>
      </c>
      <c r="S6658" s="22" t="str">
        <f>IF(C6658="","",C6658&amp;I6658)</f>
        <v/>
      </c>
      <c r="T6658" t="str">
        <f>IF(OR(C6658="",I6658&lt;&gt;"ENTRADA"),"",TEXT(B6658,"AAMMDD")&amp;"-"&amp;TEXT(VALUE(SUBSTITUTE(A6658,"MOV-","")),"000"))</f>
        <v/>
      </c>
    </row>
    <row r="6659" spans="18:20">
      <c r="R6659" s="22" t="str">
        <f>IF(H6659="","",H6659&amp;I6659)</f>
        <v/>
      </c>
      <c r="S6659" s="22" t="str">
        <f>IF(C6659="","",C6659&amp;I6659)</f>
        <v/>
      </c>
      <c r="T6659" t="str">
        <f>IF(OR(C6659="",I6659&lt;&gt;"ENTRADA"),"",TEXT(B6659,"AAMMDD")&amp;"-"&amp;TEXT(VALUE(SUBSTITUTE(A6659,"MOV-","")),"000"))</f>
        <v/>
      </c>
    </row>
    <row r="6660" spans="18:20">
      <c r="R6660" s="22" t="str">
        <f>IF(H6660="","",H6660&amp;I6660)</f>
        <v/>
      </c>
      <c r="S6660" s="22" t="str">
        <f>IF(C6660="","",C6660&amp;I6660)</f>
        <v/>
      </c>
      <c r="T6660" t="str">
        <f>IF(OR(C6660="",I6660&lt;&gt;"ENTRADA"),"",TEXT(B6660,"AAMMDD")&amp;"-"&amp;TEXT(VALUE(SUBSTITUTE(A6660,"MOV-","")),"000"))</f>
        <v/>
      </c>
    </row>
    <row r="6661" spans="18:20">
      <c r="R6661" s="22" t="str">
        <f>IF(H6661="","",H6661&amp;I6661)</f>
        <v/>
      </c>
      <c r="S6661" s="22" t="str">
        <f>IF(C6661="","",C6661&amp;I6661)</f>
        <v/>
      </c>
      <c r="T6661" t="str">
        <f>IF(OR(C6661="",I6661&lt;&gt;"ENTRADA"),"",TEXT(B6661,"AAMMDD")&amp;"-"&amp;TEXT(VALUE(SUBSTITUTE(A6661,"MOV-","")),"000"))</f>
        <v/>
      </c>
    </row>
    <row r="6662" spans="18:20">
      <c r="R6662" s="22" t="str">
        <f>IF(H6662="","",H6662&amp;I6662)</f>
        <v/>
      </c>
      <c r="S6662" s="22" t="str">
        <f>IF(C6662="","",C6662&amp;I6662)</f>
        <v/>
      </c>
      <c r="T6662" t="str">
        <f>IF(OR(C6662="",I6662&lt;&gt;"ENTRADA"),"",TEXT(B6662,"AAMMDD")&amp;"-"&amp;TEXT(VALUE(SUBSTITUTE(A6662,"MOV-","")),"000"))</f>
        <v/>
      </c>
    </row>
    <row r="6663" spans="18:20">
      <c r="R6663" s="22" t="str">
        <f>IF(H6663="","",H6663&amp;I6663)</f>
        <v/>
      </c>
      <c r="S6663" s="22" t="str">
        <f>IF(C6663="","",C6663&amp;I6663)</f>
        <v/>
      </c>
      <c r="T6663" t="str">
        <f>IF(OR(C6663="",I6663&lt;&gt;"ENTRADA"),"",TEXT(B6663,"AAMMDD")&amp;"-"&amp;TEXT(VALUE(SUBSTITUTE(A6663,"MOV-","")),"000"))</f>
        <v/>
      </c>
    </row>
    <row r="6664" spans="18:20">
      <c r="R6664" s="22" t="str">
        <f>IF(H6664="","",H6664&amp;I6664)</f>
        <v/>
      </c>
      <c r="S6664" s="22" t="str">
        <f>IF(C6664="","",C6664&amp;I6664)</f>
        <v/>
      </c>
      <c r="T6664" t="str">
        <f>IF(OR(C6664="",I6664&lt;&gt;"ENTRADA"),"",TEXT(B6664,"AAMMDD")&amp;"-"&amp;TEXT(VALUE(SUBSTITUTE(A6664,"MOV-","")),"000"))</f>
        <v/>
      </c>
    </row>
    <row r="6665" spans="18:20">
      <c r="R6665" s="22" t="str">
        <f>IF(H6665="","",H6665&amp;I6665)</f>
        <v/>
      </c>
      <c r="S6665" s="22" t="str">
        <f>IF(C6665="","",C6665&amp;I6665)</f>
        <v/>
      </c>
      <c r="T6665" t="str">
        <f>IF(OR(C6665="",I6665&lt;&gt;"ENTRADA"),"",TEXT(B6665,"AAMMDD")&amp;"-"&amp;TEXT(VALUE(SUBSTITUTE(A6665,"MOV-","")),"000"))</f>
        <v/>
      </c>
    </row>
    <row r="6666" spans="18:20">
      <c r="R6666" s="22" t="str">
        <f>IF(H6666="","",H6666&amp;I6666)</f>
        <v/>
      </c>
      <c r="S6666" s="22" t="str">
        <f>IF(C6666="","",C6666&amp;I6666)</f>
        <v/>
      </c>
      <c r="T6666" t="str">
        <f>IF(OR(C6666="",I6666&lt;&gt;"ENTRADA"),"",TEXT(B6666,"AAMMDD")&amp;"-"&amp;TEXT(VALUE(SUBSTITUTE(A6666,"MOV-","")),"000"))</f>
        <v/>
      </c>
    </row>
    <row r="6667" spans="18:20">
      <c r="R6667" s="22" t="str">
        <f>IF(H6667="","",H6667&amp;I6667)</f>
        <v/>
      </c>
      <c r="S6667" s="22" t="str">
        <f>IF(C6667="","",C6667&amp;I6667)</f>
        <v/>
      </c>
      <c r="T6667" t="str">
        <f>IF(OR(C6667="",I6667&lt;&gt;"ENTRADA"),"",TEXT(B6667,"AAMMDD")&amp;"-"&amp;TEXT(VALUE(SUBSTITUTE(A6667,"MOV-","")),"000"))</f>
        <v/>
      </c>
    </row>
    <row r="6668" spans="18:20">
      <c r="R6668" s="22" t="str">
        <f>IF(H6668="","",H6668&amp;I6668)</f>
        <v/>
      </c>
      <c r="S6668" s="22" t="str">
        <f>IF(C6668="","",C6668&amp;I6668)</f>
        <v/>
      </c>
      <c r="T6668" t="str">
        <f>IF(OR(C6668="",I6668&lt;&gt;"ENTRADA"),"",TEXT(B6668,"AAMMDD")&amp;"-"&amp;TEXT(VALUE(SUBSTITUTE(A6668,"MOV-","")),"000"))</f>
        <v/>
      </c>
    </row>
    <row r="6669" spans="18:20">
      <c r="R6669" s="22" t="str">
        <f>IF(H6669="","",H6669&amp;I6669)</f>
        <v/>
      </c>
      <c r="S6669" s="22" t="str">
        <f>IF(C6669="","",C6669&amp;I6669)</f>
        <v/>
      </c>
      <c r="T6669" t="str">
        <f>IF(OR(C6669="",I6669&lt;&gt;"ENTRADA"),"",TEXT(B6669,"AAMMDD")&amp;"-"&amp;TEXT(VALUE(SUBSTITUTE(A6669,"MOV-","")),"000"))</f>
        <v/>
      </c>
    </row>
    <row r="6670" spans="18:20">
      <c r="R6670" s="22" t="str">
        <f>IF(H6670="","",H6670&amp;I6670)</f>
        <v/>
      </c>
      <c r="S6670" s="22" t="str">
        <f>IF(C6670="","",C6670&amp;I6670)</f>
        <v/>
      </c>
      <c r="T6670" t="str">
        <f>IF(OR(C6670="",I6670&lt;&gt;"ENTRADA"),"",TEXT(B6670,"AAMMDD")&amp;"-"&amp;TEXT(VALUE(SUBSTITUTE(A6670,"MOV-","")),"000"))</f>
        <v/>
      </c>
    </row>
    <row r="6671" spans="18:20">
      <c r="R6671" s="22" t="str">
        <f>IF(H6671="","",H6671&amp;I6671)</f>
        <v/>
      </c>
      <c r="S6671" s="22" t="str">
        <f>IF(C6671="","",C6671&amp;I6671)</f>
        <v/>
      </c>
      <c r="T6671" t="str">
        <f>IF(OR(C6671="",I6671&lt;&gt;"ENTRADA"),"",TEXT(B6671,"AAMMDD")&amp;"-"&amp;TEXT(VALUE(SUBSTITUTE(A6671,"MOV-","")),"000"))</f>
        <v/>
      </c>
    </row>
    <row r="6672" spans="18:20">
      <c r="R6672" s="22" t="str">
        <f>IF(H6672="","",H6672&amp;I6672)</f>
        <v/>
      </c>
      <c r="S6672" s="22" t="str">
        <f>IF(C6672="","",C6672&amp;I6672)</f>
        <v/>
      </c>
      <c r="T6672" t="str">
        <f>IF(OR(C6672="",I6672&lt;&gt;"ENTRADA"),"",TEXT(B6672,"AAMMDD")&amp;"-"&amp;TEXT(VALUE(SUBSTITUTE(A6672,"MOV-","")),"000"))</f>
        <v/>
      </c>
    </row>
    <row r="6673" spans="18:20">
      <c r="R6673" s="22" t="str">
        <f>IF(H6673="","",H6673&amp;I6673)</f>
        <v/>
      </c>
      <c r="S6673" s="22" t="str">
        <f>IF(C6673="","",C6673&amp;I6673)</f>
        <v/>
      </c>
      <c r="T6673" t="str">
        <f>IF(OR(C6673="",I6673&lt;&gt;"ENTRADA"),"",TEXT(B6673,"AAMMDD")&amp;"-"&amp;TEXT(VALUE(SUBSTITUTE(A6673,"MOV-","")),"000"))</f>
        <v/>
      </c>
    </row>
    <row r="6674" spans="18:20">
      <c r="R6674" s="22" t="str">
        <f>IF(H6674="","",H6674&amp;I6674)</f>
        <v/>
      </c>
      <c r="S6674" s="22" t="str">
        <f>IF(C6674="","",C6674&amp;I6674)</f>
        <v/>
      </c>
      <c r="T6674" t="str">
        <f>IF(OR(C6674="",I6674&lt;&gt;"ENTRADA"),"",TEXT(B6674,"AAMMDD")&amp;"-"&amp;TEXT(VALUE(SUBSTITUTE(A6674,"MOV-","")),"000"))</f>
        <v/>
      </c>
    </row>
    <row r="6675" spans="18:20">
      <c r="R6675" s="22" t="str">
        <f>IF(H6675="","",H6675&amp;I6675)</f>
        <v/>
      </c>
      <c r="S6675" s="22" t="str">
        <f>IF(C6675="","",C6675&amp;I6675)</f>
        <v/>
      </c>
      <c r="T6675" t="str">
        <f>IF(OR(C6675="",I6675&lt;&gt;"ENTRADA"),"",TEXT(B6675,"AAMMDD")&amp;"-"&amp;TEXT(VALUE(SUBSTITUTE(A6675,"MOV-","")),"000"))</f>
        <v/>
      </c>
    </row>
    <row r="6676" spans="18:20">
      <c r="R6676" s="22" t="str">
        <f>IF(H6676="","",H6676&amp;I6676)</f>
        <v/>
      </c>
      <c r="S6676" s="22" t="str">
        <f>IF(C6676="","",C6676&amp;I6676)</f>
        <v/>
      </c>
      <c r="T6676" t="str">
        <f>IF(OR(C6676="",I6676&lt;&gt;"ENTRADA"),"",TEXT(B6676,"AAMMDD")&amp;"-"&amp;TEXT(VALUE(SUBSTITUTE(A6676,"MOV-","")),"000"))</f>
        <v/>
      </c>
    </row>
    <row r="6677" spans="18:20">
      <c r="R6677" s="22" t="str">
        <f>IF(H6677="","",H6677&amp;I6677)</f>
        <v/>
      </c>
      <c r="S6677" s="22" t="str">
        <f>IF(C6677="","",C6677&amp;I6677)</f>
        <v/>
      </c>
      <c r="T6677" t="str">
        <f>IF(OR(C6677="",I6677&lt;&gt;"ENTRADA"),"",TEXT(B6677,"AAMMDD")&amp;"-"&amp;TEXT(VALUE(SUBSTITUTE(A6677,"MOV-","")),"000"))</f>
        <v/>
      </c>
    </row>
    <row r="6678" spans="18:20">
      <c r="R6678" s="22" t="str">
        <f>IF(H6678="","",H6678&amp;I6678)</f>
        <v/>
      </c>
      <c r="S6678" s="22" t="str">
        <f>IF(C6678="","",C6678&amp;I6678)</f>
        <v/>
      </c>
      <c r="T6678" t="str">
        <f>IF(OR(C6678="",I6678&lt;&gt;"ENTRADA"),"",TEXT(B6678,"AAMMDD")&amp;"-"&amp;TEXT(VALUE(SUBSTITUTE(A6678,"MOV-","")),"000"))</f>
        <v/>
      </c>
    </row>
    <row r="6679" spans="18:20">
      <c r="R6679" s="22" t="str">
        <f>IF(H6679="","",H6679&amp;I6679)</f>
        <v/>
      </c>
      <c r="S6679" s="22" t="str">
        <f>IF(C6679="","",C6679&amp;I6679)</f>
        <v/>
      </c>
      <c r="T6679" t="str">
        <f>IF(OR(C6679="",I6679&lt;&gt;"ENTRADA"),"",TEXT(B6679,"AAMMDD")&amp;"-"&amp;TEXT(VALUE(SUBSTITUTE(A6679,"MOV-","")),"000"))</f>
        <v/>
      </c>
    </row>
    <row r="6680" spans="18:20">
      <c r="R6680" s="22" t="str">
        <f>IF(H6680="","",H6680&amp;I6680)</f>
        <v/>
      </c>
      <c r="S6680" s="22" t="str">
        <f>IF(C6680="","",C6680&amp;I6680)</f>
        <v/>
      </c>
      <c r="T6680" t="str">
        <f>IF(OR(C6680="",I6680&lt;&gt;"ENTRADA"),"",TEXT(B6680,"AAMMDD")&amp;"-"&amp;TEXT(VALUE(SUBSTITUTE(A6680,"MOV-","")),"000"))</f>
        <v/>
      </c>
    </row>
    <row r="6681" spans="18:20">
      <c r="R6681" s="22" t="str">
        <f>IF(H6681="","",H6681&amp;I6681)</f>
        <v/>
      </c>
      <c r="S6681" s="22" t="str">
        <f>IF(C6681="","",C6681&amp;I6681)</f>
        <v/>
      </c>
      <c r="T6681" t="str">
        <f>IF(OR(C6681="",I6681&lt;&gt;"ENTRADA"),"",TEXT(B6681,"AAMMDD")&amp;"-"&amp;TEXT(VALUE(SUBSTITUTE(A6681,"MOV-","")),"000"))</f>
        <v/>
      </c>
    </row>
    <row r="6682" spans="18:20">
      <c r="R6682" s="22" t="str">
        <f>IF(H6682="","",H6682&amp;I6682)</f>
        <v/>
      </c>
      <c r="S6682" s="22" t="str">
        <f>IF(C6682="","",C6682&amp;I6682)</f>
        <v/>
      </c>
      <c r="T6682" t="str">
        <f>IF(OR(C6682="",I6682&lt;&gt;"ENTRADA"),"",TEXT(B6682,"AAMMDD")&amp;"-"&amp;TEXT(VALUE(SUBSTITUTE(A6682,"MOV-","")),"000"))</f>
        <v/>
      </c>
    </row>
    <row r="6683" spans="18:20">
      <c r="R6683" s="22" t="str">
        <f>IF(H6683="","",H6683&amp;I6683)</f>
        <v/>
      </c>
      <c r="S6683" s="22" t="str">
        <f>IF(C6683="","",C6683&amp;I6683)</f>
        <v/>
      </c>
      <c r="T6683" t="str">
        <f>IF(OR(C6683="",I6683&lt;&gt;"ENTRADA"),"",TEXT(B6683,"AAMMDD")&amp;"-"&amp;TEXT(VALUE(SUBSTITUTE(A6683,"MOV-","")),"000"))</f>
        <v/>
      </c>
    </row>
    <row r="6684" spans="18:20">
      <c r="R6684" s="22" t="str">
        <f>IF(H6684="","",H6684&amp;I6684)</f>
        <v/>
      </c>
      <c r="S6684" s="22" t="str">
        <f>IF(C6684="","",C6684&amp;I6684)</f>
        <v/>
      </c>
      <c r="T6684" t="str">
        <f>IF(OR(C6684="",I6684&lt;&gt;"ENTRADA"),"",TEXT(B6684,"AAMMDD")&amp;"-"&amp;TEXT(VALUE(SUBSTITUTE(A6684,"MOV-","")),"000"))</f>
        <v/>
      </c>
    </row>
    <row r="6685" spans="18:20">
      <c r="R6685" s="22" t="str">
        <f>IF(H6685="","",H6685&amp;I6685)</f>
        <v/>
      </c>
      <c r="S6685" s="22" t="str">
        <f>IF(C6685="","",C6685&amp;I6685)</f>
        <v/>
      </c>
      <c r="T6685" t="str">
        <f>IF(OR(C6685="",I6685&lt;&gt;"ENTRADA"),"",TEXT(B6685,"AAMMDD")&amp;"-"&amp;TEXT(VALUE(SUBSTITUTE(A6685,"MOV-","")),"000"))</f>
        <v/>
      </c>
    </row>
    <row r="6686" spans="18:20">
      <c r="R6686" s="22" t="str">
        <f>IF(H6686="","",H6686&amp;I6686)</f>
        <v/>
      </c>
      <c r="S6686" s="22" t="str">
        <f>IF(C6686="","",C6686&amp;I6686)</f>
        <v/>
      </c>
      <c r="T6686" t="str">
        <f>IF(OR(C6686="",I6686&lt;&gt;"ENTRADA"),"",TEXT(B6686,"AAMMDD")&amp;"-"&amp;TEXT(VALUE(SUBSTITUTE(A6686,"MOV-","")),"000"))</f>
        <v/>
      </c>
    </row>
    <row r="6687" spans="18:20">
      <c r="R6687" s="22" t="str">
        <f>IF(H6687="","",H6687&amp;I6687)</f>
        <v/>
      </c>
      <c r="S6687" s="22" t="str">
        <f>IF(C6687="","",C6687&amp;I6687)</f>
        <v/>
      </c>
      <c r="T6687" t="str">
        <f>IF(OR(C6687="",I6687&lt;&gt;"ENTRADA"),"",TEXT(B6687,"AAMMDD")&amp;"-"&amp;TEXT(VALUE(SUBSTITUTE(A6687,"MOV-","")),"000"))</f>
        <v/>
      </c>
    </row>
    <row r="6688" spans="18:20">
      <c r="R6688" s="22" t="str">
        <f>IF(H6688="","",H6688&amp;I6688)</f>
        <v/>
      </c>
      <c r="S6688" s="22" t="str">
        <f>IF(C6688="","",C6688&amp;I6688)</f>
        <v/>
      </c>
      <c r="T6688" t="str">
        <f>IF(OR(C6688="",I6688&lt;&gt;"ENTRADA"),"",TEXT(B6688,"AAMMDD")&amp;"-"&amp;TEXT(VALUE(SUBSTITUTE(A6688,"MOV-","")),"000"))</f>
        <v/>
      </c>
    </row>
    <row r="6689" spans="18:20">
      <c r="R6689" s="22" t="str">
        <f>IF(H6689="","",H6689&amp;I6689)</f>
        <v/>
      </c>
      <c r="S6689" s="22" t="str">
        <f>IF(C6689="","",C6689&amp;I6689)</f>
        <v/>
      </c>
      <c r="T6689" t="str">
        <f>IF(OR(C6689="",I6689&lt;&gt;"ENTRADA"),"",TEXT(B6689,"AAMMDD")&amp;"-"&amp;TEXT(VALUE(SUBSTITUTE(A6689,"MOV-","")),"000"))</f>
        <v/>
      </c>
    </row>
    <row r="6690" spans="18:20">
      <c r="R6690" s="22" t="str">
        <f>IF(H6690="","",H6690&amp;I6690)</f>
        <v/>
      </c>
      <c r="S6690" s="22" t="str">
        <f>IF(C6690="","",C6690&amp;I6690)</f>
        <v/>
      </c>
      <c r="T6690" t="str">
        <f>IF(OR(C6690="",I6690&lt;&gt;"ENTRADA"),"",TEXT(B6690,"AAMMDD")&amp;"-"&amp;TEXT(VALUE(SUBSTITUTE(A6690,"MOV-","")),"000"))</f>
        <v/>
      </c>
    </row>
    <row r="6691" spans="18:20">
      <c r="R6691" s="22" t="str">
        <f>IF(H6691="","",H6691&amp;I6691)</f>
        <v/>
      </c>
      <c r="S6691" s="22" t="str">
        <f>IF(C6691="","",C6691&amp;I6691)</f>
        <v/>
      </c>
      <c r="T6691" t="str">
        <f>IF(OR(C6691="",I6691&lt;&gt;"ENTRADA"),"",TEXT(B6691,"AAMMDD")&amp;"-"&amp;TEXT(VALUE(SUBSTITUTE(A6691,"MOV-","")),"000"))</f>
        <v/>
      </c>
    </row>
    <row r="6692" spans="18:20">
      <c r="R6692" s="22" t="str">
        <f>IF(H6692="","",H6692&amp;I6692)</f>
        <v/>
      </c>
      <c r="S6692" s="22" t="str">
        <f>IF(C6692="","",C6692&amp;I6692)</f>
        <v/>
      </c>
      <c r="T6692" t="str">
        <f>IF(OR(C6692="",I6692&lt;&gt;"ENTRADA"),"",TEXT(B6692,"AAMMDD")&amp;"-"&amp;TEXT(VALUE(SUBSTITUTE(A6692,"MOV-","")),"000"))</f>
        <v/>
      </c>
    </row>
    <row r="6693" spans="18:20">
      <c r="R6693" s="22" t="str">
        <f>IF(H6693="","",H6693&amp;I6693)</f>
        <v/>
      </c>
      <c r="S6693" s="22" t="str">
        <f>IF(C6693="","",C6693&amp;I6693)</f>
        <v/>
      </c>
      <c r="T6693" t="str">
        <f>IF(OR(C6693="",I6693&lt;&gt;"ENTRADA"),"",TEXT(B6693,"AAMMDD")&amp;"-"&amp;TEXT(VALUE(SUBSTITUTE(A6693,"MOV-","")),"000"))</f>
        <v/>
      </c>
    </row>
    <row r="6694" spans="18:20">
      <c r="R6694" s="22" t="str">
        <f>IF(H6694="","",H6694&amp;I6694)</f>
        <v/>
      </c>
      <c r="S6694" s="22" t="str">
        <f>IF(C6694="","",C6694&amp;I6694)</f>
        <v/>
      </c>
      <c r="T6694" t="str">
        <f>IF(OR(C6694="",I6694&lt;&gt;"ENTRADA"),"",TEXT(B6694,"AAMMDD")&amp;"-"&amp;TEXT(VALUE(SUBSTITUTE(A6694,"MOV-","")),"000"))</f>
        <v/>
      </c>
    </row>
    <row r="6695" spans="18:20">
      <c r="R6695" s="22" t="str">
        <f>IF(H6695="","",H6695&amp;I6695)</f>
        <v/>
      </c>
      <c r="S6695" s="22" t="str">
        <f>IF(C6695="","",C6695&amp;I6695)</f>
        <v/>
      </c>
      <c r="T6695" t="str">
        <f>IF(OR(C6695="",I6695&lt;&gt;"ENTRADA"),"",TEXT(B6695,"AAMMDD")&amp;"-"&amp;TEXT(VALUE(SUBSTITUTE(A6695,"MOV-","")),"000"))</f>
        <v/>
      </c>
    </row>
    <row r="6696" spans="18:20">
      <c r="R6696" s="22" t="str">
        <f>IF(H6696="","",H6696&amp;I6696)</f>
        <v/>
      </c>
      <c r="S6696" s="22" t="str">
        <f>IF(C6696="","",C6696&amp;I6696)</f>
        <v/>
      </c>
      <c r="T6696" t="str">
        <f>IF(OR(C6696="",I6696&lt;&gt;"ENTRADA"),"",TEXT(B6696,"AAMMDD")&amp;"-"&amp;TEXT(VALUE(SUBSTITUTE(A6696,"MOV-","")),"000"))</f>
        <v/>
      </c>
    </row>
    <row r="6697" spans="18:20">
      <c r="R6697" s="38" t="str">
        <f>IF(H6697="","",H6697&amp;I6697)</f>
        <v/>
      </c>
      <c r="S6697" s="38" t="str">
        <f>IF(C6697="","",C6697&amp;I6697)</f>
        <v/>
      </c>
      <c r="T6697" t="str">
        <f>IF(OR(C6697="",I6697&lt;&gt;"ENTRADA"),"",TEXT(B6697,"AAMMDD")&amp;"-"&amp;TEXT(VALUE(SUBSTITUTE(A6697,"MOV-","")),"000"))</f>
        <v/>
      </c>
    </row>
    <row r="6698" spans="18:20">
      <c r="R6698" s="38" t="str">
        <f>IF(H6698="","",H6698&amp;I6698)</f>
        <v/>
      </c>
      <c r="S6698" s="38" t="str">
        <f>IF(C6698="","",C6698&amp;I6698)</f>
        <v/>
      </c>
      <c r="T6698" t="str">
        <f>IF(OR(C6698="",I6698&lt;&gt;"ENTRADA"),"",TEXT(B6698,"AAMMDD")&amp;"-"&amp;TEXT(VALUE(SUBSTITUTE(A6698,"MOV-","")),"000"))</f>
        <v/>
      </c>
    </row>
    <row r="6699" spans="18:20">
      <c r="R6699" s="38" t="str">
        <f>IF(H6699="","",H6699&amp;I6699)</f>
        <v/>
      </c>
      <c r="S6699" s="38" t="str">
        <f>IF(C6699="","",C6699&amp;I6699)</f>
        <v/>
      </c>
      <c r="T6699" t="str">
        <f>IF(OR(C6699="",I6699&lt;&gt;"ENTRADA"),"",TEXT(B6699,"AAMMDD")&amp;"-"&amp;TEXT(VALUE(SUBSTITUTE(A6699,"MOV-","")),"000"))</f>
        <v/>
      </c>
    </row>
    <row r="6700" spans="18:20">
      <c r="R6700" s="38" t="str">
        <f>IF(H6700="","",H6700&amp;I6700)</f>
        <v/>
      </c>
      <c r="S6700" s="38" t="str">
        <f>IF(C6700="","",C6700&amp;I6700)</f>
        <v/>
      </c>
      <c r="T6700" t="str">
        <f>IF(OR(C6700="",I6700&lt;&gt;"ENTRADA"),"",TEXT(B6700,"AAMMDD")&amp;"-"&amp;TEXT(VALUE(SUBSTITUTE(A6700,"MOV-","")),"000"))</f>
        <v/>
      </c>
    </row>
    <row r="6701" spans="18:20">
      <c r="R6701" s="38" t="str">
        <f>IF(H6701="","",H6701&amp;I6701)</f>
        <v/>
      </c>
      <c r="S6701" s="38" t="str">
        <f>IF(C6701="","",C6701&amp;I6701)</f>
        <v/>
      </c>
      <c r="T6701" t="str">
        <f>IF(OR(C6701="",I6701&lt;&gt;"ENTRADA"),"",TEXT(B6701,"AAMMDD")&amp;"-"&amp;TEXT(VALUE(SUBSTITUTE(A6701,"MOV-","")),"000"))</f>
        <v/>
      </c>
    </row>
    <row r="6702" spans="18:20">
      <c r="R6702" s="38" t="str">
        <f>IF(H6702="","",H6702&amp;I6702)</f>
        <v/>
      </c>
      <c r="S6702" s="38" t="str">
        <f>IF(C6702="","",C6702&amp;I6702)</f>
        <v/>
      </c>
      <c r="T6702" t="str">
        <f>IF(OR(C6702="",I6702&lt;&gt;"ENTRADA"),"",TEXT(B6702,"AAMMDD")&amp;"-"&amp;TEXT(VALUE(SUBSTITUTE(A6702,"MOV-","")),"000"))</f>
        <v/>
      </c>
    </row>
    <row r="6703" spans="18:20">
      <c r="R6703" s="38" t="str">
        <f>IF(H6703="","",H6703&amp;I6703)</f>
        <v/>
      </c>
      <c r="S6703" s="38" t="str">
        <f>IF(C6703="","",C6703&amp;I6703)</f>
        <v/>
      </c>
      <c r="T6703" t="str">
        <f>IF(OR(C6703="",I6703&lt;&gt;"ENTRADA"),"",TEXT(B6703,"AAMMDD")&amp;"-"&amp;TEXT(VALUE(SUBSTITUTE(A6703,"MOV-","")),"000"))</f>
        <v/>
      </c>
    </row>
    <row r="6704" spans="18:20">
      <c r="R6704" s="38" t="str">
        <f>IF(H6704="","",H6704&amp;I6704)</f>
        <v/>
      </c>
      <c r="S6704" s="38" t="str">
        <f>IF(C6704="","",C6704&amp;I6704)</f>
        <v/>
      </c>
      <c r="T6704" t="str">
        <f>IF(OR(C6704="",I6704&lt;&gt;"ENTRADA"),"",TEXT(B6704,"AAMMDD")&amp;"-"&amp;TEXT(VALUE(SUBSTITUTE(A6704,"MOV-","")),"000"))</f>
        <v/>
      </c>
    </row>
    <row r="6705" spans="18:20">
      <c r="R6705" s="38" t="str">
        <f>IF(H6705="","",H6705&amp;I6705)</f>
        <v/>
      </c>
      <c r="S6705" s="38" t="str">
        <f>IF(C6705="","",C6705&amp;I6705)</f>
        <v/>
      </c>
      <c r="T6705" t="str">
        <f>IF(OR(C6705="",I6705&lt;&gt;"ENTRADA"),"",TEXT(B6705,"AAMMDD")&amp;"-"&amp;TEXT(VALUE(SUBSTITUTE(A6705,"MOV-","")),"000"))</f>
        <v/>
      </c>
    </row>
    <row r="6706" spans="18:20">
      <c r="R6706" s="38" t="str">
        <f>IF(H6706="","",H6706&amp;I6706)</f>
        <v/>
      </c>
      <c r="S6706" s="38" t="str">
        <f>IF(C6706="","",C6706&amp;I6706)</f>
        <v/>
      </c>
      <c r="T6706" t="str">
        <f>IF(OR(C6706="",I6706&lt;&gt;"ENTRADA"),"",TEXT(B6706,"AAMMDD")&amp;"-"&amp;TEXT(VALUE(SUBSTITUTE(A6706,"MOV-","")),"000"))</f>
        <v/>
      </c>
    </row>
    <row r="6707" spans="18:20">
      <c r="R6707" s="38" t="str">
        <f>IF(H6707="","",H6707&amp;I6707)</f>
        <v/>
      </c>
      <c r="S6707" s="38" t="str">
        <f>IF(C6707="","",C6707&amp;I6707)</f>
        <v/>
      </c>
      <c r="T6707" t="str">
        <f>IF(OR(C6707="",I6707&lt;&gt;"ENTRADA"),"",TEXT(B6707,"AAMMDD")&amp;"-"&amp;TEXT(VALUE(SUBSTITUTE(A6707,"MOV-","")),"000"))</f>
        <v/>
      </c>
    </row>
    <row r="6708" spans="18:20">
      <c r="T6708" t="str">
        <f>IF(C6708="","",UPPER(LEFT(SUBSTITUTE(C6708," ",""),3))&amp;"-"&amp;TEXT(B6708,"AAMMDD")&amp;"-1")</f>
        <v/>
      </c>
    </row>
    <row r="6709" spans="18:20">
      <c r="T6709" t="str">
        <f>IF(C6709="","",UPPER(LEFT(SUBSTITUTE(C6709," ",""),3))&amp;"-"&amp;TEXT(B6709,"AAMMDD")&amp;"-1")</f>
        <v/>
      </c>
    </row>
    <row r="6710" spans="18:20">
      <c r="T6710" t="str">
        <f>IF(C6710="","",UPPER(LEFT(SUBSTITUTE(C6710," ",""),3))&amp;"-"&amp;TEXT(B6710,"AAMMDD")&amp;"-1")</f>
        <v/>
      </c>
    </row>
    <row r="6711" spans="18:20">
      <c r="T6711" t="str">
        <f>IF(C6711="","",UPPER(LEFT(SUBSTITUTE(C6711," ",""),3))&amp;"-"&amp;TEXT(B6711,"AAMMDD")&amp;"-1")</f>
        <v/>
      </c>
    </row>
    <row r="6712" spans="18:20">
      <c r="T6712" t="str">
        <f>IF(C6712="","",UPPER(LEFT(SUBSTITUTE(C6712," ",""),3))&amp;"-"&amp;TEXT(B6712,"AAMMDD")&amp;"-1")</f>
        <v/>
      </c>
    </row>
    <row r="6713" spans="18:20">
      <c r="T6713" t="str">
        <f>IF(C6713="","",UPPER(LEFT(SUBSTITUTE(C6713," ",""),3))&amp;"-"&amp;TEXT(B6713,"AAMMDD")&amp;"-1")</f>
        <v/>
      </c>
    </row>
    <row r="6714" spans="18:20">
      <c r="T6714" t="str">
        <f>IF(C6714="","",UPPER(LEFT(SUBSTITUTE(C6714," ",""),3))&amp;"-"&amp;TEXT(B6714,"AAMMDD")&amp;"-1")</f>
        <v/>
      </c>
    </row>
    <row r="6715" spans="18:20">
      <c r="T6715" t="str">
        <f>IF(C6715="","",UPPER(LEFT(SUBSTITUTE(C6715," ",""),3))&amp;"-"&amp;TEXT(B6715,"AAMMDD")&amp;"-1")</f>
        <v/>
      </c>
    </row>
    <row r="6716" spans="18:20">
      <c r="T6716" t="str">
        <f>IF(C6716="","",UPPER(LEFT(SUBSTITUTE(C6716," ",""),3))&amp;"-"&amp;TEXT(B6716,"AAMMDD")&amp;"-1")</f>
        <v/>
      </c>
    </row>
    <row r="6717" spans="18:20">
      <c r="T6717" t="str">
        <f>IF(C6717="","",UPPER(LEFT(SUBSTITUTE(C6717," ",""),3))&amp;"-"&amp;TEXT(B6717,"AAMMDD")&amp;"-1")</f>
        <v/>
      </c>
    </row>
    <row r="6718" spans="18:20">
      <c r="T6718" t="str">
        <f>IF(C6718="","",UPPER(LEFT(SUBSTITUTE(C6718," ",""),3))&amp;"-"&amp;TEXT(B6718,"AAMMDD")&amp;"-1")</f>
        <v/>
      </c>
    </row>
    <row r="6719" spans="18:20">
      <c r="T6719" t="str">
        <f>IF(C6719="","",UPPER(LEFT(SUBSTITUTE(C6719," ",""),3))&amp;"-"&amp;TEXT(B6719,"AAMMDD")&amp;"-1")</f>
        <v/>
      </c>
    </row>
    <row r="6720" spans="18:20">
      <c r="T6720" t="str">
        <f>IF(C6720="","",UPPER(LEFT(SUBSTITUTE(C6720," ",""),3))&amp;"-"&amp;TEXT(B6720,"AAMMDD")&amp;"-1")</f>
        <v/>
      </c>
    </row>
    <row r="6721" spans="20:20">
      <c r="T6721" t="str">
        <f>IF(C6721="","",UPPER(LEFT(SUBSTITUTE(C6721," ",""),3))&amp;"-"&amp;TEXT(B6721,"AAMMDD")&amp;"-1")</f>
        <v/>
      </c>
    </row>
    <row r="6722" spans="20:20">
      <c r="T6722" t="str">
        <f>IF(C6722="","",UPPER(LEFT(SUBSTITUTE(C6722," ",""),3))&amp;"-"&amp;TEXT(B6722,"AAMMDD")&amp;"-1")</f>
        <v/>
      </c>
    </row>
    <row r="6723" spans="20:20">
      <c r="T6723" t="str">
        <f>IF(C6723="","",UPPER(LEFT(SUBSTITUTE(C6723," ",""),3))&amp;"-"&amp;TEXT(B6723,"AAMMDD")&amp;"-1")</f>
        <v/>
      </c>
    </row>
    <row r="6724" spans="20:20">
      <c r="T6724" t="str">
        <f>IF(C6724="","",UPPER(LEFT(SUBSTITUTE(C6724," ",""),3))&amp;"-"&amp;TEXT(B6724,"AAMMDD")&amp;"-1")</f>
        <v/>
      </c>
    </row>
    <row r="6725" spans="20:20">
      <c r="T6725" t="str">
        <f>IF(C6725="","",UPPER(LEFT(SUBSTITUTE(C6725," ",""),3))&amp;"-"&amp;TEXT(B6725,"AAMMDD")&amp;"-1")</f>
        <v/>
      </c>
    </row>
    <row r="6726" spans="20:20">
      <c r="T6726" t="str">
        <f>IF(C6726="","",UPPER(LEFT(SUBSTITUTE(C6726," ",""),3))&amp;"-"&amp;TEXT(B6726,"AAMMDD")&amp;"-1")</f>
        <v/>
      </c>
    </row>
    <row r="6727" spans="20:20">
      <c r="T6727" t="str">
        <f>IF(C6727="","",UPPER(LEFT(SUBSTITUTE(C6727," ",""),3))&amp;"-"&amp;TEXT(B6727,"AAMMDD")&amp;"-1")</f>
        <v/>
      </c>
    </row>
    <row r="6728" spans="20:20">
      <c r="T6728" t="str">
        <f>IF(C6728="","",UPPER(LEFT(SUBSTITUTE(C6728," ",""),3))&amp;"-"&amp;TEXT(B6728,"AAMMDD")&amp;"-1")</f>
        <v/>
      </c>
    </row>
    <row r="6729" spans="20:20">
      <c r="T6729" t="str">
        <f>IF(C6729="","",UPPER(LEFT(SUBSTITUTE(C6729," ",""),3))&amp;"-"&amp;TEXT(B6729,"AAMMDD")&amp;"-1")</f>
        <v/>
      </c>
    </row>
    <row r="6730" spans="20:20">
      <c r="T6730" t="str">
        <f>IF(C6730="","",UPPER(LEFT(SUBSTITUTE(C6730," ",""),3))&amp;"-"&amp;TEXT(B6730,"AAMMDD")&amp;"-1")</f>
        <v/>
      </c>
    </row>
    <row r="6731" spans="20:20">
      <c r="T6731" t="str">
        <f>IF(C6731="","",UPPER(LEFT(SUBSTITUTE(C6731," ",""),3))&amp;"-"&amp;TEXT(B6731,"AAMMDD")&amp;"-1")</f>
        <v/>
      </c>
    </row>
    <row r="6732" spans="20:20">
      <c r="T6732" t="str">
        <f>IF(C6732="","",UPPER(LEFT(SUBSTITUTE(C6732," ",""),3))&amp;"-"&amp;TEXT(B6732,"AAMMDD")&amp;"-1")</f>
        <v/>
      </c>
    </row>
    <row r="6733" spans="20:20">
      <c r="T6733" t="str">
        <f>IF(C6733="","",UPPER(LEFT(SUBSTITUTE(C6733," ",""),3))&amp;"-"&amp;TEXT(B6733,"AAMMDD")&amp;"-1")</f>
        <v/>
      </c>
    </row>
    <row r="6734" spans="20:20">
      <c r="T6734" t="str">
        <f>IF(C6734="","",UPPER(LEFT(SUBSTITUTE(C6734," ",""),3))&amp;"-"&amp;TEXT(B6734,"AAMMDD")&amp;"-1")</f>
        <v/>
      </c>
    </row>
    <row r="6735" spans="20:20">
      <c r="T6735" t="str">
        <f>IF(C6735="","",UPPER(LEFT(SUBSTITUTE(C6735," ",""),3))&amp;"-"&amp;TEXT(B6735,"AAMMDD")&amp;"-1")</f>
        <v/>
      </c>
    </row>
    <row r="6736" spans="20:20">
      <c r="T6736" t="str">
        <f>IF(C6736="","",UPPER(LEFT(SUBSTITUTE(C6736," ",""),3))&amp;"-"&amp;TEXT(B6736,"AAMMDD")&amp;"-1")</f>
        <v/>
      </c>
    </row>
    <row r="6737" spans="20:20">
      <c r="T6737" t="str">
        <f>IF(C6737="","",UPPER(LEFT(SUBSTITUTE(C6737," ",""),3))&amp;"-"&amp;TEXT(B6737,"AAMMDD")&amp;"-1")</f>
        <v/>
      </c>
    </row>
    <row r="6738" spans="20:20">
      <c r="T6738" t="str">
        <f>IF(C6738="","",UPPER(LEFT(SUBSTITUTE(C6738," ",""),3))&amp;"-"&amp;TEXT(B6738,"AAMMDD")&amp;"-1")</f>
        <v/>
      </c>
    </row>
    <row r="6739" spans="20:20">
      <c r="T6739" t="str">
        <f>IF(C6739="","",UPPER(LEFT(SUBSTITUTE(C6739," ",""),3))&amp;"-"&amp;TEXT(B6739,"AAMMDD")&amp;"-1")</f>
        <v/>
      </c>
    </row>
    <row r="6740" spans="20:20">
      <c r="T6740" t="str">
        <f>IF(C6740="","",UPPER(LEFT(SUBSTITUTE(C6740," ",""),3))&amp;"-"&amp;TEXT(B6740,"AAMMDD")&amp;"-1")</f>
        <v/>
      </c>
    </row>
    <row r="6741" spans="20:20">
      <c r="T6741" t="str">
        <f>IF(C6741="","",UPPER(LEFT(SUBSTITUTE(C6741," ",""),3))&amp;"-"&amp;TEXT(B6741,"AAMMDD")&amp;"-1")</f>
        <v/>
      </c>
    </row>
    <row r="6742" spans="20:20">
      <c r="T6742" t="str">
        <f>IF(C6742="","",UPPER(LEFT(SUBSTITUTE(C6742," ",""),3))&amp;"-"&amp;TEXT(B6742,"AAMMDD")&amp;"-1")</f>
        <v/>
      </c>
    </row>
    <row r="6743" spans="20:20">
      <c r="T6743" t="str">
        <f>IF(C6743="","",UPPER(LEFT(SUBSTITUTE(C6743," ",""),3))&amp;"-"&amp;TEXT(B6743,"AAMMDD")&amp;"-1")</f>
        <v/>
      </c>
    </row>
    <row r="6744" spans="20:20">
      <c r="T6744" t="str">
        <f>IF(C6744="","",UPPER(LEFT(SUBSTITUTE(C6744," ",""),3))&amp;"-"&amp;TEXT(B6744,"AAMMDD")&amp;"-1")</f>
        <v/>
      </c>
    </row>
    <row r="6745" spans="20:20">
      <c r="T6745" t="str">
        <f>IF(C6745="","",UPPER(LEFT(SUBSTITUTE(C6745," ",""),3))&amp;"-"&amp;TEXT(B6745,"AAMMDD")&amp;"-1")</f>
        <v/>
      </c>
    </row>
    <row r="6746" spans="20:20">
      <c r="T6746" t="str">
        <f>IF(C6746="","",UPPER(LEFT(SUBSTITUTE(C6746," ",""),3))&amp;"-"&amp;TEXT(B6746,"AAMMDD")&amp;"-1")</f>
        <v/>
      </c>
    </row>
    <row r="6747" spans="20:20">
      <c r="T6747" t="str">
        <f>IF(C6747="","",UPPER(LEFT(SUBSTITUTE(C6747," ",""),3))&amp;"-"&amp;TEXT(B6747,"AAMMDD")&amp;"-1")</f>
        <v/>
      </c>
    </row>
    <row r="6748" spans="20:20">
      <c r="T6748" t="str">
        <f>IF(C6748="","",UPPER(LEFT(SUBSTITUTE(C6748," ",""),3))&amp;"-"&amp;TEXT(B6748,"AAMMDD")&amp;"-1")</f>
        <v/>
      </c>
    </row>
    <row r="6749" spans="20:20">
      <c r="T6749" t="str">
        <f>IF(C6749="","",UPPER(LEFT(SUBSTITUTE(C6749," ",""),3))&amp;"-"&amp;TEXT(B6749,"AAMMDD")&amp;"-1")</f>
        <v/>
      </c>
    </row>
    <row r="6750" spans="20:20">
      <c r="T6750" t="str">
        <f>IF(C6750="","",UPPER(LEFT(SUBSTITUTE(C6750," ",""),3))&amp;"-"&amp;TEXT(B6750,"AAMMDD")&amp;"-1")</f>
        <v/>
      </c>
    </row>
    <row r="6751" spans="20:20">
      <c r="T6751" t="str">
        <f>IF(C6751="","",UPPER(LEFT(SUBSTITUTE(C6751," ",""),3))&amp;"-"&amp;TEXT(B6751,"AAMMDD")&amp;"-1")</f>
        <v/>
      </c>
    </row>
    <row r="6752" spans="20:20">
      <c r="T6752" t="str">
        <f>IF(C6752="","",UPPER(LEFT(SUBSTITUTE(C6752," ",""),3))&amp;"-"&amp;TEXT(B6752,"AAMMDD")&amp;"-1")</f>
        <v/>
      </c>
    </row>
    <row r="6753" spans="20:20">
      <c r="T6753" t="str">
        <f>IF(C6753="","",UPPER(LEFT(SUBSTITUTE(C6753," ",""),3))&amp;"-"&amp;TEXT(B6753,"AAMMDD")&amp;"-1")</f>
        <v/>
      </c>
    </row>
    <row r="6754" spans="20:20">
      <c r="T6754" t="str">
        <f>IF(C6754="","",UPPER(LEFT(SUBSTITUTE(C6754," ",""),3))&amp;"-"&amp;TEXT(B6754,"AAMMDD")&amp;"-1")</f>
        <v/>
      </c>
    </row>
    <row r="6755" spans="20:20">
      <c r="T6755" t="str">
        <f>IF(C6755="","",UPPER(LEFT(SUBSTITUTE(C6755," ",""),3))&amp;"-"&amp;TEXT(B6755,"AAMMDD")&amp;"-1")</f>
        <v/>
      </c>
    </row>
    <row r="6756" spans="20:20">
      <c r="T6756" t="str">
        <f>IF(C6756="","",UPPER(LEFT(SUBSTITUTE(C6756," ",""),3))&amp;"-"&amp;TEXT(B6756,"AAMMDD")&amp;"-1")</f>
        <v/>
      </c>
    </row>
    <row r="6757" spans="20:20">
      <c r="T6757" t="str">
        <f>IF(C6757="","",UPPER(LEFT(SUBSTITUTE(C6757," ",""),3))&amp;"-"&amp;TEXT(B6757,"AAMMDD")&amp;"-1")</f>
        <v/>
      </c>
    </row>
    <row r="6758" spans="20:20">
      <c r="T6758" t="str">
        <f>IF(C6758="","",UPPER(LEFT(SUBSTITUTE(C6758," ",""),3))&amp;"-"&amp;TEXT(B6758,"AAMMDD")&amp;"-1")</f>
        <v/>
      </c>
    </row>
    <row r="6759" spans="20:20">
      <c r="T6759" t="str">
        <f>IF(C6759="","",UPPER(LEFT(SUBSTITUTE(C6759," ",""),3))&amp;"-"&amp;TEXT(B6759,"AAMMDD")&amp;"-1")</f>
        <v/>
      </c>
    </row>
    <row r="6760" spans="20:20">
      <c r="T6760" t="str">
        <f>IF(C6760="","",UPPER(LEFT(SUBSTITUTE(C6760," ",""),3))&amp;"-"&amp;TEXT(B6760,"AAMMDD")&amp;"-1")</f>
        <v/>
      </c>
    </row>
    <row r="6761" spans="20:20">
      <c r="T6761" t="str">
        <f>IF(C6761="","",UPPER(LEFT(SUBSTITUTE(C6761," ",""),3))&amp;"-"&amp;TEXT(B6761,"AAMMDD")&amp;"-1")</f>
        <v/>
      </c>
    </row>
    <row r="6762" spans="20:20">
      <c r="T6762" t="str">
        <f>IF(C6762="","",UPPER(LEFT(SUBSTITUTE(C6762," ",""),3))&amp;"-"&amp;TEXT(B6762,"AAMMDD")&amp;"-1")</f>
        <v/>
      </c>
    </row>
    <row r="6763" spans="20:20">
      <c r="T6763" t="str">
        <f>IF(C6763="","",UPPER(LEFT(SUBSTITUTE(C6763," ",""),3))&amp;"-"&amp;TEXT(B6763,"AAMMDD")&amp;"-1")</f>
        <v/>
      </c>
    </row>
    <row r="6764" spans="20:20">
      <c r="T6764" t="str">
        <f>IF(C6764="","",UPPER(LEFT(SUBSTITUTE(C6764," ",""),3))&amp;"-"&amp;TEXT(B6764,"AAMMDD")&amp;"-1")</f>
        <v/>
      </c>
    </row>
    <row r="6765" spans="20:20">
      <c r="T6765" t="str">
        <f>IF(C6765="","",UPPER(LEFT(SUBSTITUTE(C6765," ",""),3))&amp;"-"&amp;TEXT(B6765,"AAMMDD")&amp;"-1")</f>
        <v/>
      </c>
    </row>
    <row r="6766" spans="20:20">
      <c r="T6766" t="str">
        <f>IF(C6766="","",UPPER(LEFT(SUBSTITUTE(C6766," ",""),3))&amp;"-"&amp;TEXT(B6766,"AAMMDD")&amp;"-1")</f>
        <v/>
      </c>
    </row>
    <row r="6767" spans="20:20">
      <c r="T6767" t="str">
        <f>IF(C6767="","",UPPER(LEFT(SUBSTITUTE(C6767," ",""),3))&amp;"-"&amp;TEXT(B6767,"AAMMDD")&amp;"-1")</f>
        <v/>
      </c>
    </row>
    <row r="6768" spans="20:20">
      <c r="T6768" t="str">
        <f>IF(C6768="","",UPPER(LEFT(SUBSTITUTE(C6768," ",""),3))&amp;"-"&amp;TEXT(B6768,"AAMMDD")&amp;"-1")</f>
        <v/>
      </c>
    </row>
    <row r="6769" spans="20:20">
      <c r="T6769" t="str">
        <f>IF(C6769="","",UPPER(LEFT(SUBSTITUTE(C6769," ",""),3))&amp;"-"&amp;TEXT(B6769,"AAMMDD")&amp;"-1")</f>
        <v/>
      </c>
    </row>
    <row r="6770" spans="20:20">
      <c r="T6770" t="str">
        <f>IF(C6770="","",UPPER(LEFT(SUBSTITUTE(C6770," ",""),3))&amp;"-"&amp;TEXT(B6770,"AAMMDD")&amp;"-1")</f>
        <v/>
      </c>
    </row>
    <row r="6771" spans="20:20">
      <c r="T6771" t="str">
        <f>IF(C6771="","",UPPER(LEFT(SUBSTITUTE(C6771," ",""),3))&amp;"-"&amp;TEXT(B6771,"AAMMDD")&amp;"-1")</f>
        <v/>
      </c>
    </row>
    <row r="6772" spans="20:20">
      <c r="T6772" t="str">
        <f>IF(C6772="","",UPPER(LEFT(SUBSTITUTE(C6772," ",""),3))&amp;"-"&amp;TEXT(B6772,"AAMMDD")&amp;"-1")</f>
        <v/>
      </c>
    </row>
    <row r="6773" spans="20:20">
      <c r="T6773" t="str">
        <f>IF(C6773="","",UPPER(LEFT(SUBSTITUTE(C6773," ",""),3))&amp;"-"&amp;TEXT(B6773,"AAMMDD")&amp;"-1")</f>
        <v/>
      </c>
    </row>
    <row r="6774" spans="20:20">
      <c r="T6774" t="str">
        <f>IF(C6774="","",UPPER(LEFT(SUBSTITUTE(C6774," ",""),3))&amp;"-"&amp;TEXT(B6774,"AAMMDD")&amp;"-1")</f>
        <v/>
      </c>
    </row>
    <row r="6775" spans="20:20">
      <c r="T6775" t="str">
        <f>IF(C6775="","",UPPER(LEFT(SUBSTITUTE(C6775," ",""),3))&amp;"-"&amp;TEXT(B6775,"AAMMDD")&amp;"-1")</f>
        <v/>
      </c>
    </row>
    <row r="6776" spans="20:20">
      <c r="T6776" t="str">
        <f>IF(C6776="","",UPPER(LEFT(SUBSTITUTE(C6776," ",""),3))&amp;"-"&amp;TEXT(B6776,"AAMMDD")&amp;"-1")</f>
        <v/>
      </c>
    </row>
    <row r="6777" spans="20:20">
      <c r="T6777" t="str">
        <f>IF(C6777="","",UPPER(LEFT(SUBSTITUTE(C6777," ",""),3))&amp;"-"&amp;TEXT(B6777,"AAMMDD")&amp;"-1")</f>
        <v/>
      </c>
    </row>
    <row r="6778" spans="20:20">
      <c r="T6778" t="str">
        <f>IF(C6778="","",UPPER(LEFT(SUBSTITUTE(C6778," ",""),3))&amp;"-"&amp;TEXT(B6778,"AAMMDD")&amp;"-1")</f>
        <v/>
      </c>
    </row>
    <row r="6779" spans="20:20">
      <c r="T6779" t="str">
        <f>IF(C6779="","",UPPER(LEFT(SUBSTITUTE(C6779," ",""),3))&amp;"-"&amp;TEXT(B6779,"AAMMDD")&amp;"-1")</f>
        <v/>
      </c>
    </row>
    <row r="6780" spans="20:20">
      <c r="T6780" t="str">
        <f>IF(C6780="","",UPPER(LEFT(SUBSTITUTE(C6780," ",""),3))&amp;"-"&amp;TEXT(B6780,"AAMMDD")&amp;"-1")</f>
        <v/>
      </c>
    </row>
    <row r="6781" spans="20:20">
      <c r="T6781" t="str">
        <f>IF(C6781="","",UPPER(LEFT(SUBSTITUTE(C6781," ",""),3))&amp;"-"&amp;TEXT(B6781,"AAMMDD")&amp;"-1")</f>
        <v/>
      </c>
    </row>
    <row r="6782" spans="20:20">
      <c r="T6782" t="str">
        <f>IF(C6782="","",UPPER(LEFT(SUBSTITUTE(C6782," ",""),3))&amp;"-"&amp;TEXT(B6782,"AAMMDD")&amp;"-1")</f>
        <v/>
      </c>
    </row>
    <row r="6783" spans="20:20">
      <c r="T6783" t="str">
        <f>IF(C6783="","",UPPER(LEFT(SUBSTITUTE(C6783," ",""),3))&amp;"-"&amp;TEXT(B6783,"AAMMDD")&amp;"-1")</f>
        <v/>
      </c>
    </row>
    <row r="6784" spans="20:20">
      <c r="T6784" t="str">
        <f>IF(C6784="","",UPPER(LEFT(SUBSTITUTE(C6784," ",""),3))&amp;"-"&amp;TEXT(B6784,"AAMMDD")&amp;"-1")</f>
        <v/>
      </c>
    </row>
    <row r="6785" spans="20:20">
      <c r="T6785" t="str">
        <f>IF(C6785="","",UPPER(LEFT(SUBSTITUTE(C6785," ",""),3))&amp;"-"&amp;TEXT(B6785,"AAMMDD")&amp;"-1")</f>
        <v/>
      </c>
    </row>
    <row r="6786" spans="20:20">
      <c r="T6786" t="str">
        <f>IF(C6786="","",UPPER(LEFT(SUBSTITUTE(C6786," ",""),3))&amp;"-"&amp;TEXT(B6786,"AAMMDD")&amp;"-1")</f>
        <v/>
      </c>
    </row>
    <row r="6787" spans="20:20">
      <c r="T6787" t="str">
        <f>IF(C6787="","",UPPER(LEFT(SUBSTITUTE(C6787," ",""),3))&amp;"-"&amp;TEXT(B6787,"AAMMDD")&amp;"-1")</f>
        <v/>
      </c>
    </row>
    <row r="6788" spans="20:20">
      <c r="T6788" t="str">
        <f>IF(C6788="","",UPPER(LEFT(SUBSTITUTE(C6788," ",""),3))&amp;"-"&amp;TEXT(B6788,"AAMMDD")&amp;"-1")</f>
        <v/>
      </c>
    </row>
    <row r="6789" spans="20:20">
      <c r="T6789" t="str">
        <f>IF(C6789="","",UPPER(LEFT(SUBSTITUTE(C6789," ",""),3))&amp;"-"&amp;TEXT(B6789,"AAMMDD")&amp;"-1")</f>
        <v/>
      </c>
    </row>
    <row r="6790" spans="20:20">
      <c r="T6790" t="str">
        <f>IF(C6790="","",UPPER(LEFT(SUBSTITUTE(C6790," ",""),3))&amp;"-"&amp;TEXT(B6790,"AAMMDD")&amp;"-1")</f>
        <v/>
      </c>
    </row>
    <row r="6791" spans="20:20">
      <c r="T6791" t="str">
        <f>IF(C6791="","",UPPER(LEFT(SUBSTITUTE(C6791," ",""),3))&amp;"-"&amp;TEXT(B6791,"AAMMDD")&amp;"-1")</f>
        <v/>
      </c>
    </row>
    <row r="6792" spans="20:20">
      <c r="T6792" t="str">
        <f>IF(C6792="","",UPPER(LEFT(SUBSTITUTE(C6792," ",""),3))&amp;"-"&amp;TEXT(B6792,"AAMMDD")&amp;"-1")</f>
        <v/>
      </c>
    </row>
    <row r="6793" spans="20:20">
      <c r="T6793" t="str">
        <f>IF(C6793="","",UPPER(LEFT(SUBSTITUTE(C6793," ",""),3))&amp;"-"&amp;TEXT(B6793,"AAMMDD")&amp;"-1")</f>
        <v/>
      </c>
    </row>
    <row r="6794" spans="20:20">
      <c r="T6794" t="str">
        <f>IF(C6794="","",UPPER(LEFT(SUBSTITUTE(C6794," ",""),3))&amp;"-"&amp;TEXT(B6794,"AAMMDD")&amp;"-1")</f>
        <v/>
      </c>
    </row>
    <row r="6795" spans="20:20">
      <c r="T6795" t="str">
        <f>IF(C6795="","",UPPER(LEFT(SUBSTITUTE(C6795," ",""),3))&amp;"-"&amp;TEXT(B6795,"AAMMDD")&amp;"-1")</f>
        <v/>
      </c>
    </row>
    <row r="6796" spans="20:20">
      <c r="T6796" t="str">
        <f>IF(C6796="","",UPPER(LEFT(SUBSTITUTE(C6796," ",""),3))&amp;"-"&amp;TEXT(B6796,"AAMMDD")&amp;"-1")</f>
        <v/>
      </c>
    </row>
    <row r="6797" spans="20:20">
      <c r="T6797" t="str">
        <f>IF(C6797="","",UPPER(LEFT(SUBSTITUTE(C6797," ",""),3))&amp;"-"&amp;TEXT(B6797,"AAMMDD")&amp;"-1")</f>
        <v/>
      </c>
    </row>
    <row r="6798" spans="20:20">
      <c r="T6798" t="str">
        <f>IF(C6798="","",UPPER(LEFT(SUBSTITUTE(C6798," ",""),3))&amp;"-"&amp;TEXT(B6798,"AAMMDD")&amp;"-1")</f>
        <v/>
      </c>
    </row>
    <row r="6799" spans="20:20">
      <c r="T6799" t="str">
        <f>IF(C6799="","",UPPER(LEFT(SUBSTITUTE(C6799," ",""),3))&amp;"-"&amp;TEXT(B6799,"AAMMDD")&amp;"-1")</f>
        <v/>
      </c>
    </row>
    <row r="6800" spans="20:20">
      <c r="T6800" t="str">
        <f>IF(C6800="","",UPPER(LEFT(SUBSTITUTE(C6800," ",""),3))&amp;"-"&amp;TEXT(B6800,"AAMMDD")&amp;"-1")</f>
        <v/>
      </c>
    </row>
    <row r="6801" spans="20:20">
      <c r="T6801" t="str">
        <f>IF(C6801="","",UPPER(LEFT(SUBSTITUTE(C6801," ",""),3))&amp;"-"&amp;TEXT(B6801,"AAMMDD")&amp;"-1")</f>
        <v/>
      </c>
    </row>
    <row r="6802" spans="20:20">
      <c r="T6802" t="str">
        <f>IF(C6802="","",UPPER(LEFT(SUBSTITUTE(C6802," ",""),3))&amp;"-"&amp;TEXT(B6802,"AAMMDD")&amp;"-1")</f>
        <v/>
      </c>
    </row>
    <row r="6803" spans="20:20">
      <c r="T6803" t="str">
        <f>IF(C6803="","",UPPER(LEFT(SUBSTITUTE(C6803," ",""),3))&amp;"-"&amp;TEXT(B6803,"AAMMDD")&amp;"-1")</f>
        <v/>
      </c>
    </row>
    <row r="6804" spans="20:20">
      <c r="T6804" t="str">
        <f>IF(C6804="","",UPPER(LEFT(SUBSTITUTE(C6804," ",""),3))&amp;"-"&amp;TEXT(B6804,"AAMMDD")&amp;"-1")</f>
        <v/>
      </c>
    </row>
    <row r="6805" spans="20:20">
      <c r="T6805" t="str">
        <f>IF(C6805="","",UPPER(LEFT(SUBSTITUTE(C6805," ",""),3))&amp;"-"&amp;TEXT(B6805,"AAMMDD")&amp;"-1")</f>
        <v/>
      </c>
    </row>
    <row r="6806" spans="20:20">
      <c r="T6806" t="str">
        <f>IF(C6806="","",UPPER(LEFT(SUBSTITUTE(C6806," ",""),3))&amp;"-"&amp;TEXT(B6806,"AAMMDD")&amp;"-1")</f>
        <v/>
      </c>
    </row>
    <row r="6807" spans="20:20">
      <c r="T6807" t="str">
        <f>IF(C6807="","",UPPER(LEFT(SUBSTITUTE(C6807," ",""),3))&amp;"-"&amp;TEXT(B6807,"AAMMDD")&amp;"-1")</f>
        <v/>
      </c>
    </row>
    <row r="6808" spans="20:20">
      <c r="T6808" t="str">
        <f>IF(C6808="","",UPPER(LEFT(SUBSTITUTE(C6808," ",""),3))&amp;"-"&amp;TEXT(B6808,"AAMMDD")&amp;"-1")</f>
        <v/>
      </c>
    </row>
    <row r="6809" spans="20:20">
      <c r="T6809" t="str">
        <f>IF(C6809="","",UPPER(LEFT(SUBSTITUTE(C6809," ",""),3))&amp;"-"&amp;TEXT(B6809,"AAMMDD")&amp;"-1")</f>
        <v/>
      </c>
    </row>
    <row r="6810" spans="20:20">
      <c r="T6810" t="str">
        <f>IF(C6810="","",UPPER(LEFT(SUBSTITUTE(C6810," ",""),3))&amp;"-"&amp;TEXT(B6810,"AAMMDD")&amp;"-1")</f>
        <v/>
      </c>
    </row>
    <row r="6811" spans="20:20">
      <c r="T6811" t="str">
        <f>IF(C6811="","",UPPER(LEFT(SUBSTITUTE(C6811," ",""),3))&amp;"-"&amp;TEXT(B6811,"AAMMDD")&amp;"-1")</f>
        <v/>
      </c>
    </row>
    <row r="6812" spans="20:20">
      <c r="T6812" t="str">
        <f>IF(C6812="","",UPPER(LEFT(SUBSTITUTE(C6812," ",""),3))&amp;"-"&amp;TEXT(B6812,"AAMMDD")&amp;"-1")</f>
        <v/>
      </c>
    </row>
    <row r="6813" spans="20:20">
      <c r="T6813" t="str">
        <f>IF(C6813="","",UPPER(LEFT(SUBSTITUTE(C6813," ",""),3))&amp;"-"&amp;TEXT(B6813,"AAMMDD")&amp;"-1")</f>
        <v/>
      </c>
    </row>
    <row r="6814" spans="20:20">
      <c r="T6814" t="str">
        <f>IF(C6814="","",UPPER(LEFT(SUBSTITUTE(C6814," ",""),3))&amp;"-"&amp;TEXT(B6814,"AAMMDD")&amp;"-1")</f>
        <v/>
      </c>
    </row>
    <row r="6815" spans="20:20">
      <c r="T6815" t="str">
        <f>IF(C6815="","",UPPER(LEFT(SUBSTITUTE(C6815," ",""),3))&amp;"-"&amp;TEXT(B6815,"AAMMDD")&amp;"-1")</f>
        <v/>
      </c>
    </row>
    <row r="6816" spans="20:20">
      <c r="T6816" t="str">
        <f>IF(C6816="","",UPPER(LEFT(SUBSTITUTE(C6816," ",""),3))&amp;"-"&amp;TEXT(B6816,"AAMMDD")&amp;"-1")</f>
        <v/>
      </c>
    </row>
    <row r="6817" spans="20:20">
      <c r="T6817" t="str">
        <f>IF(C6817="","",UPPER(LEFT(SUBSTITUTE(C6817," ",""),3))&amp;"-"&amp;TEXT(B6817,"AAMMDD")&amp;"-1")</f>
        <v/>
      </c>
    </row>
    <row r="6818" spans="20:20">
      <c r="T6818" t="str">
        <f>IF(C6818="","",UPPER(LEFT(SUBSTITUTE(C6818," ",""),3))&amp;"-"&amp;TEXT(B6818,"AAMMDD")&amp;"-1")</f>
        <v/>
      </c>
    </row>
    <row r="6819" spans="20:20">
      <c r="T6819" t="str">
        <f>IF(C6819="","",UPPER(LEFT(SUBSTITUTE(C6819," ",""),3))&amp;"-"&amp;TEXT(B6819,"AAMMDD")&amp;"-1")</f>
        <v/>
      </c>
    </row>
    <row r="6820" spans="20:20">
      <c r="T6820" t="str">
        <f>IF(C6820="","",UPPER(LEFT(SUBSTITUTE(C6820," ",""),3))&amp;"-"&amp;TEXT(B6820,"AAMMDD")&amp;"-1")</f>
        <v/>
      </c>
    </row>
    <row r="6821" spans="20:20">
      <c r="T6821" t="str">
        <f>IF(C6821="","",UPPER(LEFT(SUBSTITUTE(C6821," ",""),3))&amp;"-"&amp;TEXT(B6821,"AAMMDD")&amp;"-1")</f>
        <v/>
      </c>
    </row>
    <row r="6822" spans="20:20">
      <c r="T6822" t="str">
        <f>IF(C6822="","",UPPER(LEFT(SUBSTITUTE(C6822," ",""),3))&amp;"-"&amp;TEXT(B6822,"AAMMDD")&amp;"-1")</f>
        <v/>
      </c>
    </row>
    <row r="6823" spans="20:20">
      <c r="T6823" t="str">
        <f>IF(C6823="","",UPPER(LEFT(SUBSTITUTE(C6823," ",""),3))&amp;"-"&amp;TEXT(B6823,"AAMMDD")&amp;"-1")</f>
        <v/>
      </c>
    </row>
    <row r="6824" spans="20:20">
      <c r="T6824" t="str">
        <f>IF(C6824="","",UPPER(LEFT(SUBSTITUTE(C6824," ",""),3))&amp;"-"&amp;TEXT(B6824,"AAMMDD")&amp;"-1")</f>
        <v/>
      </c>
    </row>
    <row r="6825" spans="20:20">
      <c r="T6825" t="str">
        <f>IF(C6825="","",UPPER(LEFT(SUBSTITUTE(C6825," ",""),3))&amp;"-"&amp;TEXT(B6825,"AAMMDD")&amp;"-1")</f>
        <v/>
      </c>
    </row>
    <row r="6826" spans="20:20">
      <c r="T6826" t="str">
        <f>IF(C6826="","",UPPER(LEFT(SUBSTITUTE(C6826," ",""),3))&amp;"-"&amp;TEXT(B6826,"AAMMDD")&amp;"-1")</f>
        <v/>
      </c>
    </row>
    <row r="6827" spans="20:20">
      <c r="T6827" t="str">
        <f>IF(C6827="","",UPPER(LEFT(SUBSTITUTE(C6827," ",""),3))&amp;"-"&amp;TEXT(B6827,"AAMMDD")&amp;"-1")</f>
        <v/>
      </c>
    </row>
    <row r="6828" spans="20:20">
      <c r="T6828" t="str">
        <f>IF(C6828="","",UPPER(LEFT(SUBSTITUTE(C6828," ",""),3))&amp;"-"&amp;TEXT(B6828,"AAMMDD")&amp;"-1")</f>
        <v/>
      </c>
    </row>
    <row r="6829" spans="20:20">
      <c r="T6829" t="str">
        <f>IF(C6829="","",UPPER(LEFT(SUBSTITUTE(C6829," ",""),3))&amp;"-"&amp;TEXT(B6829,"AAMMDD")&amp;"-1")</f>
        <v/>
      </c>
    </row>
    <row r="6830" spans="20:20">
      <c r="T6830" t="str">
        <f>IF(C6830="","",UPPER(LEFT(SUBSTITUTE(C6830," ",""),3))&amp;"-"&amp;TEXT(B6830,"AAMMDD")&amp;"-1")</f>
        <v/>
      </c>
    </row>
    <row r="6831" spans="20:20">
      <c r="T6831" t="str">
        <f>IF(C6831="","",UPPER(LEFT(SUBSTITUTE(C6831," ",""),3))&amp;"-"&amp;TEXT(B6831,"AAMMDD")&amp;"-1")</f>
        <v/>
      </c>
    </row>
    <row r="6832" spans="20:20">
      <c r="T6832" t="str">
        <f>IF(C6832="","",UPPER(LEFT(SUBSTITUTE(C6832," ",""),3))&amp;"-"&amp;TEXT(B6832,"AAMMDD")&amp;"-1")</f>
        <v/>
      </c>
    </row>
    <row r="6833" spans="20:20">
      <c r="T6833" t="str">
        <f>IF(C6833="","",UPPER(LEFT(SUBSTITUTE(C6833," ",""),3))&amp;"-"&amp;TEXT(B6833,"AAMMDD")&amp;"-1")</f>
        <v/>
      </c>
    </row>
    <row r="6834" spans="20:20">
      <c r="T6834" t="str">
        <f>IF(C6834="","",UPPER(LEFT(SUBSTITUTE(C6834," ",""),3))&amp;"-"&amp;TEXT(B6834,"AAMMDD")&amp;"-1")</f>
        <v/>
      </c>
    </row>
    <row r="6835" spans="20:20">
      <c r="T6835" t="str">
        <f>IF(C6835="","",UPPER(LEFT(SUBSTITUTE(C6835," ",""),3))&amp;"-"&amp;TEXT(B6835,"AAMMDD")&amp;"-1")</f>
        <v/>
      </c>
    </row>
    <row r="6836" spans="20:20">
      <c r="T6836" t="str">
        <f>IF(C6836="","",UPPER(LEFT(SUBSTITUTE(C6836," ",""),3))&amp;"-"&amp;TEXT(B6836,"AAMMDD")&amp;"-1")</f>
        <v/>
      </c>
    </row>
    <row r="6837" spans="20:20">
      <c r="T6837" t="str">
        <f>IF(C6837="","",UPPER(LEFT(SUBSTITUTE(C6837," ",""),3))&amp;"-"&amp;TEXT(B6837,"AAMMDD")&amp;"-1")</f>
        <v/>
      </c>
    </row>
    <row r="6838" spans="20:20">
      <c r="T6838" t="str">
        <f>IF(C6838="","",UPPER(LEFT(SUBSTITUTE(C6838," ",""),3))&amp;"-"&amp;TEXT(B6838,"AAMMDD")&amp;"-1")</f>
        <v/>
      </c>
    </row>
    <row r="6839" spans="20:20">
      <c r="T6839" t="str">
        <f>IF(C6839="","",UPPER(LEFT(SUBSTITUTE(C6839," ",""),3))&amp;"-"&amp;TEXT(B6839,"AAMMDD")&amp;"-1")</f>
        <v/>
      </c>
    </row>
    <row r="6840" spans="20:20">
      <c r="T6840" t="str">
        <f>IF(C6840="","",UPPER(LEFT(SUBSTITUTE(C6840," ",""),3))&amp;"-"&amp;TEXT(B6840,"AAMMDD")&amp;"-1")</f>
        <v/>
      </c>
    </row>
    <row r="6841" spans="20:20">
      <c r="T6841" t="str">
        <f>IF(C6841="","",UPPER(LEFT(SUBSTITUTE(C6841," ",""),3))&amp;"-"&amp;TEXT(B6841,"AAMMDD")&amp;"-1")</f>
        <v/>
      </c>
    </row>
    <row r="6842" spans="20:20">
      <c r="T6842" t="str">
        <f>IF(C6842="","",UPPER(LEFT(SUBSTITUTE(C6842," ",""),3))&amp;"-"&amp;TEXT(B6842,"AAMMDD")&amp;"-1")</f>
        <v/>
      </c>
    </row>
    <row r="6843" spans="20:20">
      <c r="T6843" t="str">
        <f>IF(C6843="","",UPPER(LEFT(SUBSTITUTE(C6843," ",""),3))&amp;"-"&amp;TEXT(B6843,"AAMMDD")&amp;"-1")</f>
        <v/>
      </c>
    </row>
    <row r="6844" spans="20:20">
      <c r="T6844" t="str">
        <f>IF(C6844="","",UPPER(LEFT(SUBSTITUTE(C6844," ",""),3))&amp;"-"&amp;TEXT(B6844,"AAMMDD")&amp;"-1")</f>
        <v/>
      </c>
    </row>
    <row r="6845" spans="20:20">
      <c r="T6845" t="str">
        <f>IF(C6845="","",UPPER(LEFT(SUBSTITUTE(C6845," ",""),3))&amp;"-"&amp;TEXT(B6845,"AAMMDD")&amp;"-1")</f>
        <v/>
      </c>
    </row>
    <row r="6846" spans="20:20">
      <c r="T6846" t="str">
        <f>IF(C6846="","",UPPER(LEFT(SUBSTITUTE(C6846," ",""),3))&amp;"-"&amp;TEXT(B6846,"AAMMDD")&amp;"-1")</f>
        <v/>
      </c>
    </row>
    <row r="6847" spans="20:20">
      <c r="T6847" t="str">
        <f>IF(C6847="","",UPPER(LEFT(SUBSTITUTE(C6847," ",""),3))&amp;"-"&amp;TEXT(B6847,"AAMMDD")&amp;"-1")</f>
        <v/>
      </c>
    </row>
    <row r="6848" spans="20:20">
      <c r="T6848" t="str">
        <f>IF(C6848="","",UPPER(LEFT(SUBSTITUTE(C6848," ",""),3))&amp;"-"&amp;TEXT(B6848,"AAMMDD")&amp;"-1")</f>
        <v/>
      </c>
    </row>
    <row r="6849" spans="20:20">
      <c r="T6849" t="str">
        <f>IF(C6849="","",UPPER(LEFT(SUBSTITUTE(C6849," ",""),3))&amp;"-"&amp;TEXT(B6849,"AAMMDD")&amp;"-1")</f>
        <v/>
      </c>
    </row>
    <row r="6850" spans="20:20">
      <c r="T6850" t="str">
        <f>IF(C6850="","",UPPER(LEFT(SUBSTITUTE(C6850," ",""),3))&amp;"-"&amp;TEXT(B6850,"AAMMDD")&amp;"-1")</f>
        <v/>
      </c>
    </row>
    <row r="6851" spans="20:20">
      <c r="T6851" t="str">
        <f>IF(C6851="","",UPPER(LEFT(SUBSTITUTE(C6851," ",""),3))&amp;"-"&amp;TEXT(B6851,"AAMMDD")&amp;"-1")</f>
        <v/>
      </c>
    </row>
    <row r="6852" spans="20:20">
      <c r="T6852" t="str">
        <f>IF(C6852="","",UPPER(LEFT(SUBSTITUTE(C6852," ",""),3))&amp;"-"&amp;TEXT(B6852,"AAMMDD")&amp;"-1")</f>
        <v/>
      </c>
    </row>
    <row r="6853" spans="20:20">
      <c r="T6853" t="str">
        <f>IF(C6853="","",UPPER(LEFT(SUBSTITUTE(C6853," ",""),3))&amp;"-"&amp;TEXT(B6853,"AAMMDD")&amp;"-1")</f>
        <v/>
      </c>
    </row>
    <row r="6854" spans="20:20">
      <c r="T6854" t="str">
        <f>IF(C6854="","",UPPER(LEFT(SUBSTITUTE(C6854," ",""),3))&amp;"-"&amp;TEXT(B6854,"AAMMDD")&amp;"-1")</f>
        <v/>
      </c>
    </row>
    <row r="6855" spans="20:20">
      <c r="T6855" t="str">
        <f>IF(C6855="","",UPPER(LEFT(SUBSTITUTE(C6855," ",""),3))&amp;"-"&amp;TEXT(B6855,"AAMMDD")&amp;"-1")</f>
        <v/>
      </c>
    </row>
    <row r="6856" spans="20:20">
      <c r="T6856" t="str">
        <f>IF(C6856="","",UPPER(LEFT(SUBSTITUTE(C6856," ",""),3))&amp;"-"&amp;TEXT(B6856,"AAMMDD")&amp;"-1")</f>
        <v/>
      </c>
    </row>
    <row r="6857" spans="20:20">
      <c r="T6857" t="str">
        <f>IF(C6857="","",UPPER(LEFT(SUBSTITUTE(C6857," ",""),3))&amp;"-"&amp;TEXT(B6857,"AAMMDD")&amp;"-1")</f>
        <v/>
      </c>
    </row>
    <row r="6858" spans="20:20">
      <c r="T6858" t="str">
        <f>IF(C6858="","",UPPER(LEFT(SUBSTITUTE(C6858," ",""),3))&amp;"-"&amp;TEXT(B6858,"AAMMDD")&amp;"-1")</f>
        <v/>
      </c>
    </row>
    <row r="6859" spans="20:20">
      <c r="T6859" t="str">
        <f>IF(C6859="","",UPPER(LEFT(SUBSTITUTE(C6859," ",""),3))&amp;"-"&amp;TEXT(B6859,"AAMMDD")&amp;"-1")</f>
        <v/>
      </c>
    </row>
    <row r="6860" spans="20:20">
      <c r="T6860" t="str">
        <f>IF(C6860="","",UPPER(LEFT(SUBSTITUTE(C6860," ",""),3))&amp;"-"&amp;TEXT(B6860,"AAMMDD")&amp;"-1")</f>
        <v/>
      </c>
    </row>
    <row r="6861" spans="20:20">
      <c r="T6861" t="str">
        <f>IF(C6861="","",UPPER(LEFT(SUBSTITUTE(C6861," ",""),3))&amp;"-"&amp;TEXT(B6861,"AAMMDD")&amp;"-1")</f>
        <v/>
      </c>
    </row>
    <row r="6862" spans="20:20">
      <c r="T6862" t="str">
        <f>IF(C6862="","",UPPER(LEFT(SUBSTITUTE(C6862," ",""),3))&amp;"-"&amp;TEXT(B6862,"AAMMDD")&amp;"-1")</f>
        <v/>
      </c>
    </row>
    <row r="6863" spans="20:20">
      <c r="T6863" t="str">
        <f>IF(C6863="","",UPPER(LEFT(SUBSTITUTE(C6863," ",""),3))&amp;"-"&amp;TEXT(B6863,"AAMMDD")&amp;"-1")</f>
        <v/>
      </c>
    </row>
    <row r="6864" spans="20:20">
      <c r="T6864" t="str">
        <f>IF(C6864="","",UPPER(LEFT(SUBSTITUTE(C6864," ",""),3))&amp;"-"&amp;TEXT(B6864,"AAMMDD")&amp;"-1")</f>
        <v/>
      </c>
    </row>
    <row r="6865" spans="20:20">
      <c r="T6865" t="str">
        <f>IF(C6865="","",UPPER(LEFT(SUBSTITUTE(C6865," ",""),3))&amp;"-"&amp;TEXT(B6865,"AAMMDD")&amp;"-1")</f>
        <v/>
      </c>
    </row>
    <row r="6866" spans="20:20">
      <c r="T6866" t="str">
        <f>IF(C6866="","",UPPER(LEFT(SUBSTITUTE(C6866," ",""),3))&amp;"-"&amp;TEXT(B6866,"AAMMDD")&amp;"-1")</f>
        <v/>
      </c>
    </row>
    <row r="6867" spans="20:20">
      <c r="T6867" t="str">
        <f>IF(C6867="","",UPPER(LEFT(SUBSTITUTE(C6867," ",""),3))&amp;"-"&amp;TEXT(B6867,"AAMMDD")&amp;"-1")</f>
        <v/>
      </c>
    </row>
    <row r="6868" spans="20:20">
      <c r="T6868" t="str">
        <f>IF(C6868="","",UPPER(LEFT(SUBSTITUTE(C6868," ",""),3))&amp;"-"&amp;TEXT(B6868,"AAMMDD")&amp;"-1")</f>
        <v/>
      </c>
    </row>
    <row r="6869" spans="20:20">
      <c r="T6869" t="str">
        <f>IF(C6869="","",UPPER(LEFT(SUBSTITUTE(C6869," ",""),3))&amp;"-"&amp;TEXT(B6869,"AAMMDD")&amp;"-1")</f>
        <v/>
      </c>
    </row>
    <row r="6870" spans="20:20">
      <c r="T6870" t="str">
        <f>IF(C6870="","",UPPER(LEFT(SUBSTITUTE(C6870," ",""),3))&amp;"-"&amp;TEXT(B6870,"AAMMDD")&amp;"-1")</f>
        <v/>
      </c>
    </row>
    <row r="6871" spans="20:20">
      <c r="T6871" t="str">
        <f>IF(C6871="","",UPPER(LEFT(SUBSTITUTE(C6871," ",""),3))&amp;"-"&amp;TEXT(B6871,"AAMMDD")&amp;"-1")</f>
        <v/>
      </c>
    </row>
    <row r="6872" spans="20:20">
      <c r="T6872" t="str">
        <f>IF(C6872="","",UPPER(LEFT(SUBSTITUTE(C6872," ",""),3))&amp;"-"&amp;TEXT(B6872,"AAMMDD")&amp;"-1")</f>
        <v/>
      </c>
    </row>
    <row r="6873" spans="20:20">
      <c r="T6873" t="str">
        <f>IF(C6873="","",UPPER(LEFT(SUBSTITUTE(C6873," ",""),3))&amp;"-"&amp;TEXT(B6873,"AAMMDD")&amp;"-1")</f>
        <v/>
      </c>
    </row>
    <row r="6874" spans="20:20">
      <c r="T6874" t="str">
        <f>IF(C6874="","",UPPER(LEFT(SUBSTITUTE(C6874," ",""),3))&amp;"-"&amp;TEXT(B6874,"AAMMDD")&amp;"-1")</f>
        <v/>
      </c>
    </row>
    <row r="6875" spans="20:20">
      <c r="T6875" t="str">
        <f>IF(C6875="","",UPPER(LEFT(SUBSTITUTE(C6875," ",""),3))&amp;"-"&amp;TEXT(B6875,"AAMMDD")&amp;"-1")</f>
        <v/>
      </c>
    </row>
    <row r="6876" spans="20:20">
      <c r="T6876" t="str">
        <f>IF(C6876="","",UPPER(LEFT(SUBSTITUTE(C6876," ",""),3))&amp;"-"&amp;TEXT(B6876,"AAMMDD")&amp;"-1")</f>
        <v/>
      </c>
    </row>
    <row r="6877" spans="20:20">
      <c r="T6877" t="str">
        <f>IF(C6877="","",UPPER(LEFT(SUBSTITUTE(C6877," ",""),3))&amp;"-"&amp;TEXT(B6877,"AAMMDD")&amp;"-1")</f>
        <v/>
      </c>
    </row>
    <row r="6878" spans="20:20">
      <c r="T6878" t="str">
        <f>IF(C6878="","",UPPER(LEFT(SUBSTITUTE(C6878," ",""),3))&amp;"-"&amp;TEXT(B6878,"AAMMDD")&amp;"-1")</f>
        <v/>
      </c>
    </row>
    <row r="6879" spans="20:20">
      <c r="T6879" t="str">
        <f>IF(C6879="","",UPPER(LEFT(SUBSTITUTE(C6879," ",""),3))&amp;"-"&amp;TEXT(B6879,"AAMMDD")&amp;"-1")</f>
        <v/>
      </c>
    </row>
    <row r="6880" spans="20:20">
      <c r="T6880" t="str">
        <f>IF(C6880="","",UPPER(LEFT(SUBSTITUTE(C6880," ",""),3))&amp;"-"&amp;TEXT(B6880,"AAMMDD")&amp;"-1")</f>
        <v/>
      </c>
    </row>
    <row r="6881" spans="20:20">
      <c r="T6881" t="str">
        <f>IF(C6881="","",UPPER(LEFT(SUBSTITUTE(C6881," ",""),3))&amp;"-"&amp;TEXT(B6881,"AAMMDD")&amp;"-1")</f>
        <v/>
      </c>
    </row>
    <row r="6882" spans="20:20">
      <c r="T6882" t="str">
        <f>IF(C6882="","",UPPER(LEFT(SUBSTITUTE(C6882," ",""),3))&amp;"-"&amp;TEXT(B6882,"AAMMDD")&amp;"-1")</f>
        <v/>
      </c>
    </row>
    <row r="6883" spans="20:20">
      <c r="T6883" t="str">
        <f>IF(C6883="","",UPPER(LEFT(SUBSTITUTE(C6883," ",""),3))&amp;"-"&amp;TEXT(B6883,"AAMMDD")&amp;"-1")</f>
        <v/>
      </c>
    </row>
    <row r="6884" spans="20:20">
      <c r="T6884" t="str">
        <f>IF(C6884="","",UPPER(LEFT(SUBSTITUTE(C6884," ",""),3))&amp;"-"&amp;TEXT(B6884,"AAMMDD")&amp;"-1")</f>
        <v/>
      </c>
    </row>
    <row r="6885" spans="20:20">
      <c r="T6885" t="str">
        <f>IF(C6885="","",UPPER(LEFT(SUBSTITUTE(C6885," ",""),3))&amp;"-"&amp;TEXT(B6885,"AAMMDD")&amp;"-1")</f>
        <v/>
      </c>
    </row>
    <row r="6886" spans="20:20">
      <c r="T6886" t="str">
        <f>IF(C6886="","",UPPER(LEFT(SUBSTITUTE(C6886," ",""),3))&amp;"-"&amp;TEXT(B6886,"AAMMDD")&amp;"-1")</f>
        <v/>
      </c>
    </row>
    <row r="6887" spans="20:20">
      <c r="T6887" t="str">
        <f>IF(C6887="","",UPPER(LEFT(SUBSTITUTE(C6887," ",""),3))&amp;"-"&amp;TEXT(B6887,"AAMMDD")&amp;"-1")</f>
        <v/>
      </c>
    </row>
    <row r="6888" spans="20:20">
      <c r="T6888" t="str">
        <f>IF(C6888="","",UPPER(LEFT(SUBSTITUTE(C6888," ",""),3))&amp;"-"&amp;TEXT(B6888,"AAMMDD")&amp;"-1")</f>
        <v/>
      </c>
    </row>
    <row r="6889" spans="20:20">
      <c r="T6889" t="str">
        <f>IF(C6889="","",UPPER(LEFT(SUBSTITUTE(C6889," ",""),3))&amp;"-"&amp;TEXT(B6889,"AAMMDD")&amp;"-1")</f>
        <v/>
      </c>
    </row>
    <row r="6890" spans="20:20">
      <c r="T6890" t="str">
        <f>IF(C6890="","",UPPER(LEFT(SUBSTITUTE(C6890," ",""),3))&amp;"-"&amp;TEXT(B6890,"AAMMDD")&amp;"-1")</f>
        <v/>
      </c>
    </row>
    <row r="6891" spans="20:20">
      <c r="T6891" t="str">
        <f>IF(C6891="","",UPPER(LEFT(SUBSTITUTE(C6891," ",""),3))&amp;"-"&amp;TEXT(B6891,"AAMMDD")&amp;"-1")</f>
        <v/>
      </c>
    </row>
    <row r="6892" spans="20:20">
      <c r="T6892" t="str">
        <f>IF(C6892="","",UPPER(LEFT(SUBSTITUTE(C6892," ",""),3))&amp;"-"&amp;TEXT(B6892,"AAMMDD")&amp;"-1")</f>
        <v/>
      </c>
    </row>
    <row r="6893" spans="20:20">
      <c r="T6893" t="str">
        <f>IF(C6893="","",UPPER(LEFT(SUBSTITUTE(C6893," ",""),3))&amp;"-"&amp;TEXT(B6893,"AAMMDD")&amp;"-1")</f>
        <v/>
      </c>
    </row>
    <row r="6894" spans="20:20">
      <c r="T6894" t="str">
        <f>IF(C6894="","",UPPER(LEFT(SUBSTITUTE(C6894," ",""),3))&amp;"-"&amp;TEXT(B6894,"AAMMDD")&amp;"-1")</f>
        <v/>
      </c>
    </row>
    <row r="6895" spans="20:20">
      <c r="T6895" t="str">
        <f>IF(C6895="","",UPPER(LEFT(SUBSTITUTE(C6895," ",""),3))&amp;"-"&amp;TEXT(B6895,"AAMMDD")&amp;"-1")</f>
        <v/>
      </c>
    </row>
    <row r="6896" spans="20:20">
      <c r="T6896" t="str">
        <f>IF(C6896="","",UPPER(LEFT(SUBSTITUTE(C6896," ",""),3))&amp;"-"&amp;TEXT(B6896,"AAMMDD")&amp;"-1")</f>
        <v/>
      </c>
    </row>
    <row r="6897" spans="20:20">
      <c r="T6897" t="str">
        <f>IF(C6897="","",UPPER(LEFT(SUBSTITUTE(C6897," ",""),3))&amp;"-"&amp;TEXT(B6897,"AAMMDD")&amp;"-1")</f>
        <v/>
      </c>
    </row>
    <row r="6898" spans="20:20">
      <c r="T6898" t="str">
        <f>IF(C6898="","",UPPER(LEFT(SUBSTITUTE(C6898," ",""),3))&amp;"-"&amp;TEXT(B6898,"AAMMDD")&amp;"-1")</f>
        <v/>
      </c>
    </row>
    <row r="6899" spans="20:20">
      <c r="T6899" t="str">
        <f>IF(C6899="","",UPPER(LEFT(SUBSTITUTE(C6899," ",""),3))&amp;"-"&amp;TEXT(B6899,"AAMMDD")&amp;"-1")</f>
        <v/>
      </c>
    </row>
    <row r="6900" spans="20:20">
      <c r="T6900" t="str">
        <f>IF(C6900="","",UPPER(LEFT(SUBSTITUTE(C6900," ",""),3))&amp;"-"&amp;TEXT(B6900,"AAMMDD")&amp;"-1")</f>
        <v/>
      </c>
    </row>
    <row r="6901" spans="20:20">
      <c r="T6901" t="str">
        <f>IF(C6901="","",UPPER(LEFT(SUBSTITUTE(C6901," ",""),3))&amp;"-"&amp;TEXT(B6901,"AAMMDD")&amp;"-1")</f>
        <v/>
      </c>
    </row>
    <row r="6902" spans="20:20">
      <c r="T6902" t="str">
        <f>IF(C6902="","",UPPER(LEFT(SUBSTITUTE(C6902," ",""),3))&amp;"-"&amp;TEXT(B6902,"AAMMDD")&amp;"-1")</f>
        <v/>
      </c>
    </row>
    <row r="6903" spans="20:20">
      <c r="T6903" t="str">
        <f>IF(C6903="","",UPPER(LEFT(SUBSTITUTE(C6903," ",""),3))&amp;"-"&amp;TEXT(B6903,"AAMMDD")&amp;"-1")</f>
        <v/>
      </c>
    </row>
    <row r="6904" spans="20:20">
      <c r="T6904" t="str">
        <f>IF(C6904="","",UPPER(LEFT(SUBSTITUTE(C6904," ",""),3))&amp;"-"&amp;TEXT(B6904,"AAMMDD")&amp;"-1")</f>
        <v/>
      </c>
    </row>
    <row r="6905" spans="20:20">
      <c r="T6905" t="str">
        <f>IF(C6905="","",UPPER(LEFT(SUBSTITUTE(C6905," ",""),3))&amp;"-"&amp;TEXT(B6905,"AAMMDD")&amp;"-1")</f>
        <v/>
      </c>
    </row>
    <row r="6906" spans="20:20">
      <c r="T6906" t="str">
        <f>IF(C6906="","",UPPER(LEFT(SUBSTITUTE(C6906," ",""),3))&amp;"-"&amp;TEXT(B6906,"AAMMDD")&amp;"-1")</f>
        <v/>
      </c>
    </row>
    <row r="6907" spans="20:20">
      <c r="T6907" t="str">
        <f>IF(C6907="","",UPPER(LEFT(SUBSTITUTE(C6907," ",""),3))&amp;"-"&amp;TEXT(B6907,"AAMMDD")&amp;"-1")</f>
        <v/>
      </c>
    </row>
    <row r="6908" spans="20:20">
      <c r="T6908" t="str">
        <f>IF(C6908="","",UPPER(LEFT(SUBSTITUTE(C6908," ",""),3))&amp;"-"&amp;TEXT(B6908,"AAMMDD")&amp;"-1")</f>
        <v/>
      </c>
    </row>
    <row r="6909" spans="20:20">
      <c r="T6909" t="str">
        <f>IF(C6909="","",UPPER(LEFT(SUBSTITUTE(C6909," ",""),3))&amp;"-"&amp;TEXT(B6909,"AAMMDD")&amp;"-1")</f>
        <v/>
      </c>
    </row>
    <row r="6910" spans="20:20">
      <c r="T6910" t="str">
        <f>IF(C6910="","",UPPER(LEFT(SUBSTITUTE(C6910," ",""),3))&amp;"-"&amp;TEXT(B6910,"AAMMDD")&amp;"-1")</f>
        <v/>
      </c>
    </row>
    <row r="6911" spans="20:20">
      <c r="T6911" t="str">
        <f>IF(C6911="","",UPPER(LEFT(SUBSTITUTE(C6911," ",""),3))&amp;"-"&amp;TEXT(B6911,"AAMMDD")&amp;"-1")</f>
        <v/>
      </c>
    </row>
    <row r="6912" spans="20:20">
      <c r="T6912" t="str">
        <f>IF(C6912="","",UPPER(LEFT(SUBSTITUTE(C6912," ",""),3))&amp;"-"&amp;TEXT(B6912,"AAMMDD")&amp;"-1")</f>
        <v/>
      </c>
    </row>
    <row r="6913" spans="20:20">
      <c r="T6913" t="str">
        <f>IF(C6913="","",UPPER(LEFT(SUBSTITUTE(C6913," ",""),3))&amp;"-"&amp;TEXT(B6913,"AAMMDD")&amp;"-1")</f>
        <v/>
      </c>
    </row>
    <row r="6914" spans="20:20">
      <c r="T6914" t="str">
        <f>IF(C6914="","",UPPER(LEFT(SUBSTITUTE(C6914," ",""),3))&amp;"-"&amp;TEXT(B6914,"AAMMDD")&amp;"-1")</f>
        <v/>
      </c>
    </row>
    <row r="6915" spans="20:20">
      <c r="T6915" t="str">
        <f>IF(C6915="","",UPPER(LEFT(SUBSTITUTE(C6915," ",""),3))&amp;"-"&amp;TEXT(B6915,"AAMMDD")&amp;"-1")</f>
        <v/>
      </c>
    </row>
    <row r="6916" spans="20:20">
      <c r="T6916" t="str">
        <f>IF(C6916="","",UPPER(LEFT(SUBSTITUTE(C6916," ",""),3))&amp;"-"&amp;TEXT(B6916,"AAMMDD")&amp;"-1")</f>
        <v/>
      </c>
    </row>
    <row r="6917" spans="20:20">
      <c r="T6917" t="str">
        <f>IF(C6917="","",UPPER(LEFT(SUBSTITUTE(C6917," ",""),3))&amp;"-"&amp;TEXT(B6917,"AAMMDD")&amp;"-1")</f>
        <v/>
      </c>
    </row>
    <row r="6918" spans="20:20">
      <c r="T6918" t="str">
        <f>IF(C6918="","",UPPER(LEFT(SUBSTITUTE(C6918," ",""),3))&amp;"-"&amp;TEXT(B6918,"AAMMDD")&amp;"-1")</f>
        <v/>
      </c>
    </row>
    <row r="6919" spans="20:20">
      <c r="T6919" t="str">
        <f>IF(C6919="","",UPPER(LEFT(SUBSTITUTE(C6919," ",""),3))&amp;"-"&amp;TEXT(B6919,"AAMMDD")&amp;"-1")</f>
        <v/>
      </c>
    </row>
    <row r="6920" spans="20:20">
      <c r="T6920" t="str">
        <f>IF(C6920="","",UPPER(LEFT(SUBSTITUTE(C6920," ",""),3))&amp;"-"&amp;TEXT(B6920,"AAMMDD")&amp;"-1")</f>
        <v/>
      </c>
    </row>
    <row r="6921" spans="20:20">
      <c r="T6921" t="str">
        <f>IF(C6921="","",UPPER(LEFT(SUBSTITUTE(C6921," ",""),3))&amp;"-"&amp;TEXT(B6921,"AAMMDD")&amp;"-1")</f>
        <v/>
      </c>
    </row>
    <row r="6922" spans="20:20">
      <c r="T6922" t="str">
        <f>IF(C6922="","",UPPER(LEFT(SUBSTITUTE(C6922," ",""),3))&amp;"-"&amp;TEXT(B6922,"AAMMDD")&amp;"-1")</f>
        <v/>
      </c>
    </row>
    <row r="6923" spans="20:20">
      <c r="T6923" t="str">
        <f>IF(C6923="","",UPPER(LEFT(SUBSTITUTE(C6923," ",""),3))&amp;"-"&amp;TEXT(B6923,"AAMMDD")&amp;"-1")</f>
        <v/>
      </c>
    </row>
    <row r="6924" spans="20:20">
      <c r="T6924" t="str">
        <f>IF(C6924="","",UPPER(LEFT(SUBSTITUTE(C6924," ",""),3))&amp;"-"&amp;TEXT(B6924,"AAMMDD")&amp;"-1")</f>
        <v/>
      </c>
    </row>
    <row r="6925" spans="20:20">
      <c r="T6925" t="str">
        <f>IF(C6925="","",UPPER(LEFT(SUBSTITUTE(C6925," ",""),3))&amp;"-"&amp;TEXT(B6925,"AAMMDD")&amp;"-1")</f>
        <v/>
      </c>
    </row>
    <row r="6926" spans="20:20">
      <c r="T6926" t="str">
        <f>IF(C6926="","",UPPER(LEFT(SUBSTITUTE(C6926," ",""),3))&amp;"-"&amp;TEXT(B6926,"AAMMDD")&amp;"-1")</f>
        <v/>
      </c>
    </row>
    <row r="6927" spans="20:20">
      <c r="T6927" t="str">
        <f>IF(C6927="","",UPPER(LEFT(SUBSTITUTE(C6927," ",""),3))&amp;"-"&amp;TEXT(B6927,"AAMMDD")&amp;"-1")</f>
        <v/>
      </c>
    </row>
    <row r="6928" spans="20:20">
      <c r="T6928" t="str">
        <f>IF(C6928="","",UPPER(LEFT(SUBSTITUTE(C6928," ",""),3))&amp;"-"&amp;TEXT(B6928,"AAMMDD")&amp;"-1")</f>
        <v/>
      </c>
    </row>
    <row r="6929" spans="20:20">
      <c r="T6929" t="str">
        <f>IF(C6929="","",UPPER(LEFT(SUBSTITUTE(C6929," ",""),3))&amp;"-"&amp;TEXT(B6929,"AAMMDD")&amp;"-1")</f>
        <v/>
      </c>
    </row>
    <row r="6930" spans="20:20">
      <c r="T6930" t="str">
        <f>IF(C6930="","",UPPER(LEFT(SUBSTITUTE(C6930," ",""),3))&amp;"-"&amp;TEXT(B6930,"AAMMDD")&amp;"-1")</f>
        <v/>
      </c>
    </row>
    <row r="6931" spans="20:20">
      <c r="T6931" t="str">
        <f>IF(C6931="","",UPPER(LEFT(SUBSTITUTE(C6931," ",""),3))&amp;"-"&amp;TEXT(B6931,"AAMMDD")&amp;"-1")</f>
        <v/>
      </c>
    </row>
    <row r="6932" spans="20:20">
      <c r="T6932" t="str">
        <f>IF(C6932="","",UPPER(LEFT(SUBSTITUTE(C6932," ",""),3))&amp;"-"&amp;TEXT(B6932,"AAMMDD")&amp;"-1")</f>
        <v/>
      </c>
    </row>
    <row r="6933" spans="20:20">
      <c r="T6933" t="str">
        <f>IF(C6933="","",UPPER(LEFT(SUBSTITUTE(C6933," ",""),3))&amp;"-"&amp;TEXT(B6933,"AAMMDD")&amp;"-1")</f>
        <v/>
      </c>
    </row>
    <row r="6934" spans="20:20">
      <c r="T6934" t="str">
        <f>IF(C6934="","",UPPER(LEFT(SUBSTITUTE(C6934," ",""),3))&amp;"-"&amp;TEXT(B6934,"AAMMDD")&amp;"-1")</f>
        <v/>
      </c>
    </row>
    <row r="6935" spans="20:20">
      <c r="T6935" t="str">
        <f>IF(C6935="","",UPPER(LEFT(SUBSTITUTE(C6935," ",""),3))&amp;"-"&amp;TEXT(B6935,"AAMMDD")&amp;"-1")</f>
        <v/>
      </c>
    </row>
    <row r="6936" spans="20:20">
      <c r="T6936" t="str">
        <f>IF(C6936="","",UPPER(LEFT(SUBSTITUTE(C6936," ",""),3))&amp;"-"&amp;TEXT(B6936,"AAMMDD")&amp;"-1")</f>
        <v/>
      </c>
    </row>
    <row r="6937" spans="20:20">
      <c r="T6937" t="str">
        <f>IF(C6937="","",UPPER(LEFT(SUBSTITUTE(C6937," ",""),3))&amp;"-"&amp;TEXT(B6937,"AAMMDD")&amp;"-1")</f>
        <v/>
      </c>
    </row>
    <row r="6938" spans="20:20">
      <c r="T6938" t="str">
        <f>IF(C6938="","",UPPER(LEFT(SUBSTITUTE(C6938," ",""),3))&amp;"-"&amp;TEXT(B6938,"AAMMDD")&amp;"-1")</f>
        <v/>
      </c>
    </row>
    <row r="6939" spans="20:20">
      <c r="T6939" t="str">
        <f>IF(C6939="","",UPPER(LEFT(SUBSTITUTE(C6939," ",""),3))&amp;"-"&amp;TEXT(B6939,"AAMMDD")&amp;"-1")</f>
        <v/>
      </c>
    </row>
    <row r="6940" spans="20:20">
      <c r="T6940" t="str">
        <f>IF(C6940="","",UPPER(LEFT(SUBSTITUTE(C6940," ",""),3))&amp;"-"&amp;TEXT(B6940,"AAMMDD")&amp;"-1")</f>
        <v/>
      </c>
    </row>
    <row r="6941" spans="20:20">
      <c r="T6941" t="str">
        <f>IF(C6941="","",UPPER(LEFT(SUBSTITUTE(C6941," ",""),3))&amp;"-"&amp;TEXT(B6941,"AAMMDD")&amp;"-1")</f>
        <v/>
      </c>
    </row>
    <row r="6942" spans="20:20">
      <c r="T6942" t="str">
        <f>IF(C6942="","",UPPER(LEFT(SUBSTITUTE(C6942," ",""),3))&amp;"-"&amp;TEXT(B6942,"AAMMDD")&amp;"-1")</f>
        <v/>
      </c>
    </row>
    <row r="6943" spans="20:20">
      <c r="T6943" t="str">
        <f>IF(C6943="","",UPPER(LEFT(SUBSTITUTE(C6943," ",""),3))&amp;"-"&amp;TEXT(B6943,"AAMMDD")&amp;"-1")</f>
        <v/>
      </c>
    </row>
    <row r="6944" spans="20:20">
      <c r="T6944" t="str">
        <f>IF(C6944="","",UPPER(LEFT(SUBSTITUTE(C6944," ",""),3))&amp;"-"&amp;TEXT(B6944,"AAMMDD")&amp;"-1")</f>
        <v/>
      </c>
    </row>
    <row r="6945" spans="20:20">
      <c r="T6945" t="str">
        <f>IF(C6945="","",UPPER(LEFT(SUBSTITUTE(C6945," ",""),3))&amp;"-"&amp;TEXT(B6945,"AAMMDD")&amp;"-1")</f>
        <v/>
      </c>
    </row>
    <row r="6946" spans="20:20">
      <c r="T6946" t="str">
        <f>IF(C6946="","",UPPER(LEFT(SUBSTITUTE(C6946," ",""),3))&amp;"-"&amp;TEXT(B6946,"AAMMDD")&amp;"-1")</f>
        <v/>
      </c>
    </row>
    <row r="6947" spans="20:20">
      <c r="T6947" t="str">
        <f>IF(C6947="","",UPPER(LEFT(SUBSTITUTE(C6947," ",""),3))&amp;"-"&amp;TEXT(B6947,"AAMMDD")&amp;"-1")</f>
        <v/>
      </c>
    </row>
    <row r="6948" spans="20:20">
      <c r="T6948" t="str">
        <f>IF(C6948="","",UPPER(LEFT(SUBSTITUTE(C6948," ",""),3))&amp;"-"&amp;TEXT(B6948,"AAMMDD")&amp;"-1")</f>
        <v/>
      </c>
    </row>
    <row r="6949" spans="20:20">
      <c r="T6949" t="str">
        <f>IF(C6949="","",UPPER(LEFT(SUBSTITUTE(C6949," ",""),3))&amp;"-"&amp;TEXT(B6949,"AAMMDD")&amp;"-1")</f>
        <v/>
      </c>
    </row>
    <row r="6950" spans="20:20">
      <c r="T6950" t="str">
        <f>IF(C6950="","",UPPER(LEFT(SUBSTITUTE(C6950," ",""),3))&amp;"-"&amp;TEXT(B6950,"AAMMDD")&amp;"-1")</f>
        <v/>
      </c>
    </row>
    <row r="6951" spans="20:20">
      <c r="T6951" t="str">
        <f>IF(C6951="","",UPPER(LEFT(SUBSTITUTE(C6951," ",""),3))&amp;"-"&amp;TEXT(B6951,"AAMMDD")&amp;"-1")</f>
        <v/>
      </c>
    </row>
    <row r="6952" spans="20:20">
      <c r="T6952" t="str">
        <f>IF(C6952="","",UPPER(LEFT(SUBSTITUTE(C6952," ",""),3))&amp;"-"&amp;TEXT(B6952,"AAMMDD")&amp;"-1")</f>
        <v/>
      </c>
    </row>
    <row r="6953" spans="20:20">
      <c r="T6953" t="str">
        <f>IF(C6953="","",UPPER(LEFT(SUBSTITUTE(C6953," ",""),3))&amp;"-"&amp;TEXT(B6953,"AAMMDD")&amp;"-1")</f>
        <v/>
      </c>
    </row>
    <row r="6954" spans="20:20">
      <c r="T6954" t="str">
        <f>IF(C6954="","",UPPER(LEFT(SUBSTITUTE(C6954," ",""),3))&amp;"-"&amp;TEXT(B6954,"AAMMDD")&amp;"-1")</f>
        <v/>
      </c>
    </row>
    <row r="6955" spans="20:20">
      <c r="T6955" t="str">
        <f>IF(C6955="","",UPPER(LEFT(SUBSTITUTE(C6955," ",""),3))&amp;"-"&amp;TEXT(B6955,"AAMMDD")&amp;"-1")</f>
        <v/>
      </c>
    </row>
    <row r="6956" spans="20:20">
      <c r="T6956" t="str">
        <f>IF(C6956="","",UPPER(LEFT(SUBSTITUTE(C6956," ",""),3))&amp;"-"&amp;TEXT(B6956,"AAMMDD")&amp;"-1")</f>
        <v/>
      </c>
    </row>
    <row r="6957" spans="20:20">
      <c r="T6957" t="str">
        <f>IF(C6957="","",UPPER(LEFT(SUBSTITUTE(C6957," ",""),3))&amp;"-"&amp;TEXT(B6957,"AAMMDD")&amp;"-1")</f>
        <v/>
      </c>
    </row>
    <row r="6958" spans="20:20">
      <c r="T6958" t="str">
        <f>IF(C6958="","",UPPER(LEFT(SUBSTITUTE(C6958," ",""),3))&amp;"-"&amp;TEXT(B6958,"AAMMDD")&amp;"-1")</f>
        <v/>
      </c>
    </row>
    <row r="6959" spans="20:20">
      <c r="T6959" t="str">
        <f>IF(C6959="","",UPPER(LEFT(SUBSTITUTE(C6959," ",""),3))&amp;"-"&amp;TEXT(B6959,"AAMMDD")&amp;"-1")</f>
        <v/>
      </c>
    </row>
    <row r="6960" spans="20:20">
      <c r="T6960" t="str">
        <f>IF(C6960="","",UPPER(LEFT(SUBSTITUTE(C6960," ",""),3))&amp;"-"&amp;TEXT(B6960,"AAMMDD")&amp;"-1")</f>
        <v/>
      </c>
    </row>
    <row r="6961" spans="20:20">
      <c r="T6961" t="str">
        <f>IF(C6961="","",UPPER(LEFT(SUBSTITUTE(C6961," ",""),3))&amp;"-"&amp;TEXT(B6961,"AAMMDD")&amp;"-1")</f>
        <v/>
      </c>
    </row>
    <row r="6962" spans="20:20">
      <c r="T6962" t="str">
        <f>IF(C6962="","",UPPER(LEFT(SUBSTITUTE(C6962," ",""),3))&amp;"-"&amp;TEXT(B6962,"AAMMDD")&amp;"-1")</f>
        <v/>
      </c>
    </row>
    <row r="6963" spans="20:20">
      <c r="T6963" t="str">
        <f>IF(C6963="","",UPPER(LEFT(SUBSTITUTE(C6963," ",""),3))&amp;"-"&amp;TEXT(B6963,"AAMMDD")&amp;"-1")</f>
        <v/>
      </c>
    </row>
    <row r="6964" spans="20:20">
      <c r="T6964" t="str">
        <f>IF(C6964="","",UPPER(LEFT(SUBSTITUTE(C6964," ",""),3))&amp;"-"&amp;TEXT(B6964,"AAMMDD")&amp;"-1")</f>
        <v/>
      </c>
    </row>
    <row r="6965" spans="20:20">
      <c r="T6965" t="str">
        <f>IF(C6965="","",UPPER(LEFT(SUBSTITUTE(C6965," ",""),3))&amp;"-"&amp;TEXT(B6965,"AAMMDD")&amp;"-1")</f>
        <v/>
      </c>
    </row>
    <row r="6966" spans="20:20">
      <c r="T6966" t="str">
        <f>IF(C6966="","",UPPER(LEFT(SUBSTITUTE(C6966," ",""),3))&amp;"-"&amp;TEXT(B6966,"AAMMDD")&amp;"-1")</f>
        <v/>
      </c>
    </row>
    <row r="6967" spans="20:20">
      <c r="T6967" t="str">
        <f>IF(C6967="","",UPPER(LEFT(SUBSTITUTE(C6967," ",""),3))&amp;"-"&amp;TEXT(B6967,"AAMMDD")&amp;"-1")</f>
        <v/>
      </c>
    </row>
    <row r="6968" spans="20:20">
      <c r="T6968" t="str">
        <f>IF(C6968="","",UPPER(LEFT(SUBSTITUTE(C6968," ",""),3))&amp;"-"&amp;TEXT(B6968,"AAMMDD")&amp;"-1")</f>
        <v/>
      </c>
    </row>
    <row r="6969" spans="20:20">
      <c r="T6969" t="str">
        <f>IF(C6969="","",UPPER(LEFT(SUBSTITUTE(C6969," ",""),3))&amp;"-"&amp;TEXT(B6969,"AAMMDD")&amp;"-1")</f>
        <v/>
      </c>
    </row>
    <row r="6970" spans="20:20">
      <c r="T6970" t="str">
        <f>IF(C6970="","",UPPER(LEFT(SUBSTITUTE(C6970," ",""),3))&amp;"-"&amp;TEXT(B6970,"AAMMDD")&amp;"-1")</f>
        <v/>
      </c>
    </row>
    <row r="6971" spans="20:20">
      <c r="T6971" t="str">
        <f>IF(C6971="","",UPPER(LEFT(SUBSTITUTE(C6971," ",""),3))&amp;"-"&amp;TEXT(B6971,"AAMMDD")&amp;"-1")</f>
        <v/>
      </c>
    </row>
    <row r="6972" spans="20:20">
      <c r="T6972" t="str">
        <f>IF(C6972="","",UPPER(LEFT(SUBSTITUTE(C6972," ",""),3))&amp;"-"&amp;TEXT(B6972,"AAMMDD")&amp;"-1")</f>
        <v/>
      </c>
    </row>
    <row r="6973" spans="20:20">
      <c r="T6973" t="str">
        <f>IF(C6973="","",UPPER(LEFT(SUBSTITUTE(C6973," ",""),3))&amp;"-"&amp;TEXT(B6973,"AAMMDD")&amp;"-1")</f>
        <v/>
      </c>
    </row>
    <row r="6974" spans="20:20">
      <c r="T6974" t="str">
        <f>IF(C6974="","",UPPER(LEFT(SUBSTITUTE(C6974," ",""),3))&amp;"-"&amp;TEXT(B6974,"AAMMDD")&amp;"-1")</f>
        <v/>
      </c>
    </row>
    <row r="6975" spans="20:20">
      <c r="T6975" t="str">
        <f>IF(C6975="","",UPPER(LEFT(SUBSTITUTE(C6975," ",""),3))&amp;"-"&amp;TEXT(B6975,"AAMMDD")&amp;"-1")</f>
        <v/>
      </c>
    </row>
    <row r="6976" spans="20:20">
      <c r="T6976" t="str">
        <f>IF(C6976="","",UPPER(LEFT(SUBSTITUTE(C6976," ",""),3))&amp;"-"&amp;TEXT(B6976,"AAMMDD")&amp;"-1")</f>
        <v/>
      </c>
    </row>
    <row r="6977" spans="20:20">
      <c r="T6977" t="str">
        <f>IF(C6977="","",UPPER(LEFT(SUBSTITUTE(C6977," ",""),3))&amp;"-"&amp;TEXT(B6977,"AAMMDD")&amp;"-1")</f>
        <v/>
      </c>
    </row>
    <row r="6978" spans="20:20">
      <c r="T6978" t="str">
        <f>IF(C6978="","",UPPER(LEFT(SUBSTITUTE(C6978," ",""),3))&amp;"-"&amp;TEXT(B6978,"AAMMDD")&amp;"-1")</f>
        <v/>
      </c>
    </row>
    <row r="6979" spans="20:20">
      <c r="T6979" t="str">
        <f>IF(C6979="","",UPPER(LEFT(SUBSTITUTE(C6979," ",""),3))&amp;"-"&amp;TEXT(B6979,"AAMMDD")&amp;"-1")</f>
        <v/>
      </c>
    </row>
    <row r="6980" spans="20:20">
      <c r="T6980" t="str">
        <f>IF(C6980="","",UPPER(LEFT(SUBSTITUTE(C6980," ",""),3))&amp;"-"&amp;TEXT(B6980,"AAMMDD")&amp;"-1")</f>
        <v/>
      </c>
    </row>
    <row r="6981" spans="20:20">
      <c r="T6981" t="str">
        <f>IF(C6981="","",UPPER(LEFT(SUBSTITUTE(C6981," ",""),3))&amp;"-"&amp;TEXT(B6981,"AAMMDD")&amp;"-1")</f>
        <v/>
      </c>
    </row>
    <row r="6982" spans="20:20">
      <c r="T6982" t="str">
        <f>IF(C6982="","",UPPER(LEFT(SUBSTITUTE(C6982," ",""),3))&amp;"-"&amp;TEXT(B6982,"AAMMDD")&amp;"-1")</f>
        <v/>
      </c>
    </row>
    <row r="6983" spans="20:20">
      <c r="T6983" t="str">
        <f>IF(C6983="","",UPPER(LEFT(SUBSTITUTE(C6983," ",""),3))&amp;"-"&amp;TEXT(B6983,"AAMMDD")&amp;"-1")</f>
        <v/>
      </c>
    </row>
    <row r="6984" spans="20:20">
      <c r="T6984" t="str">
        <f>IF(C6984="","",UPPER(LEFT(SUBSTITUTE(C6984," ",""),3))&amp;"-"&amp;TEXT(B6984,"AAMMDD")&amp;"-1")</f>
        <v/>
      </c>
    </row>
    <row r="6985" spans="20:20">
      <c r="T6985" t="str">
        <f>IF(C6985="","",UPPER(LEFT(SUBSTITUTE(C6985," ",""),3))&amp;"-"&amp;TEXT(B6985,"AAMMDD")&amp;"-1")</f>
        <v/>
      </c>
    </row>
    <row r="6986" spans="20:20">
      <c r="T6986" t="str">
        <f>IF(C6986="","",UPPER(LEFT(SUBSTITUTE(C6986," ",""),3))&amp;"-"&amp;TEXT(B6986,"AAMMDD")&amp;"-1")</f>
        <v/>
      </c>
    </row>
    <row r="6987" spans="20:20">
      <c r="T6987" t="str">
        <f>IF(C6987="","",UPPER(LEFT(SUBSTITUTE(C6987," ",""),3))&amp;"-"&amp;TEXT(B6987,"AAMMDD")&amp;"-1")</f>
        <v/>
      </c>
    </row>
    <row r="6988" spans="20:20">
      <c r="T6988" t="str">
        <f>IF(C6988="","",UPPER(LEFT(SUBSTITUTE(C6988," ",""),3))&amp;"-"&amp;TEXT(B6988,"AAMMDD")&amp;"-1")</f>
        <v/>
      </c>
    </row>
    <row r="6989" spans="20:20">
      <c r="T6989" t="str">
        <f>IF(C6989="","",UPPER(LEFT(SUBSTITUTE(C6989," ",""),3))&amp;"-"&amp;TEXT(B6989,"AAMMDD")&amp;"-1")</f>
        <v/>
      </c>
    </row>
    <row r="6990" spans="20:20">
      <c r="T6990" t="str">
        <f>IF(C6990="","",UPPER(LEFT(SUBSTITUTE(C6990," ",""),3))&amp;"-"&amp;TEXT(B6990,"AAMMDD")&amp;"-1")</f>
        <v/>
      </c>
    </row>
    <row r="6991" spans="20:20">
      <c r="T6991" t="str">
        <f>IF(C6991="","",UPPER(LEFT(SUBSTITUTE(C6991," ",""),3))&amp;"-"&amp;TEXT(B6991,"AAMMDD")&amp;"-1")</f>
        <v/>
      </c>
    </row>
    <row r="6992" spans="20:20">
      <c r="T6992" t="str">
        <f>IF(C6992="","",UPPER(LEFT(SUBSTITUTE(C6992," ",""),3))&amp;"-"&amp;TEXT(B6992,"AAMMDD")&amp;"-1")</f>
        <v/>
      </c>
    </row>
    <row r="6993" spans="20:20">
      <c r="T6993" t="str">
        <f>IF(C6993="","",UPPER(LEFT(SUBSTITUTE(C6993," ",""),3))&amp;"-"&amp;TEXT(B6993,"AAMMDD")&amp;"-1")</f>
        <v/>
      </c>
    </row>
    <row r="6994" spans="20:20">
      <c r="T6994" t="str">
        <f>IF(C6994="","",UPPER(LEFT(SUBSTITUTE(C6994," ",""),3))&amp;"-"&amp;TEXT(B6994,"AAMMDD")&amp;"-1")</f>
        <v/>
      </c>
    </row>
    <row r="6995" spans="20:20">
      <c r="T6995" t="str">
        <f>IF(C6995="","",UPPER(LEFT(SUBSTITUTE(C6995," ",""),3))&amp;"-"&amp;TEXT(B6995,"AAMMDD")&amp;"-1")</f>
        <v/>
      </c>
    </row>
    <row r="6996" spans="20:20">
      <c r="T6996" t="str">
        <f>IF(C6996="","",UPPER(LEFT(SUBSTITUTE(C6996," ",""),3))&amp;"-"&amp;TEXT(B6996,"AAMMDD")&amp;"-1")</f>
        <v/>
      </c>
    </row>
    <row r="6997" spans="20:20">
      <c r="T6997" t="str">
        <f>IF(C6997="","",UPPER(LEFT(SUBSTITUTE(C6997," ",""),3))&amp;"-"&amp;TEXT(B6997,"AAMMDD")&amp;"-1")</f>
        <v/>
      </c>
    </row>
    <row r="6998" spans="20:20">
      <c r="T6998" t="str">
        <f>IF(C6998="","",UPPER(LEFT(SUBSTITUTE(C6998," ",""),3))&amp;"-"&amp;TEXT(B6998,"AAMMDD")&amp;"-1")</f>
        <v/>
      </c>
    </row>
    <row r="6999" spans="20:20">
      <c r="T6999" t="str">
        <f>IF(C6999="","",UPPER(LEFT(SUBSTITUTE(C6999," ",""),3))&amp;"-"&amp;TEXT(B6999,"AAMMDD")&amp;"-1")</f>
        <v/>
      </c>
    </row>
    <row r="7000" spans="20:20">
      <c r="T7000" t="str">
        <f>IF(C7000="","",UPPER(LEFT(SUBSTITUTE(C7000," ",""),3))&amp;"-"&amp;TEXT(B7000,"AAMMDD")&amp;"-1")</f>
        <v/>
      </c>
    </row>
    <row r="7001" spans="20:20">
      <c r="T7001" t="str">
        <f>IF(C7001="","",UPPER(LEFT(SUBSTITUTE(C7001," ",""),3))&amp;"-"&amp;TEXT(B7001,"AAMMDD")&amp;"-1")</f>
        <v/>
      </c>
    </row>
    <row r="7002" spans="20:20">
      <c r="T7002" t="str">
        <f>IF(C7002="","",UPPER(LEFT(SUBSTITUTE(C7002," ",""),3))&amp;"-"&amp;TEXT(B7002,"AAMMDD")&amp;"-1")</f>
        <v/>
      </c>
    </row>
    <row r="7003" spans="20:20">
      <c r="T7003" t="str">
        <f>IF(C7003="","",UPPER(LEFT(SUBSTITUTE(C7003," ",""),3))&amp;"-"&amp;TEXT(B7003,"AAMMDD")&amp;"-1")</f>
        <v/>
      </c>
    </row>
    <row r="7004" spans="20:20">
      <c r="T7004" t="str">
        <f>IF(C7004="","",UPPER(LEFT(SUBSTITUTE(C7004," ",""),3))&amp;"-"&amp;TEXT(B7004,"AAMMDD")&amp;"-1")</f>
        <v/>
      </c>
    </row>
    <row r="7005" spans="20:20">
      <c r="T7005" t="str">
        <f>IF(C7005="","",UPPER(LEFT(SUBSTITUTE(C7005," ",""),3))&amp;"-"&amp;TEXT(B7005,"AAMMDD")&amp;"-1")</f>
        <v/>
      </c>
    </row>
    <row r="7006" spans="20:20">
      <c r="T7006" t="str">
        <f>IF(C7006="","",UPPER(LEFT(SUBSTITUTE(C7006," ",""),3))&amp;"-"&amp;TEXT(B7006,"AAMMDD")&amp;"-1")</f>
        <v/>
      </c>
    </row>
    <row r="7007" spans="20:20">
      <c r="T7007" t="str">
        <f>IF(C7007="","",UPPER(LEFT(SUBSTITUTE(C7007," ",""),3))&amp;"-"&amp;TEXT(B7007,"AAMMDD")&amp;"-1")</f>
        <v/>
      </c>
    </row>
    <row r="7008" spans="20:20">
      <c r="T7008" t="str">
        <f>IF(C7008="","",UPPER(LEFT(SUBSTITUTE(C7008," ",""),3))&amp;"-"&amp;TEXT(B7008,"AAMMDD")&amp;"-1")</f>
        <v/>
      </c>
    </row>
    <row r="7009" spans="20:20">
      <c r="T7009" t="str">
        <f>IF(C7009="","",UPPER(LEFT(SUBSTITUTE(C7009," ",""),3))&amp;"-"&amp;TEXT(B7009,"AAMMDD")&amp;"-1")</f>
        <v/>
      </c>
    </row>
    <row r="7010" spans="20:20">
      <c r="T7010" t="str">
        <f>IF(C7010="","",UPPER(LEFT(SUBSTITUTE(C7010," ",""),3))&amp;"-"&amp;TEXT(B7010,"AAMMDD")&amp;"-1")</f>
        <v/>
      </c>
    </row>
    <row r="7011" spans="20:20">
      <c r="T7011" t="str">
        <f>IF(C7011="","",UPPER(LEFT(SUBSTITUTE(C7011," ",""),3))&amp;"-"&amp;TEXT(B7011,"AAMMDD")&amp;"-1")</f>
        <v/>
      </c>
    </row>
    <row r="7012" spans="20:20">
      <c r="T7012" t="str">
        <f>IF(C7012="","",UPPER(LEFT(SUBSTITUTE(C7012," ",""),3))&amp;"-"&amp;TEXT(B7012,"AAMMDD")&amp;"-1")</f>
        <v/>
      </c>
    </row>
    <row r="7013" spans="20:20">
      <c r="T7013" t="str">
        <f>IF(C7013="","",UPPER(LEFT(SUBSTITUTE(C7013," ",""),3))&amp;"-"&amp;TEXT(B7013,"AAMMDD")&amp;"-1")</f>
        <v/>
      </c>
    </row>
    <row r="7014" spans="20:20">
      <c r="T7014" t="str">
        <f>IF(C7014="","",UPPER(LEFT(SUBSTITUTE(C7014," ",""),3))&amp;"-"&amp;TEXT(B7014,"AAMMDD")&amp;"-1")</f>
        <v/>
      </c>
    </row>
    <row r="7015" spans="20:20">
      <c r="T7015" t="str">
        <f>IF(C7015="","",UPPER(LEFT(SUBSTITUTE(C7015," ",""),3))&amp;"-"&amp;TEXT(B7015,"AAMMDD")&amp;"-1")</f>
        <v/>
      </c>
    </row>
    <row r="7016" spans="20:20">
      <c r="T7016" t="str">
        <f>IF(C7016="","",UPPER(LEFT(SUBSTITUTE(C7016," ",""),3))&amp;"-"&amp;TEXT(B7016,"AAMMDD")&amp;"-1")</f>
        <v/>
      </c>
    </row>
    <row r="7017" spans="20:20">
      <c r="T7017" t="str">
        <f>IF(C7017="","",UPPER(LEFT(SUBSTITUTE(C7017," ",""),3))&amp;"-"&amp;TEXT(B7017,"AAMMDD")&amp;"-1")</f>
        <v/>
      </c>
    </row>
    <row r="7018" spans="20:20">
      <c r="T7018" t="str">
        <f>IF(C7018="","",UPPER(LEFT(SUBSTITUTE(C7018," ",""),3))&amp;"-"&amp;TEXT(B7018,"AAMMDD")&amp;"-1")</f>
        <v/>
      </c>
    </row>
    <row r="7019" spans="20:20">
      <c r="T7019" t="str">
        <f>IF(C7019="","",UPPER(LEFT(SUBSTITUTE(C7019," ",""),3))&amp;"-"&amp;TEXT(B7019,"AAMMDD")&amp;"-1")</f>
        <v/>
      </c>
    </row>
    <row r="7020" spans="20:20">
      <c r="T7020" t="str">
        <f>IF(C7020="","",UPPER(LEFT(SUBSTITUTE(C7020," ",""),3))&amp;"-"&amp;TEXT(B7020,"AAMMDD")&amp;"-1")</f>
        <v/>
      </c>
    </row>
    <row r="7021" spans="20:20">
      <c r="T7021" t="str">
        <f>IF(C7021="","",UPPER(LEFT(SUBSTITUTE(C7021," ",""),3))&amp;"-"&amp;TEXT(B7021,"AAMMDD")&amp;"-1")</f>
        <v/>
      </c>
    </row>
    <row r="7022" spans="20:20">
      <c r="T7022" t="str">
        <f>IF(C7022="","",UPPER(LEFT(SUBSTITUTE(C7022," ",""),3))&amp;"-"&amp;TEXT(B7022,"AAMMDD")&amp;"-1")</f>
        <v/>
      </c>
    </row>
    <row r="7023" spans="20:20">
      <c r="T7023" t="str">
        <f>IF(C7023="","",UPPER(LEFT(SUBSTITUTE(C7023," ",""),3))&amp;"-"&amp;TEXT(B7023,"AAMMDD")&amp;"-1")</f>
        <v/>
      </c>
    </row>
    <row r="7024" spans="20:20">
      <c r="T7024" t="str">
        <f>IF(C7024="","",UPPER(LEFT(SUBSTITUTE(C7024," ",""),3))&amp;"-"&amp;TEXT(B7024,"AAMMDD")&amp;"-1")</f>
        <v/>
      </c>
    </row>
    <row r="7025" spans="20:20">
      <c r="T7025" t="str">
        <f>IF(C7025="","",UPPER(LEFT(SUBSTITUTE(C7025," ",""),3))&amp;"-"&amp;TEXT(B7025,"AAMMDD")&amp;"-1")</f>
        <v/>
      </c>
    </row>
    <row r="7026" spans="20:20">
      <c r="T7026" t="str">
        <f>IF(C7026="","",UPPER(LEFT(SUBSTITUTE(C7026," ",""),3))&amp;"-"&amp;TEXT(B7026,"AAMMDD")&amp;"-1")</f>
        <v/>
      </c>
    </row>
    <row r="7027" spans="20:20">
      <c r="T7027" t="str">
        <f>IF(C7027="","",UPPER(LEFT(SUBSTITUTE(C7027," ",""),3))&amp;"-"&amp;TEXT(B7027,"AAMMDD")&amp;"-1")</f>
        <v/>
      </c>
    </row>
    <row r="7028" spans="20:20">
      <c r="T7028" t="str">
        <f>IF(C7028="","",UPPER(LEFT(SUBSTITUTE(C7028," ",""),3))&amp;"-"&amp;TEXT(B7028,"AAMMDD")&amp;"-1")</f>
        <v/>
      </c>
    </row>
    <row r="7029" spans="20:20">
      <c r="T7029" t="str">
        <f>IF(C7029="","",UPPER(LEFT(SUBSTITUTE(C7029," ",""),3))&amp;"-"&amp;TEXT(B7029,"AAMMDD")&amp;"-1")</f>
        <v/>
      </c>
    </row>
    <row r="7030" spans="20:20">
      <c r="T7030" t="str">
        <f>IF(C7030="","",UPPER(LEFT(SUBSTITUTE(C7030," ",""),3))&amp;"-"&amp;TEXT(B7030,"AAMMDD")&amp;"-1")</f>
        <v/>
      </c>
    </row>
    <row r="7031" spans="20:20">
      <c r="T7031" t="str">
        <f>IF(C7031="","",UPPER(LEFT(SUBSTITUTE(C7031," ",""),3))&amp;"-"&amp;TEXT(B7031,"AAMMDD")&amp;"-1")</f>
        <v/>
      </c>
    </row>
    <row r="7032" spans="20:20">
      <c r="T7032" t="str">
        <f>IF(C7032="","",UPPER(LEFT(SUBSTITUTE(C7032," ",""),3))&amp;"-"&amp;TEXT(B7032,"AAMMDD")&amp;"-1")</f>
        <v/>
      </c>
    </row>
    <row r="7033" spans="20:20">
      <c r="T7033" t="str">
        <f>IF(C7033="","",UPPER(LEFT(SUBSTITUTE(C7033," ",""),3))&amp;"-"&amp;TEXT(B7033,"AAMMDD")&amp;"-1")</f>
        <v/>
      </c>
    </row>
    <row r="7034" spans="20:20">
      <c r="T7034" t="str">
        <f>IF(C7034="","",UPPER(LEFT(SUBSTITUTE(C7034," ",""),3))&amp;"-"&amp;TEXT(B7034,"AAMMDD")&amp;"-1")</f>
        <v/>
      </c>
    </row>
    <row r="7035" spans="20:20">
      <c r="T7035" t="str">
        <f>IF(C7035="","",UPPER(LEFT(SUBSTITUTE(C7035," ",""),3))&amp;"-"&amp;TEXT(B7035,"AAMMDD")&amp;"-1")</f>
        <v/>
      </c>
    </row>
    <row r="7036" spans="20:20">
      <c r="T7036" t="str">
        <f>IF(C7036="","",UPPER(LEFT(SUBSTITUTE(C7036," ",""),3))&amp;"-"&amp;TEXT(B7036,"AAMMDD")&amp;"-1")</f>
        <v/>
      </c>
    </row>
    <row r="7037" spans="20:20">
      <c r="T7037" t="str">
        <f>IF(C7037="","",UPPER(LEFT(SUBSTITUTE(C7037," ",""),3))&amp;"-"&amp;TEXT(B7037,"AAMMDD")&amp;"-1")</f>
        <v/>
      </c>
    </row>
    <row r="7038" spans="20:20">
      <c r="T7038" t="str">
        <f>IF(C7038="","",UPPER(LEFT(SUBSTITUTE(C7038," ",""),3))&amp;"-"&amp;TEXT(B7038,"AAMMDD")&amp;"-1")</f>
        <v/>
      </c>
    </row>
    <row r="7039" spans="20:20">
      <c r="T7039" t="str">
        <f>IF(C7039="","",UPPER(LEFT(SUBSTITUTE(C7039," ",""),3))&amp;"-"&amp;TEXT(B7039,"AAMMDD")&amp;"-1")</f>
        <v/>
      </c>
    </row>
    <row r="7040" spans="20:20">
      <c r="T7040" t="str">
        <f>IF(C7040="","",UPPER(LEFT(SUBSTITUTE(C7040," ",""),3))&amp;"-"&amp;TEXT(B7040,"AAMMDD")&amp;"-1")</f>
        <v/>
      </c>
    </row>
    <row r="7041" spans="20:20">
      <c r="T7041" t="str">
        <f>IF(C7041="","",UPPER(LEFT(SUBSTITUTE(C7041," ",""),3))&amp;"-"&amp;TEXT(B7041,"AAMMDD")&amp;"-1")</f>
        <v/>
      </c>
    </row>
    <row r="7042" spans="20:20">
      <c r="T7042" t="str">
        <f>IF(C7042="","",UPPER(LEFT(SUBSTITUTE(C7042," ",""),3))&amp;"-"&amp;TEXT(B7042,"AAMMDD")&amp;"-1")</f>
        <v/>
      </c>
    </row>
    <row r="7043" spans="20:20">
      <c r="T7043" t="str">
        <f>IF(C7043="","",UPPER(LEFT(SUBSTITUTE(C7043," ",""),3))&amp;"-"&amp;TEXT(B7043,"AAMMDD")&amp;"-1")</f>
        <v/>
      </c>
    </row>
    <row r="7044" spans="20:20">
      <c r="T7044" t="str">
        <f>IF(C7044="","",UPPER(LEFT(SUBSTITUTE(C7044," ",""),3))&amp;"-"&amp;TEXT(B7044,"AAMMDD")&amp;"-1")</f>
        <v/>
      </c>
    </row>
    <row r="7045" spans="20:20">
      <c r="T7045" t="str">
        <f>IF(C7045="","",UPPER(LEFT(SUBSTITUTE(C7045," ",""),3))&amp;"-"&amp;TEXT(B7045,"AAMMDD")&amp;"-1")</f>
        <v/>
      </c>
    </row>
    <row r="7046" spans="20:20">
      <c r="T7046" t="str">
        <f>IF(C7046="","",UPPER(LEFT(SUBSTITUTE(C7046," ",""),3))&amp;"-"&amp;TEXT(B7046,"AAMMDD")&amp;"-1")</f>
        <v/>
      </c>
    </row>
    <row r="7047" spans="20:20">
      <c r="T7047" t="str">
        <f>IF(C7047="","",UPPER(LEFT(SUBSTITUTE(C7047," ",""),3))&amp;"-"&amp;TEXT(B7047,"AAMMDD")&amp;"-1")</f>
        <v/>
      </c>
    </row>
    <row r="7048" spans="20:20">
      <c r="T7048" t="str">
        <f>IF(C7048="","",UPPER(LEFT(SUBSTITUTE(C7048," ",""),3))&amp;"-"&amp;TEXT(B7048,"AAMMDD")&amp;"-1")</f>
        <v/>
      </c>
    </row>
    <row r="7049" spans="20:20">
      <c r="T7049" t="str">
        <f>IF(C7049="","",UPPER(LEFT(SUBSTITUTE(C7049," ",""),3))&amp;"-"&amp;TEXT(B7049,"AAMMDD")&amp;"-1")</f>
        <v/>
      </c>
    </row>
    <row r="7050" spans="20:20">
      <c r="T7050" t="str">
        <f>IF(C7050="","",UPPER(LEFT(SUBSTITUTE(C7050," ",""),3))&amp;"-"&amp;TEXT(B7050,"AAMMDD")&amp;"-1")</f>
        <v/>
      </c>
    </row>
    <row r="7051" spans="20:20">
      <c r="T7051" t="str">
        <f>IF(C7051="","",UPPER(LEFT(SUBSTITUTE(C7051," ",""),3))&amp;"-"&amp;TEXT(B7051,"AAMMDD")&amp;"-1")</f>
        <v/>
      </c>
    </row>
    <row r="7052" spans="20:20">
      <c r="T7052" t="str">
        <f>IF(C7052="","",UPPER(LEFT(SUBSTITUTE(C7052," ",""),3))&amp;"-"&amp;TEXT(B7052,"AAMMDD")&amp;"-1")</f>
        <v/>
      </c>
    </row>
    <row r="7053" spans="20:20">
      <c r="T7053" t="str">
        <f>IF(C7053="","",UPPER(LEFT(SUBSTITUTE(C7053," ",""),3))&amp;"-"&amp;TEXT(B7053,"AAMMDD")&amp;"-1")</f>
        <v/>
      </c>
    </row>
    <row r="7054" spans="20:20">
      <c r="T7054" t="str">
        <f>IF(C7054="","",UPPER(LEFT(SUBSTITUTE(C7054," ",""),3))&amp;"-"&amp;TEXT(B7054,"AAMMDD")&amp;"-1")</f>
        <v/>
      </c>
    </row>
    <row r="7055" spans="20:20">
      <c r="T7055" t="str">
        <f>IF(C7055="","",UPPER(LEFT(SUBSTITUTE(C7055," ",""),3))&amp;"-"&amp;TEXT(B7055,"AAMMDD")&amp;"-1")</f>
        <v/>
      </c>
    </row>
    <row r="7056" spans="20:20">
      <c r="T7056" t="str">
        <f>IF(C7056="","",UPPER(LEFT(SUBSTITUTE(C7056," ",""),3))&amp;"-"&amp;TEXT(B7056,"AAMMDD")&amp;"-1")</f>
        <v/>
      </c>
    </row>
    <row r="7057" spans="20:20">
      <c r="T7057" t="str">
        <f>IF(C7057="","",UPPER(LEFT(SUBSTITUTE(C7057," ",""),3))&amp;"-"&amp;TEXT(B7057,"AAMMDD")&amp;"-1")</f>
        <v/>
      </c>
    </row>
    <row r="7058" spans="20:20">
      <c r="T7058" t="str">
        <f>IF(C7058="","",UPPER(LEFT(SUBSTITUTE(C7058," ",""),3))&amp;"-"&amp;TEXT(B7058,"AAMMDD")&amp;"-1")</f>
        <v/>
      </c>
    </row>
    <row r="7059" spans="20:20">
      <c r="T7059" t="str">
        <f>IF(C7059="","",UPPER(LEFT(SUBSTITUTE(C7059," ",""),3))&amp;"-"&amp;TEXT(B7059,"AAMMDD")&amp;"-1")</f>
        <v/>
      </c>
    </row>
    <row r="7060" spans="20:20">
      <c r="T7060" t="str">
        <f>IF(C7060="","",UPPER(LEFT(SUBSTITUTE(C7060," ",""),3))&amp;"-"&amp;TEXT(B7060,"AAMMDD")&amp;"-1")</f>
        <v/>
      </c>
    </row>
    <row r="7061" spans="20:20">
      <c r="T7061" t="str">
        <f>IF(C7061="","",UPPER(LEFT(SUBSTITUTE(C7061," ",""),3))&amp;"-"&amp;TEXT(B7061,"AAMMDD")&amp;"-1")</f>
        <v/>
      </c>
    </row>
    <row r="7062" spans="20:20">
      <c r="T7062" t="str">
        <f>IF(C7062="","",UPPER(LEFT(SUBSTITUTE(C7062," ",""),3))&amp;"-"&amp;TEXT(B7062,"AAMMDD")&amp;"-1")</f>
        <v/>
      </c>
    </row>
    <row r="7063" spans="20:20">
      <c r="T7063" t="str">
        <f>IF(C7063="","",UPPER(LEFT(SUBSTITUTE(C7063," ",""),3))&amp;"-"&amp;TEXT(B7063,"AAMMDD")&amp;"-1")</f>
        <v/>
      </c>
    </row>
    <row r="7064" spans="20:20">
      <c r="T7064" t="str">
        <f>IF(C7064="","",UPPER(LEFT(SUBSTITUTE(C7064," ",""),3))&amp;"-"&amp;TEXT(B7064,"AAMMDD")&amp;"-1")</f>
        <v/>
      </c>
    </row>
    <row r="7065" spans="20:20">
      <c r="T7065" t="str">
        <f>IF(C7065="","",UPPER(LEFT(SUBSTITUTE(C7065," ",""),3))&amp;"-"&amp;TEXT(B7065,"AAMMDD")&amp;"-1")</f>
        <v/>
      </c>
    </row>
    <row r="7066" spans="20:20">
      <c r="T7066" t="str">
        <f>IF(C7066="","",UPPER(LEFT(SUBSTITUTE(C7066," ",""),3))&amp;"-"&amp;TEXT(B7066,"AAMMDD")&amp;"-1")</f>
        <v/>
      </c>
    </row>
    <row r="7067" spans="20:20">
      <c r="T7067" t="str">
        <f>IF(C7067="","",UPPER(LEFT(SUBSTITUTE(C7067," ",""),3))&amp;"-"&amp;TEXT(B7067,"AAMMDD")&amp;"-1")</f>
        <v/>
      </c>
    </row>
    <row r="7068" spans="20:20">
      <c r="T7068" t="str">
        <f>IF(C7068="","",UPPER(LEFT(SUBSTITUTE(C7068," ",""),3))&amp;"-"&amp;TEXT(B7068,"AAMMDD")&amp;"-1")</f>
        <v/>
      </c>
    </row>
    <row r="7069" spans="20:20">
      <c r="T7069" t="str">
        <f>IF(C7069="","",UPPER(LEFT(SUBSTITUTE(C7069," ",""),3))&amp;"-"&amp;TEXT(B7069,"AAMMDD")&amp;"-1")</f>
        <v/>
      </c>
    </row>
    <row r="7070" spans="20:20">
      <c r="T7070" t="str">
        <f>IF(C7070="","",UPPER(LEFT(SUBSTITUTE(C7070," ",""),3))&amp;"-"&amp;TEXT(B7070,"AAMMDD")&amp;"-1")</f>
        <v/>
      </c>
    </row>
    <row r="7071" spans="20:20">
      <c r="T7071" t="str">
        <f>IF(C7071="","",UPPER(LEFT(SUBSTITUTE(C7071," ",""),3))&amp;"-"&amp;TEXT(B7071,"AAMMDD")&amp;"-1")</f>
        <v/>
      </c>
    </row>
    <row r="7072" spans="20:20">
      <c r="T7072" t="str">
        <f>IF(C7072="","",UPPER(LEFT(SUBSTITUTE(C7072," ",""),3))&amp;"-"&amp;TEXT(B7072,"AAMMDD")&amp;"-1")</f>
        <v/>
      </c>
    </row>
    <row r="7073" spans="20:20">
      <c r="T7073" t="str">
        <f>IF(C7073="","",UPPER(LEFT(SUBSTITUTE(C7073," ",""),3))&amp;"-"&amp;TEXT(B7073,"AAMMDD")&amp;"-1")</f>
        <v/>
      </c>
    </row>
    <row r="7074" spans="20:20">
      <c r="T7074" t="str">
        <f>IF(C7074="","",UPPER(LEFT(SUBSTITUTE(C7074," ",""),3))&amp;"-"&amp;TEXT(B7074,"AAMMDD")&amp;"-1")</f>
        <v/>
      </c>
    </row>
    <row r="7075" spans="20:20">
      <c r="T7075" t="str">
        <f>IF(C7075="","",UPPER(LEFT(SUBSTITUTE(C7075," ",""),3))&amp;"-"&amp;TEXT(B7075,"AAMMDD")&amp;"-1")</f>
        <v/>
      </c>
    </row>
    <row r="7076" spans="20:20">
      <c r="T7076" t="str">
        <f>IF(C7076="","",UPPER(LEFT(SUBSTITUTE(C7076," ",""),3))&amp;"-"&amp;TEXT(B7076,"AAMMDD")&amp;"-1")</f>
        <v/>
      </c>
    </row>
    <row r="7077" spans="20:20">
      <c r="T7077" t="str">
        <f>IF(C7077="","",UPPER(LEFT(SUBSTITUTE(C7077," ",""),3))&amp;"-"&amp;TEXT(B7077,"AAMMDD")&amp;"-1")</f>
        <v/>
      </c>
    </row>
    <row r="7078" spans="20:20">
      <c r="T7078" t="str">
        <f>IF(C7078="","",UPPER(LEFT(SUBSTITUTE(C7078," ",""),3))&amp;"-"&amp;TEXT(B7078,"AAMMDD")&amp;"-1")</f>
        <v/>
      </c>
    </row>
    <row r="7079" spans="20:20">
      <c r="T7079" t="str">
        <f>IF(C7079="","",UPPER(LEFT(SUBSTITUTE(C7079," ",""),3))&amp;"-"&amp;TEXT(B7079,"AAMMDD")&amp;"-1")</f>
        <v/>
      </c>
    </row>
    <row r="7080" spans="20:20">
      <c r="T7080" t="str">
        <f>IF(C7080="","",UPPER(LEFT(SUBSTITUTE(C7080," ",""),3))&amp;"-"&amp;TEXT(B7080,"AAMMDD")&amp;"-1")</f>
        <v/>
      </c>
    </row>
    <row r="7081" spans="20:20">
      <c r="T7081" t="str">
        <f>IF(C7081="","",UPPER(LEFT(SUBSTITUTE(C7081," ",""),3))&amp;"-"&amp;TEXT(B7081,"AAMMDD")&amp;"-1")</f>
        <v/>
      </c>
    </row>
    <row r="7082" spans="20:20">
      <c r="T7082" t="str">
        <f>IF(C7082="","",UPPER(LEFT(SUBSTITUTE(C7082," ",""),3))&amp;"-"&amp;TEXT(B7082,"AAMMDD")&amp;"-1")</f>
        <v/>
      </c>
    </row>
    <row r="7083" spans="20:20">
      <c r="T7083" t="str">
        <f>IF(C7083="","",UPPER(LEFT(SUBSTITUTE(C7083," ",""),3))&amp;"-"&amp;TEXT(B7083,"AAMMDD")&amp;"-1")</f>
        <v/>
      </c>
    </row>
    <row r="7084" spans="20:20">
      <c r="T7084" t="str">
        <f>IF(C7084="","",UPPER(LEFT(SUBSTITUTE(C7084," ",""),3))&amp;"-"&amp;TEXT(B7084,"AAMMDD")&amp;"-1")</f>
        <v/>
      </c>
    </row>
    <row r="7085" spans="20:20">
      <c r="T7085" t="str">
        <f>IF(C7085="","",UPPER(LEFT(SUBSTITUTE(C7085," ",""),3))&amp;"-"&amp;TEXT(B7085,"AAMMDD")&amp;"-1")</f>
        <v/>
      </c>
    </row>
    <row r="7086" spans="20:20">
      <c r="T7086" t="str">
        <f>IF(C7086="","",UPPER(LEFT(SUBSTITUTE(C7086," ",""),3))&amp;"-"&amp;TEXT(B7086,"AAMMDD")&amp;"-1")</f>
        <v/>
      </c>
    </row>
    <row r="7087" spans="20:20">
      <c r="T7087" t="str">
        <f>IF(C7087="","",UPPER(LEFT(SUBSTITUTE(C7087," ",""),3))&amp;"-"&amp;TEXT(B7087,"AAMMDD")&amp;"-1")</f>
        <v/>
      </c>
    </row>
    <row r="7088" spans="20:20">
      <c r="T7088" t="str">
        <f>IF(C7088="","",UPPER(LEFT(SUBSTITUTE(C7088," ",""),3))&amp;"-"&amp;TEXT(B7088,"AAMMDD")&amp;"-1")</f>
        <v/>
      </c>
    </row>
    <row r="7089" spans="20:20">
      <c r="T7089" t="str">
        <f>IF(C7089="","",UPPER(LEFT(SUBSTITUTE(C7089," ",""),3))&amp;"-"&amp;TEXT(B7089,"AAMMDD")&amp;"-1")</f>
        <v/>
      </c>
    </row>
    <row r="7090" spans="20:20">
      <c r="T7090" t="str">
        <f>IF(C7090="","",UPPER(LEFT(SUBSTITUTE(C7090," ",""),3))&amp;"-"&amp;TEXT(B7090,"AAMMDD")&amp;"-1")</f>
        <v/>
      </c>
    </row>
    <row r="7091" spans="20:20">
      <c r="T7091" t="str">
        <f>IF(C7091="","",UPPER(LEFT(SUBSTITUTE(C7091," ",""),3))&amp;"-"&amp;TEXT(B7091,"AAMMDD")&amp;"-1")</f>
        <v/>
      </c>
    </row>
    <row r="7092" spans="20:20">
      <c r="T7092" t="str">
        <f>IF(C7092="","",UPPER(LEFT(SUBSTITUTE(C7092," ",""),3))&amp;"-"&amp;TEXT(B7092,"AAMMDD")&amp;"-1")</f>
        <v/>
      </c>
    </row>
    <row r="7093" spans="20:20">
      <c r="T7093" t="str">
        <f>IF(C7093="","",UPPER(LEFT(SUBSTITUTE(C7093," ",""),3))&amp;"-"&amp;TEXT(B7093,"AAMMDD")&amp;"-1")</f>
        <v/>
      </c>
    </row>
    <row r="7094" spans="20:20">
      <c r="T7094" t="str">
        <f>IF(C7094="","",UPPER(LEFT(SUBSTITUTE(C7094," ",""),3))&amp;"-"&amp;TEXT(B7094,"AAMMDD")&amp;"-1")</f>
        <v/>
      </c>
    </row>
    <row r="7095" spans="20:20">
      <c r="T7095" t="str">
        <f>IF(C7095="","",UPPER(LEFT(SUBSTITUTE(C7095," ",""),3))&amp;"-"&amp;TEXT(B7095,"AAMMDD")&amp;"-1")</f>
        <v/>
      </c>
    </row>
    <row r="7096" spans="20:20">
      <c r="T7096" t="str">
        <f>IF(C7096="","",UPPER(LEFT(SUBSTITUTE(C7096," ",""),3))&amp;"-"&amp;TEXT(B7096,"AAMMDD")&amp;"-1")</f>
        <v/>
      </c>
    </row>
    <row r="7097" spans="20:20">
      <c r="T7097" t="str">
        <f>IF(C7097="","",UPPER(LEFT(SUBSTITUTE(C7097," ",""),3))&amp;"-"&amp;TEXT(B7097,"AAMMDD")&amp;"-1")</f>
        <v/>
      </c>
    </row>
    <row r="7098" spans="20:20">
      <c r="T7098" t="str">
        <f>IF(C7098="","",UPPER(LEFT(SUBSTITUTE(C7098," ",""),3))&amp;"-"&amp;TEXT(B7098,"AAMMDD")&amp;"-1")</f>
        <v/>
      </c>
    </row>
    <row r="7099" spans="20:20">
      <c r="T7099" t="str">
        <f>IF(C7099="","",UPPER(LEFT(SUBSTITUTE(C7099," ",""),3))&amp;"-"&amp;TEXT(B7099,"AAMMDD")&amp;"-1")</f>
        <v/>
      </c>
    </row>
    <row r="7100" spans="20:20">
      <c r="T7100" t="str">
        <f>IF(C7100="","",UPPER(LEFT(SUBSTITUTE(C7100," ",""),3))&amp;"-"&amp;TEXT(B7100,"AAMMDD")&amp;"-1")</f>
        <v/>
      </c>
    </row>
    <row r="7101" spans="20:20">
      <c r="T7101" t="str">
        <f>IF(C7101="","",UPPER(LEFT(SUBSTITUTE(C7101," ",""),3))&amp;"-"&amp;TEXT(B7101,"AAMMDD")&amp;"-1")</f>
        <v/>
      </c>
    </row>
    <row r="7102" spans="20:20">
      <c r="T7102" t="str">
        <f>IF(C7102="","",UPPER(LEFT(SUBSTITUTE(C7102," ",""),3))&amp;"-"&amp;TEXT(B7102,"AAMMDD")&amp;"-1")</f>
        <v/>
      </c>
    </row>
    <row r="7103" spans="20:20">
      <c r="T7103" t="str">
        <f>IF(C7103="","",UPPER(LEFT(SUBSTITUTE(C7103," ",""),3))&amp;"-"&amp;TEXT(B7103,"AAMMDD")&amp;"-1")</f>
        <v/>
      </c>
    </row>
    <row r="7104" spans="20:20">
      <c r="T7104" t="str">
        <f>IF(C7104="","",UPPER(LEFT(SUBSTITUTE(C7104," ",""),3))&amp;"-"&amp;TEXT(B7104,"AAMMDD")&amp;"-1")</f>
        <v/>
      </c>
    </row>
    <row r="7105" spans="20:20">
      <c r="T7105" t="str">
        <f>IF(C7105="","",UPPER(LEFT(SUBSTITUTE(C7105," ",""),3))&amp;"-"&amp;TEXT(B7105,"AAMMDD")&amp;"-1")</f>
        <v/>
      </c>
    </row>
    <row r="7106" spans="20:20">
      <c r="T7106" t="str">
        <f>IF(C7106="","",UPPER(LEFT(SUBSTITUTE(C7106," ",""),3))&amp;"-"&amp;TEXT(B7106,"AAMMDD")&amp;"-1")</f>
        <v/>
      </c>
    </row>
    <row r="7107" spans="20:20">
      <c r="T7107" t="str">
        <f>IF(C7107="","",UPPER(LEFT(SUBSTITUTE(C7107," ",""),3))&amp;"-"&amp;TEXT(B7107,"AAMMDD")&amp;"-1")</f>
        <v/>
      </c>
    </row>
    <row r="7108" spans="20:20">
      <c r="T7108" t="str">
        <f>IF(C7108="","",UPPER(LEFT(SUBSTITUTE(C7108," ",""),3))&amp;"-"&amp;TEXT(B7108,"AAMMDD")&amp;"-1")</f>
        <v/>
      </c>
    </row>
    <row r="7109" spans="20:20">
      <c r="T7109" t="str">
        <f>IF(C7109="","",UPPER(LEFT(SUBSTITUTE(C7109," ",""),3))&amp;"-"&amp;TEXT(B7109,"AAMMDD")&amp;"-1")</f>
        <v/>
      </c>
    </row>
    <row r="7110" spans="20:20">
      <c r="T7110" t="str">
        <f>IF(C7110="","",UPPER(LEFT(SUBSTITUTE(C7110," ",""),3))&amp;"-"&amp;TEXT(B7110,"AAMMDD")&amp;"-1")</f>
        <v/>
      </c>
    </row>
    <row r="7111" spans="20:20">
      <c r="T7111" t="str">
        <f>IF(C7111="","",UPPER(LEFT(SUBSTITUTE(C7111," ",""),3))&amp;"-"&amp;TEXT(B7111,"AAMMDD")&amp;"-1")</f>
        <v/>
      </c>
    </row>
    <row r="7112" spans="20:20">
      <c r="T7112" t="str">
        <f>IF(C7112="","",UPPER(LEFT(SUBSTITUTE(C7112," ",""),3))&amp;"-"&amp;TEXT(B7112,"AAMMDD")&amp;"-1")</f>
        <v/>
      </c>
    </row>
    <row r="7113" spans="20:20">
      <c r="T7113" t="str">
        <f>IF(C7113="","",UPPER(LEFT(SUBSTITUTE(C7113," ",""),3))&amp;"-"&amp;TEXT(B7113,"AAMMDD")&amp;"-1")</f>
        <v/>
      </c>
    </row>
    <row r="7114" spans="20:20">
      <c r="T7114" t="str">
        <f>IF(C7114="","",UPPER(LEFT(SUBSTITUTE(C7114," ",""),3))&amp;"-"&amp;TEXT(B7114,"AAMMDD")&amp;"-1")</f>
        <v/>
      </c>
    </row>
    <row r="7115" spans="20:20">
      <c r="T7115" t="str">
        <f>IF(C7115="","",UPPER(LEFT(SUBSTITUTE(C7115," ",""),3))&amp;"-"&amp;TEXT(B7115,"AAMMDD")&amp;"-1")</f>
        <v/>
      </c>
    </row>
    <row r="7116" spans="20:20">
      <c r="T7116" t="str">
        <f>IF(C7116="","",UPPER(LEFT(SUBSTITUTE(C7116," ",""),3))&amp;"-"&amp;TEXT(B7116,"AAMMDD")&amp;"-1")</f>
        <v/>
      </c>
    </row>
    <row r="7117" spans="20:20">
      <c r="T7117" t="str">
        <f>IF(C7117="","",UPPER(LEFT(SUBSTITUTE(C7117," ",""),3))&amp;"-"&amp;TEXT(B7117,"AAMMDD")&amp;"-1")</f>
        <v/>
      </c>
    </row>
    <row r="7118" spans="20:20">
      <c r="T7118" t="str">
        <f>IF(C7118="","",UPPER(LEFT(SUBSTITUTE(C7118," ",""),3))&amp;"-"&amp;TEXT(B7118,"AAMMDD")&amp;"-1")</f>
        <v/>
      </c>
    </row>
    <row r="7119" spans="20:20">
      <c r="T7119" t="str">
        <f>IF(C7119="","",UPPER(LEFT(SUBSTITUTE(C7119," ",""),3))&amp;"-"&amp;TEXT(B7119,"AAMMDD")&amp;"-1")</f>
        <v/>
      </c>
    </row>
    <row r="7120" spans="20:20">
      <c r="T7120" t="str">
        <f>IF(C7120="","",UPPER(LEFT(SUBSTITUTE(C7120," ",""),3))&amp;"-"&amp;TEXT(B7120,"AAMMDD")&amp;"-1")</f>
        <v/>
      </c>
    </row>
    <row r="7121" spans="20:20">
      <c r="T7121" t="str">
        <f>IF(C7121="","",UPPER(LEFT(SUBSTITUTE(C7121," ",""),3))&amp;"-"&amp;TEXT(B7121,"AAMMDD")&amp;"-1")</f>
        <v/>
      </c>
    </row>
    <row r="7122" spans="20:20">
      <c r="T7122" t="str">
        <f>IF(C7122="","",UPPER(LEFT(SUBSTITUTE(C7122," ",""),3))&amp;"-"&amp;TEXT(B7122,"AAMMDD")&amp;"-1")</f>
        <v/>
      </c>
    </row>
    <row r="7123" spans="20:20">
      <c r="T7123" t="str">
        <f>IF(C7123="","",UPPER(LEFT(SUBSTITUTE(C7123," ",""),3))&amp;"-"&amp;TEXT(B7123,"AAMMDD")&amp;"-1")</f>
        <v/>
      </c>
    </row>
    <row r="7124" spans="20:20">
      <c r="T7124" t="str">
        <f>IF(C7124="","",UPPER(LEFT(SUBSTITUTE(C7124," ",""),3))&amp;"-"&amp;TEXT(B7124,"AAMMDD")&amp;"-1")</f>
        <v/>
      </c>
    </row>
    <row r="7125" spans="20:20">
      <c r="T7125" t="str">
        <f>IF(C7125="","",UPPER(LEFT(SUBSTITUTE(C7125," ",""),3))&amp;"-"&amp;TEXT(B7125,"AAMMDD")&amp;"-1")</f>
        <v/>
      </c>
    </row>
    <row r="7126" spans="20:20">
      <c r="T7126" t="str">
        <f>IF(C7126="","",UPPER(LEFT(SUBSTITUTE(C7126," ",""),3))&amp;"-"&amp;TEXT(B7126,"AAMMDD")&amp;"-1")</f>
        <v/>
      </c>
    </row>
    <row r="7127" spans="20:20">
      <c r="T7127" t="str">
        <f>IF(C7127="","",UPPER(LEFT(SUBSTITUTE(C7127," ",""),3))&amp;"-"&amp;TEXT(B7127,"AAMMDD")&amp;"-1")</f>
        <v/>
      </c>
    </row>
    <row r="7128" spans="20:20">
      <c r="T7128" t="str">
        <f>IF(C7128="","",UPPER(LEFT(SUBSTITUTE(C7128," ",""),3))&amp;"-"&amp;TEXT(B7128,"AAMMDD")&amp;"-1")</f>
        <v/>
      </c>
    </row>
    <row r="7129" spans="20:20">
      <c r="T7129" t="str">
        <f>IF(C7129="","",UPPER(LEFT(SUBSTITUTE(C7129," ",""),3))&amp;"-"&amp;TEXT(B7129,"AAMMDD")&amp;"-1")</f>
        <v/>
      </c>
    </row>
    <row r="7130" spans="20:20">
      <c r="T7130" t="str">
        <f>IF(C7130="","",UPPER(LEFT(SUBSTITUTE(C7130," ",""),3))&amp;"-"&amp;TEXT(B7130,"AAMMDD")&amp;"-1")</f>
        <v/>
      </c>
    </row>
    <row r="7131" spans="20:20">
      <c r="T7131" t="str">
        <f>IF(C7131="","",UPPER(LEFT(SUBSTITUTE(C7131," ",""),3))&amp;"-"&amp;TEXT(B7131,"AAMMDD")&amp;"-1")</f>
        <v/>
      </c>
    </row>
    <row r="7132" spans="20:20">
      <c r="T7132" t="str">
        <f>IF(C7132="","",UPPER(LEFT(SUBSTITUTE(C7132," ",""),3))&amp;"-"&amp;TEXT(B7132,"AAMMDD")&amp;"-1")</f>
        <v/>
      </c>
    </row>
    <row r="7133" spans="20:20">
      <c r="T7133" t="str">
        <f>IF(C7133="","",UPPER(LEFT(SUBSTITUTE(C7133," ",""),3))&amp;"-"&amp;TEXT(B7133,"AAMMDD")&amp;"-1")</f>
        <v/>
      </c>
    </row>
    <row r="7134" spans="20:20">
      <c r="T7134" t="str">
        <f>IF(C7134="","",UPPER(LEFT(SUBSTITUTE(C7134," ",""),3))&amp;"-"&amp;TEXT(B7134,"AAMMDD")&amp;"-1")</f>
        <v/>
      </c>
    </row>
    <row r="7135" spans="20:20">
      <c r="T7135" t="str">
        <f>IF(C7135="","",UPPER(LEFT(SUBSTITUTE(C7135," ",""),3))&amp;"-"&amp;TEXT(B7135,"AAMMDD")&amp;"-1")</f>
        <v/>
      </c>
    </row>
    <row r="7136" spans="20:20">
      <c r="T7136" t="str">
        <f>IF(C7136="","",UPPER(LEFT(SUBSTITUTE(C7136," ",""),3))&amp;"-"&amp;TEXT(B7136,"AAMMDD")&amp;"-1")</f>
        <v/>
      </c>
    </row>
    <row r="7137" spans="20:20">
      <c r="T7137" t="str">
        <f>IF(C7137="","",UPPER(LEFT(SUBSTITUTE(C7137," ",""),3))&amp;"-"&amp;TEXT(B7137,"AAMMDD")&amp;"-1")</f>
        <v/>
      </c>
    </row>
    <row r="7138" spans="20:20">
      <c r="T7138" t="str">
        <f>IF(C7138="","",UPPER(LEFT(SUBSTITUTE(C7138," ",""),3))&amp;"-"&amp;TEXT(B7138,"AAMMDD")&amp;"-1")</f>
        <v/>
      </c>
    </row>
    <row r="7139" spans="20:20">
      <c r="T7139" t="str">
        <f>IF(C7139="","",UPPER(LEFT(SUBSTITUTE(C7139," ",""),3))&amp;"-"&amp;TEXT(B7139,"AAMMDD")&amp;"-1")</f>
        <v/>
      </c>
    </row>
    <row r="7140" spans="20:20">
      <c r="T7140" t="str">
        <f>IF(C7140="","",UPPER(LEFT(SUBSTITUTE(C7140," ",""),3))&amp;"-"&amp;TEXT(B7140,"AAMMDD")&amp;"-1")</f>
        <v/>
      </c>
    </row>
    <row r="7141" spans="20:20">
      <c r="T7141" t="str">
        <f>IF(C7141="","",UPPER(LEFT(SUBSTITUTE(C7141," ",""),3))&amp;"-"&amp;TEXT(B7141,"AAMMDD")&amp;"-1")</f>
        <v/>
      </c>
    </row>
    <row r="7142" spans="20:20">
      <c r="T7142" t="str">
        <f>IF(C7142="","",UPPER(LEFT(SUBSTITUTE(C7142," ",""),3))&amp;"-"&amp;TEXT(B7142,"AAMMDD")&amp;"-1")</f>
        <v/>
      </c>
    </row>
    <row r="7143" spans="20:20">
      <c r="T7143" t="str">
        <f>IF(C7143="","",UPPER(LEFT(SUBSTITUTE(C7143," ",""),3))&amp;"-"&amp;TEXT(B7143,"AAMMDD")&amp;"-1")</f>
        <v/>
      </c>
    </row>
    <row r="7144" spans="20:20">
      <c r="T7144" t="str">
        <f>IF(C7144="","",UPPER(LEFT(SUBSTITUTE(C7144," ",""),3))&amp;"-"&amp;TEXT(B7144,"AAMMDD")&amp;"-1")</f>
        <v/>
      </c>
    </row>
    <row r="7145" spans="20:20">
      <c r="T7145" t="str">
        <f>IF(C7145="","",UPPER(LEFT(SUBSTITUTE(C7145," ",""),3))&amp;"-"&amp;TEXT(B7145,"AAMMDD")&amp;"-1")</f>
        <v/>
      </c>
    </row>
    <row r="7146" spans="20:20">
      <c r="T7146" t="str">
        <f>IF(C7146="","",UPPER(LEFT(SUBSTITUTE(C7146," ",""),3))&amp;"-"&amp;TEXT(B7146,"AAMMDD")&amp;"-1")</f>
        <v/>
      </c>
    </row>
    <row r="7147" spans="20:20">
      <c r="T7147" t="str">
        <f>IF(C7147="","",UPPER(LEFT(SUBSTITUTE(C7147," ",""),3))&amp;"-"&amp;TEXT(B7147,"AAMMDD")&amp;"-1")</f>
        <v/>
      </c>
    </row>
    <row r="7148" spans="20:20">
      <c r="T7148" t="str">
        <f>IF(C7148="","",UPPER(LEFT(SUBSTITUTE(C7148," ",""),3))&amp;"-"&amp;TEXT(B7148,"AAMMDD")&amp;"-1")</f>
        <v/>
      </c>
    </row>
    <row r="7149" spans="20:20">
      <c r="T7149" t="str">
        <f>IF(C7149="","",UPPER(LEFT(SUBSTITUTE(C7149," ",""),3))&amp;"-"&amp;TEXT(B7149,"AAMMDD")&amp;"-1")</f>
        <v/>
      </c>
    </row>
    <row r="7150" spans="20:20">
      <c r="T7150" t="str">
        <f>IF(C7150="","",UPPER(LEFT(SUBSTITUTE(C7150," ",""),3))&amp;"-"&amp;TEXT(B7150,"AAMMDD")&amp;"-1")</f>
        <v/>
      </c>
    </row>
    <row r="7151" spans="20:20">
      <c r="T7151" t="str">
        <f>IF(C7151="","",UPPER(LEFT(SUBSTITUTE(C7151," ",""),3))&amp;"-"&amp;TEXT(B7151,"AAMMDD")&amp;"-1")</f>
        <v/>
      </c>
    </row>
    <row r="7152" spans="20:20">
      <c r="T7152" t="str">
        <f>IF(C7152="","",UPPER(LEFT(SUBSTITUTE(C7152," ",""),3))&amp;"-"&amp;TEXT(B7152,"AAMMDD")&amp;"-1")</f>
        <v/>
      </c>
    </row>
    <row r="7153" spans="20:20">
      <c r="T7153" t="str">
        <f>IF(C7153="","",UPPER(LEFT(SUBSTITUTE(C7153," ",""),3))&amp;"-"&amp;TEXT(B7153,"AAMMDD")&amp;"-1")</f>
        <v/>
      </c>
    </row>
    <row r="7154" spans="20:20">
      <c r="T7154" t="str">
        <f>IF(C7154="","",UPPER(LEFT(SUBSTITUTE(C7154," ",""),3))&amp;"-"&amp;TEXT(B7154,"AAMMDD")&amp;"-1")</f>
        <v/>
      </c>
    </row>
    <row r="7155" spans="20:20">
      <c r="T7155" t="str">
        <f>IF(C7155="","",UPPER(LEFT(SUBSTITUTE(C7155," ",""),3))&amp;"-"&amp;TEXT(B7155,"AAMMDD")&amp;"-1")</f>
        <v/>
      </c>
    </row>
    <row r="7156" spans="20:20">
      <c r="T7156" t="str">
        <f>IF(C7156="","",UPPER(LEFT(SUBSTITUTE(C7156," ",""),3))&amp;"-"&amp;TEXT(B7156,"AAMMDD")&amp;"-1")</f>
        <v/>
      </c>
    </row>
    <row r="7157" spans="20:20">
      <c r="T7157" t="str">
        <f>IF(C7157="","",UPPER(LEFT(SUBSTITUTE(C7157," ",""),3))&amp;"-"&amp;TEXT(B7157,"AAMMDD")&amp;"-1")</f>
        <v/>
      </c>
    </row>
    <row r="7158" spans="20:20">
      <c r="T7158" t="str">
        <f>IF(C7158="","",UPPER(LEFT(SUBSTITUTE(C7158," ",""),3))&amp;"-"&amp;TEXT(B7158,"AAMMDD")&amp;"-1")</f>
        <v/>
      </c>
    </row>
    <row r="7159" spans="20:20">
      <c r="T7159" t="str">
        <f>IF(C7159="","",UPPER(LEFT(SUBSTITUTE(C7159," ",""),3))&amp;"-"&amp;TEXT(B7159,"AAMMDD")&amp;"-1")</f>
        <v/>
      </c>
    </row>
    <row r="7160" spans="20:20">
      <c r="T7160" t="str">
        <f>IF(C7160="","",UPPER(LEFT(SUBSTITUTE(C7160," ",""),3))&amp;"-"&amp;TEXT(B7160,"AAMMDD")&amp;"-1")</f>
        <v/>
      </c>
    </row>
    <row r="7161" spans="20:20">
      <c r="T7161" t="str">
        <f>IF(C7161="","",UPPER(LEFT(SUBSTITUTE(C7161," ",""),3))&amp;"-"&amp;TEXT(B7161,"AAMMDD")&amp;"-1")</f>
        <v/>
      </c>
    </row>
    <row r="7162" spans="20:20">
      <c r="T7162" t="str">
        <f>IF(C7162="","",UPPER(LEFT(SUBSTITUTE(C7162," ",""),3))&amp;"-"&amp;TEXT(B7162,"AAMMDD")&amp;"-1")</f>
        <v/>
      </c>
    </row>
    <row r="7163" spans="20:20">
      <c r="T7163" t="str">
        <f>IF(C7163="","",UPPER(LEFT(SUBSTITUTE(C7163," ",""),3))&amp;"-"&amp;TEXT(B7163,"AAMMDD")&amp;"-1")</f>
        <v/>
      </c>
    </row>
    <row r="7164" spans="20:20">
      <c r="T7164" t="str">
        <f>IF(C7164="","",UPPER(LEFT(SUBSTITUTE(C7164," ",""),3))&amp;"-"&amp;TEXT(B7164,"AAMMDD")&amp;"-1")</f>
        <v/>
      </c>
    </row>
    <row r="7165" spans="20:20">
      <c r="T7165" t="str">
        <f>IF(C7165="","",UPPER(LEFT(SUBSTITUTE(C7165," ",""),3))&amp;"-"&amp;TEXT(B7165,"AAMMDD")&amp;"-1")</f>
        <v/>
      </c>
    </row>
    <row r="7166" spans="20:20">
      <c r="T7166" t="str">
        <f>IF(C7166="","",UPPER(LEFT(SUBSTITUTE(C7166," ",""),3))&amp;"-"&amp;TEXT(B7166,"AAMMDD")&amp;"-1")</f>
        <v/>
      </c>
    </row>
    <row r="7167" spans="20:20">
      <c r="T7167" t="str">
        <f>IF(C7167="","",UPPER(LEFT(SUBSTITUTE(C7167," ",""),3))&amp;"-"&amp;TEXT(B7167,"AAMMDD")&amp;"-1")</f>
        <v/>
      </c>
    </row>
    <row r="7168" spans="20:20">
      <c r="T7168" t="str">
        <f>IF(C7168="","",UPPER(LEFT(SUBSTITUTE(C7168," ",""),3))&amp;"-"&amp;TEXT(B7168,"AAMMDD")&amp;"-1")</f>
        <v/>
      </c>
    </row>
    <row r="7169" spans="20:20">
      <c r="T7169" t="str">
        <f>IF(C7169="","",UPPER(LEFT(SUBSTITUTE(C7169," ",""),3))&amp;"-"&amp;TEXT(B7169,"AAMMDD")&amp;"-1")</f>
        <v/>
      </c>
    </row>
    <row r="7170" spans="20:20">
      <c r="T7170" t="str">
        <f>IF(C7170="","",UPPER(LEFT(SUBSTITUTE(C7170," ",""),3))&amp;"-"&amp;TEXT(B7170,"AAMMDD")&amp;"-1")</f>
        <v/>
      </c>
    </row>
    <row r="7171" spans="20:20">
      <c r="T7171" t="str">
        <f>IF(C7171="","",UPPER(LEFT(SUBSTITUTE(C7171," ",""),3))&amp;"-"&amp;TEXT(B7171,"AAMMDD")&amp;"-1")</f>
        <v/>
      </c>
    </row>
    <row r="7172" spans="20:20">
      <c r="T7172" t="str">
        <f>IF(C7172="","",UPPER(LEFT(SUBSTITUTE(C7172," ",""),3))&amp;"-"&amp;TEXT(B7172,"AAMMDD")&amp;"-1")</f>
        <v/>
      </c>
    </row>
    <row r="7173" spans="20:20">
      <c r="T7173" t="str">
        <f>IF(C7173="","",UPPER(LEFT(SUBSTITUTE(C7173," ",""),3))&amp;"-"&amp;TEXT(B7173,"AAMMDD")&amp;"-1")</f>
        <v/>
      </c>
    </row>
    <row r="7174" spans="20:20">
      <c r="T7174" t="str">
        <f>IF(C7174="","",UPPER(LEFT(SUBSTITUTE(C7174," ",""),3))&amp;"-"&amp;TEXT(B7174,"AAMMDD")&amp;"-1")</f>
        <v/>
      </c>
    </row>
    <row r="7175" spans="20:20">
      <c r="T7175" t="str">
        <f>IF(C7175="","",UPPER(LEFT(SUBSTITUTE(C7175," ",""),3))&amp;"-"&amp;TEXT(B7175,"AAMMDD")&amp;"-1")</f>
        <v/>
      </c>
    </row>
    <row r="7176" spans="20:20">
      <c r="T7176" t="str">
        <f>IF(C7176="","",UPPER(LEFT(SUBSTITUTE(C7176," ",""),3))&amp;"-"&amp;TEXT(B7176,"AAMMDD")&amp;"-1")</f>
        <v/>
      </c>
    </row>
    <row r="7177" spans="20:20">
      <c r="T7177" t="str">
        <f>IF(C7177="","",UPPER(LEFT(SUBSTITUTE(C7177," ",""),3))&amp;"-"&amp;TEXT(B7177,"AAMMDD")&amp;"-1")</f>
        <v/>
      </c>
    </row>
    <row r="7178" spans="20:20">
      <c r="T7178" t="str">
        <f>IF(C7178="","",UPPER(LEFT(SUBSTITUTE(C7178," ",""),3))&amp;"-"&amp;TEXT(B7178,"AAMMDD")&amp;"-1")</f>
        <v/>
      </c>
    </row>
    <row r="7179" spans="20:20">
      <c r="T7179" t="str">
        <f>IF(C7179="","",UPPER(LEFT(SUBSTITUTE(C7179," ",""),3))&amp;"-"&amp;TEXT(B7179,"AAMMDD")&amp;"-1")</f>
        <v/>
      </c>
    </row>
    <row r="7180" spans="20:20">
      <c r="T7180" t="str">
        <f>IF(C7180="","",UPPER(LEFT(SUBSTITUTE(C7180," ",""),3))&amp;"-"&amp;TEXT(B7180,"AAMMDD")&amp;"-1")</f>
        <v/>
      </c>
    </row>
    <row r="7181" spans="20:20">
      <c r="T7181" t="str">
        <f>IF(C7181="","",UPPER(LEFT(SUBSTITUTE(C7181," ",""),3))&amp;"-"&amp;TEXT(B7181,"AAMMDD")&amp;"-1")</f>
        <v/>
      </c>
    </row>
    <row r="7182" spans="20:20">
      <c r="T7182" t="str">
        <f>IF(C7182="","",UPPER(LEFT(SUBSTITUTE(C7182," ",""),3))&amp;"-"&amp;TEXT(B7182,"AAMMDD")&amp;"-1")</f>
        <v/>
      </c>
    </row>
    <row r="7183" spans="20:20">
      <c r="T7183" t="str">
        <f>IF(C7183="","",UPPER(LEFT(SUBSTITUTE(C7183," ",""),3))&amp;"-"&amp;TEXT(B7183,"AAMMDD")&amp;"-1")</f>
        <v/>
      </c>
    </row>
    <row r="7184" spans="20:20">
      <c r="T7184" t="str">
        <f>IF(C7184="","",UPPER(LEFT(SUBSTITUTE(C7184," ",""),3))&amp;"-"&amp;TEXT(B7184,"AAMMDD")&amp;"-1")</f>
        <v/>
      </c>
    </row>
    <row r="7185" spans="20:20">
      <c r="T7185" t="str">
        <f>IF(C7185="","",UPPER(LEFT(SUBSTITUTE(C7185," ",""),3))&amp;"-"&amp;TEXT(B7185,"AAMMDD")&amp;"-1")</f>
        <v/>
      </c>
    </row>
    <row r="7186" spans="20:20">
      <c r="T7186" t="str">
        <f>IF(C7186="","",UPPER(LEFT(SUBSTITUTE(C7186," ",""),3))&amp;"-"&amp;TEXT(B7186,"AAMMDD")&amp;"-1")</f>
        <v/>
      </c>
    </row>
    <row r="7187" spans="20:20">
      <c r="T7187" t="str">
        <f>IF(C7187="","",UPPER(LEFT(SUBSTITUTE(C7187," ",""),3))&amp;"-"&amp;TEXT(B7187,"AAMMDD")&amp;"-1")</f>
        <v/>
      </c>
    </row>
    <row r="7188" spans="20:20">
      <c r="T7188" t="str">
        <f>IF(C7188="","",UPPER(LEFT(SUBSTITUTE(C7188," ",""),3))&amp;"-"&amp;TEXT(B7188,"AAMMDD")&amp;"-1")</f>
        <v/>
      </c>
    </row>
    <row r="7189" spans="20:20">
      <c r="T7189" t="str">
        <f>IF(C7189="","",UPPER(LEFT(SUBSTITUTE(C7189," ",""),3))&amp;"-"&amp;TEXT(B7189,"AAMMDD")&amp;"-1")</f>
        <v/>
      </c>
    </row>
    <row r="7190" spans="20:20">
      <c r="T7190" t="str">
        <f>IF(C7190="","",UPPER(LEFT(SUBSTITUTE(C7190," ",""),3))&amp;"-"&amp;TEXT(B7190,"AAMMDD")&amp;"-1")</f>
        <v/>
      </c>
    </row>
    <row r="7191" spans="20:20">
      <c r="T7191" t="str">
        <f>IF(C7191="","",UPPER(LEFT(SUBSTITUTE(C7191," ",""),3))&amp;"-"&amp;TEXT(B7191,"AAMMDD")&amp;"-1")</f>
        <v/>
      </c>
    </row>
    <row r="7192" spans="20:20">
      <c r="T7192" t="str">
        <f>IF(C7192="","",UPPER(LEFT(SUBSTITUTE(C7192," ",""),3))&amp;"-"&amp;TEXT(B7192,"AAMMDD")&amp;"-1")</f>
        <v/>
      </c>
    </row>
    <row r="7193" spans="20:20">
      <c r="T7193" t="str">
        <f>IF(C7193="","",UPPER(LEFT(SUBSTITUTE(C7193," ",""),3))&amp;"-"&amp;TEXT(B7193,"AAMMDD")&amp;"-1")</f>
        <v/>
      </c>
    </row>
    <row r="7194" spans="20:20">
      <c r="T7194" t="str">
        <f>IF(C7194="","",UPPER(LEFT(SUBSTITUTE(C7194," ",""),3))&amp;"-"&amp;TEXT(B7194,"AAMMDD")&amp;"-1")</f>
        <v/>
      </c>
    </row>
    <row r="7195" spans="20:20">
      <c r="T7195" t="str">
        <f>IF(C7195="","",UPPER(LEFT(SUBSTITUTE(C7195," ",""),3))&amp;"-"&amp;TEXT(B7195,"AAMMDD")&amp;"-1")</f>
        <v/>
      </c>
    </row>
    <row r="7196" spans="20:20">
      <c r="T7196" t="str">
        <f>IF(C7196="","",UPPER(LEFT(SUBSTITUTE(C7196," ",""),3))&amp;"-"&amp;TEXT(B7196,"AAMMDD")&amp;"-1")</f>
        <v/>
      </c>
    </row>
    <row r="7197" spans="20:20">
      <c r="T7197" t="str">
        <f>IF(C7197="","",UPPER(LEFT(SUBSTITUTE(C7197," ",""),3))&amp;"-"&amp;TEXT(B7197,"AAMMDD")&amp;"-1")</f>
        <v/>
      </c>
    </row>
    <row r="7198" spans="20:20">
      <c r="T7198" t="str">
        <f>IF(C7198="","",UPPER(LEFT(SUBSTITUTE(C7198," ",""),3))&amp;"-"&amp;TEXT(B7198,"AAMMDD")&amp;"-1")</f>
        <v/>
      </c>
    </row>
    <row r="7199" spans="20:20">
      <c r="T7199" t="str">
        <f>IF(C7199="","",UPPER(LEFT(SUBSTITUTE(C7199," ",""),3))&amp;"-"&amp;TEXT(B7199,"AAMMDD")&amp;"-1")</f>
        <v/>
      </c>
    </row>
    <row r="7200" spans="20:20">
      <c r="T7200" t="str">
        <f>IF(C7200="","",UPPER(LEFT(SUBSTITUTE(C7200," ",""),3))&amp;"-"&amp;TEXT(B7200,"AAMMDD")&amp;"-1")</f>
        <v/>
      </c>
    </row>
    <row r="7201" spans="20:20">
      <c r="T7201" t="str">
        <f>IF(C7201="","",UPPER(LEFT(SUBSTITUTE(C7201," ",""),3))&amp;"-"&amp;TEXT(B7201,"AAMMDD")&amp;"-1")</f>
        <v/>
      </c>
    </row>
    <row r="7202" spans="20:20">
      <c r="T7202" t="str">
        <f>IF(C7202="","",UPPER(LEFT(SUBSTITUTE(C7202," ",""),3))&amp;"-"&amp;TEXT(B7202,"AAMMDD")&amp;"-1")</f>
        <v/>
      </c>
    </row>
    <row r="7203" spans="20:20">
      <c r="T7203" t="str">
        <f>IF(C7203="","",UPPER(LEFT(SUBSTITUTE(C7203," ",""),3))&amp;"-"&amp;TEXT(B7203,"AAMMDD")&amp;"-1")</f>
        <v/>
      </c>
    </row>
    <row r="7204" spans="20:20">
      <c r="T7204" t="str">
        <f>IF(C7204="","",UPPER(LEFT(SUBSTITUTE(C7204," ",""),3))&amp;"-"&amp;TEXT(B7204,"AAMMDD")&amp;"-1")</f>
        <v/>
      </c>
    </row>
    <row r="7205" spans="20:20">
      <c r="T7205" t="str">
        <f>IF(C7205="","",UPPER(LEFT(SUBSTITUTE(C7205," ",""),3))&amp;"-"&amp;TEXT(B7205,"AAMMDD")&amp;"-1")</f>
        <v/>
      </c>
    </row>
    <row r="7206" spans="20:20">
      <c r="T7206" t="str">
        <f>IF(C7206="","",UPPER(LEFT(SUBSTITUTE(C7206," ",""),3))&amp;"-"&amp;TEXT(B7206,"AAMMDD")&amp;"-1")</f>
        <v/>
      </c>
    </row>
    <row r="7207" spans="20:20">
      <c r="T7207" t="str">
        <f>IF(C7207="","",UPPER(LEFT(SUBSTITUTE(C7207," ",""),3))&amp;"-"&amp;TEXT(B7207,"AAMMDD")&amp;"-1")</f>
        <v/>
      </c>
    </row>
    <row r="7208" spans="20:20">
      <c r="T7208" t="str">
        <f>IF(C7208="","",UPPER(LEFT(SUBSTITUTE(C7208," ",""),3))&amp;"-"&amp;TEXT(B7208,"AAMMDD")&amp;"-1")</f>
        <v/>
      </c>
    </row>
    <row r="7209" spans="20:20">
      <c r="T7209" t="str">
        <f>IF(C7209="","",UPPER(LEFT(SUBSTITUTE(C7209," ",""),3))&amp;"-"&amp;TEXT(B7209,"AAMMDD")&amp;"-1")</f>
        <v/>
      </c>
    </row>
    <row r="7210" spans="20:20">
      <c r="T7210" t="str">
        <f>IF(C7210="","",UPPER(LEFT(SUBSTITUTE(C7210," ",""),3))&amp;"-"&amp;TEXT(B7210,"AAMMDD")&amp;"-1")</f>
        <v/>
      </c>
    </row>
    <row r="7211" spans="20:20">
      <c r="T7211" t="str">
        <f>IF(C7211="","",UPPER(LEFT(SUBSTITUTE(C7211," ",""),3))&amp;"-"&amp;TEXT(B7211,"AAMMDD")&amp;"-1")</f>
        <v/>
      </c>
    </row>
    <row r="7212" spans="20:20">
      <c r="T7212" t="str">
        <f>IF(C7212="","",UPPER(LEFT(SUBSTITUTE(C7212," ",""),3))&amp;"-"&amp;TEXT(B7212,"AAMMDD")&amp;"-1")</f>
        <v/>
      </c>
    </row>
    <row r="7213" spans="20:20">
      <c r="T7213" t="str">
        <f>IF(C7213="","",UPPER(LEFT(SUBSTITUTE(C7213," ",""),3))&amp;"-"&amp;TEXT(B7213,"AAMMDD")&amp;"-1")</f>
        <v/>
      </c>
    </row>
    <row r="7214" spans="20:20">
      <c r="T7214" t="str">
        <f>IF(C7214="","",UPPER(LEFT(SUBSTITUTE(C7214," ",""),3))&amp;"-"&amp;TEXT(B7214,"AAMMDD")&amp;"-1")</f>
        <v/>
      </c>
    </row>
    <row r="7215" spans="20:20">
      <c r="T7215" t="str">
        <f>IF(C7215="","",UPPER(LEFT(SUBSTITUTE(C7215," ",""),3))&amp;"-"&amp;TEXT(B7215,"AAMMDD")&amp;"-1")</f>
        <v/>
      </c>
    </row>
    <row r="7216" spans="20:20">
      <c r="T7216" t="str">
        <f>IF(C7216="","",UPPER(LEFT(SUBSTITUTE(C7216," ",""),3))&amp;"-"&amp;TEXT(B7216,"AAMMDD")&amp;"-1")</f>
        <v/>
      </c>
    </row>
    <row r="7217" spans="20:20">
      <c r="T7217" t="str">
        <f>IF(C7217="","",UPPER(LEFT(SUBSTITUTE(C7217," ",""),3))&amp;"-"&amp;TEXT(B7217,"AAMMDD")&amp;"-1")</f>
        <v/>
      </c>
    </row>
    <row r="7218" spans="20:20">
      <c r="T7218" t="str">
        <f>IF(C7218="","",UPPER(LEFT(SUBSTITUTE(C7218," ",""),3))&amp;"-"&amp;TEXT(B7218,"AAMMDD")&amp;"-1")</f>
        <v/>
      </c>
    </row>
    <row r="7219" spans="20:20">
      <c r="T7219" t="str">
        <f>IF(C7219="","",UPPER(LEFT(SUBSTITUTE(C7219," ",""),3))&amp;"-"&amp;TEXT(B7219,"AAMMDD")&amp;"-1")</f>
        <v/>
      </c>
    </row>
    <row r="7220" spans="20:20">
      <c r="T7220" t="str">
        <f>IF(C7220="","",UPPER(LEFT(SUBSTITUTE(C7220," ",""),3))&amp;"-"&amp;TEXT(B7220,"AAMMDD")&amp;"-1")</f>
        <v/>
      </c>
    </row>
    <row r="7221" spans="20:20">
      <c r="T7221" t="str">
        <f>IF(C7221="","",UPPER(LEFT(SUBSTITUTE(C7221," ",""),3))&amp;"-"&amp;TEXT(B7221,"AAMMDD")&amp;"-1")</f>
        <v/>
      </c>
    </row>
    <row r="7222" spans="20:20">
      <c r="T7222" t="str">
        <f>IF(C7222="","",UPPER(LEFT(SUBSTITUTE(C7222," ",""),3))&amp;"-"&amp;TEXT(B7222,"AAMMDD")&amp;"-1")</f>
        <v/>
      </c>
    </row>
    <row r="7223" spans="20:20">
      <c r="T7223" t="str">
        <f>IF(C7223="","",UPPER(LEFT(SUBSTITUTE(C7223," ",""),3))&amp;"-"&amp;TEXT(B7223,"AAMMDD")&amp;"-1")</f>
        <v/>
      </c>
    </row>
    <row r="7224" spans="20:20">
      <c r="T7224" t="str">
        <f>IF(C7224="","",UPPER(LEFT(SUBSTITUTE(C7224," ",""),3))&amp;"-"&amp;TEXT(B7224,"AAMMDD")&amp;"-1")</f>
        <v/>
      </c>
    </row>
    <row r="7225" spans="20:20">
      <c r="T7225" t="str">
        <f>IF(C7225="","",UPPER(LEFT(SUBSTITUTE(C7225," ",""),3))&amp;"-"&amp;TEXT(B7225,"AAMMDD")&amp;"-1")</f>
        <v/>
      </c>
    </row>
    <row r="7226" spans="20:20">
      <c r="T7226" t="str">
        <f>IF(C7226="","",UPPER(LEFT(SUBSTITUTE(C7226," ",""),3))&amp;"-"&amp;TEXT(B7226,"AAMMDD")&amp;"-1")</f>
        <v/>
      </c>
    </row>
    <row r="7227" spans="20:20">
      <c r="T7227" t="str">
        <f>IF(C7227="","",UPPER(LEFT(SUBSTITUTE(C7227," ",""),3))&amp;"-"&amp;TEXT(B7227,"AAMMDD")&amp;"-1")</f>
        <v/>
      </c>
    </row>
    <row r="7228" spans="20:20">
      <c r="T7228" t="str">
        <f>IF(C7228="","",UPPER(LEFT(SUBSTITUTE(C7228," ",""),3))&amp;"-"&amp;TEXT(B7228,"AAMMDD")&amp;"-1")</f>
        <v/>
      </c>
    </row>
    <row r="7229" spans="20:20">
      <c r="T7229" t="str">
        <f>IF(C7229="","",UPPER(LEFT(SUBSTITUTE(C7229," ",""),3))&amp;"-"&amp;TEXT(B7229,"AAMMDD")&amp;"-1")</f>
        <v/>
      </c>
    </row>
    <row r="7230" spans="20:20">
      <c r="T7230" t="str">
        <f>IF(C7230="","",UPPER(LEFT(SUBSTITUTE(C7230," ",""),3))&amp;"-"&amp;TEXT(B7230,"AAMMDD")&amp;"-1")</f>
        <v/>
      </c>
    </row>
    <row r="7231" spans="20:20">
      <c r="T7231" t="str">
        <f>IF(C7231="","",UPPER(LEFT(SUBSTITUTE(C7231," ",""),3))&amp;"-"&amp;TEXT(B7231,"AAMMDD")&amp;"-1")</f>
        <v/>
      </c>
    </row>
    <row r="7232" spans="20:20">
      <c r="T7232" t="str">
        <f>IF(C7232="","",UPPER(LEFT(SUBSTITUTE(C7232," ",""),3))&amp;"-"&amp;TEXT(B7232,"AAMMDD")&amp;"-1")</f>
        <v/>
      </c>
    </row>
    <row r="7233" spans="20:20">
      <c r="T7233" t="str">
        <f>IF(C7233="","",UPPER(LEFT(SUBSTITUTE(C7233," ",""),3))&amp;"-"&amp;TEXT(B7233,"AAMMDD")&amp;"-1")</f>
        <v/>
      </c>
    </row>
    <row r="7234" spans="20:20">
      <c r="T7234" t="str">
        <f>IF(C7234="","",UPPER(LEFT(SUBSTITUTE(C7234," ",""),3))&amp;"-"&amp;TEXT(B7234,"AAMMDD")&amp;"-1")</f>
        <v/>
      </c>
    </row>
    <row r="7235" spans="20:20">
      <c r="T7235" t="str">
        <f>IF(C7235="","",UPPER(LEFT(SUBSTITUTE(C7235," ",""),3))&amp;"-"&amp;TEXT(B7235,"AAMMDD")&amp;"-1")</f>
        <v/>
      </c>
    </row>
    <row r="7236" spans="20:20">
      <c r="T7236" t="str">
        <f>IF(C7236="","",UPPER(LEFT(SUBSTITUTE(C7236," ",""),3))&amp;"-"&amp;TEXT(B7236,"AAMMDD")&amp;"-1")</f>
        <v/>
      </c>
    </row>
    <row r="7237" spans="20:20">
      <c r="T7237" t="str">
        <f>IF(C7237="","",UPPER(LEFT(SUBSTITUTE(C7237," ",""),3))&amp;"-"&amp;TEXT(B7237,"AAMMDD")&amp;"-1")</f>
        <v/>
      </c>
    </row>
    <row r="7238" spans="20:20">
      <c r="T7238" t="str">
        <f>IF(C7238="","",UPPER(LEFT(SUBSTITUTE(C7238," ",""),3))&amp;"-"&amp;TEXT(B7238,"AAMMDD")&amp;"-1")</f>
        <v/>
      </c>
    </row>
    <row r="7239" spans="20:20">
      <c r="T7239" t="str">
        <f>IF(C7239="","",UPPER(LEFT(SUBSTITUTE(C7239," ",""),3))&amp;"-"&amp;TEXT(B7239,"AAMMDD")&amp;"-1")</f>
        <v/>
      </c>
    </row>
    <row r="7240" spans="20:20">
      <c r="T7240" t="str">
        <f>IF(C7240="","",UPPER(LEFT(SUBSTITUTE(C7240," ",""),3))&amp;"-"&amp;TEXT(B7240,"AAMMDD")&amp;"-1")</f>
        <v/>
      </c>
    </row>
    <row r="7241" spans="20:20">
      <c r="T7241" t="str">
        <f>IF(C7241="","",UPPER(LEFT(SUBSTITUTE(C7241," ",""),3))&amp;"-"&amp;TEXT(B7241,"AAMMDD")&amp;"-1")</f>
        <v/>
      </c>
    </row>
    <row r="7242" spans="20:20">
      <c r="T7242" t="str">
        <f>IF(C7242="","",UPPER(LEFT(SUBSTITUTE(C7242," ",""),3))&amp;"-"&amp;TEXT(B7242,"AAMMDD")&amp;"-1")</f>
        <v/>
      </c>
    </row>
    <row r="7243" spans="20:20">
      <c r="T7243" t="str">
        <f>IF(C7243="","",UPPER(LEFT(SUBSTITUTE(C7243," ",""),3))&amp;"-"&amp;TEXT(B7243,"AAMMDD")&amp;"-1")</f>
        <v/>
      </c>
    </row>
    <row r="7244" spans="20:20">
      <c r="T7244" t="str">
        <f>IF(C7244="","",UPPER(LEFT(SUBSTITUTE(C7244," ",""),3))&amp;"-"&amp;TEXT(B7244,"AAMMDD")&amp;"-1")</f>
        <v/>
      </c>
    </row>
    <row r="7245" spans="20:20">
      <c r="T7245" t="str">
        <f>IF(C7245="","",UPPER(LEFT(SUBSTITUTE(C7245," ",""),3))&amp;"-"&amp;TEXT(B7245,"AAMMDD")&amp;"-1")</f>
        <v/>
      </c>
    </row>
    <row r="7246" spans="20:20">
      <c r="T7246" t="str">
        <f>IF(C7246="","",UPPER(LEFT(SUBSTITUTE(C7246," ",""),3))&amp;"-"&amp;TEXT(B7246,"AAMMDD")&amp;"-1")</f>
        <v/>
      </c>
    </row>
    <row r="7247" spans="20:20">
      <c r="T7247" t="str">
        <f>IF(C7247="","",UPPER(LEFT(SUBSTITUTE(C7247," ",""),3))&amp;"-"&amp;TEXT(B7247,"AAMMDD")&amp;"-1")</f>
        <v/>
      </c>
    </row>
    <row r="7248" spans="20:20">
      <c r="T7248" t="str">
        <f>IF(C7248="","",UPPER(LEFT(SUBSTITUTE(C7248," ",""),3))&amp;"-"&amp;TEXT(B7248,"AAMMDD")&amp;"-1")</f>
        <v/>
      </c>
    </row>
    <row r="7249" spans="20:20">
      <c r="T7249" t="str">
        <f>IF(C7249="","",UPPER(LEFT(SUBSTITUTE(C7249," ",""),3))&amp;"-"&amp;TEXT(B7249,"AAMMDD")&amp;"-1")</f>
        <v/>
      </c>
    </row>
    <row r="7250" spans="20:20">
      <c r="T7250" t="str">
        <f>IF(C7250="","",UPPER(LEFT(SUBSTITUTE(C7250," ",""),3))&amp;"-"&amp;TEXT(B7250,"AAMMDD")&amp;"-1")</f>
        <v/>
      </c>
    </row>
    <row r="7251" spans="20:20">
      <c r="T7251" t="str">
        <f>IF(C7251="","",UPPER(LEFT(SUBSTITUTE(C7251," ",""),3))&amp;"-"&amp;TEXT(B7251,"AAMMDD")&amp;"-1")</f>
        <v/>
      </c>
    </row>
    <row r="7252" spans="20:20">
      <c r="T7252" t="str">
        <f>IF(C7252="","",UPPER(LEFT(SUBSTITUTE(C7252," ",""),3))&amp;"-"&amp;TEXT(B7252,"AAMMDD")&amp;"-1")</f>
        <v/>
      </c>
    </row>
    <row r="7253" spans="20:20">
      <c r="T7253" t="str">
        <f>IF(C7253="","",UPPER(LEFT(SUBSTITUTE(C7253," ",""),3))&amp;"-"&amp;TEXT(B7253,"AAMMDD")&amp;"-1")</f>
        <v/>
      </c>
    </row>
    <row r="7254" spans="20:20">
      <c r="T7254" t="str">
        <f>IF(C7254="","",UPPER(LEFT(SUBSTITUTE(C7254," ",""),3))&amp;"-"&amp;TEXT(B7254,"AAMMDD")&amp;"-1")</f>
        <v/>
      </c>
    </row>
    <row r="7255" spans="20:20">
      <c r="T7255" t="str">
        <f>IF(C7255="","",UPPER(LEFT(SUBSTITUTE(C7255," ",""),3))&amp;"-"&amp;TEXT(B7255,"AAMMDD")&amp;"-1")</f>
        <v/>
      </c>
    </row>
    <row r="7256" spans="20:20">
      <c r="T7256" t="str">
        <f>IF(C7256="","",UPPER(LEFT(SUBSTITUTE(C7256," ",""),3))&amp;"-"&amp;TEXT(B7256,"AAMMDD")&amp;"-1")</f>
        <v/>
      </c>
    </row>
    <row r="7257" spans="20:20">
      <c r="T7257" t="str">
        <f>IF(C7257="","",UPPER(LEFT(SUBSTITUTE(C7257," ",""),3))&amp;"-"&amp;TEXT(B7257,"AAMMDD")&amp;"-1")</f>
        <v/>
      </c>
    </row>
    <row r="7258" spans="20:20">
      <c r="T7258" t="str">
        <f>IF(C7258="","",UPPER(LEFT(SUBSTITUTE(C7258," ",""),3))&amp;"-"&amp;TEXT(B7258,"AAMMDD")&amp;"-1")</f>
        <v/>
      </c>
    </row>
    <row r="7259" spans="20:20">
      <c r="T7259" t="str">
        <f>IF(C7259="","",UPPER(LEFT(SUBSTITUTE(C7259," ",""),3))&amp;"-"&amp;TEXT(B7259,"AAMMDD")&amp;"-1")</f>
        <v/>
      </c>
    </row>
    <row r="7260" spans="20:20">
      <c r="T7260" t="str">
        <f>IF(C7260="","",UPPER(LEFT(SUBSTITUTE(C7260," ",""),3))&amp;"-"&amp;TEXT(B7260,"AAMMDD")&amp;"-1")</f>
        <v/>
      </c>
    </row>
    <row r="7261" spans="20:20">
      <c r="T7261" t="str">
        <f>IF(C7261="","",UPPER(LEFT(SUBSTITUTE(C7261," ",""),3))&amp;"-"&amp;TEXT(B7261,"AAMMDD")&amp;"-1")</f>
        <v/>
      </c>
    </row>
    <row r="7262" spans="20:20">
      <c r="T7262" t="str">
        <f>IF(C7262="","",UPPER(LEFT(SUBSTITUTE(C7262," ",""),3))&amp;"-"&amp;TEXT(B7262,"AAMMDD")&amp;"-1")</f>
        <v/>
      </c>
    </row>
    <row r="7263" spans="20:20">
      <c r="T7263" t="str">
        <f>IF(C7263="","",UPPER(LEFT(SUBSTITUTE(C7263," ",""),3))&amp;"-"&amp;TEXT(B7263,"AAMMDD")&amp;"-1")</f>
        <v/>
      </c>
    </row>
    <row r="7264" spans="20:20">
      <c r="T7264" t="str">
        <f>IF(C7264="","",UPPER(LEFT(SUBSTITUTE(C7264," ",""),3))&amp;"-"&amp;TEXT(B7264,"AAMMDD")&amp;"-1")</f>
        <v/>
      </c>
    </row>
    <row r="7265" spans="20:20">
      <c r="T7265" t="str">
        <f>IF(C7265="","",UPPER(LEFT(SUBSTITUTE(C7265," ",""),3))&amp;"-"&amp;TEXT(B7265,"AAMMDD")&amp;"-1")</f>
        <v/>
      </c>
    </row>
    <row r="7266" spans="20:20">
      <c r="T7266" t="str">
        <f>IF(C7266="","",UPPER(LEFT(SUBSTITUTE(C7266," ",""),3))&amp;"-"&amp;TEXT(B7266,"AAMMDD")&amp;"-1")</f>
        <v/>
      </c>
    </row>
    <row r="7267" spans="20:20">
      <c r="T7267" t="str">
        <f>IF(C7267="","",UPPER(LEFT(SUBSTITUTE(C7267," ",""),3))&amp;"-"&amp;TEXT(B7267,"AAMMDD")&amp;"-1")</f>
        <v/>
      </c>
    </row>
    <row r="7268" spans="20:20">
      <c r="T7268" t="str">
        <f>IF(C7268="","",UPPER(LEFT(SUBSTITUTE(C7268," ",""),3))&amp;"-"&amp;TEXT(B7268,"AAMMDD")&amp;"-1")</f>
        <v/>
      </c>
    </row>
    <row r="7269" spans="20:20">
      <c r="T7269" t="str">
        <f>IF(C7269="","",UPPER(LEFT(SUBSTITUTE(C7269," ",""),3))&amp;"-"&amp;TEXT(B7269,"AAMMDD")&amp;"-1")</f>
        <v/>
      </c>
    </row>
    <row r="7270" spans="20:20">
      <c r="T7270" t="str">
        <f>IF(C7270="","",UPPER(LEFT(SUBSTITUTE(C7270," ",""),3))&amp;"-"&amp;TEXT(B7270,"AAMMDD")&amp;"-1")</f>
        <v/>
      </c>
    </row>
    <row r="7271" spans="20:20">
      <c r="T7271" t="str">
        <f>IF(C7271="","",UPPER(LEFT(SUBSTITUTE(C7271," ",""),3))&amp;"-"&amp;TEXT(B7271,"AAMMDD")&amp;"-1")</f>
        <v/>
      </c>
    </row>
    <row r="7272" spans="20:20">
      <c r="T7272" t="str">
        <f>IF(C7272="","",UPPER(LEFT(SUBSTITUTE(C7272," ",""),3))&amp;"-"&amp;TEXT(B7272,"AAMMDD")&amp;"-1")</f>
        <v/>
      </c>
    </row>
    <row r="7273" spans="20:20">
      <c r="T7273" t="str">
        <f>IF(C7273="","",UPPER(LEFT(SUBSTITUTE(C7273," ",""),3))&amp;"-"&amp;TEXT(B7273,"AAMMDD")&amp;"-1")</f>
        <v/>
      </c>
    </row>
    <row r="7274" spans="20:20">
      <c r="T7274" t="str">
        <f>IF(C7274="","",UPPER(LEFT(SUBSTITUTE(C7274," ",""),3))&amp;"-"&amp;TEXT(B7274,"AAMMDD")&amp;"-1")</f>
        <v/>
      </c>
    </row>
    <row r="7275" spans="20:20">
      <c r="T7275" t="str">
        <f>IF(C7275="","",UPPER(LEFT(SUBSTITUTE(C7275," ",""),3))&amp;"-"&amp;TEXT(B7275,"AAMMDD")&amp;"-1")</f>
        <v/>
      </c>
    </row>
    <row r="7276" spans="20:20">
      <c r="T7276" t="str">
        <f>IF(C7276="","",UPPER(LEFT(SUBSTITUTE(C7276," ",""),3))&amp;"-"&amp;TEXT(B7276,"AAMMDD")&amp;"-1")</f>
        <v/>
      </c>
    </row>
    <row r="7277" spans="20:20">
      <c r="T7277" t="str">
        <f>IF(C7277="","",UPPER(LEFT(SUBSTITUTE(C7277," ",""),3))&amp;"-"&amp;TEXT(B7277,"AAMMDD")&amp;"-1")</f>
        <v/>
      </c>
    </row>
    <row r="7278" spans="20:20">
      <c r="T7278" t="str">
        <f>IF(C7278="","",UPPER(LEFT(SUBSTITUTE(C7278," ",""),3))&amp;"-"&amp;TEXT(B7278,"AAMMDD")&amp;"-1")</f>
        <v/>
      </c>
    </row>
    <row r="7279" spans="20:20">
      <c r="T7279" t="str">
        <f>IF(C7279="","",UPPER(LEFT(SUBSTITUTE(C7279," ",""),3))&amp;"-"&amp;TEXT(B7279,"AAMMDD")&amp;"-1")</f>
        <v/>
      </c>
    </row>
    <row r="7280" spans="20:20">
      <c r="T7280" t="str">
        <f>IF(C7280="","",UPPER(LEFT(SUBSTITUTE(C7280," ",""),3))&amp;"-"&amp;TEXT(B7280,"AAMMDD")&amp;"-1")</f>
        <v/>
      </c>
    </row>
    <row r="7281" spans="20:20">
      <c r="T7281" t="str">
        <f>IF(C7281="","",UPPER(LEFT(SUBSTITUTE(C7281," ",""),3))&amp;"-"&amp;TEXT(B7281,"AAMMDD")&amp;"-1")</f>
        <v/>
      </c>
    </row>
    <row r="7282" spans="20:20">
      <c r="T7282" t="str">
        <f>IF(C7282="","",UPPER(LEFT(SUBSTITUTE(C7282," ",""),3))&amp;"-"&amp;TEXT(B7282,"AAMMDD")&amp;"-1")</f>
        <v/>
      </c>
    </row>
    <row r="7283" spans="20:20">
      <c r="T7283" t="str">
        <f>IF(C7283="","",UPPER(LEFT(SUBSTITUTE(C7283," ",""),3))&amp;"-"&amp;TEXT(B7283,"AAMMDD")&amp;"-1")</f>
        <v/>
      </c>
    </row>
    <row r="7284" spans="20:20">
      <c r="T7284" t="str">
        <f>IF(C7284="","",UPPER(LEFT(SUBSTITUTE(C7284," ",""),3))&amp;"-"&amp;TEXT(B7284,"AAMMDD")&amp;"-1")</f>
        <v/>
      </c>
    </row>
    <row r="7285" spans="20:20">
      <c r="T7285" t="str">
        <f>IF(C7285="","",UPPER(LEFT(SUBSTITUTE(C7285," ",""),3))&amp;"-"&amp;TEXT(B7285,"AAMMDD")&amp;"-1")</f>
        <v/>
      </c>
    </row>
    <row r="7286" spans="20:20">
      <c r="T7286" t="str">
        <f>IF(C7286="","",UPPER(LEFT(SUBSTITUTE(C7286," ",""),3))&amp;"-"&amp;TEXT(B7286,"AAMMDD")&amp;"-1")</f>
        <v/>
      </c>
    </row>
    <row r="7287" spans="20:20">
      <c r="T7287" t="str">
        <f>IF(C7287="","",UPPER(LEFT(SUBSTITUTE(C7287," ",""),3))&amp;"-"&amp;TEXT(B7287,"AAMMDD")&amp;"-1")</f>
        <v/>
      </c>
    </row>
    <row r="7288" spans="20:20">
      <c r="T7288" t="str">
        <f>IF(C7288="","",UPPER(LEFT(SUBSTITUTE(C7288," ",""),3))&amp;"-"&amp;TEXT(B7288,"AAMMDD")&amp;"-1")</f>
        <v/>
      </c>
    </row>
    <row r="7289" spans="20:20">
      <c r="T7289" t="str">
        <f>IF(C7289="","",UPPER(LEFT(SUBSTITUTE(C7289," ",""),3))&amp;"-"&amp;TEXT(B7289,"AAMMDD")&amp;"-1")</f>
        <v/>
      </c>
    </row>
    <row r="7290" spans="20:20">
      <c r="T7290" t="str">
        <f>IF(C7290="","",UPPER(LEFT(SUBSTITUTE(C7290," ",""),3))&amp;"-"&amp;TEXT(B7290,"AAMMDD")&amp;"-1")</f>
        <v/>
      </c>
    </row>
    <row r="7291" spans="20:20">
      <c r="T7291" t="str">
        <f>IF(C7291="","",UPPER(LEFT(SUBSTITUTE(C7291," ",""),3))&amp;"-"&amp;TEXT(B7291,"AAMMDD")&amp;"-1")</f>
        <v/>
      </c>
    </row>
    <row r="7292" spans="20:20">
      <c r="T7292" t="str">
        <f>IF(C7292="","",UPPER(LEFT(SUBSTITUTE(C7292," ",""),3))&amp;"-"&amp;TEXT(B7292,"AAMMDD")&amp;"-1")</f>
        <v/>
      </c>
    </row>
    <row r="7293" spans="20:20">
      <c r="T7293" t="str">
        <f>IF(C7293="","",UPPER(LEFT(SUBSTITUTE(C7293," ",""),3))&amp;"-"&amp;TEXT(B7293,"AAMMDD")&amp;"-1")</f>
        <v/>
      </c>
    </row>
    <row r="7294" spans="20:20">
      <c r="T7294" t="str">
        <f>IF(C7294="","",UPPER(LEFT(SUBSTITUTE(C7294," ",""),3))&amp;"-"&amp;TEXT(B7294,"AAMMDD")&amp;"-1")</f>
        <v/>
      </c>
    </row>
    <row r="7295" spans="20:20">
      <c r="T7295" t="str">
        <f>IF(C7295="","",UPPER(LEFT(SUBSTITUTE(C7295," ",""),3))&amp;"-"&amp;TEXT(B7295,"AAMMDD")&amp;"-1")</f>
        <v/>
      </c>
    </row>
    <row r="7296" spans="20:20">
      <c r="T7296" t="str">
        <f>IF(C7296="","",UPPER(LEFT(SUBSTITUTE(C7296," ",""),3))&amp;"-"&amp;TEXT(B7296,"AAMMDD")&amp;"-1")</f>
        <v/>
      </c>
    </row>
    <row r="7297" spans="20:20">
      <c r="T7297" t="str">
        <f>IF(C7297="","",UPPER(LEFT(SUBSTITUTE(C7297," ",""),3))&amp;"-"&amp;TEXT(B7297,"AAMMDD")&amp;"-1")</f>
        <v/>
      </c>
    </row>
    <row r="7298" spans="20:20">
      <c r="T7298" t="str">
        <f>IF(C7298="","",UPPER(LEFT(SUBSTITUTE(C7298," ",""),3))&amp;"-"&amp;TEXT(B7298,"AAMMDD")&amp;"-1")</f>
        <v/>
      </c>
    </row>
    <row r="7299" spans="20:20">
      <c r="T7299" t="str">
        <f>IF(C7299="","",UPPER(LEFT(SUBSTITUTE(C7299," ",""),3))&amp;"-"&amp;TEXT(B7299,"AAMMDD")&amp;"-1")</f>
        <v/>
      </c>
    </row>
    <row r="7300" spans="20:20">
      <c r="T7300" t="str">
        <f>IF(C7300="","",UPPER(LEFT(SUBSTITUTE(C7300," ",""),3))&amp;"-"&amp;TEXT(B7300,"AAMMDD")&amp;"-1")</f>
        <v/>
      </c>
    </row>
    <row r="7301" spans="20:20">
      <c r="T7301" t="str">
        <f>IF(C7301="","",UPPER(LEFT(SUBSTITUTE(C7301," ",""),3))&amp;"-"&amp;TEXT(B7301,"AAMMDD")&amp;"-1")</f>
        <v/>
      </c>
    </row>
    <row r="7302" spans="20:20">
      <c r="T7302" t="str">
        <f>IF(C7302="","",UPPER(LEFT(SUBSTITUTE(C7302," ",""),3))&amp;"-"&amp;TEXT(B7302,"AAMMDD")&amp;"-1")</f>
        <v/>
      </c>
    </row>
    <row r="7303" spans="20:20">
      <c r="T7303" t="str">
        <f>IF(C7303="","",UPPER(LEFT(SUBSTITUTE(C7303," ",""),3))&amp;"-"&amp;TEXT(B7303,"AAMMDD")&amp;"-1")</f>
        <v/>
      </c>
    </row>
    <row r="7304" spans="20:20">
      <c r="T7304" t="str">
        <f>IF(C7304="","",UPPER(LEFT(SUBSTITUTE(C7304," ",""),3))&amp;"-"&amp;TEXT(B7304,"AAMMDD")&amp;"-1")</f>
        <v/>
      </c>
    </row>
    <row r="7305" spans="20:20">
      <c r="T7305" t="str">
        <f>IF(C7305="","",UPPER(LEFT(SUBSTITUTE(C7305," ",""),3))&amp;"-"&amp;TEXT(B7305,"AAMMDD")&amp;"-1")</f>
        <v/>
      </c>
    </row>
    <row r="7306" spans="20:20">
      <c r="T7306" t="str">
        <f>IF(C7306="","",UPPER(LEFT(SUBSTITUTE(C7306," ",""),3))&amp;"-"&amp;TEXT(B7306,"AAMMDD")&amp;"-1")</f>
        <v/>
      </c>
    </row>
    <row r="7307" spans="20:20">
      <c r="T7307" t="str">
        <f>IF(C7307="","",UPPER(LEFT(SUBSTITUTE(C7307," ",""),3))&amp;"-"&amp;TEXT(B7307,"AAMMDD")&amp;"-1")</f>
        <v/>
      </c>
    </row>
    <row r="7308" spans="20:20">
      <c r="T7308" t="str">
        <f>IF(C7308="","",UPPER(LEFT(SUBSTITUTE(C7308," ",""),3))&amp;"-"&amp;TEXT(B7308,"AAMMDD")&amp;"-1")</f>
        <v/>
      </c>
    </row>
    <row r="7309" spans="20:20">
      <c r="T7309" t="str">
        <f>IF(C7309="","",UPPER(LEFT(SUBSTITUTE(C7309," ",""),3))&amp;"-"&amp;TEXT(B7309,"AAMMDD")&amp;"-1")</f>
        <v/>
      </c>
    </row>
    <row r="7310" spans="20:20">
      <c r="T7310" t="str">
        <f>IF(C7310="","",UPPER(LEFT(SUBSTITUTE(C7310," ",""),3))&amp;"-"&amp;TEXT(B7310,"AAMMDD")&amp;"-1")</f>
        <v/>
      </c>
    </row>
    <row r="7311" spans="20:20">
      <c r="T7311" t="str">
        <f>IF(C7311="","",UPPER(LEFT(SUBSTITUTE(C7311," ",""),3))&amp;"-"&amp;TEXT(B7311,"AAMMDD")&amp;"-1")</f>
        <v/>
      </c>
    </row>
    <row r="7312" spans="20:20">
      <c r="T7312" t="str">
        <f>IF(C7312="","",UPPER(LEFT(SUBSTITUTE(C7312," ",""),3))&amp;"-"&amp;TEXT(B7312,"AAMMDD")&amp;"-1")</f>
        <v/>
      </c>
    </row>
    <row r="7313" spans="20:20">
      <c r="T7313" t="str">
        <f>IF(C7313="","",UPPER(LEFT(SUBSTITUTE(C7313," ",""),3))&amp;"-"&amp;TEXT(B7313,"AAMMDD")&amp;"-1")</f>
        <v/>
      </c>
    </row>
    <row r="7314" spans="20:20">
      <c r="T7314" t="str">
        <f>IF(C7314="","",UPPER(LEFT(SUBSTITUTE(C7314," ",""),3))&amp;"-"&amp;TEXT(B7314,"AAMMDD")&amp;"-1")</f>
        <v/>
      </c>
    </row>
    <row r="7315" spans="20:20">
      <c r="T7315" t="str">
        <f>IF(C7315="","",UPPER(LEFT(SUBSTITUTE(C7315," ",""),3))&amp;"-"&amp;TEXT(B7315,"AAMMDD")&amp;"-1")</f>
        <v/>
      </c>
    </row>
    <row r="7316" spans="20:20">
      <c r="T7316" t="str">
        <f>IF(C7316="","",UPPER(LEFT(SUBSTITUTE(C7316," ",""),3))&amp;"-"&amp;TEXT(B7316,"AAMMDD")&amp;"-1")</f>
        <v/>
      </c>
    </row>
    <row r="7317" spans="20:20">
      <c r="T7317" t="str">
        <f>IF(C7317="","",UPPER(LEFT(SUBSTITUTE(C7317," ",""),3))&amp;"-"&amp;TEXT(B7317,"AAMMDD")&amp;"-1")</f>
        <v/>
      </c>
    </row>
    <row r="7318" spans="20:20">
      <c r="T7318" t="str">
        <f>IF(C7318="","",UPPER(LEFT(SUBSTITUTE(C7318," ",""),3))&amp;"-"&amp;TEXT(B7318,"AAMMDD")&amp;"-1")</f>
        <v/>
      </c>
    </row>
    <row r="7319" spans="20:20">
      <c r="T7319" t="str">
        <f>IF(C7319="","",UPPER(LEFT(SUBSTITUTE(C7319," ",""),3))&amp;"-"&amp;TEXT(B7319,"AAMMDD")&amp;"-1")</f>
        <v/>
      </c>
    </row>
    <row r="7320" spans="20:20">
      <c r="T7320" t="str">
        <f>IF(C7320="","",UPPER(LEFT(SUBSTITUTE(C7320," ",""),3))&amp;"-"&amp;TEXT(B7320,"AAMMDD")&amp;"-1")</f>
        <v/>
      </c>
    </row>
    <row r="7321" spans="20:20">
      <c r="T7321" t="str">
        <f>IF(C7321="","",UPPER(LEFT(SUBSTITUTE(C7321," ",""),3))&amp;"-"&amp;TEXT(B7321,"AAMMDD")&amp;"-1")</f>
        <v/>
      </c>
    </row>
    <row r="7322" spans="20:20">
      <c r="T7322" t="str">
        <f>IF(C7322="","",UPPER(LEFT(SUBSTITUTE(C7322," ",""),3))&amp;"-"&amp;TEXT(B7322,"AAMMDD")&amp;"-1")</f>
        <v/>
      </c>
    </row>
    <row r="7323" spans="20:20">
      <c r="T7323" t="str">
        <f>IF(C7323="","",UPPER(LEFT(SUBSTITUTE(C7323," ",""),3))&amp;"-"&amp;TEXT(B7323,"AAMMDD")&amp;"-1")</f>
        <v/>
      </c>
    </row>
    <row r="7324" spans="20:20">
      <c r="T7324" t="str">
        <f>IF(C7324="","",UPPER(LEFT(SUBSTITUTE(C7324," ",""),3))&amp;"-"&amp;TEXT(B7324,"AAMMDD")&amp;"-1")</f>
        <v/>
      </c>
    </row>
    <row r="7325" spans="20:20">
      <c r="T7325" t="str">
        <f>IF(C7325="","",UPPER(LEFT(SUBSTITUTE(C7325," ",""),3))&amp;"-"&amp;TEXT(B7325,"AAMMDD")&amp;"-1")</f>
        <v/>
      </c>
    </row>
    <row r="7326" spans="20:20">
      <c r="T7326" t="str">
        <f>IF(C7326="","",UPPER(LEFT(SUBSTITUTE(C7326," ",""),3))&amp;"-"&amp;TEXT(B7326,"AAMMDD")&amp;"-1")</f>
        <v/>
      </c>
    </row>
    <row r="7327" spans="20:20">
      <c r="T7327" t="str">
        <f>IF(C7327="","",UPPER(LEFT(SUBSTITUTE(C7327," ",""),3))&amp;"-"&amp;TEXT(B7327,"AAMMDD")&amp;"-1")</f>
        <v/>
      </c>
    </row>
    <row r="7328" spans="20:20">
      <c r="T7328" t="str">
        <f>IF(C7328="","",UPPER(LEFT(SUBSTITUTE(C7328," ",""),3))&amp;"-"&amp;TEXT(B7328,"AAMMDD")&amp;"-1")</f>
        <v/>
      </c>
    </row>
    <row r="7329" spans="20:20">
      <c r="T7329" t="str">
        <f>IF(C7329="","",UPPER(LEFT(SUBSTITUTE(C7329," ",""),3))&amp;"-"&amp;TEXT(B7329,"AAMMDD")&amp;"-1")</f>
        <v/>
      </c>
    </row>
    <row r="7330" spans="20:20">
      <c r="T7330" t="str">
        <f>IF(C7330="","",UPPER(LEFT(SUBSTITUTE(C7330," ",""),3))&amp;"-"&amp;TEXT(B7330,"AAMMDD")&amp;"-1")</f>
        <v/>
      </c>
    </row>
    <row r="7331" spans="20:20">
      <c r="T7331" t="str">
        <f>IF(C7331="","",UPPER(LEFT(SUBSTITUTE(C7331," ",""),3))&amp;"-"&amp;TEXT(B7331,"AAMMDD")&amp;"-1")</f>
        <v/>
      </c>
    </row>
    <row r="7332" spans="20:20">
      <c r="T7332" t="str">
        <f>IF(C7332="","",UPPER(LEFT(SUBSTITUTE(C7332," ",""),3))&amp;"-"&amp;TEXT(B7332,"AAMMDD")&amp;"-1")</f>
        <v/>
      </c>
    </row>
    <row r="7333" spans="20:20">
      <c r="T7333" t="str">
        <f>IF(C7333="","",UPPER(LEFT(SUBSTITUTE(C7333," ",""),3))&amp;"-"&amp;TEXT(B7333,"AAMMDD")&amp;"-1")</f>
        <v/>
      </c>
    </row>
    <row r="7334" spans="20:20">
      <c r="T7334" t="str">
        <f>IF(C7334="","",UPPER(LEFT(SUBSTITUTE(C7334," ",""),3))&amp;"-"&amp;TEXT(B7334,"AAMMDD")&amp;"-1")</f>
        <v/>
      </c>
    </row>
    <row r="7335" spans="20:20">
      <c r="T7335" t="str">
        <f>IF(C7335="","",UPPER(LEFT(SUBSTITUTE(C7335," ",""),3))&amp;"-"&amp;TEXT(B7335,"AAMMDD")&amp;"-1")</f>
        <v/>
      </c>
    </row>
    <row r="7336" spans="20:20">
      <c r="T7336" t="str">
        <f>IF(C7336="","",UPPER(LEFT(SUBSTITUTE(C7336," ",""),3))&amp;"-"&amp;TEXT(B7336,"AAMMDD")&amp;"-1")</f>
        <v/>
      </c>
    </row>
    <row r="7337" spans="20:20">
      <c r="T7337" t="str">
        <f>IF(C7337="","",UPPER(LEFT(SUBSTITUTE(C7337," ",""),3))&amp;"-"&amp;TEXT(B7337,"AAMMDD")&amp;"-1")</f>
        <v/>
      </c>
    </row>
    <row r="7338" spans="20:20">
      <c r="T7338" t="str">
        <f>IF(C7338="","",UPPER(LEFT(SUBSTITUTE(C7338," ",""),3))&amp;"-"&amp;TEXT(B7338,"AAMMDD")&amp;"-1")</f>
        <v/>
      </c>
    </row>
    <row r="7339" spans="20:20">
      <c r="T7339" t="str">
        <f>IF(C7339="","",UPPER(LEFT(SUBSTITUTE(C7339," ",""),3))&amp;"-"&amp;TEXT(B7339,"AAMMDD")&amp;"-1")</f>
        <v/>
      </c>
    </row>
    <row r="7340" spans="20:20">
      <c r="T7340" t="str">
        <f>IF(C7340="","",UPPER(LEFT(SUBSTITUTE(C7340," ",""),3))&amp;"-"&amp;TEXT(B7340,"AAMMDD")&amp;"-1")</f>
        <v/>
      </c>
    </row>
    <row r="7341" spans="20:20">
      <c r="T7341" t="str">
        <f>IF(C7341="","",UPPER(LEFT(SUBSTITUTE(C7341," ",""),3))&amp;"-"&amp;TEXT(B7341,"AAMMDD")&amp;"-1")</f>
        <v/>
      </c>
    </row>
    <row r="7342" spans="20:20">
      <c r="T7342" t="str">
        <f>IF(C7342="","",UPPER(LEFT(SUBSTITUTE(C7342," ",""),3))&amp;"-"&amp;TEXT(B7342,"AAMMDD")&amp;"-1")</f>
        <v/>
      </c>
    </row>
    <row r="7343" spans="20:20">
      <c r="T7343" t="str">
        <f>IF(C7343="","",UPPER(LEFT(SUBSTITUTE(C7343," ",""),3))&amp;"-"&amp;TEXT(B7343,"AAMMDD")&amp;"-1")</f>
        <v/>
      </c>
    </row>
    <row r="7344" spans="20:20">
      <c r="T7344" t="str">
        <f>IF(C7344="","",UPPER(LEFT(SUBSTITUTE(C7344," ",""),3))&amp;"-"&amp;TEXT(B7344,"AAMMDD")&amp;"-1")</f>
        <v/>
      </c>
    </row>
    <row r="7345" spans="20:20">
      <c r="T7345" t="str">
        <f>IF(C7345="","",UPPER(LEFT(SUBSTITUTE(C7345," ",""),3))&amp;"-"&amp;TEXT(B7345,"AAMMDD")&amp;"-1")</f>
        <v/>
      </c>
    </row>
    <row r="7346" spans="20:20">
      <c r="T7346" t="str">
        <f>IF(C7346="","",UPPER(LEFT(SUBSTITUTE(C7346," ",""),3))&amp;"-"&amp;TEXT(B7346,"AAMMDD")&amp;"-1")</f>
        <v/>
      </c>
    </row>
    <row r="7347" spans="20:20">
      <c r="T7347" t="str">
        <f>IF(C7347="","",UPPER(LEFT(SUBSTITUTE(C7347," ",""),3))&amp;"-"&amp;TEXT(B7347,"AAMMDD")&amp;"-1")</f>
        <v/>
      </c>
    </row>
    <row r="7348" spans="20:20">
      <c r="T7348" t="str">
        <f>IF(C7348="","",UPPER(LEFT(SUBSTITUTE(C7348," ",""),3))&amp;"-"&amp;TEXT(B7348,"AAMMDD")&amp;"-1")</f>
        <v/>
      </c>
    </row>
    <row r="7349" spans="20:20">
      <c r="T7349" t="str">
        <f>IF(C7349="","",UPPER(LEFT(SUBSTITUTE(C7349," ",""),3))&amp;"-"&amp;TEXT(B7349,"AAMMDD")&amp;"-1")</f>
        <v/>
      </c>
    </row>
    <row r="7350" spans="20:20">
      <c r="T7350" t="str">
        <f>IF(C7350="","",UPPER(LEFT(SUBSTITUTE(C7350," ",""),3))&amp;"-"&amp;TEXT(B7350,"AAMMDD")&amp;"-1")</f>
        <v/>
      </c>
    </row>
    <row r="7351" spans="20:20">
      <c r="T7351" t="str">
        <f>IF(C7351="","",UPPER(LEFT(SUBSTITUTE(C7351," ",""),3))&amp;"-"&amp;TEXT(B7351,"AAMMDD")&amp;"-1")</f>
        <v/>
      </c>
    </row>
    <row r="7352" spans="20:20">
      <c r="T7352" t="str">
        <f>IF(C7352="","",UPPER(LEFT(SUBSTITUTE(C7352," ",""),3))&amp;"-"&amp;TEXT(B7352,"AAMMDD")&amp;"-1")</f>
        <v/>
      </c>
    </row>
    <row r="7353" spans="20:20">
      <c r="T7353" t="str">
        <f>IF(C7353="","",UPPER(LEFT(SUBSTITUTE(C7353," ",""),3))&amp;"-"&amp;TEXT(B7353,"AAMMDD")&amp;"-1")</f>
        <v/>
      </c>
    </row>
    <row r="7354" spans="20:20">
      <c r="T7354" t="str">
        <f>IF(C7354="","",UPPER(LEFT(SUBSTITUTE(C7354," ",""),3))&amp;"-"&amp;TEXT(B7354,"AAMMDD")&amp;"-1")</f>
        <v/>
      </c>
    </row>
    <row r="7355" spans="20:20">
      <c r="T7355" t="str">
        <f>IF(C7355="","",UPPER(LEFT(SUBSTITUTE(C7355," ",""),3))&amp;"-"&amp;TEXT(B7355,"AAMMDD")&amp;"-1")</f>
        <v/>
      </c>
    </row>
    <row r="7356" spans="20:20">
      <c r="T7356" t="str">
        <f>IF(C7356="","",UPPER(LEFT(SUBSTITUTE(C7356," ",""),3))&amp;"-"&amp;TEXT(B7356,"AAMMDD")&amp;"-1")</f>
        <v/>
      </c>
    </row>
    <row r="7357" spans="20:20">
      <c r="T7357" t="str">
        <f>IF(C7357="","",UPPER(LEFT(SUBSTITUTE(C7357," ",""),3))&amp;"-"&amp;TEXT(B7357,"AAMMDD")&amp;"-1")</f>
        <v/>
      </c>
    </row>
    <row r="7358" spans="20:20">
      <c r="T7358" t="str">
        <f>IF(C7358="","",UPPER(LEFT(SUBSTITUTE(C7358," ",""),3))&amp;"-"&amp;TEXT(B7358,"AAMMDD")&amp;"-1")</f>
        <v/>
      </c>
    </row>
    <row r="7359" spans="20:20">
      <c r="T7359" t="str">
        <f>IF(C7359="","",UPPER(LEFT(SUBSTITUTE(C7359," ",""),3))&amp;"-"&amp;TEXT(B7359,"AAMMDD")&amp;"-1")</f>
        <v/>
      </c>
    </row>
    <row r="7360" spans="20:20">
      <c r="T7360" t="str">
        <f>IF(C7360="","",UPPER(LEFT(SUBSTITUTE(C7360," ",""),3))&amp;"-"&amp;TEXT(B7360,"AAMMDD")&amp;"-1")</f>
        <v/>
      </c>
    </row>
    <row r="7361" spans="20:20">
      <c r="T7361" t="str">
        <f>IF(C7361="","",UPPER(LEFT(SUBSTITUTE(C7361," ",""),3))&amp;"-"&amp;TEXT(B7361,"AAMMDD")&amp;"-1")</f>
        <v/>
      </c>
    </row>
    <row r="7362" spans="20:20">
      <c r="T7362" t="str">
        <f>IF(C7362="","",UPPER(LEFT(SUBSTITUTE(C7362," ",""),3))&amp;"-"&amp;TEXT(B7362,"AAMMDD")&amp;"-1")</f>
        <v/>
      </c>
    </row>
    <row r="7363" spans="20:20">
      <c r="T7363" t="str">
        <f>IF(C7363="","",UPPER(LEFT(SUBSTITUTE(C7363," ",""),3))&amp;"-"&amp;TEXT(B7363,"AAMMDD")&amp;"-1")</f>
        <v/>
      </c>
    </row>
    <row r="7364" spans="20:20">
      <c r="T7364" t="str">
        <f>IF(C7364="","",UPPER(LEFT(SUBSTITUTE(C7364," ",""),3))&amp;"-"&amp;TEXT(B7364,"AAMMDD")&amp;"-1")</f>
        <v/>
      </c>
    </row>
    <row r="7365" spans="20:20">
      <c r="T7365" t="str">
        <f>IF(C7365="","",UPPER(LEFT(SUBSTITUTE(C7365," ",""),3))&amp;"-"&amp;TEXT(B7365,"AAMMDD")&amp;"-1")</f>
        <v/>
      </c>
    </row>
    <row r="7366" spans="20:20">
      <c r="T7366" t="str">
        <f>IF(C7366="","",UPPER(LEFT(SUBSTITUTE(C7366," ",""),3))&amp;"-"&amp;TEXT(B7366,"AAMMDD")&amp;"-1")</f>
        <v/>
      </c>
    </row>
    <row r="7367" spans="20:20">
      <c r="T7367" t="str">
        <f>IF(C7367="","",UPPER(LEFT(SUBSTITUTE(C7367," ",""),3))&amp;"-"&amp;TEXT(B7367,"AAMMDD")&amp;"-1")</f>
        <v/>
      </c>
    </row>
    <row r="7368" spans="20:20">
      <c r="T7368" t="str">
        <f>IF(C7368="","",UPPER(LEFT(SUBSTITUTE(C7368," ",""),3))&amp;"-"&amp;TEXT(B7368,"AAMMDD")&amp;"-1")</f>
        <v/>
      </c>
    </row>
    <row r="7369" spans="20:20">
      <c r="T7369" t="str">
        <f>IF(C7369="","",UPPER(LEFT(SUBSTITUTE(C7369," ",""),3))&amp;"-"&amp;TEXT(B7369,"AAMMDD")&amp;"-1")</f>
        <v/>
      </c>
    </row>
    <row r="7370" spans="20:20">
      <c r="T7370" t="str">
        <f>IF(C7370="","",UPPER(LEFT(SUBSTITUTE(C7370," ",""),3))&amp;"-"&amp;TEXT(B7370,"AAMMDD")&amp;"-1")</f>
        <v/>
      </c>
    </row>
    <row r="7371" spans="20:20">
      <c r="T7371" t="str">
        <f>IF(C7371="","",UPPER(LEFT(SUBSTITUTE(C7371," ",""),3))&amp;"-"&amp;TEXT(B7371,"AAMMDD")&amp;"-1")</f>
        <v/>
      </c>
    </row>
    <row r="7372" spans="20:20">
      <c r="T7372" t="str">
        <f>IF(C7372="","",UPPER(LEFT(SUBSTITUTE(C7372," ",""),3))&amp;"-"&amp;TEXT(B7372,"AAMMDD")&amp;"-1")</f>
        <v/>
      </c>
    </row>
    <row r="7373" spans="20:20">
      <c r="T7373" t="str">
        <f>IF(C7373="","",UPPER(LEFT(SUBSTITUTE(C7373," ",""),3))&amp;"-"&amp;TEXT(B7373,"AAMMDD")&amp;"-1")</f>
        <v/>
      </c>
    </row>
    <row r="7374" spans="20:20">
      <c r="T7374" t="str">
        <f>IF(C7374="","",UPPER(LEFT(SUBSTITUTE(C7374," ",""),3))&amp;"-"&amp;TEXT(B7374,"AAMMDD")&amp;"-1")</f>
        <v/>
      </c>
    </row>
    <row r="7375" spans="20:20">
      <c r="T7375" t="str">
        <f>IF(C7375="","",UPPER(LEFT(SUBSTITUTE(C7375," ",""),3))&amp;"-"&amp;TEXT(B7375,"AAMMDD")&amp;"-1")</f>
        <v/>
      </c>
    </row>
    <row r="7376" spans="20:20">
      <c r="T7376" t="str">
        <f>IF(C7376="","",UPPER(LEFT(SUBSTITUTE(C7376," ",""),3))&amp;"-"&amp;TEXT(B7376,"AAMMDD")&amp;"-1")</f>
        <v/>
      </c>
    </row>
    <row r="7377" spans="20:20">
      <c r="T7377" t="str">
        <f>IF(C7377="","",UPPER(LEFT(SUBSTITUTE(C7377," ",""),3))&amp;"-"&amp;TEXT(B7377,"AAMMDD")&amp;"-1")</f>
        <v/>
      </c>
    </row>
    <row r="7378" spans="20:20">
      <c r="T7378" t="str">
        <f>IF(C7378="","",UPPER(LEFT(SUBSTITUTE(C7378," ",""),3))&amp;"-"&amp;TEXT(B7378,"AAMMDD")&amp;"-1")</f>
        <v/>
      </c>
    </row>
    <row r="7379" spans="20:20">
      <c r="T7379" t="str">
        <f>IF(C7379="","",UPPER(LEFT(SUBSTITUTE(C7379," ",""),3))&amp;"-"&amp;TEXT(B7379,"AAMMDD")&amp;"-1")</f>
        <v/>
      </c>
    </row>
    <row r="7380" spans="20:20">
      <c r="T7380" t="str">
        <f>IF(C7380="","",UPPER(LEFT(SUBSTITUTE(C7380," ",""),3))&amp;"-"&amp;TEXT(B7380,"AAMMDD")&amp;"-1")</f>
        <v/>
      </c>
    </row>
    <row r="7381" spans="20:20">
      <c r="T7381" t="str">
        <f>IF(C7381="","",UPPER(LEFT(SUBSTITUTE(C7381," ",""),3))&amp;"-"&amp;TEXT(B7381,"AAMMDD")&amp;"-1")</f>
        <v/>
      </c>
    </row>
    <row r="7382" spans="20:20">
      <c r="T7382" t="str">
        <f>IF(C7382="","",UPPER(LEFT(SUBSTITUTE(C7382," ",""),3))&amp;"-"&amp;TEXT(B7382,"AAMMDD")&amp;"-1")</f>
        <v/>
      </c>
    </row>
    <row r="7383" spans="20:20">
      <c r="T7383" t="str">
        <f>IF(C7383="","",UPPER(LEFT(SUBSTITUTE(C7383," ",""),3))&amp;"-"&amp;TEXT(B7383,"AAMMDD")&amp;"-1")</f>
        <v/>
      </c>
    </row>
    <row r="7384" spans="20:20">
      <c r="T7384" t="str">
        <f>IF(C7384="","",UPPER(LEFT(SUBSTITUTE(C7384," ",""),3))&amp;"-"&amp;TEXT(B7384,"AAMMDD")&amp;"-1")</f>
        <v/>
      </c>
    </row>
    <row r="7385" spans="20:20">
      <c r="T7385" t="str">
        <f>IF(C7385="","",UPPER(LEFT(SUBSTITUTE(C7385," ",""),3))&amp;"-"&amp;TEXT(B7385,"AAMMDD")&amp;"-1")</f>
        <v/>
      </c>
    </row>
    <row r="7386" spans="20:20">
      <c r="T7386" t="str">
        <f>IF(C7386="","",UPPER(LEFT(SUBSTITUTE(C7386," ",""),3))&amp;"-"&amp;TEXT(B7386,"AAMMDD")&amp;"-1")</f>
        <v/>
      </c>
    </row>
    <row r="7387" spans="20:20">
      <c r="T7387" t="str">
        <f>IF(C7387="","",UPPER(LEFT(SUBSTITUTE(C7387," ",""),3))&amp;"-"&amp;TEXT(B7387,"AAMMDD")&amp;"-1")</f>
        <v/>
      </c>
    </row>
    <row r="7388" spans="20:20">
      <c r="T7388" t="str">
        <f>IF(C7388="","",UPPER(LEFT(SUBSTITUTE(C7388," ",""),3))&amp;"-"&amp;TEXT(B7388,"AAMMDD")&amp;"-1")</f>
        <v/>
      </c>
    </row>
    <row r="7389" spans="20:20">
      <c r="T7389" t="str">
        <f>IF(C7389="","",UPPER(LEFT(SUBSTITUTE(C7389," ",""),3))&amp;"-"&amp;TEXT(B7389,"AAMMDD")&amp;"-1")</f>
        <v/>
      </c>
    </row>
    <row r="7390" spans="20:20">
      <c r="T7390" t="str">
        <f>IF(C7390="","",UPPER(LEFT(SUBSTITUTE(C7390," ",""),3))&amp;"-"&amp;TEXT(B7390,"AAMMDD")&amp;"-1")</f>
        <v/>
      </c>
    </row>
    <row r="7391" spans="20:20">
      <c r="T7391" t="str">
        <f>IF(C7391="","",UPPER(LEFT(SUBSTITUTE(C7391," ",""),3))&amp;"-"&amp;TEXT(B7391,"AAMMDD")&amp;"-1")</f>
        <v/>
      </c>
    </row>
    <row r="7392" spans="20:20">
      <c r="T7392" t="str">
        <f>IF(C7392="","",UPPER(LEFT(SUBSTITUTE(C7392," ",""),3))&amp;"-"&amp;TEXT(B7392,"AAMMDD")&amp;"-1")</f>
        <v/>
      </c>
    </row>
    <row r="7393" spans="20:20">
      <c r="T7393" t="str">
        <f>IF(C7393="","",UPPER(LEFT(SUBSTITUTE(C7393," ",""),3))&amp;"-"&amp;TEXT(B7393,"AAMMDD")&amp;"-1")</f>
        <v/>
      </c>
    </row>
    <row r="7394" spans="20:20">
      <c r="T7394" t="str">
        <f>IF(C7394="","",UPPER(LEFT(SUBSTITUTE(C7394," ",""),3))&amp;"-"&amp;TEXT(B7394,"AAMMDD")&amp;"-1")</f>
        <v/>
      </c>
    </row>
    <row r="7395" spans="20:20">
      <c r="T7395" t="str">
        <f>IF(C7395="","",UPPER(LEFT(SUBSTITUTE(C7395," ",""),3))&amp;"-"&amp;TEXT(B7395,"AAMMDD")&amp;"-1")</f>
        <v/>
      </c>
    </row>
    <row r="7396" spans="20:20">
      <c r="T7396" t="str">
        <f>IF(C7396="","",UPPER(LEFT(SUBSTITUTE(C7396," ",""),3))&amp;"-"&amp;TEXT(B7396,"AAMMDD")&amp;"-1")</f>
        <v/>
      </c>
    </row>
    <row r="7397" spans="20:20">
      <c r="T7397" t="str">
        <f>IF(C7397="","",UPPER(LEFT(SUBSTITUTE(C7397," ",""),3))&amp;"-"&amp;TEXT(B7397,"AAMMDD")&amp;"-1")</f>
        <v/>
      </c>
    </row>
    <row r="7398" spans="20:20">
      <c r="T7398" t="str">
        <f>IF(C7398="","",UPPER(LEFT(SUBSTITUTE(C7398," ",""),3))&amp;"-"&amp;TEXT(B7398,"AAMMDD")&amp;"-1")</f>
        <v/>
      </c>
    </row>
    <row r="7399" spans="20:20">
      <c r="T7399" t="str">
        <f>IF(C7399="","",UPPER(LEFT(SUBSTITUTE(C7399," ",""),3))&amp;"-"&amp;TEXT(B7399,"AAMMDD")&amp;"-1")</f>
        <v/>
      </c>
    </row>
    <row r="7400" spans="20:20">
      <c r="T7400" t="str">
        <f>IF(C7400="","",UPPER(LEFT(SUBSTITUTE(C7400," ",""),3))&amp;"-"&amp;TEXT(B7400,"AAMMDD")&amp;"-1")</f>
        <v/>
      </c>
    </row>
    <row r="7401" spans="20:20">
      <c r="T7401" t="str">
        <f>IF(C7401="","",UPPER(LEFT(SUBSTITUTE(C7401," ",""),3))&amp;"-"&amp;TEXT(B7401,"AAMMDD")&amp;"-1")</f>
        <v/>
      </c>
    </row>
    <row r="7402" spans="20:20">
      <c r="T7402" t="str">
        <f>IF(C7402="","",UPPER(LEFT(SUBSTITUTE(C7402," ",""),3))&amp;"-"&amp;TEXT(B7402,"AAMMDD")&amp;"-1")</f>
        <v/>
      </c>
    </row>
    <row r="7403" spans="20:20">
      <c r="T7403" t="str">
        <f>IF(C7403="","",UPPER(LEFT(SUBSTITUTE(C7403," ",""),3))&amp;"-"&amp;TEXT(B7403,"AAMMDD")&amp;"-1")</f>
        <v/>
      </c>
    </row>
    <row r="7404" spans="20:20">
      <c r="T7404" t="str">
        <f>IF(C7404="","",UPPER(LEFT(SUBSTITUTE(C7404," ",""),3))&amp;"-"&amp;TEXT(B7404,"AAMMDD")&amp;"-1")</f>
        <v/>
      </c>
    </row>
    <row r="7405" spans="20:20">
      <c r="T7405" t="str">
        <f>IF(C7405="","",UPPER(LEFT(SUBSTITUTE(C7405," ",""),3))&amp;"-"&amp;TEXT(B7405,"AAMMDD")&amp;"-1")</f>
        <v/>
      </c>
    </row>
    <row r="7406" spans="20:20">
      <c r="T7406" t="str">
        <f>IF(C7406="","",UPPER(LEFT(SUBSTITUTE(C7406," ",""),3))&amp;"-"&amp;TEXT(B7406,"AAMMDD")&amp;"-1")</f>
        <v/>
      </c>
    </row>
    <row r="7407" spans="20:20">
      <c r="T7407" t="str">
        <f>IF(C7407="","",UPPER(LEFT(SUBSTITUTE(C7407," ",""),3))&amp;"-"&amp;TEXT(B7407,"AAMMDD")&amp;"-1")</f>
        <v/>
      </c>
    </row>
    <row r="7408" spans="20:20">
      <c r="T7408" t="str">
        <f>IF(C7408="","",UPPER(LEFT(SUBSTITUTE(C7408," ",""),3))&amp;"-"&amp;TEXT(B7408,"AAMMDD")&amp;"-1")</f>
        <v/>
      </c>
    </row>
    <row r="7409" spans="20:20">
      <c r="T7409" t="str">
        <f>IF(C7409="","",UPPER(LEFT(SUBSTITUTE(C7409," ",""),3))&amp;"-"&amp;TEXT(B7409,"AAMMDD")&amp;"-1")</f>
        <v/>
      </c>
    </row>
    <row r="7410" spans="20:20">
      <c r="T7410" t="str">
        <f>IF(C7410="","",UPPER(LEFT(SUBSTITUTE(C7410," ",""),3))&amp;"-"&amp;TEXT(B7410,"AAMMDD")&amp;"-1")</f>
        <v/>
      </c>
    </row>
    <row r="7411" spans="20:20">
      <c r="T7411" t="str">
        <f>IF(C7411="","",UPPER(LEFT(SUBSTITUTE(C7411," ",""),3))&amp;"-"&amp;TEXT(B7411,"AAMMDD")&amp;"-1")</f>
        <v/>
      </c>
    </row>
    <row r="7412" spans="20:20">
      <c r="T7412" t="str">
        <f>IF(C7412="","",UPPER(LEFT(SUBSTITUTE(C7412," ",""),3))&amp;"-"&amp;TEXT(B7412,"AAMMDD")&amp;"-1")</f>
        <v/>
      </c>
    </row>
    <row r="7413" spans="20:20">
      <c r="T7413" t="str">
        <f>IF(C7413="","",UPPER(LEFT(SUBSTITUTE(C7413," ",""),3))&amp;"-"&amp;TEXT(B7413,"AAMMDD")&amp;"-1")</f>
        <v/>
      </c>
    </row>
    <row r="7414" spans="20:20">
      <c r="T7414" t="str">
        <f>IF(C7414="","",UPPER(LEFT(SUBSTITUTE(C7414," ",""),3))&amp;"-"&amp;TEXT(B7414,"AAMMDD")&amp;"-1")</f>
        <v/>
      </c>
    </row>
    <row r="7415" spans="20:20">
      <c r="T7415" t="str">
        <f>IF(C7415="","",UPPER(LEFT(SUBSTITUTE(C7415," ",""),3))&amp;"-"&amp;TEXT(B7415,"AAMMDD")&amp;"-1")</f>
        <v/>
      </c>
    </row>
    <row r="7416" spans="20:20">
      <c r="T7416" t="str">
        <f>IF(C7416="","",UPPER(LEFT(SUBSTITUTE(C7416," ",""),3))&amp;"-"&amp;TEXT(B7416,"AAMMDD")&amp;"-1")</f>
        <v/>
      </c>
    </row>
    <row r="7417" spans="20:20">
      <c r="T7417" t="str">
        <f>IF(C7417="","",UPPER(LEFT(SUBSTITUTE(C7417," ",""),3))&amp;"-"&amp;TEXT(B7417,"AAMMDD")&amp;"-1")</f>
        <v/>
      </c>
    </row>
    <row r="7418" spans="20:20">
      <c r="T7418" t="str">
        <f>IF(C7418="","",UPPER(LEFT(SUBSTITUTE(C7418," ",""),3))&amp;"-"&amp;TEXT(B7418,"AAMMDD")&amp;"-1")</f>
        <v/>
      </c>
    </row>
    <row r="7419" spans="20:20">
      <c r="T7419" t="str">
        <f>IF(C7419="","",UPPER(LEFT(SUBSTITUTE(C7419," ",""),3))&amp;"-"&amp;TEXT(B7419,"AAMMDD")&amp;"-1")</f>
        <v/>
      </c>
    </row>
    <row r="7420" spans="20:20">
      <c r="T7420" t="str">
        <f>IF(C7420="","",UPPER(LEFT(SUBSTITUTE(C7420," ",""),3))&amp;"-"&amp;TEXT(B7420,"AAMMDD")&amp;"-1")</f>
        <v/>
      </c>
    </row>
    <row r="7421" spans="20:20">
      <c r="T7421" t="str">
        <f>IF(C7421="","",UPPER(LEFT(SUBSTITUTE(C7421," ",""),3))&amp;"-"&amp;TEXT(B7421,"AAMMDD")&amp;"-1")</f>
        <v/>
      </c>
    </row>
    <row r="7422" spans="20:20">
      <c r="T7422" t="str">
        <f>IF(C7422="","",UPPER(LEFT(SUBSTITUTE(C7422," ",""),3))&amp;"-"&amp;TEXT(B7422,"AAMMDD")&amp;"-1")</f>
        <v/>
      </c>
    </row>
    <row r="7423" spans="20:20">
      <c r="T7423" t="str">
        <f>IF(C7423="","",UPPER(LEFT(SUBSTITUTE(C7423," ",""),3))&amp;"-"&amp;TEXT(B7423,"AAMMDD")&amp;"-1")</f>
        <v/>
      </c>
    </row>
    <row r="7424" spans="20:20">
      <c r="T7424" t="str">
        <f>IF(C7424="","",UPPER(LEFT(SUBSTITUTE(C7424," ",""),3))&amp;"-"&amp;TEXT(B7424,"AAMMDD")&amp;"-1")</f>
        <v/>
      </c>
    </row>
    <row r="7425" spans="20:20">
      <c r="T7425" t="str">
        <f>IF(C7425="","",UPPER(LEFT(SUBSTITUTE(C7425," ",""),3))&amp;"-"&amp;TEXT(B7425,"AAMMDD")&amp;"-1")</f>
        <v/>
      </c>
    </row>
    <row r="7426" spans="20:20">
      <c r="T7426" t="str">
        <f>IF(C7426="","",UPPER(LEFT(SUBSTITUTE(C7426," ",""),3))&amp;"-"&amp;TEXT(B7426,"AAMMDD")&amp;"-1")</f>
        <v/>
      </c>
    </row>
    <row r="7427" spans="20:20">
      <c r="T7427" t="str">
        <f>IF(C7427="","",UPPER(LEFT(SUBSTITUTE(C7427," ",""),3))&amp;"-"&amp;TEXT(B7427,"AAMMDD")&amp;"-1")</f>
        <v/>
      </c>
    </row>
    <row r="7428" spans="20:20">
      <c r="T7428" t="str">
        <f>IF(C7428="","",UPPER(LEFT(SUBSTITUTE(C7428," ",""),3))&amp;"-"&amp;TEXT(B7428,"AAMMDD")&amp;"-1")</f>
        <v/>
      </c>
    </row>
    <row r="7429" spans="20:20">
      <c r="T7429" t="str">
        <f>IF(C7429="","",UPPER(LEFT(SUBSTITUTE(C7429," ",""),3))&amp;"-"&amp;TEXT(B7429,"AAMMDD")&amp;"-1")</f>
        <v/>
      </c>
    </row>
    <row r="7430" spans="20:20">
      <c r="T7430" t="str">
        <f>IF(C7430="","",UPPER(LEFT(SUBSTITUTE(C7430," ",""),3))&amp;"-"&amp;TEXT(B7430,"AAMMDD")&amp;"-1")</f>
        <v/>
      </c>
    </row>
    <row r="7431" spans="20:20">
      <c r="T7431" t="str">
        <f>IF(C7431="","",UPPER(LEFT(SUBSTITUTE(C7431," ",""),3))&amp;"-"&amp;TEXT(B7431,"AAMMDD")&amp;"-1")</f>
        <v/>
      </c>
    </row>
    <row r="7432" spans="20:20">
      <c r="T7432" t="str">
        <f>IF(C7432="","",UPPER(LEFT(SUBSTITUTE(C7432," ",""),3))&amp;"-"&amp;TEXT(B7432,"AAMMDD")&amp;"-1")</f>
        <v/>
      </c>
    </row>
    <row r="7433" spans="20:20">
      <c r="T7433" t="str">
        <f>IF(C7433="","",UPPER(LEFT(SUBSTITUTE(C7433," ",""),3))&amp;"-"&amp;TEXT(B7433,"AAMMDD")&amp;"-1")</f>
        <v/>
      </c>
    </row>
    <row r="7434" spans="20:20">
      <c r="T7434" t="str">
        <f>IF(C7434="","",UPPER(LEFT(SUBSTITUTE(C7434," ",""),3))&amp;"-"&amp;TEXT(B7434,"AAMMDD")&amp;"-1")</f>
        <v/>
      </c>
    </row>
    <row r="7435" spans="20:20">
      <c r="T7435" t="str">
        <f>IF(C7435="","",UPPER(LEFT(SUBSTITUTE(C7435," ",""),3))&amp;"-"&amp;TEXT(B7435,"AAMMDD")&amp;"-1")</f>
        <v/>
      </c>
    </row>
    <row r="7436" spans="20:20">
      <c r="T7436" t="str">
        <f>IF(C7436="","",UPPER(LEFT(SUBSTITUTE(C7436," ",""),3))&amp;"-"&amp;TEXT(B7436,"AAMMDD")&amp;"-1")</f>
        <v/>
      </c>
    </row>
    <row r="7437" spans="20:20">
      <c r="T7437" t="str">
        <f>IF(C7437="","",UPPER(LEFT(SUBSTITUTE(C7437," ",""),3))&amp;"-"&amp;TEXT(B7437,"AAMMDD")&amp;"-1")</f>
        <v/>
      </c>
    </row>
    <row r="7438" spans="20:20">
      <c r="T7438" t="str">
        <f>IF(C7438="","",UPPER(LEFT(SUBSTITUTE(C7438," ",""),3))&amp;"-"&amp;TEXT(B7438,"AAMMDD")&amp;"-1")</f>
        <v/>
      </c>
    </row>
    <row r="7439" spans="20:20">
      <c r="T7439" t="str">
        <f>IF(C7439="","",UPPER(LEFT(SUBSTITUTE(C7439," ",""),3))&amp;"-"&amp;TEXT(B7439,"AAMMDD")&amp;"-1")</f>
        <v/>
      </c>
    </row>
    <row r="7440" spans="20:20">
      <c r="T7440" t="str">
        <f>IF(C7440="","",UPPER(LEFT(SUBSTITUTE(C7440," ",""),3))&amp;"-"&amp;TEXT(B7440,"AAMMDD")&amp;"-1")</f>
        <v/>
      </c>
    </row>
    <row r="7441" spans="20:20">
      <c r="T7441" t="str">
        <f>IF(C7441="","",UPPER(LEFT(SUBSTITUTE(C7441," ",""),3))&amp;"-"&amp;TEXT(B7441,"AAMMDD")&amp;"-1")</f>
        <v/>
      </c>
    </row>
    <row r="7442" spans="20:20">
      <c r="T7442" t="str">
        <f>IF(C7442="","",UPPER(LEFT(SUBSTITUTE(C7442," ",""),3))&amp;"-"&amp;TEXT(B7442,"AAMMDD")&amp;"-1")</f>
        <v/>
      </c>
    </row>
    <row r="7443" spans="20:20">
      <c r="T7443" t="str">
        <f>IF(C7443="","",UPPER(LEFT(SUBSTITUTE(C7443," ",""),3))&amp;"-"&amp;TEXT(B7443,"AAMMDD")&amp;"-1")</f>
        <v/>
      </c>
    </row>
    <row r="7444" spans="20:20">
      <c r="T7444" t="str">
        <f>IF(C7444="","",UPPER(LEFT(SUBSTITUTE(C7444," ",""),3))&amp;"-"&amp;TEXT(B7444,"AAMMDD")&amp;"-1")</f>
        <v/>
      </c>
    </row>
    <row r="7445" spans="20:20">
      <c r="T7445" t="str">
        <f>IF(C7445="","",UPPER(LEFT(SUBSTITUTE(C7445," ",""),3))&amp;"-"&amp;TEXT(B7445,"AAMMDD")&amp;"-1")</f>
        <v/>
      </c>
    </row>
    <row r="7446" spans="20:20">
      <c r="T7446" t="str">
        <f>IF(C7446="","",UPPER(LEFT(SUBSTITUTE(C7446," ",""),3))&amp;"-"&amp;TEXT(B7446,"AAMMDD")&amp;"-1")</f>
        <v/>
      </c>
    </row>
    <row r="7447" spans="20:20">
      <c r="T7447" t="str">
        <f>IF(C7447="","",UPPER(LEFT(SUBSTITUTE(C7447," ",""),3))&amp;"-"&amp;TEXT(B7447,"AAMMDD")&amp;"-1")</f>
        <v/>
      </c>
    </row>
    <row r="7448" spans="20:20">
      <c r="T7448" t="str">
        <f>IF(C7448="","",UPPER(LEFT(SUBSTITUTE(C7448," ",""),3))&amp;"-"&amp;TEXT(B7448,"AAMMDD")&amp;"-1")</f>
        <v/>
      </c>
    </row>
    <row r="7449" spans="20:20">
      <c r="T7449" t="str">
        <f>IF(C7449="","",UPPER(LEFT(SUBSTITUTE(C7449," ",""),3))&amp;"-"&amp;TEXT(B7449,"AAMMDD")&amp;"-1")</f>
        <v/>
      </c>
    </row>
    <row r="7450" spans="20:20">
      <c r="T7450" t="str">
        <f>IF(C7450="","",UPPER(LEFT(SUBSTITUTE(C7450," ",""),3))&amp;"-"&amp;TEXT(B7450,"AAMMDD")&amp;"-1")</f>
        <v/>
      </c>
    </row>
    <row r="7451" spans="20:20">
      <c r="T7451" t="str">
        <f>IF(C7451="","",UPPER(LEFT(SUBSTITUTE(C7451," ",""),3))&amp;"-"&amp;TEXT(B7451,"AAMMDD")&amp;"-1")</f>
        <v/>
      </c>
    </row>
    <row r="7452" spans="20:20">
      <c r="T7452" t="str">
        <f>IF(C7452="","",UPPER(LEFT(SUBSTITUTE(C7452," ",""),3))&amp;"-"&amp;TEXT(B7452,"AAMMDD")&amp;"-1")</f>
        <v/>
      </c>
    </row>
    <row r="7453" spans="20:20">
      <c r="T7453" t="str">
        <f>IF(C7453="","",UPPER(LEFT(SUBSTITUTE(C7453," ",""),3))&amp;"-"&amp;TEXT(B7453,"AAMMDD")&amp;"-1")</f>
        <v/>
      </c>
    </row>
    <row r="7454" spans="20:20">
      <c r="T7454" t="str">
        <f>IF(C7454="","",UPPER(LEFT(SUBSTITUTE(C7454," ",""),3))&amp;"-"&amp;TEXT(B7454,"AAMMDD")&amp;"-1")</f>
        <v/>
      </c>
    </row>
    <row r="7455" spans="20:20">
      <c r="T7455" t="str">
        <f>IF(C7455="","",UPPER(LEFT(SUBSTITUTE(C7455," ",""),3))&amp;"-"&amp;TEXT(B7455,"AAMMDD")&amp;"-1")</f>
        <v/>
      </c>
    </row>
    <row r="7456" spans="20:20">
      <c r="T7456" t="str">
        <f>IF(C7456="","",UPPER(LEFT(SUBSTITUTE(C7456," ",""),3))&amp;"-"&amp;TEXT(B7456,"AAMMDD")&amp;"-1")</f>
        <v/>
      </c>
    </row>
    <row r="7457" spans="20:20">
      <c r="T7457" t="str">
        <f>IF(C7457="","",UPPER(LEFT(SUBSTITUTE(C7457," ",""),3))&amp;"-"&amp;TEXT(B7457,"AAMMDD")&amp;"-1")</f>
        <v/>
      </c>
    </row>
    <row r="7458" spans="20:20">
      <c r="T7458" t="str">
        <f>IF(C7458="","",UPPER(LEFT(SUBSTITUTE(C7458," ",""),3))&amp;"-"&amp;TEXT(B7458,"AAMMDD")&amp;"-1")</f>
        <v/>
      </c>
    </row>
    <row r="7459" spans="20:20">
      <c r="T7459" t="str">
        <f>IF(C7459="","",UPPER(LEFT(SUBSTITUTE(C7459," ",""),3))&amp;"-"&amp;TEXT(B7459,"AAMMDD")&amp;"-1")</f>
        <v/>
      </c>
    </row>
    <row r="7460" spans="20:20">
      <c r="T7460" t="str">
        <f>IF(C7460="","",UPPER(LEFT(SUBSTITUTE(C7460," ",""),3))&amp;"-"&amp;TEXT(B7460,"AAMMDD")&amp;"-1")</f>
        <v/>
      </c>
    </row>
    <row r="7461" spans="20:20">
      <c r="T7461" t="str">
        <f>IF(C7461="","",UPPER(LEFT(SUBSTITUTE(C7461," ",""),3))&amp;"-"&amp;TEXT(B7461,"AAMMDD")&amp;"-1")</f>
        <v/>
      </c>
    </row>
    <row r="7462" spans="20:20">
      <c r="T7462" t="str">
        <f>IF(C7462="","",UPPER(LEFT(SUBSTITUTE(C7462," ",""),3))&amp;"-"&amp;TEXT(B7462,"AAMMDD")&amp;"-1")</f>
        <v/>
      </c>
    </row>
    <row r="7463" spans="20:20">
      <c r="T7463" t="str">
        <f>IF(C7463="","",UPPER(LEFT(SUBSTITUTE(C7463," ",""),3))&amp;"-"&amp;TEXT(B7463,"AAMMDD")&amp;"-1")</f>
        <v/>
      </c>
    </row>
    <row r="7464" spans="20:20">
      <c r="T7464" t="str">
        <f>IF(C7464="","",UPPER(LEFT(SUBSTITUTE(C7464," ",""),3))&amp;"-"&amp;TEXT(B7464,"AAMMDD")&amp;"-1")</f>
        <v/>
      </c>
    </row>
    <row r="7465" spans="20:20">
      <c r="T7465" t="str">
        <f>IF(C7465="","",UPPER(LEFT(SUBSTITUTE(C7465," ",""),3))&amp;"-"&amp;TEXT(B7465,"AAMMDD")&amp;"-1")</f>
        <v/>
      </c>
    </row>
    <row r="7466" spans="20:20">
      <c r="T7466" t="str">
        <f>IF(C7466="","",UPPER(LEFT(SUBSTITUTE(C7466," ",""),3))&amp;"-"&amp;TEXT(B7466,"AAMMDD")&amp;"-1")</f>
        <v/>
      </c>
    </row>
    <row r="7467" spans="20:20">
      <c r="T7467" t="str">
        <f>IF(C7467="","",UPPER(LEFT(SUBSTITUTE(C7467," ",""),3))&amp;"-"&amp;TEXT(B7467,"AAMMDD")&amp;"-1")</f>
        <v/>
      </c>
    </row>
    <row r="7468" spans="20:20">
      <c r="T7468" t="str">
        <f>IF(C7468="","",UPPER(LEFT(SUBSTITUTE(C7468," ",""),3))&amp;"-"&amp;TEXT(B7468,"AAMMDD")&amp;"-1")</f>
        <v/>
      </c>
    </row>
    <row r="7469" spans="20:20">
      <c r="T7469" t="str">
        <f>IF(C7469="","",UPPER(LEFT(SUBSTITUTE(C7469," ",""),3))&amp;"-"&amp;TEXT(B7469,"AAMMDD")&amp;"-1")</f>
        <v/>
      </c>
    </row>
    <row r="7470" spans="20:20">
      <c r="T7470" t="str">
        <f>IF(C7470="","",UPPER(LEFT(SUBSTITUTE(C7470," ",""),3))&amp;"-"&amp;TEXT(B7470,"AAMMDD")&amp;"-1")</f>
        <v/>
      </c>
    </row>
    <row r="7471" spans="20:20">
      <c r="T7471" t="str">
        <f>IF(C7471="","",UPPER(LEFT(SUBSTITUTE(C7471," ",""),3))&amp;"-"&amp;TEXT(B7471,"AAMMDD")&amp;"-1")</f>
        <v/>
      </c>
    </row>
    <row r="7472" spans="20:20">
      <c r="T7472" t="str">
        <f>IF(C7472="","",UPPER(LEFT(SUBSTITUTE(C7472," ",""),3))&amp;"-"&amp;TEXT(B7472,"AAMMDD")&amp;"-1")</f>
        <v/>
      </c>
    </row>
    <row r="7473" spans="20:20">
      <c r="T7473" t="str">
        <f>IF(C7473="","",UPPER(LEFT(SUBSTITUTE(C7473," ",""),3))&amp;"-"&amp;TEXT(B7473,"AAMMDD")&amp;"-1")</f>
        <v/>
      </c>
    </row>
    <row r="7474" spans="20:20">
      <c r="T7474" t="str">
        <f>IF(C7474="","",UPPER(LEFT(SUBSTITUTE(C7474," ",""),3))&amp;"-"&amp;TEXT(B7474,"AAMMDD")&amp;"-1")</f>
        <v/>
      </c>
    </row>
    <row r="7475" spans="20:20">
      <c r="T7475" t="str">
        <f>IF(C7475="","",UPPER(LEFT(SUBSTITUTE(C7475," ",""),3))&amp;"-"&amp;TEXT(B7475,"AAMMDD")&amp;"-1")</f>
        <v/>
      </c>
    </row>
    <row r="7476" spans="20:20">
      <c r="T7476" t="str">
        <f>IF(C7476="","",UPPER(LEFT(SUBSTITUTE(C7476," ",""),3))&amp;"-"&amp;TEXT(B7476,"AAMMDD")&amp;"-1")</f>
        <v/>
      </c>
    </row>
    <row r="7477" spans="20:20">
      <c r="T7477" t="str">
        <f>IF(C7477="","",UPPER(LEFT(SUBSTITUTE(C7477," ",""),3))&amp;"-"&amp;TEXT(B7477,"AAMMDD")&amp;"-1")</f>
        <v/>
      </c>
    </row>
    <row r="7478" spans="20:20">
      <c r="T7478" t="str">
        <f>IF(C7478="","",UPPER(LEFT(SUBSTITUTE(C7478," ",""),3))&amp;"-"&amp;TEXT(B7478,"AAMMDD")&amp;"-1")</f>
        <v/>
      </c>
    </row>
    <row r="7479" spans="20:20">
      <c r="T7479" t="str">
        <f>IF(C7479="","",UPPER(LEFT(SUBSTITUTE(C7479," ",""),3))&amp;"-"&amp;TEXT(B7479,"AAMMDD")&amp;"-1")</f>
        <v/>
      </c>
    </row>
    <row r="7480" spans="20:20">
      <c r="T7480" t="str">
        <f>IF(C7480="","",UPPER(LEFT(SUBSTITUTE(C7480," ",""),3))&amp;"-"&amp;TEXT(B7480,"AAMMDD")&amp;"-1")</f>
        <v/>
      </c>
    </row>
    <row r="7481" spans="20:20">
      <c r="T7481" t="str">
        <f>IF(C7481="","",UPPER(LEFT(SUBSTITUTE(C7481," ",""),3))&amp;"-"&amp;TEXT(B7481,"AAMMDD")&amp;"-1")</f>
        <v/>
      </c>
    </row>
    <row r="7482" spans="20:20">
      <c r="T7482" t="str">
        <f>IF(C7482="","",UPPER(LEFT(SUBSTITUTE(C7482," ",""),3))&amp;"-"&amp;TEXT(B7482,"AAMMDD")&amp;"-1")</f>
        <v/>
      </c>
    </row>
    <row r="7483" spans="20:20">
      <c r="T7483" t="str">
        <f>IF(C7483="","",UPPER(LEFT(SUBSTITUTE(C7483," ",""),3))&amp;"-"&amp;TEXT(B7483,"AAMMDD")&amp;"-1")</f>
        <v/>
      </c>
    </row>
    <row r="7484" spans="20:20">
      <c r="T7484" t="str">
        <f>IF(C7484="","",UPPER(LEFT(SUBSTITUTE(C7484," ",""),3))&amp;"-"&amp;TEXT(B7484,"AAMMDD")&amp;"-1")</f>
        <v/>
      </c>
    </row>
    <row r="7485" spans="20:20">
      <c r="T7485" t="str">
        <f>IF(C7485="","",UPPER(LEFT(SUBSTITUTE(C7485," ",""),3))&amp;"-"&amp;TEXT(B7485,"AAMMDD")&amp;"-1")</f>
        <v/>
      </c>
    </row>
    <row r="7486" spans="20:20">
      <c r="T7486" t="str">
        <f>IF(C7486="","",UPPER(LEFT(SUBSTITUTE(C7486," ",""),3))&amp;"-"&amp;TEXT(B7486,"AAMMDD")&amp;"-1")</f>
        <v/>
      </c>
    </row>
    <row r="7487" spans="20:20">
      <c r="T7487" t="str">
        <f>IF(C7487="","",UPPER(LEFT(SUBSTITUTE(C7487," ",""),3))&amp;"-"&amp;TEXT(B7487,"AAMMDD")&amp;"-1")</f>
        <v/>
      </c>
    </row>
    <row r="7488" spans="20:20">
      <c r="T7488" t="str">
        <f>IF(C7488="","",UPPER(LEFT(SUBSTITUTE(C7488," ",""),3))&amp;"-"&amp;TEXT(B7488,"AAMMDD")&amp;"-1")</f>
        <v/>
      </c>
    </row>
    <row r="7489" spans="20:20">
      <c r="T7489" t="str">
        <f>IF(C7489="","",UPPER(LEFT(SUBSTITUTE(C7489," ",""),3))&amp;"-"&amp;TEXT(B7489,"AAMMDD")&amp;"-1")</f>
        <v/>
      </c>
    </row>
    <row r="7490" spans="20:20">
      <c r="T7490" t="str">
        <f>IF(C7490="","",UPPER(LEFT(SUBSTITUTE(C7490," ",""),3))&amp;"-"&amp;TEXT(B7490,"AAMMDD")&amp;"-1")</f>
        <v/>
      </c>
    </row>
    <row r="7491" spans="20:20">
      <c r="T7491" t="str">
        <f>IF(C7491="","",UPPER(LEFT(SUBSTITUTE(C7491," ",""),3))&amp;"-"&amp;TEXT(B7491,"AAMMDD")&amp;"-1")</f>
        <v/>
      </c>
    </row>
    <row r="7492" spans="20:20">
      <c r="T7492" t="str">
        <f>IF(C7492="","",UPPER(LEFT(SUBSTITUTE(C7492," ",""),3))&amp;"-"&amp;TEXT(B7492,"AAMMDD")&amp;"-1")</f>
        <v/>
      </c>
    </row>
    <row r="7493" spans="20:20">
      <c r="T7493" t="str">
        <f>IF(C7493="","",UPPER(LEFT(SUBSTITUTE(C7493," ",""),3))&amp;"-"&amp;TEXT(B7493,"AAMMDD")&amp;"-1")</f>
        <v/>
      </c>
    </row>
    <row r="7494" spans="20:20">
      <c r="T7494" t="str">
        <f>IF(C7494="","",UPPER(LEFT(SUBSTITUTE(C7494," ",""),3))&amp;"-"&amp;TEXT(B7494,"AAMMDD")&amp;"-1")</f>
        <v/>
      </c>
    </row>
    <row r="7495" spans="20:20">
      <c r="T7495" t="str">
        <f>IF(C7495="","",UPPER(LEFT(SUBSTITUTE(C7495," ",""),3))&amp;"-"&amp;TEXT(B7495,"AAMMDD")&amp;"-1")</f>
        <v/>
      </c>
    </row>
    <row r="7496" spans="20:20">
      <c r="T7496" t="str">
        <f>IF(C7496="","",UPPER(LEFT(SUBSTITUTE(C7496," ",""),3))&amp;"-"&amp;TEXT(B7496,"AAMMDD")&amp;"-1")</f>
        <v/>
      </c>
    </row>
    <row r="7497" spans="20:20">
      <c r="T7497" t="str">
        <f>IF(C7497="","",UPPER(LEFT(SUBSTITUTE(C7497," ",""),3))&amp;"-"&amp;TEXT(B7497,"AAMMDD")&amp;"-1")</f>
        <v/>
      </c>
    </row>
    <row r="7498" spans="20:20">
      <c r="T7498" t="str">
        <f>IF(C7498="","",UPPER(LEFT(SUBSTITUTE(C7498," ",""),3))&amp;"-"&amp;TEXT(B7498,"AAMMDD")&amp;"-1")</f>
        <v/>
      </c>
    </row>
    <row r="7499" spans="20:20">
      <c r="T7499" t="str">
        <f>IF(C7499="","",UPPER(LEFT(SUBSTITUTE(C7499," ",""),3))&amp;"-"&amp;TEXT(B7499,"AAMMDD")&amp;"-1")</f>
        <v/>
      </c>
    </row>
    <row r="7500" spans="20:20">
      <c r="T7500" t="str">
        <f>IF(C7500="","",UPPER(LEFT(SUBSTITUTE(C7500," ",""),3))&amp;"-"&amp;TEXT(B7500,"AAMMDD")&amp;"-1")</f>
        <v/>
      </c>
    </row>
    <row r="7501" spans="20:20">
      <c r="T7501" t="str">
        <f>IF(C7501="","",UPPER(LEFT(SUBSTITUTE(C7501," ",""),3))&amp;"-"&amp;TEXT(B7501,"AAMMDD")&amp;"-1")</f>
        <v/>
      </c>
    </row>
    <row r="7502" spans="20:20">
      <c r="T7502" t="str">
        <f>IF(C7502="","",UPPER(LEFT(SUBSTITUTE(C7502," ",""),3))&amp;"-"&amp;TEXT(B7502,"AAMMDD")&amp;"-1")</f>
        <v/>
      </c>
    </row>
    <row r="7503" spans="20:20">
      <c r="T7503" t="str">
        <f>IF(C7503="","",UPPER(LEFT(SUBSTITUTE(C7503," ",""),3))&amp;"-"&amp;TEXT(B7503,"AAMMDD")&amp;"-1")</f>
        <v/>
      </c>
    </row>
    <row r="7504" spans="20:20">
      <c r="T7504" t="str">
        <f>IF(C7504="","",UPPER(LEFT(SUBSTITUTE(C7504," ",""),3))&amp;"-"&amp;TEXT(B7504,"AAMMDD")&amp;"-1")</f>
        <v/>
      </c>
    </row>
    <row r="7505" spans="20:20">
      <c r="T7505" t="str">
        <f>IF(C7505="","",UPPER(LEFT(SUBSTITUTE(C7505," ",""),3))&amp;"-"&amp;TEXT(B7505,"AAMMDD")&amp;"-1")</f>
        <v/>
      </c>
    </row>
    <row r="7506" spans="20:20">
      <c r="T7506" t="str">
        <f>IF(C7506="","",UPPER(LEFT(SUBSTITUTE(C7506," ",""),3))&amp;"-"&amp;TEXT(B7506,"AAMMDD")&amp;"-1")</f>
        <v/>
      </c>
    </row>
    <row r="7507" spans="20:20">
      <c r="T7507" t="str">
        <f>IF(C7507="","",UPPER(LEFT(SUBSTITUTE(C7507," ",""),3))&amp;"-"&amp;TEXT(B7507,"AAMMDD")&amp;"-1")</f>
        <v/>
      </c>
    </row>
    <row r="7508" spans="20:20">
      <c r="T7508" t="str">
        <f>IF(C7508="","",UPPER(LEFT(SUBSTITUTE(C7508," ",""),3))&amp;"-"&amp;TEXT(B7508,"AAMMDD")&amp;"-1")</f>
        <v/>
      </c>
    </row>
    <row r="7509" spans="20:20">
      <c r="T7509" t="str">
        <f>IF(C7509="","",UPPER(LEFT(SUBSTITUTE(C7509," ",""),3))&amp;"-"&amp;TEXT(B7509,"AAMMDD")&amp;"-1")</f>
        <v/>
      </c>
    </row>
    <row r="7510" spans="20:20">
      <c r="T7510" t="str">
        <f>IF(C7510="","",UPPER(LEFT(SUBSTITUTE(C7510," ",""),3))&amp;"-"&amp;TEXT(B7510,"AAMMDD")&amp;"-1")</f>
        <v/>
      </c>
    </row>
    <row r="7511" spans="20:20">
      <c r="T7511" t="str">
        <f>IF(C7511="","",UPPER(LEFT(SUBSTITUTE(C7511," ",""),3))&amp;"-"&amp;TEXT(B7511,"AAMMDD")&amp;"-1")</f>
        <v/>
      </c>
    </row>
    <row r="7512" spans="20:20">
      <c r="T7512" t="str">
        <f>IF(C7512="","",UPPER(LEFT(SUBSTITUTE(C7512," ",""),3))&amp;"-"&amp;TEXT(B7512,"AAMMDD")&amp;"-1")</f>
        <v/>
      </c>
    </row>
    <row r="7513" spans="20:20">
      <c r="T7513" t="str">
        <f>IF(C7513="","",UPPER(LEFT(SUBSTITUTE(C7513," ",""),3))&amp;"-"&amp;TEXT(B7513,"AAMMDD")&amp;"-1")</f>
        <v/>
      </c>
    </row>
    <row r="7514" spans="20:20">
      <c r="T7514" t="str">
        <f>IF(C7514="","",UPPER(LEFT(SUBSTITUTE(C7514," ",""),3))&amp;"-"&amp;TEXT(B7514,"AAMMDD")&amp;"-1")</f>
        <v/>
      </c>
    </row>
    <row r="7515" spans="20:20">
      <c r="T7515" t="str">
        <f>IF(C7515="","",UPPER(LEFT(SUBSTITUTE(C7515," ",""),3))&amp;"-"&amp;TEXT(B7515,"AAMMDD")&amp;"-1")</f>
        <v/>
      </c>
    </row>
    <row r="7516" spans="20:20">
      <c r="T7516" t="str">
        <f>IF(C7516="","",UPPER(LEFT(SUBSTITUTE(C7516," ",""),3))&amp;"-"&amp;TEXT(B7516,"AAMMDD")&amp;"-1")</f>
        <v/>
      </c>
    </row>
    <row r="7517" spans="20:20">
      <c r="T7517" t="str">
        <f>IF(C7517="","",UPPER(LEFT(SUBSTITUTE(C7517," ",""),3))&amp;"-"&amp;TEXT(B7517,"AAMMDD")&amp;"-1")</f>
        <v/>
      </c>
    </row>
    <row r="7518" spans="20:20">
      <c r="T7518" t="str">
        <f>IF(C7518="","",UPPER(LEFT(SUBSTITUTE(C7518," ",""),3))&amp;"-"&amp;TEXT(B7518,"AAMMDD")&amp;"-1")</f>
        <v/>
      </c>
    </row>
    <row r="7519" spans="20:20">
      <c r="T7519" t="str">
        <f>IF(C7519="","",UPPER(LEFT(SUBSTITUTE(C7519," ",""),3))&amp;"-"&amp;TEXT(B7519,"AAMMDD")&amp;"-1")</f>
        <v/>
      </c>
    </row>
    <row r="7520" spans="20:20">
      <c r="T7520" t="str">
        <f>IF(C7520="","",UPPER(LEFT(SUBSTITUTE(C7520," ",""),3))&amp;"-"&amp;TEXT(B7520,"AAMMDD")&amp;"-1")</f>
        <v/>
      </c>
    </row>
    <row r="7521" spans="20:20">
      <c r="T7521" t="str">
        <f>IF(C7521="","",UPPER(LEFT(SUBSTITUTE(C7521," ",""),3))&amp;"-"&amp;TEXT(B7521,"AAMMDD")&amp;"-1")</f>
        <v/>
      </c>
    </row>
    <row r="7522" spans="20:20">
      <c r="T7522" t="str">
        <f>IF(C7522="","",UPPER(LEFT(SUBSTITUTE(C7522," ",""),3))&amp;"-"&amp;TEXT(B7522,"AAMMDD")&amp;"-1")</f>
        <v/>
      </c>
    </row>
    <row r="7523" spans="20:20">
      <c r="T7523" t="str">
        <f>IF(C7523="","",UPPER(LEFT(SUBSTITUTE(C7523," ",""),3))&amp;"-"&amp;TEXT(B7523,"AAMMDD")&amp;"-1")</f>
        <v/>
      </c>
    </row>
    <row r="7524" spans="20:20">
      <c r="T7524" t="str">
        <f>IF(C7524="","",UPPER(LEFT(SUBSTITUTE(C7524," ",""),3))&amp;"-"&amp;TEXT(B7524,"AAMMDD")&amp;"-1")</f>
        <v/>
      </c>
    </row>
    <row r="7525" spans="20:20">
      <c r="T7525" t="str">
        <f>IF(C7525="","",UPPER(LEFT(SUBSTITUTE(C7525," ",""),3))&amp;"-"&amp;TEXT(B7525,"AAMMDD")&amp;"-1")</f>
        <v/>
      </c>
    </row>
    <row r="7526" spans="20:20">
      <c r="T7526" t="str">
        <f>IF(C7526="","",UPPER(LEFT(SUBSTITUTE(C7526," ",""),3))&amp;"-"&amp;TEXT(B7526,"AAMMDD")&amp;"-1")</f>
        <v/>
      </c>
    </row>
    <row r="7527" spans="20:20">
      <c r="T7527" t="str">
        <f>IF(C7527="","",UPPER(LEFT(SUBSTITUTE(C7527," ",""),3))&amp;"-"&amp;TEXT(B7527,"AAMMDD")&amp;"-1")</f>
        <v/>
      </c>
    </row>
    <row r="7528" spans="20:20">
      <c r="T7528" t="str">
        <f>IF(C7528="","",UPPER(LEFT(SUBSTITUTE(C7528," ",""),3))&amp;"-"&amp;TEXT(B7528,"AAMMDD")&amp;"-1")</f>
        <v/>
      </c>
    </row>
    <row r="7529" spans="20:20">
      <c r="T7529" t="str">
        <f>IF(C7529="","",UPPER(LEFT(SUBSTITUTE(C7529," ",""),3))&amp;"-"&amp;TEXT(B7529,"AAMMDD")&amp;"-1")</f>
        <v/>
      </c>
    </row>
    <row r="7530" spans="20:20">
      <c r="T7530" t="str">
        <f>IF(C7530="","",UPPER(LEFT(SUBSTITUTE(C7530," ",""),3))&amp;"-"&amp;TEXT(B7530,"AAMMDD")&amp;"-1")</f>
        <v/>
      </c>
    </row>
    <row r="7531" spans="20:20">
      <c r="T7531" t="str">
        <f>IF(C7531="","",UPPER(LEFT(SUBSTITUTE(C7531," ",""),3))&amp;"-"&amp;TEXT(B7531,"AAMMDD")&amp;"-1")</f>
        <v/>
      </c>
    </row>
    <row r="7532" spans="20:20">
      <c r="T7532" t="str">
        <f>IF(C7532="","",UPPER(LEFT(SUBSTITUTE(C7532," ",""),3))&amp;"-"&amp;TEXT(B7532,"AAMMDD")&amp;"-1")</f>
        <v/>
      </c>
    </row>
    <row r="7533" spans="20:20">
      <c r="T7533" t="str">
        <f>IF(C7533="","",UPPER(LEFT(SUBSTITUTE(C7533," ",""),3))&amp;"-"&amp;TEXT(B7533,"AAMMDD")&amp;"-1")</f>
        <v/>
      </c>
    </row>
    <row r="7534" spans="20:20">
      <c r="T7534" t="str">
        <f>IF(C7534="","",UPPER(LEFT(SUBSTITUTE(C7534," ",""),3))&amp;"-"&amp;TEXT(B7534,"AAMMDD")&amp;"-1")</f>
        <v/>
      </c>
    </row>
    <row r="7535" spans="20:20">
      <c r="T7535" t="str">
        <f>IF(C7535="","",UPPER(LEFT(SUBSTITUTE(C7535," ",""),3))&amp;"-"&amp;TEXT(B7535,"AAMMDD")&amp;"-1")</f>
        <v/>
      </c>
    </row>
    <row r="7536" spans="20:20">
      <c r="T7536" t="str">
        <f>IF(C7536="","",UPPER(LEFT(SUBSTITUTE(C7536," ",""),3))&amp;"-"&amp;TEXT(B7536,"AAMMDD")&amp;"-1")</f>
        <v/>
      </c>
    </row>
    <row r="7537" spans="20:20">
      <c r="T7537" t="str">
        <f>IF(C7537="","",UPPER(LEFT(SUBSTITUTE(C7537," ",""),3))&amp;"-"&amp;TEXT(B7537,"AAMMDD")&amp;"-1")</f>
        <v/>
      </c>
    </row>
    <row r="7538" spans="20:20">
      <c r="T7538" t="str">
        <f>IF(C7538="","",UPPER(LEFT(SUBSTITUTE(C7538," ",""),3))&amp;"-"&amp;TEXT(B7538,"AAMMDD")&amp;"-1")</f>
        <v/>
      </c>
    </row>
    <row r="7539" spans="20:20">
      <c r="T7539" t="str">
        <f>IF(C7539="","",UPPER(LEFT(SUBSTITUTE(C7539," ",""),3))&amp;"-"&amp;TEXT(B7539,"AAMMDD")&amp;"-1")</f>
        <v/>
      </c>
    </row>
    <row r="7540" spans="20:20">
      <c r="T7540" t="str">
        <f>IF(C7540="","",UPPER(LEFT(SUBSTITUTE(C7540," ",""),3))&amp;"-"&amp;TEXT(B7540,"AAMMDD")&amp;"-1")</f>
        <v/>
      </c>
    </row>
    <row r="7541" spans="20:20">
      <c r="T7541" t="str">
        <f>IF(C7541="","",UPPER(LEFT(SUBSTITUTE(C7541," ",""),3))&amp;"-"&amp;TEXT(B7541,"AAMMDD")&amp;"-1")</f>
        <v/>
      </c>
    </row>
    <row r="7542" spans="20:20">
      <c r="T7542" t="str">
        <f>IF(C7542="","",UPPER(LEFT(SUBSTITUTE(C7542," ",""),3))&amp;"-"&amp;TEXT(B7542,"AAMMDD")&amp;"-1")</f>
        <v/>
      </c>
    </row>
    <row r="7543" spans="20:20">
      <c r="T7543" t="str">
        <f>IF(C7543="","",UPPER(LEFT(SUBSTITUTE(C7543," ",""),3))&amp;"-"&amp;TEXT(B7543,"AAMMDD")&amp;"-1")</f>
        <v/>
      </c>
    </row>
    <row r="7544" spans="20:20">
      <c r="T7544" t="str">
        <f>IF(C7544="","",UPPER(LEFT(SUBSTITUTE(C7544," ",""),3))&amp;"-"&amp;TEXT(B7544,"AAMMDD")&amp;"-1")</f>
        <v/>
      </c>
    </row>
    <row r="7545" spans="20:20">
      <c r="T7545" t="str">
        <f>IF(C7545="","",UPPER(LEFT(SUBSTITUTE(C7545," ",""),3))&amp;"-"&amp;TEXT(B7545,"AAMMDD")&amp;"-1")</f>
        <v/>
      </c>
    </row>
    <row r="7546" spans="20:20">
      <c r="T7546" t="str">
        <f>IF(C7546="","",UPPER(LEFT(SUBSTITUTE(C7546," ",""),3))&amp;"-"&amp;TEXT(B7546,"AAMMDD")&amp;"-1")</f>
        <v/>
      </c>
    </row>
    <row r="7547" spans="20:20">
      <c r="T7547" t="str">
        <f>IF(C7547="","",UPPER(LEFT(SUBSTITUTE(C7547," ",""),3))&amp;"-"&amp;TEXT(B7547,"AAMMDD")&amp;"-1")</f>
        <v/>
      </c>
    </row>
    <row r="7548" spans="20:20">
      <c r="T7548" t="str">
        <f>IF(C7548="","",UPPER(LEFT(SUBSTITUTE(C7548," ",""),3))&amp;"-"&amp;TEXT(B7548,"AAMMDD")&amp;"-1")</f>
        <v/>
      </c>
    </row>
    <row r="7549" spans="20:20">
      <c r="T7549" t="str">
        <f>IF(C7549="","",UPPER(LEFT(SUBSTITUTE(C7549," ",""),3))&amp;"-"&amp;TEXT(B7549,"AAMMDD")&amp;"-1")</f>
        <v/>
      </c>
    </row>
    <row r="7550" spans="20:20">
      <c r="T7550" t="str">
        <f>IF(C7550="","",UPPER(LEFT(SUBSTITUTE(C7550," ",""),3))&amp;"-"&amp;TEXT(B7550,"AAMMDD")&amp;"-1")</f>
        <v/>
      </c>
    </row>
    <row r="7551" spans="20:20">
      <c r="T7551" t="str">
        <f>IF(C7551="","",UPPER(LEFT(SUBSTITUTE(C7551," ",""),3))&amp;"-"&amp;TEXT(B7551,"AAMMDD")&amp;"-1")</f>
        <v/>
      </c>
    </row>
    <row r="7552" spans="20:20">
      <c r="T7552" t="str">
        <f>IF(C7552="","",UPPER(LEFT(SUBSTITUTE(C7552," ",""),3))&amp;"-"&amp;TEXT(B7552,"AAMMDD")&amp;"-1")</f>
        <v/>
      </c>
    </row>
    <row r="7553" spans="20:20">
      <c r="T7553" t="str">
        <f>IF(C7553="","",UPPER(LEFT(SUBSTITUTE(C7553," ",""),3))&amp;"-"&amp;TEXT(B7553,"AAMMDD")&amp;"-1")</f>
        <v/>
      </c>
    </row>
    <row r="7554" spans="20:20">
      <c r="T7554" t="str">
        <f>IF(C7554="","",UPPER(LEFT(SUBSTITUTE(C7554," ",""),3))&amp;"-"&amp;TEXT(B7554,"AAMMDD")&amp;"-1")</f>
        <v/>
      </c>
    </row>
    <row r="7555" spans="20:20">
      <c r="T7555" t="str">
        <f>IF(C7555="","",UPPER(LEFT(SUBSTITUTE(C7555," ",""),3))&amp;"-"&amp;TEXT(B7555,"AAMMDD")&amp;"-1")</f>
        <v/>
      </c>
    </row>
    <row r="7556" spans="20:20">
      <c r="T7556" t="str">
        <f>IF(C7556="","",UPPER(LEFT(SUBSTITUTE(C7556," ",""),3))&amp;"-"&amp;TEXT(B7556,"AAMMDD")&amp;"-1")</f>
        <v/>
      </c>
    </row>
    <row r="7557" spans="20:20">
      <c r="T7557" t="str">
        <f>IF(C7557="","",UPPER(LEFT(SUBSTITUTE(C7557," ",""),3))&amp;"-"&amp;TEXT(B7557,"AAMMDD")&amp;"-1")</f>
        <v/>
      </c>
    </row>
    <row r="7558" spans="20:20">
      <c r="T7558" t="str">
        <f>IF(C7558="","",UPPER(LEFT(SUBSTITUTE(C7558," ",""),3))&amp;"-"&amp;TEXT(B7558,"AAMMDD")&amp;"-1")</f>
        <v/>
      </c>
    </row>
    <row r="7559" spans="20:20">
      <c r="T7559" t="str">
        <f>IF(C7559="","",UPPER(LEFT(SUBSTITUTE(C7559," ",""),3))&amp;"-"&amp;TEXT(B7559,"AAMMDD")&amp;"-1")</f>
        <v/>
      </c>
    </row>
    <row r="7560" spans="20:20">
      <c r="T7560" t="str">
        <f>IF(C7560="","",UPPER(LEFT(SUBSTITUTE(C7560," ",""),3))&amp;"-"&amp;TEXT(B7560,"AAMMDD")&amp;"-1")</f>
        <v/>
      </c>
    </row>
    <row r="7561" spans="20:20">
      <c r="T7561" t="str">
        <f>IF(C7561="","",UPPER(LEFT(SUBSTITUTE(C7561," ",""),3))&amp;"-"&amp;TEXT(B7561,"AAMMDD")&amp;"-1")</f>
        <v/>
      </c>
    </row>
    <row r="7562" spans="20:20">
      <c r="T7562" t="str">
        <f>IF(C7562="","",UPPER(LEFT(SUBSTITUTE(C7562," ",""),3))&amp;"-"&amp;TEXT(B7562,"AAMMDD")&amp;"-1")</f>
        <v/>
      </c>
    </row>
    <row r="7563" spans="20:20">
      <c r="T7563" t="str">
        <f>IF(C7563="","",UPPER(LEFT(SUBSTITUTE(C7563," ",""),3))&amp;"-"&amp;TEXT(B7563,"AAMMDD")&amp;"-1")</f>
        <v/>
      </c>
    </row>
    <row r="7564" spans="20:20">
      <c r="T7564" t="str">
        <f>IF(C7564="","",UPPER(LEFT(SUBSTITUTE(C7564," ",""),3))&amp;"-"&amp;TEXT(B7564,"AAMMDD")&amp;"-1")</f>
        <v/>
      </c>
    </row>
    <row r="7565" spans="20:20">
      <c r="T7565" t="str">
        <f>IF(C7565="","",UPPER(LEFT(SUBSTITUTE(C7565," ",""),3))&amp;"-"&amp;TEXT(B7565,"AAMMDD")&amp;"-1")</f>
        <v/>
      </c>
    </row>
    <row r="7566" spans="20:20">
      <c r="T7566" t="str">
        <f>IF(C7566="","",UPPER(LEFT(SUBSTITUTE(C7566," ",""),3))&amp;"-"&amp;TEXT(B7566,"AAMMDD")&amp;"-1")</f>
        <v/>
      </c>
    </row>
    <row r="7567" spans="20:20">
      <c r="T7567" t="str">
        <f>IF(C7567="","",UPPER(LEFT(SUBSTITUTE(C7567," ",""),3))&amp;"-"&amp;TEXT(B7567,"AAMMDD")&amp;"-1")</f>
        <v/>
      </c>
    </row>
    <row r="7568" spans="20:20">
      <c r="T7568" t="str">
        <f>IF(C7568="","",UPPER(LEFT(SUBSTITUTE(C7568," ",""),3))&amp;"-"&amp;TEXT(B7568,"AAMMDD")&amp;"-1")</f>
        <v/>
      </c>
    </row>
    <row r="7569" spans="20:20">
      <c r="T7569" t="str">
        <f>IF(C7569="","",UPPER(LEFT(SUBSTITUTE(C7569," ",""),3))&amp;"-"&amp;TEXT(B7569,"AAMMDD")&amp;"-1")</f>
        <v/>
      </c>
    </row>
    <row r="7570" spans="20:20">
      <c r="T7570" t="str">
        <f>IF(C7570="","",UPPER(LEFT(SUBSTITUTE(C7570," ",""),3))&amp;"-"&amp;TEXT(B7570,"AAMMDD")&amp;"-1")</f>
        <v/>
      </c>
    </row>
    <row r="7571" spans="20:20">
      <c r="T7571" t="str">
        <f>IF(C7571="","",UPPER(LEFT(SUBSTITUTE(C7571," ",""),3))&amp;"-"&amp;TEXT(B7571,"AAMMDD")&amp;"-1")</f>
        <v/>
      </c>
    </row>
    <row r="7572" spans="20:20">
      <c r="T7572" t="str">
        <f>IF(C7572="","",UPPER(LEFT(SUBSTITUTE(C7572," ",""),3))&amp;"-"&amp;TEXT(B7572,"AAMMDD")&amp;"-1")</f>
        <v/>
      </c>
    </row>
    <row r="7573" spans="20:20">
      <c r="T7573" t="str">
        <f>IF(C7573="","",UPPER(LEFT(SUBSTITUTE(C7573," ",""),3))&amp;"-"&amp;TEXT(B7573,"AAMMDD")&amp;"-1")</f>
        <v/>
      </c>
    </row>
    <row r="7574" spans="20:20">
      <c r="T7574" t="str">
        <f>IF(C7574="","",UPPER(LEFT(SUBSTITUTE(C7574," ",""),3))&amp;"-"&amp;TEXT(B7574,"AAMMDD")&amp;"-1")</f>
        <v/>
      </c>
    </row>
    <row r="7575" spans="20:20">
      <c r="T7575" t="str">
        <f>IF(C7575="","",UPPER(LEFT(SUBSTITUTE(C7575," ",""),3))&amp;"-"&amp;TEXT(B7575,"AAMMDD")&amp;"-1")</f>
        <v/>
      </c>
    </row>
    <row r="7576" spans="20:20">
      <c r="T7576" t="str">
        <f>IF(C7576="","",UPPER(LEFT(SUBSTITUTE(C7576," ",""),3))&amp;"-"&amp;TEXT(B7576,"AAMMDD")&amp;"-1")</f>
        <v/>
      </c>
    </row>
    <row r="7577" spans="20:20">
      <c r="T7577" t="str">
        <f>IF(C7577="","",UPPER(LEFT(SUBSTITUTE(C7577," ",""),3))&amp;"-"&amp;TEXT(B7577,"AAMMDD")&amp;"-1")</f>
        <v/>
      </c>
    </row>
    <row r="7578" spans="20:20">
      <c r="T7578" t="str">
        <f>IF(C7578="","",UPPER(LEFT(SUBSTITUTE(C7578," ",""),3))&amp;"-"&amp;TEXT(B7578,"AAMMDD")&amp;"-1")</f>
        <v/>
      </c>
    </row>
    <row r="7579" spans="20:20">
      <c r="T7579" t="str">
        <f>IF(C7579="","",UPPER(LEFT(SUBSTITUTE(C7579," ",""),3))&amp;"-"&amp;TEXT(B7579,"AAMMDD")&amp;"-1")</f>
        <v/>
      </c>
    </row>
    <row r="7580" spans="20:20">
      <c r="T7580" t="str">
        <f>IF(C7580="","",UPPER(LEFT(SUBSTITUTE(C7580," ",""),3))&amp;"-"&amp;TEXT(B7580,"AAMMDD")&amp;"-1")</f>
        <v/>
      </c>
    </row>
    <row r="7581" spans="20:20">
      <c r="T7581" t="str">
        <f>IF(C7581="","",UPPER(LEFT(SUBSTITUTE(C7581," ",""),3))&amp;"-"&amp;TEXT(B7581,"AAMMDD")&amp;"-1")</f>
        <v/>
      </c>
    </row>
    <row r="7582" spans="20:20">
      <c r="T7582" t="str">
        <f>IF(C7582="","",UPPER(LEFT(SUBSTITUTE(C7582," ",""),3))&amp;"-"&amp;TEXT(B7582,"AAMMDD")&amp;"-1")</f>
        <v/>
      </c>
    </row>
    <row r="7583" spans="20:20">
      <c r="T7583" t="str">
        <f>IF(C7583="","",UPPER(LEFT(SUBSTITUTE(C7583," ",""),3))&amp;"-"&amp;TEXT(B7583,"AAMMDD")&amp;"-1")</f>
        <v/>
      </c>
    </row>
    <row r="7584" spans="20:20">
      <c r="T7584" t="str">
        <f>IF(C7584="","",UPPER(LEFT(SUBSTITUTE(C7584," ",""),3))&amp;"-"&amp;TEXT(B7584,"AAMMDD")&amp;"-1")</f>
        <v/>
      </c>
    </row>
    <row r="7585" spans="20:20">
      <c r="T7585" t="str">
        <f>IF(C7585="","",UPPER(LEFT(SUBSTITUTE(C7585," ",""),3))&amp;"-"&amp;TEXT(B7585,"AAMMDD")&amp;"-1")</f>
        <v/>
      </c>
    </row>
    <row r="7586" spans="20:20">
      <c r="T7586" t="str">
        <f>IF(C7586="","",UPPER(LEFT(SUBSTITUTE(C7586," ",""),3))&amp;"-"&amp;TEXT(B7586,"AAMMDD")&amp;"-1")</f>
        <v/>
      </c>
    </row>
    <row r="7587" spans="20:20">
      <c r="T7587" t="str">
        <f>IF(C7587="","",UPPER(LEFT(SUBSTITUTE(C7587," ",""),3))&amp;"-"&amp;TEXT(B7587,"AAMMDD")&amp;"-1")</f>
        <v/>
      </c>
    </row>
    <row r="7588" spans="20:20">
      <c r="T7588" t="str">
        <f>IF(C7588="","",UPPER(LEFT(SUBSTITUTE(C7588," ",""),3))&amp;"-"&amp;TEXT(B7588,"AAMMDD")&amp;"-1")</f>
        <v/>
      </c>
    </row>
    <row r="7589" spans="20:20">
      <c r="T7589" t="str">
        <f>IF(C7589="","",UPPER(LEFT(SUBSTITUTE(C7589," ",""),3))&amp;"-"&amp;TEXT(B7589,"AAMMDD")&amp;"-1")</f>
        <v/>
      </c>
    </row>
    <row r="7590" spans="20:20">
      <c r="T7590" t="str">
        <f>IF(C7590="","",UPPER(LEFT(SUBSTITUTE(C7590," ",""),3))&amp;"-"&amp;TEXT(B7590,"AAMMDD")&amp;"-1")</f>
        <v/>
      </c>
    </row>
    <row r="7591" spans="20:20">
      <c r="T7591" t="str">
        <f>IF(C7591="","",UPPER(LEFT(SUBSTITUTE(C7591," ",""),3))&amp;"-"&amp;TEXT(B7591,"AAMMDD")&amp;"-1")</f>
        <v/>
      </c>
    </row>
    <row r="7592" spans="20:20">
      <c r="T7592" t="str">
        <f>IF(C7592="","",UPPER(LEFT(SUBSTITUTE(C7592," ",""),3))&amp;"-"&amp;TEXT(B7592,"AAMMDD")&amp;"-1")</f>
        <v/>
      </c>
    </row>
    <row r="7593" spans="20:20">
      <c r="T7593" t="str">
        <f>IF(C7593="","",UPPER(LEFT(SUBSTITUTE(C7593," ",""),3))&amp;"-"&amp;TEXT(B7593,"AAMMDD")&amp;"-1")</f>
        <v/>
      </c>
    </row>
    <row r="7594" spans="20:20">
      <c r="T7594" t="str">
        <f>IF(C7594="","",UPPER(LEFT(SUBSTITUTE(C7594," ",""),3))&amp;"-"&amp;TEXT(B7594,"AAMMDD")&amp;"-1")</f>
        <v/>
      </c>
    </row>
    <row r="7595" spans="20:20">
      <c r="T7595" t="str">
        <f>IF(C7595="","",UPPER(LEFT(SUBSTITUTE(C7595," ",""),3))&amp;"-"&amp;TEXT(B7595,"AAMMDD")&amp;"-1")</f>
        <v/>
      </c>
    </row>
    <row r="7596" spans="20:20">
      <c r="T7596" t="str">
        <f>IF(C7596="","",UPPER(LEFT(SUBSTITUTE(C7596," ",""),3))&amp;"-"&amp;TEXT(B7596,"AAMMDD")&amp;"-1")</f>
        <v/>
      </c>
    </row>
    <row r="7597" spans="20:20">
      <c r="T7597" t="str">
        <f>IF(C7597="","",UPPER(LEFT(SUBSTITUTE(C7597," ",""),3))&amp;"-"&amp;TEXT(B7597,"AAMMDD")&amp;"-1")</f>
        <v/>
      </c>
    </row>
    <row r="7598" spans="20:20">
      <c r="T7598" t="str">
        <f>IF(C7598="","",UPPER(LEFT(SUBSTITUTE(C7598," ",""),3))&amp;"-"&amp;TEXT(B7598,"AAMMDD")&amp;"-1")</f>
        <v/>
      </c>
    </row>
    <row r="7599" spans="20:20">
      <c r="T7599" t="str">
        <f>IF(C7599="","",UPPER(LEFT(SUBSTITUTE(C7599," ",""),3))&amp;"-"&amp;TEXT(B7599,"AAMMDD")&amp;"-1")</f>
        <v/>
      </c>
    </row>
    <row r="7600" spans="20:20">
      <c r="T7600" t="str">
        <f>IF(C7600="","",UPPER(LEFT(SUBSTITUTE(C7600," ",""),3))&amp;"-"&amp;TEXT(B7600,"AAMMDD")&amp;"-1")</f>
        <v/>
      </c>
    </row>
    <row r="7601" spans="20:20">
      <c r="T7601" t="str">
        <f>IF(C7601="","",UPPER(LEFT(SUBSTITUTE(C7601," ",""),3))&amp;"-"&amp;TEXT(B7601,"AAMMDD")&amp;"-1")</f>
        <v/>
      </c>
    </row>
    <row r="7602" spans="20:20">
      <c r="T7602" t="str">
        <f>IF(C7602="","",UPPER(LEFT(SUBSTITUTE(C7602," ",""),3))&amp;"-"&amp;TEXT(B7602,"AAMMDD")&amp;"-1")</f>
        <v/>
      </c>
    </row>
    <row r="7603" spans="20:20">
      <c r="T7603" t="str">
        <f>IF(C7603="","",UPPER(LEFT(SUBSTITUTE(C7603," ",""),3))&amp;"-"&amp;TEXT(B7603,"AAMMDD")&amp;"-1")</f>
        <v/>
      </c>
    </row>
    <row r="7604" spans="20:20">
      <c r="T7604" t="str">
        <f>IF(C7604="","",UPPER(LEFT(SUBSTITUTE(C7604," ",""),3))&amp;"-"&amp;TEXT(B7604,"AAMMDD")&amp;"-1")</f>
        <v/>
      </c>
    </row>
    <row r="7605" spans="20:20">
      <c r="T7605" t="str">
        <f>IF(C7605="","",UPPER(LEFT(SUBSTITUTE(C7605," ",""),3))&amp;"-"&amp;TEXT(B7605,"AAMMDD")&amp;"-1")</f>
        <v/>
      </c>
    </row>
    <row r="7606" spans="20:20">
      <c r="T7606" t="str">
        <f>IF(C7606="","",UPPER(LEFT(SUBSTITUTE(C7606," ",""),3))&amp;"-"&amp;TEXT(B7606,"AAMMDD")&amp;"-1")</f>
        <v/>
      </c>
    </row>
    <row r="7607" spans="20:20">
      <c r="T7607" t="str">
        <f>IF(C7607="","",UPPER(LEFT(SUBSTITUTE(C7607," ",""),3))&amp;"-"&amp;TEXT(B7607,"AAMMDD")&amp;"-1")</f>
        <v/>
      </c>
    </row>
    <row r="7608" spans="20:20">
      <c r="T7608" t="str">
        <f>IF(C7608="","",UPPER(LEFT(SUBSTITUTE(C7608," ",""),3))&amp;"-"&amp;TEXT(B7608,"AAMMDD")&amp;"-1")</f>
        <v/>
      </c>
    </row>
    <row r="7609" spans="20:20">
      <c r="T7609" t="str">
        <f>IF(C7609="","",UPPER(LEFT(SUBSTITUTE(C7609," ",""),3))&amp;"-"&amp;TEXT(B7609,"AAMMDD")&amp;"-1")</f>
        <v/>
      </c>
    </row>
    <row r="7610" spans="20:20">
      <c r="T7610" t="str">
        <f>IF(C7610="","",UPPER(LEFT(SUBSTITUTE(C7610," ",""),3))&amp;"-"&amp;TEXT(B7610,"AAMMDD")&amp;"-1")</f>
        <v/>
      </c>
    </row>
    <row r="7611" spans="20:20">
      <c r="T7611" t="str">
        <f>IF(C7611="","",UPPER(LEFT(SUBSTITUTE(C7611," ",""),3))&amp;"-"&amp;TEXT(B7611,"AAMMDD")&amp;"-1")</f>
        <v/>
      </c>
    </row>
    <row r="7612" spans="20:20">
      <c r="T7612" t="str">
        <f>IF(C7612="","",UPPER(LEFT(SUBSTITUTE(C7612," ",""),3))&amp;"-"&amp;TEXT(B7612,"AAMMDD")&amp;"-1")</f>
        <v/>
      </c>
    </row>
    <row r="7613" spans="20:20">
      <c r="T7613" t="str">
        <f>IF(C7613="","",UPPER(LEFT(SUBSTITUTE(C7613," ",""),3))&amp;"-"&amp;TEXT(B7613,"AAMMDD")&amp;"-1")</f>
        <v/>
      </c>
    </row>
    <row r="7614" spans="20:20">
      <c r="T7614" t="str">
        <f>IF(C7614="","",UPPER(LEFT(SUBSTITUTE(C7614," ",""),3))&amp;"-"&amp;TEXT(B7614,"AAMMDD")&amp;"-1")</f>
        <v/>
      </c>
    </row>
    <row r="7615" spans="20:20">
      <c r="T7615" t="str">
        <f>IF(C7615="","",UPPER(LEFT(SUBSTITUTE(C7615," ",""),3))&amp;"-"&amp;TEXT(B7615,"AAMMDD")&amp;"-1")</f>
        <v/>
      </c>
    </row>
    <row r="7616" spans="20:20">
      <c r="T7616" t="str">
        <f>IF(C7616="","",UPPER(LEFT(SUBSTITUTE(C7616," ",""),3))&amp;"-"&amp;TEXT(B7616,"AAMMDD")&amp;"-1")</f>
        <v/>
      </c>
    </row>
    <row r="7617" spans="20:20">
      <c r="T7617" t="str">
        <f>IF(C7617="","",UPPER(LEFT(SUBSTITUTE(C7617," ",""),3))&amp;"-"&amp;TEXT(B7617,"AAMMDD")&amp;"-1")</f>
        <v/>
      </c>
    </row>
    <row r="7618" spans="20:20">
      <c r="T7618" t="str">
        <f>IF(C7618="","",UPPER(LEFT(SUBSTITUTE(C7618," ",""),3))&amp;"-"&amp;TEXT(B7618,"AAMMDD")&amp;"-1")</f>
        <v/>
      </c>
    </row>
    <row r="7619" spans="20:20">
      <c r="T7619" t="str">
        <f>IF(C7619="","",UPPER(LEFT(SUBSTITUTE(C7619," ",""),3))&amp;"-"&amp;TEXT(B7619,"AAMMDD")&amp;"-1")</f>
        <v/>
      </c>
    </row>
    <row r="7620" spans="20:20">
      <c r="T7620" t="str">
        <f>IF(C7620="","",UPPER(LEFT(SUBSTITUTE(C7620," ",""),3))&amp;"-"&amp;TEXT(B7620,"AAMMDD")&amp;"-1")</f>
        <v/>
      </c>
    </row>
    <row r="7621" spans="20:20">
      <c r="T7621" t="str">
        <f>IF(C7621="","",UPPER(LEFT(SUBSTITUTE(C7621," ",""),3))&amp;"-"&amp;TEXT(B7621,"AAMMDD")&amp;"-1")</f>
        <v/>
      </c>
    </row>
    <row r="7622" spans="20:20">
      <c r="T7622" t="str">
        <f>IF(C7622="","",UPPER(LEFT(SUBSTITUTE(C7622," ",""),3))&amp;"-"&amp;TEXT(B7622,"AAMMDD")&amp;"-1")</f>
        <v/>
      </c>
    </row>
    <row r="7623" spans="20:20">
      <c r="T7623" t="str">
        <f>IF(C7623="","",UPPER(LEFT(SUBSTITUTE(C7623," ",""),3))&amp;"-"&amp;TEXT(B7623,"AAMMDD")&amp;"-1")</f>
        <v/>
      </c>
    </row>
    <row r="7624" spans="20:20">
      <c r="T7624" t="str">
        <f>IF(C7624="","",UPPER(LEFT(SUBSTITUTE(C7624," ",""),3))&amp;"-"&amp;TEXT(B7624,"AAMMDD")&amp;"-1")</f>
        <v/>
      </c>
    </row>
    <row r="7625" spans="20:20">
      <c r="T7625" t="str">
        <f>IF(C7625="","",UPPER(LEFT(SUBSTITUTE(C7625," ",""),3))&amp;"-"&amp;TEXT(B7625,"AAMMDD")&amp;"-1")</f>
        <v/>
      </c>
    </row>
    <row r="7626" spans="20:20">
      <c r="T7626" t="str">
        <f>IF(C7626="","",UPPER(LEFT(SUBSTITUTE(C7626," ",""),3))&amp;"-"&amp;TEXT(B7626,"AAMMDD")&amp;"-1")</f>
        <v/>
      </c>
    </row>
    <row r="7627" spans="20:20">
      <c r="T7627" t="str">
        <f>IF(C7627="","",UPPER(LEFT(SUBSTITUTE(C7627," ",""),3))&amp;"-"&amp;TEXT(B7627,"AAMMDD")&amp;"-1")</f>
        <v/>
      </c>
    </row>
    <row r="7628" spans="20:20">
      <c r="T7628" t="str">
        <f>IF(C7628="","",UPPER(LEFT(SUBSTITUTE(C7628," ",""),3))&amp;"-"&amp;TEXT(B7628,"AAMMDD")&amp;"-1")</f>
        <v/>
      </c>
    </row>
    <row r="7629" spans="20:20">
      <c r="T7629" t="str">
        <f>IF(C7629="","",UPPER(LEFT(SUBSTITUTE(C7629," ",""),3))&amp;"-"&amp;TEXT(B7629,"AAMMDD")&amp;"-1")</f>
        <v/>
      </c>
    </row>
    <row r="7630" spans="20:20">
      <c r="T7630" t="str">
        <f>IF(C7630="","",UPPER(LEFT(SUBSTITUTE(C7630," ",""),3))&amp;"-"&amp;TEXT(B7630,"AAMMDD")&amp;"-1")</f>
        <v/>
      </c>
    </row>
    <row r="7631" spans="20:20">
      <c r="T7631" t="str">
        <f>IF(C7631="","",UPPER(LEFT(SUBSTITUTE(C7631," ",""),3))&amp;"-"&amp;TEXT(B7631,"AAMMDD")&amp;"-1")</f>
        <v/>
      </c>
    </row>
    <row r="7632" spans="20:20">
      <c r="T7632" t="str">
        <f>IF(C7632="","",UPPER(LEFT(SUBSTITUTE(C7632," ",""),3))&amp;"-"&amp;TEXT(B7632,"AAMMDD")&amp;"-1")</f>
        <v/>
      </c>
    </row>
    <row r="7633" spans="20:20">
      <c r="T7633" t="str">
        <f>IF(C7633="","",UPPER(LEFT(SUBSTITUTE(C7633," ",""),3))&amp;"-"&amp;TEXT(B7633,"AAMMDD")&amp;"-1")</f>
        <v/>
      </c>
    </row>
    <row r="7634" spans="20:20">
      <c r="T7634" t="str">
        <f>IF(C7634="","",UPPER(LEFT(SUBSTITUTE(C7634," ",""),3))&amp;"-"&amp;TEXT(B7634,"AAMMDD")&amp;"-1")</f>
        <v/>
      </c>
    </row>
    <row r="7635" spans="20:20">
      <c r="T7635" t="str">
        <f>IF(C7635="","",UPPER(LEFT(SUBSTITUTE(C7635," ",""),3))&amp;"-"&amp;TEXT(B7635,"AAMMDD")&amp;"-1")</f>
        <v/>
      </c>
    </row>
    <row r="7636" spans="20:20">
      <c r="T7636" t="str">
        <f>IF(C7636="","",UPPER(LEFT(SUBSTITUTE(C7636," ",""),3))&amp;"-"&amp;TEXT(B7636,"AAMMDD")&amp;"-1")</f>
        <v/>
      </c>
    </row>
    <row r="7637" spans="20:20">
      <c r="T7637" t="str">
        <f>IF(C7637="","",UPPER(LEFT(SUBSTITUTE(C7637," ",""),3))&amp;"-"&amp;TEXT(B7637,"AAMMDD")&amp;"-1")</f>
        <v/>
      </c>
    </row>
    <row r="7638" spans="20:20">
      <c r="T7638" t="str">
        <f>IF(C7638="","",UPPER(LEFT(SUBSTITUTE(C7638," ",""),3))&amp;"-"&amp;TEXT(B7638,"AAMMDD")&amp;"-1")</f>
        <v/>
      </c>
    </row>
    <row r="7639" spans="20:20">
      <c r="T7639" t="str">
        <f>IF(C7639="","",UPPER(LEFT(SUBSTITUTE(C7639," ",""),3))&amp;"-"&amp;TEXT(B7639,"AAMMDD")&amp;"-1")</f>
        <v/>
      </c>
    </row>
    <row r="7640" spans="20:20">
      <c r="T7640" t="str">
        <f>IF(C7640="","",UPPER(LEFT(SUBSTITUTE(C7640," ",""),3))&amp;"-"&amp;TEXT(B7640,"AAMMDD")&amp;"-1")</f>
        <v/>
      </c>
    </row>
    <row r="7641" spans="20:20">
      <c r="T7641" t="str">
        <f>IF(C7641="","",UPPER(LEFT(SUBSTITUTE(C7641," ",""),3))&amp;"-"&amp;TEXT(B7641,"AAMMDD")&amp;"-1")</f>
        <v/>
      </c>
    </row>
    <row r="7642" spans="20:20">
      <c r="T7642" t="str">
        <f>IF(C7642="","",UPPER(LEFT(SUBSTITUTE(C7642," ",""),3))&amp;"-"&amp;TEXT(B7642,"AAMMDD")&amp;"-1")</f>
        <v/>
      </c>
    </row>
    <row r="7643" spans="20:20">
      <c r="T7643" t="str">
        <f>IF(C7643="","",UPPER(LEFT(SUBSTITUTE(C7643," ",""),3))&amp;"-"&amp;TEXT(B7643,"AAMMDD")&amp;"-1")</f>
        <v/>
      </c>
    </row>
    <row r="7644" spans="20:20">
      <c r="T7644" t="str">
        <f>IF(C7644="","",UPPER(LEFT(SUBSTITUTE(C7644," ",""),3))&amp;"-"&amp;TEXT(B7644,"AAMMDD")&amp;"-1")</f>
        <v/>
      </c>
    </row>
    <row r="7645" spans="20:20">
      <c r="T7645" t="str">
        <f>IF(C7645="","",UPPER(LEFT(SUBSTITUTE(C7645," ",""),3))&amp;"-"&amp;TEXT(B7645,"AAMMDD")&amp;"-1")</f>
        <v/>
      </c>
    </row>
    <row r="7646" spans="20:20">
      <c r="T7646" t="str">
        <f>IF(C7646="","",UPPER(LEFT(SUBSTITUTE(C7646," ",""),3))&amp;"-"&amp;TEXT(B7646,"AAMMDD")&amp;"-1")</f>
        <v/>
      </c>
    </row>
    <row r="7647" spans="20:20">
      <c r="T7647" t="str">
        <f>IF(C7647="","",UPPER(LEFT(SUBSTITUTE(C7647," ",""),3))&amp;"-"&amp;TEXT(B7647,"AAMMDD")&amp;"-1")</f>
        <v/>
      </c>
    </row>
    <row r="7648" spans="20:20">
      <c r="T7648" t="str">
        <f>IF(C7648="","",UPPER(LEFT(SUBSTITUTE(C7648," ",""),3))&amp;"-"&amp;TEXT(B7648,"AAMMDD")&amp;"-1")</f>
        <v/>
      </c>
    </row>
    <row r="7649" spans="20:20">
      <c r="T7649" t="str">
        <f>IF(C7649="","",UPPER(LEFT(SUBSTITUTE(C7649," ",""),3))&amp;"-"&amp;TEXT(B7649,"AAMMDD")&amp;"-1")</f>
        <v/>
      </c>
    </row>
    <row r="7650" spans="20:20">
      <c r="T7650" t="str">
        <f>IF(C7650="","",UPPER(LEFT(SUBSTITUTE(C7650," ",""),3))&amp;"-"&amp;TEXT(B7650,"AAMMDD")&amp;"-1")</f>
        <v/>
      </c>
    </row>
    <row r="7651" spans="20:20">
      <c r="T7651" t="str">
        <f>IF(C7651="","",UPPER(LEFT(SUBSTITUTE(C7651," ",""),3))&amp;"-"&amp;TEXT(B7651,"AAMMDD")&amp;"-1")</f>
        <v/>
      </c>
    </row>
    <row r="7652" spans="20:20">
      <c r="T7652" t="str">
        <f>IF(C7652="","",UPPER(LEFT(SUBSTITUTE(C7652," ",""),3))&amp;"-"&amp;TEXT(B7652,"AAMMDD")&amp;"-1")</f>
        <v/>
      </c>
    </row>
    <row r="7653" spans="20:20">
      <c r="T7653" t="str">
        <f>IF(C7653="","",UPPER(LEFT(SUBSTITUTE(C7653," ",""),3))&amp;"-"&amp;TEXT(B7653,"AAMMDD")&amp;"-1")</f>
        <v/>
      </c>
    </row>
    <row r="7654" spans="20:20">
      <c r="T7654" t="str">
        <f>IF(C7654="","",UPPER(LEFT(SUBSTITUTE(C7654," ",""),3))&amp;"-"&amp;TEXT(B7654,"AAMMDD")&amp;"-1")</f>
        <v/>
      </c>
    </row>
    <row r="7655" spans="20:20">
      <c r="T7655" t="str">
        <f>IF(C7655="","",UPPER(LEFT(SUBSTITUTE(C7655," ",""),3))&amp;"-"&amp;TEXT(B7655,"AAMMDD")&amp;"-1")</f>
        <v/>
      </c>
    </row>
    <row r="7656" spans="20:20">
      <c r="T7656" t="str">
        <f>IF(C7656="","",UPPER(LEFT(SUBSTITUTE(C7656," ",""),3))&amp;"-"&amp;TEXT(B7656,"AAMMDD")&amp;"-1")</f>
        <v/>
      </c>
    </row>
    <row r="7657" spans="20:20">
      <c r="T7657" t="str">
        <f>IF(C7657="","",UPPER(LEFT(SUBSTITUTE(C7657," ",""),3))&amp;"-"&amp;TEXT(B7657,"AAMMDD")&amp;"-1")</f>
        <v/>
      </c>
    </row>
    <row r="7658" spans="20:20">
      <c r="T7658" t="str">
        <f>IF(C7658="","",UPPER(LEFT(SUBSTITUTE(C7658," ",""),3))&amp;"-"&amp;TEXT(B7658,"AAMMDD")&amp;"-1")</f>
        <v/>
      </c>
    </row>
    <row r="7659" spans="20:20">
      <c r="T7659" t="str">
        <f>IF(C7659="","",UPPER(LEFT(SUBSTITUTE(C7659," ",""),3))&amp;"-"&amp;TEXT(B7659,"AAMMDD")&amp;"-1")</f>
        <v/>
      </c>
    </row>
    <row r="7660" spans="20:20">
      <c r="T7660" t="str">
        <f>IF(C7660="","",UPPER(LEFT(SUBSTITUTE(C7660," ",""),3))&amp;"-"&amp;TEXT(B7660,"AAMMDD")&amp;"-1")</f>
        <v/>
      </c>
    </row>
    <row r="7661" spans="20:20">
      <c r="T7661" t="str">
        <f>IF(C7661="","",UPPER(LEFT(SUBSTITUTE(C7661," ",""),3))&amp;"-"&amp;TEXT(B7661,"AAMMDD")&amp;"-1")</f>
        <v/>
      </c>
    </row>
    <row r="7662" spans="20:20">
      <c r="T7662" t="str">
        <f>IF(C7662="","",UPPER(LEFT(SUBSTITUTE(C7662," ",""),3))&amp;"-"&amp;TEXT(B7662,"AAMMDD")&amp;"-1")</f>
        <v/>
      </c>
    </row>
    <row r="7663" spans="20:20">
      <c r="T7663" t="str">
        <f>IF(C7663="","",UPPER(LEFT(SUBSTITUTE(C7663," ",""),3))&amp;"-"&amp;TEXT(B7663,"AAMMDD")&amp;"-1")</f>
        <v/>
      </c>
    </row>
    <row r="7664" spans="20:20">
      <c r="T7664" t="str">
        <f>IF(C7664="","",UPPER(LEFT(SUBSTITUTE(C7664," ",""),3))&amp;"-"&amp;TEXT(B7664,"AAMMDD")&amp;"-1")</f>
        <v/>
      </c>
    </row>
    <row r="7665" spans="20:20">
      <c r="T7665" t="str">
        <f>IF(C7665="","",UPPER(LEFT(SUBSTITUTE(C7665," ",""),3))&amp;"-"&amp;TEXT(B7665,"AAMMDD")&amp;"-1")</f>
        <v/>
      </c>
    </row>
    <row r="7666" spans="20:20">
      <c r="T7666" t="str">
        <f>IF(C7666="","",UPPER(LEFT(SUBSTITUTE(C7666," ",""),3))&amp;"-"&amp;TEXT(B7666,"AAMMDD")&amp;"-1")</f>
        <v/>
      </c>
    </row>
    <row r="7667" spans="20:20">
      <c r="T7667" t="str">
        <f>IF(C7667="","",UPPER(LEFT(SUBSTITUTE(C7667," ",""),3))&amp;"-"&amp;TEXT(B7667,"AAMMDD")&amp;"-1")</f>
        <v/>
      </c>
    </row>
    <row r="7668" spans="20:20">
      <c r="T7668" t="str">
        <f>IF(C7668="","",UPPER(LEFT(SUBSTITUTE(C7668," ",""),3))&amp;"-"&amp;TEXT(B7668,"AAMMDD")&amp;"-1")</f>
        <v/>
      </c>
    </row>
    <row r="7669" spans="20:20">
      <c r="T7669" t="str">
        <f>IF(C7669="","",UPPER(LEFT(SUBSTITUTE(C7669," ",""),3))&amp;"-"&amp;TEXT(B7669,"AAMMDD")&amp;"-1")</f>
        <v/>
      </c>
    </row>
    <row r="7670" spans="20:20">
      <c r="T7670" t="str">
        <f>IF(C7670="","",UPPER(LEFT(SUBSTITUTE(C7670," ",""),3))&amp;"-"&amp;TEXT(B7670,"AAMMDD")&amp;"-1")</f>
        <v/>
      </c>
    </row>
    <row r="7671" spans="20:20">
      <c r="T7671" t="str">
        <f>IF(C7671="","",UPPER(LEFT(SUBSTITUTE(C7671," ",""),3))&amp;"-"&amp;TEXT(B7671,"AAMMDD")&amp;"-1")</f>
        <v/>
      </c>
    </row>
    <row r="7672" spans="20:20">
      <c r="T7672" t="str">
        <f>IF(C7672="","",UPPER(LEFT(SUBSTITUTE(C7672," ",""),3))&amp;"-"&amp;TEXT(B7672,"AAMMDD")&amp;"-1")</f>
        <v/>
      </c>
    </row>
    <row r="7673" spans="20:20">
      <c r="T7673" t="str">
        <f>IF(C7673="","",UPPER(LEFT(SUBSTITUTE(C7673," ",""),3))&amp;"-"&amp;TEXT(B7673,"AAMMDD")&amp;"-1")</f>
        <v/>
      </c>
    </row>
    <row r="7674" spans="20:20">
      <c r="T7674" t="str">
        <f>IF(C7674="","",UPPER(LEFT(SUBSTITUTE(C7674," ",""),3))&amp;"-"&amp;TEXT(B7674,"AAMMDD")&amp;"-1")</f>
        <v/>
      </c>
    </row>
    <row r="7675" spans="20:20">
      <c r="T7675" t="str">
        <f>IF(C7675="","",UPPER(LEFT(SUBSTITUTE(C7675," ",""),3))&amp;"-"&amp;TEXT(B7675,"AAMMDD")&amp;"-1")</f>
        <v/>
      </c>
    </row>
    <row r="7676" spans="20:20">
      <c r="T7676" t="str">
        <f>IF(C7676="","",UPPER(LEFT(SUBSTITUTE(C7676," ",""),3))&amp;"-"&amp;TEXT(B7676,"AAMMDD")&amp;"-1")</f>
        <v/>
      </c>
    </row>
    <row r="7677" spans="20:20">
      <c r="T7677" t="str">
        <f>IF(C7677="","",UPPER(LEFT(SUBSTITUTE(C7677," ",""),3))&amp;"-"&amp;TEXT(B7677,"AAMMDD")&amp;"-1")</f>
        <v/>
      </c>
    </row>
    <row r="7678" spans="20:20">
      <c r="T7678" t="str">
        <f>IF(C7678="","",UPPER(LEFT(SUBSTITUTE(C7678," ",""),3))&amp;"-"&amp;TEXT(B7678,"AAMMDD")&amp;"-1")</f>
        <v/>
      </c>
    </row>
    <row r="7679" spans="20:20">
      <c r="T7679" t="str">
        <f>IF(C7679="","",UPPER(LEFT(SUBSTITUTE(C7679," ",""),3))&amp;"-"&amp;TEXT(B7679,"AAMMDD")&amp;"-1")</f>
        <v/>
      </c>
    </row>
    <row r="7680" spans="20:20">
      <c r="T7680" t="str">
        <f>IF(C7680="","",UPPER(LEFT(SUBSTITUTE(C7680," ",""),3))&amp;"-"&amp;TEXT(B7680,"AAMMDD")&amp;"-1")</f>
        <v/>
      </c>
    </row>
    <row r="7681" spans="20:20">
      <c r="T7681" t="str">
        <f>IF(C7681="","",UPPER(LEFT(SUBSTITUTE(C7681," ",""),3))&amp;"-"&amp;TEXT(B7681,"AAMMDD")&amp;"-1")</f>
        <v/>
      </c>
    </row>
    <row r="7682" spans="20:20">
      <c r="T7682" t="str">
        <f>IF(C7682="","",UPPER(LEFT(SUBSTITUTE(C7682," ",""),3))&amp;"-"&amp;TEXT(B7682,"AAMMDD")&amp;"-1")</f>
        <v/>
      </c>
    </row>
    <row r="7683" spans="20:20">
      <c r="T7683" t="str">
        <f>IF(C7683="","",UPPER(LEFT(SUBSTITUTE(C7683," ",""),3))&amp;"-"&amp;TEXT(B7683,"AAMMDD")&amp;"-1")</f>
        <v/>
      </c>
    </row>
    <row r="7684" spans="20:20">
      <c r="T7684" t="str">
        <f>IF(C7684="","",UPPER(LEFT(SUBSTITUTE(C7684," ",""),3))&amp;"-"&amp;TEXT(B7684,"AAMMDD")&amp;"-1")</f>
        <v/>
      </c>
    </row>
    <row r="7685" spans="20:20">
      <c r="T7685" t="str">
        <f>IF(C7685="","",UPPER(LEFT(SUBSTITUTE(C7685," ",""),3))&amp;"-"&amp;TEXT(B7685,"AAMMDD")&amp;"-1")</f>
        <v/>
      </c>
    </row>
    <row r="7686" spans="20:20">
      <c r="T7686" t="str">
        <f>IF(C7686="","",UPPER(LEFT(SUBSTITUTE(C7686," ",""),3))&amp;"-"&amp;TEXT(B7686,"AAMMDD")&amp;"-1")</f>
        <v/>
      </c>
    </row>
    <row r="7687" spans="20:20">
      <c r="T7687" t="str">
        <f>IF(C7687="","",UPPER(LEFT(SUBSTITUTE(C7687," ",""),3))&amp;"-"&amp;TEXT(B7687,"AAMMDD")&amp;"-1")</f>
        <v/>
      </c>
    </row>
    <row r="7688" spans="20:20">
      <c r="T7688" t="str">
        <f>IF(C7688="","",UPPER(LEFT(SUBSTITUTE(C7688," ",""),3))&amp;"-"&amp;TEXT(B7688,"AAMMDD")&amp;"-1")</f>
        <v/>
      </c>
    </row>
    <row r="7689" spans="20:20">
      <c r="T7689" t="str">
        <f>IF(C7689="","",UPPER(LEFT(SUBSTITUTE(C7689," ",""),3))&amp;"-"&amp;TEXT(B7689,"AAMMDD")&amp;"-1")</f>
        <v/>
      </c>
    </row>
    <row r="7690" spans="20:20">
      <c r="T7690" t="str">
        <f>IF(C7690="","",UPPER(LEFT(SUBSTITUTE(C7690," ",""),3))&amp;"-"&amp;TEXT(B7690,"AAMMDD")&amp;"-1")</f>
        <v/>
      </c>
    </row>
    <row r="7691" spans="20:20">
      <c r="T7691" t="str">
        <f>IF(C7691="","",UPPER(LEFT(SUBSTITUTE(C7691," ",""),3))&amp;"-"&amp;TEXT(B7691,"AAMMDD")&amp;"-1")</f>
        <v/>
      </c>
    </row>
    <row r="7692" spans="20:20">
      <c r="T7692" t="str">
        <f>IF(C7692="","",UPPER(LEFT(SUBSTITUTE(C7692," ",""),3))&amp;"-"&amp;TEXT(B7692,"AAMMDD")&amp;"-1")</f>
        <v/>
      </c>
    </row>
    <row r="7693" spans="20:20">
      <c r="T7693" t="str">
        <f>IF(C7693="","",UPPER(LEFT(SUBSTITUTE(C7693," ",""),3))&amp;"-"&amp;TEXT(B7693,"AAMMDD")&amp;"-1")</f>
        <v/>
      </c>
    </row>
    <row r="7694" spans="20:20">
      <c r="T7694" t="str">
        <f>IF(C7694="","",UPPER(LEFT(SUBSTITUTE(C7694," ",""),3))&amp;"-"&amp;TEXT(B7694,"AAMMDD")&amp;"-1")</f>
        <v/>
      </c>
    </row>
    <row r="7695" spans="20:20">
      <c r="T7695" t="str">
        <f>IF(C7695="","",UPPER(LEFT(SUBSTITUTE(C7695," ",""),3))&amp;"-"&amp;TEXT(B7695,"AAMMDD")&amp;"-1")</f>
        <v/>
      </c>
    </row>
    <row r="7696" spans="20:20">
      <c r="T7696" t="str">
        <f>IF(C7696="","",UPPER(LEFT(SUBSTITUTE(C7696," ",""),3))&amp;"-"&amp;TEXT(B7696,"AAMMDD")&amp;"-1")</f>
        <v/>
      </c>
    </row>
    <row r="7697" spans="20:20">
      <c r="T7697" t="str">
        <f>IF(C7697="","",UPPER(LEFT(SUBSTITUTE(C7697," ",""),3))&amp;"-"&amp;TEXT(B7697,"AAMMDD")&amp;"-1")</f>
        <v/>
      </c>
    </row>
    <row r="7698" spans="20:20">
      <c r="T7698" t="str">
        <f>IF(C7698="","",UPPER(LEFT(SUBSTITUTE(C7698," ",""),3))&amp;"-"&amp;TEXT(B7698,"AAMMDD")&amp;"-1")</f>
        <v/>
      </c>
    </row>
    <row r="7699" spans="20:20">
      <c r="T7699" t="str">
        <f>IF(C7699="","",UPPER(LEFT(SUBSTITUTE(C7699," ",""),3))&amp;"-"&amp;TEXT(B7699,"AAMMDD")&amp;"-1")</f>
        <v/>
      </c>
    </row>
    <row r="7700" spans="20:20">
      <c r="T7700" t="str">
        <f>IF(C7700="","",UPPER(LEFT(SUBSTITUTE(C7700," ",""),3))&amp;"-"&amp;TEXT(B7700,"AAMMDD")&amp;"-1")</f>
        <v/>
      </c>
    </row>
    <row r="7701" spans="20:20">
      <c r="T7701" t="str">
        <f>IF(C7701="","",UPPER(LEFT(SUBSTITUTE(C7701," ",""),3))&amp;"-"&amp;TEXT(B7701,"AAMMDD")&amp;"-1")</f>
        <v/>
      </c>
    </row>
    <row r="7702" spans="20:20">
      <c r="T7702" t="str">
        <f>IF(C7702="","",UPPER(LEFT(SUBSTITUTE(C7702," ",""),3))&amp;"-"&amp;TEXT(B7702,"AAMMDD")&amp;"-1")</f>
        <v/>
      </c>
    </row>
    <row r="7703" spans="20:20">
      <c r="T7703" t="str">
        <f>IF(C7703="","",UPPER(LEFT(SUBSTITUTE(C7703," ",""),3))&amp;"-"&amp;TEXT(B7703,"AAMMDD")&amp;"-1")</f>
        <v/>
      </c>
    </row>
    <row r="7704" spans="20:20">
      <c r="T7704" t="str">
        <f>IF(C7704="","",UPPER(LEFT(SUBSTITUTE(C7704," ",""),3))&amp;"-"&amp;TEXT(B7704,"AAMMDD")&amp;"-1")</f>
        <v/>
      </c>
    </row>
    <row r="7705" spans="20:20">
      <c r="T7705" t="str">
        <f>IF(C7705="","",UPPER(LEFT(SUBSTITUTE(C7705," ",""),3))&amp;"-"&amp;TEXT(B7705,"AAMMDD")&amp;"-1")</f>
        <v/>
      </c>
    </row>
    <row r="7706" spans="20:20">
      <c r="T7706" t="str">
        <f>IF(C7706="","",UPPER(LEFT(SUBSTITUTE(C7706," ",""),3))&amp;"-"&amp;TEXT(B7706,"AAMMDD")&amp;"-1")</f>
        <v/>
      </c>
    </row>
    <row r="7707" spans="20:20">
      <c r="T7707" t="str">
        <f>IF(C7707="","",UPPER(LEFT(SUBSTITUTE(C7707," ",""),3))&amp;"-"&amp;TEXT(B7707,"AAMMDD")&amp;"-1")</f>
        <v/>
      </c>
    </row>
    <row r="7708" spans="20:20">
      <c r="T7708" t="str">
        <f>IF(C7708="","",UPPER(LEFT(SUBSTITUTE(C7708," ",""),3))&amp;"-"&amp;TEXT(B7708,"AAMMDD")&amp;"-1")</f>
        <v/>
      </c>
    </row>
    <row r="7709" spans="20:20">
      <c r="T7709" t="str">
        <f>IF(C7709="","",UPPER(LEFT(SUBSTITUTE(C7709," ",""),3))&amp;"-"&amp;TEXT(B7709,"AAMMDD")&amp;"-1")</f>
        <v/>
      </c>
    </row>
    <row r="7710" spans="20:20">
      <c r="T7710" t="str">
        <f>IF(C7710="","",UPPER(LEFT(SUBSTITUTE(C7710," ",""),3))&amp;"-"&amp;TEXT(B7710,"AAMMDD")&amp;"-1")</f>
        <v/>
      </c>
    </row>
    <row r="7711" spans="20:20">
      <c r="T7711" t="str">
        <f>IF(C7711="","",UPPER(LEFT(SUBSTITUTE(C7711," ",""),3))&amp;"-"&amp;TEXT(B7711,"AAMMDD")&amp;"-1")</f>
        <v/>
      </c>
    </row>
    <row r="7712" spans="20:20">
      <c r="T7712" t="str">
        <f>IF(C7712="","",UPPER(LEFT(SUBSTITUTE(C7712," ",""),3))&amp;"-"&amp;TEXT(B7712,"AAMMDD")&amp;"-1")</f>
        <v/>
      </c>
    </row>
    <row r="7713" spans="20:20">
      <c r="T7713" t="str">
        <f>IF(C7713="","",UPPER(LEFT(SUBSTITUTE(C7713," ",""),3))&amp;"-"&amp;TEXT(B7713,"AAMMDD")&amp;"-1")</f>
        <v/>
      </c>
    </row>
    <row r="7714" spans="20:20">
      <c r="T7714" t="str">
        <f>IF(C7714="","",UPPER(LEFT(SUBSTITUTE(C7714," ",""),3))&amp;"-"&amp;TEXT(B7714,"AAMMDD")&amp;"-1")</f>
        <v/>
      </c>
    </row>
    <row r="7715" spans="20:20">
      <c r="T7715" t="str">
        <f>IF(C7715="","",UPPER(LEFT(SUBSTITUTE(C7715," ",""),3))&amp;"-"&amp;TEXT(B7715,"AAMMDD")&amp;"-1")</f>
        <v/>
      </c>
    </row>
    <row r="7716" spans="20:20">
      <c r="T7716" t="str">
        <f>IF(C7716="","",UPPER(LEFT(SUBSTITUTE(C7716," ",""),3))&amp;"-"&amp;TEXT(B7716,"AAMMDD")&amp;"-1")</f>
        <v/>
      </c>
    </row>
    <row r="7717" spans="20:20">
      <c r="T7717" t="str">
        <f>IF(C7717="","",UPPER(LEFT(SUBSTITUTE(C7717," ",""),3))&amp;"-"&amp;TEXT(B7717,"AAMMDD")&amp;"-1")</f>
        <v/>
      </c>
    </row>
    <row r="7718" spans="20:20">
      <c r="T7718" t="str">
        <f>IF(C7718="","",UPPER(LEFT(SUBSTITUTE(C7718," ",""),3))&amp;"-"&amp;TEXT(B7718,"AAMMDD")&amp;"-1")</f>
        <v/>
      </c>
    </row>
    <row r="7719" spans="20:20">
      <c r="T7719" t="str">
        <f>IF(C7719="","",UPPER(LEFT(SUBSTITUTE(C7719," ",""),3))&amp;"-"&amp;TEXT(B7719,"AAMMDD")&amp;"-1")</f>
        <v/>
      </c>
    </row>
    <row r="7720" spans="20:20">
      <c r="T7720" t="str">
        <f>IF(C7720="","",UPPER(LEFT(SUBSTITUTE(C7720," ",""),3))&amp;"-"&amp;TEXT(B7720,"AAMMDD")&amp;"-1")</f>
        <v/>
      </c>
    </row>
    <row r="7721" spans="20:20">
      <c r="T7721" t="str">
        <f>IF(C7721="","",UPPER(LEFT(SUBSTITUTE(C7721," ",""),3))&amp;"-"&amp;TEXT(B7721,"AAMMDD")&amp;"-1")</f>
        <v/>
      </c>
    </row>
    <row r="7722" spans="20:20">
      <c r="T7722" t="str">
        <f>IF(C7722="","",UPPER(LEFT(SUBSTITUTE(C7722," ",""),3))&amp;"-"&amp;TEXT(B7722,"AAMMDD")&amp;"-1")</f>
        <v/>
      </c>
    </row>
    <row r="7723" spans="20:20">
      <c r="T7723" t="str">
        <f>IF(C7723="","",UPPER(LEFT(SUBSTITUTE(C7723," ",""),3))&amp;"-"&amp;TEXT(B7723,"AAMMDD")&amp;"-1")</f>
        <v/>
      </c>
    </row>
    <row r="7724" spans="20:20">
      <c r="T7724" t="str">
        <f>IF(C7724="","",UPPER(LEFT(SUBSTITUTE(C7724," ",""),3))&amp;"-"&amp;TEXT(B7724,"AAMMDD")&amp;"-1")</f>
        <v/>
      </c>
    </row>
    <row r="7725" spans="20:20">
      <c r="T7725" t="str">
        <f>IF(C7725="","",UPPER(LEFT(SUBSTITUTE(C7725," ",""),3))&amp;"-"&amp;TEXT(B7725,"AAMMDD")&amp;"-1")</f>
        <v/>
      </c>
    </row>
    <row r="7726" spans="20:20">
      <c r="T7726" t="str">
        <f>IF(C7726="","",UPPER(LEFT(SUBSTITUTE(C7726," ",""),3))&amp;"-"&amp;TEXT(B7726,"AAMMDD")&amp;"-1")</f>
        <v/>
      </c>
    </row>
    <row r="7727" spans="20:20">
      <c r="T7727" t="str">
        <f>IF(C7727="","",UPPER(LEFT(SUBSTITUTE(C7727," ",""),3))&amp;"-"&amp;TEXT(B7727,"AAMMDD")&amp;"-1")</f>
        <v/>
      </c>
    </row>
    <row r="7728" spans="20:20">
      <c r="T7728" t="str">
        <f>IF(C7728="","",UPPER(LEFT(SUBSTITUTE(C7728," ",""),3))&amp;"-"&amp;TEXT(B7728,"AAMMDD")&amp;"-1")</f>
        <v/>
      </c>
    </row>
    <row r="7729" spans="20:20">
      <c r="T7729" t="str">
        <f>IF(C7729="","",UPPER(LEFT(SUBSTITUTE(C7729," ",""),3))&amp;"-"&amp;TEXT(B7729,"AAMMDD")&amp;"-1")</f>
        <v/>
      </c>
    </row>
    <row r="7730" spans="20:20">
      <c r="T7730" t="str">
        <f>IF(C7730="","",UPPER(LEFT(SUBSTITUTE(C7730," ",""),3))&amp;"-"&amp;TEXT(B7730,"AAMMDD")&amp;"-1")</f>
        <v/>
      </c>
    </row>
    <row r="7731" spans="20:20">
      <c r="T7731" t="str">
        <f>IF(C7731="","",UPPER(LEFT(SUBSTITUTE(C7731," ",""),3))&amp;"-"&amp;TEXT(B7731,"AAMMDD")&amp;"-1")</f>
        <v/>
      </c>
    </row>
    <row r="7732" spans="20:20">
      <c r="T7732" t="str">
        <f>IF(C7732="","",UPPER(LEFT(SUBSTITUTE(C7732," ",""),3))&amp;"-"&amp;TEXT(B7732,"AAMMDD")&amp;"-1")</f>
        <v/>
      </c>
    </row>
    <row r="7733" spans="20:20">
      <c r="T7733" t="str">
        <f>IF(C7733="","",UPPER(LEFT(SUBSTITUTE(C7733," ",""),3))&amp;"-"&amp;TEXT(B7733,"AAMMDD")&amp;"-1")</f>
        <v/>
      </c>
    </row>
    <row r="7734" spans="20:20">
      <c r="T7734" t="str">
        <f>IF(C7734="","",UPPER(LEFT(SUBSTITUTE(C7734," ",""),3))&amp;"-"&amp;TEXT(B7734,"AAMMDD")&amp;"-1")</f>
        <v/>
      </c>
    </row>
    <row r="7735" spans="20:20">
      <c r="T7735" t="str">
        <f>IF(C7735="","",UPPER(LEFT(SUBSTITUTE(C7735," ",""),3))&amp;"-"&amp;TEXT(B7735,"AAMMDD")&amp;"-1")</f>
        <v/>
      </c>
    </row>
    <row r="7736" spans="20:20">
      <c r="T7736" t="str">
        <f>IF(C7736="","",UPPER(LEFT(SUBSTITUTE(C7736," ",""),3))&amp;"-"&amp;TEXT(B7736,"AAMMDD")&amp;"-1")</f>
        <v/>
      </c>
    </row>
    <row r="7737" spans="20:20">
      <c r="T7737" t="str">
        <f>IF(C7737="","",UPPER(LEFT(SUBSTITUTE(C7737," ",""),3))&amp;"-"&amp;TEXT(B7737,"AAMMDD")&amp;"-1")</f>
        <v/>
      </c>
    </row>
    <row r="7738" spans="20:20">
      <c r="T7738" t="str">
        <f>IF(C7738="","",UPPER(LEFT(SUBSTITUTE(C7738," ",""),3))&amp;"-"&amp;TEXT(B7738,"AAMMDD")&amp;"-1")</f>
        <v/>
      </c>
    </row>
    <row r="7739" spans="20:20">
      <c r="T7739" t="str">
        <f>IF(C7739="","",UPPER(LEFT(SUBSTITUTE(C7739," ",""),3))&amp;"-"&amp;TEXT(B7739,"AAMMDD")&amp;"-1")</f>
        <v/>
      </c>
    </row>
    <row r="7740" spans="20:20">
      <c r="T7740" t="str">
        <f>IF(C7740="","",UPPER(LEFT(SUBSTITUTE(C7740," ",""),3))&amp;"-"&amp;TEXT(B7740,"AAMMDD")&amp;"-1")</f>
        <v/>
      </c>
    </row>
    <row r="7741" spans="20:20">
      <c r="T7741" t="str">
        <f>IF(C7741="","",UPPER(LEFT(SUBSTITUTE(C7741," ",""),3))&amp;"-"&amp;TEXT(B7741,"AAMMDD")&amp;"-1")</f>
        <v/>
      </c>
    </row>
    <row r="7742" spans="20:20">
      <c r="T7742" t="str">
        <f>IF(C7742="","",UPPER(LEFT(SUBSTITUTE(C7742," ",""),3))&amp;"-"&amp;TEXT(B7742,"AAMMDD")&amp;"-1")</f>
        <v/>
      </c>
    </row>
    <row r="7743" spans="20:20">
      <c r="T7743" t="str">
        <f>IF(C7743="","",UPPER(LEFT(SUBSTITUTE(C7743," ",""),3))&amp;"-"&amp;TEXT(B7743,"AAMMDD")&amp;"-1")</f>
        <v/>
      </c>
    </row>
    <row r="7744" spans="20:20">
      <c r="T7744" t="str">
        <f>IF(C7744="","",UPPER(LEFT(SUBSTITUTE(C7744," ",""),3))&amp;"-"&amp;TEXT(B7744,"AAMMDD")&amp;"-1")</f>
        <v/>
      </c>
    </row>
    <row r="7745" spans="20:20">
      <c r="T7745" t="str">
        <f>IF(C7745="","",UPPER(LEFT(SUBSTITUTE(C7745," ",""),3))&amp;"-"&amp;TEXT(B7745,"AAMMDD")&amp;"-1")</f>
        <v/>
      </c>
    </row>
    <row r="7746" spans="20:20">
      <c r="T7746" t="str">
        <f>IF(C7746="","",UPPER(LEFT(SUBSTITUTE(C7746," ",""),3))&amp;"-"&amp;TEXT(B7746,"AAMMDD")&amp;"-1")</f>
        <v/>
      </c>
    </row>
    <row r="7747" spans="20:20">
      <c r="T7747" t="str">
        <f>IF(C7747="","",UPPER(LEFT(SUBSTITUTE(C7747," ",""),3))&amp;"-"&amp;TEXT(B7747,"AAMMDD")&amp;"-1")</f>
        <v/>
      </c>
    </row>
    <row r="7748" spans="20:20">
      <c r="T7748" t="str">
        <f>IF(C7748="","",UPPER(LEFT(SUBSTITUTE(C7748," ",""),3))&amp;"-"&amp;TEXT(B7748,"AAMMDD")&amp;"-1")</f>
        <v/>
      </c>
    </row>
    <row r="7749" spans="20:20">
      <c r="T7749" t="str">
        <f>IF(C7749="","",UPPER(LEFT(SUBSTITUTE(C7749," ",""),3))&amp;"-"&amp;TEXT(B7749,"AAMMDD")&amp;"-1")</f>
        <v/>
      </c>
    </row>
    <row r="7750" spans="20:20">
      <c r="T7750" t="str">
        <f>IF(C7750="","",UPPER(LEFT(SUBSTITUTE(C7750," ",""),3))&amp;"-"&amp;TEXT(B7750,"AAMMDD")&amp;"-1")</f>
        <v/>
      </c>
    </row>
    <row r="7751" spans="20:20">
      <c r="T7751" t="str">
        <f>IF(C7751="","",UPPER(LEFT(SUBSTITUTE(C7751," ",""),3))&amp;"-"&amp;TEXT(B7751,"AAMMDD")&amp;"-1")</f>
        <v/>
      </c>
    </row>
    <row r="7752" spans="20:20">
      <c r="T7752" t="str">
        <f>IF(C7752="","",UPPER(LEFT(SUBSTITUTE(C7752," ",""),3))&amp;"-"&amp;TEXT(B7752,"AAMMDD")&amp;"-1")</f>
        <v/>
      </c>
    </row>
    <row r="7753" spans="20:20">
      <c r="T7753" t="str">
        <f>IF(C7753="","",UPPER(LEFT(SUBSTITUTE(C7753," ",""),3))&amp;"-"&amp;TEXT(B7753,"AAMMDD")&amp;"-1")</f>
        <v/>
      </c>
    </row>
    <row r="7754" spans="20:20">
      <c r="T7754" t="str">
        <f>IF(C7754="","",UPPER(LEFT(SUBSTITUTE(C7754," ",""),3))&amp;"-"&amp;TEXT(B7754,"AAMMDD")&amp;"-1")</f>
        <v/>
      </c>
    </row>
    <row r="7755" spans="20:20">
      <c r="T7755" t="str">
        <f>IF(C7755="","",UPPER(LEFT(SUBSTITUTE(C7755," ",""),3))&amp;"-"&amp;TEXT(B7755,"AAMMDD")&amp;"-1")</f>
        <v/>
      </c>
    </row>
    <row r="7756" spans="20:20">
      <c r="T7756" t="str">
        <f>IF(C7756="","",UPPER(LEFT(SUBSTITUTE(C7756," ",""),3))&amp;"-"&amp;TEXT(B7756,"AAMMDD")&amp;"-1")</f>
        <v/>
      </c>
    </row>
    <row r="7757" spans="20:20">
      <c r="T7757" t="str">
        <f>IF(C7757="","",UPPER(LEFT(SUBSTITUTE(C7757," ",""),3))&amp;"-"&amp;TEXT(B7757,"AAMMDD")&amp;"-1")</f>
        <v/>
      </c>
    </row>
    <row r="7758" spans="20:20">
      <c r="T7758" t="str">
        <f>IF(C7758="","",UPPER(LEFT(SUBSTITUTE(C7758," ",""),3))&amp;"-"&amp;TEXT(B7758,"AAMMDD")&amp;"-1")</f>
        <v/>
      </c>
    </row>
    <row r="7759" spans="20:20">
      <c r="T7759" t="str">
        <f>IF(C7759="","",UPPER(LEFT(SUBSTITUTE(C7759," ",""),3))&amp;"-"&amp;TEXT(B7759,"AAMMDD")&amp;"-1")</f>
        <v/>
      </c>
    </row>
    <row r="7760" spans="20:20">
      <c r="T7760" t="str">
        <f>IF(C7760="","",UPPER(LEFT(SUBSTITUTE(C7760," ",""),3))&amp;"-"&amp;TEXT(B7760,"AAMMDD")&amp;"-1")</f>
        <v/>
      </c>
    </row>
    <row r="7761" spans="20:20">
      <c r="T7761" t="str">
        <f>IF(C7761="","",UPPER(LEFT(SUBSTITUTE(C7761," ",""),3))&amp;"-"&amp;TEXT(B7761,"AAMMDD")&amp;"-1")</f>
        <v/>
      </c>
    </row>
    <row r="7762" spans="20:20">
      <c r="T7762" t="str">
        <f>IF(C7762="","",UPPER(LEFT(SUBSTITUTE(C7762," ",""),3))&amp;"-"&amp;TEXT(B7762,"AAMMDD")&amp;"-1")</f>
        <v/>
      </c>
    </row>
    <row r="7763" spans="20:20">
      <c r="T7763" t="str">
        <f>IF(C7763="","",UPPER(LEFT(SUBSTITUTE(C7763," ",""),3))&amp;"-"&amp;TEXT(B7763,"AAMMDD")&amp;"-1")</f>
        <v/>
      </c>
    </row>
    <row r="7764" spans="20:20">
      <c r="T7764" t="str">
        <f>IF(C7764="","",UPPER(LEFT(SUBSTITUTE(C7764," ",""),3))&amp;"-"&amp;TEXT(B7764,"AAMMDD")&amp;"-1")</f>
        <v/>
      </c>
    </row>
    <row r="7765" spans="20:20">
      <c r="T7765" t="str">
        <f>IF(C7765="","",UPPER(LEFT(SUBSTITUTE(C7765," ",""),3))&amp;"-"&amp;TEXT(B7765,"AAMMDD")&amp;"-1")</f>
        <v/>
      </c>
    </row>
    <row r="7766" spans="20:20">
      <c r="T7766" t="str">
        <f>IF(C7766="","",UPPER(LEFT(SUBSTITUTE(C7766," ",""),3))&amp;"-"&amp;TEXT(B7766,"AAMMDD")&amp;"-1")</f>
        <v/>
      </c>
    </row>
    <row r="7767" spans="20:20">
      <c r="T7767" t="str">
        <f>IF(C7767="","",UPPER(LEFT(SUBSTITUTE(C7767," ",""),3))&amp;"-"&amp;TEXT(B7767,"AAMMDD")&amp;"-1")</f>
        <v/>
      </c>
    </row>
    <row r="7768" spans="20:20">
      <c r="T7768" t="str">
        <f>IF(C7768="","",UPPER(LEFT(SUBSTITUTE(C7768," ",""),3))&amp;"-"&amp;TEXT(B7768,"AAMMDD")&amp;"-1")</f>
        <v/>
      </c>
    </row>
    <row r="7769" spans="20:20">
      <c r="T7769" t="str">
        <f>IF(C7769="","",UPPER(LEFT(SUBSTITUTE(C7769," ",""),3))&amp;"-"&amp;TEXT(B7769,"AAMMDD")&amp;"-1")</f>
        <v/>
      </c>
    </row>
    <row r="7770" spans="20:20">
      <c r="T7770" t="str">
        <f>IF(C7770="","",UPPER(LEFT(SUBSTITUTE(C7770," ",""),3))&amp;"-"&amp;TEXT(B7770,"AAMMDD")&amp;"-1")</f>
        <v/>
      </c>
    </row>
    <row r="7771" spans="20:20">
      <c r="T7771" t="str">
        <f>IF(C7771="","",UPPER(LEFT(SUBSTITUTE(C7771," ",""),3))&amp;"-"&amp;TEXT(B7771,"AAMMDD")&amp;"-1")</f>
        <v/>
      </c>
    </row>
    <row r="7772" spans="20:20">
      <c r="T7772" t="str">
        <f>IF(C7772="","",UPPER(LEFT(SUBSTITUTE(C7772," ",""),3))&amp;"-"&amp;TEXT(B7772,"AAMMDD")&amp;"-1")</f>
        <v/>
      </c>
    </row>
    <row r="7773" spans="20:20">
      <c r="T7773" t="str">
        <f>IF(C7773="","",UPPER(LEFT(SUBSTITUTE(C7773," ",""),3))&amp;"-"&amp;TEXT(B7773,"AAMMDD")&amp;"-1")</f>
        <v/>
      </c>
    </row>
    <row r="7774" spans="20:20">
      <c r="T7774" t="str">
        <f>IF(C7774="","",UPPER(LEFT(SUBSTITUTE(C7774," ",""),3))&amp;"-"&amp;TEXT(B7774,"AAMMDD")&amp;"-1")</f>
        <v/>
      </c>
    </row>
    <row r="7775" spans="20:20">
      <c r="T7775" t="str">
        <f>IF(C7775="","",UPPER(LEFT(SUBSTITUTE(C7775," ",""),3))&amp;"-"&amp;TEXT(B7775,"AAMMDD")&amp;"-1")</f>
        <v/>
      </c>
    </row>
    <row r="7776" spans="20:20">
      <c r="T7776" t="str">
        <f>IF(C7776="","",UPPER(LEFT(SUBSTITUTE(C7776," ",""),3))&amp;"-"&amp;TEXT(B7776,"AAMMDD")&amp;"-1")</f>
        <v/>
      </c>
    </row>
    <row r="7777" spans="20:20">
      <c r="T7777" t="str">
        <f>IF(C7777="","",UPPER(LEFT(SUBSTITUTE(C7777," ",""),3))&amp;"-"&amp;TEXT(B7777,"AAMMDD")&amp;"-1")</f>
        <v/>
      </c>
    </row>
    <row r="7778" spans="20:20">
      <c r="T7778" t="str">
        <f>IF(C7778="","",UPPER(LEFT(SUBSTITUTE(C7778," ",""),3))&amp;"-"&amp;TEXT(B7778,"AAMMDD")&amp;"-1")</f>
        <v/>
      </c>
    </row>
    <row r="7779" spans="20:20">
      <c r="T7779" t="str">
        <f>IF(C7779="","",UPPER(LEFT(SUBSTITUTE(C7779," ",""),3))&amp;"-"&amp;TEXT(B7779,"AAMMDD")&amp;"-1")</f>
        <v/>
      </c>
    </row>
    <row r="7780" spans="20:20">
      <c r="T7780" t="str">
        <f>IF(C7780="","",UPPER(LEFT(SUBSTITUTE(C7780," ",""),3))&amp;"-"&amp;TEXT(B7780,"AAMMDD")&amp;"-1")</f>
        <v/>
      </c>
    </row>
    <row r="7781" spans="20:20">
      <c r="T7781" t="str">
        <f>IF(C7781="","",UPPER(LEFT(SUBSTITUTE(C7781," ",""),3))&amp;"-"&amp;TEXT(B7781,"AAMMDD")&amp;"-1")</f>
        <v/>
      </c>
    </row>
    <row r="7782" spans="20:20">
      <c r="T7782" t="str">
        <f>IF(C7782="","",UPPER(LEFT(SUBSTITUTE(C7782," ",""),3))&amp;"-"&amp;TEXT(B7782,"AAMMDD")&amp;"-1")</f>
        <v/>
      </c>
    </row>
    <row r="7783" spans="20:20">
      <c r="T7783" t="str">
        <f>IF(C7783="","",UPPER(LEFT(SUBSTITUTE(C7783," ",""),3))&amp;"-"&amp;TEXT(B7783,"AAMMDD")&amp;"-1")</f>
        <v/>
      </c>
    </row>
    <row r="7784" spans="20:20">
      <c r="T7784" t="str">
        <f>IF(C7784="","",UPPER(LEFT(SUBSTITUTE(C7784," ",""),3))&amp;"-"&amp;TEXT(B7784,"AAMMDD")&amp;"-1")</f>
        <v/>
      </c>
    </row>
    <row r="7785" spans="20:20">
      <c r="T7785" t="str">
        <f>IF(C7785="","",UPPER(LEFT(SUBSTITUTE(C7785," ",""),3))&amp;"-"&amp;TEXT(B7785,"AAMMDD")&amp;"-1")</f>
        <v/>
      </c>
    </row>
    <row r="7786" spans="20:20">
      <c r="T7786" t="str">
        <f>IF(C7786="","",UPPER(LEFT(SUBSTITUTE(C7786," ",""),3))&amp;"-"&amp;TEXT(B7786,"AAMMDD")&amp;"-1")</f>
        <v/>
      </c>
    </row>
    <row r="7787" spans="20:20">
      <c r="T7787" t="str">
        <f>IF(C7787="","",UPPER(LEFT(SUBSTITUTE(C7787," ",""),3))&amp;"-"&amp;TEXT(B7787,"AAMMDD")&amp;"-1")</f>
        <v/>
      </c>
    </row>
    <row r="7788" spans="20:20">
      <c r="T7788" t="str">
        <f>IF(C7788="","",UPPER(LEFT(SUBSTITUTE(C7788," ",""),3))&amp;"-"&amp;TEXT(B7788,"AAMMDD")&amp;"-1")</f>
        <v/>
      </c>
    </row>
    <row r="7789" spans="20:20">
      <c r="T7789" t="str">
        <f>IF(C7789="","",UPPER(LEFT(SUBSTITUTE(C7789," ",""),3))&amp;"-"&amp;TEXT(B7789,"AAMMDD")&amp;"-1")</f>
        <v/>
      </c>
    </row>
    <row r="7790" spans="20:20">
      <c r="T7790" t="str">
        <f>IF(C7790="","",UPPER(LEFT(SUBSTITUTE(C7790," ",""),3))&amp;"-"&amp;TEXT(B7790,"AAMMDD")&amp;"-1")</f>
        <v/>
      </c>
    </row>
    <row r="7791" spans="20:20">
      <c r="T7791" t="str">
        <f>IF(C7791="","",UPPER(LEFT(SUBSTITUTE(C7791," ",""),3))&amp;"-"&amp;TEXT(B7791,"AAMMDD")&amp;"-1")</f>
        <v/>
      </c>
    </row>
    <row r="7792" spans="20:20">
      <c r="T7792" t="str">
        <f>IF(C7792="","",UPPER(LEFT(SUBSTITUTE(C7792," ",""),3))&amp;"-"&amp;TEXT(B7792,"AAMMDD")&amp;"-1")</f>
        <v/>
      </c>
    </row>
    <row r="7793" spans="20:20">
      <c r="T7793" t="str">
        <f>IF(C7793="","",UPPER(LEFT(SUBSTITUTE(C7793," ",""),3))&amp;"-"&amp;TEXT(B7793,"AAMMDD")&amp;"-1")</f>
        <v/>
      </c>
    </row>
    <row r="7794" spans="20:20">
      <c r="T7794" t="str">
        <f>IF(C7794="","",UPPER(LEFT(SUBSTITUTE(C7794," ",""),3))&amp;"-"&amp;TEXT(B7794,"AAMMDD")&amp;"-1")</f>
        <v/>
      </c>
    </row>
    <row r="7795" spans="20:20">
      <c r="T7795" t="str">
        <f>IF(C7795="","",UPPER(LEFT(SUBSTITUTE(C7795," ",""),3))&amp;"-"&amp;TEXT(B7795,"AAMMDD")&amp;"-1")</f>
        <v/>
      </c>
    </row>
    <row r="7796" spans="20:20">
      <c r="T7796" t="str">
        <f>IF(C7796="","",UPPER(LEFT(SUBSTITUTE(C7796," ",""),3))&amp;"-"&amp;TEXT(B7796,"AAMMDD")&amp;"-1")</f>
        <v/>
      </c>
    </row>
    <row r="7797" spans="20:20">
      <c r="T7797" t="str">
        <f>IF(C7797="","",UPPER(LEFT(SUBSTITUTE(C7797," ",""),3))&amp;"-"&amp;TEXT(B7797,"AAMMDD")&amp;"-1")</f>
        <v/>
      </c>
    </row>
    <row r="7798" spans="20:20">
      <c r="T7798" t="str">
        <f>IF(C7798="","",UPPER(LEFT(SUBSTITUTE(C7798," ",""),3))&amp;"-"&amp;TEXT(B7798,"AAMMDD")&amp;"-1")</f>
        <v/>
      </c>
    </row>
    <row r="7799" spans="20:20">
      <c r="T7799" t="str">
        <f>IF(C7799="","",UPPER(LEFT(SUBSTITUTE(C7799," ",""),3))&amp;"-"&amp;TEXT(B7799,"AAMMDD")&amp;"-1")</f>
        <v/>
      </c>
    </row>
    <row r="7800" spans="20:20">
      <c r="T7800" t="str">
        <f>IF(C7800="","",UPPER(LEFT(SUBSTITUTE(C7800," ",""),3))&amp;"-"&amp;TEXT(B7800,"AAMMDD")&amp;"-1")</f>
        <v/>
      </c>
    </row>
    <row r="7801" spans="20:20">
      <c r="T7801" t="str">
        <f>IF(C7801="","",UPPER(LEFT(SUBSTITUTE(C7801," ",""),3))&amp;"-"&amp;TEXT(B7801,"AAMMDD")&amp;"-1")</f>
        <v/>
      </c>
    </row>
    <row r="7802" spans="20:20">
      <c r="T7802" t="str">
        <f>IF(C7802="","",UPPER(LEFT(SUBSTITUTE(C7802," ",""),3))&amp;"-"&amp;TEXT(B7802,"AAMMDD")&amp;"-1")</f>
        <v/>
      </c>
    </row>
    <row r="7803" spans="20:20">
      <c r="T7803" t="str">
        <f>IF(C7803="","",UPPER(LEFT(SUBSTITUTE(C7803," ",""),3))&amp;"-"&amp;TEXT(B7803,"AAMMDD")&amp;"-1")</f>
        <v/>
      </c>
    </row>
    <row r="7804" spans="20:20">
      <c r="T7804" t="str">
        <f>IF(C7804="","",UPPER(LEFT(SUBSTITUTE(C7804," ",""),3))&amp;"-"&amp;TEXT(B7804,"AAMMDD")&amp;"-1")</f>
        <v/>
      </c>
    </row>
    <row r="7805" spans="20:20">
      <c r="T7805" t="str">
        <f>IF(C7805="","",UPPER(LEFT(SUBSTITUTE(C7805," ",""),3))&amp;"-"&amp;TEXT(B7805,"AAMMDD")&amp;"-1")</f>
        <v/>
      </c>
    </row>
    <row r="7806" spans="20:20">
      <c r="T7806" t="str">
        <f>IF(C7806="","",UPPER(LEFT(SUBSTITUTE(C7806," ",""),3))&amp;"-"&amp;TEXT(B7806,"AAMMDD")&amp;"-1")</f>
        <v/>
      </c>
    </row>
    <row r="7807" spans="20:20">
      <c r="T7807" t="str">
        <f>IF(C7807="","",UPPER(LEFT(SUBSTITUTE(C7807," ",""),3))&amp;"-"&amp;TEXT(B7807,"AAMMDD")&amp;"-1")</f>
        <v/>
      </c>
    </row>
    <row r="7808" spans="20:20">
      <c r="T7808" t="str">
        <f>IF(C7808="","",UPPER(LEFT(SUBSTITUTE(C7808," ",""),3))&amp;"-"&amp;TEXT(B7808,"AAMMDD")&amp;"-1")</f>
        <v/>
      </c>
    </row>
    <row r="7809" spans="20:20">
      <c r="T7809" t="str">
        <f>IF(C7809="","",UPPER(LEFT(SUBSTITUTE(C7809," ",""),3))&amp;"-"&amp;TEXT(B7809,"AAMMDD")&amp;"-1")</f>
        <v/>
      </c>
    </row>
    <row r="7810" spans="20:20">
      <c r="T7810" t="str">
        <f>IF(C7810="","",UPPER(LEFT(SUBSTITUTE(C7810," ",""),3))&amp;"-"&amp;TEXT(B7810,"AAMMDD")&amp;"-1")</f>
        <v/>
      </c>
    </row>
    <row r="7811" spans="20:20">
      <c r="T7811" t="str">
        <f>IF(C7811="","",UPPER(LEFT(SUBSTITUTE(C7811," ",""),3))&amp;"-"&amp;TEXT(B7811,"AAMMDD")&amp;"-1")</f>
        <v/>
      </c>
    </row>
    <row r="7812" spans="20:20">
      <c r="T7812" t="str">
        <f>IF(C7812="","",UPPER(LEFT(SUBSTITUTE(C7812," ",""),3))&amp;"-"&amp;TEXT(B7812,"AAMMDD")&amp;"-1")</f>
        <v/>
      </c>
    </row>
    <row r="7813" spans="20:20">
      <c r="T7813" t="str">
        <f>IF(C7813="","",UPPER(LEFT(SUBSTITUTE(C7813," ",""),3))&amp;"-"&amp;TEXT(B7813,"AAMMDD")&amp;"-1")</f>
        <v/>
      </c>
    </row>
    <row r="7814" spans="20:20">
      <c r="T7814" t="str">
        <f>IF(C7814="","",UPPER(LEFT(SUBSTITUTE(C7814," ",""),3))&amp;"-"&amp;TEXT(B7814,"AAMMDD")&amp;"-1")</f>
        <v/>
      </c>
    </row>
    <row r="7815" spans="20:20">
      <c r="T7815" t="str">
        <f>IF(C7815="","",UPPER(LEFT(SUBSTITUTE(C7815," ",""),3))&amp;"-"&amp;TEXT(B7815,"AAMMDD")&amp;"-1")</f>
        <v/>
      </c>
    </row>
    <row r="7816" spans="20:20">
      <c r="T7816" t="str">
        <f>IF(C7816="","",UPPER(LEFT(SUBSTITUTE(C7816," ",""),3))&amp;"-"&amp;TEXT(B7816,"AAMMDD")&amp;"-1")</f>
        <v/>
      </c>
    </row>
    <row r="7817" spans="20:20">
      <c r="T7817" t="str">
        <f>IF(C7817="","",UPPER(LEFT(SUBSTITUTE(C7817," ",""),3))&amp;"-"&amp;TEXT(B7817,"AAMMDD")&amp;"-1")</f>
        <v/>
      </c>
    </row>
    <row r="7818" spans="20:20">
      <c r="T7818" t="str">
        <f>IF(C7818="","",UPPER(LEFT(SUBSTITUTE(C7818," ",""),3))&amp;"-"&amp;TEXT(B7818,"AAMMDD")&amp;"-1")</f>
        <v/>
      </c>
    </row>
    <row r="7819" spans="20:20">
      <c r="T7819" t="str">
        <f>IF(C7819="","",UPPER(LEFT(SUBSTITUTE(C7819," ",""),3))&amp;"-"&amp;TEXT(B7819,"AAMMDD")&amp;"-1")</f>
        <v/>
      </c>
    </row>
    <row r="7820" spans="20:20">
      <c r="T7820" t="str">
        <f>IF(C7820="","",UPPER(LEFT(SUBSTITUTE(C7820," ",""),3))&amp;"-"&amp;TEXT(B7820,"AAMMDD")&amp;"-1")</f>
        <v/>
      </c>
    </row>
    <row r="7821" spans="20:20">
      <c r="T7821" t="str">
        <f>IF(C7821="","",UPPER(LEFT(SUBSTITUTE(C7821," ",""),3))&amp;"-"&amp;TEXT(B7821,"AAMMDD")&amp;"-1")</f>
        <v/>
      </c>
    </row>
    <row r="7822" spans="20:20">
      <c r="T7822" t="str">
        <f>IF(C7822="","",UPPER(LEFT(SUBSTITUTE(C7822," ",""),3))&amp;"-"&amp;TEXT(B7822,"AAMMDD")&amp;"-1")</f>
        <v/>
      </c>
    </row>
    <row r="7823" spans="20:20">
      <c r="T7823" t="str">
        <f>IF(C7823="","",UPPER(LEFT(SUBSTITUTE(C7823," ",""),3))&amp;"-"&amp;TEXT(B7823,"AAMMDD")&amp;"-1")</f>
        <v/>
      </c>
    </row>
    <row r="7824" spans="20:20">
      <c r="T7824" t="str">
        <f>IF(C7824="","",UPPER(LEFT(SUBSTITUTE(C7824," ",""),3))&amp;"-"&amp;TEXT(B7824,"AAMMDD")&amp;"-1")</f>
        <v/>
      </c>
    </row>
    <row r="7825" spans="20:20">
      <c r="T7825" t="str">
        <f>IF(C7825="","",UPPER(LEFT(SUBSTITUTE(C7825," ",""),3))&amp;"-"&amp;TEXT(B7825,"AAMMDD")&amp;"-1")</f>
        <v/>
      </c>
    </row>
    <row r="7826" spans="20:20">
      <c r="T7826" t="str">
        <f>IF(C7826="","",UPPER(LEFT(SUBSTITUTE(C7826," ",""),3))&amp;"-"&amp;TEXT(B7826,"AAMMDD")&amp;"-1")</f>
        <v/>
      </c>
    </row>
    <row r="7827" spans="20:20">
      <c r="T7827" t="str">
        <f>IF(C7827="","",UPPER(LEFT(SUBSTITUTE(C7827," ",""),3))&amp;"-"&amp;TEXT(B7827,"AAMMDD")&amp;"-1")</f>
        <v/>
      </c>
    </row>
    <row r="7828" spans="20:20">
      <c r="T7828" t="str">
        <f>IF(C7828="","",UPPER(LEFT(SUBSTITUTE(C7828," ",""),3))&amp;"-"&amp;TEXT(B7828,"AAMMDD")&amp;"-1")</f>
        <v/>
      </c>
    </row>
    <row r="7829" spans="20:20">
      <c r="T7829" t="str">
        <f>IF(C7829="","",UPPER(LEFT(SUBSTITUTE(C7829," ",""),3))&amp;"-"&amp;TEXT(B7829,"AAMMDD")&amp;"-1")</f>
        <v/>
      </c>
    </row>
    <row r="7830" spans="20:20">
      <c r="T7830" t="str">
        <f>IF(C7830="","",UPPER(LEFT(SUBSTITUTE(C7830," ",""),3))&amp;"-"&amp;TEXT(B7830,"AAMMDD")&amp;"-1")</f>
        <v/>
      </c>
    </row>
    <row r="7831" spans="20:20">
      <c r="T7831" t="str">
        <f>IF(C7831="","",UPPER(LEFT(SUBSTITUTE(C7831," ",""),3))&amp;"-"&amp;TEXT(B7831,"AAMMDD")&amp;"-1")</f>
        <v/>
      </c>
    </row>
    <row r="7832" spans="20:20">
      <c r="T7832" t="str">
        <f>IF(C7832="","",UPPER(LEFT(SUBSTITUTE(C7832," ",""),3))&amp;"-"&amp;TEXT(B7832,"AAMMDD")&amp;"-1")</f>
        <v/>
      </c>
    </row>
    <row r="7833" spans="20:20">
      <c r="T7833" t="str">
        <f>IF(C7833="","",UPPER(LEFT(SUBSTITUTE(C7833," ",""),3))&amp;"-"&amp;TEXT(B7833,"AAMMDD")&amp;"-1")</f>
        <v/>
      </c>
    </row>
    <row r="7834" spans="20:20">
      <c r="T7834" t="str">
        <f>IF(C7834="","",UPPER(LEFT(SUBSTITUTE(C7834," ",""),3))&amp;"-"&amp;TEXT(B7834,"AAMMDD")&amp;"-1")</f>
        <v/>
      </c>
    </row>
    <row r="7835" spans="20:20">
      <c r="T7835" t="str">
        <f>IF(C7835="","",UPPER(LEFT(SUBSTITUTE(C7835," ",""),3))&amp;"-"&amp;TEXT(B7835,"AAMMDD")&amp;"-1")</f>
        <v/>
      </c>
    </row>
    <row r="7836" spans="20:20">
      <c r="T7836" t="str">
        <f>IF(C7836="","",UPPER(LEFT(SUBSTITUTE(C7836," ",""),3))&amp;"-"&amp;TEXT(B7836,"AAMMDD")&amp;"-1")</f>
        <v/>
      </c>
    </row>
    <row r="7837" spans="20:20">
      <c r="T7837" t="str">
        <f>IF(C7837="","",UPPER(LEFT(SUBSTITUTE(C7837," ",""),3))&amp;"-"&amp;TEXT(B7837,"AAMMDD")&amp;"-1")</f>
        <v/>
      </c>
    </row>
    <row r="7838" spans="20:20">
      <c r="T7838" t="str">
        <f>IF(C7838="","",UPPER(LEFT(SUBSTITUTE(C7838," ",""),3))&amp;"-"&amp;TEXT(B7838,"AAMMDD")&amp;"-1")</f>
        <v/>
      </c>
    </row>
    <row r="7839" spans="20:20">
      <c r="T7839" t="str">
        <f>IF(C7839="","",UPPER(LEFT(SUBSTITUTE(C7839," ",""),3))&amp;"-"&amp;TEXT(B7839,"AAMMDD")&amp;"-1")</f>
        <v/>
      </c>
    </row>
    <row r="7840" spans="20:20">
      <c r="T7840" t="str">
        <f>IF(C7840="","",UPPER(LEFT(SUBSTITUTE(C7840," ",""),3))&amp;"-"&amp;TEXT(B7840,"AAMMDD")&amp;"-1")</f>
        <v/>
      </c>
    </row>
    <row r="7841" spans="20:20">
      <c r="T7841" t="str">
        <f>IF(C7841="","",UPPER(LEFT(SUBSTITUTE(C7841," ",""),3))&amp;"-"&amp;TEXT(B7841,"AAMMDD")&amp;"-1")</f>
        <v/>
      </c>
    </row>
    <row r="7842" spans="20:20">
      <c r="T7842" t="str">
        <f>IF(C7842="","",UPPER(LEFT(SUBSTITUTE(C7842," ",""),3))&amp;"-"&amp;TEXT(B7842,"AAMMDD")&amp;"-1")</f>
        <v/>
      </c>
    </row>
    <row r="7843" spans="20:20">
      <c r="T7843" t="str">
        <f>IF(C7843="","",UPPER(LEFT(SUBSTITUTE(C7843," ",""),3))&amp;"-"&amp;TEXT(B7843,"AAMMDD")&amp;"-1")</f>
        <v/>
      </c>
    </row>
    <row r="7844" spans="20:20">
      <c r="T7844" t="str">
        <f>IF(C7844="","",UPPER(LEFT(SUBSTITUTE(C7844," ",""),3))&amp;"-"&amp;TEXT(B7844,"AAMMDD")&amp;"-1")</f>
        <v/>
      </c>
    </row>
    <row r="7845" spans="20:20">
      <c r="T7845" t="str">
        <f>IF(C7845="","",UPPER(LEFT(SUBSTITUTE(C7845," ",""),3))&amp;"-"&amp;TEXT(B7845,"AAMMDD")&amp;"-1")</f>
        <v/>
      </c>
    </row>
    <row r="7846" spans="20:20">
      <c r="T7846" t="str">
        <f>IF(C7846="","",UPPER(LEFT(SUBSTITUTE(C7846," ",""),3))&amp;"-"&amp;TEXT(B7846,"AAMMDD")&amp;"-1")</f>
        <v/>
      </c>
    </row>
    <row r="7847" spans="20:20">
      <c r="T7847" t="str">
        <f>IF(C7847="","",UPPER(LEFT(SUBSTITUTE(C7847," ",""),3))&amp;"-"&amp;TEXT(B7847,"AAMMDD")&amp;"-1")</f>
        <v/>
      </c>
    </row>
    <row r="7848" spans="20:20">
      <c r="T7848" t="str">
        <f>IF(C7848="","",UPPER(LEFT(SUBSTITUTE(C7848," ",""),3))&amp;"-"&amp;TEXT(B7848,"AAMMDD")&amp;"-1")</f>
        <v/>
      </c>
    </row>
    <row r="7849" spans="20:20">
      <c r="T7849" t="str">
        <f>IF(C7849="","",UPPER(LEFT(SUBSTITUTE(C7849," ",""),3))&amp;"-"&amp;TEXT(B7849,"AAMMDD")&amp;"-1")</f>
        <v/>
      </c>
    </row>
    <row r="7850" spans="20:20">
      <c r="T7850" t="str">
        <f>IF(C7850="","",UPPER(LEFT(SUBSTITUTE(C7850," ",""),3))&amp;"-"&amp;TEXT(B7850,"AAMMDD")&amp;"-1")</f>
        <v/>
      </c>
    </row>
    <row r="7851" spans="20:20">
      <c r="T7851" t="str">
        <f>IF(C7851="","",UPPER(LEFT(SUBSTITUTE(C7851," ",""),3))&amp;"-"&amp;TEXT(B7851,"AAMMDD")&amp;"-1")</f>
        <v/>
      </c>
    </row>
    <row r="7852" spans="20:20">
      <c r="T7852" t="str">
        <f>IF(C7852="","",UPPER(LEFT(SUBSTITUTE(C7852," ",""),3))&amp;"-"&amp;TEXT(B7852,"AAMMDD")&amp;"-1")</f>
        <v/>
      </c>
    </row>
    <row r="7853" spans="20:20">
      <c r="T7853" t="str">
        <f>IF(C7853="","",UPPER(LEFT(SUBSTITUTE(C7853," ",""),3))&amp;"-"&amp;TEXT(B7853,"AAMMDD")&amp;"-1")</f>
        <v/>
      </c>
    </row>
    <row r="7854" spans="20:20">
      <c r="T7854" t="str">
        <f>IF(C7854="","",UPPER(LEFT(SUBSTITUTE(C7854," ",""),3))&amp;"-"&amp;TEXT(B7854,"AAMMDD")&amp;"-1")</f>
        <v/>
      </c>
    </row>
    <row r="7855" spans="20:20">
      <c r="T7855" t="str">
        <f>IF(C7855="","",UPPER(LEFT(SUBSTITUTE(C7855," ",""),3))&amp;"-"&amp;TEXT(B7855,"AAMMDD")&amp;"-1")</f>
        <v/>
      </c>
    </row>
    <row r="7856" spans="20:20">
      <c r="T7856" t="str">
        <f>IF(C7856="","",UPPER(LEFT(SUBSTITUTE(C7856," ",""),3))&amp;"-"&amp;TEXT(B7856,"AAMMDD")&amp;"-1")</f>
        <v/>
      </c>
    </row>
    <row r="7857" spans="20:20">
      <c r="T7857" t="str">
        <f>IF(C7857="","",UPPER(LEFT(SUBSTITUTE(C7857," ",""),3))&amp;"-"&amp;TEXT(B7857,"AAMMDD")&amp;"-1")</f>
        <v/>
      </c>
    </row>
    <row r="7858" spans="20:20">
      <c r="T7858" t="str">
        <f>IF(C7858="","",UPPER(LEFT(SUBSTITUTE(C7858," ",""),3))&amp;"-"&amp;TEXT(B7858,"AAMMDD")&amp;"-1")</f>
        <v/>
      </c>
    </row>
    <row r="7859" spans="20:20">
      <c r="T7859" t="str">
        <f>IF(C7859="","",UPPER(LEFT(SUBSTITUTE(C7859," ",""),3))&amp;"-"&amp;TEXT(B7859,"AAMMDD")&amp;"-1")</f>
        <v/>
      </c>
    </row>
    <row r="7860" spans="20:20">
      <c r="T7860" t="str">
        <f>IF(C7860="","",UPPER(LEFT(SUBSTITUTE(C7860," ",""),3))&amp;"-"&amp;TEXT(B7860,"AAMMDD")&amp;"-1")</f>
        <v/>
      </c>
    </row>
    <row r="7861" spans="20:20">
      <c r="T7861" t="str">
        <f>IF(C7861="","",UPPER(LEFT(SUBSTITUTE(C7861," ",""),3))&amp;"-"&amp;TEXT(B7861,"AAMMDD")&amp;"-1")</f>
        <v/>
      </c>
    </row>
    <row r="7862" spans="20:20">
      <c r="T7862" t="str">
        <f>IF(C7862="","",UPPER(LEFT(SUBSTITUTE(C7862," ",""),3))&amp;"-"&amp;TEXT(B7862,"AAMMDD")&amp;"-1")</f>
        <v/>
      </c>
    </row>
    <row r="7863" spans="20:20">
      <c r="T7863" t="str">
        <f>IF(C7863="","",UPPER(LEFT(SUBSTITUTE(C7863," ",""),3))&amp;"-"&amp;TEXT(B7863,"AAMMDD")&amp;"-1")</f>
        <v/>
      </c>
    </row>
    <row r="7864" spans="20:20">
      <c r="T7864" t="str">
        <f>IF(C7864="","",UPPER(LEFT(SUBSTITUTE(C7864," ",""),3))&amp;"-"&amp;TEXT(B7864,"AAMMDD")&amp;"-1")</f>
        <v/>
      </c>
    </row>
    <row r="7865" spans="20:20">
      <c r="T7865" t="str">
        <f>IF(C7865="","",UPPER(LEFT(SUBSTITUTE(C7865," ",""),3))&amp;"-"&amp;TEXT(B7865,"AAMMDD")&amp;"-1")</f>
        <v/>
      </c>
    </row>
    <row r="7866" spans="20:20">
      <c r="T7866" t="str">
        <f>IF(C7866="","",UPPER(LEFT(SUBSTITUTE(C7866," ",""),3))&amp;"-"&amp;TEXT(B7866,"AAMMDD")&amp;"-1")</f>
        <v/>
      </c>
    </row>
    <row r="7867" spans="20:20">
      <c r="T7867" t="str">
        <f>IF(C7867="","",UPPER(LEFT(SUBSTITUTE(C7867," ",""),3))&amp;"-"&amp;TEXT(B7867,"AAMMDD")&amp;"-1")</f>
        <v/>
      </c>
    </row>
    <row r="7868" spans="20:20">
      <c r="T7868" t="str">
        <f>IF(C7868="","",UPPER(LEFT(SUBSTITUTE(C7868," ",""),3))&amp;"-"&amp;TEXT(B7868,"AAMMDD")&amp;"-1")</f>
        <v/>
      </c>
    </row>
    <row r="7869" spans="20:20">
      <c r="T7869" t="str">
        <f>IF(C7869="","",UPPER(LEFT(SUBSTITUTE(C7869," ",""),3))&amp;"-"&amp;TEXT(B7869,"AAMMDD")&amp;"-1")</f>
        <v/>
      </c>
    </row>
    <row r="7870" spans="20:20">
      <c r="T7870" t="str">
        <f>IF(C7870="","",UPPER(LEFT(SUBSTITUTE(C7870," ",""),3))&amp;"-"&amp;TEXT(B7870,"AAMMDD")&amp;"-1")</f>
        <v/>
      </c>
    </row>
    <row r="7871" spans="20:20">
      <c r="T7871" t="str">
        <f>IF(C7871="","",UPPER(LEFT(SUBSTITUTE(C7871," ",""),3))&amp;"-"&amp;TEXT(B7871,"AAMMDD")&amp;"-1")</f>
        <v/>
      </c>
    </row>
    <row r="7872" spans="20:20">
      <c r="T7872" t="str">
        <f>IF(C7872="","",UPPER(LEFT(SUBSTITUTE(C7872," ",""),3))&amp;"-"&amp;TEXT(B7872,"AAMMDD")&amp;"-1")</f>
        <v/>
      </c>
    </row>
    <row r="7873" spans="20:20">
      <c r="T7873" t="str">
        <f>IF(C7873="","",UPPER(LEFT(SUBSTITUTE(C7873," ",""),3))&amp;"-"&amp;TEXT(B7873,"AAMMDD")&amp;"-1")</f>
        <v/>
      </c>
    </row>
    <row r="7874" spans="20:20">
      <c r="T7874" t="str">
        <f>IF(C7874="","",UPPER(LEFT(SUBSTITUTE(C7874," ",""),3))&amp;"-"&amp;TEXT(B7874,"AAMMDD")&amp;"-1")</f>
        <v/>
      </c>
    </row>
    <row r="7875" spans="20:20">
      <c r="T7875" t="str">
        <f>IF(C7875="","",UPPER(LEFT(SUBSTITUTE(C7875," ",""),3))&amp;"-"&amp;TEXT(B7875,"AAMMDD")&amp;"-1")</f>
        <v/>
      </c>
    </row>
    <row r="7876" spans="20:20">
      <c r="T7876" t="str">
        <f>IF(C7876="","",UPPER(LEFT(SUBSTITUTE(C7876," ",""),3))&amp;"-"&amp;TEXT(B7876,"AAMMDD")&amp;"-1")</f>
        <v/>
      </c>
    </row>
    <row r="7877" spans="20:20">
      <c r="T7877" t="str">
        <f>IF(C7877="","",UPPER(LEFT(SUBSTITUTE(C7877," ",""),3))&amp;"-"&amp;TEXT(B7877,"AAMMDD")&amp;"-1")</f>
        <v/>
      </c>
    </row>
    <row r="7878" spans="20:20">
      <c r="T7878" t="str">
        <f>IF(C7878="","",UPPER(LEFT(SUBSTITUTE(C7878," ",""),3))&amp;"-"&amp;TEXT(B7878,"AAMMDD")&amp;"-1")</f>
        <v/>
      </c>
    </row>
    <row r="7879" spans="20:20">
      <c r="T7879" t="str">
        <f>IF(C7879="","",UPPER(LEFT(SUBSTITUTE(C7879," ",""),3))&amp;"-"&amp;TEXT(B7879,"AAMMDD")&amp;"-1")</f>
        <v/>
      </c>
    </row>
    <row r="7880" spans="20:20">
      <c r="T7880" t="str">
        <f>IF(C7880="","",UPPER(LEFT(SUBSTITUTE(C7880," ",""),3))&amp;"-"&amp;TEXT(B7880,"AAMMDD")&amp;"-1")</f>
        <v/>
      </c>
    </row>
    <row r="7881" spans="20:20">
      <c r="T7881" t="str">
        <f>IF(C7881="","",UPPER(LEFT(SUBSTITUTE(C7881," ",""),3))&amp;"-"&amp;TEXT(B7881,"AAMMDD")&amp;"-1")</f>
        <v/>
      </c>
    </row>
    <row r="7882" spans="20:20">
      <c r="T7882" t="str">
        <f>IF(C7882="","",UPPER(LEFT(SUBSTITUTE(C7882," ",""),3))&amp;"-"&amp;TEXT(B7882,"AAMMDD")&amp;"-1")</f>
        <v/>
      </c>
    </row>
    <row r="7883" spans="20:20">
      <c r="T7883" t="str">
        <f>IF(C7883="","",UPPER(LEFT(SUBSTITUTE(C7883," ",""),3))&amp;"-"&amp;TEXT(B7883,"AAMMDD")&amp;"-1")</f>
        <v/>
      </c>
    </row>
    <row r="7884" spans="20:20">
      <c r="T7884" t="str">
        <f>IF(C7884="","",UPPER(LEFT(SUBSTITUTE(C7884," ",""),3))&amp;"-"&amp;TEXT(B7884,"AAMMDD")&amp;"-1")</f>
        <v/>
      </c>
    </row>
    <row r="7885" spans="20:20">
      <c r="T7885" t="str">
        <f>IF(C7885="","",UPPER(LEFT(SUBSTITUTE(C7885," ",""),3))&amp;"-"&amp;TEXT(B7885,"AAMMDD")&amp;"-1")</f>
        <v/>
      </c>
    </row>
    <row r="7886" spans="20:20">
      <c r="T7886" t="str">
        <f>IF(C7886="","",UPPER(LEFT(SUBSTITUTE(C7886," ",""),3))&amp;"-"&amp;TEXT(B7886,"AAMMDD")&amp;"-1")</f>
        <v/>
      </c>
    </row>
    <row r="7887" spans="20:20">
      <c r="T7887" t="str">
        <f>IF(C7887="","",UPPER(LEFT(SUBSTITUTE(C7887," ",""),3))&amp;"-"&amp;TEXT(B7887,"AAMMDD")&amp;"-1")</f>
        <v/>
      </c>
    </row>
    <row r="7888" spans="20:20">
      <c r="T7888" t="str">
        <f>IF(C7888="","",UPPER(LEFT(SUBSTITUTE(C7888," ",""),3))&amp;"-"&amp;TEXT(B7888,"AAMMDD")&amp;"-1")</f>
        <v/>
      </c>
    </row>
    <row r="7889" spans="20:20">
      <c r="T7889" t="str">
        <f>IF(C7889="","",UPPER(LEFT(SUBSTITUTE(C7889," ",""),3))&amp;"-"&amp;TEXT(B7889,"AAMMDD")&amp;"-1")</f>
        <v/>
      </c>
    </row>
    <row r="7890" spans="20:20">
      <c r="T7890" t="str">
        <f>IF(C7890="","",UPPER(LEFT(SUBSTITUTE(C7890," ",""),3))&amp;"-"&amp;TEXT(B7890,"AAMMDD")&amp;"-1")</f>
        <v/>
      </c>
    </row>
    <row r="7891" spans="20:20">
      <c r="T7891" t="str">
        <f>IF(C7891="","",UPPER(LEFT(SUBSTITUTE(C7891," ",""),3))&amp;"-"&amp;TEXT(B7891,"AAMMDD")&amp;"-1")</f>
        <v/>
      </c>
    </row>
    <row r="7892" spans="20:20">
      <c r="T7892" t="str">
        <f>IF(C7892="","",UPPER(LEFT(SUBSTITUTE(C7892," ",""),3))&amp;"-"&amp;TEXT(B7892,"AAMMDD")&amp;"-1")</f>
        <v/>
      </c>
    </row>
    <row r="7893" spans="20:20">
      <c r="T7893" t="str">
        <f>IF(C7893="","",UPPER(LEFT(SUBSTITUTE(C7893," ",""),3))&amp;"-"&amp;TEXT(B7893,"AAMMDD")&amp;"-1")</f>
        <v/>
      </c>
    </row>
    <row r="7894" spans="20:20">
      <c r="T7894" t="str">
        <f>IF(C7894="","",UPPER(LEFT(SUBSTITUTE(C7894," ",""),3))&amp;"-"&amp;TEXT(B7894,"AAMMDD")&amp;"-1")</f>
        <v/>
      </c>
    </row>
    <row r="7895" spans="20:20">
      <c r="T7895" t="str">
        <f>IF(C7895="","",UPPER(LEFT(SUBSTITUTE(C7895," ",""),3))&amp;"-"&amp;TEXT(B7895,"AAMMDD")&amp;"-1")</f>
        <v/>
      </c>
    </row>
    <row r="7896" spans="20:20">
      <c r="T7896" t="str">
        <f>IF(C7896="","",UPPER(LEFT(SUBSTITUTE(C7896," ",""),3))&amp;"-"&amp;TEXT(B7896,"AAMMDD")&amp;"-1")</f>
        <v/>
      </c>
    </row>
    <row r="7897" spans="20:20">
      <c r="T7897" t="str">
        <f>IF(C7897="","",UPPER(LEFT(SUBSTITUTE(C7897," ",""),3))&amp;"-"&amp;TEXT(B7897,"AAMMDD")&amp;"-1")</f>
        <v/>
      </c>
    </row>
    <row r="7898" spans="20:20">
      <c r="T7898" t="str">
        <f>IF(C7898="","",UPPER(LEFT(SUBSTITUTE(C7898," ",""),3))&amp;"-"&amp;TEXT(B7898,"AAMMDD")&amp;"-1")</f>
        <v/>
      </c>
    </row>
    <row r="7899" spans="20:20">
      <c r="T7899" t="str">
        <f>IF(C7899="","",UPPER(LEFT(SUBSTITUTE(C7899," ",""),3))&amp;"-"&amp;TEXT(B7899,"AAMMDD")&amp;"-1")</f>
        <v/>
      </c>
    </row>
    <row r="7900" spans="20:20">
      <c r="T7900" t="str">
        <f>IF(C7900="","",UPPER(LEFT(SUBSTITUTE(C7900," ",""),3))&amp;"-"&amp;TEXT(B7900,"AAMMDD")&amp;"-1")</f>
        <v/>
      </c>
    </row>
    <row r="7901" spans="20:20">
      <c r="T7901" t="str">
        <f>IF(C7901="","",UPPER(LEFT(SUBSTITUTE(C7901," ",""),3))&amp;"-"&amp;TEXT(B7901,"AAMMDD")&amp;"-1")</f>
        <v/>
      </c>
    </row>
    <row r="7902" spans="20:20">
      <c r="T7902" t="str">
        <f>IF(C7902="","",UPPER(LEFT(SUBSTITUTE(C7902," ",""),3))&amp;"-"&amp;TEXT(B7902,"AAMMDD")&amp;"-1")</f>
        <v/>
      </c>
    </row>
    <row r="7903" spans="20:20">
      <c r="T7903" t="str">
        <f>IF(C7903="","",UPPER(LEFT(SUBSTITUTE(C7903," ",""),3))&amp;"-"&amp;TEXT(B7903,"AAMMDD")&amp;"-1")</f>
        <v/>
      </c>
    </row>
    <row r="7904" spans="20:20">
      <c r="T7904" t="str">
        <f>IF(C7904="","",UPPER(LEFT(SUBSTITUTE(C7904," ",""),3))&amp;"-"&amp;TEXT(B7904,"AAMMDD")&amp;"-1")</f>
        <v/>
      </c>
    </row>
    <row r="7905" spans="20:20">
      <c r="T7905" t="str">
        <f>IF(C7905="","",UPPER(LEFT(SUBSTITUTE(C7905," ",""),3))&amp;"-"&amp;TEXT(B7905,"AAMMDD")&amp;"-1")</f>
        <v/>
      </c>
    </row>
    <row r="7906" spans="20:20">
      <c r="T7906" t="str">
        <f>IF(C7906="","",UPPER(LEFT(SUBSTITUTE(C7906," ",""),3))&amp;"-"&amp;TEXT(B7906,"AAMMDD")&amp;"-1")</f>
        <v/>
      </c>
    </row>
    <row r="7907" spans="20:20">
      <c r="T7907" t="str">
        <f>IF(C7907="","",UPPER(LEFT(SUBSTITUTE(C7907," ",""),3))&amp;"-"&amp;TEXT(B7907,"AAMMDD")&amp;"-1")</f>
        <v/>
      </c>
    </row>
    <row r="7908" spans="20:20">
      <c r="T7908" t="str">
        <f>IF(C7908="","",UPPER(LEFT(SUBSTITUTE(C7908," ",""),3))&amp;"-"&amp;TEXT(B7908,"AAMMDD")&amp;"-1")</f>
        <v/>
      </c>
    </row>
    <row r="7909" spans="20:20">
      <c r="T7909" t="str">
        <f>IF(C7909="","",UPPER(LEFT(SUBSTITUTE(C7909," ",""),3))&amp;"-"&amp;TEXT(B7909,"AAMMDD")&amp;"-1")</f>
        <v/>
      </c>
    </row>
    <row r="7910" spans="20:20">
      <c r="T7910" t="str">
        <f>IF(C7910="","",UPPER(LEFT(SUBSTITUTE(C7910," ",""),3))&amp;"-"&amp;TEXT(B7910,"AAMMDD")&amp;"-1")</f>
        <v/>
      </c>
    </row>
    <row r="7911" spans="20:20">
      <c r="T7911" t="str">
        <f>IF(C7911="","",UPPER(LEFT(SUBSTITUTE(C7911," ",""),3))&amp;"-"&amp;TEXT(B7911,"AAMMDD")&amp;"-1")</f>
        <v/>
      </c>
    </row>
    <row r="7912" spans="20:20">
      <c r="T7912" t="str">
        <f>IF(C7912="","",UPPER(LEFT(SUBSTITUTE(C7912," ",""),3))&amp;"-"&amp;TEXT(B7912,"AAMMDD")&amp;"-1")</f>
        <v/>
      </c>
    </row>
    <row r="7913" spans="20:20">
      <c r="T7913" t="str">
        <f>IF(C7913="","",UPPER(LEFT(SUBSTITUTE(C7913," ",""),3))&amp;"-"&amp;TEXT(B7913,"AAMMDD")&amp;"-1")</f>
        <v/>
      </c>
    </row>
    <row r="7914" spans="20:20">
      <c r="T7914" t="str">
        <f>IF(C7914="","",UPPER(LEFT(SUBSTITUTE(C7914," ",""),3))&amp;"-"&amp;TEXT(B7914,"AAMMDD")&amp;"-1")</f>
        <v/>
      </c>
    </row>
    <row r="7915" spans="20:20">
      <c r="T7915" t="str">
        <f>IF(C7915="","",UPPER(LEFT(SUBSTITUTE(C7915," ",""),3))&amp;"-"&amp;TEXT(B7915,"AAMMDD")&amp;"-1")</f>
        <v/>
      </c>
    </row>
    <row r="7916" spans="20:20">
      <c r="T7916" t="str">
        <f>IF(C7916="","",UPPER(LEFT(SUBSTITUTE(C7916," ",""),3))&amp;"-"&amp;TEXT(B7916,"AAMMDD")&amp;"-1")</f>
        <v/>
      </c>
    </row>
    <row r="7917" spans="20:20">
      <c r="T7917" t="str">
        <f>IF(C7917="","",UPPER(LEFT(SUBSTITUTE(C7917," ",""),3))&amp;"-"&amp;TEXT(B7917,"AAMMDD")&amp;"-1")</f>
        <v/>
      </c>
    </row>
    <row r="7918" spans="20:20">
      <c r="T7918" t="str">
        <f>IF(C7918="","",UPPER(LEFT(SUBSTITUTE(C7918," ",""),3))&amp;"-"&amp;TEXT(B7918,"AAMMDD")&amp;"-1")</f>
        <v/>
      </c>
    </row>
    <row r="7919" spans="20:20">
      <c r="T7919" t="str">
        <f>IF(C7919="","",UPPER(LEFT(SUBSTITUTE(C7919," ",""),3))&amp;"-"&amp;TEXT(B7919,"AAMMDD")&amp;"-1")</f>
        <v/>
      </c>
    </row>
    <row r="7920" spans="20:20">
      <c r="T7920" t="str">
        <f>IF(C7920="","",UPPER(LEFT(SUBSTITUTE(C7920," ",""),3))&amp;"-"&amp;TEXT(B7920,"AAMMDD")&amp;"-1")</f>
        <v/>
      </c>
    </row>
    <row r="7921" spans="20:20">
      <c r="T7921" t="str">
        <f>IF(C7921="","",UPPER(LEFT(SUBSTITUTE(C7921," ",""),3))&amp;"-"&amp;TEXT(B7921,"AAMMDD")&amp;"-1")</f>
        <v/>
      </c>
    </row>
    <row r="7922" spans="20:20">
      <c r="T7922" t="str">
        <f>IF(C7922="","",UPPER(LEFT(SUBSTITUTE(C7922," ",""),3))&amp;"-"&amp;TEXT(B7922,"AAMMDD")&amp;"-1")</f>
        <v/>
      </c>
    </row>
    <row r="7923" spans="20:20">
      <c r="T7923" t="str">
        <f>IF(C7923="","",UPPER(LEFT(SUBSTITUTE(C7923," ",""),3))&amp;"-"&amp;TEXT(B7923,"AAMMDD")&amp;"-1")</f>
        <v/>
      </c>
    </row>
    <row r="7924" spans="20:20">
      <c r="T7924" t="str">
        <f>IF(C7924="","",UPPER(LEFT(SUBSTITUTE(C7924," ",""),3))&amp;"-"&amp;TEXT(B7924,"AAMMDD")&amp;"-1")</f>
        <v/>
      </c>
    </row>
    <row r="7925" spans="20:20">
      <c r="T7925" t="str">
        <f>IF(C7925="","",UPPER(LEFT(SUBSTITUTE(C7925," ",""),3))&amp;"-"&amp;TEXT(B7925,"AAMMDD")&amp;"-1")</f>
        <v/>
      </c>
    </row>
    <row r="7926" spans="20:20">
      <c r="T7926" t="str">
        <f>IF(C7926="","",UPPER(LEFT(SUBSTITUTE(C7926," ",""),3))&amp;"-"&amp;TEXT(B7926,"AAMMDD")&amp;"-1")</f>
        <v/>
      </c>
    </row>
    <row r="7927" spans="20:20">
      <c r="T7927" t="str">
        <f>IF(C7927="","",UPPER(LEFT(SUBSTITUTE(C7927," ",""),3))&amp;"-"&amp;TEXT(B7927,"AAMMDD")&amp;"-1")</f>
        <v/>
      </c>
    </row>
    <row r="7928" spans="20:20">
      <c r="T7928" t="str">
        <f>IF(C7928="","",UPPER(LEFT(SUBSTITUTE(C7928," ",""),3))&amp;"-"&amp;TEXT(B7928,"AAMMDD")&amp;"-1")</f>
        <v/>
      </c>
    </row>
    <row r="7929" spans="20:20">
      <c r="T7929" t="str">
        <f>IF(C7929="","",UPPER(LEFT(SUBSTITUTE(C7929," ",""),3))&amp;"-"&amp;TEXT(B7929,"AAMMDD")&amp;"-1")</f>
        <v/>
      </c>
    </row>
    <row r="7930" spans="20:20">
      <c r="T7930" t="str">
        <f>IF(C7930="","",UPPER(LEFT(SUBSTITUTE(C7930," ",""),3))&amp;"-"&amp;TEXT(B7930,"AAMMDD")&amp;"-1")</f>
        <v/>
      </c>
    </row>
    <row r="7931" spans="20:20">
      <c r="T7931" t="str">
        <f>IF(C7931="","",UPPER(LEFT(SUBSTITUTE(C7931," ",""),3))&amp;"-"&amp;TEXT(B7931,"AAMMDD")&amp;"-1")</f>
        <v/>
      </c>
    </row>
    <row r="7932" spans="20:20">
      <c r="T7932" t="str">
        <f>IF(C7932="","",UPPER(LEFT(SUBSTITUTE(C7932," ",""),3))&amp;"-"&amp;TEXT(B7932,"AAMMDD")&amp;"-1")</f>
        <v/>
      </c>
    </row>
    <row r="7933" spans="20:20">
      <c r="T7933" t="str">
        <f>IF(C7933="","",UPPER(LEFT(SUBSTITUTE(C7933," ",""),3))&amp;"-"&amp;TEXT(B7933,"AAMMDD")&amp;"-1")</f>
        <v/>
      </c>
    </row>
    <row r="7934" spans="20:20">
      <c r="T7934" t="str">
        <f>IF(C7934="","",UPPER(LEFT(SUBSTITUTE(C7934," ",""),3))&amp;"-"&amp;TEXT(B7934,"AAMMDD")&amp;"-1")</f>
        <v/>
      </c>
    </row>
    <row r="7935" spans="20:20">
      <c r="T7935" t="str">
        <f>IF(C7935="","",UPPER(LEFT(SUBSTITUTE(C7935," ",""),3))&amp;"-"&amp;TEXT(B7935,"AAMMDD")&amp;"-1")</f>
        <v/>
      </c>
    </row>
    <row r="7936" spans="20:20">
      <c r="T7936" t="str">
        <f>IF(C7936="","",UPPER(LEFT(SUBSTITUTE(C7936," ",""),3))&amp;"-"&amp;TEXT(B7936,"AAMMDD")&amp;"-1")</f>
        <v/>
      </c>
    </row>
    <row r="7937" spans="20:20">
      <c r="T7937" t="str">
        <f>IF(C7937="","",UPPER(LEFT(SUBSTITUTE(C7937," ",""),3))&amp;"-"&amp;TEXT(B7937,"AAMMDD")&amp;"-1")</f>
        <v/>
      </c>
    </row>
    <row r="7938" spans="20:20">
      <c r="T7938" t="str">
        <f>IF(C7938="","",UPPER(LEFT(SUBSTITUTE(C7938," ",""),3))&amp;"-"&amp;TEXT(B7938,"AAMMDD")&amp;"-1")</f>
        <v/>
      </c>
    </row>
    <row r="7939" spans="20:20">
      <c r="T7939" t="str">
        <f>IF(C7939="","",UPPER(LEFT(SUBSTITUTE(C7939," ",""),3))&amp;"-"&amp;TEXT(B7939,"AAMMDD")&amp;"-1")</f>
        <v/>
      </c>
    </row>
    <row r="7940" spans="20:20">
      <c r="T7940" t="str">
        <f>IF(C7940="","",UPPER(LEFT(SUBSTITUTE(C7940," ",""),3))&amp;"-"&amp;TEXT(B7940,"AAMMDD")&amp;"-1")</f>
        <v/>
      </c>
    </row>
    <row r="7941" spans="20:20">
      <c r="T7941" t="str">
        <f>IF(C7941="","",UPPER(LEFT(SUBSTITUTE(C7941," ",""),3))&amp;"-"&amp;TEXT(B7941,"AAMMDD")&amp;"-1")</f>
        <v/>
      </c>
    </row>
    <row r="7942" spans="20:20">
      <c r="T7942" t="str">
        <f>IF(C7942="","",UPPER(LEFT(SUBSTITUTE(C7942," ",""),3))&amp;"-"&amp;TEXT(B7942,"AAMMDD")&amp;"-1")</f>
        <v/>
      </c>
    </row>
    <row r="7943" spans="20:20">
      <c r="T7943" t="str">
        <f>IF(C7943="","",UPPER(LEFT(SUBSTITUTE(C7943," ",""),3))&amp;"-"&amp;TEXT(B7943,"AAMMDD")&amp;"-1")</f>
        <v/>
      </c>
    </row>
    <row r="7944" spans="20:20">
      <c r="T7944" t="str">
        <f>IF(C7944="","",UPPER(LEFT(SUBSTITUTE(C7944," ",""),3))&amp;"-"&amp;TEXT(B7944,"AAMMDD")&amp;"-1")</f>
        <v/>
      </c>
    </row>
    <row r="7945" spans="20:20">
      <c r="T7945" t="str">
        <f>IF(C7945="","",UPPER(LEFT(SUBSTITUTE(C7945," ",""),3))&amp;"-"&amp;TEXT(B7945,"AAMMDD")&amp;"-1")</f>
        <v/>
      </c>
    </row>
    <row r="7946" spans="20:20">
      <c r="T7946" t="str">
        <f>IF(C7946="","",UPPER(LEFT(SUBSTITUTE(C7946," ",""),3))&amp;"-"&amp;TEXT(B7946,"AAMMDD")&amp;"-1")</f>
        <v/>
      </c>
    </row>
    <row r="7947" spans="20:20">
      <c r="T7947" t="str">
        <f>IF(C7947="","",UPPER(LEFT(SUBSTITUTE(C7947," ",""),3))&amp;"-"&amp;TEXT(B7947,"AAMMDD")&amp;"-1")</f>
        <v/>
      </c>
    </row>
    <row r="7948" spans="20:20">
      <c r="T7948" t="str">
        <f>IF(C7948="","",UPPER(LEFT(SUBSTITUTE(C7948," ",""),3))&amp;"-"&amp;TEXT(B7948,"AAMMDD")&amp;"-1")</f>
        <v/>
      </c>
    </row>
    <row r="7949" spans="20:20">
      <c r="T7949" t="str">
        <f>IF(C7949="","",UPPER(LEFT(SUBSTITUTE(C7949," ",""),3))&amp;"-"&amp;TEXT(B7949,"AAMMDD")&amp;"-1")</f>
        <v/>
      </c>
    </row>
    <row r="7950" spans="20:20">
      <c r="T7950" t="str">
        <f>IF(C7950="","",UPPER(LEFT(SUBSTITUTE(C7950," ",""),3))&amp;"-"&amp;TEXT(B7950,"AAMMDD")&amp;"-1")</f>
        <v/>
      </c>
    </row>
    <row r="7951" spans="20:20">
      <c r="T7951" t="str">
        <f>IF(C7951="","",UPPER(LEFT(SUBSTITUTE(C7951," ",""),3))&amp;"-"&amp;TEXT(B7951,"AAMMDD")&amp;"-1")</f>
        <v/>
      </c>
    </row>
    <row r="7952" spans="20:20">
      <c r="T7952" t="str">
        <f>IF(C7952="","",UPPER(LEFT(SUBSTITUTE(C7952," ",""),3))&amp;"-"&amp;TEXT(B7952,"AAMMDD")&amp;"-1")</f>
        <v/>
      </c>
    </row>
    <row r="7953" spans="20:20">
      <c r="T7953" t="str">
        <f>IF(C7953="","",UPPER(LEFT(SUBSTITUTE(C7953," ",""),3))&amp;"-"&amp;TEXT(B7953,"AAMMDD")&amp;"-1")</f>
        <v/>
      </c>
    </row>
    <row r="7954" spans="20:20">
      <c r="T7954" t="str">
        <f>IF(C7954="","",UPPER(LEFT(SUBSTITUTE(C7954," ",""),3))&amp;"-"&amp;TEXT(B7954,"AAMMDD")&amp;"-1")</f>
        <v/>
      </c>
    </row>
    <row r="7955" spans="20:20">
      <c r="T7955" t="str">
        <f>IF(C7955="","",UPPER(LEFT(SUBSTITUTE(C7955," ",""),3))&amp;"-"&amp;TEXT(B7955,"AAMMDD")&amp;"-1")</f>
        <v/>
      </c>
    </row>
    <row r="7956" spans="20:20">
      <c r="T7956" t="str">
        <f>IF(C7956="","",UPPER(LEFT(SUBSTITUTE(C7956," ",""),3))&amp;"-"&amp;TEXT(B7956,"AAMMDD")&amp;"-1")</f>
        <v/>
      </c>
    </row>
    <row r="7957" spans="20:20">
      <c r="T7957" t="str">
        <f>IF(C7957="","",UPPER(LEFT(SUBSTITUTE(C7957," ",""),3))&amp;"-"&amp;TEXT(B7957,"AAMMDD")&amp;"-1")</f>
        <v/>
      </c>
    </row>
    <row r="7958" spans="20:20">
      <c r="T7958" t="str">
        <f>IF(C7958="","",UPPER(LEFT(SUBSTITUTE(C7958," ",""),3))&amp;"-"&amp;TEXT(B7958,"AAMMDD")&amp;"-1")</f>
        <v/>
      </c>
    </row>
    <row r="7959" spans="20:20">
      <c r="T7959" t="str">
        <f>IF(C7959="","",UPPER(LEFT(SUBSTITUTE(C7959," ",""),3))&amp;"-"&amp;TEXT(B7959,"AAMMDD")&amp;"-1")</f>
        <v/>
      </c>
    </row>
    <row r="7960" spans="20:20">
      <c r="T7960" t="str">
        <f>IF(C7960="","",UPPER(LEFT(SUBSTITUTE(C7960," ",""),3))&amp;"-"&amp;TEXT(B7960,"AAMMDD")&amp;"-1")</f>
        <v/>
      </c>
    </row>
    <row r="7961" spans="20:20">
      <c r="T7961" t="str">
        <f>IF(C7961="","",UPPER(LEFT(SUBSTITUTE(C7961," ",""),3))&amp;"-"&amp;TEXT(B7961,"AAMMDD")&amp;"-1")</f>
        <v/>
      </c>
    </row>
    <row r="7962" spans="20:20">
      <c r="T7962" t="str">
        <f>IF(C7962="","",UPPER(LEFT(SUBSTITUTE(C7962," ",""),3))&amp;"-"&amp;TEXT(B7962,"AAMMDD")&amp;"-1")</f>
        <v/>
      </c>
    </row>
    <row r="7963" spans="20:20">
      <c r="T7963" t="str">
        <f>IF(C7963="","",UPPER(LEFT(SUBSTITUTE(C7963," ",""),3))&amp;"-"&amp;TEXT(B7963,"AAMMDD")&amp;"-1")</f>
        <v/>
      </c>
    </row>
    <row r="7964" spans="20:20">
      <c r="T7964" t="str">
        <f>IF(C7964="","",UPPER(LEFT(SUBSTITUTE(C7964," ",""),3))&amp;"-"&amp;TEXT(B7964,"AAMMDD")&amp;"-1")</f>
        <v/>
      </c>
    </row>
    <row r="7965" spans="20:20">
      <c r="T7965" t="str">
        <f>IF(C7965="","",UPPER(LEFT(SUBSTITUTE(C7965," ",""),3))&amp;"-"&amp;TEXT(B7965,"AAMMDD")&amp;"-1")</f>
        <v/>
      </c>
    </row>
    <row r="7966" spans="20:20">
      <c r="T7966" t="str">
        <f>IF(C7966="","",UPPER(LEFT(SUBSTITUTE(C7966," ",""),3))&amp;"-"&amp;TEXT(B7966,"AAMMDD")&amp;"-1")</f>
        <v/>
      </c>
    </row>
    <row r="7967" spans="20:20">
      <c r="T7967" t="str">
        <f>IF(C7967="","",UPPER(LEFT(SUBSTITUTE(C7967," ",""),3))&amp;"-"&amp;TEXT(B7967,"AAMMDD")&amp;"-1")</f>
        <v/>
      </c>
    </row>
    <row r="7968" spans="20:20">
      <c r="T7968" t="str">
        <f>IF(C7968="","",UPPER(LEFT(SUBSTITUTE(C7968," ",""),3))&amp;"-"&amp;TEXT(B7968,"AAMMDD")&amp;"-1")</f>
        <v/>
      </c>
    </row>
    <row r="7969" spans="20:20">
      <c r="T7969" t="str">
        <f>IF(C7969="","",UPPER(LEFT(SUBSTITUTE(C7969," ",""),3))&amp;"-"&amp;TEXT(B7969,"AAMMDD")&amp;"-1")</f>
        <v/>
      </c>
    </row>
    <row r="7970" spans="20:20">
      <c r="T7970" t="str">
        <f>IF(C7970="","",UPPER(LEFT(SUBSTITUTE(C7970," ",""),3))&amp;"-"&amp;TEXT(B7970,"AAMMDD")&amp;"-1")</f>
        <v/>
      </c>
    </row>
    <row r="7971" spans="20:20">
      <c r="T7971" t="str">
        <f>IF(C7971="","",UPPER(LEFT(SUBSTITUTE(C7971," ",""),3))&amp;"-"&amp;TEXT(B7971,"AAMMDD")&amp;"-1")</f>
        <v/>
      </c>
    </row>
    <row r="7972" spans="20:20">
      <c r="T7972" t="str">
        <f>IF(C7972="","",UPPER(LEFT(SUBSTITUTE(C7972," ",""),3))&amp;"-"&amp;TEXT(B7972,"AAMMDD")&amp;"-1")</f>
        <v/>
      </c>
    </row>
    <row r="7973" spans="20:20">
      <c r="T7973" t="str">
        <f>IF(C7973="","",UPPER(LEFT(SUBSTITUTE(C7973," ",""),3))&amp;"-"&amp;TEXT(B7973,"AAMMDD")&amp;"-1")</f>
        <v/>
      </c>
    </row>
    <row r="7974" spans="20:20">
      <c r="T7974" t="str">
        <f>IF(C7974="","",UPPER(LEFT(SUBSTITUTE(C7974," ",""),3))&amp;"-"&amp;TEXT(B7974,"AAMMDD")&amp;"-1")</f>
        <v/>
      </c>
    </row>
    <row r="7975" spans="20:20">
      <c r="T7975" t="str">
        <f>IF(C7975="","",UPPER(LEFT(SUBSTITUTE(C7975," ",""),3))&amp;"-"&amp;TEXT(B7975,"AAMMDD")&amp;"-1")</f>
        <v/>
      </c>
    </row>
    <row r="7976" spans="20:20">
      <c r="T7976" t="str">
        <f>IF(C7976="","",UPPER(LEFT(SUBSTITUTE(C7976," ",""),3))&amp;"-"&amp;TEXT(B7976,"AAMMDD")&amp;"-1")</f>
        <v/>
      </c>
    </row>
    <row r="7977" spans="20:20">
      <c r="T7977" t="str">
        <f>IF(C7977="","",UPPER(LEFT(SUBSTITUTE(C7977," ",""),3))&amp;"-"&amp;TEXT(B7977,"AAMMDD")&amp;"-1")</f>
        <v/>
      </c>
    </row>
    <row r="7978" spans="20:20">
      <c r="T7978" t="str">
        <f>IF(C7978="","",UPPER(LEFT(SUBSTITUTE(C7978," ",""),3))&amp;"-"&amp;TEXT(B7978,"AAMMDD")&amp;"-1")</f>
        <v/>
      </c>
    </row>
    <row r="7979" spans="20:20">
      <c r="T7979" t="str">
        <f>IF(C7979="","",UPPER(LEFT(SUBSTITUTE(C7979," ",""),3))&amp;"-"&amp;TEXT(B7979,"AAMMDD")&amp;"-1")</f>
        <v/>
      </c>
    </row>
    <row r="7980" spans="20:20">
      <c r="T7980" t="str">
        <f>IF(C7980="","",UPPER(LEFT(SUBSTITUTE(C7980," ",""),3))&amp;"-"&amp;TEXT(B7980,"AAMMDD")&amp;"-1")</f>
        <v/>
      </c>
    </row>
    <row r="7981" spans="20:20">
      <c r="T7981" t="str">
        <f>IF(C7981="","",UPPER(LEFT(SUBSTITUTE(C7981," ",""),3))&amp;"-"&amp;TEXT(B7981,"AAMMDD")&amp;"-1")</f>
        <v/>
      </c>
    </row>
    <row r="7982" spans="20:20">
      <c r="T7982" t="str">
        <f>IF(C7982="","",UPPER(LEFT(SUBSTITUTE(C7982," ",""),3))&amp;"-"&amp;TEXT(B7982,"AAMMDD")&amp;"-1")</f>
        <v/>
      </c>
    </row>
    <row r="7983" spans="20:20">
      <c r="T7983" t="str">
        <f>IF(C7983="","",UPPER(LEFT(SUBSTITUTE(C7983," ",""),3))&amp;"-"&amp;TEXT(B7983,"AAMMDD")&amp;"-1")</f>
        <v/>
      </c>
    </row>
    <row r="7984" spans="20:20">
      <c r="T7984" t="str">
        <f>IF(C7984="","",UPPER(LEFT(SUBSTITUTE(C7984," ",""),3))&amp;"-"&amp;TEXT(B7984,"AAMMDD")&amp;"-1")</f>
        <v/>
      </c>
    </row>
    <row r="7985" spans="20:20">
      <c r="T7985" t="str">
        <f>IF(C7985="","",UPPER(LEFT(SUBSTITUTE(C7985," ",""),3))&amp;"-"&amp;TEXT(B7985,"AAMMDD")&amp;"-1")</f>
        <v/>
      </c>
    </row>
    <row r="7986" spans="20:20">
      <c r="T7986" t="str">
        <f>IF(C7986="","",UPPER(LEFT(SUBSTITUTE(C7986," ",""),3))&amp;"-"&amp;TEXT(B7986,"AAMMDD")&amp;"-1")</f>
        <v/>
      </c>
    </row>
    <row r="7987" spans="20:20">
      <c r="T7987" t="str">
        <f>IF(C7987="","",UPPER(LEFT(SUBSTITUTE(C7987," ",""),3))&amp;"-"&amp;TEXT(B7987,"AAMMDD")&amp;"-1")</f>
        <v/>
      </c>
    </row>
    <row r="7988" spans="20:20">
      <c r="T7988" t="str">
        <f>IF(C7988="","",UPPER(LEFT(SUBSTITUTE(C7988," ",""),3))&amp;"-"&amp;TEXT(B7988,"AAMMDD")&amp;"-1")</f>
        <v/>
      </c>
    </row>
    <row r="7989" spans="20:20">
      <c r="T7989" t="str">
        <f>IF(C7989="","",UPPER(LEFT(SUBSTITUTE(C7989," ",""),3))&amp;"-"&amp;TEXT(B7989,"AAMMDD")&amp;"-1")</f>
        <v/>
      </c>
    </row>
    <row r="7990" spans="20:20">
      <c r="T7990" t="str">
        <f>IF(C7990="","",UPPER(LEFT(SUBSTITUTE(C7990," ",""),3))&amp;"-"&amp;TEXT(B7990,"AAMMDD")&amp;"-1")</f>
        <v/>
      </c>
    </row>
    <row r="7991" spans="20:20">
      <c r="T7991" t="str">
        <f>IF(C7991="","",UPPER(LEFT(SUBSTITUTE(C7991," ",""),3))&amp;"-"&amp;TEXT(B7991,"AAMMDD")&amp;"-1")</f>
        <v/>
      </c>
    </row>
    <row r="7992" spans="20:20">
      <c r="T7992" t="str">
        <f>IF(C7992="","",UPPER(LEFT(SUBSTITUTE(C7992," ",""),3))&amp;"-"&amp;TEXT(B7992,"AAMMDD")&amp;"-1")</f>
        <v/>
      </c>
    </row>
    <row r="7993" spans="20:20">
      <c r="T7993" t="str">
        <f>IF(C7993="","",UPPER(LEFT(SUBSTITUTE(C7993," ",""),3))&amp;"-"&amp;TEXT(B7993,"AAMMDD")&amp;"-1")</f>
        <v/>
      </c>
    </row>
    <row r="7994" spans="20:20">
      <c r="T7994" t="str">
        <f>IF(C7994="","",UPPER(LEFT(SUBSTITUTE(C7994," ",""),3))&amp;"-"&amp;TEXT(B7994,"AAMMDD")&amp;"-1")</f>
        <v/>
      </c>
    </row>
    <row r="7995" spans="20:20">
      <c r="T7995" t="str">
        <f>IF(C7995="","",UPPER(LEFT(SUBSTITUTE(C7995," ",""),3))&amp;"-"&amp;TEXT(B7995,"AAMMDD")&amp;"-1")</f>
        <v/>
      </c>
    </row>
    <row r="7996" spans="20:20">
      <c r="T7996" t="str">
        <f>IF(C7996="","",UPPER(LEFT(SUBSTITUTE(C7996," ",""),3))&amp;"-"&amp;TEXT(B7996,"AAMMDD")&amp;"-1")</f>
        <v/>
      </c>
    </row>
    <row r="7997" spans="20:20">
      <c r="T7997" t="str">
        <f>IF(C7997="","",UPPER(LEFT(SUBSTITUTE(C7997," ",""),3))&amp;"-"&amp;TEXT(B7997,"AAMMDD")&amp;"-1")</f>
        <v/>
      </c>
    </row>
    <row r="7998" spans="20:20">
      <c r="T7998" t="str">
        <f>IF(C7998="","",UPPER(LEFT(SUBSTITUTE(C7998," ",""),3))&amp;"-"&amp;TEXT(B7998,"AAMMDD")&amp;"-1")</f>
        <v/>
      </c>
    </row>
    <row r="7999" spans="20:20">
      <c r="T7999" t="str">
        <f>IF(C7999="","",UPPER(LEFT(SUBSTITUTE(C7999," ",""),3))&amp;"-"&amp;TEXT(B7999,"AAMMDD")&amp;"-1")</f>
        <v/>
      </c>
    </row>
    <row r="8000" spans="20:20">
      <c r="T8000" t="str">
        <f>IF(C8000="","",UPPER(LEFT(SUBSTITUTE(C8000," ",""),3))&amp;"-"&amp;TEXT(B8000,"AAMMDD")&amp;"-1")</f>
        <v/>
      </c>
    </row>
    <row r="8001" spans="20:20">
      <c r="T8001" t="str">
        <f>IF(C8001="","",UPPER(LEFT(SUBSTITUTE(C8001," ",""),3))&amp;"-"&amp;TEXT(B8001,"AAMMDD")&amp;"-1")</f>
        <v/>
      </c>
    </row>
    <row r="8002" spans="20:20">
      <c r="T8002" t="str">
        <f>IF(C8002="","",UPPER(LEFT(SUBSTITUTE(C8002," ",""),3))&amp;"-"&amp;TEXT(B8002,"AAMMDD")&amp;"-1")</f>
        <v/>
      </c>
    </row>
    <row r="8003" spans="20:20">
      <c r="T8003" t="str">
        <f>IF(C8003="","",UPPER(LEFT(SUBSTITUTE(C8003," ",""),3))&amp;"-"&amp;TEXT(B8003,"AAMMDD")&amp;"-1")</f>
        <v/>
      </c>
    </row>
    <row r="8004" spans="20:20">
      <c r="T8004" t="str">
        <f>IF(C8004="","",UPPER(LEFT(SUBSTITUTE(C8004," ",""),3))&amp;"-"&amp;TEXT(B8004,"AAMMDD")&amp;"-1")</f>
        <v/>
      </c>
    </row>
    <row r="8005" spans="20:20">
      <c r="T8005" t="str">
        <f>IF(C8005="","",UPPER(LEFT(SUBSTITUTE(C8005," ",""),3))&amp;"-"&amp;TEXT(B8005,"AAMMDD")&amp;"-1")</f>
        <v/>
      </c>
    </row>
    <row r="8006" spans="20:20">
      <c r="T8006" t="str">
        <f>IF(C8006="","",UPPER(LEFT(SUBSTITUTE(C8006," ",""),3))&amp;"-"&amp;TEXT(B8006,"AAMMDD")&amp;"-1")</f>
        <v/>
      </c>
    </row>
    <row r="8007" spans="20:20">
      <c r="T8007" t="str">
        <f>IF(C8007="","",UPPER(LEFT(SUBSTITUTE(C8007," ",""),3))&amp;"-"&amp;TEXT(B8007,"AAMMDD")&amp;"-1")</f>
        <v/>
      </c>
    </row>
    <row r="8008" spans="20:20">
      <c r="T8008" t="str">
        <f>IF(C8008="","",UPPER(LEFT(SUBSTITUTE(C8008," ",""),3))&amp;"-"&amp;TEXT(B8008,"AAMMDD")&amp;"-1")</f>
        <v/>
      </c>
    </row>
    <row r="8009" spans="20:20">
      <c r="T8009" t="str">
        <f>IF(C8009="","",UPPER(LEFT(SUBSTITUTE(C8009," ",""),3))&amp;"-"&amp;TEXT(B8009,"AAMMDD")&amp;"-1")</f>
        <v/>
      </c>
    </row>
    <row r="8010" spans="20:20">
      <c r="T8010" t="str">
        <f>IF(C8010="","",UPPER(LEFT(SUBSTITUTE(C8010," ",""),3))&amp;"-"&amp;TEXT(B8010,"AAMMDD")&amp;"-1")</f>
        <v/>
      </c>
    </row>
    <row r="8011" spans="20:20">
      <c r="T8011" t="str">
        <f>IF(C8011="","",UPPER(LEFT(SUBSTITUTE(C8011," ",""),3))&amp;"-"&amp;TEXT(B8011,"AAMMDD")&amp;"-1")</f>
        <v/>
      </c>
    </row>
    <row r="8012" spans="20:20">
      <c r="T8012" t="str">
        <f>IF(C8012="","",UPPER(LEFT(SUBSTITUTE(C8012," ",""),3))&amp;"-"&amp;TEXT(B8012,"AAMMDD")&amp;"-1")</f>
        <v/>
      </c>
    </row>
    <row r="8013" spans="20:20">
      <c r="T8013" t="str">
        <f>IF(C8013="","",UPPER(LEFT(SUBSTITUTE(C8013," ",""),3))&amp;"-"&amp;TEXT(B8013,"AAMMDD")&amp;"-1")</f>
        <v/>
      </c>
    </row>
    <row r="8014" spans="20:20">
      <c r="T8014" t="str">
        <f>IF(C8014="","",UPPER(LEFT(SUBSTITUTE(C8014," ",""),3))&amp;"-"&amp;TEXT(B8014,"AAMMDD")&amp;"-1")</f>
        <v/>
      </c>
    </row>
    <row r="8015" spans="20:20">
      <c r="T8015" t="str">
        <f>IF(C8015="","",UPPER(LEFT(SUBSTITUTE(C8015," ",""),3))&amp;"-"&amp;TEXT(B8015,"AAMMDD")&amp;"-1")</f>
        <v/>
      </c>
    </row>
    <row r="8016" spans="20:20">
      <c r="T8016" t="str">
        <f>IF(C8016="","",UPPER(LEFT(SUBSTITUTE(C8016," ",""),3))&amp;"-"&amp;TEXT(B8016,"AAMMDD")&amp;"-1")</f>
        <v/>
      </c>
    </row>
    <row r="8017" spans="20:20">
      <c r="T8017" t="str">
        <f>IF(C8017="","",UPPER(LEFT(SUBSTITUTE(C8017," ",""),3))&amp;"-"&amp;TEXT(B8017,"AAMMDD")&amp;"-1")</f>
        <v/>
      </c>
    </row>
    <row r="8018" spans="20:20">
      <c r="T8018" t="str">
        <f>IF(C8018="","",UPPER(LEFT(SUBSTITUTE(C8018," ",""),3))&amp;"-"&amp;TEXT(B8018,"AAMMDD")&amp;"-1")</f>
        <v/>
      </c>
    </row>
    <row r="8019" spans="20:20">
      <c r="T8019" t="str">
        <f>IF(C8019="","",UPPER(LEFT(SUBSTITUTE(C8019," ",""),3))&amp;"-"&amp;TEXT(B8019,"AAMMDD")&amp;"-1")</f>
        <v/>
      </c>
    </row>
    <row r="8020" spans="20:20">
      <c r="T8020" t="str">
        <f>IF(C8020="","",UPPER(LEFT(SUBSTITUTE(C8020," ",""),3))&amp;"-"&amp;TEXT(B8020,"AAMMDD")&amp;"-1")</f>
        <v/>
      </c>
    </row>
    <row r="8021" spans="20:20">
      <c r="T8021" t="str">
        <f>IF(C8021="","",UPPER(LEFT(SUBSTITUTE(C8021," ",""),3))&amp;"-"&amp;TEXT(B8021,"AAMMDD")&amp;"-1")</f>
        <v/>
      </c>
    </row>
    <row r="8022" spans="20:20">
      <c r="T8022" t="str">
        <f>IF(C8022="","",UPPER(LEFT(SUBSTITUTE(C8022," ",""),3))&amp;"-"&amp;TEXT(B8022,"AAMMDD")&amp;"-1")</f>
        <v/>
      </c>
    </row>
    <row r="8023" spans="20:20">
      <c r="T8023" t="str">
        <f>IF(C8023="","",UPPER(LEFT(SUBSTITUTE(C8023," ",""),3))&amp;"-"&amp;TEXT(B8023,"AAMMDD")&amp;"-1")</f>
        <v/>
      </c>
    </row>
    <row r="8024" spans="20:20">
      <c r="T8024" t="str">
        <f>IF(C8024="","",UPPER(LEFT(SUBSTITUTE(C8024," ",""),3))&amp;"-"&amp;TEXT(B8024,"AAMMDD")&amp;"-1")</f>
        <v/>
      </c>
    </row>
    <row r="8025" spans="20:20">
      <c r="T8025" t="str">
        <f>IF(C8025="","",UPPER(LEFT(SUBSTITUTE(C8025," ",""),3))&amp;"-"&amp;TEXT(B8025,"AAMMDD")&amp;"-1")</f>
        <v/>
      </c>
    </row>
    <row r="8026" spans="20:20">
      <c r="T8026" t="str">
        <f>IF(C8026="","",UPPER(LEFT(SUBSTITUTE(C8026," ",""),3))&amp;"-"&amp;TEXT(B8026,"AAMMDD")&amp;"-1")</f>
        <v/>
      </c>
    </row>
    <row r="8027" spans="20:20">
      <c r="T8027" t="str">
        <f>IF(C8027="","",UPPER(LEFT(SUBSTITUTE(C8027," ",""),3))&amp;"-"&amp;TEXT(B8027,"AAMMDD")&amp;"-1")</f>
        <v/>
      </c>
    </row>
    <row r="8028" spans="20:20">
      <c r="T8028" t="str">
        <f>IF(C8028="","",UPPER(LEFT(SUBSTITUTE(C8028," ",""),3))&amp;"-"&amp;TEXT(B8028,"AAMMDD")&amp;"-1")</f>
        <v/>
      </c>
    </row>
    <row r="8029" spans="20:20">
      <c r="T8029" t="str">
        <f>IF(C8029="","",UPPER(LEFT(SUBSTITUTE(C8029," ",""),3))&amp;"-"&amp;TEXT(B8029,"AAMMDD")&amp;"-1")</f>
        <v/>
      </c>
    </row>
    <row r="8030" spans="20:20">
      <c r="T8030" t="str">
        <f>IF(C8030="","",UPPER(LEFT(SUBSTITUTE(C8030," ",""),3))&amp;"-"&amp;TEXT(B8030,"AAMMDD")&amp;"-1")</f>
        <v/>
      </c>
    </row>
    <row r="8031" spans="20:20">
      <c r="T8031" t="str">
        <f>IF(C8031="","",UPPER(LEFT(SUBSTITUTE(C8031," ",""),3))&amp;"-"&amp;TEXT(B8031,"AAMMDD")&amp;"-1")</f>
        <v/>
      </c>
    </row>
    <row r="8032" spans="20:20">
      <c r="T8032" t="str">
        <f>IF(C8032="","",UPPER(LEFT(SUBSTITUTE(C8032," ",""),3))&amp;"-"&amp;TEXT(B8032,"AAMMDD")&amp;"-1")</f>
        <v/>
      </c>
    </row>
    <row r="8033" spans="20:20">
      <c r="T8033" t="str">
        <f>IF(C8033="","",UPPER(LEFT(SUBSTITUTE(C8033," ",""),3))&amp;"-"&amp;TEXT(B8033,"AAMMDD")&amp;"-1")</f>
        <v/>
      </c>
    </row>
    <row r="8034" spans="20:20">
      <c r="T8034" t="str">
        <f>IF(C8034="","",UPPER(LEFT(SUBSTITUTE(C8034," ",""),3))&amp;"-"&amp;TEXT(B8034,"AAMMDD")&amp;"-1")</f>
        <v/>
      </c>
    </row>
    <row r="8035" spans="20:20">
      <c r="T8035" t="str">
        <f>IF(C8035="","",UPPER(LEFT(SUBSTITUTE(C8035," ",""),3))&amp;"-"&amp;TEXT(B8035,"AAMMDD")&amp;"-1")</f>
        <v/>
      </c>
    </row>
    <row r="8036" spans="20:20">
      <c r="T8036" t="str">
        <f>IF(C8036="","",UPPER(LEFT(SUBSTITUTE(C8036," ",""),3))&amp;"-"&amp;TEXT(B8036,"AAMMDD")&amp;"-1")</f>
        <v/>
      </c>
    </row>
    <row r="8037" spans="20:20">
      <c r="T8037" t="str">
        <f>IF(C8037="","",UPPER(LEFT(SUBSTITUTE(C8037," ",""),3))&amp;"-"&amp;TEXT(B8037,"AAMMDD")&amp;"-1")</f>
        <v/>
      </c>
    </row>
    <row r="8038" spans="20:20">
      <c r="T8038" t="str">
        <f>IF(C8038="","",UPPER(LEFT(SUBSTITUTE(C8038," ",""),3))&amp;"-"&amp;TEXT(B8038,"AAMMDD")&amp;"-1")</f>
        <v/>
      </c>
    </row>
    <row r="8039" spans="20:20">
      <c r="T8039" t="str">
        <f>IF(C8039="","",UPPER(LEFT(SUBSTITUTE(C8039," ",""),3))&amp;"-"&amp;TEXT(B8039,"AAMMDD")&amp;"-1")</f>
        <v/>
      </c>
    </row>
    <row r="8040" spans="20:20">
      <c r="T8040" t="str">
        <f>IF(C8040="","",UPPER(LEFT(SUBSTITUTE(C8040," ",""),3))&amp;"-"&amp;TEXT(B8040,"AAMMDD")&amp;"-1")</f>
        <v/>
      </c>
    </row>
    <row r="8041" spans="20:20">
      <c r="T8041" t="str">
        <f>IF(C8041="","",UPPER(LEFT(SUBSTITUTE(C8041," ",""),3))&amp;"-"&amp;TEXT(B8041,"AAMMDD")&amp;"-1")</f>
        <v/>
      </c>
    </row>
    <row r="8042" spans="20:20">
      <c r="T8042" t="str">
        <f>IF(C8042="","",UPPER(LEFT(SUBSTITUTE(C8042," ",""),3))&amp;"-"&amp;TEXT(B8042,"AAMMDD")&amp;"-1")</f>
        <v/>
      </c>
    </row>
    <row r="8043" spans="20:20">
      <c r="T8043" t="str">
        <f>IF(C8043="","",UPPER(LEFT(SUBSTITUTE(C8043," ",""),3))&amp;"-"&amp;TEXT(B8043,"AAMMDD")&amp;"-1")</f>
        <v/>
      </c>
    </row>
    <row r="8044" spans="20:20">
      <c r="T8044" t="str">
        <f>IF(C8044="","",UPPER(LEFT(SUBSTITUTE(C8044," ",""),3))&amp;"-"&amp;TEXT(B8044,"AAMMDD")&amp;"-1")</f>
        <v/>
      </c>
    </row>
    <row r="8045" spans="20:20">
      <c r="T8045" t="str">
        <f>IF(C8045="","",UPPER(LEFT(SUBSTITUTE(C8045," ",""),3))&amp;"-"&amp;TEXT(B8045,"AAMMDD")&amp;"-1")</f>
        <v/>
      </c>
    </row>
    <row r="8046" spans="20:20">
      <c r="T8046" t="str">
        <f>IF(C8046="","",UPPER(LEFT(SUBSTITUTE(C8046," ",""),3))&amp;"-"&amp;TEXT(B8046,"AAMMDD")&amp;"-1")</f>
        <v/>
      </c>
    </row>
    <row r="8047" spans="20:20">
      <c r="T8047" t="str">
        <f>IF(C8047="","",UPPER(LEFT(SUBSTITUTE(C8047," ",""),3))&amp;"-"&amp;TEXT(B8047,"AAMMDD")&amp;"-1")</f>
        <v/>
      </c>
    </row>
    <row r="8048" spans="20:20">
      <c r="T8048" t="str">
        <f>IF(C8048="","",UPPER(LEFT(SUBSTITUTE(C8048," ",""),3))&amp;"-"&amp;TEXT(B8048,"AAMMDD")&amp;"-1")</f>
        <v/>
      </c>
    </row>
    <row r="8049" spans="20:20">
      <c r="T8049" t="str">
        <f>IF(C8049="","",UPPER(LEFT(SUBSTITUTE(C8049," ",""),3))&amp;"-"&amp;TEXT(B8049,"AAMMDD")&amp;"-1")</f>
        <v/>
      </c>
    </row>
    <row r="8050" spans="20:20">
      <c r="T8050" t="str">
        <f>IF(C8050="","",UPPER(LEFT(SUBSTITUTE(C8050," ",""),3))&amp;"-"&amp;TEXT(B8050,"AAMMDD")&amp;"-1")</f>
        <v/>
      </c>
    </row>
    <row r="8051" spans="20:20">
      <c r="T8051" t="str">
        <f>IF(C8051="","",UPPER(LEFT(SUBSTITUTE(C8051," ",""),3))&amp;"-"&amp;TEXT(B8051,"AAMMDD")&amp;"-1")</f>
        <v/>
      </c>
    </row>
    <row r="8052" spans="20:20">
      <c r="T8052" t="str">
        <f>IF(C8052="","",UPPER(LEFT(SUBSTITUTE(C8052," ",""),3))&amp;"-"&amp;TEXT(B8052,"AAMMDD")&amp;"-1")</f>
        <v/>
      </c>
    </row>
    <row r="8053" spans="20:20">
      <c r="T8053" t="str">
        <f>IF(C8053="","",UPPER(LEFT(SUBSTITUTE(C8053," ",""),3))&amp;"-"&amp;TEXT(B8053,"AAMMDD")&amp;"-1")</f>
        <v/>
      </c>
    </row>
    <row r="8054" spans="20:20">
      <c r="T8054" t="str">
        <f>IF(C8054="","",UPPER(LEFT(SUBSTITUTE(C8054," ",""),3))&amp;"-"&amp;TEXT(B8054,"AAMMDD")&amp;"-1")</f>
        <v/>
      </c>
    </row>
    <row r="8055" spans="20:20">
      <c r="T8055" t="str">
        <f>IF(C8055="","",UPPER(LEFT(SUBSTITUTE(C8055," ",""),3))&amp;"-"&amp;TEXT(B8055,"AAMMDD")&amp;"-1")</f>
        <v/>
      </c>
    </row>
    <row r="8056" spans="20:20">
      <c r="T8056" t="str">
        <f>IF(C8056="","",UPPER(LEFT(SUBSTITUTE(C8056," ",""),3))&amp;"-"&amp;TEXT(B8056,"AAMMDD")&amp;"-1")</f>
        <v/>
      </c>
    </row>
    <row r="8057" spans="20:20">
      <c r="T8057" t="str">
        <f>IF(C8057="","",UPPER(LEFT(SUBSTITUTE(C8057," ",""),3))&amp;"-"&amp;TEXT(B8057,"AAMMDD")&amp;"-1")</f>
        <v/>
      </c>
    </row>
    <row r="8058" spans="20:20">
      <c r="T8058" t="str">
        <f>IF(C8058="","",UPPER(LEFT(SUBSTITUTE(C8058," ",""),3))&amp;"-"&amp;TEXT(B8058,"AAMMDD")&amp;"-1")</f>
        <v/>
      </c>
    </row>
    <row r="8059" spans="20:20">
      <c r="T8059" t="str">
        <f>IF(C8059="","",UPPER(LEFT(SUBSTITUTE(C8059," ",""),3))&amp;"-"&amp;TEXT(B8059,"AAMMDD")&amp;"-1")</f>
        <v/>
      </c>
    </row>
    <row r="8060" spans="20:20">
      <c r="T8060" t="str">
        <f>IF(C8060="","",UPPER(LEFT(SUBSTITUTE(C8060," ",""),3))&amp;"-"&amp;TEXT(B8060,"AAMMDD")&amp;"-1")</f>
        <v/>
      </c>
    </row>
    <row r="8061" spans="20:20">
      <c r="T8061" t="str">
        <f>IF(C8061="","",UPPER(LEFT(SUBSTITUTE(C8061," ",""),3))&amp;"-"&amp;TEXT(B8061,"AAMMDD")&amp;"-1")</f>
        <v/>
      </c>
    </row>
    <row r="8062" spans="20:20">
      <c r="T8062" t="str">
        <f>IF(C8062="","",UPPER(LEFT(SUBSTITUTE(C8062," ",""),3))&amp;"-"&amp;TEXT(B8062,"AAMMDD")&amp;"-1")</f>
        <v/>
      </c>
    </row>
    <row r="8063" spans="20:20">
      <c r="T8063" t="str">
        <f>IF(C8063="","",UPPER(LEFT(SUBSTITUTE(C8063," ",""),3))&amp;"-"&amp;TEXT(B8063,"AAMMDD")&amp;"-1")</f>
        <v/>
      </c>
    </row>
    <row r="8064" spans="20:20">
      <c r="T8064" t="str">
        <f>IF(C8064="","",UPPER(LEFT(SUBSTITUTE(C8064," ",""),3))&amp;"-"&amp;TEXT(B8064,"AAMMDD")&amp;"-1")</f>
        <v/>
      </c>
    </row>
    <row r="8065" spans="20:20">
      <c r="T8065" t="str">
        <f>IF(C8065="","",UPPER(LEFT(SUBSTITUTE(C8065," ",""),3))&amp;"-"&amp;TEXT(B8065,"AAMMDD")&amp;"-1")</f>
        <v/>
      </c>
    </row>
    <row r="8066" spans="20:20">
      <c r="T8066" t="str">
        <f>IF(C8066="","",UPPER(LEFT(SUBSTITUTE(C8066," ",""),3))&amp;"-"&amp;TEXT(B8066,"AAMMDD")&amp;"-1")</f>
        <v/>
      </c>
    </row>
    <row r="8067" spans="20:20">
      <c r="T8067" t="str">
        <f>IF(C8067="","",UPPER(LEFT(SUBSTITUTE(C8067," ",""),3))&amp;"-"&amp;TEXT(B8067,"AAMMDD")&amp;"-1")</f>
        <v/>
      </c>
    </row>
    <row r="8068" spans="20:20">
      <c r="T8068" t="str">
        <f>IF(C8068="","",UPPER(LEFT(SUBSTITUTE(C8068," ",""),3))&amp;"-"&amp;TEXT(B8068,"AAMMDD")&amp;"-1")</f>
        <v/>
      </c>
    </row>
    <row r="8069" spans="20:20">
      <c r="T8069" t="str">
        <f>IF(C8069="","",UPPER(LEFT(SUBSTITUTE(C8069," ",""),3))&amp;"-"&amp;TEXT(B8069,"AAMMDD")&amp;"-1")</f>
        <v/>
      </c>
    </row>
    <row r="8070" spans="20:20">
      <c r="T8070" t="str">
        <f>IF(C8070="","",UPPER(LEFT(SUBSTITUTE(C8070," ",""),3))&amp;"-"&amp;TEXT(B8070,"AAMMDD")&amp;"-1")</f>
        <v/>
      </c>
    </row>
    <row r="8071" spans="20:20">
      <c r="T8071" t="str">
        <f>IF(C8071="","",UPPER(LEFT(SUBSTITUTE(C8071," ",""),3))&amp;"-"&amp;TEXT(B8071,"AAMMDD")&amp;"-1")</f>
        <v/>
      </c>
    </row>
    <row r="8072" spans="20:20">
      <c r="T8072" t="str">
        <f>IF(C8072="","",UPPER(LEFT(SUBSTITUTE(C8072," ",""),3))&amp;"-"&amp;TEXT(B8072,"AAMMDD")&amp;"-1")</f>
        <v/>
      </c>
    </row>
    <row r="8073" spans="20:20">
      <c r="T8073" t="str">
        <f>IF(C8073="","",UPPER(LEFT(SUBSTITUTE(C8073," ",""),3))&amp;"-"&amp;TEXT(B8073,"AAMMDD")&amp;"-1")</f>
        <v/>
      </c>
    </row>
    <row r="8074" spans="20:20">
      <c r="T8074" t="str">
        <f>IF(C8074="","",UPPER(LEFT(SUBSTITUTE(C8074," ",""),3))&amp;"-"&amp;TEXT(B8074,"AAMMDD")&amp;"-1")</f>
        <v/>
      </c>
    </row>
    <row r="8075" spans="20:20">
      <c r="T8075" t="str">
        <f>IF(C8075="","",UPPER(LEFT(SUBSTITUTE(C8075," ",""),3))&amp;"-"&amp;TEXT(B8075,"AAMMDD")&amp;"-1")</f>
        <v/>
      </c>
    </row>
    <row r="8076" spans="20:20">
      <c r="T8076" t="str">
        <f>IF(C8076="","",UPPER(LEFT(SUBSTITUTE(C8076," ",""),3))&amp;"-"&amp;TEXT(B8076,"AAMMDD")&amp;"-1")</f>
        <v/>
      </c>
    </row>
    <row r="8077" spans="20:20">
      <c r="T8077" t="str">
        <f>IF(C8077="","",UPPER(LEFT(SUBSTITUTE(C8077," ",""),3))&amp;"-"&amp;TEXT(B8077,"AAMMDD")&amp;"-1")</f>
        <v/>
      </c>
    </row>
    <row r="8078" spans="20:20">
      <c r="T8078" t="str">
        <f>IF(C8078="","",UPPER(LEFT(SUBSTITUTE(C8078," ",""),3))&amp;"-"&amp;TEXT(B8078,"AAMMDD")&amp;"-1")</f>
        <v/>
      </c>
    </row>
    <row r="8079" spans="20:20">
      <c r="T8079" t="str">
        <f>IF(C8079="","",UPPER(LEFT(SUBSTITUTE(C8079," ",""),3))&amp;"-"&amp;TEXT(B8079,"AAMMDD")&amp;"-1")</f>
        <v/>
      </c>
    </row>
    <row r="8080" spans="20:20">
      <c r="T8080" t="str">
        <f>IF(C8080="","",UPPER(LEFT(SUBSTITUTE(C8080," ",""),3))&amp;"-"&amp;TEXT(B8080,"AAMMDD")&amp;"-1")</f>
        <v/>
      </c>
    </row>
    <row r="8081" spans="20:20">
      <c r="T8081" t="str">
        <f>IF(C8081="","",UPPER(LEFT(SUBSTITUTE(C8081," ",""),3))&amp;"-"&amp;TEXT(B8081,"AAMMDD")&amp;"-1")</f>
        <v/>
      </c>
    </row>
    <row r="8082" spans="20:20">
      <c r="T8082" t="str">
        <f>IF(C8082="","",UPPER(LEFT(SUBSTITUTE(C8082," ",""),3))&amp;"-"&amp;TEXT(B8082,"AAMMDD")&amp;"-1")</f>
        <v/>
      </c>
    </row>
    <row r="8083" spans="20:20">
      <c r="T8083" t="str">
        <f>IF(C8083="","",UPPER(LEFT(SUBSTITUTE(C8083," ",""),3))&amp;"-"&amp;TEXT(B8083,"AAMMDD")&amp;"-1")</f>
        <v/>
      </c>
    </row>
    <row r="8084" spans="20:20">
      <c r="T8084" t="str">
        <f>IF(C8084="","",UPPER(LEFT(SUBSTITUTE(C8084," ",""),3))&amp;"-"&amp;TEXT(B8084,"AAMMDD")&amp;"-1")</f>
        <v/>
      </c>
    </row>
    <row r="8085" spans="20:20">
      <c r="T8085" t="str">
        <f>IF(C8085="","",UPPER(LEFT(SUBSTITUTE(C8085," ",""),3))&amp;"-"&amp;TEXT(B8085,"AAMMDD")&amp;"-1")</f>
        <v/>
      </c>
    </row>
    <row r="8086" spans="20:20">
      <c r="T8086" t="str">
        <f>IF(C8086="","",UPPER(LEFT(SUBSTITUTE(C8086," ",""),3))&amp;"-"&amp;TEXT(B8086,"AAMMDD")&amp;"-1")</f>
        <v/>
      </c>
    </row>
    <row r="8087" spans="20:20">
      <c r="T8087" t="str">
        <f>IF(C8087="","",UPPER(LEFT(SUBSTITUTE(C8087," ",""),3))&amp;"-"&amp;TEXT(B8087,"AAMMDD")&amp;"-1")</f>
        <v/>
      </c>
    </row>
    <row r="8088" spans="20:20">
      <c r="T8088" t="str">
        <f>IF(C8088="","",UPPER(LEFT(SUBSTITUTE(C8088," ",""),3))&amp;"-"&amp;TEXT(B8088,"AAMMDD")&amp;"-1")</f>
        <v/>
      </c>
    </row>
    <row r="8089" spans="20:20">
      <c r="T8089" t="str">
        <f>IF(C8089="","",UPPER(LEFT(SUBSTITUTE(C8089," ",""),3))&amp;"-"&amp;TEXT(B8089,"AAMMDD")&amp;"-1")</f>
        <v/>
      </c>
    </row>
    <row r="8090" spans="20:20">
      <c r="T8090" t="str">
        <f>IF(C8090="","",UPPER(LEFT(SUBSTITUTE(C8090," ",""),3))&amp;"-"&amp;TEXT(B8090,"AAMMDD")&amp;"-1")</f>
        <v/>
      </c>
    </row>
    <row r="8091" spans="20:20">
      <c r="T8091" t="str">
        <f>IF(C8091="","",UPPER(LEFT(SUBSTITUTE(C8091," ",""),3))&amp;"-"&amp;TEXT(B8091,"AAMMDD")&amp;"-1")</f>
        <v/>
      </c>
    </row>
    <row r="8092" spans="20:20">
      <c r="T8092" t="str">
        <f>IF(C8092="","",UPPER(LEFT(SUBSTITUTE(C8092," ",""),3))&amp;"-"&amp;TEXT(B8092,"AAMMDD")&amp;"-1")</f>
        <v/>
      </c>
    </row>
    <row r="8093" spans="20:20">
      <c r="T8093" t="str">
        <f>IF(C8093="","",UPPER(LEFT(SUBSTITUTE(C8093," ",""),3))&amp;"-"&amp;TEXT(B8093,"AAMMDD")&amp;"-1")</f>
        <v/>
      </c>
    </row>
    <row r="8094" spans="20:20">
      <c r="T8094" t="str">
        <f>IF(C8094="","",UPPER(LEFT(SUBSTITUTE(C8094," ",""),3))&amp;"-"&amp;TEXT(B8094,"AAMMDD")&amp;"-1")</f>
        <v/>
      </c>
    </row>
    <row r="8095" spans="20:20">
      <c r="T8095" t="str">
        <f>IF(C8095="","",UPPER(LEFT(SUBSTITUTE(C8095," ",""),3))&amp;"-"&amp;TEXT(B8095,"AAMMDD")&amp;"-1")</f>
        <v/>
      </c>
    </row>
    <row r="8096" spans="20:20">
      <c r="T8096" t="str">
        <f>IF(C8096="","",UPPER(LEFT(SUBSTITUTE(C8096," ",""),3))&amp;"-"&amp;TEXT(B8096,"AAMMDD")&amp;"-1")</f>
        <v/>
      </c>
    </row>
    <row r="8097" spans="20:20">
      <c r="T8097" t="str">
        <f>IF(C8097="","",UPPER(LEFT(SUBSTITUTE(C8097," ",""),3))&amp;"-"&amp;TEXT(B8097,"AAMMDD")&amp;"-1")</f>
        <v/>
      </c>
    </row>
    <row r="8098" spans="20:20">
      <c r="T8098" t="str">
        <f>IF(C8098="","",UPPER(LEFT(SUBSTITUTE(C8098," ",""),3))&amp;"-"&amp;TEXT(B8098,"AAMMDD")&amp;"-1")</f>
        <v/>
      </c>
    </row>
    <row r="8099" spans="20:20">
      <c r="T8099" t="str">
        <f>IF(C8099="","",UPPER(LEFT(SUBSTITUTE(C8099," ",""),3))&amp;"-"&amp;TEXT(B8099,"AAMMDD")&amp;"-1")</f>
        <v/>
      </c>
    </row>
    <row r="8100" spans="20:20">
      <c r="T8100" t="str">
        <f>IF(C8100="","",UPPER(LEFT(SUBSTITUTE(C8100," ",""),3))&amp;"-"&amp;TEXT(B8100,"AAMMDD")&amp;"-1")</f>
        <v/>
      </c>
    </row>
    <row r="8101" spans="20:20">
      <c r="T8101" t="str">
        <f>IF(C8101="","",UPPER(LEFT(SUBSTITUTE(C8101," ",""),3))&amp;"-"&amp;TEXT(B8101,"AAMMDD")&amp;"-1")</f>
        <v/>
      </c>
    </row>
    <row r="8102" spans="20:20">
      <c r="T8102" t="str">
        <f>IF(C8102="","",UPPER(LEFT(SUBSTITUTE(C8102," ",""),3))&amp;"-"&amp;TEXT(B8102,"AAMMDD")&amp;"-1")</f>
        <v/>
      </c>
    </row>
    <row r="8103" spans="20:20">
      <c r="T8103" t="str">
        <f>IF(C8103="","",UPPER(LEFT(SUBSTITUTE(C8103," ",""),3))&amp;"-"&amp;TEXT(B8103,"AAMMDD")&amp;"-1")</f>
        <v/>
      </c>
    </row>
    <row r="8104" spans="20:20">
      <c r="T8104" t="str">
        <f>IF(C8104="","",UPPER(LEFT(SUBSTITUTE(C8104," ",""),3))&amp;"-"&amp;TEXT(B8104,"AAMMDD")&amp;"-1")</f>
        <v/>
      </c>
    </row>
    <row r="8105" spans="20:20">
      <c r="T8105" t="str">
        <f>IF(C8105="","",UPPER(LEFT(SUBSTITUTE(C8105," ",""),3))&amp;"-"&amp;TEXT(B8105,"AAMMDD")&amp;"-1")</f>
        <v/>
      </c>
    </row>
    <row r="8106" spans="20:20">
      <c r="T8106" t="str">
        <f>IF(C8106="","",UPPER(LEFT(SUBSTITUTE(C8106," ",""),3))&amp;"-"&amp;TEXT(B8106,"AAMMDD")&amp;"-1")</f>
        <v/>
      </c>
    </row>
    <row r="8107" spans="20:20">
      <c r="T8107" t="str">
        <f>IF(C8107="","",UPPER(LEFT(SUBSTITUTE(C8107," ",""),3))&amp;"-"&amp;TEXT(B8107,"AAMMDD")&amp;"-1")</f>
        <v/>
      </c>
    </row>
    <row r="8108" spans="20:20">
      <c r="T8108" t="str">
        <f>IF(C8108="","",UPPER(LEFT(SUBSTITUTE(C8108," ",""),3))&amp;"-"&amp;TEXT(B8108,"AAMMDD")&amp;"-1")</f>
        <v/>
      </c>
    </row>
    <row r="8109" spans="20:20">
      <c r="T8109" t="str">
        <f>IF(C8109="","",UPPER(LEFT(SUBSTITUTE(C8109," ",""),3))&amp;"-"&amp;TEXT(B8109,"AAMMDD")&amp;"-1")</f>
        <v/>
      </c>
    </row>
    <row r="8110" spans="20:20">
      <c r="T8110" t="str">
        <f>IF(C8110="","",UPPER(LEFT(SUBSTITUTE(C8110," ",""),3))&amp;"-"&amp;TEXT(B8110,"AAMMDD")&amp;"-1")</f>
        <v/>
      </c>
    </row>
    <row r="8111" spans="20:20">
      <c r="T8111" t="str">
        <f>IF(C8111="","",UPPER(LEFT(SUBSTITUTE(C8111," ",""),3))&amp;"-"&amp;TEXT(B8111,"AAMMDD")&amp;"-1")</f>
        <v/>
      </c>
    </row>
    <row r="8112" spans="20:20">
      <c r="T8112" t="str">
        <f>IF(C8112="","",UPPER(LEFT(SUBSTITUTE(C8112," ",""),3))&amp;"-"&amp;TEXT(B8112,"AAMMDD")&amp;"-1")</f>
        <v/>
      </c>
    </row>
    <row r="8113" spans="20:20">
      <c r="T8113" t="str">
        <f>IF(C8113="","",UPPER(LEFT(SUBSTITUTE(C8113," ",""),3))&amp;"-"&amp;TEXT(B8113,"AAMMDD")&amp;"-1")</f>
        <v/>
      </c>
    </row>
    <row r="8114" spans="20:20">
      <c r="T8114" t="str">
        <f>IF(C8114="","",UPPER(LEFT(SUBSTITUTE(C8114," ",""),3))&amp;"-"&amp;TEXT(B8114,"AAMMDD")&amp;"-1")</f>
        <v/>
      </c>
    </row>
    <row r="8115" spans="20:20">
      <c r="T8115" t="str">
        <f>IF(C8115="","",UPPER(LEFT(SUBSTITUTE(C8115," ",""),3))&amp;"-"&amp;TEXT(B8115,"AAMMDD")&amp;"-1")</f>
        <v/>
      </c>
    </row>
    <row r="8116" spans="20:20">
      <c r="T8116" t="str">
        <f>IF(C8116="","",UPPER(LEFT(SUBSTITUTE(C8116," ",""),3))&amp;"-"&amp;TEXT(B8116,"AAMMDD")&amp;"-1")</f>
        <v/>
      </c>
    </row>
    <row r="8117" spans="20:20">
      <c r="T8117" t="str">
        <f>IF(C8117="","",UPPER(LEFT(SUBSTITUTE(C8117," ",""),3))&amp;"-"&amp;TEXT(B8117,"AAMMDD")&amp;"-1")</f>
        <v/>
      </c>
    </row>
    <row r="8118" spans="20:20">
      <c r="T8118" t="str">
        <f>IF(C8118="","",UPPER(LEFT(SUBSTITUTE(C8118," ",""),3))&amp;"-"&amp;TEXT(B8118,"AAMMDD")&amp;"-1")</f>
        <v/>
      </c>
    </row>
    <row r="8119" spans="20:20">
      <c r="T8119" t="str">
        <f>IF(C8119="","",UPPER(LEFT(SUBSTITUTE(C8119," ",""),3))&amp;"-"&amp;TEXT(B8119,"AAMMDD")&amp;"-1")</f>
        <v/>
      </c>
    </row>
    <row r="8120" spans="20:20">
      <c r="T8120" t="str">
        <f>IF(C8120="","",UPPER(LEFT(SUBSTITUTE(C8120," ",""),3))&amp;"-"&amp;TEXT(B8120,"AAMMDD")&amp;"-1")</f>
        <v/>
      </c>
    </row>
    <row r="8121" spans="20:20">
      <c r="T8121" t="str">
        <f>IF(C8121="","",UPPER(LEFT(SUBSTITUTE(C8121," ",""),3))&amp;"-"&amp;TEXT(B8121,"AAMMDD")&amp;"-1")</f>
        <v/>
      </c>
    </row>
    <row r="8122" spans="20:20">
      <c r="T8122" t="str">
        <f>IF(C8122="","",UPPER(LEFT(SUBSTITUTE(C8122," ",""),3))&amp;"-"&amp;TEXT(B8122,"AAMMDD")&amp;"-1")</f>
        <v/>
      </c>
    </row>
    <row r="8123" spans="20:20">
      <c r="T8123" t="str">
        <f>IF(C8123="","",UPPER(LEFT(SUBSTITUTE(C8123," ",""),3))&amp;"-"&amp;TEXT(B8123,"AAMMDD")&amp;"-1")</f>
        <v/>
      </c>
    </row>
    <row r="8124" spans="20:20">
      <c r="T8124" t="str">
        <f>IF(C8124="","",UPPER(LEFT(SUBSTITUTE(C8124," ",""),3))&amp;"-"&amp;TEXT(B8124,"AAMMDD")&amp;"-1")</f>
        <v/>
      </c>
    </row>
    <row r="8125" spans="20:20">
      <c r="T8125" t="str">
        <f>IF(C8125="","",UPPER(LEFT(SUBSTITUTE(C8125," ",""),3))&amp;"-"&amp;TEXT(B8125,"AAMMDD")&amp;"-1")</f>
        <v/>
      </c>
    </row>
    <row r="8126" spans="20:20">
      <c r="T8126" t="str">
        <f>IF(C8126="","",UPPER(LEFT(SUBSTITUTE(C8126," ",""),3))&amp;"-"&amp;TEXT(B8126,"AAMMDD")&amp;"-1")</f>
        <v/>
      </c>
    </row>
    <row r="8127" spans="20:20">
      <c r="T8127" t="str">
        <f>IF(C8127="","",UPPER(LEFT(SUBSTITUTE(C8127," ",""),3))&amp;"-"&amp;TEXT(B8127,"AAMMDD")&amp;"-1")</f>
        <v/>
      </c>
    </row>
    <row r="8128" spans="20:20">
      <c r="T8128" t="str">
        <f>IF(C8128="","",UPPER(LEFT(SUBSTITUTE(C8128," ",""),3))&amp;"-"&amp;TEXT(B8128,"AAMMDD")&amp;"-1")</f>
        <v/>
      </c>
    </row>
    <row r="8129" spans="20:20">
      <c r="T8129" t="str">
        <f>IF(C8129="","",UPPER(LEFT(SUBSTITUTE(C8129," ",""),3))&amp;"-"&amp;TEXT(B8129,"AAMMDD")&amp;"-1")</f>
        <v/>
      </c>
    </row>
    <row r="8130" spans="20:20">
      <c r="T8130" t="str">
        <f>IF(C8130="","",UPPER(LEFT(SUBSTITUTE(C8130," ",""),3))&amp;"-"&amp;TEXT(B8130,"AAMMDD")&amp;"-1")</f>
        <v/>
      </c>
    </row>
    <row r="8131" spans="20:20">
      <c r="T8131" t="str">
        <f>IF(C8131="","",UPPER(LEFT(SUBSTITUTE(C8131," ",""),3))&amp;"-"&amp;TEXT(B8131,"AAMMDD")&amp;"-1")</f>
        <v/>
      </c>
    </row>
    <row r="8132" spans="20:20">
      <c r="T8132" t="str">
        <f>IF(C8132="","",UPPER(LEFT(SUBSTITUTE(C8132," ",""),3))&amp;"-"&amp;TEXT(B8132,"AAMMDD")&amp;"-1")</f>
        <v/>
      </c>
    </row>
    <row r="8133" spans="20:20">
      <c r="T8133" t="str">
        <f>IF(C8133="","",UPPER(LEFT(SUBSTITUTE(C8133," ",""),3))&amp;"-"&amp;TEXT(B8133,"AAMMDD")&amp;"-1")</f>
        <v/>
      </c>
    </row>
    <row r="8134" spans="20:20">
      <c r="T8134" t="str">
        <f>IF(C8134="","",UPPER(LEFT(SUBSTITUTE(C8134," ",""),3))&amp;"-"&amp;TEXT(B8134,"AAMMDD")&amp;"-1")</f>
        <v/>
      </c>
    </row>
    <row r="8135" spans="20:20">
      <c r="T8135" t="str">
        <f>IF(C8135="","",UPPER(LEFT(SUBSTITUTE(C8135," ",""),3))&amp;"-"&amp;TEXT(B8135,"AAMMDD")&amp;"-1")</f>
        <v/>
      </c>
    </row>
    <row r="8136" spans="20:20">
      <c r="T8136" t="str">
        <f>IF(C8136="","",UPPER(LEFT(SUBSTITUTE(C8136," ",""),3))&amp;"-"&amp;TEXT(B8136,"AAMMDD")&amp;"-1")</f>
        <v/>
      </c>
    </row>
    <row r="8137" spans="20:20">
      <c r="T8137" t="str">
        <f>IF(C8137="","",UPPER(LEFT(SUBSTITUTE(C8137," ",""),3))&amp;"-"&amp;TEXT(B8137,"AAMMDD")&amp;"-1")</f>
        <v/>
      </c>
    </row>
    <row r="8138" spans="20:20">
      <c r="T8138" t="str">
        <f>IF(C8138="","",UPPER(LEFT(SUBSTITUTE(C8138," ",""),3))&amp;"-"&amp;TEXT(B8138,"AAMMDD")&amp;"-1")</f>
        <v/>
      </c>
    </row>
    <row r="8139" spans="20:20">
      <c r="T8139" t="str">
        <f>IF(C8139="","",UPPER(LEFT(SUBSTITUTE(C8139," ",""),3))&amp;"-"&amp;TEXT(B8139,"AAMMDD")&amp;"-1")</f>
        <v/>
      </c>
    </row>
    <row r="8140" spans="20:20">
      <c r="T8140" t="str">
        <f>IF(C8140="","",UPPER(LEFT(SUBSTITUTE(C8140," ",""),3))&amp;"-"&amp;TEXT(B8140,"AAMMDD")&amp;"-1")</f>
        <v/>
      </c>
    </row>
    <row r="8141" spans="20:20">
      <c r="T8141" t="str">
        <f>IF(C8141="","",UPPER(LEFT(SUBSTITUTE(C8141," ",""),3))&amp;"-"&amp;TEXT(B8141,"AAMMDD")&amp;"-1")</f>
        <v/>
      </c>
    </row>
    <row r="8142" spans="20:20">
      <c r="T8142" t="str">
        <f>IF(C8142="","",UPPER(LEFT(SUBSTITUTE(C8142," ",""),3))&amp;"-"&amp;TEXT(B8142,"AAMMDD")&amp;"-1")</f>
        <v/>
      </c>
    </row>
    <row r="8143" spans="20:20">
      <c r="T8143" t="str">
        <f>IF(C8143="","",UPPER(LEFT(SUBSTITUTE(C8143," ",""),3))&amp;"-"&amp;TEXT(B8143,"AAMMDD")&amp;"-1")</f>
        <v/>
      </c>
    </row>
    <row r="8144" spans="20:20">
      <c r="T8144" t="str">
        <f>IF(C8144="","",UPPER(LEFT(SUBSTITUTE(C8144," ",""),3))&amp;"-"&amp;TEXT(B8144,"AAMMDD")&amp;"-1")</f>
        <v/>
      </c>
    </row>
    <row r="8145" spans="20:20">
      <c r="T8145" t="str">
        <f>IF(C8145="","",UPPER(LEFT(SUBSTITUTE(C8145," ",""),3))&amp;"-"&amp;TEXT(B8145,"AAMMDD")&amp;"-1")</f>
        <v/>
      </c>
    </row>
    <row r="8146" spans="20:20">
      <c r="T8146" t="str">
        <f>IF(C8146="","",UPPER(LEFT(SUBSTITUTE(C8146," ",""),3))&amp;"-"&amp;TEXT(B8146,"AAMMDD")&amp;"-1")</f>
        <v/>
      </c>
    </row>
    <row r="8147" spans="20:20">
      <c r="T8147" t="str">
        <f>IF(C8147="","",UPPER(LEFT(SUBSTITUTE(C8147," ",""),3))&amp;"-"&amp;TEXT(B8147,"AAMMDD")&amp;"-1")</f>
        <v/>
      </c>
    </row>
    <row r="8148" spans="20:20">
      <c r="T8148" t="str">
        <f>IF(C8148="","",UPPER(LEFT(SUBSTITUTE(C8148," ",""),3))&amp;"-"&amp;TEXT(B8148,"AAMMDD")&amp;"-1")</f>
        <v/>
      </c>
    </row>
    <row r="8149" spans="20:20">
      <c r="T8149" t="str">
        <f>IF(C8149="","",UPPER(LEFT(SUBSTITUTE(C8149," ",""),3))&amp;"-"&amp;TEXT(B8149,"AAMMDD")&amp;"-1")</f>
        <v/>
      </c>
    </row>
    <row r="8150" spans="20:20">
      <c r="T8150" t="str">
        <f>IF(C8150="","",UPPER(LEFT(SUBSTITUTE(C8150," ",""),3))&amp;"-"&amp;TEXT(B8150,"AAMMDD")&amp;"-1")</f>
        <v/>
      </c>
    </row>
    <row r="8151" spans="20:20">
      <c r="T8151" t="str">
        <f>IF(C8151="","",UPPER(LEFT(SUBSTITUTE(C8151," ",""),3))&amp;"-"&amp;TEXT(B8151,"AAMMDD")&amp;"-1")</f>
        <v/>
      </c>
    </row>
    <row r="8152" spans="20:20">
      <c r="T8152" t="str">
        <f>IF(C8152="","",UPPER(LEFT(SUBSTITUTE(C8152," ",""),3))&amp;"-"&amp;TEXT(B8152,"AAMMDD")&amp;"-1")</f>
        <v/>
      </c>
    </row>
    <row r="8153" spans="20:20">
      <c r="T8153" t="str">
        <f>IF(C8153="","",UPPER(LEFT(SUBSTITUTE(C8153," ",""),3))&amp;"-"&amp;TEXT(B8153,"AAMMDD")&amp;"-1")</f>
        <v/>
      </c>
    </row>
    <row r="8154" spans="20:20">
      <c r="T8154" t="str">
        <f>IF(C8154="","",UPPER(LEFT(SUBSTITUTE(C8154," ",""),3))&amp;"-"&amp;TEXT(B8154,"AAMMDD")&amp;"-1")</f>
        <v/>
      </c>
    </row>
    <row r="8155" spans="20:20">
      <c r="T8155" t="str">
        <f>IF(C8155="","",UPPER(LEFT(SUBSTITUTE(C8155," ",""),3))&amp;"-"&amp;TEXT(B8155,"AAMMDD")&amp;"-1")</f>
        <v/>
      </c>
    </row>
    <row r="8156" spans="20:20">
      <c r="T8156" t="str">
        <f>IF(C8156="","",UPPER(LEFT(SUBSTITUTE(C8156," ",""),3))&amp;"-"&amp;TEXT(B8156,"AAMMDD")&amp;"-1")</f>
        <v/>
      </c>
    </row>
    <row r="8157" spans="20:20">
      <c r="T8157" t="str">
        <f>IF(C8157="","",UPPER(LEFT(SUBSTITUTE(C8157," ",""),3))&amp;"-"&amp;TEXT(B8157,"AAMMDD")&amp;"-1")</f>
        <v/>
      </c>
    </row>
    <row r="8158" spans="20:20">
      <c r="T8158" t="str">
        <f>IF(C8158="","",UPPER(LEFT(SUBSTITUTE(C8158," ",""),3))&amp;"-"&amp;TEXT(B8158,"AAMMDD")&amp;"-1")</f>
        <v/>
      </c>
    </row>
    <row r="8159" spans="20:20">
      <c r="T8159" t="str">
        <f>IF(C8159="","",UPPER(LEFT(SUBSTITUTE(C8159," ",""),3))&amp;"-"&amp;TEXT(B8159,"AAMMDD")&amp;"-1")</f>
        <v/>
      </c>
    </row>
    <row r="8160" spans="20:20">
      <c r="T8160" t="str">
        <f>IF(C8160="","",UPPER(LEFT(SUBSTITUTE(C8160," ",""),3))&amp;"-"&amp;TEXT(B8160,"AAMMDD")&amp;"-1")</f>
        <v/>
      </c>
    </row>
    <row r="8161" spans="20:20">
      <c r="T8161" t="str">
        <f>IF(C8161="","",UPPER(LEFT(SUBSTITUTE(C8161," ",""),3))&amp;"-"&amp;TEXT(B8161,"AAMMDD")&amp;"-1")</f>
        <v/>
      </c>
    </row>
    <row r="8162" spans="20:20">
      <c r="T8162" t="str">
        <f>IF(C8162="","",UPPER(LEFT(SUBSTITUTE(C8162," ",""),3))&amp;"-"&amp;TEXT(B8162,"AAMMDD")&amp;"-1")</f>
        <v/>
      </c>
    </row>
    <row r="8163" spans="20:20">
      <c r="T8163" t="str">
        <f>IF(C8163="","",UPPER(LEFT(SUBSTITUTE(C8163," ",""),3))&amp;"-"&amp;TEXT(B8163,"AAMMDD")&amp;"-1")</f>
        <v/>
      </c>
    </row>
    <row r="8164" spans="20:20">
      <c r="T8164" t="str">
        <f>IF(C8164="","",UPPER(LEFT(SUBSTITUTE(C8164," ",""),3))&amp;"-"&amp;TEXT(B8164,"AAMMDD")&amp;"-1")</f>
        <v/>
      </c>
    </row>
    <row r="8165" spans="20:20">
      <c r="T8165" t="str">
        <f>IF(C8165="","",UPPER(LEFT(SUBSTITUTE(C8165," ",""),3))&amp;"-"&amp;TEXT(B8165,"AAMMDD")&amp;"-1")</f>
        <v/>
      </c>
    </row>
    <row r="8166" spans="20:20">
      <c r="T8166" t="str">
        <f>IF(C8166="","",UPPER(LEFT(SUBSTITUTE(C8166," ",""),3))&amp;"-"&amp;TEXT(B8166,"AAMMDD")&amp;"-1")</f>
        <v/>
      </c>
    </row>
    <row r="8167" spans="20:20">
      <c r="T8167" t="str">
        <f>IF(C8167="","",UPPER(LEFT(SUBSTITUTE(C8167," ",""),3))&amp;"-"&amp;TEXT(B8167,"AAMMDD")&amp;"-1")</f>
        <v/>
      </c>
    </row>
    <row r="8168" spans="20:20">
      <c r="T8168" t="str">
        <f>IF(C8168="","",UPPER(LEFT(SUBSTITUTE(C8168," ",""),3))&amp;"-"&amp;TEXT(B8168,"AAMMDD")&amp;"-1")</f>
        <v/>
      </c>
    </row>
    <row r="8169" spans="20:20">
      <c r="T8169" t="str">
        <f>IF(C8169="","",UPPER(LEFT(SUBSTITUTE(C8169," ",""),3))&amp;"-"&amp;TEXT(B8169,"AAMMDD")&amp;"-1")</f>
        <v/>
      </c>
    </row>
    <row r="8170" spans="20:20">
      <c r="T8170" t="str">
        <f>IF(C8170="","",UPPER(LEFT(SUBSTITUTE(C8170," ",""),3))&amp;"-"&amp;TEXT(B8170,"AAMMDD")&amp;"-1")</f>
        <v/>
      </c>
    </row>
    <row r="8171" spans="20:20">
      <c r="T8171" t="str">
        <f>IF(C8171="","",UPPER(LEFT(SUBSTITUTE(C8171," ",""),3))&amp;"-"&amp;TEXT(B8171,"AAMMDD")&amp;"-1")</f>
        <v/>
      </c>
    </row>
    <row r="8172" spans="20:20">
      <c r="T8172" t="str">
        <f>IF(C8172="","",UPPER(LEFT(SUBSTITUTE(C8172," ",""),3))&amp;"-"&amp;TEXT(B8172,"AAMMDD")&amp;"-1")</f>
        <v/>
      </c>
    </row>
    <row r="8173" spans="20:20">
      <c r="T8173" t="str">
        <f>IF(C8173="","",UPPER(LEFT(SUBSTITUTE(C8173," ",""),3))&amp;"-"&amp;TEXT(B8173,"AAMMDD")&amp;"-1")</f>
        <v/>
      </c>
    </row>
    <row r="8174" spans="20:20">
      <c r="T8174" t="str">
        <f>IF(C8174="","",UPPER(LEFT(SUBSTITUTE(C8174," ",""),3))&amp;"-"&amp;TEXT(B8174,"AAMMDD")&amp;"-1")</f>
        <v/>
      </c>
    </row>
    <row r="8175" spans="20:20">
      <c r="T8175" t="str">
        <f>IF(C8175="","",UPPER(LEFT(SUBSTITUTE(C8175," ",""),3))&amp;"-"&amp;TEXT(B8175,"AAMMDD")&amp;"-1")</f>
        <v/>
      </c>
    </row>
    <row r="8176" spans="20:20">
      <c r="T8176" t="str">
        <f>IF(C8176="","",UPPER(LEFT(SUBSTITUTE(C8176," ",""),3))&amp;"-"&amp;TEXT(B8176,"AAMMDD")&amp;"-1")</f>
        <v/>
      </c>
    </row>
    <row r="8177" spans="20:20">
      <c r="T8177" t="str">
        <f>IF(C8177="","",UPPER(LEFT(SUBSTITUTE(C8177," ",""),3))&amp;"-"&amp;TEXT(B8177,"AAMMDD")&amp;"-1")</f>
        <v/>
      </c>
    </row>
    <row r="8178" spans="20:20">
      <c r="T8178" t="str">
        <f>IF(C8178="","",UPPER(LEFT(SUBSTITUTE(C8178," ",""),3))&amp;"-"&amp;TEXT(B8178,"AAMMDD")&amp;"-1")</f>
        <v/>
      </c>
    </row>
    <row r="8179" spans="20:20">
      <c r="T8179" t="str">
        <f>IF(C8179="","",UPPER(LEFT(SUBSTITUTE(C8179," ",""),3))&amp;"-"&amp;TEXT(B8179,"AAMMDD")&amp;"-1")</f>
        <v/>
      </c>
    </row>
    <row r="8180" spans="20:20">
      <c r="T8180" t="str">
        <f>IF(C8180="","",UPPER(LEFT(SUBSTITUTE(C8180," ",""),3))&amp;"-"&amp;TEXT(B8180,"AAMMDD")&amp;"-1")</f>
        <v/>
      </c>
    </row>
    <row r="8181" spans="20:20">
      <c r="T8181" t="str">
        <f>IF(C8181="","",UPPER(LEFT(SUBSTITUTE(C8181," ",""),3))&amp;"-"&amp;TEXT(B8181,"AAMMDD")&amp;"-1")</f>
        <v/>
      </c>
    </row>
    <row r="8182" spans="20:20">
      <c r="T8182" t="str">
        <f>IF(C8182="","",UPPER(LEFT(SUBSTITUTE(C8182," ",""),3))&amp;"-"&amp;TEXT(B8182,"AAMMDD")&amp;"-1")</f>
        <v/>
      </c>
    </row>
    <row r="8183" spans="20:20">
      <c r="T8183" t="str">
        <f>IF(C8183="","",UPPER(LEFT(SUBSTITUTE(C8183," ",""),3))&amp;"-"&amp;TEXT(B8183,"AAMMDD")&amp;"-1")</f>
        <v/>
      </c>
    </row>
    <row r="8184" spans="20:20">
      <c r="T8184" t="str">
        <f>IF(C8184="","",UPPER(LEFT(SUBSTITUTE(C8184," ",""),3))&amp;"-"&amp;TEXT(B8184,"AAMMDD")&amp;"-1")</f>
        <v/>
      </c>
    </row>
    <row r="8185" spans="20:20">
      <c r="T8185" t="str">
        <f>IF(C8185="","",UPPER(LEFT(SUBSTITUTE(C8185," ",""),3))&amp;"-"&amp;TEXT(B8185,"AAMMDD")&amp;"-1")</f>
        <v/>
      </c>
    </row>
    <row r="8186" spans="20:20">
      <c r="T8186" t="str">
        <f>IF(C8186="","",UPPER(LEFT(SUBSTITUTE(C8186," ",""),3))&amp;"-"&amp;TEXT(B8186,"AAMMDD")&amp;"-1")</f>
        <v/>
      </c>
    </row>
    <row r="8187" spans="20:20">
      <c r="T8187" t="str">
        <f>IF(C8187="","",UPPER(LEFT(SUBSTITUTE(C8187," ",""),3))&amp;"-"&amp;TEXT(B8187,"AAMMDD")&amp;"-1")</f>
        <v/>
      </c>
    </row>
    <row r="8188" spans="20:20">
      <c r="T8188" t="str">
        <f>IF(C8188="","",UPPER(LEFT(SUBSTITUTE(C8188," ",""),3))&amp;"-"&amp;TEXT(B8188,"AAMMDD")&amp;"-1")</f>
        <v/>
      </c>
    </row>
    <row r="8189" spans="20:20">
      <c r="T8189" t="str">
        <f>IF(C8189="","",UPPER(LEFT(SUBSTITUTE(C8189," ",""),3))&amp;"-"&amp;TEXT(B8189,"AAMMDD")&amp;"-1")</f>
        <v/>
      </c>
    </row>
    <row r="8190" spans="20:20">
      <c r="T8190" t="str">
        <f>IF(C8190="","",UPPER(LEFT(SUBSTITUTE(C8190," ",""),3))&amp;"-"&amp;TEXT(B8190,"AAMMDD")&amp;"-1")</f>
        <v/>
      </c>
    </row>
    <row r="8191" spans="20:20">
      <c r="T8191" t="str">
        <f>IF(C8191="","",UPPER(LEFT(SUBSTITUTE(C8191," ",""),3))&amp;"-"&amp;TEXT(B8191,"AAMMDD")&amp;"-1")</f>
        <v/>
      </c>
    </row>
    <row r="8192" spans="20:20">
      <c r="T8192" t="str">
        <f>IF(C8192="","",UPPER(LEFT(SUBSTITUTE(C8192," ",""),3))&amp;"-"&amp;TEXT(B8192,"AAMMDD")&amp;"-1")</f>
        <v/>
      </c>
    </row>
    <row r="8193" spans="20:20">
      <c r="T8193" t="str">
        <f>IF(C8193="","",UPPER(LEFT(SUBSTITUTE(C8193," ",""),3))&amp;"-"&amp;TEXT(B8193,"AAMMDD")&amp;"-1")</f>
        <v/>
      </c>
    </row>
    <row r="8194" spans="20:20">
      <c r="T8194" t="str">
        <f>IF(C8194="","",UPPER(LEFT(SUBSTITUTE(C8194," ",""),3))&amp;"-"&amp;TEXT(B8194,"AAMMDD")&amp;"-1")</f>
        <v/>
      </c>
    </row>
    <row r="8195" spans="20:20">
      <c r="T8195" t="str">
        <f>IF(C8195="","",UPPER(LEFT(SUBSTITUTE(C8195," ",""),3))&amp;"-"&amp;TEXT(B8195,"AAMMDD")&amp;"-1")</f>
        <v/>
      </c>
    </row>
    <row r="8196" spans="20:20">
      <c r="T8196" t="str">
        <f>IF(C8196="","",UPPER(LEFT(SUBSTITUTE(C8196," ",""),3))&amp;"-"&amp;TEXT(B8196,"AAMMDD")&amp;"-1")</f>
        <v/>
      </c>
    </row>
    <row r="8197" spans="20:20">
      <c r="T8197" t="str">
        <f>IF(C8197="","",UPPER(LEFT(SUBSTITUTE(C8197," ",""),3))&amp;"-"&amp;TEXT(B8197,"AAMMDD")&amp;"-1")</f>
        <v/>
      </c>
    </row>
    <row r="8198" spans="20:20">
      <c r="T8198" t="str">
        <f>IF(C8198="","",UPPER(LEFT(SUBSTITUTE(C8198," ",""),3))&amp;"-"&amp;TEXT(B8198,"AAMMDD")&amp;"-1")</f>
        <v/>
      </c>
    </row>
    <row r="8199" spans="20:20">
      <c r="T8199" t="str">
        <f>IF(C8199="","",UPPER(LEFT(SUBSTITUTE(C8199," ",""),3))&amp;"-"&amp;TEXT(B8199,"AAMMDD")&amp;"-1")</f>
        <v/>
      </c>
    </row>
    <row r="8200" spans="20:20">
      <c r="T8200" t="str">
        <f>IF(C8200="","",UPPER(LEFT(SUBSTITUTE(C8200," ",""),3))&amp;"-"&amp;TEXT(B8200,"AAMMDD")&amp;"-1")</f>
        <v/>
      </c>
    </row>
    <row r="8201" spans="20:20">
      <c r="T8201" t="str">
        <f>IF(C8201="","",UPPER(LEFT(SUBSTITUTE(C8201," ",""),3))&amp;"-"&amp;TEXT(B8201,"AAMMDD")&amp;"-1")</f>
        <v/>
      </c>
    </row>
    <row r="8202" spans="20:20">
      <c r="T8202" t="str">
        <f>IF(C8202="","",UPPER(LEFT(SUBSTITUTE(C8202," ",""),3))&amp;"-"&amp;TEXT(B8202,"AAMMDD")&amp;"-1")</f>
        <v/>
      </c>
    </row>
    <row r="8203" spans="20:20">
      <c r="T8203" t="str">
        <f>IF(C8203="","",UPPER(LEFT(SUBSTITUTE(C8203," ",""),3))&amp;"-"&amp;TEXT(B8203,"AAMMDD")&amp;"-1")</f>
        <v/>
      </c>
    </row>
    <row r="8204" spans="20:20">
      <c r="T8204" t="str">
        <f>IF(C8204="","",UPPER(LEFT(SUBSTITUTE(C8204," ",""),3))&amp;"-"&amp;TEXT(B8204,"AAMMDD")&amp;"-1")</f>
        <v/>
      </c>
    </row>
    <row r="8205" spans="20:20">
      <c r="T8205" t="str">
        <f>IF(C8205="","",UPPER(LEFT(SUBSTITUTE(C8205," ",""),3))&amp;"-"&amp;TEXT(B8205,"AAMMDD")&amp;"-1")</f>
        <v/>
      </c>
    </row>
    <row r="8206" spans="20:20">
      <c r="T8206" t="str">
        <f>IF(C8206="","",UPPER(LEFT(SUBSTITUTE(C8206," ",""),3))&amp;"-"&amp;TEXT(B8206,"AAMMDD")&amp;"-1")</f>
        <v/>
      </c>
    </row>
    <row r="8207" spans="20:20">
      <c r="T8207" t="str">
        <f>IF(C8207="","",UPPER(LEFT(SUBSTITUTE(C8207," ",""),3))&amp;"-"&amp;TEXT(B8207,"AAMMDD")&amp;"-1")</f>
        <v/>
      </c>
    </row>
    <row r="8208" spans="20:20">
      <c r="T8208" t="str">
        <f>IF(C8208="","",UPPER(LEFT(SUBSTITUTE(C8208," ",""),3))&amp;"-"&amp;TEXT(B8208,"AAMMDD")&amp;"-1")</f>
        <v/>
      </c>
    </row>
    <row r="8209" spans="20:20">
      <c r="T8209" t="str">
        <f>IF(C8209="","",UPPER(LEFT(SUBSTITUTE(C8209," ",""),3))&amp;"-"&amp;TEXT(B8209,"AAMMDD")&amp;"-1")</f>
        <v/>
      </c>
    </row>
    <row r="8210" spans="20:20">
      <c r="T8210" t="str">
        <f>IF(C8210="","",UPPER(LEFT(SUBSTITUTE(C8210," ",""),3))&amp;"-"&amp;TEXT(B8210,"AAMMDD")&amp;"-1")</f>
        <v/>
      </c>
    </row>
    <row r="8211" spans="20:20">
      <c r="T8211" t="str">
        <f>IF(C8211="","",UPPER(LEFT(SUBSTITUTE(C8211," ",""),3))&amp;"-"&amp;TEXT(B8211,"AAMMDD")&amp;"-1")</f>
        <v/>
      </c>
    </row>
    <row r="8212" spans="20:20">
      <c r="T8212" t="str">
        <f>IF(C8212="","",UPPER(LEFT(SUBSTITUTE(C8212," ",""),3))&amp;"-"&amp;TEXT(B8212,"AAMMDD")&amp;"-1")</f>
        <v/>
      </c>
    </row>
    <row r="8213" spans="20:20">
      <c r="T8213" t="str">
        <f>IF(C8213="","",UPPER(LEFT(SUBSTITUTE(C8213," ",""),3))&amp;"-"&amp;TEXT(B8213,"AAMMDD")&amp;"-1")</f>
        <v/>
      </c>
    </row>
    <row r="8214" spans="20:20">
      <c r="T8214" t="str">
        <f>IF(C8214="","",UPPER(LEFT(SUBSTITUTE(C8214," ",""),3))&amp;"-"&amp;TEXT(B8214,"AAMMDD")&amp;"-1")</f>
        <v/>
      </c>
    </row>
    <row r="8215" spans="20:20">
      <c r="T8215" t="str">
        <f>IF(C8215="","",UPPER(LEFT(SUBSTITUTE(C8215," ",""),3))&amp;"-"&amp;TEXT(B8215,"AAMMDD")&amp;"-1")</f>
        <v/>
      </c>
    </row>
    <row r="8216" spans="20:20">
      <c r="T8216" t="str">
        <f>IF(C8216="","",UPPER(LEFT(SUBSTITUTE(C8216," ",""),3))&amp;"-"&amp;TEXT(B8216,"AAMMDD")&amp;"-1")</f>
        <v/>
      </c>
    </row>
    <row r="8217" spans="20:20">
      <c r="T8217" t="str">
        <f>IF(C8217="","",UPPER(LEFT(SUBSTITUTE(C8217," ",""),3))&amp;"-"&amp;TEXT(B8217,"AAMMDD")&amp;"-1")</f>
        <v/>
      </c>
    </row>
    <row r="8218" spans="20:20">
      <c r="T8218" t="str">
        <f>IF(C8218="","",UPPER(LEFT(SUBSTITUTE(C8218," ",""),3))&amp;"-"&amp;TEXT(B8218,"AAMMDD")&amp;"-1")</f>
        <v/>
      </c>
    </row>
    <row r="8219" spans="20:20">
      <c r="T8219" t="str">
        <f>IF(C8219="","",UPPER(LEFT(SUBSTITUTE(C8219," ",""),3))&amp;"-"&amp;TEXT(B8219,"AAMMDD")&amp;"-1")</f>
        <v/>
      </c>
    </row>
    <row r="8220" spans="20:20">
      <c r="T8220" t="str">
        <f>IF(C8220="","",UPPER(LEFT(SUBSTITUTE(C8220," ",""),3))&amp;"-"&amp;TEXT(B8220,"AAMMDD")&amp;"-1")</f>
        <v/>
      </c>
    </row>
    <row r="8221" spans="20:20">
      <c r="T8221" t="str">
        <f>IF(C8221="","",UPPER(LEFT(SUBSTITUTE(C8221," ",""),3))&amp;"-"&amp;TEXT(B8221,"AAMMDD")&amp;"-1")</f>
        <v/>
      </c>
    </row>
    <row r="8222" spans="20:20">
      <c r="T8222" t="str">
        <f>IF(C8222="","",UPPER(LEFT(SUBSTITUTE(C8222," ",""),3))&amp;"-"&amp;TEXT(B8222,"AAMMDD")&amp;"-1")</f>
        <v/>
      </c>
    </row>
    <row r="8223" spans="20:20">
      <c r="T8223" t="str">
        <f>IF(C8223="","",UPPER(LEFT(SUBSTITUTE(C8223," ",""),3))&amp;"-"&amp;TEXT(B8223,"AAMMDD")&amp;"-1")</f>
        <v/>
      </c>
    </row>
    <row r="8224" spans="20:20">
      <c r="T8224" t="str">
        <f>IF(C8224="","",UPPER(LEFT(SUBSTITUTE(C8224," ",""),3))&amp;"-"&amp;TEXT(B8224,"AAMMDD")&amp;"-1")</f>
        <v/>
      </c>
    </row>
    <row r="8225" spans="20:20">
      <c r="T8225" t="str">
        <f>IF(C8225="","",UPPER(LEFT(SUBSTITUTE(C8225," ",""),3))&amp;"-"&amp;TEXT(B8225,"AAMMDD")&amp;"-1")</f>
        <v/>
      </c>
    </row>
    <row r="8226" spans="20:20">
      <c r="T8226" t="str">
        <f>IF(C8226="","",UPPER(LEFT(SUBSTITUTE(C8226," ",""),3))&amp;"-"&amp;TEXT(B8226,"AAMMDD")&amp;"-1")</f>
        <v/>
      </c>
    </row>
    <row r="8227" spans="20:20">
      <c r="T8227" t="str">
        <f>IF(C8227="","",UPPER(LEFT(SUBSTITUTE(C8227," ",""),3))&amp;"-"&amp;TEXT(B8227,"AAMMDD")&amp;"-1")</f>
        <v/>
      </c>
    </row>
    <row r="8228" spans="20:20">
      <c r="T8228" t="str">
        <f>IF(C8228="","",UPPER(LEFT(SUBSTITUTE(C8228," ",""),3))&amp;"-"&amp;TEXT(B8228,"AAMMDD")&amp;"-1")</f>
        <v/>
      </c>
    </row>
    <row r="8229" spans="20:20">
      <c r="T8229" t="str">
        <f>IF(C8229="","",UPPER(LEFT(SUBSTITUTE(C8229," ",""),3))&amp;"-"&amp;TEXT(B8229,"AAMMDD")&amp;"-1")</f>
        <v/>
      </c>
    </row>
    <row r="8230" spans="20:20">
      <c r="T8230" t="str">
        <f>IF(C8230="","",UPPER(LEFT(SUBSTITUTE(C8230," ",""),3))&amp;"-"&amp;TEXT(B8230,"AAMMDD")&amp;"-1")</f>
        <v/>
      </c>
    </row>
    <row r="8231" spans="20:20">
      <c r="T8231" t="str">
        <f>IF(C8231="","",UPPER(LEFT(SUBSTITUTE(C8231," ",""),3))&amp;"-"&amp;TEXT(B8231,"AAMMDD")&amp;"-1")</f>
        <v/>
      </c>
    </row>
    <row r="8232" spans="20:20">
      <c r="T8232" t="str">
        <f>IF(C8232="","",UPPER(LEFT(SUBSTITUTE(C8232," ",""),3))&amp;"-"&amp;TEXT(B8232,"AAMMDD")&amp;"-1")</f>
        <v/>
      </c>
    </row>
    <row r="8233" spans="20:20">
      <c r="T8233" t="str">
        <f>IF(C8233="","",UPPER(LEFT(SUBSTITUTE(C8233," ",""),3))&amp;"-"&amp;TEXT(B8233,"AAMMDD")&amp;"-1")</f>
        <v/>
      </c>
    </row>
    <row r="8234" spans="20:20">
      <c r="T8234" t="str">
        <f>IF(C8234="","",UPPER(LEFT(SUBSTITUTE(C8234," ",""),3))&amp;"-"&amp;TEXT(B8234,"AAMMDD")&amp;"-1")</f>
        <v/>
      </c>
    </row>
    <row r="8235" spans="20:20">
      <c r="T8235" t="str">
        <f>IF(C8235="","",UPPER(LEFT(SUBSTITUTE(C8235," ",""),3))&amp;"-"&amp;TEXT(B8235,"AAMMDD")&amp;"-1")</f>
        <v/>
      </c>
    </row>
    <row r="8236" spans="20:20">
      <c r="T8236" t="str">
        <f>IF(C8236="","",UPPER(LEFT(SUBSTITUTE(C8236," ",""),3))&amp;"-"&amp;TEXT(B8236,"AAMMDD")&amp;"-1")</f>
        <v/>
      </c>
    </row>
    <row r="8237" spans="20:20">
      <c r="T8237" t="str">
        <f>IF(C8237="","",UPPER(LEFT(SUBSTITUTE(C8237," ",""),3))&amp;"-"&amp;TEXT(B8237,"AAMMDD")&amp;"-1")</f>
        <v/>
      </c>
    </row>
    <row r="8238" spans="20:20">
      <c r="T8238" t="str">
        <f>IF(C8238="","",UPPER(LEFT(SUBSTITUTE(C8238," ",""),3))&amp;"-"&amp;TEXT(B8238,"AAMMDD")&amp;"-1")</f>
        <v/>
      </c>
    </row>
    <row r="8239" spans="20:20">
      <c r="T8239" t="str">
        <f>IF(C8239="","",UPPER(LEFT(SUBSTITUTE(C8239," ",""),3))&amp;"-"&amp;TEXT(B8239,"AAMMDD")&amp;"-1")</f>
        <v/>
      </c>
    </row>
    <row r="8240" spans="20:20">
      <c r="T8240" t="str">
        <f>IF(C8240="","",UPPER(LEFT(SUBSTITUTE(C8240," ",""),3))&amp;"-"&amp;TEXT(B8240,"AAMMDD")&amp;"-1")</f>
        <v/>
      </c>
    </row>
    <row r="8241" spans="20:20">
      <c r="T8241" t="str">
        <f>IF(C8241="","",UPPER(LEFT(SUBSTITUTE(C8241," ",""),3))&amp;"-"&amp;TEXT(B8241,"AAMMDD")&amp;"-1")</f>
        <v/>
      </c>
    </row>
    <row r="8242" spans="20:20">
      <c r="T8242" t="str">
        <f>IF(C8242="","",UPPER(LEFT(SUBSTITUTE(C8242," ",""),3))&amp;"-"&amp;TEXT(B8242,"AAMMDD")&amp;"-1")</f>
        <v/>
      </c>
    </row>
    <row r="8243" spans="20:20">
      <c r="T8243" t="str">
        <f>IF(C8243="","",UPPER(LEFT(SUBSTITUTE(C8243," ",""),3))&amp;"-"&amp;TEXT(B8243,"AAMMDD")&amp;"-1")</f>
        <v/>
      </c>
    </row>
    <row r="8244" spans="20:20">
      <c r="T8244" t="str">
        <f>IF(C8244="","",UPPER(LEFT(SUBSTITUTE(C8244," ",""),3))&amp;"-"&amp;TEXT(B8244,"AAMMDD")&amp;"-1")</f>
        <v/>
      </c>
    </row>
    <row r="8245" spans="20:20">
      <c r="T8245" t="str">
        <f>IF(C8245="","",UPPER(LEFT(SUBSTITUTE(C8245," ",""),3))&amp;"-"&amp;TEXT(B8245,"AAMMDD")&amp;"-1")</f>
        <v/>
      </c>
    </row>
    <row r="8246" spans="20:20">
      <c r="T8246" t="str">
        <f>IF(C8246="","",UPPER(LEFT(SUBSTITUTE(C8246," ",""),3))&amp;"-"&amp;TEXT(B8246,"AAMMDD")&amp;"-1")</f>
        <v/>
      </c>
    </row>
    <row r="8247" spans="20:20">
      <c r="T8247" t="str">
        <f>IF(C8247="","",UPPER(LEFT(SUBSTITUTE(C8247," ",""),3))&amp;"-"&amp;TEXT(B8247,"AAMMDD")&amp;"-1")</f>
        <v/>
      </c>
    </row>
    <row r="8248" spans="20:20">
      <c r="T8248" t="str">
        <f>IF(C8248="","",UPPER(LEFT(SUBSTITUTE(C8248," ",""),3))&amp;"-"&amp;TEXT(B8248,"AAMMDD")&amp;"-1")</f>
        <v/>
      </c>
    </row>
    <row r="8249" spans="20:20">
      <c r="T8249" t="str">
        <f>IF(C8249="","",UPPER(LEFT(SUBSTITUTE(C8249," ",""),3))&amp;"-"&amp;TEXT(B8249,"AAMMDD")&amp;"-1")</f>
        <v/>
      </c>
    </row>
    <row r="8250" spans="20:20">
      <c r="T8250" t="str">
        <f>IF(C8250="","",UPPER(LEFT(SUBSTITUTE(C8250," ",""),3))&amp;"-"&amp;TEXT(B8250,"AAMMDD")&amp;"-1")</f>
        <v/>
      </c>
    </row>
    <row r="8251" spans="20:20">
      <c r="T8251" t="str">
        <f>IF(C8251="","",UPPER(LEFT(SUBSTITUTE(C8251," ",""),3))&amp;"-"&amp;TEXT(B8251,"AAMMDD")&amp;"-1")</f>
        <v/>
      </c>
    </row>
    <row r="8252" spans="20:20">
      <c r="T8252" t="str">
        <f>IF(C8252="","",UPPER(LEFT(SUBSTITUTE(C8252," ",""),3))&amp;"-"&amp;TEXT(B8252,"AAMMDD")&amp;"-1")</f>
        <v/>
      </c>
    </row>
    <row r="8253" spans="20:20">
      <c r="T8253" t="str">
        <f>IF(C8253="","",UPPER(LEFT(SUBSTITUTE(C8253," ",""),3))&amp;"-"&amp;TEXT(B8253,"AAMMDD")&amp;"-1")</f>
        <v/>
      </c>
    </row>
    <row r="8254" spans="20:20">
      <c r="T8254" t="str">
        <f>IF(C8254="","",UPPER(LEFT(SUBSTITUTE(C8254," ",""),3))&amp;"-"&amp;TEXT(B8254,"AAMMDD")&amp;"-1")</f>
        <v/>
      </c>
    </row>
    <row r="8255" spans="20:20">
      <c r="T8255" t="str">
        <f>IF(C8255="","",UPPER(LEFT(SUBSTITUTE(C8255," ",""),3))&amp;"-"&amp;TEXT(B8255,"AAMMDD")&amp;"-1")</f>
        <v/>
      </c>
    </row>
    <row r="8256" spans="20:20">
      <c r="T8256" t="str">
        <f>IF(C8256="","",UPPER(LEFT(SUBSTITUTE(C8256," ",""),3))&amp;"-"&amp;TEXT(B8256,"AAMMDD")&amp;"-1")</f>
        <v/>
      </c>
    </row>
    <row r="8257" spans="20:20">
      <c r="T8257" t="str">
        <f>IF(C8257="","",UPPER(LEFT(SUBSTITUTE(C8257," ",""),3))&amp;"-"&amp;TEXT(B8257,"AAMMDD")&amp;"-1")</f>
        <v/>
      </c>
    </row>
    <row r="8258" spans="20:20">
      <c r="T8258" t="str">
        <f>IF(C8258="","",UPPER(LEFT(SUBSTITUTE(C8258," ",""),3))&amp;"-"&amp;TEXT(B8258,"AAMMDD")&amp;"-1")</f>
        <v/>
      </c>
    </row>
    <row r="8259" spans="20:20">
      <c r="T8259" t="str">
        <f>IF(C8259="","",UPPER(LEFT(SUBSTITUTE(C8259," ",""),3))&amp;"-"&amp;TEXT(B8259,"AAMMDD")&amp;"-1")</f>
        <v/>
      </c>
    </row>
    <row r="8260" spans="20:20">
      <c r="T8260" t="str">
        <f>IF(C8260="","",UPPER(LEFT(SUBSTITUTE(C8260," ",""),3))&amp;"-"&amp;TEXT(B8260,"AAMMDD")&amp;"-1")</f>
        <v/>
      </c>
    </row>
    <row r="8261" spans="20:20">
      <c r="T8261" t="str">
        <f>IF(C8261="","",UPPER(LEFT(SUBSTITUTE(C8261," ",""),3))&amp;"-"&amp;TEXT(B8261,"AAMMDD")&amp;"-1")</f>
        <v/>
      </c>
    </row>
    <row r="8262" spans="20:20">
      <c r="T8262" t="str">
        <f>IF(C8262="","",UPPER(LEFT(SUBSTITUTE(C8262," ",""),3))&amp;"-"&amp;TEXT(B8262,"AAMMDD")&amp;"-1")</f>
        <v/>
      </c>
    </row>
    <row r="8263" spans="20:20">
      <c r="T8263" t="str">
        <f>IF(C8263="","",UPPER(LEFT(SUBSTITUTE(C8263," ",""),3))&amp;"-"&amp;TEXT(B8263,"AAMMDD")&amp;"-1")</f>
        <v/>
      </c>
    </row>
    <row r="8264" spans="20:20">
      <c r="T8264" t="str">
        <f>IF(C8264="","",UPPER(LEFT(SUBSTITUTE(C8264," ",""),3))&amp;"-"&amp;TEXT(B8264,"AAMMDD")&amp;"-1")</f>
        <v/>
      </c>
    </row>
    <row r="8265" spans="20:20">
      <c r="T8265" t="str">
        <f>IF(C8265="","",UPPER(LEFT(SUBSTITUTE(C8265," ",""),3))&amp;"-"&amp;TEXT(B8265,"AAMMDD")&amp;"-1")</f>
        <v/>
      </c>
    </row>
    <row r="8266" spans="20:20">
      <c r="T8266" t="str">
        <f>IF(C8266="","",UPPER(LEFT(SUBSTITUTE(C8266," ",""),3))&amp;"-"&amp;TEXT(B8266,"AAMMDD")&amp;"-1")</f>
        <v/>
      </c>
    </row>
    <row r="8267" spans="20:20">
      <c r="T8267" t="str">
        <f>IF(C8267="","",UPPER(LEFT(SUBSTITUTE(C8267," ",""),3))&amp;"-"&amp;TEXT(B8267,"AAMMDD")&amp;"-1")</f>
        <v/>
      </c>
    </row>
    <row r="8268" spans="20:20">
      <c r="T8268" t="str">
        <f>IF(C8268="","",UPPER(LEFT(SUBSTITUTE(C8268," ",""),3))&amp;"-"&amp;TEXT(B8268,"AAMMDD")&amp;"-1")</f>
        <v/>
      </c>
    </row>
    <row r="8269" spans="20:20">
      <c r="T8269" t="str">
        <f>IF(C8269="","",UPPER(LEFT(SUBSTITUTE(C8269," ",""),3))&amp;"-"&amp;TEXT(B8269,"AAMMDD")&amp;"-1")</f>
        <v/>
      </c>
    </row>
    <row r="8270" spans="20:20">
      <c r="T8270" t="str">
        <f>IF(C8270="","",UPPER(LEFT(SUBSTITUTE(C8270," ",""),3))&amp;"-"&amp;TEXT(B8270,"AAMMDD")&amp;"-1")</f>
        <v/>
      </c>
    </row>
    <row r="8271" spans="20:20">
      <c r="T8271" t="str">
        <f>IF(C8271="","",UPPER(LEFT(SUBSTITUTE(C8271," ",""),3))&amp;"-"&amp;TEXT(B8271,"AAMMDD")&amp;"-1")</f>
        <v/>
      </c>
    </row>
    <row r="8272" spans="20:20">
      <c r="T8272" t="str">
        <f>IF(C8272="","",UPPER(LEFT(SUBSTITUTE(C8272," ",""),3))&amp;"-"&amp;TEXT(B8272,"AAMMDD")&amp;"-1")</f>
        <v/>
      </c>
    </row>
    <row r="8273" spans="20:20">
      <c r="T8273" t="str">
        <f>IF(C8273="","",UPPER(LEFT(SUBSTITUTE(C8273," ",""),3))&amp;"-"&amp;TEXT(B8273,"AAMMDD")&amp;"-1")</f>
        <v/>
      </c>
    </row>
    <row r="8274" spans="20:20">
      <c r="T8274" t="str">
        <f>IF(C8274="","",UPPER(LEFT(SUBSTITUTE(C8274," ",""),3))&amp;"-"&amp;TEXT(B8274,"AAMMDD")&amp;"-1")</f>
        <v/>
      </c>
    </row>
    <row r="8275" spans="20:20">
      <c r="T8275" t="str">
        <f>IF(C8275="","",UPPER(LEFT(SUBSTITUTE(C8275," ",""),3))&amp;"-"&amp;TEXT(B8275,"AAMMDD")&amp;"-1")</f>
        <v/>
      </c>
    </row>
    <row r="8276" spans="20:20">
      <c r="T8276" t="str">
        <f>IF(C8276="","",UPPER(LEFT(SUBSTITUTE(C8276," ",""),3))&amp;"-"&amp;TEXT(B8276,"AAMMDD")&amp;"-1")</f>
        <v/>
      </c>
    </row>
    <row r="8277" spans="20:20">
      <c r="T8277" t="str">
        <f>IF(C8277="","",UPPER(LEFT(SUBSTITUTE(C8277," ",""),3))&amp;"-"&amp;TEXT(B8277,"AAMMDD")&amp;"-1")</f>
        <v/>
      </c>
    </row>
    <row r="8278" spans="20:20">
      <c r="T8278" t="str">
        <f>IF(C8278="","",UPPER(LEFT(SUBSTITUTE(C8278," ",""),3))&amp;"-"&amp;TEXT(B8278,"AAMMDD")&amp;"-1")</f>
        <v/>
      </c>
    </row>
    <row r="8279" spans="20:20">
      <c r="T8279" t="str">
        <f>IF(C8279="","",UPPER(LEFT(SUBSTITUTE(C8279," ",""),3))&amp;"-"&amp;TEXT(B8279,"AAMMDD")&amp;"-1")</f>
        <v/>
      </c>
    </row>
    <row r="8280" spans="20:20">
      <c r="T8280" t="str">
        <f>IF(C8280="","",UPPER(LEFT(SUBSTITUTE(C8280," ",""),3))&amp;"-"&amp;TEXT(B8280,"AAMMDD")&amp;"-1")</f>
        <v/>
      </c>
    </row>
    <row r="8281" spans="20:20">
      <c r="T8281" t="str">
        <f>IF(C8281="","",UPPER(LEFT(SUBSTITUTE(C8281," ",""),3))&amp;"-"&amp;TEXT(B8281,"AAMMDD")&amp;"-1")</f>
        <v/>
      </c>
    </row>
    <row r="8282" spans="20:20">
      <c r="T8282" t="str">
        <f>IF(C8282="","",UPPER(LEFT(SUBSTITUTE(C8282," ",""),3))&amp;"-"&amp;TEXT(B8282,"AAMMDD")&amp;"-1")</f>
        <v/>
      </c>
    </row>
    <row r="8283" spans="20:20">
      <c r="T8283" t="str">
        <f>IF(C8283="","",UPPER(LEFT(SUBSTITUTE(C8283," ",""),3))&amp;"-"&amp;TEXT(B8283,"AAMMDD")&amp;"-1")</f>
        <v/>
      </c>
    </row>
    <row r="8284" spans="20:20">
      <c r="T8284" t="str">
        <f>IF(C8284="","",UPPER(LEFT(SUBSTITUTE(C8284," ",""),3))&amp;"-"&amp;TEXT(B8284,"AAMMDD")&amp;"-1")</f>
        <v/>
      </c>
    </row>
    <row r="8285" spans="20:20">
      <c r="T8285" t="str">
        <f>IF(C8285="","",UPPER(LEFT(SUBSTITUTE(C8285," ",""),3))&amp;"-"&amp;TEXT(B8285,"AAMMDD")&amp;"-1")</f>
        <v/>
      </c>
    </row>
    <row r="8286" spans="20:20">
      <c r="T8286" t="str">
        <f>IF(C8286="","",UPPER(LEFT(SUBSTITUTE(C8286," ",""),3))&amp;"-"&amp;TEXT(B8286,"AAMMDD")&amp;"-1")</f>
        <v/>
      </c>
    </row>
    <row r="8287" spans="20:20">
      <c r="T8287" t="str">
        <f>IF(C8287="","",UPPER(LEFT(SUBSTITUTE(C8287," ",""),3))&amp;"-"&amp;TEXT(B8287,"AAMMDD")&amp;"-1")</f>
        <v/>
      </c>
    </row>
    <row r="8288" spans="20:20">
      <c r="T8288" t="str">
        <f>IF(C8288="","",UPPER(LEFT(SUBSTITUTE(C8288," ",""),3))&amp;"-"&amp;TEXT(B8288,"AAMMDD")&amp;"-1")</f>
        <v/>
      </c>
    </row>
    <row r="8289" spans="20:20">
      <c r="T8289" t="str">
        <f>IF(C8289="","",UPPER(LEFT(SUBSTITUTE(C8289," ",""),3))&amp;"-"&amp;TEXT(B8289,"AAMMDD")&amp;"-1")</f>
        <v/>
      </c>
    </row>
    <row r="8290" spans="20:20">
      <c r="T8290" t="str">
        <f>IF(C8290="","",UPPER(LEFT(SUBSTITUTE(C8290," ",""),3))&amp;"-"&amp;TEXT(B8290,"AAMMDD")&amp;"-1")</f>
        <v/>
      </c>
    </row>
    <row r="8291" spans="20:20">
      <c r="T8291" t="str">
        <f>IF(C8291="","",UPPER(LEFT(SUBSTITUTE(C8291," ",""),3))&amp;"-"&amp;TEXT(B8291,"AAMMDD")&amp;"-1")</f>
        <v/>
      </c>
    </row>
    <row r="8292" spans="20:20">
      <c r="T8292" t="str">
        <f>IF(C8292="","",UPPER(LEFT(SUBSTITUTE(C8292," ",""),3))&amp;"-"&amp;TEXT(B8292,"AAMMDD")&amp;"-1")</f>
        <v/>
      </c>
    </row>
    <row r="8293" spans="20:20">
      <c r="T8293" t="str">
        <f>IF(C8293="","",UPPER(LEFT(SUBSTITUTE(C8293," ",""),3))&amp;"-"&amp;TEXT(B8293,"AAMMDD")&amp;"-1")</f>
        <v/>
      </c>
    </row>
    <row r="8294" spans="20:20">
      <c r="T8294" t="str">
        <f>IF(C8294="","",UPPER(LEFT(SUBSTITUTE(C8294," ",""),3))&amp;"-"&amp;TEXT(B8294,"AAMMDD")&amp;"-1")</f>
        <v/>
      </c>
    </row>
    <row r="8295" spans="20:20">
      <c r="T8295" t="str">
        <f>IF(C8295="","",UPPER(LEFT(SUBSTITUTE(C8295," ",""),3))&amp;"-"&amp;TEXT(B8295,"AAMMDD")&amp;"-1")</f>
        <v/>
      </c>
    </row>
    <row r="8296" spans="20:20">
      <c r="T8296" t="str">
        <f>IF(C8296="","",UPPER(LEFT(SUBSTITUTE(C8296," ",""),3))&amp;"-"&amp;TEXT(B8296,"AAMMDD")&amp;"-1")</f>
        <v/>
      </c>
    </row>
    <row r="8297" spans="20:20">
      <c r="T8297" t="str">
        <f>IF(C8297="","",UPPER(LEFT(SUBSTITUTE(C8297," ",""),3))&amp;"-"&amp;TEXT(B8297,"AAMMDD")&amp;"-1")</f>
        <v/>
      </c>
    </row>
    <row r="8298" spans="20:20">
      <c r="T8298" t="str">
        <f>IF(C8298="","",UPPER(LEFT(SUBSTITUTE(C8298," ",""),3))&amp;"-"&amp;TEXT(B8298,"AAMMDD")&amp;"-1")</f>
        <v/>
      </c>
    </row>
    <row r="8299" spans="20:20">
      <c r="T8299" t="str">
        <f>IF(C8299="","",UPPER(LEFT(SUBSTITUTE(C8299," ",""),3))&amp;"-"&amp;TEXT(B8299,"AAMMDD")&amp;"-1")</f>
        <v/>
      </c>
    </row>
    <row r="8300" spans="20:20">
      <c r="T8300" t="str">
        <f>IF(C8300="","",UPPER(LEFT(SUBSTITUTE(C8300," ",""),3))&amp;"-"&amp;TEXT(B8300,"AAMMDD")&amp;"-1")</f>
        <v/>
      </c>
    </row>
    <row r="8301" spans="20:20">
      <c r="T8301" t="str">
        <f>IF(C8301="","",UPPER(LEFT(SUBSTITUTE(C8301," ",""),3))&amp;"-"&amp;TEXT(B8301,"AAMMDD")&amp;"-1")</f>
        <v/>
      </c>
    </row>
    <row r="8302" spans="20:20">
      <c r="T8302" t="str">
        <f>IF(C8302="","",UPPER(LEFT(SUBSTITUTE(C8302," ",""),3))&amp;"-"&amp;TEXT(B8302,"AAMMDD")&amp;"-1")</f>
        <v/>
      </c>
    </row>
    <row r="8303" spans="20:20">
      <c r="T8303" t="str">
        <f>IF(C8303="","",UPPER(LEFT(SUBSTITUTE(C8303," ",""),3))&amp;"-"&amp;TEXT(B8303,"AAMMDD")&amp;"-1")</f>
        <v/>
      </c>
    </row>
    <row r="8304" spans="20:20">
      <c r="T8304" t="str">
        <f>IF(C8304="","",UPPER(LEFT(SUBSTITUTE(C8304," ",""),3))&amp;"-"&amp;TEXT(B8304,"AAMMDD")&amp;"-1")</f>
        <v/>
      </c>
    </row>
    <row r="8305" spans="20:20">
      <c r="T8305" t="str">
        <f>IF(C8305="","",UPPER(LEFT(SUBSTITUTE(C8305," ",""),3))&amp;"-"&amp;TEXT(B8305,"AAMMDD")&amp;"-1")</f>
        <v/>
      </c>
    </row>
    <row r="8306" spans="20:20">
      <c r="T8306" t="str">
        <f>IF(C8306="","",UPPER(LEFT(SUBSTITUTE(C8306," ",""),3))&amp;"-"&amp;TEXT(B8306,"AAMMDD")&amp;"-1")</f>
        <v/>
      </c>
    </row>
    <row r="8307" spans="20:20">
      <c r="T8307" t="str">
        <f>IF(C8307="","",UPPER(LEFT(SUBSTITUTE(C8307," ",""),3))&amp;"-"&amp;TEXT(B8307,"AAMMDD")&amp;"-1")</f>
        <v/>
      </c>
    </row>
    <row r="8308" spans="20:20">
      <c r="T8308" t="str">
        <f>IF(C8308="","",UPPER(LEFT(SUBSTITUTE(C8308," ",""),3))&amp;"-"&amp;TEXT(B8308,"AAMMDD")&amp;"-1")</f>
        <v/>
      </c>
    </row>
    <row r="8309" spans="20:20">
      <c r="T8309" t="str">
        <f>IF(C8309="","",UPPER(LEFT(SUBSTITUTE(C8309," ",""),3))&amp;"-"&amp;TEXT(B8309,"AAMMDD")&amp;"-1")</f>
        <v/>
      </c>
    </row>
    <row r="8310" spans="20:20">
      <c r="T8310" t="str">
        <f>IF(C8310="","",UPPER(LEFT(SUBSTITUTE(C8310," ",""),3))&amp;"-"&amp;TEXT(B8310,"AAMMDD")&amp;"-1")</f>
        <v/>
      </c>
    </row>
    <row r="8311" spans="20:20">
      <c r="T8311" t="str">
        <f>IF(C8311="","",UPPER(LEFT(SUBSTITUTE(C8311," ",""),3))&amp;"-"&amp;TEXT(B8311,"AAMMDD")&amp;"-1")</f>
        <v/>
      </c>
    </row>
    <row r="8312" spans="20:20">
      <c r="T8312" t="str">
        <f>IF(C8312="","",UPPER(LEFT(SUBSTITUTE(C8312," ",""),3))&amp;"-"&amp;TEXT(B8312,"AAMMDD")&amp;"-1")</f>
        <v/>
      </c>
    </row>
    <row r="8313" spans="20:20">
      <c r="T8313" t="str">
        <f>IF(C8313="","",UPPER(LEFT(SUBSTITUTE(C8313," ",""),3))&amp;"-"&amp;TEXT(B8313,"AAMMDD")&amp;"-1")</f>
        <v/>
      </c>
    </row>
    <row r="8314" spans="20:20">
      <c r="T8314" t="str">
        <f>IF(C8314="","",UPPER(LEFT(SUBSTITUTE(C8314," ",""),3))&amp;"-"&amp;TEXT(B8314,"AAMMDD")&amp;"-1")</f>
        <v/>
      </c>
    </row>
    <row r="8315" spans="20:20">
      <c r="T8315" t="str">
        <f>IF(C8315="","",UPPER(LEFT(SUBSTITUTE(C8315," ",""),3))&amp;"-"&amp;TEXT(B8315,"AAMMDD")&amp;"-1")</f>
        <v/>
      </c>
    </row>
    <row r="8316" spans="20:20">
      <c r="T8316" t="str">
        <f>IF(C8316="","",UPPER(LEFT(SUBSTITUTE(C8316," ",""),3))&amp;"-"&amp;TEXT(B8316,"AAMMDD")&amp;"-1")</f>
        <v/>
      </c>
    </row>
    <row r="8317" spans="20:20">
      <c r="T8317" t="str">
        <f>IF(C8317="","",UPPER(LEFT(SUBSTITUTE(C8317," ",""),3))&amp;"-"&amp;TEXT(B8317,"AAMMDD")&amp;"-1")</f>
        <v/>
      </c>
    </row>
    <row r="8318" spans="20:20">
      <c r="T8318" t="str">
        <f>IF(C8318="","",UPPER(LEFT(SUBSTITUTE(C8318," ",""),3))&amp;"-"&amp;TEXT(B8318,"AAMMDD")&amp;"-1")</f>
        <v/>
      </c>
    </row>
    <row r="8319" spans="20:20">
      <c r="T8319" t="str">
        <f>IF(C8319="","",UPPER(LEFT(SUBSTITUTE(C8319," ",""),3))&amp;"-"&amp;TEXT(B8319,"AAMMDD")&amp;"-1")</f>
        <v/>
      </c>
    </row>
    <row r="8320" spans="20:20">
      <c r="T8320" t="str">
        <f>IF(C8320="","",UPPER(LEFT(SUBSTITUTE(C8320," ",""),3))&amp;"-"&amp;TEXT(B8320,"AAMMDD")&amp;"-1")</f>
        <v/>
      </c>
    </row>
    <row r="8321" spans="20:20">
      <c r="T8321" t="str">
        <f>IF(C8321="","",UPPER(LEFT(SUBSTITUTE(C8321," ",""),3))&amp;"-"&amp;TEXT(B8321,"AAMMDD")&amp;"-1")</f>
        <v/>
      </c>
    </row>
    <row r="8322" spans="20:20">
      <c r="T8322" t="str">
        <f>IF(C8322="","",UPPER(LEFT(SUBSTITUTE(C8322," ",""),3))&amp;"-"&amp;TEXT(B8322,"AAMMDD")&amp;"-1")</f>
        <v/>
      </c>
    </row>
    <row r="8323" spans="20:20">
      <c r="T8323" t="str">
        <f>IF(C8323="","",UPPER(LEFT(SUBSTITUTE(C8323," ",""),3))&amp;"-"&amp;TEXT(B8323,"AAMMDD")&amp;"-1")</f>
        <v/>
      </c>
    </row>
    <row r="8324" spans="20:20">
      <c r="T8324" t="str">
        <f>IF(C8324="","",UPPER(LEFT(SUBSTITUTE(C8324," ",""),3))&amp;"-"&amp;TEXT(B8324,"AAMMDD")&amp;"-1")</f>
        <v/>
      </c>
    </row>
    <row r="8325" spans="20:20">
      <c r="T8325" t="str">
        <f>IF(C8325="","",UPPER(LEFT(SUBSTITUTE(C8325," ",""),3))&amp;"-"&amp;TEXT(B8325,"AAMMDD")&amp;"-1")</f>
        <v/>
      </c>
    </row>
    <row r="8326" spans="20:20">
      <c r="T8326" t="str">
        <f>IF(C8326="","",UPPER(LEFT(SUBSTITUTE(C8326," ",""),3))&amp;"-"&amp;TEXT(B8326,"AAMMDD")&amp;"-1")</f>
        <v/>
      </c>
    </row>
    <row r="8327" spans="20:20">
      <c r="T8327" t="str">
        <f>IF(C8327="","",UPPER(LEFT(SUBSTITUTE(C8327," ",""),3))&amp;"-"&amp;TEXT(B8327,"AAMMDD")&amp;"-1")</f>
        <v/>
      </c>
    </row>
    <row r="8328" spans="20:20">
      <c r="T8328" t="str">
        <f>IF(C8328="","",UPPER(LEFT(SUBSTITUTE(C8328," ",""),3))&amp;"-"&amp;TEXT(B8328,"AAMMDD")&amp;"-1")</f>
        <v/>
      </c>
    </row>
    <row r="8329" spans="20:20">
      <c r="T8329" t="str">
        <f>IF(C8329="","",UPPER(LEFT(SUBSTITUTE(C8329," ",""),3))&amp;"-"&amp;TEXT(B8329,"AAMMDD")&amp;"-1")</f>
        <v/>
      </c>
    </row>
    <row r="8330" spans="20:20">
      <c r="T8330" t="str">
        <f>IF(C8330="","",UPPER(LEFT(SUBSTITUTE(C8330," ",""),3))&amp;"-"&amp;TEXT(B8330,"AAMMDD")&amp;"-1")</f>
        <v/>
      </c>
    </row>
    <row r="8331" spans="20:20">
      <c r="T8331" t="str">
        <f>IF(C8331="","",UPPER(LEFT(SUBSTITUTE(C8331," ",""),3))&amp;"-"&amp;TEXT(B8331,"AAMMDD")&amp;"-1")</f>
        <v/>
      </c>
    </row>
    <row r="8332" spans="20:20">
      <c r="T8332" t="str">
        <f>IF(C8332="","",UPPER(LEFT(SUBSTITUTE(C8332," ",""),3))&amp;"-"&amp;TEXT(B8332,"AAMMDD")&amp;"-1")</f>
        <v/>
      </c>
    </row>
    <row r="8333" spans="20:20">
      <c r="T8333" t="str">
        <f>IF(C8333="","",UPPER(LEFT(SUBSTITUTE(C8333," ",""),3))&amp;"-"&amp;TEXT(B8333,"AAMMDD")&amp;"-1")</f>
        <v/>
      </c>
    </row>
    <row r="8334" spans="20:20">
      <c r="T8334" t="str">
        <f>IF(C8334="","",UPPER(LEFT(SUBSTITUTE(C8334," ",""),3))&amp;"-"&amp;TEXT(B8334,"AAMMDD")&amp;"-1")</f>
        <v/>
      </c>
    </row>
    <row r="8335" spans="20:20">
      <c r="T8335" t="str">
        <f>IF(C8335="","",UPPER(LEFT(SUBSTITUTE(C8335," ",""),3))&amp;"-"&amp;TEXT(B8335,"AAMMDD")&amp;"-1")</f>
        <v/>
      </c>
    </row>
    <row r="8336" spans="20:20">
      <c r="T8336" t="str">
        <f>IF(C8336="","",UPPER(LEFT(SUBSTITUTE(C8336," ",""),3))&amp;"-"&amp;TEXT(B8336,"AAMMDD")&amp;"-1")</f>
        <v/>
      </c>
    </row>
    <row r="8337" spans="20:20">
      <c r="T8337" t="str">
        <f>IF(C8337="","",UPPER(LEFT(SUBSTITUTE(C8337," ",""),3))&amp;"-"&amp;TEXT(B8337,"AAMMDD")&amp;"-1")</f>
        <v/>
      </c>
    </row>
    <row r="8338" spans="20:20">
      <c r="T8338" t="str">
        <f>IF(C8338="","",UPPER(LEFT(SUBSTITUTE(C8338," ",""),3))&amp;"-"&amp;TEXT(B8338,"AAMMDD")&amp;"-1")</f>
        <v/>
      </c>
    </row>
    <row r="8339" spans="20:20">
      <c r="T8339" t="str">
        <f>IF(C8339="","",UPPER(LEFT(SUBSTITUTE(C8339," ",""),3))&amp;"-"&amp;TEXT(B8339,"AAMMDD")&amp;"-1")</f>
        <v/>
      </c>
    </row>
    <row r="8340" spans="20:20">
      <c r="T8340" t="str">
        <f>IF(C8340="","",UPPER(LEFT(SUBSTITUTE(C8340," ",""),3))&amp;"-"&amp;TEXT(B8340,"AAMMDD")&amp;"-1")</f>
        <v/>
      </c>
    </row>
    <row r="8341" spans="20:20">
      <c r="T8341" t="str">
        <f>IF(C8341="","",UPPER(LEFT(SUBSTITUTE(C8341," ",""),3))&amp;"-"&amp;TEXT(B8341,"AAMMDD")&amp;"-1")</f>
        <v/>
      </c>
    </row>
    <row r="8342" spans="20:20">
      <c r="T8342" t="str">
        <f>IF(C8342="","",UPPER(LEFT(SUBSTITUTE(C8342," ",""),3))&amp;"-"&amp;TEXT(B8342,"AAMMDD")&amp;"-1")</f>
        <v/>
      </c>
    </row>
    <row r="8343" spans="20:20">
      <c r="T8343" t="str">
        <f>IF(C8343="","",UPPER(LEFT(SUBSTITUTE(C8343," ",""),3))&amp;"-"&amp;TEXT(B8343,"AAMMDD")&amp;"-1")</f>
        <v/>
      </c>
    </row>
    <row r="8344" spans="20:20">
      <c r="T8344" t="str">
        <f>IF(C8344="","",UPPER(LEFT(SUBSTITUTE(C8344," ",""),3))&amp;"-"&amp;TEXT(B8344,"AAMMDD")&amp;"-1")</f>
        <v/>
      </c>
    </row>
    <row r="8345" spans="20:20">
      <c r="T8345" t="str">
        <f>IF(C8345="","",UPPER(LEFT(SUBSTITUTE(C8345," ",""),3))&amp;"-"&amp;TEXT(B8345,"AAMMDD")&amp;"-1")</f>
        <v/>
      </c>
    </row>
    <row r="8346" spans="20:20">
      <c r="T8346" t="str">
        <f>IF(C8346="","",UPPER(LEFT(SUBSTITUTE(C8346," ",""),3))&amp;"-"&amp;TEXT(B8346,"AAMMDD")&amp;"-1")</f>
        <v/>
      </c>
    </row>
    <row r="8347" spans="20:20">
      <c r="T8347" t="str">
        <f>IF(C8347="","",UPPER(LEFT(SUBSTITUTE(C8347," ",""),3))&amp;"-"&amp;TEXT(B8347,"AAMMDD")&amp;"-1")</f>
        <v/>
      </c>
    </row>
    <row r="8348" spans="20:20">
      <c r="T8348" t="str">
        <f>IF(C8348="","",UPPER(LEFT(SUBSTITUTE(C8348," ",""),3))&amp;"-"&amp;TEXT(B8348,"AAMMDD")&amp;"-1")</f>
        <v/>
      </c>
    </row>
    <row r="8349" spans="20:20">
      <c r="T8349" t="str">
        <f>IF(C8349="","",UPPER(LEFT(SUBSTITUTE(C8349," ",""),3))&amp;"-"&amp;TEXT(B8349,"AAMMDD")&amp;"-1")</f>
        <v/>
      </c>
    </row>
    <row r="8350" spans="20:20">
      <c r="T8350" t="str">
        <f>IF(C8350="","",UPPER(LEFT(SUBSTITUTE(C8350," ",""),3))&amp;"-"&amp;TEXT(B8350,"AAMMDD")&amp;"-1")</f>
        <v/>
      </c>
    </row>
    <row r="8351" spans="20:20">
      <c r="T8351" t="str">
        <f>IF(C8351="","",UPPER(LEFT(SUBSTITUTE(C8351," ",""),3))&amp;"-"&amp;TEXT(B8351,"AAMMDD")&amp;"-1")</f>
        <v/>
      </c>
    </row>
    <row r="8352" spans="20:20">
      <c r="T8352" t="str">
        <f>IF(C8352="","",UPPER(LEFT(SUBSTITUTE(C8352," ",""),3))&amp;"-"&amp;TEXT(B8352,"AAMMDD")&amp;"-1")</f>
        <v/>
      </c>
    </row>
    <row r="8353" spans="20:20">
      <c r="T8353" t="str">
        <f>IF(C8353="","",UPPER(LEFT(SUBSTITUTE(C8353," ",""),3))&amp;"-"&amp;TEXT(B8353,"AAMMDD")&amp;"-1")</f>
        <v/>
      </c>
    </row>
    <row r="8354" spans="20:20">
      <c r="T8354" t="str">
        <f>IF(C8354="","",UPPER(LEFT(SUBSTITUTE(C8354," ",""),3))&amp;"-"&amp;TEXT(B8354,"AAMMDD")&amp;"-1")</f>
        <v/>
      </c>
    </row>
    <row r="8355" spans="20:20">
      <c r="T8355" t="str">
        <f>IF(C8355="","",UPPER(LEFT(SUBSTITUTE(C8355," ",""),3))&amp;"-"&amp;TEXT(B8355,"AAMMDD")&amp;"-1")</f>
        <v/>
      </c>
    </row>
    <row r="8356" spans="20:20">
      <c r="T8356" t="str">
        <f>IF(C8356="","",UPPER(LEFT(SUBSTITUTE(C8356," ",""),3))&amp;"-"&amp;TEXT(B8356,"AAMMDD")&amp;"-1")</f>
        <v/>
      </c>
    </row>
    <row r="8357" spans="20:20">
      <c r="T8357" t="str">
        <f>IF(C8357="","",UPPER(LEFT(SUBSTITUTE(C8357," ",""),3))&amp;"-"&amp;TEXT(B8357,"AAMMDD")&amp;"-1")</f>
        <v/>
      </c>
    </row>
    <row r="8358" spans="20:20">
      <c r="T8358" t="str">
        <f>IF(C8358="","",UPPER(LEFT(SUBSTITUTE(C8358," ",""),3))&amp;"-"&amp;TEXT(B8358,"AAMMDD")&amp;"-1")</f>
        <v/>
      </c>
    </row>
    <row r="8359" spans="20:20">
      <c r="T8359" t="str">
        <f>IF(C8359="","",UPPER(LEFT(SUBSTITUTE(C8359," ",""),3))&amp;"-"&amp;TEXT(B8359,"AAMMDD")&amp;"-1")</f>
        <v/>
      </c>
    </row>
    <row r="8360" spans="20:20">
      <c r="T8360" t="str">
        <f>IF(C8360="","",UPPER(LEFT(SUBSTITUTE(C8360," ",""),3))&amp;"-"&amp;TEXT(B8360,"AAMMDD")&amp;"-1")</f>
        <v/>
      </c>
    </row>
    <row r="8361" spans="20:20">
      <c r="T8361" t="str">
        <f>IF(C8361="","",UPPER(LEFT(SUBSTITUTE(C8361," ",""),3))&amp;"-"&amp;TEXT(B8361,"AAMMDD")&amp;"-1")</f>
        <v/>
      </c>
    </row>
    <row r="8362" spans="20:20">
      <c r="T8362" t="str">
        <f>IF(C8362="","",UPPER(LEFT(SUBSTITUTE(C8362," ",""),3))&amp;"-"&amp;TEXT(B8362,"AAMMDD")&amp;"-1")</f>
        <v/>
      </c>
    </row>
    <row r="8363" spans="20:20">
      <c r="T8363" t="str">
        <f>IF(C8363="","",UPPER(LEFT(SUBSTITUTE(C8363," ",""),3))&amp;"-"&amp;TEXT(B8363,"AAMMDD")&amp;"-1")</f>
        <v/>
      </c>
    </row>
    <row r="8364" spans="20:20">
      <c r="T8364" t="str">
        <f>IF(C8364="","",UPPER(LEFT(SUBSTITUTE(C8364," ",""),3))&amp;"-"&amp;TEXT(B8364,"AAMMDD")&amp;"-1")</f>
        <v/>
      </c>
    </row>
    <row r="8365" spans="20:20">
      <c r="T8365" t="str">
        <f>IF(C8365="","",UPPER(LEFT(SUBSTITUTE(C8365," ",""),3))&amp;"-"&amp;TEXT(B8365,"AAMMDD")&amp;"-1")</f>
        <v/>
      </c>
    </row>
    <row r="8366" spans="20:20">
      <c r="T8366" t="str">
        <f>IF(C8366="","",UPPER(LEFT(SUBSTITUTE(C8366," ",""),3))&amp;"-"&amp;TEXT(B8366,"AAMMDD")&amp;"-1")</f>
        <v/>
      </c>
    </row>
    <row r="8367" spans="20:20">
      <c r="T8367" t="str">
        <f>IF(C8367="","",UPPER(LEFT(SUBSTITUTE(C8367," ",""),3))&amp;"-"&amp;TEXT(B8367,"AAMMDD")&amp;"-1")</f>
        <v/>
      </c>
    </row>
    <row r="8368" spans="20:20">
      <c r="T8368" t="str">
        <f>IF(C8368="","",UPPER(LEFT(SUBSTITUTE(C8368," ",""),3))&amp;"-"&amp;TEXT(B8368,"AAMMDD")&amp;"-1")</f>
        <v/>
      </c>
    </row>
    <row r="8369" spans="20:20">
      <c r="T8369" t="str">
        <f>IF(C8369="","",UPPER(LEFT(SUBSTITUTE(C8369," ",""),3))&amp;"-"&amp;TEXT(B8369,"AAMMDD")&amp;"-1")</f>
        <v/>
      </c>
    </row>
    <row r="8370" spans="20:20">
      <c r="T8370" t="str">
        <f>IF(C8370="","",UPPER(LEFT(SUBSTITUTE(C8370," ",""),3))&amp;"-"&amp;TEXT(B8370,"AAMMDD")&amp;"-1")</f>
        <v/>
      </c>
    </row>
    <row r="8371" spans="20:20">
      <c r="T8371" t="str">
        <f>IF(C8371="","",UPPER(LEFT(SUBSTITUTE(C8371," ",""),3))&amp;"-"&amp;TEXT(B8371,"AAMMDD")&amp;"-1")</f>
        <v/>
      </c>
    </row>
    <row r="8372" spans="20:20">
      <c r="T8372" t="str">
        <f>IF(C8372="","",UPPER(LEFT(SUBSTITUTE(C8372," ",""),3))&amp;"-"&amp;TEXT(B8372,"AAMMDD")&amp;"-1")</f>
        <v/>
      </c>
    </row>
    <row r="8373" spans="20:20">
      <c r="T8373" t="str">
        <f>IF(C8373="","",UPPER(LEFT(SUBSTITUTE(C8373," ",""),3))&amp;"-"&amp;TEXT(B8373,"AAMMDD")&amp;"-1")</f>
        <v/>
      </c>
    </row>
    <row r="8374" spans="20:20">
      <c r="T8374" t="str">
        <f>IF(C8374="","",UPPER(LEFT(SUBSTITUTE(C8374," ",""),3))&amp;"-"&amp;TEXT(B8374,"AAMMDD")&amp;"-1")</f>
        <v/>
      </c>
    </row>
    <row r="8375" spans="20:20">
      <c r="T8375" t="str">
        <f>IF(C8375="","",UPPER(LEFT(SUBSTITUTE(C8375," ",""),3))&amp;"-"&amp;TEXT(B8375,"AAMMDD")&amp;"-1")</f>
        <v/>
      </c>
    </row>
    <row r="8376" spans="20:20">
      <c r="T8376" t="str">
        <f>IF(C8376="","",UPPER(LEFT(SUBSTITUTE(C8376," ",""),3))&amp;"-"&amp;TEXT(B8376,"AAMMDD")&amp;"-1")</f>
        <v/>
      </c>
    </row>
    <row r="8377" spans="20:20">
      <c r="T8377" t="str">
        <f>IF(C8377="","",UPPER(LEFT(SUBSTITUTE(C8377," ",""),3))&amp;"-"&amp;TEXT(B8377,"AAMMDD")&amp;"-1")</f>
        <v/>
      </c>
    </row>
    <row r="8378" spans="20:20">
      <c r="T8378" t="str">
        <f>IF(C8378="","",UPPER(LEFT(SUBSTITUTE(C8378," ",""),3))&amp;"-"&amp;TEXT(B8378,"AAMMDD")&amp;"-1")</f>
        <v/>
      </c>
    </row>
    <row r="8379" spans="20:20">
      <c r="T8379" t="str">
        <f>IF(C8379="","",UPPER(LEFT(SUBSTITUTE(C8379," ",""),3))&amp;"-"&amp;TEXT(B8379,"AAMMDD")&amp;"-1")</f>
        <v/>
      </c>
    </row>
    <row r="8380" spans="20:20">
      <c r="T8380" t="str">
        <f>IF(C8380="","",UPPER(LEFT(SUBSTITUTE(C8380," ",""),3))&amp;"-"&amp;TEXT(B8380,"AAMMDD")&amp;"-1")</f>
        <v/>
      </c>
    </row>
    <row r="8381" spans="20:20">
      <c r="T8381" t="str">
        <f>IF(C8381="","",UPPER(LEFT(SUBSTITUTE(C8381," ",""),3))&amp;"-"&amp;TEXT(B8381,"AAMMDD")&amp;"-1")</f>
        <v/>
      </c>
    </row>
    <row r="8382" spans="20:20">
      <c r="T8382" t="str">
        <f>IF(C8382="","",UPPER(LEFT(SUBSTITUTE(C8382," ",""),3))&amp;"-"&amp;TEXT(B8382,"AAMMDD")&amp;"-1")</f>
        <v/>
      </c>
    </row>
    <row r="8383" spans="20:20">
      <c r="T8383" t="str">
        <f>IF(C8383="","",UPPER(LEFT(SUBSTITUTE(C8383," ",""),3))&amp;"-"&amp;TEXT(B8383,"AAMMDD")&amp;"-1")</f>
        <v/>
      </c>
    </row>
    <row r="8384" spans="20:20">
      <c r="T8384" t="str">
        <f>IF(C8384="","",UPPER(LEFT(SUBSTITUTE(C8384," ",""),3))&amp;"-"&amp;TEXT(B8384,"AAMMDD")&amp;"-1")</f>
        <v/>
      </c>
    </row>
    <row r="8385" spans="20:20">
      <c r="T8385" t="str">
        <f>IF(C8385="","",UPPER(LEFT(SUBSTITUTE(C8385," ",""),3))&amp;"-"&amp;TEXT(B8385,"AAMMDD")&amp;"-1")</f>
        <v/>
      </c>
    </row>
    <row r="8386" spans="20:20">
      <c r="T8386" t="str">
        <f>IF(C8386="","",UPPER(LEFT(SUBSTITUTE(C8386," ",""),3))&amp;"-"&amp;TEXT(B8386,"AAMMDD")&amp;"-1")</f>
        <v/>
      </c>
    </row>
    <row r="8387" spans="20:20">
      <c r="T8387" t="str">
        <f>IF(C8387="","",UPPER(LEFT(SUBSTITUTE(C8387," ",""),3))&amp;"-"&amp;TEXT(B8387,"AAMMDD")&amp;"-1")</f>
        <v/>
      </c>
    </row>
    <row r="8388" spans="20:20">
      <c r="T8388" t="str">
        <f>IF(C8388="","",UPPER(LEFT(SUBSTITUTE(C8388," ",""),3))&amp;"-"&amp;TEXT(B8388,"AAMMDD")&amp;"-1")</f>
        <v/>
      </c>
    </row>
    <row r="8389" spans="20:20">
      <c r="T8389" t="str">
        <f>IF(C8389="","",UPPER(LEFT(SUBSTITUTE(C8389," ",""),3))&amp;"-"&amp;TEXT(B8389,"AAMMDD")&amp;"-1")</f>
        <v/>
      </c>
    </row>
    <row r="8390" spans="20:20">
      <c r="T8390" t="str">
        <f>IF(C8390="","",UPPER(LEFT(SUBSTITUTE(C8390," ",""),3))&amp;"-"&amp;TEXT(B8390,"AAMMDD")&amp;"-1")</f>
        <v/>
      </c>
    </row>
    <row r="8391" spans="20:20">
      <c r="T8391" t="str">
        <f>IF(C8391="","",UPPER(LEFT(SUBSTITUTE(C8391," ",""),3))&amp;"-"&amp;TEXT(B8391,"AAMMDD")&amp;"-1")</f>
        <v/>
      </c>
    </row>
    <row r="8392" spans="20:20">
      <c r="T8392" t="str">
        <f>IF(C8392="","",UPPER(LEFT(SUBSTITUTE(C8392," ",""),3))&amp;"-"&amp;TEXT(B8392,"AAMMDD")&amp;"-1")</f>
        <v/>
      </c>
    </row>
    <row r="8393" spans="20:20">
      <c r="T8393" t="str">
        <f>IF(C8393="","",UPPER(LEFT(SUBSTITUTE(C8393," ",""),3))&amp;"-"&amp;TEXT(B8393,"AAMMDD")&amp;"-1")</f>
        <v/>
      </c>
    </row>
    <row r="8394" spans="20:20">
      <c r="T8394" t="str">
        <f>IF(C8394="","",UPPER(LEFT(SUBSTITUTE(C8394," ",""),3))&amp;"-"&amp;TEXT(B8394,"AAMMDD")&amp;"-1")</f>
        <v/>
      </c>
    </row>
    <row r="8395" spans="20:20">
      <c r="T8395" t="str">
        <f>IF(C8395="","",UPPER(LEFT(SUBSTITUTE(C8395," ",""),3))&amp;"-"&amp;TEXT(B8395,"AAMMDD")&amp;"-1")</f>
        <v/>
      </c>
    </row>
    <row r="8396" spans="20:20">
      <c r="T8396" t="str">
        <f>IF(C8396="","",UPPER(LEFT(SUBSTITUTE(C8396," ",""),3))&amp;"-"&amp;TEXT(B8396,"AAMMDD")&amp;"-1")</f>
        <v/>
      </c>
    </row>
    <row r="8397" spans="20:20">
      <c r="T8397" t="str">
        <f>IF(C8397="","",UPPER(LEFT(SUBSTITUTE(C8397," ",""),3))&amp;"-"&amp;TEXT(B8397,"AAMMDD")&amp;"-1")</f>
        <v/>
      </c>
    </row>
    <row r="8398" spans="20:20">
      <c r="T8398" t="str">
        <f>IF(C8398="","",UPPER(LEFT(SUBSTITUTE(C8398," ",""),3))&amp;"-"&amp;TEXT(B8398,"AAMMDD")&amp;"-1")</f>
        <v/>
      </c>
    </row>
    <row r="8399" spans="20:20">
      <c r="T8399" t="str">
        <f>IF(C8399="","",UPPER(LEFT(SUBSTITUTE(C8399," ",""),3))&amp;"-"&amp;TEXT(B8399,"AAMMDD")&amp;"-1")</f>
        <v/>
      </c>
    </row>
    <row r="8400" spans="20:20">
      <c r="T8400" t="str">
        <f>IF(C8400="","",UPPER(LEFT(SUBSTITUTE(C8400," ",""),3))&amp;"-"&amp;TEXT(B8400,"AAMMDD")&amp;"-1")</f>
        <v/>
      </c>
    </row>
    <row r="8401" spans="20:20">
      <c r="T8401" t="str">
        <f>IF(C8401="","",UPPER(LEFT(SUBSTITUTE(C8401," ",""),3))&amp;"-"&amp;TEXT(B8401,"AAMMDD")&amp;"-1")</f>
        <v/>
      </c>
    </row>
    <row r="8402" spans="20:20">
      <c r="T8402" t="str">
        <f>IF(C8402="","",UPPER(LEFT(SUBSTITUTE(C8402," ",""),3))&amp;"-"&amp;TEXT(B8402,"AAMMDD")&amp;"-1")</f>
        <v/>
      </c>
    </row>
    <row r="8403" spans="20:20">
      <c r="T8403" t="str">
        <f>IF(C8403="","",UPPER(LEFT(SUBSTITUTE(C8403," ",""),3))&amp;"-"&amp;TEXT(B8403,"AAMMDD")&amp;"-1")</f>
        <v/>
      </c>
    </row>
    <row r="8404" spans="20:20">
      <c r="T8404" t="str">
        <f>IF(C8404="","",UPPER(LEFT(SUBSTITUTE(C8404," ",""),3))&amp;"-"&amp;TEXT(B8404,"AAMMDD")&amp;"-1")</f>
        <v/>
      </c>
    </row>
    <row r="8405" spans="20:20">
      <c r="T8405" t="str">
        <f>IF(C8405="","",UPPER(LEFT(SUBSTITUTE(C8405," ",""),3))&amp;"-"&amp;TEXT(B8405,"AAMMDD")&amp;"-1")</f>
        <v/>
      </c>
    </row>
    <row r="8406" spans="20:20">
      <c r="T8406" t="str">
        <f>IF(C8406="","",UPPER(LEFT(SUBSTITUTE(C8406," ",""),3))&amp;"-"&amp;TEXT(B8406,"AAMMDD")&amp;"-1")</f>
        <v/>
      </c>
    </row>
    <row r="8407" spans="20:20">
      <c r="T8407" t="str">
        <f>IF(C8407="","",UPPER(LEFT(SUBSTITUTE(C8407," ",""),3))&amp;"-"&amp;TEXT(B8407,"AAMMDD")&amp;"-1")</f>
        <v/>
      </c>
    </row>
    <row r="8408" spans="20:20">
      <c r="T8408" t="str">
        <f>IF(C8408="","",UPPER(LEFT(SUBSTITUTE(C8408," ",""),3))&amp;"-"&amp;TEXT(B8408,"AAMMDD")&amp;"-1")</f>
        <v/>
      </c>
    </row>
    <row r="8409" spans="20:20">
      <c r="T8409" t="str">
        <f>IF(C8409="","",UPPER(LEFT(SUBSTITUTE(C8409," ",""),3))&amp;"-"&amp;TEXT(B8409,"AAMMDD")&amp;"-1")</f>
        <v/>
      </c>
    </row>
    <row r="8410" spans="20:20">
      <c r="T8410" t="str">
        <f>IF(C8410="","",UPPER(LEFT(SUBSTITUTE(C8410," ",""),3))&amp;"-"&amp;TEXT(B8410,"AAMMDD")&amp;"-1")</f>
        <v/>
      </c>
    </row>
    <row r="8411" spans="20:20">
      <c r="T8411" t="str">
        <f>IF(C8411="","",UPPER(LEFT(SUBSTITUTE(C8411," ",""),3))&amp;"-"&amp;TEXT(B8411,"AAMMDD")&amp;"-1")</f>
        <v/>
      </c>
    </row>
    <row r="8412" spans="20:20">
      <c r="T8412" t="str">
        <f>IF(C8412="","",UPPER(LEFT(SUBSTITUTE(C8412," ",""),3))&amp;"-"&amp;TEXT(B8412,"AAMMDD")&amp;"-1")</f>
        <v/>
      </c>
    </row>
    <row r="8413" spans="20:20">
      <c r="T8413" t="str">
        <f>IF(C8413="","",UPPER(LEFT(SUBSTITUTE(C8413," ",""),3))&amp;"-"&amp;TEXT(B8413,"AAMMDD")&amp;"-1")</f>
        <v/>
      </c>
    </row>
    <row r="8414" spans="20:20">
      <c r="T8414" t="str">
        <f>IF(C8414="","",UPPER(LEFT(SUBSTITUTE(C8414," ",""),3))&amp;"-"&amp;TEXT(B8414,"AAMMDD")&amp;"-1")</f>
        <v/>
      </c>
    </row>
    <row r="8415" spans="20:20">
      <c r="T8415" t="str">
        <f>IF(C8415="","",UPPER(LEFT(SUBSTITUTE(C8415," ",""),3))&amp;"-"&amp;TEXT(B8415,"AAMMDD")&amp;"-1")</f>
        <v/>
      </c>
    </row>
    <row r="8416" spans="20:20">
      <c r="T8416" t="str">
        <f>IF(C8416="","",UPPER(LEFT(SUBSTITUTE(C8416," ",""),3))&amp;"-"&amp;TEXT(B8416,"AAMMDD")&amp;"-1")</f>
        <v/>
      </c>
    </row>
    <row r="8417" spans="20:20">
      <c r="T8417" t="str">
        <f>IF(C8417="","",UPPER(LEFT(SUBSTITUTE(C8417," ",""),3))&amp;"-"&amp;TEXT(B8417,"AAMMDD")&amp;"-1")</f>
        <v/>
      </c>
    </row>
    <row r="8418" spans="20:20">
      <c r="T8418" t="str">
        <f>IF(C8418="","",UPPER(LEFT(SUBSTITUTE(C8418," ",""),3))&amp;"-"&amp;TEXT(B8418,"AAMMDD")&amp;"-1")</f>
        <v/>
      </c>
    </row>
    <row r="8419" spans="20:20">
      <c r="T8419" t="str">
        <f>IF(C8419="","",UPPER(LEFT(SUBSTITUTE(C8419," ",""),3))&amp;"-"&amp;TEXT(B8419,"AAMMDD")&amp;"-1")</f>
        <v/>
      </c>
    </row>
    <row r="8420" spans="20:20">
      <c r="T8420" t="str">
        <f>IF(C8420="","",UPPER(LEFT(SUBSTITUTE(C8420," ",""),3))&amp;"-"&amp;TEXT(B8420,"AAMMDD")&amp;"-1")</f>
        <v/>
      </c>
    </row>
    <row r="8421" spans="20:20">
      <c r="T8421" t="str">
        <f>IF(C8421="","",UPPER(LEFT(SUBSTITUTE(C8421," ",""),3))&amp;"-"&amp;TEXT(B8421,"AAMMDD")&amp;"-1")</f>
        <v/>
      </c>
    </row>
    <row r="8422" spans="20:20">
      <c r="T8422" t="str">
        <f>IF(C8422="","",UPPER(LEFT(SUBSTITUTE(C8422," ",""),3))&amp;"-"&amp;TEXT(B8422,"AAMMDD")&amp;"-1")</f>
        <v/>
      </c>
    </row>
    <row r="8423" spans="20:20">
      <c r="T8423" t="str">
        <f>IF(C8423="","",UPPER(LEFT(SUBSTITUTE(C8423," ",""),3))&amp;"-"&amp;TEXT(B8423,"AAMMDD")&amp;"-1")</f>
        <v/>
      </c>
    </row>
    <row r="8424" spans="20:20">
      <c r="T8424" t="str">
        <f>IF(C8424="","",UPPER(LEFT(SUBSTITUTE(C8424," ",""),3))&amp;"-"&amp;TEXT(B8424,"AAMMDD")&amp;"-1")</f>
        <v/>
      </c>
    </row>
    <row r="8425" spans="20:20">
      <c r="T8425" t="str">
        <f>IF(C8425="","",UPPER(LEFT(SUBSTITUTE(C8425," ",""),3))&amp;"-"&amp;TEXT(B8425,"AAMMDD")&amp;"-1")</f>
        <v/>
      </c>
    </row>
    <row r="8426" spans="20:20">
      <c r="T8426" t="str">
        <f>IF(C8426="","",UPPER(LEFT(SUBSTITUTE(C8426," ",""),3))&amp;"-"&amp;TEXT(B8426,"AAMMDD")&amp;"-1")</f>
        <v/>
      </c>
    </row>
    <row r="8427" spans="20:20">
      <c r="T8427" t="str">
        <f>IF(C8427="","",UPPER(LEFT(SUBSTITUTE(C8427," ",""),3))&amp;"-"&amp;TEXT(B8427,"AAMMDD")&amp;"-1")</f>
        <v/>
      </c>
    </row>
    <row r="8428" spans="20:20">
      <c r="T8428" t="str">
        <f>IF(C8428="","",UPPER(LEFT(SUBSTITUTE(C8428," ",""),3))&amp;"-"&amp;TEXT(B8428,"AAMMDD")&amp;"-1")</f>
        <v/>
      </c>
    </row>
    <row r="8429" spans="20:20">
      <c r="T8429" t="str">
        <f>IF(C8429="","",UPPER(LEFT(SUBSTITUTE(C8429," ",""),3))&amp;"-"&amp;TEXT(B8429,"AAMMDD")&amp;"-1")</f>
        <v/>
      </c>
    </row>
    <row r="8430" spans="20:20">
      <c r="T8430" t="str">
        <f>IF(C8430="","",UPPER(LEFT(SUBSTITUTE(C8430," ",""),3))&amp;"-"&amp;TEXT(B8430,"AAMMDD")&amp;"-1")</f>
        <v/>
      </c>
    </row>
    <row r="8431" spans="20:20">
      <c r="T8431" t="str">
        <f>IF(C8431="","",UPPER(LEFT(SUBSTITUTE(C8431," ",""),3))&amp;"-"&amp;TEXT(B8431,"AAMMDD")&amp;"-1")</f>
        <v/>
      </c>
    </row>
    <row r="8432" spans="20:20">
      <c r="T8432" t="str">
        <f>IF(C8432="","",UPPER(LEFT(SUBSTITUTE(C8432," ",""),3))&amp;"-"&amp;TEXT(B8432,"AAMMDD")&amp;"-1")</f>
        <v/>
      </c>
    </row>
    <row r="8433" spans="20:20">
      <c r="T8433" t="str">
        <f>IF(C8433="","",UPPER(LEFT(SUBSTITUTE(C8433," ",""),3))&amp;"-"&amp;TEXT(B8433,"AAMMDD")&amp;"-1")</f>
        <v/>
      </c>
    </row>
    <row r="8434" spans="20:20">
      <c r="T8434" t="str">
        <f>IF(C8434="","",UPPER(LEFT(SUBSTITUTE(C8434," ",""),3))&amp;"-"&amp;TEXT(B8434,"AAMMDD")&amp;"-1")</f>
        <v/>
      </c>
    </row>
    <row r="8435" spans="20:20">
      <c r="T8435" t="str">
        <f>IF(C8435="","",UPPER(LEFT(SUBSTITUTE(C8435," ",""),3))&amp;"-"&amp;TEXT(B8435,"AAMMDD")&amp;"-1")</f>
        <v/>
      </c>
    </row>
    <row r="8436" spans="20:20">
      <c r="T8436" t="str">
        <f>IF(C8436="","",UPPER(LEFT(SUBSTITUTE(C8436," ",""),3))&amp;"-"&amp;TEXT(B8436,"AAMMDD")&amp;"-1")</f>
        <v/>
      </c>
    </row>
    <row r="8437" spans="20:20">
      <c r="T8437" t="str">
        <f>IF(C8437="","",UPPER(LEFT(SUBSTITUTE(C8437," ",""),3))&amp;"-"&amp;TEXT(B8437,"AAMMDD")&amp;"-1")</f>
        <v/>
      </c>
    </row>
    <row r="8438" spans="20:20">
      <c r="T8438" t="str">
        <f>IF(C8438="","",UPPER(LEFT(SUBSTITUTE(C8438," ",""),3))&amp;"-"&amp;TEXT(B8438,"AAMMDD")&amp;"-1")</f>
        <v/>
      </c>
    </row>
    <row r="8439" spans="20:20">
      <c r="T8439" t="str">
        <f>IF(C8439="","",UPPER(LEFT(SUBSTITUTE(C8439," ",""),3))&amp;"-"&amp;TEXT(B8439,"AAMMDD")&amp;"-1")</f>
        <v/>
      </c>
    </row>
    <row r="8440" spans="20:20">
      <c r="T8440" t="str">
        <f>IF(C8440="","",UPPER(LEFT(SUBSTITUTE(C8440," ",""),3))&amp;"-"&amp;TEXT(B8440,"AAMMDD")&amp;"-1")</f>
        <v/>
      </c>
    </row>
    <row r="8441" spans="20:20">
      <c r="T8441" t="str">
        <f>IF(C8441="","",UPPER(LEFT(SUBSTITUTE(C8441," ",""),3))&amp;"-"&amp;TEXT(B8441,"AAMMDD")&amp;"-1")</f>
        <v/>
      </c>
    </row>
    <row r="8442" spans="20:20">
      <c r="T8442" t="str">
        <f>IF(C8442="","",UPPER(LEFT(SUBSTITUTE(C8442," ",""),3))&amp;"-"&amp;TEXT(B8442,"AAMMDD")&amp;"-1")</f>
        <v/>
      </c>
    </row>
    <row r="8443" spans="20:20">
      <c r="T8443" t="str">
        <f>IF(C8443="","",UPPER(LEFT(SUBSTITUTE(C8443," ",""),3))&amp;"-"&amp;TEXT(B8443,"AAMMDD")&amp;"-1")</f>
        <v/>
      </c>
    </row>
    <row r="8444" spans="20:20">
      <c r="T8444" t="str">
        <f>IF(C8444="","",UPPER(LEFT(SUBSTITUTE(C8444," ",""),3))&amp;"-"&amp;TEXT(B8444,"AAMMDD")&amp;"-1")</f>
        <v/>
      </c>
    </row>
    <row r="8445" spans="20:20">
      <c r="T8445" t="str">
        <f>IF(C8445="","",UPPER(LEFT(SUBSTITUTE(C8445," ",""),3))&amp;"-"&amp;TEXT(B8445,"AAMMDD")&amp;"-1")</f>
        <v/>
      </c>
    </row>
    <row r="8446" spans="20:20">
      <c r="T8446" t="str">
        <f>IF(C8446="","",UPPER(LEFT(SUBSTITUTE(C8446," ",""),3))&amp;"-"&amp;TEXT(B8446,"AAMMDD")&amp;"-1")</f>
        <v/>
      </c>
    </row>
    <row r="8447" spans="20:20">
      <c r="T8447" t="str">
        <f>IF(C8447="","",UPPER(LEFT(SUBSTITUTE(C8447," ",""),3))&amp;"-"&amp;TEXT(B8447,"AAMMDD")&amp;"-1")</f>
        <v/>
      </c>
    </row>
    <row r="8448" spans="20:20">
      <c r="T8448" t="str">
        <f>IF(C8448="","",UPPER(LEFT(SUBSTITUTE(C8448," ",""),3))&amp;"-"&amp;TEXT(B8448,"AAMMDD")&amp;"-1")</f>
        <v/>
      </c>
    </row>
    <row r="8449" spans="20:20">
      <c r="T8449" t="str">
        <f>IF(C8449="","",UPPER(LEFT(SUBSTITUTE(C8449," ",""),3))&amp;"-"&amp;TEXT(B8449,"AAMMDD")&amp;"-1")</f>
        <v/>
      </c>
    </row>
    <row r="8450" spans="20:20">
      <c r="T8450" t="str">
        <f>IF(C8450="","",UPPER(LEFT(SUBSTITUTE(C8450," ",""),3))&amp;"-"&amp;TEXT(B8450,"AAMMDD")&amp;"-1")</f>
        <v/>
      </c>
    </row>
    <row r="8451" spans="20:20">
      <c r="T8451" t="str">
        <f>IF(C8451="","",UPPER(LEFT(SUBSTITUTE(C8451," ",""),3))&amp;"-"&amp;TEXT(B8451,"AAMMDD")&amp;"-1")</f>
        <v/>
      </c>
    </row>
    <row r="8452" spans="20:20">
      <c r="T8452" t="str">
        <f>IF(C8452="","",UPPER(LEFT(SUBSTITUTE(C8452," ",""),3))&amp;"-"&amp;TEXT(B8452,"AAMMDD")&amp;"-1")</f>
        <v/>
      </c>
    </row>
    <row r="8453" spans="20:20">
      <c r="T8453" t="str">
        <f>IF(C8453="","",UPPER(LEFT(SUBSTITUTE(C8453," ",""),3))&amp;"-"&amp;TEXT(B8453,"AAMMDD")&amp;"-1")</f>
        <v/>
      </c>
    </row>
    <row r="8454" spans="20:20">
      <c r="T8454" t="str">
        <f>IF(C8454="","",UPPER(LEFT(SUBSTITUTE(C8454," ",""),3))&amp;"-"&amp;TEXT(B8454,"AAMMDD")&amp;"-1")</f>
        <v/>
      </c>
    </row>
    <row r="8455" spans="20:20">
      <c r="T8455" t="str">
        <f>IF(C8455="","",UPPER(LEFT(SUBSTITUTE(C8455," ",""),3))&amp;"-"&amp;TEXT(B8455,"AAMMDD")&amp;"-1")</f>
        <v/>
      </c>
    </row>
    <row r="8456" spans="20:20">
      <c r="T8456" t="str">
        <f>IF(C8456="","",UPPER(LEFT(SUBSTITUTE(C8456," ",""),3))&amp;"-"&amp;TEXT(B8456,"AAMMDD")&amp;"-1")</f>
        <v/>
      </c>
    </row>
    <row r="8457" spans="20:20">
      <c r="T8457" t="str">
        <f>IF(C8457="","",UPPER(LEFT(SUBSTITUTE(C8457," ",""),3))&amp;"-"&amp;TEXT(B8457,"AAMMDD")&amp;"-1")</f>
        <v/>
      </c>
    </row>
    <row r="8458" spans="20:20">
      <c r="T8458" t="str">
        <f>IF(C8458="","",UPPER(LEFT(SUBSTITUTE(C8458," ",""),3))&amp;"-"&amp;TEXT(B8458,"AAMMDD")&amp;"-1")</f>
        <v/>
      </c>
    </row>
    <row r="8459" spans="20:20">
      <c r="T8459" t="str">
        <f>IF(C8459="","",UPPER(LEFT(SUBSTITUTE(C8459," ",""),3))&amp;"-"&amp;TEXT(B8459,"AAMMDD")&amp;"-1")</f>
        <v/>
      </c>
    </row>
    <row r="8460" spans="20:20">
      <c r="T8460" t="str">
        <f>IF(C8460="","",UPPER(LEFT(SUBSTITUTE(C8460," ",""),3))&amp;"-"&amp;TEXT(B8460,"AAMMDD")&amp;"-1")</f>
        <v/>
      </c>
    </row>
    <row r="8461" spans="20:20">
      <c r="T8461" t="str">
        <f>IF(C8461="","",UPPER(LEFT(SUBSTITUTE(C8461," ",""),3))&amp;"-"&amp;TEXT(B8461,"AAMMDD")&amp;"-1")</f>
        <v/>
      </c>
    </row>
    <row r="8462" spans="20:20">
      <c r="T8462" t="str">
        <f>IF(C8462="","",UPPER(LEFT(SUBSTITUTE(C8462," ",""),3))&amp;"-"&amp;TEXT(B8462,"AAMMDD")&amp;"-1")</f>
        <v/>
      </c>
    </row>
    <row r="8463" spans="20:20">
      <c r="T8463" t="str">
        <f>IF(C8463="","",UPPER(LEFT(SUBSTITUTE(C8463," ",""),3))&amp;"-"&amp;TEXT(B8463,"AAMMDD")&amp;"-1")</f>
        <v/>
      </c>
    </row>
    <row r="8464" spans="20:20">
      <c r="T8464" t="str">
        <f>IF(C8464="","",UPPER(LEFT(SUBSTITUTE(C8464," ",""),3))&amp;"-"&amp;TEXT(B8464,"AAMMDD")&amp;"-1")</f>
        <v/>
      </c>
    </row>
    <row r="8465" spans="20:20">
      <c r="T8465" t="str">
        <f>IF(C8465="","",UPPER(LEFT(SUBSTITUTE(C8465," ",""),3))&amp;"-"&amp;TEXT(B8465,"AAMMDD")&amp;"-1")</f>
        <v/>
      </c>
    </row>
    <row r="8466" spans="20:20">
      <c r="T8466" t="str">
        <f>IF(C8466="","",UPPER(LEFT(SUBSTITUTE(C8466," ",""),3))&amp;"-"&amp;TEXT(B8466,"AAMMDD")&amp;"-1")</f>
        <v/>
      </c>
    </row>
    <row r="8467" spans="20:20">
      <c r="T8467" t="str">
        <f>IF(C8467="","",UPPER(LEFT(SUBSTITUTE(C8467," ",""),3))&amp;"-"&amp;TEXT(B8467,"AAMMDD")&amp;"-1")</f>
        <v/>
      </c>
    </row>
    <row r="8468" spans="20:20">
      <c r="T8468" t="str">
        <f>IF(C8468="","",UPPER(LEFT(SUBSTITUTE(C8468," ",""),3))&amp;"-"&amp;TEXT(B8468,"AAMMDD")&amp;"-1")</f>
        <v/>
      </c>
    </row>
    <row r="8469" spans="20:20">
      <c r="T8469" t="str">
        <f>IF(C8469="","",UPPER(LEFT(SUBSTITUTE(C8469," ",""),3))&amp;"-"&amp;TEXT(B8469,"AAMMDD")&amp;"-1")</f>
        <v/>
      </c>
    </row>
    <row r="8470" spans="20:20">
      <c r="T8470" t="str">
        <f>IF(C8470="","",UPPER(LEFT(SUBSTITUTE(C8470," ",""),3))&amp;"-"&amp;TEXT(B8470,"AAMMDD")&amp;"-1")</f>
        <v/>
      </c>
    </row>
    <row r="8471" spans="20:20">
      <c r="T8471" t="str">
        <f>IF(C8471="","",UPPER(LEFT(SUBSTITUTE(C8471," ",""),3))&amp;"-"&amp;TEXT(B8471,"AAMMDD")&amp;"-1")</f>
        <v/>
      </c>
    </row>
    <row r="8472" spans="20:20">
      <c r="T8472" t="str">
        <f>IF(C8472="","",UPPER(LEFT(SUBSTITUTE(C8472," ",""),3))&amp;"-"&amp;TEXT(B8472,"AAMMDD")&amp;"-1")</f>
        <v/>
      </c>
    </row>
    <row r="8473" spans="20:20">
      <c r="T8473" t="str">
        <f>IF(C8473="","",UPPER(LEFT(SUBSTITUTE(C8473," ",""),3))&amp;"-"&amp;TEXT(B8473,"AAMMDD")&amp;"-1")</f>
        <v/>
      </c>
    </row>
    <row r="8474" spans="20:20">
      <c r="T8474" t="str">
        <f>IF(C8474="","",UPPER(LEFT(SUBSTITUTE(C8474," ",""),3))&amp;"-"&amp;TEXT(B8474,"AAMMDD")&amp;"-1")</f>
        <v/>
      </c>
    </row>
    <row r="8475" spans="20:20">
      <c r="T8475" t="str">
        <f>IF(C8475="","",UPPER(LEFT(SUBSTITUTE(C8475," ",""),3))&amp;"-"&amp;TEXT(B8475,"AAMMDD")&amp;"-1")</f>
        <v/>
      </c>
    </row>
    <row r="8476" spans="20:20">
      <c r="T8476" t="str">
        <f>IF(C8476="","",UPPER(LEFT(SUBSTITUTE(C8476," ",""),3))&amp;"-"&amp;TEXT(B8476,"AAMMDD")&amp;"-1")</f>
        <v/>
      </c>
    </row>
    <row r="8477" spans="20:20">
      <c r="T8477" t="str">
        <f>IF(C8477="","",UPPER(LEFT(SUBSTITUTE(C8477," ",""),3))&amp;"-"&amp;TEXT(B8477,"AAMMDD")&amp;"-1")</f>
        <v/>
      </c>
    </row>
    <row r="8478" spans="20:20">
      <c r="T8478" t="str">
        <f>IF(C8478="","",UPPER(LEFT(SUBSTITUTE(C8478," ",""),3))&amp;"-"&amp;TEXT(B8478,"AAMMDD")&amp;"-1")</f>
        <v/>
      </c>
    </row>
    <row r="8479" spans="20:20">
      <c r="T8479" t="str">
        <f>IF(C8479="","",UPPER(LEFT(SUBSTITUTE(C8479," ",""),3))&amp;"-"&amp;TEXT(B8479,"AAMMDD")&amp;"-1")</f>
        <v/>
      </c>
    </row>
    <row r="8480" spans="20:20">
      <c r="T8480" t="str">
        <f>IF(C8480="","",UPPER(LEFT(SUBSTITUTE(C8480," ",""),3))&amp;"-"&amp;TEXT(B8480,"AAMMDD")&amp;"-1")</f>
        <v/>
      </c>
    </row>
    <row r="8481" spans="20:20">
      <c r="T8481" t="str">
        <f>IF(C8481="","",UPPER(LEFT(SUBSTITUTE(C8481," ",""),3))&amp;"-"&amp;TEXT(B8481,"AAMMDD")&amp;"-1")</f>
        <v/>
      </c>
    </row>
    <row r="8482" spans="20:20">
      <c r="T8482" t="str">
        <f>IF(C8482="","",UPPER(LEFT(SUBSTITUTE(C8482," ",""),3))&amp;"-"&amp;TEXT(B8482,"AAMMDD")&amp;"-1")</f>
        <v/>
      </c>
    </row>
    <row r="8483" spans="20:20">
      <c r="T8483" t="str">
        <f>IF(C8483="","",UPPER(LEFT(SUBSTITUTE(C8483," ",""),3))&amp;"-"&amp;TEXT(B8483,"AAMMDD")&amp;"-1")</f>
        <v/>
      </c>
    </row>
    <row r="8484" spans="20:20">
      <c r="T8484" t="str">
        <f>IF(C8484="","",UPPER(LEFT(SUBSTITUTE(C8484," ",""),3))&amp;"-"&amp;TEXT(B8484,"AAMMDD")&amp;"-1")</f>
        <v/>
      </c>
    </row>
    <row r="8485" spans="20:20">
      <c r="T8485" t="str">
        <f>IF(C8485="","",UPPER(LEFT(SUBSTITUTE(C8485," ",""),3))&amp;"-"&amp;TEXT(B8485,"AAMMDD")&amp;"-1")</f>
        <v/>
      </c>
    </row>
    <row r="8486" spans="20:20">
      <c r="T8486" t="str">
        <f>IF(C8486="","",UPPER(LEFT(SUBSTITUTE(C8486," ",""),3))&amp;"-"&amp;TEXT(B8486,"AAMMDD")&amp;"-1")</f>
        <v/>
      </c>
    </row>
    <row r="8487" spans="20:20">
      <c r="T8487" t="str">
        <f>IF(C8487="","",UPPER(LEFT(SUBSTITUTE(C8487," ",""),3))&amp;"-"&amp;TEXT(B8487,"AAMMDD")&amp;"-1")</f>
        <v/>
      </c>
    </row>
    <row r="8488" spans="20:20">
      <c r="T8488" t="str">
        <f>IF(C8488="","",UPPER(LEFT(SUBSTITUTE(C8488," ",""),3))&amp;"-"&amp;TEXT(B8488,"AAMMDD")&amp;"-1")</f>
        <v/>
      </c>
    </row>
    <row r="8489" spans="20:20">
      <c r="T8489" t="str">
        <f>IF(C8489="","",UPPER(LEFT(SUBSTITUTE(C8489," ",""),3))&amp;"-"&amp;TEXT(B8489,"AAMMDD")&amp;"-1")</f>
        <v/>
      </c>
    </row>
    <row r="8490" spans="20:20">
      <c r="T8490" t="str">
        <f>IF(C8490="","",UPPER(LEFT(SUBSTITUTE(C8490," ",""),3))&amp;"-"&amp;TEXT(B8490,"AAMMDD")&amp;"-1")</f>
        <v/>
      </c>
    </row>
    <row r="8491" spans="20:20">
      <c r="T8491" t="str">
        <f>IF(C8491="","",UPPER(LEFT(SUBSTITUTE(C8491," ",""),3))&amp;"-"&amp;TEXT(B8491,"AAMMDD")&amp;"-1")</f>
        <v/>
      </c>
    </row>
    <row r="8492" spans="20:20">
      <c r="T8492" t="str">
        <f>IF(C8492="","",UPPER(LEFT(SUBSTITUTE(C8492," ",""),3))&amp;"-"&amp;TEXT(B8492,"AAMMDD")&amp;"-1")</f>
        <v/>
      </c>
    </row>
    <row r="8493" spans="20:20">
      <c r="T8493" t="str">
        <f>IF(C8493="","",UPPER(LEFT(SUBSTITUTE(C8493," ",""),3))&amp;"-"&amp;TEXT(B8493,"AAMMDD")&amp;"-1")</f>
        <v/>
      </c>
    </row>
    <row r="8494" spans="20:20">
      <c r="T8494" t="str">
        <f>IF(C8494="","",UPPER(LEFT(SUBSTITUTE(C8494," ",""),3))&amp;"-"&amp;TEXT(B8494,"AAMMDD")&amp;"-1")</f>
        <v/>
      </c>
    </row>
    <row r="8495" spans="20:20">
      <c r="T8495" t="str">
        <f>IF(C8495="","",UPPER(LEFT(SUBSTITUTE(C8495," ",""),3))&amp;"-"&amp;TEXT(B8495,"AAMMDD")&amp;"-1")</f>
        <v/>
      </c>
    </row>
    <row r="8496" spans="20:20">
      <c r="T8496" t="str">
        <f>IF(C8496="","",UPPER(LEFT(SUBSTITUTE(C8496," ",""),3))&amp;"-"&amp;TEXT(B8496,"AAMMDD")&amp;"-1")</f>
        <v/>
      </c>
    </row>
    <row r="8497" spans="20:20">
      <c r="T8497" t="str">
        <f>IF(C8497="","",UPPER(LEFT(SUBSTITUTE(C8497," ",""),3))&amp;"-"&amp;TEXT(B8497,"AAMMDD")&amp;"-1")</f>
        <v/>
      </c>
    </row>
    <row r="8498" spans="20:20">
      <c r="T8498" t="str">
        <f>IF(C8498="","",UPPER(LEFT(SUBSTITUTE(C8498," ",""),3))&amp;"-"&amp;TEXT(B8498,"AAMMDD")&amp;"-1")</f>
        <v/>
      </c>
    </row>
    <row r="8499" spans="20:20">
      <c r="T8499" t="str">
        <f>IF(C8499="","",UPPER(LEFT(SUBSTITUTE(C8499," ",""),3))&amp;"-"&amp;TEXT(B8499,"AAMMDD")&amp;"-1")</f>
        <v/>
      </c>
    </row>
    <row r="8500" spans="20:20">
      <c r="T8500" t="str">
        <f>IF(C8500="","",UPPER(LEFT(SUBSTITUTE(C8500," ",""),3))&amp;"-"&amp;TEXT(B8500,"AAMMDD")&amp;"-1")</f>
        <v/>
      </c>
    </row>
    <row r="8501" spans="20:20">
      <c r="T8501" t="str">
        <f>IF(C8501="","",UPPER(LEFT(SUBSTITUTE(C8501," ",""),3))&amp;"-"&amp;TEXT(B8501,"AAMMDD")&amp;"-1")</f>
        <v/>
      </c>
    </row>
    <row r="8502" spans="20:20">
      <c r="T8502" t="str">
        <f>IF(C8502="","",UPPER(LEFT(SUBSTITUTE(C8502," ",""),3))&amp;"-"&amp;TEXT(B8502,"AAMMDD")&amp;"-1")</f>
        <v/>
      </c>
    </row>
    <row r="8503" spans="20:20">
      <c r="T8503" t="str">
        <f>IF(C8503="","",UPPER(LEFT(SUBSTITUTE(C8503," ",""),3))&amp;"-"&amp;TEXT(B8503,"AAMMDD")&amp;"-1")</f>
        <v/>
      </c>
    </row>
    <row r="8504" spans="20:20">
      <c r="T8504" t="str">
        <f>IF(C8504="","",UPPER(LEFT(SUBSTITUTE(C8504," ",""),3))&amp;"-"&amp;TEXT(B8504,"AAMMDD")&amp;"-1")</f>
        <v/>
      </c>
    </row>
    <row r="8505" spans="20:20">
      <c r="T8505" t="str">
        <f>IF(C8505="","",UPPER(LEFT(SUBSTITUTE(C8505," ",""),3))&amp;"-"&amp;TEXT(B8505,"AAMMDD")&amp;"-1")</f>
        <v/>
      </c>
    </row>
    <row r="8506" spans="20:20">
      <c r="T8506" t="str">
        <f>IF(C8506="","",UPPER(LEFT(SUBSTITUTE(C8506," ",""),3))&amp;"-"&amp;TEXT(B8506,"AAMMDD")&amp;"-1")</f>
        <v/>
      </c>
    </row>
    <row r="8507" spans="20:20">
      <c r="T8507" t="str">
        <f>IF(C8507="","",UPPER(LEFT(SUBSTITUTE(C8507," ",""),3))&amp;"-"&amp;TEXT(B8507,"AAMMDD")&amp;"-1")</f>
        <v/>
      </c>
    </row>
    <row r="8508" spans="20:20">
      <c r="T8508" t="str">
        <f>IF(C8508="","",UPPER(LEFT(SUBSTITUTE(C8508," ",""),3))&amp;"-"&amp;TEXT(B8508,"AAMMDD")&amp;"-1")</f>
        <v/>
      </c>
    </row>
    <row r="8509" spans="20:20">
      <c r="T8509" t="str">
        <f>IF(C8509="","",UPPER(LEFT(SUBSTITUTE(C8509," ",""),3))&amp;"-"&amp;TEXT(B8509,"AAMMDD")&amp;"-1")</f>
        <v/>
      </c>
    </row>
    <row r="8510" spans="20:20">
      <c r="T8510" t="str">
        <f>IF(C8510="","",UPPER(LEFT(SUBSTITUTE(C8510," ",""),3))&amp;"-"&amp;TEXT(B8510,"AAMMDD")&amp;"-1")</f>
        <v/>
      </c>
    </row>
    <row r="8511" spans="20:20">
      <c r="T8511" t="str">
        <f>IF(C8511="","",UPPER(LEFT(SUBSTITUTE(C8511," ",""),3))&amp;"-"&amp;TEXT(B8511,"AAMMDD")&amp;"-1")</f>
        <v/>
      </c>
    </row>
    <row r="8512" spans="20:20">
      <c r="T8512" t="str">
        <f>IF(C8512="","",UPPER(LEFT(SUBSTITUTE(C8512," ",""),3))&amp;"-"&amp;TEXT(B8512,"AAMMDD")&amp;"-1")</f>
        <v/>
      </c>
    </row>
    <row r="8513" spans="20:20">
      <c r="T8513" t="str">
        <f>IF(C8513="","",UPPER(LEFT(SUBSTITUTE(C8513," ",""),3))&amp;"-"&amp;TEXT(B8513,"AAMMDD")&amp;"-1")</f>
        <v/>
      </c>
    </row>
    <row r="8514" spans="20:20">
      <c r="T8514" t="str">
        <f>IF(C8514="","",UPPER(LEFT(SUBSTITUTE(C8514," ",""),3))&amp;"-"&amp;TEXT(B8514,"AAMMDD")&amp;"-1")</f>
        <v/>
      </c>
    </row>
    <row r="8515" spans="20:20">
      <c r="T8515" t="str">
        <f>IF(C8515="","",UPPER(LEFT(SUBSTITUTE(C8515," ",""),3))&amp;"-"&amp;TEXT(B8515,"AAMMDD")&amp;"-1")</f>
        <v/>
      </c>
    </row>
    <row r="8516" spans="20:20">
      <c r="T8516" t="str">
        <f>IF(C8516="","",UPPER(LEFT(SUBSTITUTE(C8516," ",""),3))&amp;"-"&amp;TEXT(B8516,"AAMMDD")&amp;"-1")</f>
        <v/>
      </c>
    </row>
    <row r="8517" spans="20:20">
      <c r="T8517" t="str">
        <f>IF(C8517="","",UPPER(LEFT(SUBSTITUTE(C8517," ",""),3))&amp;"-"&amp;TEXT(B8517,"AAMMDD")&amp;"-1")</f>
        <v/>
      </c>
    </row>
    <row r="8518" spans="20:20">
      <c r="T8518" t="str">
        <f>IF(C8518="","",UPPER(LEFT(SUBSTITUTE(C8518," ",""),3))&amp;"-"&amp;TEXT(B8518,"AAMMDD")&amp;"-1")</f>
        <v/>
      </c>
    </row>
    <row r="8519" spans="20:20">
      <c r="T8519" t="str">
        <f>IF(C8519="","",UPPER(LEFT(SUBSTITUTE(C8519," ",""),3))&amp;"-"&amp;TEXT(B8519,"AAMMDD")&amp;"-1")</f>
        <v/>
      </c>
    </row>
    <row r="8520" spans="20:20">
      <c r="T8520" t="str">
        <f>IF(C8520="","",UPPER(LEFT(SUBSTITUTE(C8520," ",""),3))&amp;"-"&amp;TEXT(B8520,"AAMMDD")&amp;"-1")</f>
        <v/>
      </c>
    </row>
    <row r="8521" spans="20:20">
      <c r="T8521" t="str">
        <f>IF(C8521="","",UPPER(LEFT(SUBSTITUTE(C8521," ",""),3))&amp;"-"&amp;TEXT(B8521,"AAMMDD")&amp;"-1")</f>
        <v/>
      </c>
    </row>
    <row r="8522" spans="20:20">
      <c r="T8522" t="str">
        <f>IF(C8522="","",UPPER(LEFT(SUBSTITUTE(C8522," ",""),3))&amp;"-"&amp;TEXT(B8522,"AAMMDD")&amp;"-1")</f>
        <v/>
      </c>
    </row>
    <row r="8523" spans="20:20">
      <c r="T8523" t="str">
        <f>IF(C8523="","",UPPER(LEFT(SUBSTITUTE(C8523," ",""),3))&amp;"-"&amp;TEXT(B8523,"AAMMDD")&amp;"-1")</f>
        <v/>
      </c>
    </row>
    <row r="8524" spans="20:20">
      <c r="T8524" t="str">
        <f>IF(C8524="","",UPPER(LEFT(SUBSTITUTE(C8524," ",""),3))&amp;"-"&amp;TEXT(B8524,"AAMMDD")&amp;"-1")</f>
        <v/>
      </c>
    </row>
    <row r="8525" spans="20:20">
      <c r="T8525" t="str">
        <f>IF(C8525="","",UPPER(LEFT(SUBSTITUTE(C8525," ",""),3))&amp;"-"&amp;TEXT(B8525,"AAMMDD")&amp;"-1")</f>
        <v/>
      </c>
    </row>
    <row r="8526" spans="20:20">
      <c r="T8526" t="str">
        <f>IF(C8526="","",UPPER(LEFT(SUBSTITUTE(C8526," ",""),3))&amp;"-"&amp;TEXT(B8526,"AAMMDD")&amp;"-1")</f>
        <v/>
      </c>
    </row>
    <row r="8527" spans="20:20">
      <c r="T8527" t="str">
        <f>IF(C8527="","",UPPER(LEFT(SUBSTITUTE(C8527," ",""),3))&amp;"-"&amp;TEXT(B8527,"AAMMDD")&amp;"-1")</f>
        <v/>
      </c>
    </row>
    <row r="8528" spans="20:20">
      <c r="T8528" t="str">
        <f>IF(C8528="","",UPPER(LEFT(SUBSTITUTE(C8528," ",""),3))&amp;"-"&amp;TEXT(B8528,"AAMMDD")&amp;"-1")</f>
        <v/>
      </c>
    </row>
    <row r="8529" spans="20:20">
      <c r="T8529" t="str">
        <f>IF(C8529="","",UPPER(LEFT(SUBSTITUTE(C8529," ",""),3))&amp;"-"&amp;TEXT(B8529,"AAMMDD")&amp;"-1")</f>
        <v/>
      </c>
    </row>
    <row r="8530" spans="20:20">
      <c r="T8530" t="str">
        <f>IF(C8530="","",UPPER(LEFT(SUBSTITUTE(C8530," ",""),3))&amp;"-"&amp;TEXT(B8530,"AAMMDD")&amp;"-1")</f>
        <v/>
      </c>
    </row>
    <row r="8531" spans="20:20">
      <c r="T8531" t="str">
        <f>IF(C8531="","",UPPER(LEFT(SUBSTITUTE(C8531," ",""),3))&amp;"-"&amp;TEXT(B8531,"AAMMDD")&amp;"-1")</f>
        <v/>
      </c>
    </row>
    <row r="8532" spans="20:20">
      <c r="T8532" t="str">
        <f>IF(C8532="","",UPPER(LEFT(SUBSTITUTE(C8532," ",""),3))&amp;"-"&amp;TEXT(B8532,"AAMMDD")&amp;"-1")</f>
        <v/>
      </c>
    </row>
    <row r="8533" spans="20:20">
      <c r="T8533" t="str">
        <f>IF(C8533="","",UPPER(LEFT(SUBSTITUTE(C8533," ",""),3))&amp;"-"&amp;TEXT(B8533,"AAMMDD")&amp;"-1")</f>
        <v/>
      </c>
    </row>
    <row r="8534" spans="20:20">
      <c r="T8534" t="str">
        <f>IF(C8534="","",UPPER(LEFT(SUBSTITUTE(C8534," ",""),3))&amp;"-"&amp;TEXT(B8534,"AAMMDD")&amp;"-1")</f>
        <v/>
      </c>
    </row>
    <row r="8535" spans="20:20">
      <c r="T8535" t="str">
        <f>IF(C8535="","",UPPER(LEFT(SUBSTITUTE(C8535," ",""),3))&amp;"-"&amp;TEXT(B8535,"AAMMDD")&amp;"-1")</f>
        <v/>
      </c>
    </row>
    <row r="8536" spans="20:20">
      <c r="T8536" t="str">
        <f>IF(C8536="","",UPPER(LEFT(SUBSTITUTE(C8536," ",""),3))&amp;"-"&amp;TEXT(B8536,"AAMMDD")&amp;"-1")</f>
        <v/>
      </c>
    </row>
    <row r="8537" spans="20:20">
      <c r="T8537" t="str">
        <f>IF(C8537="","",UPPER(LEFT(SUBSTITUTE(C8537," ",""),3))&amp;"-"&amp;TEXT(B8537,"AAMMDD")&amp;"-1")</f>
        <v/>
      </c>
    </row>
    <row r="8538" spans="20:20">
      <c r="T8538" t="str">
        <f>IF(C8538="","",UPPER(LEFT(SUBSTITUTE(C8538," ",""),3))&amp;"-"&amp;TEXT(B8538,"AAMMDD")&amp;"-1")</f>
        <v/>
      </c>
    </row>
    <row r="8539" spans="20:20">
      <c r="T8539" t="str">
        <f>IF(C8539="","",UPPER(LEFT(SUBSTITUTE(C8539," ",""),3))&amp;"-"&amp;TEXT(B8539,"AAMMDD")&amp;"-1")</f>
        <v/>
      </c>
    </row>
    <row r="8540" spans="20:20">
      <c r="T8540" t="str">
        <f>IF(C8540="","",UPPER(LEFT(SUBSTITUTE(C8540," ",""),3))&amp;"-"&amp;TEXT(B8540,"AAMMDD")&amp;"-1")</f>
        <v/>
      </c>
    </row>
    <row r="8541" spans="20:20">
      <c r="T8541" t="str">
        <f>IF(C8541="","",UPPER(LEFT(SUBSTITUTE(C8541," ",""),3))&amp;"-"&amp;TEXT(B8541,"AAMMDD")&amp;"-1")</f>
        <v/>
      </c>
    </row>
    <row r="8542" spans="20:20">
      <c r="T8542" t="str">
        <f>IF(C8542="","",UPPER(LEFT(SUBSTITUTE(C8542," ",""),3))&amp;"-"&amp;TEXT(B8542,"AAMMDD")&amp;"-1")</f>
        <v/>
      </c>
    </row>
    <row r="8543" spans="20:20">
      <c r="T8543" t="str">
        <f>IF(C8543="","",UPPER(LEFT(SUBSTITUTE(C8543," ",""),3))&amp;"-"&amp;TEXT(B8543,"AAMMDD")&amp;"-1")</f>
        <v/>
      </c>
    </row>
    <row r="8544" spans="20:20">
      <c r="T8544" t="str">
        <f>IF(C8544="","",UPPER(LEFT(SUBSTITUTE(C8544," ",""),3))&amp;"-"&amp;TEXT(B8544,"AAMMDD")&amp;"-1")</f>
        <v/>
      </c>
    </row>
    <row r="8545" spans="20:20">
      <c r="T8545" t="str">
        <f>IF(C8545="","",UPPER(LEFT(SUBSTITUTE(C8545," ",""),3))&amp;"-"&amp;TEXT(B8545,"AAMMDD")&amp;"-1")</f>
        <v/>
      </c>
    </row>
    <row r="8546" spans="20:20">
      <c r="T8546" t="str">
        <f>IF(C8546="","",UPPER(LEFT(SUBSTITUTE(C8546," ",""),3))&amp;"-"&amp;TEXT(B8546,"AAMMDD")&amp;"-1")</f>
        <v/>
      </c>
    </row>
    <row r="8547" spans="20:20">
      <c r="T8547" t="str">
        <f>IF(C8547="","",UPPER(LEFT(SUBSTITUTE(C8547," ",""),3))&amp;"-"&amp;TEXT(B8547,"AAMMDD")&amp;"-1")</f>
        <v/>
      </c>
    </row>
    <row r="8548" spans="20:20">
      <c r="T8548" t="str">
        <f>IF(C8548="","",UPPER(LEFT(SUBSTITUTE(C8548," ",""),3))&amp;"-"&amp;TEXT(B8548,"AAMMDD")&amp;"-1")</f>
        <v/>
      </c>
    </row>
    <row r="8549" spans="20:20">
      <c r="T8549" t="str">
        <f>IF(C8549="","",UPPER(LEFT(SUBSTITUTE(C8549," ",""),3))&amp;"-"&amp;TEXT(B8549,"AAMMDD")&amp;"-1")</f>
        <v/>
      </c>
    </row>
    <row r="8550" spans="20:20">
      <c r="T8550" t="str">
        <f>IF(C8550="","",UPPER(LEFT(SUBSTITUTE(C8550," ",""),3))&amp;"-"&amp;TEXT(B8550,"AAMMDD")&amp;"-1")</f>
        <v/>
      </c>
    </row>
    <row r="8551" spans="20:20">
      <c r="T8551" t="str">
        <f>IF(C8551="","",UPPER(LEFT(SUBSTITUTE(C8551," ",""),3))&amp;"-"&amp;TEXT(B8551,"AAMMDD")&amp;"-1")</f>
        <v/>
      </c>
    </row>
    <row r="8552" spans="20:20">
      <c r="T8552" t="str">
        <f>IF(C8552="","",UPPER(LEFT(SUBSTITUTE(C8552," ",""),3))&amp;"-"&amp;TEXT(B8552,"AAMMDD")&amp;"-1")</f>
        <v/>
      </c>
    </row>
    <row r="8553" spans="20:20">
      <c r="T8553" t="str">
        <f>IF(C8553="","",UPPER(LEFT(SUBSTITUTE(C8553," ",""),3))&amp;"-"&amp;TEXT(B8553,"AAMMDD")&amp;"-1")</f>
        <v/>
      </c>
    </row>
    <row r="8554" spans="20:20">
      <c r="T8554" t="str">
        <f>IF(C8554="","",UPPER(LEFT(SUBSTITUTE(C8554," ",""),3))&amp;"-"&amp;TEXT(B8554,"AAMMDD")&amp;"-1")</f>
        <v/>
      </c>
    </row>
    <row r="8555" spans="20:20">
      <c r="T8555" t="str">
        <f>IF(C8555="","",UPPER(LEFT(SUBSTITUTE(C8555," ",""),3))&amp;"-"&amp;TEXT(B8555,"AAMMDD")&amp;"-1")</f>
        <v/>
      </c>
    </row>
    <row r="8556" spans="20:20">
      <c r="T8556" t="str">
        <f>IF(C8556="","",UPPER(LEFT(SUBSTITUTE(C8556," ",""),3))&amp;"-"&amp;TEXT(B8556,"AAMMDD")&amp;"-1")</f>
        <v/>
      </c>
    </row>
    <row r="8557" spans="20:20">
      <c r="T8557" t="str">
        <f>IF(C8557="","",UPPER(LEFT(SUBSTITUTE(C8557," ",""),3))&amp;"-"&amp;TEXT(B8557,"AAMMDD")&amp;"-1")</f>
        <v/>
      </c>
    </row>
    <row r="8558" spans="20:20">
      <c r="T8558" t="str">
        <f>IF(C8558="","",UPPER(LEFT(SUBSTITUTE(C8558," ",""),3))&amp;"-"&amp;TEXT(B8558,"AAMMDD")&amp;"-1")</f>
        <v/>
      </c>
    </row>
    <row r="8559" spans="20:20">
      <c r="T8559" t="str">
        <f>IF(C8559="","",UPPER(LEFT(SUBSTITUTE(C8559," ",""),3))&amp;"-"&amp;TEXT(B8559,"AAMMDD")&amp;"-1")</f>
        <v/>
      </c>
    </row>
    <row r="8560" spans="20:20">
      <c r="T8560" t="str">
        <f>IF(C8560="","",UPPER(LEFT(SUBSTITUTE(C8560," ",""),3))&amp;"-"&amp;TEXT(B8560,"AAMMDD")&amp;"-1")</f>
        <v/>
      </c>
    </row>
    <row r="8561" spans="20:20">
      <c r="T8561" t="str">
        <f>IF(C8561="","",UPPER(LEFT(SUBSTITUTE(C8561," ",""),3))&amp;"-"&amp;TEXT(B8561,"AAMMDD")&amp;"-1")</f>
        <v/>
      </c>
    </row>
    <row r="8562" spans="20:20">
      <c r="T8562" t="str">
        <f>IF(C8562="","",UPPER(LEFT(SUBSTITUTE(C8562," ",""),3))&amp;"-"&amp;TEXT(B8562,"AAMMDD")&amp;"-1")</f>
        <v/>
      </c>
    </row>
    <row r="8563" spans="20:20">
      <c r="T8563" t="str">
        <f>IF(C8563="","",UPPER(LEFT(SUBSTITUTE(C8563," ",""),3))&amp;"-"&amp;TEXT(B8563,"AAMMDD")&amp;"-1")</f>
        <v/>
      </c>
    </row>
    <row r="8564" spans="20:20">
      <c r="T8564" t="str">
        <f>IF(C8564="","",UPPER(LEFT(SUBSTITUTE(C8564," ",""),3))&amp;"-"&amp;TEXT(B8564,"AAMMDD")&amp;"-1")</f>
        <v/>
      </c>
    </row>
    <row r="8565" spans="20:20">
      <c r="T8565" t="str">
        <f>IF(C8565="","",UPPER(LEFT(SUBSTITUTE(C8565," ",""),3))&amp;"-"&amp;TEXT(B8565,"AAMMDD")&amp;"-1")</f>
        <v/>
      </c>
    </row>
    <row r="8566" spans="20:20">
      <c r="T8566" t="str">
        <f>IF(C8566="","",UPPER(LEFT(SUBSTITUTE(C8566," ",""),3))&amp;"-"&amp;TEXT(B8566,"AAMMDD")&amp;"-1")</f>
        <v/>
      </c>
    </row>
    <row r="8567" spans="20:20">
      <c r="T8567" t="str">
        <f>IF(C8567="","",UPPER(LEFT(SUBSTITUTE(C8567," ",""),3))&amp;"-"&amp;TEXT(B8567,"AAMMDD")&amp;"-1")</f>
        <v/>
      </c>
    </row>
    <row r="8568" spans="20:20">
      <c r="T8568" t="str">
        <f>IF(C8568="","",UPPER(LEFT(SUBSTITUTE(C8568," ",""),3))&amp;"-"&amp;TEXT(B8568,"AAMMDD")&amp;"-1")</f>
        <v/>
      </c>
    </row>
    <row r="8569" spans="20:20">
      <c r="T8569" t="str">
        <f>IF(C8569="","",UPPER(LEFT(SUBSTITUTE(C8569," ",""),3))&amp;"-"&amp;TEXT(B8569,"AAMMDD")&amp;"-1")</f>
        <v/>
      </c>
    </row>
    <row r="8570" spans="20:20">
      <c r="T8570" t="str">
        <f>IF(C8570="","",UPPER(LEFT(SUBSTITUTE(C8570," ",""),3))&amp;"-"&amp;TEXT(B8570,"AAMMDD")&amp;"-1")</f>
        <v/>
      </c>
    </row>
    <row r="8571" spans="20:20">
      <c r="T8571" t="str">
        <f>IF(C8571="","",UPPER(LEFT(SUBSTITUTE(C8571," ",""),3))&amp;"-"&amp;TEXT(B8571,"AAMMDD")&amp;"-1")</f>
        <v/>
      </c>
    </row>
    <row r="8572" spans="20:20">
      <c r="T8572" t="str">
        <f>IF(C8572="","",UPPER(LEFT(SUBSTITUTE(C8572," ",""),3))&amp;"-"&amp;TEXT(B8572,"AAMMDD")&amp;"-1")</f>
        <v/>
      </c>
    </row>
    <row r="8573" spans="20:20">
      <c r="T8573" t="str">
        <f>IF(C8573="","",UPPER(LEFT(SUBSTITUTE(C8573," ",""),3))&amp;"-"&amp;TEXT(B8573,"AAMMDD")&amp;"-1")</f>
        <v/>
      </c>
    </row>
    <row r="8574" spans="20:20">
      <c r="T8574" t="str">
        <f>IF(C8574="","",UPPER(LEFT(SUBSTITUTE(C8574," ",""),3))&amp;"-"&amp;TEXT(B8574,"AAMMDD")&amp;"-1")</f>
        <v/>
      </c>
    </row>
    <row r="8575" spans="20:20">
      <c r="T8575" t="str">
        <f>IF(C8575="","",UPPER(LEFT(SUBSTITUTE(C8575," ",""),3))&amp;"-"&amp;TEXT(B8575,"AAMMDD")&amp;"-1")</f>
        <v/>
      </c>
    </row>
    <row r="8576" spans="20:20">
      <c r="T8576" t="str">
        <f>IF(C8576="","",UPPER(LEFT(SUBSTITUTE(C8576," ",""),3))&amp;"-"&amp;TEXT(B8576,"AAMMDD")&amp;"-1")</f>
        <v/>
      </c>
    </row>
    <row r="8577" spans="20:20">
      <c r="T8577" t="str">
        <f>IF(C8577="","",UPPER(LEFT(SUBSTITUTE(C8577," ",""),3))&amp;"-"&amp;TEXT(B8577,"AAMMDD")&amp;"-1")</f>
        <v/>
      </c>
    </row>
    <row r="8578" spans="20:20">
      <c r="T8578" t="str">
        <f>IF(C8578="","",UPPER(LEFT(SUBSTITUTE(C8578," ",""),3))&amp;"-"&amp;TEXT(B8578,"AAMMDD")&amp;"-1")</f>
        <v/>
      </c>
    </row>
    <row r="8579" spans="20:20">
      <c r="T8579" t="str">
        <f>IF(C8579="","",UPPER(LEFT(SUBSTITUTE(C8579," ",""),3))&amp;"-"&amp;TEXT(B8579,"AAMMDD")&amp;"-1")</f>
        <v/>
      </c>
    </row>
    <row r="8580" spans="20:20">
      <c r="T8580" t="str">
        <f>IF(C8580="","",UPPER(LEFT(SUBSTITUTE(C8580," ",""),3))&amp;"-"&amp;TEXT(B8580,"AAMMDD")&amp;"-1")</f>
        <v/>
      </c>
    </row>
    <row r="8581" spans="20:20">
      <c r="T8581" t="str">
        <f>IF(C8581="","",UPPER(LEFT(SUBSTITUTE(C8581," ",""),3))&amp;"-"&amp;TEXT(B8581,"AAMMDD")&amp;"-1")</f>
        <v/>
      </c>
    </row>
    <row r="8582" spans="20:20">
      <c r="T8582" t="str">
        <f>IF(C8582="","",UPPER(LEFT(SUBSTITUTE(C8582," ",""),3))&amp;"-"&amp;TEXT(B8582,"AAMMDD")&amp;"-1")</f>
        <v/>
      </c>
    </row>
    <row r="8583" spans="20:20">
      <c r="T8583" t="str">
        <f>IF(C8583="","",UPPER(LEFT(SUBSTITUTE(C8583," ",""),3))&amp;"-"&amp;TEXT(B8583,"AAMMDD")&amp;"-1")</f>
        <v/>
      </c>
    </row>
    <row r="8584" spans="20:20">
      <c r="T8584" t="str">
        <f>IF(C8584="","",UPPER(LEFT(SUBSTITUTE(C8584," ",""),3))&amp;"-"&amp;TEXT(B8584,"AAMMDD")&amp;"-1")</f>
        <v/>
      </c>
    </row>
    <row r="8585" spans="20:20">
      <c r="T8585" t="str">
        <f>IF(C8585="","",UPPER(LEFT(SUBSTITUTE(C8585," ",""),3))&amp;"-"&amp;TEXT(B8585,"AAMMDD")&amp;"-1")</f>
        <v/>
      </c>
    </row>
    <row r="8586" spans="20:20">
      <c r="T8586" t="str">
        <f>IF(C8586="","",UPPER(LEFT(SUBSTITUTE(C8586," ",""),3))&amp;"-"&amp;TEXT(B8586,"AAMMDD")&amp;"-1")</f>
        <v/>
      </c>
    </row>
    <row r="8587" spans="20:20">
      <c r="T8587" t="str">
        <f>IF(C8587="","",UPPER(LEFT(SUBSTITUTE(C8587," ",""),3))&amp;"-"&amp;TEXT(B8587,"AAMMDD")&amp;"-1")</f>
        <v/>
      </c>
    </row>
    <row r="8588" spans="20:20">
      <c r="T8588" t="str">
        <f>IF(C8588="","",UPPER(LEFT(SUBSTITUTE(C8588," ",""),3))&amp;"-"&amp;TEXT(B8588,"AAMMDD")&amp;"-1")</f>
        <v/>
      </c>
    </row>
    <row r="8589" spans="20:20">
      <c r="T8589" t="str">
        <f>IF(C8589="","",UPPER(LEFT(SUBSTITUTE(C8589," ",""),3))&amp;"-"&amp;TEXT(B8589,"AAMMDD")&amp;"-1")</f>
        <v/>
      </c>
    </row>
    <row r="8590" spans="20:20">
      <c r="T8590" t="str">
        <f>IF(C8590="","",UPPER(LEFT(SUBSTITUTE(C8590," ",""),3))&amp;"-"&amp;TEXT(B8590,"AAMMDD")&amp;"-1")</f>
        <v/>
      </c>
    </row>
    <row r="8591" spans="20:20">
      <c r="T8591" t="str">
        <f>IF(C8591="","",UPPER(LEFT(SUBSTITUTE(C8591," ",""),3))&amp;"-"&amp;TEXT(B8591,"AAMMDD")&amp;"-1")</f>
        <v/>
      </c>
    </row>
    <row r="8592" spans="20:20">
      <c r="T8592" t="str">
        <f>IF(C8592="","",UPPER(LEFT(SUBSTITUTE(C8592," ",""),3))&amp;"-"&amp;TEXT(B8592,"AAMMDD")&amp;"-1")</f>
        <v/>
      </c>
    </row>
    <row r="8593" spans="20:20">
      <c r="T8593" t="str">
        <f>IF(C8593="","",UPPER(LEFT(SUBSTITUTE(C8593," ",""),3))&amp;"-"&amp;TEXT(B8593,"AAMMDD")&amp;"-1")</f>
        <v/>
      </c>
    </row>
    <row r="8594" spans="20:20">
      <c r="T8594" t="str">
        <f>IF(C8594="","",UPPER(LEFT(SUBSTITUTE(C8594," ",""),3))&amp;"-"&amp;TEXT(B8594,"AAMMDD")&amp;"-1")</f>
        <v/>
      </c>
    </row>
    <row r="8595" spans="20:20">
      <c r="T8595" t="str">
        <f>IF(C8595="","",UPPER(LEFT(SUBSTITUTE(C8595," ",""),3))&amp;"-"&amp;TEXT(B8595,"AAMMDD")&amp;"-1")</f>
        <v/>
      </c>
    </row>
    <row r="8596" spans="20:20">
      <c r="T8596" t="str">
        <f>IF(C8596="","",UPPER(LEFT(SUBSTITUTE(C8596," ",""),3))&amp;"-"&amp;TEXT(B8596,"AAMMDD")&amp;"-1")</f>
        <v/>
      </c>
    </row>
    <row r="8597" spans="20:20">
      <c r="T8597" t="str">
        <f>IF(C8597="","",UPPER(LEFT(SUBSTITUTE(C8597," ",""),3))&amp;"-"&amp;TEXT(B8597,"AAMMDD")&amp;"-1")</f>
        <v/>
      </c>
    </row>
    <row r="8598" spans="20:20">
      <c r="T8598" t="str">
        <f>IF(C8598="","",UPPER(LEFT(SUBSTITUTE(C8598," ",""),3))&amp;"-"&amp;TEXT(B8598,"AAMMDD")&amp;"-1")</f>
        <v/>
      </c>
    </row>
    <row r="8599" spans="20:20">
      <c r="T8599" t="str">
        <f>IF(C8599="","",UPPER(LEFT(SUBSTITUTE(C8599," ",""),3))&amp;"-"&amp;TEXT(B8599,"AAMMDD")&amp;"-1")</f>
        <v/>
      </c>
    </row>
    <row r="8600" spans="20:20">
      <c r="T8600" t="str">
        <f>IF(C8600="","",UPPER(LEFT(SUBSTITUTE(C8600," ",""),3))&amp;"-"&amp;TEXT(B8600,"AAMMDD")&amp;"-1")</f>
        <v/>
      </c>
    </row>
    <row r="8601" spans="20:20">
      <c r="T8601" t="str">
        <f>IF(C8601="","",UPPER(LEFT(SUBSTITUTE(C8601," ",""),3))&amp;"-"&amp;TEXT(B8601,"AAMMDD")&amp;"-1")</f>
        <v/>
      </c>
    </row>
    <row r="8602" spans="20:20">
      <c r="T8602" t="str">
        <f>IF(C8602="","",UPPER(LEFT(SUBSTITUTE(C8602," ",""),3))&amp;"-"&amp;TEXT(B8602,"AAMMDD")&amp;"-1")</f>
        <v/>
      </c>
    </row>
    <row r="8603" spans="20:20">
      <c r="T8603" t="str">
        <f>IF(C8603="","",UPPER(LEFT(SUBSTITUTE(C8603," ",""),3))&amp;"-"&amp;TEXT(B8603,"AAMMDD")&amp;"-1")</f>
        <v/>
      </c>
    </row>
    <row r="8604" spans="20:20">
      <c r="T8604" t="str">
        <f>IF(C8604="","",UPPER(LEFT(SUBSTITUTE(C8604," ",""),3))&amp;"-"&amp;TEXT(B8604,"AAMMDD")&amp;"-1")</f>
        <v/>
      </c>
    </row>
    <row r="8605" spans="20:20">
      <c r="T8605" t="str">
        <f>IF(C8605="","",UPPER(LEFT(SUBSTITUTE(C8605," ",""),3))&amp;"-"&amp;TEXT(B8605,"AAMMDD")&amp;"-1")</f>
        <v/>
      </c>
    </row>
    <row r="8606" spans="20:20">
      <c r="T8606" t="str">
        <f>IF(C8606="","",UPPER(LEFT(SUBSTITUTE(C8606," ",""),3))&amp;"-"&amp;TEXT(B8606,"AAMMDD")&amp;"-1")</f>
        <v/>
      </c>
    </row>
    <row r="8607" spans="20:20">
      <c r="T8607" t="str">
        <f>IF(C8607="","",UPPER(LEFT(SUBSTITUTE(C8607," ",""),3))&amp;"-"&amp;TEXT(B8607,"AAMMDD")&amp;"-1")</f>
        <v/>
      </c>
    </row>
    <row r="8608" spans="20:20">
      <c r="T8608" t="str">
        <f>IF(C8608="","",UPPER(LEFT(SUBSTITUTE(C8608," ",""),3))&amp;"-"&amp;TEXT(B8608,"AAMMDD")&amp;"-1")</f>
        <v/>
      </c>
    </row>
    <row r="8609" spans="20:20">
      <c r="T8609" t="str">
        <f>IF(C8609="","",UPPER(LEFT(SUBSTITUTE(C8609," ",""),3))&amp;"-"&amp;TEXT(B8609,"AAMMDD")&amp;"-1")</f>
        <v/>
      </c>
    </row>
    <row r="8610" spans="20:20">
      <c r="T8610" t="str">
        <f>IF(C8610="","",UPPER(LEFT(SUBSTITUTE(C8610," ",""),3))&amp;"-"&amp;TEXT(B8610,"AAMMDD")&amp;"-1")</f>
        <v/>
      </c>
    </row>
    <row r="8611" spans="20:20">
      <c r="T8611" t="str">
        <f>IF(C8611="","",UPPER(LEFT(SUBSTITUTE(C8611," ",""),3))&amp;"-"&amp;TEXT(B8611,"AAMMDD")&amp;"-1")</f>
        <v/>
      </c>
    </row>
    <row r="8612" spans="20:20">
      <c r="T8612" t="str">
        <f>IF(C8612="","",UPPER(LEFT(SUBSTITUTE(C8612," ",""),3))&amp;"-"&amp;TEXT(B8612,"AAMMDD")&amp;"-1")</f>
        <v/>
      </c>
    </row>
    <row r="8613" spans="20:20">
      <c r="T8613" t="str">
        <f>IF(C8613="","",UPPER(LEFT(SUBSTITUTE(C8613," ",""),3))&amp;"-"&amp;TEXT(B8613,"AAMMDD")&amp;"-1")</f>
        <v/>
      </c>
    </row>
    <row r="8614" spans="20:20">
      <c r="T8614" t="str">
        <f>IF(C8614="","",UPPER(LEFT(SUBSTITUTE(C8614," ",""),3))&amp;"-"&amp;TEXT(B8614,"AAMMDD")&amp;"-1")</f>
        <v/>
      </c>
    </row>
    <row r="8615" spans="20:20">
      <c r="T8615" t="str">
        <f>IF(C8615="","",UPPER(LEFT(SUBSTITUTE(C8615," ",""),3))&amp;"-"&amp;TEXT(B8615,"AAMMDD")&amp;"-1")</f>
        <v/>
      </c>
    </row>
    <row r="8616" spans="20:20">
      <c r="T8616" t="str">
        <f>IF(C8616="","",UPPER(LEFT(SUBSTITUTE(C8616," ",""),3))&amp;"-"&amp;TEXT(B8616,"AAMMDD")&amp;"-1")</f>
        <v/>
      </c>
    </row>
    <row r="8617" spans="20:20">
      <c r="T8617" t="str">
        <f>IF(C8617="","",UPPER(LEFT(SUBSTITUTE(C8617," ",""),3))&amp;"-"&amp;TEXT(B8617,"AAMMDD")&amp;"-1")</f>
        <v/>
      </c>
    </row>
    <row r="8618" spans="20:20">
      <c r="T8618" t="str">
        <f>IF(C8618="","",UPPER(LEFT(SUBSTITUTE(C8618," ",""),3))&amp;"-"&amp;TEXT(B8618,"AAMMDD")&amp;"-1")</f>
        <v/>
      </c>
    </row>
    <row r="8619" spans="20:20">
      <c r="T8619" t="str">
        <f>IF(C8619="","",UPPER(LEFT(SUBSTITUTE(C8619," ",""),3))&amp;"-"&amp;TEXT(B8619,"AAMMDD")&amp;"-1")</f>
        <v/>
      </c>
    </row>
    <row r="8620" spans="20:20">
      <c r="T8620" t="str">
        <f>IF(C8620="","",UPPER(LEFT(SUBSTITUTE(C8620," ",""),3))&amp;"-"&amp;TEXT(B8620,"AAMMDD")&amp;"-1")</f>
        <v/>
      </c>
    </row>
    <row r="8621" spans="20:20">
      <c r="T8621" t="str">
        <f>IF(C8621="","",UPPER(LEFT(SUBSTITUTE(C8621," ",""),3))&amp;"-"&amp;TEXT(B8621,"AAMMDD")&amp;"-1")</f>
        <v/>
      </c>
    </row>
    <row r="8622" spans="20:20">
      <c r="T8622" t="str">
        <f>IF(C8622="","",UPPER(LEFT(SUBSTITUTE(C8622," ",""),3))&amp;"-"&amp;TEXT(B8622,"AAMMDD")&amp;"-1")</f>
        <v/>
      </c>
    </row>
    <row r="8623" spans="20:20">
      <c r="T8623" t="str">
        <f>IF(C8623="","",UPPER(LEFT(SUBSTITUTE(C8623," ",""),3))&amp;"-"&amp;TEXT(B8623,"AAMMDD")&amp;"-1")</f>
        <v/>
      </c>
    </row>
    <row r="8624" spans="20:20">
      <c r="T8624" t="str">
        <f>IF(C8624="","",UPPER(LEFT(SUBSTITUTE(C8624," ",""),3))&amp;"-"&amp;TEXT(B8624,"AAMMDD")&amp;"-1")</f>
        <v/>
      </c>
    </row>
    <row r="8625" spans="20:20">
      <c r="T8625" t="str">
        <f>IF(C8625="","",UPPER(LEFT(SUBSTITUTE(C8625," ",""),3))&amp;"-"&amp;TEXT(B8625,"AAMMDD")&amp;"-1")</f>
        <v/>
      </c>
    </row>
    <row r="8626" spans="20:20">
      <c r="T8626" t="str">
        <f>IF(C8626="","",UPPER(LEFT(SUBSTITUTE(C8626," ",""),3))&amp;"-"&amp;TEXT(B8626,"AAMMDD")&amp;"-1")</f>
        <v/>
      </c>
    </row>
    <row r="8627" spans="20:20">
      <c r="T8627" t="str">
        <f>IF(C8627="","",UPPER(LEFT(SUBSTITUTE(C8627," ",""),3))&amp;"-"&amp;TEXT(B8627,"AAMMDD")&amp;"-1")</f>
        <v/>
      </c>
    </row>
    <row r="8628" spans="20:20">
      <c r="T8628" t="str">
        <f>IF(C8628="","",UPPER(LEFT(SUBSTITUTE(C8628," ",""),3))&amp;"-"&amp;TEXT(B8628,"AAMMDD")&amp;"-1")</f>
        <v/>
      </c>
    </row>
    <row r="8629" spans="20:20">
      <c r="T8629" t="str">
        <f>IF(C8629="","",UPPER(LEFT(SUBSTITUTE(C8629," ",""),3))&amp;"-"&amp;TEXT(B8629,"AAMMDD")&amp;"-1")</f>
        <v/>
      </c>
    </row>
    <row r="8630" spans="20:20">
      <c r="T8630" t="str">
        <f>IF(C8630="","",UPPER(LEFT(SUBSTITUTE(C8630," ",""),3))&amp;"-"&amp;TEXT(B8630,"AAMMDD")&amp;"-1")</f>
        <v/>
      </c>
    </row>
    <row r="8631" spans="20:20">
      <c r="T8631" t="str">
        <f>IF(C8631="","",UPPER(LEFT(SUBSTITUTE(C8631," ",""),3))&amp;"-"&amp;TEXT(B8631,"AAMMDD")&amp;"-1")</f>
        <v/>
      </c>
    </row>
    <row r="8632" spans="20:20">
      <c r="T8632" t="str">
        <f>IF(C8632="","",UPPER(LEFT(SUBSTITUTE(C8632," ",""),3))&amp;"-"&amp;TEXT(B8632,"AAMMDD")&amp;"-1")</f>
        <v/>
      </c>
    </row>
    <row r="8633" spans="20:20">
      <c r="T8633" t="str">
        <f>IF(C8633="","",UPPER(LEFT(SUBSTITUTE(C8633," ",""),3))&amp;"-"&amp;TEXT(B8633,"AAMMDD")&amp;"-1")</f>
        <v/>
      </c>
    </row>
    <row r="8634" spans="20:20">
      <c r="T8634" t="str">
        <f>IF(C8634="","",UPPER(LEFT(SUBSTITUTE(C8634," ",""),3))&amp;"-"&amp;TEXT(B8634,"AAMMDD")&amp;"-1")</f>
        <v/>
      </c>
    </row>
    <row r="8635" spans="20:20">
      <c r="T8635" t="str">
        <f>IF(C8635="","",UPPER(LEFT(SUBSTITUTE(C8635," ",""),3))&amp;"-"&amp;TEXT(B8635,"AAMMDD")&amp;"-1")</f>
        <v/>
      </c>
    </row>
    <row r="8636" spans="20:20">
      <c r="T8636" t="str">
        <f>IF(C8636="","",UPPER(LEFT(SUBSTITUTE(C8636," ",""),3))&amp;"-"&amp;TEXT(B8636,"AAMMDD")&amp;"-1")</f>
        <v/>
      </c>
    </row>
    <row r="8637" spans="20:20">
      <c r="T8637" t="str">
        <f>IF(C8637="","",UPPER(LEFT(SUBSTITUTE(C8637," ",""),3))&amp;"-"&amp;TEXT(B8637,"AAMMDD")&amp;"-1")</f>
        <v/>
      </c>
    </row>
    <row r="8638" spans="20:20">
      <c r="T8638" t="str">
        <f>IF(C8638="","",UPPER(LEFT(SUBSTITUTE(C8638," ",""),3))&amp;"-"&amp;TEXT(B8638,"AAMMDD")&amp;"-1")</f>
        <v/>
      </c>
    </row>
    <row r="8639" spans="20:20">
      <c r="T8639" t="str">
        <f>IF(C8639="","",UPPER(LEFT(SUBSTITUTE(C8639," ",""),3))&amp;"-"&amp;TEXT(B8639,"AAMMDD")&amp;"-1")</f>
        <v/>
      </c>
    </row>
    <row r="8640" spans="20:20">
      <c r="T8640" t="str">
        <f>IF(C8640="","",UPPER(LEFT(SUBSTITUTE(C8640," ",""),3))&amp;"-"&amp;TEXT(B8640,"AAMMDD")&amp;"-1")</f>
        <v/>
      </c>
    </row>
    <row r="8641" spans="20:20">
      <c r="T8641" t="str">
        <f>IF(C8641="","",UPPER(LEFT(SUBSTITUTE(C8641," ",""),3))&amp;"-"&amp;TEXT(B8641,"AAMMDD")&amp;"-1")</f>
        <v/>
      </c>
    </row>
    <row r="8642" spans="20:20">
      <c r="T8642" t="str">
        <f>IF(C8642="","",UPPER(LEFT(SUBSTITUTE(C8642," ",""),3))&amp;"-"&amp;TEXT(B8642,"AAMMDD")&amp;"-1")</f>
        <v/>
      </c>
    </row>
    <row r="8643" spans="20:20">
      <c r="T8643" t="str">
        <f>IF(C8643="","",UPPER(LEFT(SUBSTITUTE(C8643," ",""),3))&amp;"-"&amp;TEXT(B8643,"AAMMDD")&amp;"-1")</f>
        <v/>
      </c>
    </row>
    <row r="8644" spans="20:20">
      <c r="T8644" t="str">
        <f>IF(C8644="","",UPPER(LEFT(SUBSTITUTE(C8644," ",""),3))&amp;"-"&amp;TEXT(B8644,"AAMMDD")&amp;"-1")</f>
        <v/>
      </c>
    </row>
    <row r="8645" spans="20:20">
      <c r="T8645" t="str">
        <f>IF(C8645="","",UPPER(LEFT(SUBSTITUTE(C8645," ",""),3))&amp;"-"&amp;TEXT(B8645,"AAMMDD")&amp;"-1")</f>
        <v/>
      </c>
    </row>
    <row r="8646" spans="20:20">
      <c r="T8646" t="str">
        <f>IF(C8646="","",UPPER(LEFT(SUBSTITUTE(C8646," ",""),3))&amp;"-"&amp;TEXT(B8646,"AAMMDD")&amp;"-1")</f>
        <v/>
      </c>
    </row>
    <row r="8647" spans="20:20">
      <c r="T8647" t="str">
        <f>IF(C8647="","",UPPER(LEFT(SUBSTITUTE(C8647," ",""),3))&amp;"-"&amp;TEXT(B8647,"AAMMDD")&amp;"-1")</f>
        <v/>
      </c>
    </row>
    <row r="8648" spans="20:20">
      <c r="T8648" t="str">
        <f>IF(C8648="","",UPPER(LEFT(SUBSTITUTE(C8648," ",""),3))&amp;"-"&amp;TEXT(B8648,"AAMMDD")&amp;"-1")</f>
        <v/>
      </c>
    </row>
    <row r="8649" spans="20:20">
      <c r="T8649" t="str">
        <f>IF(C8649="","",UPPER(LEFT(SUBSTITUTE(C8649," ",""),3))&amp;"-"&amp;TEXT(B8649,"AAMMDD")&amp;"-1")</f>
        <v/>
      </c>
    </row>
    <row r="8650" spans="20:20">
      <c r="T8650" t="str">
        <f>IF(C8650="","",UPPER(LEFT(SUBSTITUTE(C8650," ",""),3))&amp;"-"&amp;TEXT(B8650,"AAMMDD")&amp;"-1")</f>
        <v/>
      </c>
    </row>
    <row r="8651" spans="20:20">
      <c r="T8651" t="str">
        <f>IF(C8651="","",UPPER(LEFT(SUBSTITUTE(C8651," ",""),3))&amp;"-"&amp;TEXT(B8651,"AAMMDD")&amp;"-1")</f>
        <v/>
      </c>
    </row>
    <row r="8652" spans="20:20">
      <c r="T8652" t="str">
        <f>IF(C8652="","",UPPER(LEFT(SUBSTITUTE(C8652," ",""),3))&amp;"-"&amp;TEXT(B8652,"AAMMDD")&amp;"-1")</f>
        <v/>
      </c>
    </row>
    <row r="8653" spans="20:20">
      <c r="T8653" t="str">
        <f>IF(C8653="","",UPPER(LEFT(SUBSTITUTE(C8653," ",""),3))&amp;"-"&amp;TEXT(B8653,"AAMMDD")&amp;"-1")</f>
        <v/>
      </c>
    </row>
    <row r="8654" spans="20:20">
      <c r="T8654" t="str">
        <f>IF(C8654="","",UPPER(LEFT(SUBSTITUTE(C8654," ",""),3))&amp;"-"&amp;TEXT(B8654,"AAMMDD")&amp;"-1")</f>
        <v/>
      </c>
    </row>
    <row r="8655" spans="20:20">
      <c r="T8655" t="str">
        <f>IF(C8655="","",UPPER(LEFT(SUBSTITUTE(C8655," ",""),3))&amp;"-"&amp;TEXT(B8655,"AAMMDD")&amp;"-1")</f>
        <v/>
      </c>
    </row>
    <row r="8656" spans="20:20">
      <c r="T8656" t="str">
        <f>IF(C8656="","",UPPER(LEFT(SUBSTITUTE(C8656," ",""),3))&amp;"-"&amp;TEXT(B8656,"AAMMDD")&amp;"-1")</f>
        <v/>
      </c>
    </row>
    <row r="8657" spans="20:20">
      <c r="T8657" t="str">
        <f>IF(C8657="","",UPPER(LEFT(SUBSTITUTE(C8657," ",""),3))&amp;"-"&amp;TEXT(B8657,"AAMMDD")&amp;"-1")</f>
        <v/>
      </c>
    </row>
    <row r="8658" spans="20:20">
      <c r="T8658" t="str">
        <f>IF(C8658="","",UPPER(LEFT(SUBSTITUTE(C8658," ",""),3))&amp;"-"&amp;TEXT(B8658,"AAMMDD")&amp;"-1")</f>
        <v/>
      </c>
    </row>
    <row r="8659" spans="20:20">
      <c r="T8659" t="str">
        <f>IF(C8659="","",UPPER(LEFT(SUBSTITUTE(C8659," ",""),3))&amp;"-"&amp;TEXT(B8659,"AAMMDD")&amp;"-1")</f>
        <v/>
      </c>
    </row>
    <row r="8660" spans="20:20">
      <c r="T8660" t="str">
        <f>IF(C8660="","",UPPER(LEFT(SUBSTITUTE(C8660," ",""),3))&amp;"-"&amp;TEXT(B8660,"AAMMDD")&amp;"-1")</f>
        <v/>
      </c>
    </row>
    <row r="8661" spans="20:20">
      <c r="T8661" t="str">
        <f>IF(C8661="","",UPPER(LEFT(SUBSTITUTE(C8661," ",""),3))&amp;"-"&amp;TEXT(B8661,"AAMMDD")&amp;"-1")</f>
        <v/>
      </c>
    </row>
    <row r="8662" spans="20:20">
      <c r="T8662" t="str">
        <f>IF(C8662="","",UPPER(LEFT(SUBSTITUTE(C8662," ",""),3))&amp;"-"&amp;TEXT(B8662,"AAMMDD")&amp;"-1")</f>
        <v/>
      </c>
    </row>
    <row r="8663" spans="20:20">
      <c r="T8663" t="str">
        <f>IF(C8663="","",UPPER(LEFT(SUBSTITUTE(C8663," ",""),3))&amp;"-"&amp;TEXT(B8663,"AAMMDD")&amp;"-1")</f>
        <v/>
      </c>
    </row>
    <row r="8664" spans="20:20">
      <c r="T8664" t="str">
        <f>IF(C8664="","",UPPER(LEFT(SUBSTITUTE(C8664," ",""),3))&amp;"-"&amp;TEXT(B8664,"AAMMDD")&amp;"-1")</f>
        <v/>
      </c>
    </row>
    <row r="8665" spans="20:20">
      <c r="T8665" t="str">
        <f>IF(C8665="","",UPPER(LEFT(SUBSTITUTE(C8665," ",""),3))&amp;"-"&amp;TEXT(B8665,"AAMMDD")&amp;"-1")</f>
        <v/>
      </c>
    </row>
    <row r="8666" spans="20:20">
      <c r="T8666" t="str">
        <f>IF(C8666="","",UPPER(LEFT(SUBSTITUTE(C8666," ",""),3))&amp;"-"&amp;TEXT(B8666,"AAMMDD")&amp;"-1")</f>
        <v/>
      </c>
    </row>
    <row r="8667" spans="20:20">
      <c r="T8667" t="str">
        <f>IF(C8667="","",UPPER(LEFT(SUBSTITUTE(C8667," ",""),3))&amp;"-"&amp;TEXT(B8667,"AAMMDD")&amp;"-1")</f>
        <v/>
      </c>
    </row>
    <row r="8668" spans="20:20">
      <c r="T8668" t="str">
        <f>IF(C8668="","",UPPER(LEFT(SUBSTITUTE(C8668," ",""),3))&amp;"-"&amp;TEXT(B8668,"AAMMDD")&amp;"-1")</f>
        <v/>
      </c>
    </row>
    <row r="8669" spans="20:20">
      <c r="T8669" t="str">
        <f>IF(C8669="","",UPPER(LEFT(SUBSTITUTE(C8669," ",""),3))&amp;"-"&amp;TEXT(B8669,"AAMMDD")&amp;"-1")</f>
        <v/>
      </c>
    </row>
    <row r="8670" spans="20:20">
      <c r="T8670" t="str">
        <f>IF(C8670="","",UPPER(LEFT(SUBSTITUTE(C8670," ",""),3))&amp;"-"&amp;TEXT(B8670,"AAMMDD")&amp;"-1")</f>
        <v/>
      </c>
    </row>
    <row r="8671" spans="20:20">
      <c r="T8671" t="str">
        <f>IF(C8671="","",UPPER(LEFT(SUBSTITUTE(C8671," ",""),3))&amp;"-"&amp;TEXT(B8671,"AAMMDD")&amp;"-1")</f>
        <v/>
      </c>
    </row>
    <row r="8672" spans="20:20">
      <c r="T8672" t="str">
        <f>IF(C8672="","",UPPER(LEFT(SUBSTITUTE(C8672," ",""),3))&amp;"-"&amp;TEXT(B8672,"AAMMDD")&amp;"-1")</f>
        <v/>
      </c>
    </row>
    <row r="8673" spans="20:20">
      <c r="T8673" t="str">
        <f>IF(C8673="","",UPPER(LEFT(SUBSTITUTE(C8673," ",""),3))&amp;"-"&amp;TEXT(B8673,"AAMMDD")&amp;"-1")</f>
        <v/>
      </c>
    </row>
    <row r="8674" spans="20:20">
      <c r="T8674" t="str">
        <f>IF(C8674="","",UPPER(LEFT(SUBSTITUTE(C8674," ",""),3))&amp;"-"&amp;TEXT(B8674,"AAMMDD")&amp;"-1")</f>
        <v/>
      </c>
    </row>
    <row r="8675" spans="20:20">
      <c r="T8675" t="str">
        <f>IF(C8675="","",UPPER(LEFT(SUBSTITUTE(C8675," ",""),3))&amp;"-"&amp;TEXT(B8675,"AAMMDD")&amp;"-1")</f>
        <v/>
      </c>
    </row>
    <row r="8676" spans="20:20">
      <c r="T8676" t="str">
        <f>IF(C8676="","",UPPER(LEFT(SUBSTITUTE(C8676," ",""),3))&amp;"-"&amp;TEXT(B8676,"AAMMDD")&amp;"-1")</f>
        <v/>
      </c>
    </row>
    <row r="8677" spans="20:20">
      <c r="T8677" t="str">
        <f>IF(C8677="","",UPPER(LEFT(SUBSTITUTE(C8677," ",""),3))&amp;"-"&amp;TEXT(B8677,"AAMMDD")&amp;"-1")</f>
        <v/>
      </c>
    </row>
    <row r="8678" spans="20:20">
      <c r="T8678" t="str">
        <f>IF(C8678="","",UPPER(LEFT(SUBSTITUTE(C8678," ",""),3))&amp;"-"&amp;TEXT(B8678,"AAMMDD")&amp;"-1")</f>
        <v/>
      </c>
    </row>
    <row r="8679" spans="20:20">
      <c r="T8679" t="str">
        <f>IF(C8679="","",UPPER(LEFT(SUBSTITUTE(C8679," ",""),3))&amp;"-"&amp;TEXT(B8679,"AAMMDD")&amp;"-1")</f>
        <v/>
      </c>
    </row>
    <row r="8680" spans="20:20">
      <c r="T8680" t="str">
        <f>IF(C8680="","",UPPER(LEFT(SUBSTITUTE(C8680," ",""),3))&amp;"-"&amp;TEXT(B8680,"AAMMDD")&amp;"-1")</f>
        <v/>
      </c>
    </row>
    <row r="8681" spans="20:20">
      <c r="T8681" t="str">
        <f>IF(C8681="","",UPPER(LEFT(SUBSTITUTE(C8681," ",""),3))&amp;"-"&amp;TEXT(B8681,"AAMMDD")&amp;"-1")</f>
        <v/>
      </c>
    </row>
    <row r="8682" spans="20:20">
      <c r="T8682" t="str">
        <f>IF(C8682="","",UPPER(LEFT(SUBSTITUTE(C8682," ",""),3))&amp;"-"&amp;TEXT(B8682,"AAMMDD")&amp;"-1")</f>
        <v/>
      </c>
    </row>
    <row r="8683" spans="20:20">
      <c r="T8683" t="str">
        <f>IF(C8683="","",UPPER(LEFT(SUBSTITUTE(C8683," ",""),3))&amp;"-"&amp;TEXT(B8683,"AAMMDD")&amp;"-1")</f>
        <v/>
      </c>
    </row>
    <row r="8684" spans="20:20">
      <c r="T8684" t="str">
        <f>IF(C8684="","",UPPER(LEFT(SUBSTITUTE(C8684," ",""),3))&amp;"-"&amp;TEXT(B8684,"AAMMDD")&amp;"-1")</f>
        <v/>
      </c>
    </row>
    <row r="8685" spans="20:20">
      <c r="T8685" t="str">
        <f>IF(C8685="","",UPPER(LEFT(SUBSTITUTE(C8685," ",""),3))&amp;"-"&amp;TEXT(B8685,"AAMMDD")&amp;"-1")</f>
        <v/>
      </c>
    </row>
    <row r="8686" spans="20:20">
      <c r="T8686" t="str">
        <f>IF(C8686="","",UPPER(LEFT(SUBSTITUTE(C8686," ",""),3))&amp;"-"&amp;TEXT(B8686,"AAMMDD")&amp;"-1")</f>
        <v/>
      </c>
    </row>
    <row r="8687" spans="20:20">
      <c r="T8687" t="str">
        <f>IF(C8687="","",UPPER(LEFT(SUBSTITUTE(C8687," ",""),3))&amp;"-"&amp;TEXT(B8687,"AAMMDD")&amp;"-1")</f>
        <v/>
      </c>
    </row>
    <row r="8688" spans="20:20">
      <c r="T8688" t="str">
        <f>IF(C8688="","",UPPER(LEFT(SUBSTITUTE(C8688," ",""),3))&amp;"-"&amp;TEXT(B8688,"AAMMDD")&amp;"-1")</f>
        <v/>
      </c>
    </row>
    <row r="8689" spans="20:20">
      <c r="T8689" t="str">
        <f>IF(C8689="","",UPPER(LEFT(SUBSTITUTE(C8689," ",""),3))&amp;"-"&amp;TEXT(B8689,"AAMMDD")&amp;"-1")</f>
        <v/>
      </c>
    </row>
    <row r="8690" spans="20:20">
      <c r="T8690" t="str">
        <f>IF(C8690="","",UPPER(LEFT(SUBSTITUTE(C8690," ",""),3))&amp;"-"&amp;TEXT(B8690,"AAMMDD")&amp;"-1")</f>
        <v/>
      </c>
    </row>
    <row r="8691" spans="20:20">
      <c r="T8691" t="str">
        <f>IF(C8691="","",UPPER(LEFT(SUBSTITUTE(C8691," ",""),3))&amp;"-"&amp;TEXT(B8691,"AAMMDD")&amp;"-1")</f>
        <v/>
      </c>
    </row>
    <row r="8692" spans="20:20">
      <c r="T8692" t="str">
        <f>IF(C8692="","",UPPER(LEFT(SUBSTITUTE(C8692," ",""),3))&amp;"-"&amp;TEXT(B8692,"AAMMDD")&amp;"-1")</f>
        <v/>
      </c>
    </row>
    <row r="8693" spans="20:20">
      <c r="T8693" t="str">
        <f>IF(C8693="","",UPPER(LEFT(SUBSTITUTE(C8693," ",""),3))&amp;"-"&amp;TEXT(B8693,"AAMMDD")&amp;"-1")</f>
        <v/>
      </c>
    </row>
    <row r="8694" spans="20:20">
      <c r="T8694" t="str">
        <f>IF(C8694="","",UPPER(LEFT(SUBSTITUTE(C8694," ",""),3))&amp;"-"&amp;TEXT(B8694,"AAMMDD")&amp;"-1")</f>
        <v/>
      </c>
    </row>
    <row r="8695" spans="20:20">
      <c r="T8695" t="str">
        <f>IF(C8695="","",UPPER(LEFT(SUBSTITUTE(C8695," ",""),3))&amp;"-"&amp;TEXT(B8695,"AAMMDD")&amp;"-1")</f>
        <v/>
      </c>
    </row>
    <row r="8696" spans="20:20">
      <c r="T8696" t="str">
        <f>IF(C8696="","",UPPER(LEFT(SUBSTITUTE(C8696," ",""),3))&amp;"-"&amp;TEXT(B8696,"AAMMDD")&amp;"-1")</f>
        <v/>
      </c>
    </row>
    <row r="8697" spans="20:20">
      <c r="T8697" t="str">
        <f>IF(C8697="","",UPPER(LEFT(SUBSTITUTE(C8697," ",""),3))&amp;"-"&amp;TEXT(B8697,"AAMMDD")&amp;"-1")</f>
        <v/>
      </c>
    </row>
    <row r="8698" spans="20:20">
      <c r="T8698" t="str">
        <f>IF(C8698="","",UPPER(LEFT(SUBSTITUTE(C8698," ",""),3))&amp;"-"&amp;TEXT(B8698,"AAMMDD")&amp;"-1")</f>
        <v/>
      </c>
    </row>
    <row r="8699" spans="20:20">
      <c r="T8699" t="str">
        <f>IF(C8699="","",UPPER(LEFT(SUBSTITUTE(C8699," ",""),3))&amp;"-"&amp;TEXT(B8699,"AAMMDD")&amp;"-1")</f>
        <v/>
      </c>
    </row>
    <row r="8700" spans="20:20">
      <c r="T8700" t="str">
        <f>IF(C8700="","",UPPER(LEFT(SUBSTITUTE(C8700," ",""),3))&amp;"-"&amp;TEXT(B8700,"AAMMDD")&amp;"-1")</f>
        <v/>
      </c>
    </row>
    <row r="8701" spans="20:20">
      <c r="T8701" t="str">
        <f>IF(C8701="","",UPPER(LEFT(SUBSTITUTE(C8701," ",""),3))&amp;"-"&amp;TEXT(B8701,"AAMMDD")&amp;"-1")</f>
        <v/>
      </c>
    </row>
    <row r="8702" spans="20:20">
      <c r="T8702" t="str">
        <f>IF(C8702="","",UPPER(LEFT(SUBSTITUTE(C8702," ",""),3))&amp;"-"&amp;TEXT(B8702,"AAMMDD")&amp;"-1")</f>
        <v/>
      </c>
    </row>
    <row r="8703" spans="20:20">
      <c r="T8703" t="str">
        <f>IF(C8703="","",UPPER(LEFT(SUBSTITUTE(C8703," ",""),3))&amp;"-"&amp;TEXT(B8703,"AAMMDD")&amp;"-1")</f>
        <v/>
      </c>
    </row>
    <row r="8704" spans="20:20">
      <c r="T8704" t="str">
        <f>IF(C8704="","",UPPER(LEFT(SUBSTITUTE(C8704," ",""),3))&amp;"-"&amp;TEXT(B8704,"AAMMDD")&amp;"-1")</f>
        <v/>
      </c>
    </row>
    <row r="8705" spans="20:20">
      <c r="T8705" t="str">
        <f>IF(C8705="","",UPPER(LEFT(SUBSTITUTE(C8705," ",""),3))&amp;"-"&amp;TEXT(B8705,"AAMMDD")&amp;"-1")</f>
        <v/>
      </c>
    </row>
    <row r="8706" spans="20:20">
      <c r="T8706" t="str">
        <f>IF(C8706="","",UPPER(LEFT(SUBSTITUTE(C8706," ",""),3))&amp;"-"&amp;TEXT(B8706,"AAMMDD")&amp;"-1")</f>
        <v/>
      </c>
    </row>
    <row r="8707" spans="20:20">
      <c r="T8707" t="str">
        <f>IF(C8707="","",UPPER(LEFT(SUBSTITUTE(C8707," ",""),3))&amp;"-"&amp;TEXT(B8707,"AAMMDD")&amp;"-1")</f>
        <v/>
      </c>
    </row>
    <row r="8708" spans="20:20">
      <c r="T8708" t="str">
        <f>IF(C8708="","",UPPER(LEFT(SUBSTITUTE(C8708," ",""),3))&amp;"-"&amp;TEXT(B8708,"AAMMDD")&amp;"-1")</f>
        <v/>
      </c>
    </row>
    <row r="8709" spans="20:20">
      <c r="T8709" t="str">
        <f>IF(C8709="","",UPPER(LEFT(SUBSTITUTE(C8709," ",""),3))&amp;"-"&amp;TEXT(B8709,"AAMMDD")&amp;"-1")</f>
        <v/>
      </c>
    </row>
    <row r="8710" spans="20:20">
      <c r="T8710" t="str">
        <f>IF(C8710="","",UPPER(LEFT(SUBSTITUTE(C8710," ",""),3))&amp;"-"&amp;TEXT(B8710,"AAMMDD")&amp;"-1")</f>
        <v/>
      </c>
    </row>
    <row r="8711" spans="20:20">
      <c r="T8711" t="str">
        <f>IF(C8711="","",UPPER(LEFT(SUBSTITUTE(C8711," ",""),3))&amp;"-"&amp;TEXT(B8711,"AAMMDD")&amp;"-1")</f>
        <v/>
      </c>
    </row>
    <row r="8712" spans="20:20">
      <c r="T8712" t="str">
        <f>IF(C8712="","",UPPER(LEFT(SUBSTITUTE(C8712," ",""),3))&amp;"-"&amp;TEXT(B8712,"AAMMDD")&amp;"-1")</f>
        <v/>
      </c>
    </row>
    <row r="8713" spans="20:20">
      <c r="T8713" t="str">
        <f>IF(C8713="","",UPPER(LEFT(SUBSTITUTE(C8713," ",""),3))&amp;"-"&amp;TEXT(B8713,"AAMMDD")&amp;"-1")</f>
        <v/>
      </c>
    </row>
    <row r="8714" spans="20:20">
      <c r="T8714" t="str">
        <f>IF(C8714="","",UPPER(LEFT(SUBSTITUTE(C8714," ",""),3))&amp;"-"&amp;TEXT(B8714,"AAMMDD")&amp;"-1")</f>
        <v/>
      </c>
    </row>
    <row r="8715" spans="20:20">
      <c r="T8715" t="str">
        <f>IF(C8715="","",UPPER(LEFT(SUBSTITUTE(C8715," ",""),3))&amp;"-"&amp;TEXT(B8715,"AAMMDD")&amp;"-1")</f>
        <v/>
      </c>
    </row>
    <row r="8716" spans="20:20">
      <c r="T8716" t="str">
        <f>IF(C8716="","",UPPER(LEFT(SUBSTITUTE(C8716," ",""),3))&amp;"-"&amp;TEXT(B8716,"AAMMDD")&amp;"-1")</f>
        <v/>
      </c>
    </row>
    <row r="8717" spans="20:20">
      <c r="T8717" t="str">
        <f>IF(C8717="","",UPPER(LEFT(SUBSTITUTE(C8717," ",""),3))&amp;"-"&amp;TEXT(B8717,"AAMMDD")&amp;"-1")</f>
        <v/>
      </c>
    </row>
    <row r="8718" spans="20:20">
      <c r="T8718" t="str">
        <f>IF(C8718="","",UPPER(LEFT(SUBSTITUTE(C8718," ",""),3))&amp;"-"&amp;TEXT(B8718,"AAMMDD")&amp;"-1")</f>
        <v/>
      </c>
    </row>
    <row r="8719" spans="20:20">
      <c r="T8719" t="str">
        <f>IF(C8719="","",UPPER(LEFT(SUBSTITUTE(C8719," ",""),3))&amp;"-"&amp;TEXT(B8719,"AAMMDD")&amp;"-1")</f>
        <v/>
      </c>
    </row>
    <row r="8720" spans="20:20">
      <c r="T8720" t="str">
        <f>IF(C8720="","",UPPER(LEFT(SUBSTITUTE(C8720," ",""),3))&amp;"-"&amp;TEXT(B8720,"AAMMDD")&amp;"-1")</f>
        <v/>
      </c>
    </row>
    <row r="8721" spans="20:20">
      <c r="T8721" t="str">
        <f>IF(C8721="","",UPPER(LEFT(SUBSTITUTE(C8721," ",""),3))&amp;"-"&amp;TEXT(B8721,"AAMMDD")&amp;"-1")</f>
        <v/>
      </c>
    </row>
    <row r="8722" spans="20:20">
      <c r="T8722" t="str">
        <f>IF(C8722="","",UPPER(LEFT(SUBSTITUTE(C8722," ",""),3))&amp;"-"&amp;TEXT(B8722,"AAMMDD")&amp;"-1")</f>
        <v/>
      </c>
    </row>
    <row r="8723" spans="20:20">
      <c r="T8723" t="str">
        <f>IF(C8723="","",UPPER(LEFT(SUBSTITUTE(C8723," ",""),3))&amp;"-"&amp;TEXT(B8723,"AAMMDD")&amp;"-1")</f>
        <v/>
      </c>
    </row>
    <row r="8724" spans="20:20">
      <c r="T8724" t="str">
        <f>IF(C8724="","",UPPER(LEFT(SUBSTITUTE(C8724," ",""),3))&amp;"-"&amp;TEXT(B8724,"AAMMDD")&amp;"-1")</f>
        <v/>
      </c>
    </row>
    <row r="8725" spans="20:20">
      <c r="T8725" t="str">
        <f>IF(C8725="","",UPPER(LEFT(SUBSTITUTE(C8725," ",""),3))&amp;"-"&amp;TEXT(B8725,"AAMMDD")&amp;"-1")</f>
        <v/>
      </c>
    </row>
    <row r="8726" spans="20:20">
      <c r="T8726" t="str">
        <f>IF(C8726="","",UPPER(LEFT(SUBSTITUTE(C8726," ",""),3))&amp;"-"&amp;TEXT(B8726,"AAMMDD")&amp;"-1")</f>
        <v/>
      </c>
    </row>
    <row r="8727" spans="20:20">
      <c r="T8727" t="str">
        <f>IF(C8727="","",UPPER(LEFT(SUBSTITUTE(C8727," ",""),3))&amp;"-"&amp;TEXT(B8727,"AAMMDD")&amp;"-1")</f>
        <v/>
      </c>
    </row>
    <row r="8728" spans="20:20">
      <c r="T8728" t="str">
        <f>IF(C8728="","",UPPER(LEFT(SUBSTITUTE(C8728," ",""),3))&amp;"-"&amp;TEXT(B8728,"AAMMDD")&amp;"-1")</f>
        <v/>
      </c>
    </row>
    <row r="8729" spans="20:20">
      <c r="T8729" t="str">
        <f>IF(C8729="","",UPPER(LEFT(SUBSTITUTE(C8729," ",""),3))&amp;"-"&amp;TEXT(B8729,"AAMMDD")&amp;"-1")</f>
        <v/>
      </c>
    </row>
    <row r="8730" spans="20:20">
      <c r="T8730" t="str">
        <f>IF(C8730="","",UPPER(LEFT(SUBSTITUTE(C8730," ",""),3))&amp;"-"&amp;TEXT(B8730,"AAMMDD")&amp;"-1")</f>
        <v/>
      </c>
    </row>
    <row r="8731" spans="20:20">
      <c r="T8731" t="str">
        <f>IF(C8731="","",UPPER(LEFT(SUBSTITUTE(C8731," ",""),3))&amp;"-"&amp;TEXT(B8731,"AAMMDD")&amp;"-1")</f>
        <v/>
      </c>
    </row>
    <row r="8732" spans="20:20">
      <c r="T8732" t="str">
        <f>IF(C8732="","",UPPER(LEFT(SUBSTITUTE(C8732," ",""),3))&amp;"-"&amp;TEXT(B8732,"AAMMDD")&amp;"-1")</f>
        <v/>
      </c>
    </row>
    <row r="8733" spans="20:20">
      <c r="T8733" t="str">
        <f>IF(C8733="","",UPPER(LEFT(SUBSTITUTE(C8733," ",""),3))&amp;"-"&amp;TEXT(B8733,"AAMMDD")&amp;"-1")</f>
        <v/>
      </c>
    </row>
    <row r="8734" spans="20:20">
      <c r="T8734" t="str">
        <f>IF(C8734="","",UPPER(LEFT(SUBSTITUTE(C8734," ",""),3))&amp;"-"&amp;TEXT(B8734,"AAMMDD")&amp;"-1")</f>
        <v/>
      </c>
    </row>
    <row r="8735" spans="20:20">
      <c r="T8735" t="str">
        <f>IF(C8735="","",UPPER(LEFT(SUBSTITUTE(C8735," ",""),3))&amp;"-"&amp;TEXT(B8735,"AAMMDD")&amp;"-1")</f>
        <v/>
      </c>
    </row>
    <row r="8736" spans="20:20">
      <c r="T8736" t="str">
        <f>IF(C8736="","",UPPER(LEFT(SUBSTITUTE(C8736," ",""),3))&amp;"-"&amp;TEXT(B8736,"AAMMDD")&amp;"-1")</f>
        <v/>
      </c>
    </row>
    <row r="8737" spans="20:20">
      <c r="T8737" t="str">
        <f>IF(C8737="","",UPPER(LEFT(SUBSTITUTE(C8737," ",""),3))&amp;"-"&amp;TEXT(B8737,"AAMMDD")&amp;"-1")</f>
        <v/>
      </c>
    </row>
    <row r="8738" spans="20:20">
      <c r="T8738" t="str">
        <f>IF(C8738="","",UPPER(LEFT(SUBSTITUTE(C8738," ",""),3))&amp;"-"&amp;TEXT(B8738,"AAMMDD")&amp;"-1")</f>
        <v/>
      </c>
    </row>
    <row r="8739" spans="20:20">
      <c r="T8739" t="str">
        <f>IF(C8739="","",UPPER(LEFT(SUBSTITUTE(C8739," ",""),3))&amp;"-"&amp;TEXT(B8739,"AAMMDD")&amp;"-1")</f>
        <v/>
      </c>
    </row>
    <row r="8740" spans="20:20">
      <c r="T8740" t="str">
        <f>IF(C8740="","",UPPER(LEFT(SUBSTITUTE(C8740," ",""),3))&amp;"-"&amp;TEXT(B8740,"AAMMDD")&amp;"-1")</f>
        <v/>
      </c>
    </row>
    <row r="8741" spans="20:20">
      <c r="T8741" t="str">
        <f>IF(C8741="","",UPPER(LEFT(SUBSTITUTE(C8741," ",""),3))&amp;"-"&amp;TEXT(B8741,"AAMMDD")&amp;"-1")</f>
        <v/>
      </c>
    </row>
    <row r="8742" spans="20:20">
      <c r="T8742" t="str">
        <f>IF(C8742="","",UPPER(LEFT(SUBSTITUTE(C8742," ",""),3))&amp;"-"&amp;TEXT(B8742,"AAMMDD")&amp;"-1")</f>
        <v/>
      </c>
    </row>
    <row r="8743" spans="20:20">
      <c r="T8743" t="str">
        <f>IF(C8743="","",UPPER(LEFT(SUBSTITUTE(C8743," ",""),3))&amp;"-"&amp;TEXT(B8743,"AAMMDD")&amp;"-1")</f>
        <v/>
      </c>
    </row>
    <row r="8744" spans="20:20">
      <c r="T8744" t="str">
        <f>IF(C8744="","",UPPER(LEFT(SUBSTITUTE(C8744," ",""),3))&amp;"-"&amp;TEXT(B8744,"AAMMDD")&amp;"-1")</f>
        <v/>
      </c>
    </row>
    <row r="8745" spans="20:20">
      <c r="T8745" t="str">
        <f>IF(C8745="","",UPPER(LEFT(SUBSTITUTE(C8745," ",""),3))&amp;"-"&amp;TEXT(B8745,"AAMMDD")&amp;"-1")</f>
        <v/>
      </c>
    </row>
    <row r="8746" spans="20:20">
      <c r="T8746" t="str">
        <f>IF(C8746="","",UPPER(LEFT(SUBSTITUTE(C8746," ",""),3))&amp;"-"&amp;TEXT(B8746,"AAMMDD")&amp;"-1")</f>
        <v/>
      </c>
    </row>
    <row r="8747" spans="20:20">
      <c r="T8747" t="str">
        <f>IF(C8747="","",UPPER(LEFT(SUBSTITUTE(C8747," ",""),3))&amp;"-"&amp;TEXT(B8747,"AAMMDD")&amp;"-1")</f>
        <v/>
      </c>
    </row>
    <row r="8748" spans="20:20">
      <c r="T8748" t="str">
        <f>IF(C8748="","",UPPER(LEFT(SUBSTITUTE(C8748," ",""),3))&amp;"-"&amp;TEXT(B8748,"AAMMDD")&amp;"-1")</f>
        <v/>
      </c>
    </row>
    <row r="8749" spans="20:20">
      <c r="T8749" t="str">
        <f>IF(C8749="","",UPPER(LEFT(SUBSTITUTE(C8749," ",""),3))&amp;"-"&amp;TEXT(B8749,"AAMMDD")&amp;"-1")</f>
        <v/>
      </c>
    </row>
    <row r="8750" spans="20:20">
      <c r="T8750" t="str">
        <f>IF(C8750="","",UPPER(LEFT(SUBSTITUTE(C8750," ",""),3))&amp;"-"&amp;TEXT(B8750,"AAMMDD")&amp;"-1")</f>
        <v/>
      </c>
    </row>
    <row r="8751" spans="20:20">
      <c r="T8751" t="str">
        <f>IF(C8751="","",UPPER(LEFT(SUBSTITUTE(C8751," ",""),3))&amp;"-"&amp;TEXT(B8751,"AAMMDD")&amp;"-1")</f>
        <v/>
      </c>
    </row>
    <row r="8752" spans="20:20">
      <c r="T8752" t="str">
        <f>IF(C8752="","",UPPER(LEFT(SUBSTITUTE(C8752," ",""),3))&amp;"-"&amp;TEXT(B8752,"AAMMDD")&amp;"-1")</f>
        <v/>
      </c>
    </row>
    <row r="8753" spans="20:20">
      <c r="T8753" t="str">
        <f>IF(C8753="","",UPPER(LEFT(SUBSTITUTE(C8753," ",""),3))&amp;"-"&amp;TEXT(B8753,"AAMMDD")&amp;"-1")</f>
        <v/>
      </c>
    </row>
    <row r="8754" spans="20:20">
      <c r="T8754" t="str">
        <f>IF(C8754="","",UPPER(LEFT(SUBSTITUTE(C8754," ",""),3))&amp;"-"&amp;TEXT(B8754,"AAMMDD")&amp;"-1")</f>
        <v/>
      </c>
    </row>
    <row r="8755" spans="20:20">
      <c r="T8755" t="str">
        <f>IF(C8755="","",UPPER(LEFT(SUBSTITUTE(C8755," ",""),3))&amp;"-"&amp;TEXT(B8755,"AAMMDD")&amp;"-1")</f>
        <v/>
      </c>
    </row>
    <row r="8756" spans="20:20">
      <c r="T8756" t="str">
        <f>IF(C8756="","",UPPER(LEFT(SUBSTITUTE(C8756," ",""),3))&amp;"-"&amp;TEXT(B8756,"AAMMDD")&amp;"-1")</f>
        <v/>
      </c>
    </row>
    <row r="8757" spans="20:20">
      <c r="T8757" t="str">
        <f>IF(C8757="","",UPPER(LEFT(SUBSTITUTE(C8757," ",""),3))&amp;"-"&amp;TEXT(B8757,"AAMMDD")&amp;"-1")</f>
        <v/>
      </c>
    </row>
    <row r="8758" spans="20:20">
      <c r="T8758" t="str">
        <f>IF(C8758="","",UPPER(LEFT(SUBSTITUTE(C8758," ",""),3))&amp;"-"&amp;TEXT(B8758,"AAMMDD")&amp;"-1")</f>
        <v/>
      </c>
    </row>
    <row r="8759" spans="20:20">
      <c r="T8759" t="str">
        <f>IF(C8759="","",UPPER(LEFT(SUBSTITUTE(C8759," ",""),3))&amp;"-"&amp;TEXT(B8759,"AAMMDD")&amp;"-1")</f>
        <v/>
      </c>
    </row>
    <row r="8760" spans="20:20">
      <c r="T8760" t="str">
        <f>IF(C8760="","",UPPER(LEFT(SUBSTITUTE(C8760," ",""),3))&amp;"-"&amp;TEXT(B8760,"AAMMDD")&amp;"-1")</f>
        <v/>
      </c>
    </row>
    <row r="8761" spans="20:20">
      <c r="T8761" t="str">
        <f>IF(C8761="","",UPPER(LEFT(SUBSTITUTE(C8761," ",""),3))&amp;"-"&amp;TEXT(B8761,"AAMMDD")&amp;"-1")</f>
        <v/>
      </c>
    </row>
    <row r="8762" spans="20:20">
      <c r="T8762" t="str">
        <f>IF(C8762="","",UPPER(LEFT(SUBSTITUTE(C8762," ",""),3))&amp;"-"&amp;TEXT(B8762,"AAMMDD")&amp;"-1")</f>
        <v/>
      </c>
    </row>
    <row r="8763" spans="20:20">
      <c r="T8763" t="str">
        <f>IF(C8763="","",UPPER(LEFT(SUBSTITUTE(C8763," ",""),3))&amp;"-"&amp;TEXT(B8763,"AAMMDD")&amp;"-1")</f>
        <v/>
      </c>
    </row>
    <row r="8764" spans="20:20">
      <c r="T8764" t="str">
        <f>IF(C8764="","",UPPER(LEFT(SUBSTITUTE(C8764," ",""),3))&amp;"-"&amp;TEXT(B8764,"AAMMDD")&amp;"-1")</f>
        <v/>
      </c>
    </row>
    <row r="8765" spans="20:20">
      <c r="T8765" t="str">
        <f>IF(C8765="","",UPPER(LEFT(SUBSTITUTE(C8765," ",""),3))&amp;"-"&amp;TEXT(B8765,"AAMMDD")&amp;"-1")</f>
        <v/>
      </c>
    </row>
    <row r="8766" spans="20:20">
      <c r="T8766" t="str">
        <f>IF(C8766="","",UPPER(LEFT(SUBSTITUTE(C8766," ",""),3))&amp;"-"&amp;TEXT(B8766,"AAMMDD")&amp;"-1")</f>
        <v/>
      </c>
    </row>
    <row r="8767" spans="20:20">
      <c r="T8767" t="str">
        <f>IF(C8767="","",UPPER(LEFT(SUBSTITUTE(C8767," ",""),3))&amp;"-"&amp;TEXT(B8767,"AAMMDD")&amp;"-1")</f>
        <v/>
      </c>
    </row>
    <row r="8768" spans="20:20">
      <c r="T8768" t="str">
        <f>IF(C8768="","",UPPER(LEFT(SUBSTITUTE(C8768," ",""),3))&amp;"-"&amp;TEXT(B8768,"AAMMDD")&amp;"-1")</f>
        <v/>
      </c>
    </row>
    <row r="8769" spans="20:20">
      <c r="T8769" t="str">
        <f>IF(C8769="","",UPPER(LEFT(SUBSTITUTE(C8769," ",""),3))&amp;"-"&amp;TEXT(B8769,"AAMMDD")&amp;"-1")</f>
        <v/>
      </c>
    </row>
    <row r="8770" spans="20:20">
      <c r="T8770" t="str">
        <f>IF(C8770="","",UPPER(LEFT(SUBSTITUTE(C8770," ",""),3))&amp;"-"&amp;TEXT(B8770,"AAMMDD")&amp;"-1")</f>
        <v/>
      </c>
    </row>
    <row r="8771" spans="20:20">
      <c r="T8771" t="str">
        <f>IF(C8771="","",UPPER(LEFT(SUBSTITUTE(C8771," ",""),3))&amp;"-"&amp;TEXT(B8771,"AAMMDD")&amp;"-1")</f>
        <v/>
      </c>
    </row>
    <row r="8772" spans="20:20">
      <c r="T8772" t="str">
        <f>IF(C8772="","",UPPER(LEFT(SUBSTITUTE(C8772," ",""),3))&amp;"-"&amp;TEXT(B8772,"AAMMDD")&amp;"-1")</f>
        <v/>
      </c>
    </row>
    <row r="8773" spans="20:20">
      <c r="T8773" t="str">
        <f>IF(C8773="","",UPPER(LEFT(SUBSTITUTE(C8773," ",""),3))&amp;"-"&amp;TEXT(B8773,"AAMMDD")&amp;"-1")</f>
        <v/>
      </c>
    </row>
    <row r="8774" spans="20:20">
      <c r="T8774" t="str">
        <f>IF(C8774="","",UPPER(LEFT(SUBSTITUTE(C8774," ",""),3))&amp;"-"&amp;TEXT(B8774,"AAMMDD")&amp;"-1")</f>
        <v/>
      </c>
    </row>
    <row r="8775" spans="20:20">
      <c r="T8775" t="str">
        <f>IF(C8775="","",UPPER(LEFT(SUBSTITUTE(C8775," ",""),3))&amp;"-"&amp;TEXT(B8775,"AAMMDD")&amp;"-1")</f>
        <v/>
      </c>
    </row>
    <row r="8776" spans="20:20">
      <c r="T8776" t="str">
        <f>IF(C8776="","",UPPER(LEFT(SUBSTITUTE(C8776," ",""),3))&amp;"-"&amp;TEXT(B8776,"AAMMDD")&amp;"-1")</f>
        <v/>
      </c>
    </row>
    <row r="8777" spans="20:20">
      <c r="T8777" t="str">
        <f>IF(C8777="","",UPPER(LEFT(SUBSTITUTE(C8777," ",""),3))&amp;"-"&amp;TEXT(B8777,"AAMMDD")&amp;"-1")</f>
        <v/>
      </c>
    </row>
    <row r="8778" spans="20:20">
      <c r="T8778" t="str">
        <f>IF(C8778="","",UPPER(LEFT(SUBSTITUTE(C8778," ",""),3))&amp;"-"&amp;TEXT(B8778,"AAMMDD")&amp;"-1")</f>
        <v/>
      </c>
    </row>
    <row r="8779" spans="20:20">
      <c r="T8779" t="str">
        <f>IF(C8779="","",UPPER(LEFT(SUBSTITUTE(C8779," ",""),3))&amp;"-"&amp;TEXT(B8779,"AAMMDD")&amp;"-1")</f>
        <v/>
      </c>
    </row>
    <row r="8780" spans="20:20">
      <c r="T8780" t="str">
        <f>IF(C8780="","",UPPER(LEFT(SUBSTITUTE(C8780," ",""),3))&amp;"-"&amp;TEXT(B8780,"AAMMDD")&amp;"-1")</f>
        <v/>
      </c>
    </row>
    <row r="8781" spans="20:20">
      <c r="T8781" t="str">
        <f>IF(C8781="","",UPPER(LEFT(SUBSTITUTE(C8781," ",""),3))&amp;"-"&amp;TEXT(B8781,"AAMMDD")&amp;"-1")</f>
        <v/>
      </c>
    </row>
    <row r="8782" spans="20:20">
      <c r="T8782" t="str">
        <f>IF(C8782="","",UPPER(LEFT(SUBSTITUTE(C8782," ",""),3))&amp;"-"&amp;TEXT(B8782,"AAMMDD")&amp;"-1")</f>
        <v/>
      </c>
    </row>
    <row r="8783" spans="20:20">
      <c r="T8783" t="str">
        <f>IF(C8783="","",UPPER(LEFT(SUBSTITUTE(C8783," ",""),3))&amp;"-"&amp;TEXT(B8783,"AAMMDD")&amp;"-1")</f>
        <v/>
      </c>
    </row>
    <row r="8784" spans="20:20">
      <c r="T8784" t="str">
        <f>IF(C8784="","",UPPER(LEFT(SUBSTITUTE(C8784," ",""),3))&amp;"-"&amp;TEXT(B8784,"AAMMDD")&amp;"-1")</f>
        <v/>
      </c>
    </row>
    <row r="8785" spans="20:20">
      <c r="T8785" t="str">
        <f>IF(C8785="","",UPPER(LEFT(SUBSTITUTE(C8785," ",""),3))&amp;"-"&amp;TEXT(B8785,"AAMMDD")&amp;"-1")</f>
        <v/>
      </c>
    </row>
    <row r="8786" spans="20:20">
      <c r="T8786" t="str">
        <f>IF(C8786="","",UPPER(LEFT(SUBSTITUTE(C8786," ",""),3))&amp;"-"&amp;TEXT(B8786,"AAMMDD")&amp;"-1")</f>
        <v/>
      </c>
    </row>
    <row r="8787" spans="20:20">
      <c r="T8787" t="str">
        <f>IF(C8787="","",UPPER(LEFT(SUBSTITUTE(C8787," ",""),3))&amp;"-"&amp;TEXT(B8787,"AAMMDD")&amp;"-1")</f>
        <v/>
      </c>
    </row>
    <row r="8788" spans="20:20">
      <c r="T8788" t="str">
        <f>IF(C8788="","",UPPER(LEFT(SUBSTITUTE(C8788," ",""),3))&amp;"-"&amp;TEXT(B8788,"AAMMDD")&amp;"-1")</f>
        <v/>
      </c>
    </row>
    <row r="8789" spans="20:20">
      <c r="T8789" t="str">
        <f>IF(C8789="","",UPPER(LEFT(SUBSTITUTE(C8789," ",""),3))&amp;"-"&amp;TEXT(B8789,"AAMMDD")&amp;"-1")</f>
        <v/>
      </c>
    </row>
    <row r="8790" spans="20:20">
      <c r="T8790" t="str">
        <f>IF(C8790="","",UPPER(LEFT(SUBSTITUTE(C8790," ",""),3))&amp;"-"&amp;TEXT(B8790,"AAMMDD")&amp;"-1")</f>
        <v/>
      </c>
    </row>
    <row r="8791" spans="20:20">
      <c r="T8791" t="str">
        <f>IF(C8791="","",UPPER(LEFT(SUBSTITUTE(C8791," ",""),3))&amp;"-"&amp;TEXT(B8791,"AAMMDD")&amp;"-1")</f>
        <v/>
      </c>
    </row>
    <row r="8792" spans="20:20">
      <c r="T8792" t="str">
        <f>IF(C8792="","",UPPER(LEFT(SUBSTITUTE(C8792," ",""),3))&amp;"-"&amp;TEXT(B8792,"AAMMDD")&amp;"-1")</f>
        <v/>
      </c>
    </row>
    <row r="8793" spans="20:20">
      <c r="T8793" t="str">
        <f>IF(C8793="","",UPPER(LEFT(SUBSTITUTE(C8793," ",""),3))&amp;"-"&amp;TEXT(B8793,"AAMMDD")&amp;"-1")</f>
        <v/>
      </c>
    </row>
    <row r="8794" spans="20:20">
      <c r="T8794" t="str">
        <f>IF(C8794="","",UPPER(LEFT(SUBSTITUTE(C8794," ",""),3))&amp;"-"&amp;TEXT(B8794,"AAMMDD")&amp;"-1")</f>
        <v/>
      </c>
    </row>
    <row r="8795" spans="20:20">
      <c r="T8795" t="str">
        <f>IF(C8795="","",UPPER(LEFT(SUBSTITUTE(C8795," ",""),3))&amp;"-"&amp;TEXT(B8795,"AAMMDD")&amp;"-1")</f>
        <v/>
      </c>
    </row>
    <row r="8796" spans="20:20">
      <c r="T8796" t="str">
        <f>IF(C8796="","",UPPER(LEFT(SUBSTITUTE(C8796," ",""),3))&amp;"-"&amp;TEXT(B8796,"AAMMDD")&amp;"-1")</f>
        <v/>
      </c>
    </row>
    <row r="8797" spans="20:20">
      <c r="T8797" t="str">
        <f>IF(C8797="","",UPPER(LEFT(SUBSTITUTE(C8797," ",""),3))&amp;"-"&amp;TEXT(B8797,"AAMMDD")&amp;"-1")</f>
        <v/>
      </c>
    </row>
    <row r="8798" spans="20:20">
      <c r="T8798" t="str">
        <f>IF(C8798="","",UPPER(LEFT(SUBSTITUTE(C8798," ",""),3))&amp;"-"&amp;TEXT(B8798,"AAMMDD")&amp;"-1")</f>
        <v/>
      </c>
    </row>
    <row r="8799" spans="20:20">
      <c r="T8799" t="str">
        <f>IF(C8799="","",UPPER(LEFT(SUBSTITUTE(C8799," ",""),3))&amp;"-"&amp;TEXT(B8799,"AAMMDD")&amp;"-1")</f>
        <v/>
      </c>
    </row>
    <row r="8800" spans="20:20">
      <c r="T8800" t="str">
        <f>IF(C8800="","",UPPER(LEFT(SUBSTITUTE(C8800," ",""),3))&amp;"-"&amp;TEXT(B8800,"AAMMDD")&amp;"-1")</f>
        <v/>
      </c>
    </row>
    <row r="8801" spans="20:20">
      <c r="T8801" t="str">
        <f>IF(C8801="","",UPPER(LEFT(SUBSTITUTE(C8801," ",""),3))&amp;"-"&amp;TEXT(B8801,"AAMMDD")&amp;"-1")</f>
        <v/>
      </c>
    </row>
    <row r="8802" spans="20:20">
      <c r="T8802" t="str">
        <f>IF(C8802="","",UPPER(LEFT(SUBSTITUTE(C8802," ",""),3))&amp;"-"&amp;TEXT(B8802,"AAMMDD")&amp;"-1")</f>
        <v/>
      </c>
    </row>
    <row r="8803" spans="20:20">
      <c r="T8803" t="str">
        <f>IF(C8803="","",UPPER(LEFT(SUBSTITUTE(C8803," ",""),3))&amp;"-"&amp;TEXT(B8803,"AAMMDD")&amp;"-1")</f>
        <v/>
      </c>
    </row>
    <row r="8804" spans="20:20">
      <c r="T8804" t="str">
        <f>IF(C8804="","",UPPER(LEFT(SUBSTITUTE(C8804," ",""),3))&amp;"-"&amp;TEXT(B8804,"AAMMDD")&amp;"-1")</f>
        <v/>
      </c>
    </row>
    <row r="8805" spans="20:20">
      <c r="T8805" t="str">
        <f>IF(C8805="","",UPPER(LEFT(SUBSTITUTE(C8805," ",""),3))&amp;"-"&amp;TEXT(B8805,"AAMMDD")&amp;"-1")</f>
        <v/>
      </c>
    </row>
    <row r="8806" spans="20:20">
      <c r="T8806" t="str">
        <f>IF(C8806="","",UPPER(LEFT(SUBSTITUTE(C8806," ",""),3))&amp;"-"&amp;TEXT(B8806,"AAMMDD")&amp;"-1")</f>
        <v/>
      </c>
    </row>
    <row r="8807" spans="20:20">
      <c r="T8807" t="str">
        <f>IF(C8807="","",UPPER(LEFT(SUBSTITUTE(C8807," ",""),3))&amp;"-"&amp;TEXT(B8807,"AAMMDD")&amp;"-1")</f>
        <v/>
      </c>
    </row>
    <row r="8808" spans="20:20">
      <c r="T8808" t="str">
        <f>IF(C8808="","",UPPER(LEFT(SUBSTITUTE(C8808," ",""),3))&amp;"-"&amp;TEXT(B8808,"AAMMDD")&amp;"-1")</f>
        <v/>
      </c>
    </row>
    <row r="8809" spans="20:20">
      <c r="T8809" t="str">
        <f>IF(C8809="","",UPPER(LEFT(SUBSTITUTE(C8809," ",""),3))&amp;"-"&amp;TEXT(B8809,"AAMMDD")&amp;"-1")</f>
        <v/>
      </c>
    </row>
    <row r="8810" spans="20:20">
      <c r="T8810" t="str">
        <f>IF(C8810="","",UPPER(LEFT(SUBSTITUTE(C8810," ",""),3))&amp;"-"&amp;TEXT(B8810,"AAMMDD")&amp;"-1")</f>
        <v/>
      </c>
    </row>
    <row r="8811" spans="20:20">
      <c r="T8811" t="str">
        <f>IF(C8811="","",UPPER(LEFT(SUBSTITUTE(C8811," ",""),3))&amp;"-"&amp;TEXT(B8811,"AAMMDD")&amp;"-1")</f>
        <v/>
      </c>
    </row>
    <row r="8812" spans="20:20">
      <c r="T8812" t="str">
        <f>IF(C8812="","",UPPER(LEFT(SUBSTITUTE(C8812," ",""),3))&amp;"-"&amp;TEXT(B8812,"AAMMDD")&amp;"-1")</f>
        <v/>
      </c>
    </row>
    <row r="8813" spans="20:20">
      <c r="T8813" t="str">
        <f>IF(C8813="","",UPPER(LEFT(SUBSTITUTE(C8813," ",""),3))&amp;"-"&amp;TEXT(B8813,"AAMMDD")&amp;"-1")</f>
        <v/>
      </c>
    </row>
    <row r="8814" spans="20:20">
      <c r="T8814" t="str">
        <f>IF(C8814="","",UPPER(LEFT(SUBSTITUTE(C8814," ",""),3))&amp;"-"&amp;TEXT(B8814,"AAMMDD")&amp;"-1")</f>
        <v/>
      </c>
    </row>
    <row r="8815" spans="20:20">
      <c r="T8815" t="str">
        <f>IF(C8815="","",UPPER(LEFT(SUBSTITUTE(C8815," ",""),3))&amp;"-"&amp;TEXT(B8815,"AAMMDD")&amp;"-1")</f>
        <v/>
      </c>
    </row>
    <row r="8816" spans="20:20">
      <c r="T8816" t="str">
        <f>IF(C8816="","",UPPER(LEFT(SUBSTITUTE(C8816," ",""),3))&amp;"-"&amp;TEXT(B8816,"AAMMDD")&amp;"-1")</f>
        <v/>
      </c>
    </row>
    <row r="8817" spans="20:20">
      <c r="T8817" t="str">
        <f>IF(C8817="","",UPPER(LEFT(SUBSTITUTE(C8817," ",""),3))&amp;"-"&amp;TEXT(B8817,"AAMMDD")&amp;"-1")</f>
        <v/>
      </c>
    </row>
    <row r="8818" spans="20:20">
      <c r="T8818" t="str">
        <f>IF(C8818="","",UPPER(LEFT(SUBSTITUTE(C8818," ",""),3))&amp;"-"&amp;TEXT(B8818,"AAMMDD")&amp;"-1")</f>
        <v/>
      </c>
    </row>
    <row r="8819" spans="20:20">
      <c r="T8819" t="str">
        <f>IF(C8819="","",UPPER(LEFT(SUBSTITUTE(C8819," ",""),3))&amp;"-"&amp;TEXT(B8819,"AAMMDD")&amp;"-1")</f>
        <v/>
      </c>
    </row>
    <row r="8820" spans="20:20">
      <c r="T8820" t="str">
        <f>IF(C8820="","",UPPER(LEFT(SUBSTITUTE(C8820," ",""),3))&amp;"-"&amp;TEXT(B8820,"AAMMDD")&amp;"-1")</f>
        <v/>
      </c>
    </row>
    <row r="8821" spans="20:20">
      <c r="T8821" t="str">
        <f>IF(C8821="","",UPPER(LEFT(SUBSTITUTE(C8821," ",""),3))&amp;"-"&amp;TEXT(B8821,"AAMMDD")&amp;"-1")</f>
        <v/>
      </c>
    </row>
    <row r="8822" spans="20:20">
      <c r="T8822" t="str">
        <f>IF(C8822="","",UPPER(LEFT(SUBSTITUTE(C8822," ",""),3))&amp;"-"&amp;TEXT(B8822,"AAMMDD")&amp;"-1")</f>
        <v/>
      </c>
    </row>
    <row r="8823" spans="20:20">
      <c r="T8823" t="str">
        <f>IF(C8823="","",UPPER(LEFT(SUBSTITUTE(C8823," ",""),3))&amp;"-"&amp;TEXT(B8823,"AAMMDD")&amp;"-1")</f>
        <v/>
      </c>
    </row>
    <row r="8824" spans="20:20">
      <c r="T8824" t="str">
        <f>IF(C8824="","",UPPER(LEFT(SUBSTITUTE(C8824," ",""),3))&amp;"-"&amp;TEXT(B8824,"AAMMDD")&amp;"-1")</f>
        <v/>
      </c>
    </row>
    <row r="8825" spans="20:20">
      <c r="T8825" t="str">
        <f>IF(C8825="","",UPPER(LEFT(SUBSTITUTE(C8825," ",""),3))&amp;"-"&amp;TEXT(B8825,"AAMMDD")&amp;"-1")</f>
        <v/>
      </c>
    </row>
    <row r="8826" spans="20:20">
      <c r="T8826" t="str">
        <f>IF(C8826="","",UPPER(LEFT(SUBSTITUTE(C8826," ",""),3))&amp;"-"&amp;TEXT(B8826,"AAMMDD")&amp;"-1")</f>
        <v/>
      </c>
    </row>
    <row r="8827" spans="20:20">
      <c r="T8827" t="str">
        <f>IF(C8827="","",UPPER(LEFT(SUBSTITUTE(C8827," ",""),3))&amp;"-"&amp;TEXT(B8827,"AAMMDD")&amp;"-1")</f>
        <v/>
      </c>
    </row>
    <row r="8828" spans="20:20">
      <c r="T8828" t="str">
        <f>IF(C8828="","",UPPER(LEFT(SUBSTITUTE(C8828," ",""),3))&amp;"-"&amp;TEXT(B8828,"AAMMDD")&amp;"-1")</f>
        <v/>
      </c>
    </row>
    <row r="8829" spans="20:20">
      <c r="T8829" t="str">
        <f>IF(C8829="","",UPPER(LEFT(SUBSTITUTE(C8829," ",""),3))&amp;"-"&amp;TEXT(B8829,"AAMMDD")&amp;"-1")</f>
        <v/>
      </c>
    </row>
    <row r="8830" spans="20:20">
      <c r="T8830" t="str">
        <f>IF(C8830="","",UPPER(LEFT(SUBSTITUTE(C8830," ",""),3))&amp;"-"&amp;TEXT(B8830,"AAMMDD")&amp;"-1")</f>
        <v/>
      </c>
    </row>
    <row r="8831" spans="20:20">
      <c r="T8831" t="str">
        <f>IF(C8831="","",UPPER(LEFT(SUBSTITUTE(C8831," ",""),3))&amp;"-"&amp;TEXT(B8831,"AAMMDD")&amp;"-1")</f>
        <v/>
      </c>
    </row>
    <row r="8832" spans="20:20">
      <c r="T8832" t="str">
        <f>IF(C8832="","",UPPER(LEFT(SUBSTITUTE(C8832," ",""),3))&amp;"-"&amp;TEXT(B8832,"AAMMDD")&amp;"-1")</f>
        <v/>
      </c>
    </row>
    <row r="8833" spans="20:20">
      <c r="T8833" t="str">
        <f>IF(C8833="","",UPPER(LEFT(SUBSTITUTE(C8833," ",""),3))&amp;"-"&amp;TEXT(B8833,"AAMMDD")&amp;"-1")</f>
        <v/>
      </c>
    </row>
    <row r="8834" spans="20:20">
      <c r="T8834" t="str">
        <f>IF(C8834="","",UPPER(LEFT(SUBSTITUTE(C8834," ",""),3))&amp;"-"&amp;TEXT(B8834,"AAMMDD")&amp;"-1")</f>
        <v/>
      </c>
    </row>
    <row r="8835" spans="20:20">
      <c r="T8835" t="str">
        <f>IF(C8835="","",UPPER(LEFT(SUBSTITUTE(C8835," ",""),3))&amp;"-"&amp;TEXT(B8835,"AAMMDD")&amp;"-1")</f>
        <v/>
      </c>
    </row>
    <row r="8836" spans="20:20">
      <c r="T8836" t="str">
        <f>IF(C8836="","",UPPER(LEFT(SUBSTITUTE(C8836," ",""),3))&amp;"-"&amp;TEXT(B8836,"AAMMDD")&amp;"-1")</f>
        <v/>
      </c>
    </row>
    <row r="8837" spans="20:20">
      <c r="T8837" t="str">
        <f>IF(C8837="","",UPPER(LEFT(SUBSTITUTE(C8837," ",""),3))&amp;"-"&amp;TEXT(B8837,"AAMMDD")&amp;"-1")</f>
        <v/>
      </c>
    </row>
    <row r="8838" spans="20:20">
      <c r="T8838" t="str">
        <f>IF(C8838="","",UPPER(LEFT(SUBSTITUTE(C8838," ",""),3))&amp;"-"&amp;TEXT(B8838,"AAMMDD")&amp;"-1")</f>
        <v/>
      </c>
    </row>
    <row r="8839" spans="20:20">
      <c r="T8839" t="str">
        <f>IF(C8839="","",UPPER(LEFT(SUBSTITUTE(C8839," ",""),3))&amp;"-"&amp;TEXT(B8839,"AAMMDD")&amp;"-1")</f>
        <v/>
      </c>
    </row>
    <row r="8840" spans="20:20">
      <c r="T8840" t="str">
        <f>IF(C8840="","",UPPER(LEFT(SUBSTITUTE(C8840," ",""),3))&amp;"-"&amp;TEXT(B8840,"AAMMDD")&amp;"-1")</f>
        <v/>
      </c>
    </row>
    <row r="8841" spans="20:20">
      <c r="T8841" t="str">
        <f>IF(C8841="","",UPPER(LEFT(SUBSTITUTE(C8841," ",""),3))&amp;"-"&amp;TEXT(B8841,"AAMMDD")&amp;"-1")</f>
        <v/>
      </c>
    </row>
    <row r="8842" spans="20:20">
      <c r="T8842" t="str">
        <f>IF(C8842="","",UPPER(LEFT(SUBSTITUTE(C8842," ",""),3))&amp;"-"&amp;TEXT(B8842,"AAMMDD")&amp;"-1")</f>
        <v/>
      </c>
    </row>
    <row r="8843" spans="20:20">
      <c r="T8843" t="str">
        <f>IF(C8843="","",UPPER(LEFT(SUBSTITUTE(C8843," ",""),3))&amp;"-"&amp;TEXT(B8843,"AAMMDD")&amp;"-1")</f>
        <v/>
      </c>
    </row>
    <row r="8844" spans="20:20">
      <c r="T8844" t="str">
        <f>IF(C8844="","",UPPER(LEFT(SUBSTITUTE(C8844," ",""),3))&amp;"-"&amp;TEXT(B8844,"AAMMDD")&amp;"-1")</f>
        <v/>
      </c>
    </row>
    <row r="8845" spans="20:20">
      <c r="T8845" t="str">
        <f>IF(C8845="","",UPPER(LEFT(SUBSTITUTE(C8845," ",""),3))&amp;"-"&amp;TEXT(B8845,"AAMMDD")&amp;"-1")</f>
        <v/>
      </c>
    </row>
    <row r="8846" spans="20:20">
      <c r="T8846" t="str">
        <f>IF(C8846="","",UPPER(LEFT(SUBSTITUTE(C8846," ",""),3))&amp;"-"&amp;TEXT(B8846,"AAMMDD")&amp;"-1")</f>
        <v/>
      </c>
    </row>
    <row r="8847" spans="20:20">
      <c r="T8847" t="str">
        <f>IF(C8847="","",UPPER(LEFT(SUBSTITUTE(C8847," ",""),3))&amp;"-"&amp;TEXT(B8847,"AAMMDD")&amp;"-1")</f>
        <v/>
      </c>
    </row>
    <row r="8848" spans="20:20">
      <c r="T8848" t="str">
        <f>IF(C8848="","",UPPER(LEFT(SUBSTITUTE(C8848," ",""),3))&amp;"-"&amp;TEXT(B8848,"AAMMDD")&amp;"-1")</f>
        <v/>
      </c>
    </row>
    <row r="8849" spans="20:20">
      <c r="T8849" t="str">
        <f>IF(C8849="","",UPPER(LEFT(SUBSTITUTE(C8849," ",""),3))&amp;"-"&amp;TEXT(B8849,"AAMMDD")&amp;"-1")</f>
        <v/>
      </c>
    </row>
    <row r="8850" spans="20:20">
      <c r="T8850" t="str">
        <f>IF(C8850="","",UPPER(LEFT(SUBSTITUTE(C8850," ",""),3))&amp;"-"&amp;TEXT(B8850,"AAMMDD")&amp;"-1")</f>
        <v/>
      </c>
    </row>
    <row r="8851" spans="20:20">
      <c r="T8851" t="str">
        <f>IF(C8851="","",UPPER(LEFT(SUBSTITUTE(C8851," ",""),3))&amp;"-"&amp;TEXT(B8851,"AAMMDD")&amp;"-1")</f>
        <v/>
      </c>
    </row>
    <row r="8852" spans="20:20">
      <c r="T8852" t="str">
        <f>IF(C8852="","",UPPER(LEFT(SUBSTITUTE(C8852," ",""),3))&amp;"-"&amp;TEXT(B8852,"AAMMDD")&amp;"-1")</f>
        <v/>
      </c>
    </row>
    <row r="8853" spans="20:20">
      <c r="T8853" t="str">
        <f>IF(C8853="","",UPPER(LEFT(SUBSTITUTE(C8853," ",""),3))&amp;"-"&amp;TEXT(B8853,"AAMMDD")&amp;"-1")</f>
        <v/>
      </c>
    </row>
    <row r="8854" spans="20:20">
      <c r="T8854" t="str">
        <f>IF(C8854="","",UPPER(LEFT(SUBSTITUTE(C8854," ",""),3))&amp;"-"&amp;TEXT(B8854,"AAMMDD")&amp;"-1")</f>
        <v/>
      </c>
    </row>
    <row r="8855" spans="20:20">
      <c r="T8855" t="str">
        <f>IF(C8855="","",UPPER(LEFT(SUBSTITUTE(C8855," ",""),3))&amp;"-"&amp;TEXT(B8855,"AAMMDD")&amp;"-1")</f>
        <v/>
      </c>
    </row>
    <row r="8856" spans="20:20">
      <c r="T8856" t="str">
        <f>IF(C8856="","",UPPER(LEFT(SUBSTITUTE(C8856," ",""),3))&amp;"-"&amp;TEXT(B8856,"AAMMDD")&amp;"-1")</f>
        <v/>
      </c>
    </row>
    <row r="8857" spans="20:20">
      <c r="T8857" t="str">
        <f>IF(C8857="","",UPPER(LEFT(SUBSTITUTE(C8857," ",""),3))&amp;"-"&amp;TEXT(B8857,"AAMMDD")&amp;"-1")</f>
        <v/>
      </c>
    </row>
    <row r="8858" spans="20:20">
      <c r="T8858" t="str">
        <f>IF(C8858="","",UPPER(LEFT(SUBSTITUTE(C8858," ",""),3))&amp;"-"&amp;TEXT(B8858,"AAMMDD")&amp;"-1")</f>
        <v/>
      </c>
    </row>
    <row r="8859" spans="20:20">
      <c r="T8859" t="str">
        <f>IF(C8859="","",UPPER(LEFT(SUBSTITUTE(C8859," ",""),3))&amp;"-"&amp;TEXT(B8859,"AAMMDD")&amp;"-1")</f>
        <v/>
      </c>
    </row>
    <row r="8860" spans="20:20">
      <c r="T8860" t="str">
        <f>IF(C8860="","",UPPER(LEFT(SUBSTITUTE(C8860," ",""),3))&amp;"-"&amp;TEXT(B8860,"AAMMDD")&amp;"-1")</f>
        <v/>
      </c>
    </row>
    <row r="8861" spans="20:20">
      <c r="T8861" t="str">
        <f>IF(C8861="","",UPPER(LEFT(SUBSTITUTE(C8861," ",""),3))&amp;"-"&amp;TEXT(B8861,"AAMMDD")&amp;"-1")</f>
        <v/>
      </c>
    </row>
    <row r="8862" spans="20:20">
      <c r="T8862" t="str">
        <f>IF(C8862="","",UPPER(LEFT(SUBSTITUTE(C8862," ",""),3))&amp;"-"&amp;TEXT(B8862,"AAMMDD")&amp;"-1")</f>
        <v/>
      </c>
    </row>
    <row r="8863" spans="20:20">
      <c r="T8863" t="str">
        <f>IF(C8863="","",UPPER(LEFT(SUBSTITUTE(C8863," ",""),3))&amp;"-"&amp;TEXT(B8863,"AAMMDD")&amp;"-1")</f>
        <v/>
      </c>
    </row>
    <row r="8864" spans="20:20">
      <c r="T8864" t="str">
        <f>IF(C8864="","",UPPER(LEFT(SUBSTITUTE(C8864," ",""),3))&amp;"-"&amp;TEXT(B8864,"AAMMDD")&amp;"-1")</f>
        <v/>
      </c>
    </row>
    <row r="8865" spans="20:20">
      <c r="T8865" t="str">
        <f>IF(C8865="","",UPPER(LEFT(SUBSTITUTE(C8865," ",""),3))&amp;"-"&amp;TEXT(B8865,"AAMMDD")&amp;"-1")</f>
        <v/>
      </c>
    </row>
    <row r="8866" spans="20:20">
      <c r="T8866" t="str">
        <f>IF(C8866="","",UPPER(LEFT(SUBSTITUTE(C8866," ",""),3))&amp;"-"&amp;TEXT(B8866,"AAMMDD")&amp;"-1")</f>
        <v/>
      </c>
    </row>
    <row r="8867" spans="20:20">
      <c r="T8867" t="str">
        <f>IF(C8867="","",UPPER(LEFT(SUBSTITUTE(C8867," ",""),3))&amp;"-"&amp;TEXT(B8867,"AAMMDD")&amp;"-1")</f>
        <v/>
      </c>
    </row>
    <row r="8868" spans="20:20">
      <c r="T8868" t="str">
        <f>IF(C8868="","",UPPER(LEFT(SUBSTITUTE(C8868," ",""),3))&amp;"-"&amp;TEXT(B8868,"AAMMDD")&amp;"-1")</f>
        <v/>
      </c>
    </row>
    <row r="8869" spans="20:20">
      <c r="T8869" t="str">
        <f>IF(C8869="","",UPPER(LEFT(SUBSTITUTE(C8869," ",""),3))&amp;"-"&amp;TEXT(B8869,"AAMMDD")&amp;"-1")</f>
        <v/>
      </c>
    </row>
    <row r="8870" spans="20:20">
      <c r="T8870" t="str">
        <f>IF(C8870="","",UPPER(LEFT(SUBSTITUTE(C8870," ",""),3))&amp;"-"&amp;TEXT(B8870,"AAMMDD")&amp;"-1")</f>
        <v/>
      </c>
    </row>
    <row r="8871" spans="20:20">
      <c r="T8871" t="str">
        <f>IF(C8871="","",UPPER(LEFT(SUBSTITUTE(C8871," ",""),3))&amp;"-"&amp;TEXT(B8871,"AAMMDD")&amp;"-1")</f>
        <v/>
      </c>
    </row>
    <row r="8872" spans="20:20">
      <c r="T8872" t="str">
        <f>IF(C8872="","",UPPER(LEFT(SUBSTITUTE(C8872," ",""),3))&amp;"-"&amp;TEXT(B8872,"AAMMDD")&amp;"-1")</f>
        <v/>
      </c>
    </row>
    <row r="8873" spans="20:20">
      <c r="T8873" t="str">
        <f>IF(C8873="","",UPPER(LEFT(SUBSTITUTE(C8873," ",""),3))&amp;"-"&amp;TEXT(B8873,"AAMMDD")&amp;"-1")</f>
        <v/>
      </c>
    </row>
    <row r="8874" spans="20:20">
      <c r="T8874" t="str">
        <f>IF(C8874="","",UPPER(LEFT(SUBSTITUTE(C8874," ",""),3))&amp;"-"&amp;TEXT(B8874,"AAMMDD")&amp;"-1")</f>
        <v/>
      </c>
    </row>
    <row r="8875" spans="20:20">
      <c r="T8875" t="str">
        <f>IF(C8875="","",UPPER(LEFT(SUBSTITUTE(C8875," ",""),3))&amp;"-"&amp;TEXT(B8875,"AAMMDD")&amp;"-1")</f>
        <v/>
      </c>
    </row>
    <row r="8876" spans="20:20">
      <c r="T8876" t="str">
        <f>IF(C8876="","",UPPER(LEFT(SUBSTITUTE(C8876," ",""),3))&amp;"-"&amp;TEXT(B8876,"AAMMDD")&amp;"-1")</f>
        <v/>
      </c>
    </row>
    <row r="8877" spans="20:20">
      <c r="T8877" t="str">
        <f>IF(C8877="","",UPPER(LEFT(SUBSTITUTE(C8877," ",""),3))&amp;"-"&amp;TEXT(B8877,"AAMMDD")&amp;"-1")</f>
        <v/>
      </c>
    </row>
    <row r="8878" spans="20:20">
      <c r="T8878" t="str">
        <f>IF(C8878="","",UPPER(LEFT(SUBSTITUTE(C8878," ",""),3))&amp;"-"&amp;TEXT(B8878,"AAMMDD")&amp;"-1")</f>
        <v/>
      </c>
    </row>
    <row r="8879" spans="20:20">
      <c r="T8879" t="str">
        <f>IF(C8879="","",UPPER(LEFT(SUBSTITUTE(C8879," ",""),3))&amp;"-"&amp;TEXT(B8879,"AAMMDD")&amp;"-1")</f>
        <v/>
      </c>
    </row>
    <row r="8880" spans="20:20">
      <c r="T8880" t="str">
        <f>IF(C8880="","",UPPER(LEFT(SUBSTITUTE(C8880," ",""),3))&amp;"-"&amp;TEXT(B8880,"AAMMDD")&amp;"-1")</f>
        <v/>
      </c>
    </row>
    <row r="8881" spans="20:20">
      <c r="T8881" t="str">
        <f>IF(C8881="","",UPPER(LEFT(SUBSTITUTE(C8881," ",""),3))&amp;"-"&amp;TEXT(B8881,"AAMMDD")&amp;"-1")</f>
        <v/>
      </c>
    </row>
    <row r="8882" spans="20:20">
      <c r="T8882" t="str">
        <f>IF(C8882="","",UPPER(LEFT(SUBSTITUTE(C8882," ",""),3))&amp;"-"&amp;TEXT(B8882,"AAMMDD")&amp;"-1")</f>
        <v/>
      </c>
    </row>
    <row r="8883" spans="20:20">
      <c r="T8883" t="str">
        <f>IF(C8883="","",UPPER(LEFT(SUBSTITUTE(C8883," ",""),3))&amp;"-"&amp;TEXT(B8883,"AAMMDD")&amp;"-1")</f>
        <v/>
      </c>
    </row>
    <row r="8884" spans="20:20">
      <c r="T8884" t="str">
        <f>IF(C8884="","",UPPER(LEFT(SUBSTITUTE(C8884," ",""),3))&amp;"-"&amp;TEXT(B8884,"AAMMDD")&amp;"-1")</f>
        <v/>
      </c>
    </row>
    <row r="8885" spans="20:20">
      <c r="T8885" t="str">
        <f>IF(C8885="","",UPPER(LEFT(SUBSTITUTE(C8885," ",""),3))&amp;"-"&amp;TEXT(B8885,"AAMMDD")&amp;"-1")</f>
        <v/>
      </c>
    </row>
    <row r="8886" spans="20:20">
      <c r="T8886" t="str">
        <f>IF(C8886="","",UPPER(LEFT(SUBSTITUTE(C8886," ",""),3))&amp;"-"&amp;TEXT(B8886,"AAMMDD")&amp;"-1")</f>
        <v/>
      </c>
    </row>
    <row r="8887" spans="20:20">
      <c r="T8887" t="str">
        <f>IF(C8887="","",UPPER(LEFT(SUBSTITUTE(C8887," ",""),3))&amp;"-"&amp;TEXT(B8887,"AAMMDD")&amp;"-1")</f>
        <v/>
      </c>
    </row>
    <row r="8888" spans="20:20">
      <c r="T8888" t="str">
        <f>IF(C8888="","",UPPER(LEFT(SUBSTITUTE(C8888," ",""),3))&amp;"-"&amp;TEXT(B8888,"AAMMDD")&amp;"-1")</f>
        <v/>
      </c>
    </row>
    <row r="8889" spans="20:20">
      <c r="T8889" t="str">
        <f>IF(C8889="","",UPPER(LEFT(SUBSTITUTE(C8889," ",""),3))&amp;"-"&amp;TEXT(B8889,"AAMMDD")&amp;"-1")</f>
        <v/>
      </c>
    </row>
    <row r="8890" spans="20:20">
      <c r="T8890" t="str">
        <f>IF(C8890="","",UPPER(LEFT(SUBSTITUTE(C8890," ",""),3))&amp;"-"&amp;TEXT(B8890,"AAMMDD")&amp;"-1")</f>
        <v/>
      </c>
    </row>
    <row r="8891" spans="20:20">
      <c r="T8891" t="str">
        <f>IF(C8891="","",UPPER(LEFT(SUBSTITUTE(C8891," ",""),3))&amp;"-"&amp;TEXT(B8891,"AAMMDD")&amp;"-1")</f>
        <v/>
      </c>
    </row>
    <row r="8892" spans="20:20">
      <c r="T8892" t="str">
        <f>IF(C8892="","",UPPER(LEFT(SUBSTITUTE(C8892," ",""),3))&amp;"-"&amp;TEXT(B8892,"AAMMDD")&amp;"-1")</f>
        <v/>
      </c>
    </row>
    <row r="8893" spans="20:20">
      <c r="T8893" t="str">
        <f>IF(C8893="","",UPPER(LEFT(SUBSTITUTE(C8893," ",""),3))&amp;"-"&amp;TEXT(B8893,"AAMMDD")&amp;"-1")</f>
        <v/>
      </c>
    </row>
    <row r="8894" spans="20:20">
      <c r="T8894" t="str">
        <f>IF(C8894="","",UPPER(LEFT(SUBSTITUTE(C8894," ",""),3))&amp;"-"&amp;TEXT(B8894,"AAMMDD")&amp;"-1")</f>
        <v/>
      </c>
    </row>
    <row r="8895" spans="20:20">
      <c r="T8895" t="str">
        <f>IF(C8895="","",UPPER(LEFT(SUBSTITUTE(C8895," ",""),3))&amp;"-"&amp;TEXT(B8895,"AAMMDD")&amp;"-1")</f>
        <v/>
      </c>
    </row>
    <row r="8896" spans="20:20">
      <c r="T8896" t="str">
        <f>IF(C8896="","",UPPER(LEFT(SUBSTITUTE(C8896," ",""),3))&amp;"-"&amp;TEXT(B8896,"AAMMDD")&amp;"-1")</f>
        <v/>
      </c>
    </row>
    <row r="8897" spans="20:20">
      <c r="T8897" t="str">
        <f>IF(C8897="","",UPPER(LEFT(SUBSTITUTE(C8897," ",""),3))&amp;"-"&amp;TEXT(B8897,"AAMMDD")&amp;"-1")</f>
        <v/>
      </c>
    </row>
    <row r="8898" spans="20:20">
      <c r="T8898" t="str">
        <f>IF(C8898="","",UPPER(LEFT(SUBSTITUTE(C8898," ",""),3))&amp;"-"&amp;TEXT(B8898,"AAMMDD")&amp;"-1")</f>
        <v/>
      </c>
    </row>
    <row r="8899" spans="20:20">
      <c r="T8899" t="str">
        <f>IF(C8899="","",UPPER(LEFT(SUBSTITUTE(C8899," ",""),3))&amp;"-"&amp;TEXT(B8899,"AAMMDD")&amp;"-1")</f>
        <v/>
      </c>
    </row>
    <row r="8900" spans="20:20">
      <c r="T8900" t="str">
        <f>IF(C8900="","",UPPER(LEFT(SUBSTITUTE(C8900," ",""),3))&amp;"-"&amp;TEXT(B8900,"AAMMDD")&amp;"-1")</f>
        <v/>
      </c>
    </row>
    <row r="8901" spans="20:20">
      <c r="T8901" t="str">
        <f>IF(C8901="","",UPPER(LEFT(SUBSTITUTE(C8901," ",""),3))&amp;"-"&amp;TEXT(B8901,"AAMMDD")&amp;"-1")</f>
        <v/>
      </c>
    </row>
    <row r="8902" spans="20:20">
      <c r="T8902" t="str">
        <f>IF(C8902="","",UPPER(LEFT(SUBSTITUTE(C8902," ",""),3))&amp;"-"&amp;TEXT(B8902,"AAMMDD")&amp;"-1")</f>
        <v/>
      </c>
    </row>
    <row r="8903" spans="20:20">
      <c r="T8903" t="str">
        <f>IF(C8903="","",UPPER(LEFT(SUBSTITUTE(C8903," ",""),3))&amp;"-"&amp;TEXT(B8903,"AAMMDD")&amp;"-1")</f>
        <v/>
      </c>
    </row>
    <row r="8904" spans="20:20">
      <c r="T8904" t="str">
        <f>IF(C8904="","",UPPER(LEFT(SUBSTITUTE(C8904," ",""),3))&amp;"-"&amp;TEXT(B8904,"AAMMDD")&amp;"-1")</f>
        <v/>
      </c>
    </row>
    <row r="8905" spans="20:20">
      <c r="T8905" t="str">
        <f>IF(C8905="","",UPPER(LEFT(SUBSTITUTE(C8905," ",""),3))&amp;"-"&amp;TEXT(B8905,"AAMMDD")&amp;"-1")</f>
        <v/>
      </c>
    </row>
    <row r="8906" spans="20:20">
      <c r="T8906" t="str">
        <f>IF(C8906="","",UPPER(LEFT(SUBSTITUTE(C8906," ",""),3))&amp;"-"&amp;TEXT(B8906,"AAMMDD")&amp;"-1")</f>
        <v/>
      </c>
    </row>
    <row r="8907" spans="20:20">
      <c r="T8907" t="str">
        <f>IF(C8907="","",UPPER(LEFT(SUBSTITUTE(C8907," ",""),3))&amp;"-"&amp;TEXT(B8907,"AAMMDD")&amp;"-1")</f>
        <v/>
      </c>
    </row>
    <row r="8908" spans="20:20">
      <c r="T8908" t="str">
        <f>IF(C8908="","",UPPER(LEFT(SUBSTITUTE(C8908," ",""),3))&amp;"-"&amp;TEXT(B8908,"AAMMDD")&amp;"-1")</f>
        <v/>
      </c>
    </row>
    <row r="8909" spans="20:20">
      <c r="T8909" t="str">
        <f>IF(C8909="","",UPPER(LEFT(SUBSTITUTE(C8909," ",""),3))&amp;"-"&amp;TEXT(B8909,"AAMMDD")&amp;"-1")</f>
        <v/>
      </c>
    </row>
    <row r="8910" spans="20:20">
      <c r="T8910" t="str">
        <f>IF(C8910="","",UPPER(LEFT(SUBSTITUTE(C8910," ",""),3))&amp;"-"&amp;TEXT(B8910,"AAMMDD")&amp;"-1")</f>
        <v/>
      </c>
    </row>
    <row r="8911" spans="20:20">
      <c r="T8911" t="str">
        <f>IF(C8911="","",UPPER(LEFT(SUBSTITUTE(C8911," ",""),3))&amp;"-"&amp;TEXT(B8911,"AAMMDD")&amp;"-1")</f>
        <v/>
      </c>
    </row>
    <row r="8912" spans="20:20">
      <c r="T8912" t="str">
        <f>IF(C8912="","",UPPER(LEFT(SUBSTITUTE(C8912," ",""),3))&amp;"-"&amp;TEXT(B8912,"AAMMDD")&amp;"-1")</f>
        <v/>
      </c>
    </row>
    <row r="8913" spans="20:20">
      <c r="T8913" t="str">
        <f>IF(C8913="","",UPPER(LEFT(SUBSTITUTE(C8913," ",""),3))&amp;"-"&amp;TEXT(B8913,"AAMMDD")&amp;"-1")</f>
        <v/>
      </c>
    </row>
    <row r="8914" spans="20:20">
      <c r="T8914" t="str">
        <f>IF(C8914="","",UPPER(LEFT(SUBSTITUTE(C8914," ",""),3))&amp;"-"&amp;TEXT(B8914,"AAMMDD")&amp;"-1")</f>
        <v/>
      </c>
    </row>
    <row r="8915" spans="20:20">
      <c r="T8915" t="str">
        <f>IF(C8915="","",UPPER(LEFT(SUBSTITUTE(C8915," ",""),3))&amp;"-"&amp;TEXT(B8915,"AAMMDD")&amp;"-1")</f>
        <v/>
      </c>
    </row>
    <row r="8916" spans="20:20">
      <c r="T8916" t="str">
        <f>IF(C8916="","",UPPER(LEFT(SUBSTITUTE(C8916," ",""),3))&amp;"-"&amp;TEXT(B8916,"AAMMDD")&amp;"-1")</f>
        <v/>
      </c>
    </row>
    <row r="8917" spans="20:20">
      <c r="T8917" t="str">
        <f>IF(C8917="","",UPPER(LEFT(SUBSTITUTE(C8917," ",""),3))&amp;"-"&amp;TEXT(B8917,"AAMMDD")&amp;"-1")</f>
        <v/>
      </c>
    </row>
    <row r="8918" spans="20:20">
      <c r="T8918" t="str">
        <f>IF(C8918="","",UPPER(LEFT(SUBSTITUTE(C8918," ",""),3))&amp;"-"&amp;TEXT(B8918,"AAMMDD")&amp;"-1")</f>
        <v/>
      </c>
    </row>
    <row r="8919" spans="20:20">
      <c r="T8919" t="str">
        <f>IF(C8919="","",UPPER(LEFT(SUBSTITUTE(C8919," ",""),3))&amp;"-"&amp;TEXT(B8919,"AAMMDD")&amp;"-1")</f>
        <v/>
      </c>
    </row>
    <row r="8920" spans="20:20">
      <c r="T8920" t="str">
        <f>IF(C8920="","",UPPER(LEFT(SUBSTITUTE(C8920," ",""),3))&amp;"-"&amp;TEXT(B8920,"AAMMDD")&amp;"-1")</f>
        <v/>
      </c>
    </row>
    <row r="8921" spans="20:20">
      <c r="T8921" t="str">
        <f>IF(C8921="","",UPPER(LEFT(SUBSTITUTE(C8921," ",""),3))&amp;"-"&amp;TEXT(B8921,"AAMMDD")&amp;"-1")</f>
        <v/>
      </c>
    </row>
    <row r="8922" spans="20:20">
      <c r="T8922" t="str">
        <f>IF(C8922="","",UPPER(LEFT(SUBSTITUTE(C8922," ",""),3))&amp;"-"&amp;TEXT(B8922,"AAMMDD")&amp;"-1")</f>
        <v/>
      </c>
    </row>
    <row r="8923" spans="20:20">
      <c r="T8923" t="str">
        <f>IF(C8923="","",UPPER(LEFT(SUBSTITUTE(C8923," ",""),3))&amp;"-"&amp;TEXT(B8923,"AAMMDD")&amp;"-1")</f>
        <v/>
      </c>
    </row>
    <row r="8924" spans="20:20">
      <c r="T8924" t="str">
        <f>IF(C8924="","",UPPER(LEFT(SUBSTITUTE(C8924," ",""),3))&amp;"-"&amp;TEXT(B8924,"AAMMDD")&amp;"-1")</f>
        <v/>
      </c>
    </row>
    <row r="8925" spans="20:20">
      <c r="T8925" t="str">
        <f>IF(C8925="","",UPPER(LEFT(SUBSTITUTE(C8925," ",""),3))&amp;"-"&amp;TEXT(B8925,"AAMMDD")&amp;"-1")</f>
        <v/>
      </c>
    </row>
    <row r="8926" spans="20:20">
      <c r="T8926" t="str">
        <f>IF(C8926="","",UPPER(LEFT(SUBSTITUTE(C8926," ",""),3))&amp;"-"&amp;TEXT(B8926,"AAMMDD")&amp;"-1")</f>
        <v/>
      </c>
    </row>
    <row r="8927" spans="20:20">
      <c r="T8927" t="str">
        <f>IF(C8927="","",UPPER(LEFT(SUBSTITUTE(C8927," ",""),3))&amp;"-"&amp;TEXT(B8927,"AAMMDD")&amp;"-1")</f>
        <v/>
      </c>
    </row>
    <row r="8928" spans="20:20">
      <c r="T8928" t="str">
        <f>IF(C8928="","",UPPER(LEFT(SUBSTITUTE(C8928," ",""),3))&amp;"-"&amp;TEXT(B8928,"AAMMDD")&amp;"-1")</f>
        <v/>
      </c>
    </row>
    <row r="8929" spans="20:20">
      <c r="T8929" t="str">
        <f>IF(C8929="","",UPPER(LEFT(SUBSTITUTE(C8929," ",""),3))&amp;"-"&amp;TEXT(B8929,"AAMMDD")&amp;"-1")</f>
        <v/>
      </c>
    </row>
    <row r="8930" spans="20:20">
      <c r="T8930" t="str">
        <f>IF(C8930="","",UPPER(LEFT(SUBSTITUTE(C8930," ",""),3))&amp;"-"&amp;TEXT(B8930,"AAMMDD")&amp;"-1")</f>
        <v/>
      </c>
    </row>
    <row r="8931" spans="20:20">
      <c r="T8931" t="str">
        <f>IF(C8931="","",UPPER(LEFT(SUBSTITUTE(C8931," ",""),3))&amp;"-"&amp;TEXT(B8931,"AAMMDD")&amp;"-1")</f>
        <v/>
      </c>
    </row>
    <row r="8932" spans="20:20">
      <c r="T8932" t="str">
        <f>IF(C8932="","",UPPER(LEFT(SUBSTITUTE(C8932," ",""),3))&amp;"-"&amp;TEXT(B8932,"AAMMDD")&amp;"-1")</f>
        <v/>
      </c>
    </row>
    <row r="8933" spans="20:20">
      <c r="T8933" t="str">
        <f>IF(C8933="","",UPPER(LEFT(SUBSTITUTE(C8933," ",""),3))&amp;"-"&amp;TEXT(B8933,"AAMMDD")&amp;"-1")</f>
        <v/>
      </c>
    </row>
    <row r="8934" spans="20:20">
      <c r="T8934" t="str">
        <f>IF(C8934="","",UPPER(LEFT(SUBSTITUTE(C8934," ",""),3))&amp;"-"&amp;TEXT(B8934,"AAMMDD")&amp;"-1")</f>
        <v/>
      </c>
    </row>
    <row r="8935" spans="20:20">
      <c r="T8935" t="str">
        <f>IF(C8935="","",UPPER(LEFT(SUBSTITUTE(C8935," ",""),3))&amp;"-"&amp;TEXT(B8935,"AAMMDD")&amp;"-1")</f>
        <v/>
      </c>
    </row>
    <row r="8936" spans="20:20">
      <c r="T8936" t="str">
        <f>IF(C8936="","",UPPER(LEFT(SUBSTITUTE(C8936," ",""),3))&amp;"-"&amp;TEXT(B8936,"AAMMDD")&amp;"-1")</f>
        <v/>
      </c>
    </row>
    <row r="8937" spans="20:20">
      <c r="T8937" t="str">
        <f>IF(C8937="","",UPPER(LEFT(SUBSTITUTE(C8937," ",""),3))&amp;"-"&amp;TEXT(B8937,"AAMMDD")&amp;"-1")</f>
        <v/>
      </c>
    </row>
    <row r="8938" spans="20:20">
      <c r="T8938" t="str">
        <f>IF(C8938="","",UPPER(LEFT(SUBSTITUTE(C8938," ",""),3))&amp;"-"&amp;TEXT(B8938,"AAMMDD")&amp;"-1")</f>
        <v/>
      </c>
    </row>
    <row r="8939" spans="20:20">
      <c r="T8939" t="str">
        <f>IF(C8939="","",UPPER(LEFT(SUBSTITUTE(C8939," ",""),3))&amp;"-"&amp;TEXT(B8939,"AAMMDD")&amp;"-1")</f>
        <v/>
      </c>
    </row>
    <row r="8940" spans="20:20">
      <c r="T8940" t="str">
        <f>IF(C8940="","",UPPER(LEFT(SUBSTITUTE(C8940," ",""),3))&amp;"-"&amp;TEXT(B8940,"AAMMDD")&amp;"-1")</f>
        <v/>
      </c>
    </row>
    <row r="8941" spans="20:20">
      <c r="T8941" t="str">
        <f>IF(C8941="","",UPPER(LEFT(SUBSTITUTE(C8941," ",""),3))&amp;"-"&amp;TEXT(B8941,"AAMMDD")&amp;"-1")</f>
        <v/>
      </c>
    </row>
    <row r="8942" spans="20:20">
      <c r="T8942" t="str">
        <f>IF(C8942="","",UPPER(LEFT(SUBSTITUTE(C8942," ",""),3))&amp;"-"&amp;TEXT(B8942,"AAMMDD")&amp;"-1")</f>
        <v/>
      </c>
    </row>
    <row r="8943" spans="20:20">
      <c r="T8943" t="str">
        <f>IF(C8943="","",UPPER(LEFT(SUBSTITUTE(C8943," ",""),3))&amp;"-"&amp;TEXT(B8943,"AAMMDD")&amp;"-1")</f>
        <v/>
      </c>
    </row>
    <row r="8944" spans="20:20">
      <c r="T8944" t="str">
        <f>IF(C8944="","",UPPER(LEFT(SUBSTITUTE(C8944," ",""),3))&amp;"-"&amp;TEXT(B8944,"AAMMDD")&amp;"-1")</f>
        <v/>
      </c>
    </row>
    <row r="8945" spans="20:20">
      <c r="T8945" t="str">
        <f>IF(C8945="","",UPPER(LEFT(SUBSTITUTE(C8945," ",""),3))&amp;"-"&amp;TEXT(B8945,"AAMMDD")&amp;"-1")</f>
        <v/>
      </c>
    </row>
    <row r="8946" spans="20:20">
      <c r="T8946" t="str">
        <f>IF(C8946="","",UPPER(LEFT(SUBSTITUTE(C8946," ",""),3))&amp;"-"&amp;TEXT(B8946,"AAMMDD")&amp;"-1")</f>
        <v/>
      </c>
    </row>
    <row r="8947" spans="20:20">
      <c r="T8947" t="str">
        <f>IF(C8947="","",UPPER(LEFT(SUBSTITUTE(C8947," ",""),3))&amp;"-"&amp;TEXT(B8947,"AAMMDD")&amp;"-1")</f>
        <v/>
      </c>
    </row>
    <row r="8948" spans="20:20">
      <c r="T8948" t="str">
        <f>IF(C8948="","",UPPER(LEFT(SUBSTITUTE(C8948," ",""),3))&amp;"-"&amp;TEXT(B8948,"AAMMDD")&amp;"-1")</f>
        <v/>
      </c>
    </row>
    <row r="8949" spans="20:20">
      <c r="T8949" t="str">
        <f>IF(C8949="","",UPPER(LEFT(SUBSTITUTE(C8949," ",""),3))&amp;"-"&amp;TEXT(B8949,"AAMMDD")&amp;"-1")</f>
        <v/>
      </c>
    </row>
    <row r="8950" spans="20:20">
      <c r="T8950" t="str">
        <f>IF(C8950="","",UPPER(LEFT(SUBSTITUTE(C8950," ",""),3))&amp;"-"&amp;TEXT(B8950,"AAMMDD")&amp;"-1")</f>
        <v/>
      </c>
    </row>
    <row r="8951" spans="20:20">
      <c r="T8951" t="str">
        <f>IF(C8951="","",UPPER(LEFT(SUBSTITUTE(C8951," ",""),3))&amp;"-"&amp;TEXT(B8951,"AAMMDD")&amp;"-1")</f>
        <v/>
      </c>
    </row>
    <row r="8952" spans="20:20">
      <c r="T8952" t="str">
        <f>IF(C8952="","",UPPER(LEFT(SUBSTITUTE(C8952," ",""),3))&amp;"-"&amp;TEXT(B8952,"AAMMDD")&amp;"-1")</f>
        <v/>
      </c>
    </row>
    <row r="8953" spans="20:20">
      <c r="T8953" t="str">
        <f>IF(C8953="","",UPPER(LEFT(SUBSTITUTE(C8953," ",""),3))&amp;"-"&amp;TEXT(B8953,"AAMMDD")&amp;"-1")</f>
        <v/>
      </c>
    </row>
    <row r="8954" spans="20:20">
      <c r="T8954" t="str">
        <f>IF(C8954="","",UPPER(LEFT(SUBSTITUTE(C8954," ",""),3))&amp;"-"&amp;TEXT(B8954,"AAMMDD")&amp;"-1")</f>
        <v/>
      </c>
    </row>
    <row r="8955" spans="20:20">
      <c r="T8955" t="str">
        <f>IF(C8955="","",UPPER(LEFT(SUBSTITUTE(C8955," ",""),3))&amp;"-"&amp;TEXT(B8955,"AAMMDD")&amp;"-1")</f>
        <v/>
      </c>
    </row>
    <row r="8956" spans="20:20">
      <c r="T8956" t="str">
        <f>IF(C8956="","",UPPER(LEFT(SUBSTITUTE(C8956," ",""),3))&amp;"-"&amp;TEXT(B8956,"AAMMDD")&amp;"-1")</f>
        <v/>
      </c>
    </row>
    <row r="8957" spans="20:20">
      <c r="T8957" t="str">
        <f>IF(C8957="","",UPPER(LEFT(SUBSTITUTE(C8957," ",""),3))&amp;"-"&amp;TEXT(B8957,"AAMMDD")&amp;"-1")</f>
        <v/>
      </c>
    </row>
    <row r="8958" spans="20:20">
      <c r="T8958" t="str">
        <f>IF(C8958="","",UPPER(LEFT(SUBSTITUTE(C8958," ",""),3))&amp;"-"&amp;TEXT(B8958,"AAMMDD")&amp;"-1")</f>
        <v/>
      </c>
    </row>
    <row r="8959" spans="20:20">
      <c r="T8959" t="str">
        <f>IF(C8959="","",UPPER(LEFT(SUBSTITUTE(C8959," ",""),3))&amp;"-"&amp;TEXT(B8959,"AAMMDD")&amp;"-1")</f>
        <v/>
      </c>
    </row>
    <row r="8960" spans="20:20">
      <c r="T8960" t="str">
        <f>IF(C8960="","",UPPER(LEFT(SUBSTITUTE(C8960," ",""),3))&amp;"-"&amp;TEXT(B8960,"AAMMDD")&amp;"-1")</f>
        <v/>
      </c>
    </row>
    <row r="8961" spans="20:20">
      <c r="T8961" t="str">
        <f>IF(C8961="","",UPPER(LEFT(SUBSTITUTE(C8961," ",""),3))&amp;"-"&amp;TEXT(B8961,"AAMMDD")&amp;"-1")</f>
        <v/>
      </c>
    </row>
    <row r="8962" spans="20:20">
      <c r="T8962" t="str">
        <f>IF(C8962="","",UPPER(LEFT(SUBSTITUTE(C8962," ",""),3))&amp;"-"&amp;TEXT(B8962,"AAMMDD")&amp;"-1")</f>
        <v/>
      </c>
    </row>
    <row r="8963" spans="20:20">
      <c r="T8963" t="str">
        <f>IF(C8963="","",UPPER(LEFT(SUBSTITUTE(C8963," ",""),3))&amp;"-"&amp;TEXT(B8963,"AAMMDD")&amp;"-1")</f>
        <v/>
      </c>
    </row>
    <row r="8964" spans="20:20">
      <c r="T8964" t="str">
        <f>IF(C8964="","",UPPER(LEFT(SUBSTITUTE(C8964," ",""),3))&amp;"-"&amp;TEXT(B8964,"AAMMDD")&amp;"-1")</f>
        <v/>
      </c>
    </row>
    <row r="8965" spans="20:20">
      <c r="T8965" t="str">
        <f>IF(C8965="","",UPPER(LEFT(SUBSTITUTE(C8965," ",""),3))&amp;"-"&amp;TEXT(B8965,"AAMMDD")&amp;"-1")</f>
        <v/>
      </c>
    </row>
    <row r="8966" spans="20:20">
      <c r="T8966" t="str">
        <f>IF(C8966="","",UPPER(LEFT(SUBSTITUTE(C8966," ",""),3))&amp;"-"&amp;TEXT(B8966,"AAMMDD")&amp;"-1")</f>
        <v/>
      </c>
    </row>
    <row r="8967" spans="20:20">
      <c r="T8967" t="str">
        <f>IF(C8967="","",UPPER(LEFT(SUBSTITUTE(C8967," ",""),3))&amp;"-"&amp;TEXT(B8967,"AAMMDD")&amp;"-1")</f>
        <v/>
      </c>
    </row>
    <row r="8968" spans="20:20">
      <c r="T8968" t="str">
        <f>IF(C8968="","",UPPER(LEFT(SUBSTITUTE(C8968," ",""),3))&amp;"-"&amp;TEXT(B8968,"AAMMDD")&amp;"-1")</f>
        <v/>
      </c>
    </row>
    <row r="8969" spans="20:20">
      <c r="T8969" t="str">
        <f>IF(C8969="","",UPPER(LEFT(SUBSTITUTE(C8969," ",""),3))&amp;"-"&amp;TEXT(B8969,"AAMMDD")&amp;"-1")</f>
        <v/>
      </c>
    </row>
    <row r="8970" spans="20:20">
      <c r="T8970" t="str">
        <f>IF(C8970="","",UPPER(LEFT(SUBSTITUTE(C8970," ",""),3))&amp;"-"&amp;TEXT(B8970,"AAMMDD")&amp;"-1")</f>
        <v/>
      </c>
    </row>
    <row r="8971" spans="20:20">
      <c r="T8971" t="str">
        <f>IF(C8971="","",UPPER(LEFT(SUBSTITUTE(C8971," ",""),3))&amp;"-"&amp;TEXT(B8971,"AAMMDD")&amp;"-1")</f>
        <v/>
      </c>
    </row>
    <row r="8972" spans="20:20">
      <c r="T8972" t="str">
        <f>IF(C8972="","",UPPER(LEFT(SUBSTITUTE(C8972," ",""),3))&amp;"-"&amp;TEXT(B8972,"AAMMDD")&amp;"-1")</f>
        <v/>
      </c>
    </row>
    <row r="8973" spans="20:20">
      <c r="T8973" t="str">
        <f>IF(C8973="","",UPPER(LEFT(SUBSTITUTE(C8973," ",""),3))&amp;"-"&amp;TEXT(B8973,"AAMMDD")&amp;"-1")</f>
        <v/>
      </c>
    </row>
    <row r="8974" spans="20:20">
      <c r="T8974" t="str">
        <f>IF(C8974="","",UPPER(LEFT(SUBSTITUTE(C8974," ",""),3))&amp;"-"&amp;TEXT(B8974,"AAMMDD")&amp;"-1")</f>
        <v/>
      </c>
    </row>
    <row r="8975" spans="20:20">
      <c r="T8975" t="str">
        <f>IF(C8975="","",UPPER(LEFT(SUBSTITUTE(C8975," ",""),3))&amp;"-"&amp;TEXT(B8975,"AAMMDD")&amp;"-1")</f>
        <v/>
      </c>
    </row>
    <row r="8976" spans="20:20">
      <c r="T8976" t="str">
        <f>IF(C8976="","",UPPER(LEFT(SUBSTITUTE(C8976," ",""),3))&amp;"-"&amp;TEXT(B8976,"AAMMDD")&amp;"-1")</f>
        <v/>
      </c>
    </row>
    <row r="8977" spans="20:20">
      <c r="T8977" t="str">
        <f>IF(C8977="","",UPPER(LEFT(SUBSTITUTE(C8977," ",""),3))&amp;"-"&amp;TEXT(B8977,"AAMMDD")&amp;"-1")</f>
        <v/>
      </c>
    </row>
    <row r="8978" spans="20:20">
      <c r="T8978" t="str">
        <f>IF(C8978="","",UPPER(LEFT(SUBSTITUTE(C8978," ",""),3))&amp;"-"&amp;TEXT(B8978,"AAMMDD")&amp;"-1")</f>
        <v/>
      </c>
    </row>
    <row r="8979" spans="20:20">
      <c r="T8979" t="str">
        <f>IF(C8979="","",UPPER(LEFT(SUBSTITUTE(C8979," ",""),3))&amp;"-"&amp;TEXT(B8979,"AAMMDD")&amp;"-1")</f>
        <v/>
      </c>
    </row>
    <row r="8980" spans="20:20">
      <c r="T8980" t="str">
        <f>IF(C8980="","",UPPER(LEFT(SUBSTITUTE(C8980," ",""),3))&amp;"-"&amp;TEXT(B8980,"AAMMDD")&amp;"-1")</f>
        <v/>
      </c>
    </row>
    <row r="8981" spans="20:20">
      <c r="T8981" t="str">
        <f>IF(C8981="","",UPPER(LEFT(SUBSTITUTE(C8981," ",""),3))&amp;"-"&amp;TEXT(B8981,"AAMMDD")&amp;"-1")</f>
        <v/>
      </c>
    </row>
    <row r="8982" spans="20:20">
      <c r="T8982" t="str">
        <f>IF(C8982="","",UPPER(LEFT(SUBSTITUTE(C8982," ",""),3))&amp;"-"&amp;TEXT(B8982,"AAMMDD")&amp;"-1")</f>
        <v/>
      </c>
    </row>
    <row r="8983" spans="20:20">
      <c r="T8983" t="str">
        <f>IF(C8983="","",UPPER(LEFT(SUBSTITUTE(C8983," ",""),3))&amp;"-"&amp;TEXT(B8983,"AAMMDD")&amp;"-1")</f>
        <v/>
      </c>
    </row>
    <row r="8984" spans="20:20">
      <c r="T8984" t="str">
        <f>IF(C8984="","",UPPER(LEFT(SUBSTITUTE(C8984," ",""),3))&amp;"-"&amp;TEXT(B8984,"AAMMDD")&amp;"-1")</f>
        <v/>
      </c>
    </row>
    <row r="8985" spans="20:20">
      <c r="T8985" t="str">
        <f>IF(C8985="","",UPPER(LEFT(SUBSTITUTE(C8985," ",""),3))&amp;"-"&amp;TEXT(B8985,"AAMMDD")&amp;"-1")</f>
        <v/>
      </c>
    </row>
    <row r="8986" spans="20:20">
      <c r="T8986" t="str">
        <f>IF(C8986="","",UPPER(LEFT(SUBSTITUTE(C8986," ",""),3))&amp;"-"&amp;TEXT(B8986,"AAMMDD")&amp;"-1")</f>
        <v/>
      </c>
    </row>
    <row r="8987" spans="20:20">
      <c r="T8987" t="str">
        <f>IF(C8987="","",UPPER(LEFT(SUBSTITUTE(C8987," ",""),3))&amp;"-"&amp;TEXT(B8987,"AAMMDD")&amp;"-1")</f>
        <v/>
      </c>
    </row>
    <row r="8988" spans="20:20">
      <c r="T8988" t="str">
        <f>IF(C8988="","",UPPER(LEFT(SUBSTITUTE(C8988," ",""),3))&amp;"-"&amp;TEXT(B8988,"AAMMDD")&amp;"-1")</f>
        <v/>
      </c>
    </row>
    <row r="8989" spans="20:20">
      <c r="T8989" t="str">
        <f>IF(C8989="","",UPPER(LEFT(SUBSTITUTE(C8989," ",""),3))&amp;"-"&amp;TEXT(B8989,"AAMMDD")&amp;"-1")</f>
        <v/>
      </c>
    </row>
    <row r="8990" spans="20:20">
      <c r="T8990" t="str">
        <f>IF(C8990="","",UPPER(LEFT(SUBSTITUTE(C8990," ",""),3))&amp;"-"&amp;TEXT(B8990,"AAMMDD")&amp;"-1")</f>
        <v/>
      </c>
    </row>
    <row r="8991" spans="20:20">
      <c r="T8991" t="str">
        <f>IF(C8991="","",UPPER(LEFT(SUBSTITUTE(C8991," ",""),3))&amp;"-"&amp;TEXT(B8991,"AAMMDD")&amp;"-1")</f>
        <v/>
      </c>
    </row>
    <row r="8992" spans="20:20">
      <c r="T8992" t="str">
        <f>IF(C8992="","",UPPER(LEFT(SUBSTITUTE(C8992," ",""),3))&amp;"-"&amp;TEXT(B8992,"AAMMDD")&amp;"-1")</f>
        <v/>
      </c>
    </row>
    <row r="8993" spans="20:20">
      <c r="T8993" t="str">
        <f>IF(C8993="","",UPPER(LEFT(SUBSTITUTE(C8993," ",""),3))&amp;"-"&amp;TEXT(B8993,"AAMMDD")&amp;"-1")</f>
        <v/>
      </c>
    </row>
    <row r="8994" spans="20:20">
      <c r="T8994" t="str">
        <f>IF(C8994="","",UPPER(LEFT(SUBSTITUTE(C8994," ",""),3))&amp;"-"&amp;TEXT(B8994,"AAMMDD")&amp;"-1")</f>
        <v/>
      </c>
    </row>
    <row r="8995" spans="20:20">
      <c r="T8995" t="str">
        <f>IF(C8995="","",UPPER(LEFT(SUBSTITUTE(C8995," ",""),3))&amp;"-"&amp;TEXT(B8995,"AAMMDD")&amp;"-1")</f>
        <v/>
      </c>
    </row>
    <row r="8996" spans="20:20">
      <c r="T8996" t="str">
        <f>IF(C8996="","",UPPER(LEFT(SUBSTITUTE(C8996," ",""),3))&amp;"-"&amp;TEXT(B8996,"AAMMDD")&amp;"-1")</f>
        <v/>
      </c>
    </row>
    <row r="8997" spans="20:20">
      <c r="T8997" t="str">
        <f>IF(C8997="","",UPPER(LEFT(SUBSTITUTE(C8997," ",""),3))&amp;"-"&amp;TEXT(B8997,"AAMMDD")&amp;"-1")</f>
        <v/>
      </c>
    </row>
    <row r="8998" spans="20:20">
      <c r="T8998" t="str">
        <f>IF(C8998="","",UPPER(LEFT(SUBSTITUTE(C8998," ",""),3))&amp;"-"&amp;TEXT(B8998,"AAMMDD")&amp;"-1")</f>
        <v/>
      </c>
    </row>
    <row r="8999" spans="20:20">
      <c r="T8999" t="str">
        <f>IF(C8999="","",UPPER(LEFT(SUBSTITUTE(C8999," ",""),3))&amp;"-"&amp;TEXT(B8999,"AAMMDD")&amp;"-1")</f>
        <v/>
      </c>
    </row>
    <row r="9000" spans="20:20">
      <c r="T9000" t="str">
        <f>IF(C9000="","",UPPER(LEFT(SUBSTITUTE(C9000," ",""),3))&amp;"-"&amp;TEXT(B9000,"AAMMDD")&amp;"-1")</f>
        <v/>
      </c>
    </row>
    <row r="9001" spans="20:20">
      <c r="T9001" t="str">
        <f>IF(C9001="","",UPPER(LEFT(SUBSTITUTE(C9001," ",""),3))&amp;"-"&amp;TEXT(B9001,"AAMMDD")&amp;"-1")</f>
        <v/>
      </c>
    </row>
    <row r="9002" spans="20:20">
      <c r="T9002" t="str">
        <f>IF(C9002="","",UPPER(LEFT(SUBSTITUTE(C9002," ",""),3))&amp;"-"&amp;TEXT(B9002,"AAMMDD")&amp;"-1")</f>
        <v/>
      </c>
    </row>
    <row r="9003" spans="20:20">
      <c r="T9003" t="str">
        <f>IF(C9003="","",UPPER(LEFT(SUBSTITUTE(C9003," ",""),3))&amp;"-"&amp;TEXT(B9003,"AAMMDD")&amp;"-1")</f>
        <v/>
      </c>
    </row>
    <row r="9004" spans="20:20">
      <c r="T9004" t="str">
        <f>IF(C9004="","",UPPER(LEFT(SUBSTITUTE(C9004," ",""),3))&amp;"-"&amp;TEXT(B9004,"AAMMDD")&amp;"-1")</f>
        <v/>
      </c>
    </row>
    <row r="9005" spans="20:20">
      <c r="T9005" t="str">
        <f>IF(C9005="","",UPPER(LEFT(SUBSTITUTE(C9005," ",""),3))&amp;"-"&amp;TEXT(B9005,"AAMMDD")&amp;"-1")</f>
        <v/>
      </c>
    </row>
    <row r="9006" spans="20:20">
      <c r="T9006" t="str">
        <f>IF(C9006="","",UPPER(LEFT(SUBSTITUTE(C9006," ",""),3))&amp;"-"&amp;TEXT(B9006,"AAMMDD")&amp;"-1")</f>
        <v/>
      </c>
    </row>
    <row r="9007" spans="20:20">
      <c r="T9007" t="str">
        <f>IF(C9007="","",UPPER(LEFT(SUBSTITUTE(C9007," ",""),3))&amp;"-"&amp;TEXT(B9007,"AAMMDD")&amp;"-1")</f>
        <v/>
      </c>
    </row>
    <row r="9008" spans="20:20">
      <c r="T9008" t="str">
        <f>IF(C9008="","",UPPER(LEFT(SUBSTITUTE(C9008," ",""),3))&amp;"-"&amp;TEXT(B9008,"AAMMDD")&amp;"-1")</f>
        <v/>
      </c>
    </row>
    <row r="9009" spans="20:20">
      <c r="T9009" t="str">
        <f>IF(C9009="","",UPPER(LEFT(SUBSTITUTE(C9009," ",""),3))&amp;"-"&amp;TEXT(B9009,"AAMMDD")&amp;"-1")</f>
        <v/>
      </c>
    </row>
    <row r="9010" spans="20:20">
      <c r="T9010" t="str">
        <f>IF(C9010="","",UPPER(LEFT(SUBSTITUTE(C9010," ",""),3))&amp;"-"&amp;TEXT(B9010,"AAMMDD")&amp;"-1")</f>
        <v/>
      </c>
    </row>
    <row r="9011" spans="20:20">
      <c r="T9011" t="str">
        <f>IF(C9011="","",UPPER(LEFT(SUBSTITUTE(C9011," ",""),3))&amp;"-"&amp;TEXT(B9011,"AAMMDD")&amp;"-1")</f>
        <v/>
      </c>
    </row>
    <row r="9012" spans="20:20">
      <c r="T9012" t="str">
        <f>IF(C9012="","",UPPER(LEFT(SUBSTITUTE(C9012," ",""),3))&amp;"-"&amp;TEXT(B9012,"AAMMDD")&amp;"-1")</f>
        <v/>
      </c>
    </row>
    <row r="9013" spans="20:20">
      <c r="T9013" t="str">
        <f>IF(C9013="","",UPPER(LEFT(SUBSTITUTE(C9013," ",""),3))&amp;"-"&amp;TEXT(B9013,"AAMMDD")&amp;"-1")</f>
        <v/>
      </c>
    </row>
    <row r="9014" spans="20:20">
      <c r="T9014" t="str">
        <f>IF(C9014="","",UPPER(LEFT(SUBSTITUTE(C9014," ",""),3))&amp;"-"&amp;TEXT(B9014,"AAMMDD")&amp;"-1")</f>
        <v/>
      </c>
    </row>
    <row r="9015" spans="20:20">
      <c r="T9015" t="str">
        <f>IF(C9015="","",UPPER(LEFT(SUBSTITUTE(C9015," ",""),3))&amp;"-"&amp;TEXT(B9015,"AAMMDD")&amp;"-1")</f>
        <v/>
      </c>
    </row>
    <row r="9016" spans="20:20">
      <c r="T9016" t="str">
        <f>IF(C9016="","",UPPER(LEFT(SUBSTITUTE(C9016," ",""),3))&amp;"-"&amp;TEXT(B9016,"AAMMDD")&amp;"-1")</f>
        <v/>
      </c>
    </row>
    <row r="9017" spans="20:20">
      <c r="T9017" t="str">
        <f>IF(C9017="","",UPPER(LEFT(SUBSTITUTE(C9017," ",""),3))&amp;"-"&amp;TEXT(B9017,"AAMMDD")&amp;"-1")</f>
        <v/>
      </c>
    </row>
    <row r="9018" spans="20:20">
      <c r="T9018" t="str">
        <f>IF(C9018="","",UPPER(LEFT(SUBSTITUTE(C9018," ",""),3))&amp;"-"&amp;TEXT(B9018,"AAMMDD")&amp;"-1")</f>
        <v/>
      </c>
    </row>
    <row r="9019" spans="20:20">
      <c r="T9019" t="str">
        <f>IF(C9019="","",UPPER(LEFT(SUBSTITUTE(C9019," ",""),3))&amp;"-"&amp;TEXT(B9019,"AAMMDD")&amp;"-1")</f>
        <v/>
      </c>
    </row>
    <row r="9020" spans="20:20">
      <c r="T9020" t="str">
        <f>IF(C9020="","",UPPER(LEFT(SUBSTITUTE(C9020," ",""),3))&amp;"-"&amp;TEXT(B9020,"AAMMDD")&amp;"-1")</f>
        <v/>
      </c>
    </row>
    <row r="9021" spans="20:20">
      <c r="T9021" t="str">
        <f>IF(C9021="","",UPPER(LEFT(SUBSTITUTE(C9021," ",""),3))&amp;"-"&amp;TEXT(B9021,"AAMMDD")&amp;"-1")</f>
        <v/>
      </c>
    </row>
    <row r="9022" spans="20:20">
      <c r="T9022" t="str">
        <f>IF(C9022="","",UPPER(LEFT(SUBSTITUTE(C9022," ",""),3))&amp;"-"&amp;TEXT(B9022,"AAMMDD")&amp;"-1")</f>
        <v/>
      </c>
    </row>
    <row r="9023" spans="20:20">
      <c r="T9023" t="str">
        <f>IF(C9023="","",UPPER(LEFT(SUBSTITUTE(C9023," ",""),3))&amp;"-"&amp;TEXT(B9023,"AAMMDD")&amp;"-1")</f>
        <v/>
      </c>
    </row>
    <row r="9024" spans="20:20">
      <c r="T9024" t="str">
        <f>IF(C9024="","",UPPER(LEFT(SUBSTITUTE(C9024," ",""),3))&amp;"-"&amp;TEXT(B9024,"AAMMDD")&amp;"-1")</f>
        <v/>
      </c>
    </row>
    <row r="9025" spans="20:20">
      <c r="T9025" t="str">
        <f>IF(C9025="","",UPPER(LEFT(SUBSTITUTE(C9025," ",""),3))&amp;"-"&amp;TEXT(B9025,"AAMMDD")&amp;"-1")</f>
        <v/>
      </c>
    </row>
    <row r="9026" spans="20:20">
      <c r="T9026" t="str">
        <f>IF(C9026="","",UPPER(LEFT(SUBSTITUTE(C9026," ",""),3))&amp;"-"&amp;TEXT(B9026,"AAMMDD")&amp;"-1")</f>
        <v/>
      </c>
    </row>
    <row r="9027" spans="20:20">
      <c r="T9027" t="str">
        <f>IF(C9027="","",UPPER(LEFT(SUBSTITUTE(C9027," ",""),3))&amp;"-"&amp;TEXT(B9027,"AAMMDD")&amp;"-1")</f>
        <v/>
      </c>
    </row>
    <row r="9028" spans="20:20">
      <c r="T9028" t="str">
        <f>IF(C9028="","",UPPER(LEFT(SUBSTITUTE(C9028," ",""),3))&amp;"-"&amp;TEXT(B9028,"AAMMDD")&amp;"-1")</f>
        <v/>
      </c>
    </row>
    <row r="9029" spans="20:20">
      <c r="T9029" t="str">
        <f>IF(C9029="","",UPPER(LEFT(SUBSTITUTE(C9029," ",""),3))&amp;"-"&amp;TEXT(B9029,"AAMMDD")&amp;"-1")</f>
        <v/>
      </c>
    </row>
    <row r="9030" spans="20:20">
      <c r="T9030" t="str">
        <f>IF(C9030="","",UPPER(LEFT(SUBSTITUTE(C9030," ",""),3))&amp;"-"&amp;TEXT(B9030,"AAMMDD")&amp;"-1")</f>
        <v/>
      </c>
    </row>
    <row r="9031" spans="20:20">
      <c r="T9031" t="str">
        <f>IF(C9031="","",UPPER(LEFT(SUBSTITUTE(C9031," ",""),3))&amp;"-"&amp;TEXT(B9031,"AAMMDD")&amp;"-1")</f>
        <v/>
      </c>
    </row>
    <row r="9032" spans="20:20">
      <c r="T9032" t="str">
        <f>IF(C9032="","",UPPER(LEFT(SUBSTITUTE(C9032," ",""),3))&amp;"-"&amp;TEXT(B9032,"AAMMDD")&amp;"-1")</f>
        <v/>
      </c>
    </row>
    <row r="9033" spans="20:20">
      <c r="T9033" t="str">
        <f>IF(C9033="","",UPPER(LEFT(SUBSTITUTE(C9033," ",""),3))&amp;"-"&amp;TEXT(B9033,"AAMMDD")&amp;"-1")</f>
        <v/>
      </c>
    </row>
    <row r="9034" spans="20:20">
      <c r="T9034" t="str">
        <f>IF(C9034="","",UPPER(LEFT(SUBSTITUTE(C9034," ",""),3))&amp;"-"&amp;TEXT(B9034,"AAMMDD")&amp;"-1")</f>
        <v/>
      </c>
    </row>
    <row r="9035" spans="20:20">
      <c r="T9035" t="str">
        <f>IF(C9035="","",UPPER(LEFT(SUBSTITUTE(C9035," ",""),3))&amp;"-"&amp;TEXT(B9035,"AAMMDD")&amp;"-1")</f>
        <v/>
      </c>
    </row>
    <row r="9036" spans="20:20">
      <c r="T9036" t="str">
        <f>IF(C9036="","",UPPER(LEFT(SUBSTITUTE(C9036," ",""),3))&amp;"-"&amp;TEXT(B9036,"AAMMDD")&amp;"-1")</f>
        <v/>
      </c>
    </row>
    <row r="9037" spans="20:20">
      <c r="T9037" t="str">
        <f>IF(C9037="","",UPPER(LEFT(SUBSTITUTE(C9037," ",""),3))&amp;"-"&amp;TEXT(B9037,"AAMMDD")&amp;"-1")</f>
        <v/>
      </c>
    </row>
    <row r="9038" spans="20:20">
      <c r="T9038" t="str">
        <f>IF(C9038="","",UPPER(LEFT(SUBSTITUTE(C9038," ",""),3))&amp;"-"&amp;TEXT(B9038,"AAMMDD")&amp;"-1")</f>
        <v/>
      </c>
    </row>
    <row r="9039" spans="20:20">
      <c r="T9039" t="str">
        <f>IF(C9039="","",UPPER(LEFT(SUBSTITUTE(C9039," ",""),3))&amp;"-"&amp;TEXT(B9039,"AAMMDD")&amp;"-1")</f>
        <v/>
      </c>
    </row>
    <row r="9040" spans="20:20">
      <c r="T9040" t="str">
        <f>IF(C9040="","",UPPER(LEFT(SUBSTITUTE(C9040," ",""),3))&amp;"-"&amp;TEXT(B9040,"AAMMDD")&amp;"-1")</f>
        <v/>
      </c>
    </row>
    <row r="9041" spans="20:20">
      <c r="T9041" t="str">
        <f>IF(C9041="","",UPPER(LEFT(SUBSTITUTE(C9041," ",""),3))&amp;"-"&amp;TEXT(B9041,"AAMMDD")&amp;"-1")</f>
        <v/>
      </c>
    </row>
    <row r="9042" spans="20:20">
      <c r="T9042" t="str">
        <f>IF(C9042="","",UPPER(LEFT(SUBSTITUTE(C9042," ",""),3))&amp;"-"&amp;TEXT(B9042,"AAMMDD")&amp;"-1")</f>
        <v/>
      </c>
    </row>
    <row r="9043" spans="20:20">
      <c r="T9043" t="str">
        <f>IF(C9043="","",UPPER(LEFT(SUBSTITUTE(C9043," ",""),3))&amp;"-"&amp;TEXT(B9043,"AAMMDD")&amp;"-1")</f>
        <v/>
      </c>
    </row>
    <row r="9044" spans="20:20">
      <c r="T9044" t="str">
        <f>IF(C9044="","",UPPER(LEFT(SUBSTITUTE(C9044," ",""),3))&amp;"-"&amp;TEXT(B9044,"AAMMDD")&amp;"-1")</f>
        <v/>
      </c>
    </row>
    <row r="9045" spans="20:20">
      <c r="T9045" t="str">
        <f>IF(C9045="","",UPPER(LEFT(SUBSTITUTE(C9045," ",""),3))&amp;"-"&amp;TEXT(B9045,"AAMMDD")&amp;"-1")</f>
        <v/>
      </c>
    </row>
    <row r="9046" spans="20:20">
      <c r="T9046" t="str">
        <f>IF(C9046="","",UPPER(LEFT(SUBSTITUTE(C9046," ",""),3))&amp;"-"&amp;TEXT(B9046,"AAMMDD")&amp;"-1")</f>
        <v/>
      </c>
    </row>
    <row r="9047" spans="20:20">
      <c r="T9047" t="str">
        <f>IF(C9047="","",UPPER(LEFT(SUBSTITUTE(C9047," ",""),3))&amp;"-"&amp;TEXT(B9047,"AAMMDD")&amp;"-1")</f>
        <v/>
      </c>
    </row>
    <row r="9048" spans="20:20">
      <c r="T9048" t="str">
        <f>IF(C9048="","",UPPER(LEFT(SUBSTITUTE(C9048," ",""),3))&amp;"-"&amp;TEXT(B9048,"AAMMDD")&amp;"-1")</f>
        <v/>
      </c>
    </row>
    <row r="9049" spans="20:20">
      <c r="T9049" t="str">
        <f>IF(C9049="","",UPPER(LEFT(SUBSTITUTE(C9049," ",""),3))&amp;"-"&amp;TEXT(B9049,"AAMMDD")&amp;"-1")</f>
        <v/>
      </c>
    </row>
    <row r="9050" spans="20:20">
      <c r="T9050" t="str">
        <f>IF(C9050="","",UPPER(LEFT(SUBSTITUTE(C9050," ",""),3))&amp;"-"&amp;TEXT(B9050,"AAMMDD")&amp;"-1")</f>
        <v/>
      </c>
    </row>
    <row r="9051" spans="20:20">
      <c r="T9051" t="str">
        <f>IF(C9051="","",UPPER(LEFT(SUBSTITUTE(C9051," ",""),3))&amp;"-"&amp;TEXT(B9051,"AAMMDD")&amp;"-1")</f>
        <v/>
      </c>
    </row>
    <row r="9052" spans="20:20">
      <c r="T9052" t="str">
        <f>IF(C9052="","",UPPER(LEFT(SUBSTITUTE(C9052," ",""),3))&amp;"-"&amp;TEXT(B9052,"AAMMDD")&amp;"-1")</f>
        <v/>
      </c>
    </row>
    <row r="9053" spans="20:20">
      <c r="T9053" t="str">
        <f>IF(C9053="","",UPPER(LEFT(SUBSTITUTE(C9053," ",""),3))&amp;"-"&amp;TEXT(B9053,"AAMMDD")&amp;"-1")</f>
        <v/>
      </c>
    </row>
    <row r="9054" spans="20:20">
      <c r="T9054" t="str">
        <f>IF(C9054="","",UPPER(LEFT(SUBSTITUTE(C9054," ",""),3))&amp;"-"&amp;TEXT(B9054,"AAMMDD")&amp;"-1")</f>
        <v/>
      </c>
    </row>
    <row r="9055" spans="20:20">
      <c r="T9055" t="str">
        <f>IF(C9055="","",UPPER(LEFT(SUBSTITUTE(C9055," ",""),3))&amp;"-"&amp;TEXT(B9055,"AAMMDD")&amp;"-1")</f>
        <v/>
      </c>
    </row>
    <row r="9056" spans="20:20">
      <c r="T9056" t="str">
        <f>IF(C9056="","",UPPER(LEFT(SUBSTITUTE(C9056," ",""),3))&amp;"-"&amp;TEXT(B9056,"AAMMDD")&amp;"-1")</f>
        <v/>
      </c>
    </row>
    <row r="9057" spans="20:20">
      <c r="T9057" t="str">
        <f>IF(C9057="","",UPPER(LEFT(SUBSTITUTE(C9057," ",""),3))&amp;"-"&amp;TEXT(B9057,"AAMMDD")&amp;"-1")</f>
        <v/>
      </c>
    </row>
    <row r="9058" spans="20:20">
      <c r="T9058" t="str">
        <f>IF(C9058="","",UPPER(LEFT(SUBSTITUTE(C9058," ",""),3))&amp;"-"&amp;TEXT(B9058,"AAMMDD")&amp;"-1")</f>
        <v/>
      </c>
    </row>
    <row r="9059" spans="20:20">
      <c r="T9059" t="str">
        <f>IF(C9059="","",UPPER(LEFT(SUBSTITUTE(C9059," ",""),3))&amp;"-"&amp;TEXT(B9059,"AAMMDD")&amp;"-1")</f>
        <v/>
      </c>
    </row>
    <row r="9060" spans="20:20">
      <c r="T9060" t="str">
        <f>IF(C9060="","",UPPER(LEFT(SUBSTITUTE(C9060," ",""),3))&amp;"-"&amp;TEXT(B9060,"AAMMDD")&amp;"-1")</f>
        <v/>
      </c>
    </row>
    <row r="9061" spans="20:20">
      <c r="T9061" t="str">
        <f>IF(C9061="","",UPPER(LEFT(SUBSTITUTE(C9061," ",""),3))&amp;"-"&amp;TEXT(B9061,"AAMMDD")&amp;"-1")</f>
        <v/>
      </c>
    </row>
    <row r="9062" spans="20:20">
      <c r="T9062" t="str">
        <f>IF(C9062="","",UPPER(LEFT(SUBSTITUTE(C9062," ",""),3))&amp;"-"&amp;TEXT(B9062,"AAMMDD")&amp;"-1")</f>
        <v/>
      </c>
    </row>
    <row r="9063" spans="20:20">
      <c r="T9063" t="str">
        <f>IF(C9063="","",UPPER(LEFT(SUBSTITUTE(C9063," ",""),3))&amp;"-"&amp;TEXT(B9063,"AAMMDD")&amp;"-1")</f>
        <v/>
      </c>
    </row>
    <row r="9064" spans="20:20">
      <c r="T9064" t="str">
        <f>IF(C9064="","",UPPER(LEFT(SUBSTITUTE(C9064," ",""),3))&amp;"-"&amp;TEXT(B9064,"AAMMDD")&amp;"-1")</f>
        <v/>
      </c>
    </row>
    <row r="9065" spans="20:20">
      <c r="T9065" t="str">
        <f>IF(C9065="","",UPPER(LEFT(SUBSTITUTE(C9065," ",""),3))&amp;"-"&amp;TEXT(B9065,"AAMMDD")&amp;"-1")</f>
        <v/>
      </c>
    </row>
    <row r="9066" spans="20:20">
      <c r="T9066" t="str">
        <f>IF(C9066="","",UPPER(LEFT(SUBSTITUTE(C9066," ",""),3))&amp;"-"&amp;TEXT(B9066,"AAMMDD")&amp;"-1")</f>
        <v/>
      </c>
    </row>
    <row r="9067" spans="20:20">
      <c r="T9067" t="str">
        <f>IF(C9067="","",UPPER(LEFT(SUBSTITUTE(C9067," ",""),3))&amp;"-"&amp;TEXT(B9067,"AAMMDD")&amp;"-1")</f>
        <v/>
      </c>
    </row>
    <row r="9068" spans="20:20">
      <c r="T9068" t="str">
        <f>IF(C9068="","",UPPER(LEFT(SUBSTITUTE(C9068," ",""),3))&amp;"-"&amp;TEXT(B9068,"AAMMDD")&amp;"-1")</f>
        <v/>
      </c>
    </row>
    <row r="9069" spans="20:20">
      <c r="T9069" t="str">
        <f>IF(C9069="","",UPPER(LEFT(SUBSTITUTE(C9069," ",""),3))&amp;"-"&amp;TEXT(B9069,"AAMMDD")&amp;"-1")</f>
        <v/>
      </c>
    </row>
    <row r="9070" spans="20:20">
      <c r="T9070" t="str">
        <f>IF(C9070="","",UPPER(LEFT(SUBSTITUTE(C9070," ",""),3))&amp;"-"&amp;TEXT(B9070,"AAMMDD")&amp;"-1")</f>
        <v/>
      </c>
    </row>
    <row r="9071" spans="20:20">
      <c r="T9071" t="str">
        <f>IF(C9071="","",UPPER(LEFT(SUBSTITUTE(C9071," ",""),3))&amp;"-"&amp;TEXT(B9071,"AAMMDD")&amp;"-1")</f>
        <v/>
      </c>
    </row>
    <row r="9072" spans="20:20">
      <c r="T9072" t="str">
        <f>IF(C9072="","",UPPER(LEFT(SUBSTITUTE(C9072," ",""),3))&amp;"-"&amp;TEXT(B9072,"AAMMDD")&amp;"-1")</f>
        <v/>
      </c>
    </row>
    <row r="9073" spans="20:20">
      <c r="T9073" t="str">
        <f>IF(C9073="","",UPPER(LEFT(SUBSTITUTE(C9073," ",""),3))&amp;"-"&amp;TEXT(B9073,"AAMMDD")&amp;"-1")</f>
        <v/>
      </c>
    </row>
    <row r="9074" spans="20:20">
      <c r="T9074" t="str">
        <f>IF(C9074="","",UPPER(LEFT(SUBSTITUTE(C9074," ",""),3))&amp;"-"&amp;TEXT(B9074,"AAMMDD")&amp;"-1")</f>
        <v/>
      </c>
    </row>
    <row r="9075" spans="20:20">
      <c r="T9075" t="str">
        <f>IF(C9075="","",UPPER(LEFT(SUBSTITUTE(C9075," ",""),3))&amp;"-"&amp;TEXT(B9075,"AAMMDD")&amp;"-1")</f>
        <v/>
      </c>
    </row>
    <row r="9076" spans="20:20">
      <c r="T9076" t="str">
        <f>IF(C9076="","",UPPER(LEFT(SUBSTITUTE(C9076," ",""),3))&amp;"-"&amp;TEXT(B9076,"AAMMDD")&amp;"-1")</f>
        <v/>
      </c>
    </row>
    <row r="9077" spans="20:20">
      <c r="T9077" t="str">
        <f>IF(C9077="","",UPPER(LEFT(SUBSTITUTE(C9077," ",""),3))&amp;"-"&amp;TEXT(B9077,"AAMMDD")&amp;"-1")</f>
        <v/>
      </c>
    </row>
    <row r="9078" spans="20:20">
      <c r="T9078" t="str">
        <f>IF(C9078="","",UPPER(LEFT(SUBSTITUTE(C9078," ",""),3))&amp;"-"&amp;TEXT(B9078,"AAMMDD")&amp;"-1")</f>
        <v/>
      </c>
    </row>
    <row r="9079" spans="20:20">
      <c r="T9079" t="str">
        <f>IF(C9079="","",UPPER(LEFT(SUBSTITUTE(C9079," ",""),3))&amp;"-"&amp;TEXT(B9079,"AAMMDD")&amp;"-1")</f>
        <v/>
      </c>
    </row>
    <row r="9080" spans="20:20">
      <c r="T9080" t="str">
        <f>IF(C9080="","",UPPER(LEFT(SUBSTITUTE(C9080," ",""),3))&amp;"-"&amp;TEXT(B9080,"AAMMDD")&amp;"-1")</f>
        <v/>
      </c>
    </row>
    <row r="9081" spans="20:20">
      <c r="T9081" t="str">
        <f>IF(C9081="","",UPPER(LEFT(SUBSTITUTE(C9081," ",""),3))&amp;"-"&amp;TEXT(B9081,"AAMMDD")&amp;"-1")</f>
        <v/>
      </c>
    </row>
    <row r="9082" spans="20:20">
      <c r="T9082" t="str">
        <f>IF(C9082="","",UPPER(LEFT(SUBSTITUTE(C9082," ",""),3))&amp;"-"&amp;TEXT(B9082,"AAMMDD")&amp;"-1")</f>
        <v/>
      </c>
    </row>
    <row r="9083" spans="20:20">
      <c r="T9083" t="str">
        <f>IF(C9083="","",UPPER(LEFT(SUBSTITUTE(C9083," ",""),3))&amp;"-"&amp;TEXT(B9083,"AAMMDD")&amp;"-1")</f>
        <v/>
      </c>
    </row>
    <row r="9084" spans="20:20">
      <c r="T9084" t="str">
        <f>IF(C9084="","",UPPER(LEFT(SUBSTITUTE(C9084," ",""),3))&amp;"-"&amp;TEXT(B9084,"AAMMDD")&amp;"-1")</f>
        <v/>
      </c>
    </row>
    <row r="9085" spans="20:20">
      <c r="T9085" t="str">
        <f>IF(C9085="","",UPPER(LEFT(SUBSTITUTE(C9085," ",""),3))&amp;"-"&amp;TEXT(B9085,"AAMMDD")&amp;"-1")</f>
        <v/>
      </c>
    </row>
    <row r="9086" spans="20:20">
      <c r="T9086" t="str">
        <f>IF(C9086="","",UPPER(LEFT(SUBSTITUTE(C9086," ",""),3))&amp;"-"&amp;TEXT(B9086,"AAMMDD")&amp;"-1")</f>
        <v/>
      </c>
    </row>
    <row r="9087" spans="20:20">
      <c r="T9087" t="str">
        <f>IF(C9087="","",UPPER(LEFT(SUBSTITUTE(C9087," ",""),3))&amp;"-"&amp;TEXT(B9087,"AAMMDD")&amp;"-1")</f>
        <v/>
      </c>
    </row>
    <row r="9088" spans="20:20">
      <c r="T9088" t="str">
        <f>IF(C9088="","",UPPER(LEFT(SUBSTITUTE(C9088," ",""),3))&amp;"-"&amp;TEXT(B9088,"AAMMDD")&amp;"-1")</f>
        <v/>
      </c>
    </row>
    <row r="9089" spans="20:20">
      <c r="T9089" t="str">
        <f>IF(C9089="","",UPPER(LEFT(SUBSTITUTE(C9089," ",""),3))&amp;"-"&amp;TEXT(B9089,"AAMMDD")&amp;"-1")</f>
        <v/>
      </c>
    </row>
    <row r="9090" spans="20:20">
      <c r="T9090" t="str">
        <f>IF(C9090="","",UPPER(LEFT(SUBSTITUTE(C9090," ",""),3))&amp;"-"&amp;TEXT(B9090,"AAMMDD")&amp;"-1")</f>
        <v/>
      </c>
    </row>
    <row r="9091" spans="20:20">
      <c r="T9091" t="str">
        <f>IF(C9091="","",UPPER(LEFT(SUBSTITUTE(C9091," ",""),3))&amp;"-"&amp;TEXT(B9091,"AAMMDD")&amp;"-1")</f>
        <v/>
      </c>
    </row>
    <row r="9092" spans="20:20">
      <c r="T9092" t="str">
        <f>IF(C9092="","",UPPER(LEFT(SUBSTITUTE(C9092," ",""),3))&amp;"-"&amp;TEXT(B9092,"AAMMDD")&amp;"-1")</f>
        <v/>
      </c>
    </row>
    <row r="9093" spans="20:20">
      <c r="T9093" t="str">
        <f>IF(C9093="","",UPPER(LEFT(SUBSTITUTE(C9093," ",""),3))&amp;"-"&amp;TEXT(B9093,"AAMMDD")&amp;"-1")</f>
        <v/>
      </c>
    </row>
    <row r="9094" spans="20:20">
      <c r="T9094" t="str">
        <f>IF(C9094="","",UPPER(LEFT(SUBSTITUTE(C9094," ",""),3))&amp;"-"&amp;TEXT(B9094,"AAMMDD")&amp;"-1")</f>
        <v/>
      </c>
    </row>
    <row r="9095" spans="20:20">
      <c r="T9095" t="str">
        <f>IF(C9095="","",UPPER(LEFT(SUBSTITUTE(C9095," ",""),3))&amp;"-"&amp;TEXT(B9095,"AAMMDD")&amp;"-1")</f>
        <v/>
      </c>
    </row>
    <row r="9096" spans="20:20">
      <c r="T9096" t="str">
        <f>IF(C9096="","",UPPER(LEFT(SUBSTITUTE(C9096," ",""),3))&amp;"-"&amp;TEXT(B9096,"AAMMDD")&amp;"-1")</f>
        <v/>
      </c>
    </row>
    <row r="9097" spans="20:20">
      <c r="T9097" t="str">
        <f>IF(C9097="","",UPPER(LEFT(SUBSTITUTE(C9097," ",""),3))&amp;"-"&amp;TEXT(B9097,"AAMMDD")&amp;"-1")</f>
        <v/>
      </c>
    </row>
    <row r="9098" spans="20:20">
      <c r="T9098" t="str">
        <f>IF(C9098="","",UPPER(LEFT(SUBSTITUTE(C9098," ",""),3))&amp;"-"&amp;TEXT(B9098,"AAMMDD")&amp;"-1")</f>
        <v/>
      </c>
    </row>
    <row r="9099" spans="20:20">
      <c r="T9099" t="str">
        <f>IF(C9099="","",UPPER(LEFT(SUBSTITUTE(C9099," ",""),3))&amp;"-"&amp;TEXT(B9099,"AAMMDD")&amp;"-1")</f>
        <v/>
      </c>
    </row>
    <row r="9100" spans="20:20">
      <c r="T9100" t="str">
        <f>IF(C9100="","",UPPER(LEFT(SUBSTITUTE(C9100," ",""),3))&amp;"-"&amp;TEXT(B9100,"AAMMDD")&amp;"-1")</f>
        <v/>
      </c>
    </row>
    <row r="9101" spans="20:20">
      <c r="T9101" t="str">
        <f>IF(C9101="","",UPPER(LEFT(SUBSTITUTE(C9101," ",""),3))&amp;"-"&amp;TEXT(B9101,"AAMMDD")&amp;"-1")</f>
        <v/>
      </c>
    </row>
    <row r="9102" spans="20:20">
      <c r="T9102" t="str">
        <f>IF(C9102="","",UPPER(LEFT(SUBSTITUTE(C9102," ",""),3))&amp;"-"&amp;TEXT(B9102,"AAMMDD")&amp;"-1")</f>
        <v/>
      </c>
    </row>
    <row r="9103" spans="20:20">
      <c r="T9103" t="str">
        <f>IF(C9103="","",UPPER(LEFT(SUBSTITUTE(C9103," ",""),3))&amp;"-"&amp;TEXT(B9103,"AAMMDD")&amp;"-1")</f>
        <v/>
      </c>
    </row>
    <row r="9104" spans="20:20">
      <c r="T9104" t="str">
        <f>IF(C9104="","",UPPER(LEFT(SUBSTITUTE(C9104," ",""),3))&amp;"-"&amp;TEXT(B9104,"AAMMDD")&amp;"-1")</f>
        <v/>
      </c>
    </row>
    <row r="9105" spans="20:20">
      <c r="T9105" t="str">
        <f>IF(C9105="","",UPPER(LEFT(SUBSTITUTE(C9105," ",""),3))&amp;"-"&amp;TEXT(B9105,"AAMMDD")&amp;"-1")</f>
        <v/>
      </c>
    </row>
    <row r="9106" spans="20:20">
      <c r="T9106" t="str">
        <f>IF(C9106="","",UPPER(LEFT(SUBSTITUTE(C9106," ",""),3))&amp;"-"&amp;TEXT(B9106,"AAMMDD")&amp;"-1")</f>
        <v/>
      </c>
    </row>
    <row r="9107" spans="20:20">
      <c r="T9107" t="str">
        <f>IF(C9107="","",UPPER(LEFT(SUBSTITUTE(C9107," ",""),3))&amp;"-"&amp;TEXT(B9107,"AAMMDD")&amp;"-1")</f>
        <v/>
      </c>
    </row>
    <row r="9108" spans="20:20">
      <c r="T9108" t="str">
        <f>IF(C9108="","",UPPER(LEFT(SUBSTITUTE(C9108," ",""),3))&amp;"-"&amp;TEXT(B9108,"AAMMDD")&amp;"-1")</f>
        <v/>
      </c>
    </row>
    <row r="9109" spans="20:20">
      <c r="T9109" t="str">
        <f>IF(C9109="","",UPPER(LEFT(SUBSTITUTE(C9109," ",""),3))&amp;"-"&amp;TEXT(B9109,"AAMMDD")&amp;"-1")</f>
        <v/>
      </c>
    </row>
    <row r="9110" spans="20:20">
      <c r="T9110" t="str">
        <f>IF(C9110="","",UPPER(LEFT(SUBSTITUTE(C9110," ",""),3))&amp;"-"&amp;TEXT(B9110,"AAMMDD")&amp;"-1")</f>
        <v/>
      </c>
    </row>
    <row r="9111" spans="20:20">
      <c r="T9111" t="str">
        <f>IF(C9111="","",UPPER(LEFT(SUBSTITUTE(C9111," ",""),3))&amp;"-"&amp;TEXT(B9111,"AAMMDD")&amp;"-1")</f>
        <v/>
      </c>
    </row>
    <row r="9112" spans="20:20">
      <c r="T9112" t="str">
        <f>IF(C9112="","",UPPER(LEFT(SUBSTITUTE(C9112," ",""),3))&amp;"-"&amp;TEXT(B9112,"AAMMDD")&amp;"-1")</f>
        <v/>
      </c>
    </row>
    <row r="9113" spans="20:20">
      <c r="T9113" t="str">
        <f>IF(C9113="","",UPPER(LEFT(SUBSTITUTE(C9113," ",""),3))&amp;"-"&amp;TEXT(B9113,"AAMMDD")&amp;"-1")</f>
        <v/>
      </c>
    </row>
    <row r="9114" spans="20:20">
      <c r="T9114" t="str">
        <f>IF(C9114="","",UPPER(LEFT(SUBSTITUTE(C9114," ",""),3))&amp;"-"&amp;TEXT(B9114,"AAMMDD")&amp;"-1")</f>
        <v/>
      </c>
    </row>
    <row r="9115" spans="20:20">
      <c r="T9115" t="str">
        <f>IF(C9115="","",UPPER(LEFT(SUBSTITUTE(C9115," ",""),3))&amp;"-"&amp;TEXT(B9115,"AAMMDD")&amp;"-1")</f>
        <v/>
      </c>
    </row>
    <row r="9116" spans="20:20">
      <c r="T9116" t="str">
        <f>IF(C9116="","",UPPER(LEFT(SUBSTITUTE(C9116," ",""),3))&amp;"-"&amp;TEXT(B9116,"AAMMDD")&amp;"-1")</f>
        <v/>
      </c>
    </row>
    <row r="9117" spans="20:20">
      <c r="T9117" t="str">
        <f>IF(C9117="","",UPPER(LEFT(SUBSTITUTE(C9117," ",""),3))&amp;"-"&amp;TEXT(B9117,"AAMMDD")&amp;"-1")</f>
        <v/>
      </c>
    </row>
    <row r="9118" spans="20:20">
      <c r="T9118" t="str">
        <f>IF(C9118="","",UPPER(LEFT(SUBSTITUTE(C9118," ",""),3))&amp;"-"&amp;TEXT(B9118,"AAMMDD")&amp;"-1")</f>
        <v/>
      </c>
    </row>
    <row r="9119" spans="20:20">
      <c r="T9119" t="str">
        <f>IF(C9119="","",UPPER(LEFT(SUBSTITUTE(C9119," ",""),3))&amp;"-"&amp;TEXT(B9119,"AAMMDD")&amp;"-1")</f>
        <v/>
      </c>
    </row>
    <row r="9120" spans="20:20">
      <c r="T9120" t="str">
        <f>IF(C9120="","",UPPER(LEFT(SUBSTITUTE(C9120," ",""),3))&amp;"-"&amp;TEXT(B9120,"AAMMDD")&amp;"-1")</f>
        <v/>
      </c>
    </row>
    <row r="9121" spans="20:20">
      <c r="T9121" t="str">
        <f>IF(C9121="","",UPPER(LEFT(SUBSTITUTE(C9121," ",""),3))&amp;"-"&amp;TEXT(B9121,"AAMMDD")&amp;"-1")</f>
        <v/>
      </c>
    </row>
    <row r="9122" spans="20:20">
      <c r="T9122" t="str">
        <f>IF(C9122="","",UPPER(LEFT(SUBSTITUTE(C9122," ",""),3))&amp;"-"&amp;TEXT(B9122,"AAMMDD")&amp;"-1")</f>
        <v/>
      </c>
    </row>
    <row r="9123" spans="20:20">
      <c r="T9123" t="str">
        <f>IF(C9123="","",UPPER(LEFT(SUBSTITUTE(C9123," ",""),3))&amp;"-"&amp;TEXT(B9123,"AAMMDD")&amp;"-1")</f>
        <v/>
      </c>
    </row>
    <row r="9124" spans="20:20">
      <c r="T9124" t="str">
        <f>IF(C9124="","",UPPER(LEFT(SUBSTITUTE(C9124," ",""),3))&amp;"-"&amp;TEXT(B9124,"AAMMDD")&amp;"-1")</f>
        <v/>
      </c>
    </row>
    <row r="9125" spans="20:20">
      <c r="T9125" t="str">
        <f>IF(C9125="","",UPPER(LEFT(SUBSTITUTE(C9125," ",""),3))&amp;"-"&amp;TEXT(B9125,"AAMMDD")&amp;"-1")</f>
        <v/>
      </c>
    </row>
    <row r="9126" spans="20:20">
      <c r="T9126" t="str">
        <f>IF(C9126="","",UPPER(LEFT(SUBSTITUTE(C9126," ",""),3))&amp;"-"&amp;TEXT(B9126,"AAMMDD")&amp;"-1")</f>
        <v/>
      </c>
    </row>
    <row r="9127" spans="20:20">
      <c r="T9127" t="str">
        <f>IF(C9127="","",UPPER(LEFT(SUBSTITUTE(C9127," ",""),3))&amp;"-"&amp;TEXT(B9127,"AAMMDD")&amp;"-1")</f>
        <v/>
      </c>
    </row>
    <row r="9128" spans="20:20">
      <c r="T9128" t="str">
        <f>IF(C9128="","",UPPER(LEFT(SUBSTITUTE(C9128," ",""),3))&amp;"-"&amp;TEXT(B9128,"AAMMDD")&amp;"-1")</f>
        <v/>
      </c>
    </row>
    <row r="9129" spans="20:20">
      <c r="T9129" t="str">
        <f>IF(C9129="","",UPPER(LEFT(SUBSTITUTE(C9129," ",""),3))&amp;"-"&amp;TEXT(B9129,"AAMMDD")&amp;"-1")</f>
        <v/>
      </c>
    </row>
    <row r="9130" spans="20:20">
      <c r="T9130" t="str">
        <f>IF(C9130="","",UPPER(LEFT(SUBSTITUTE(C9130," ",""),3))&amp;"-"&amp;TEXT(B9130,"AAMMDD")&amp;"-1")</f>
        <v/>
      </c>
    </row>
    <row r="9131" spans="20:20">
      <c r="T9131" t="str">
        <f>IF(C9131="","",UPPER(LEFT(SUBSTITUTE(C9131," ",""),3))&amp;"-"&amp;TEXT(B9131,"AAMMDD")&amp;"-1")</f>
        <v/>
      </c>
    </row>
    <row r="9132" spans="20:20">
      <c r="T9132" t="str">
        <f>IF(C9132="","",UPPER(LEFT(SUBSTITUTE(C9132," ",""),3))&amp;"-"&amp;TEXT(B9132,"AAMMDD")&amp;"-1")</f>
        <v/>
      </c>
    </row>
    <row r="9133" spans="20:20">
      <c r="T9133" t="str">
        <f>IF(C9133="","",UPPER(LEFT(SUBSTITUTE(C9133," ",""),3))&amp;"-"&amp;TEXT(B9133,"AAMMDD")&amp;"-1")</f>
        <v/>
      </c>
    </row>
    <row r="9134" spans="20:20">
      <c r="T9134" t="str">
        <f>IF(C9134="","",UPPER(LEFT(SUBSTITUTE(C9134," ",""),3))&amp;"-"&amp;TEXT(B9134,"AAMMDD")&amp;"-1")</f>
        <v/>
      </c>
    </row>
    <row r="9135" spans="20:20">
      <c r="T9135" t="str">
        <f>IF(C9135="","",UPPER(LEFT(SUBSTITUTE(C9135," ",""),3))&amp;"-"&amp;TEXT(B9135,"AAMMDD")&amp;"-1")</f>
        <v/>
      </c>
    </row>
    <row r="9136" spans="20:20">
      <c r="T9136" t="str">
        <f>IF(C9136="","",UPPER(LEFT(SUBSTITUTE(C9136," ",""),3))&amp;"-"&amp;TEXT(B9136,"AAMMDD")&amp;"-1")</f>
        <v/>
      </c>
    </row>
    <row r="9137" spans="20:20">
      <c r="T9137" t="str">
        <f>IF(C9137="","",UPPER(LEFT(SUBSTITUTE(C9137," ",""),3))&amp;"-"&amp;TEXT(B9137,"AAMMDD")&amp;"-1")</f>
        <v/>
      </c>
    </row>
    <row r="9138" spans="20:20">
      <c r="T9138" t="str">
        <f>IF(C9138="","",UPPER(LEFT(SUBSTITUTE(C9138," ",""),3))&amp;"-"&amp;TEXT(B9138,"AAMMDD")&amp;"-1")</f>
        <v/>
      </c>
    </row>
    <row r="9139" spans="20:20">
      <c r="T9139" t="str">
        <f>IF(C9139="","",UPPER(LEFT(SUBSTITUTE(C9139," ",""),3))&amp;"-"&amp;TEXT(B9139,"AAMMDD")&amp;"-1")</f>
        <v/>
      </c>
    </row>
    <row r="9140" spans="20:20">
      <c r="T9140" t="str">
        <f>IF(C9140="","",UPPER(LEFT(SUBSTITUTE(C9140," ",""),3))&amp;"-"&amp;TEXT(B9140,"AAMMDD")&amp;"-1")</f>
        <v/>
      </c>
    </row>
    <row r="9141" spans="20:20">
      <c r="T9141" t="str">
        <f>IF(C9141="","",UPPER(LEFT(SUBSTITUTE(C9141," ",""),3))&amp;"-"&amp;TEXT(B9141,"AAMMDD")&amp;"-1")</f>
        <v/>
      </c>
    </row>
    <row r="9142" spans="20:20">
      <c r="T9142" t="str">
        <f>IF(C9142="","",UPPER(LEFT(SUBSTITUTE(C9142," ",""),3))&amp;"-"&amp;TEXT(B9142,"AAMMDD")&amp;"-1")</f>
        <v/>
      </c>
    </row>
    <row r="9143" spans="20:20">
      <c r="T9143" t="str">
        <f>IF(C9143="","",UPPER(LEFT(SUBSTITUTE(C9143," ",""),3))&amp;"-"&amp;TEXT(B9143,"AAMMDD")&amp;"-1")</f>
        <v/>
      </c>
    </row>
    <row r="9144" spans="20:20">
      <c r="T9144" t="str">
        <f>IF(C9144="","",UPPER(LEFT(SUBSTITUTE(C9144," ",""),3))&amp;"-"&amp;TEXT(B9144,"AAMMDD")&amp;"-1")</f>
        <v/>
      </c>
    </row>
    <row r="9145" spans="20:20">
      <c r="T9145" t="str">
        <f>IF(C9145="","",UPPER(LEFT(SUBSTITUTE(C9145," ",""),3))&amp;"-"&amp;TEXT(B9145,"AAMMDD")&amp;"-1")</f>
        <v/>
      </c>
    </row>
    <row r="9146" spans="20:20">
      <c r="T9146" t="str">
        <f>IF(C9146="","",UPPER(LEFT(SUBSTITUTE(C9146," ",""),3))&amp;"-"&amp;TEXT(B9146,"AAMMDD")&amp;"-1")</f>
        <v/>
      </c>
    </row>
    <row r="9147" spans="20:20">
      <c r="T9147" t="str">
        <f>IF(C9147="","",UPPER(LEFT(SUBSTITUTE(C9147," ",""),3))&amp;"-"&amp;TEXT(B9147,"AAMMDD")&amp;"-1")</f>
        <v/>
      </c>
    </row>
    <row r="9148" spans="20:20">
      <c r="T9148" t="str">
        <f>IF(C9148="","",UPPER(LEFT(SUBSTITUTE(C9148," ",""),3))&amp;"-"&amp;TEXT(B9148,"AAMMDD")&amp;"-1")</f>
        <v/>
      </c>
    </row>
    <row r="9149" spans="20:20">
      <c r="T9149" t="str">
        <f>IF(C9149="","",UPPER(LEFT(SUBSTITUTE(C9149," ",""),3))&amp;"-"&amp;TEXT(B9149,"AAMMDD")&amp;"-1")</f>
        <v/>
      </c>
    </row>
    <row r="9150" spans="20:20">
      <c r="T9150" t="str">
        <f>IF(C9150="","",UPPER(LEFT(SUBSTITUTE(C9150," ",""),3))&amp;"-"&amp;TEXT(B9150,"AAMMDD")&amp;"-1")</f>
        <v/>
      </c>
    </row>
    <row r="9151" spans="20:20">
      <c r="T9151" t="str">
        <f>IF(C9151="","",UPPER(LEFT(SUBSTITUTE(C9151," ",""),3))&amp;"-"&amp;TEXT(B9151,"AAMMDD")&amp;"-1")</f>
        <v/>
      </c>
    </row>
    <row r="9152" spans="20:20">
      <c r="T9152" t="str">
        <f>IF(C9152="","",UPPER(LEFT(SUBSTITUTE(C9152," ",""),3))&amp;"-"&amp;TEXT(B9152,"AAMMDD")&amp;"-1")</f>
        <v/>
      </c>
    </row>
    <row r="9153" spans="20:20">
      <c r="T9153" t="str">
        <f>IF(C9153="","",UPPER(LEFT(SUBSTITUTE(C9153," ",""),3))&amp;"-"&amp;TEXT(B9153,"AAMMDD")&amp;"-1")</f>
        <v/>
      </c>
    </row>
    <row r="9154" spans="20:20">
      <c r="T9154" t="str">
        <f>IF(C9154="","",UPPER(LEFT(SUBSTITUTE(C9154," ",""),3))&amp;"-"&amp;TEXT(B9154,"AAMMDD")&amp;"-1")</f>
        <v/>
      </c>
    </row>
    <row r="9155" spans="20:20">
      <c r="T9155" t="str">
        <f>IF(C9155="","",UPPER(LEFT(SUBSTITUTE(C9155," ",""),3))&amp;"-"&amp;TEXT(B9155,"AAMMDD")&amp;"-1")</f>
        <v/>
      </c>
    </row>
    <row r="9156" spans="20:20">
      <c r="T9156" t="str">
        <f>IF(C9156="","",UPPER(LEFT(SUBSTITUTE(C9156," ",""),3))&amp;"-"&amp;TEXT(B9156,"AAMMDD")&amp;"-1")</f>
        <v/>
      </c>
    </row>
    <row r="9157" spans="20:20">
      <c r="T9157" t="str">
        <f>IF(C9157="","",UPPER(LEFT(SUBSTITUTE(C9157," ",""),3))&amp;"-"&amp;TEXT(B9157,"AAMMDD")&amp;"-1")</f>
        <v/>
      </c>
    </row>
    <row r="9158" spans="20:20">
      <c r="T9158" t="str">
        <f>IF(C9158="","",UPPER(LEFT(SUBSTITUTE(C9158," ",""),3))&amp;"-"&amp;TEXT(B9158,"AAMMDD")&amp;"-1")</f>
        <v/>
      </c>
    </row>
    <row r="9159" spans="20:20">
      <c r="T9159" t="str">
        <f>IF(C9159="","",UPPER(LEFT(SUBSTITUTE(C9159," ",""),3))&amp;"-"&amp;TEXT(B9159,"AAMMDD")&amp;"-1")</f>
        <v/>
      </c>
    </row>
    <row r="9160" spans="20:20">
      <c r="T9160" t="str">
        <f>IF(C9160="","",UPPER(LEFT(SUBSTITUTE(C9160," ",""),3))&amp;"-"&amp;TEXT(B9160,"AAMMDD")&amp;"-1")</f>
        <v/>
      </c>
    </row>
    <row r="9161" spans="20:20">
      <c r="T9161" t="str">
        <f>IF(C9161="","",UPPER(LEFT(SUBSTITUTE(C9161," ",""),3))&amp;"-"&amp;TEXT(B9161,"AAMMDD")&amp;"-1")</f>
        <v/>
      </c>
    </row>
    <row r="9162" spans="20:20">
      <c r="T9162" t="str">
        <f>IF(C9162="","",UPPER(LEFT(SUBSTITUTE(C9162," ",""),3))&amp;"-"&amp;TEXT(B9162,"AAMMDD")&amp;"-1")</f>
        <v/>
      </c>
    </row>
    <row r="9163" spans="20:20">
      <c r="T9163" t="str">
        <f>IF(C9163="","",UPPER(LEFT(SUBSTITUTE(C9163," ",""),3))&amp;"-"&amp;TEXT(B9163,"AAMMDD")&amp;"-1")</f>
        <v/>
      </c>
    </row>
    <row r="9164" spans="20:20">
      <c r="T9164" t="str">
        <f>IF(C9164="","",UPPER(LEFT(SUBSTITUTE(C9164," ",""),3))&amp;"-"&amp;TEXT(B9164,"AAMMDD")&amp;"-1")</f>
        <v/>
      </c>
    </row>
    <row r="9165" spans="20:20">
      <c r="T9165" t="str">
        <f>IF(C9165="","",UPPER(LEFT(SUBSTITUTE(C9165," ",""),3))&amp;"-"&amp;TEXT(B9165,"AAMMDD")&amp;"-1")</f>
        <v/>
      </c>
    </row>
    <row r="9166" spans="20:20">
      <c r="T9166" t="str">
        <f>IF(C9166="","",UPPER(LEFT(SUBSTITUTE(C9166," ",""),3))&amp;"-"&amp;TEXT(B9166,"AAMMDD")&amp;"-1")</f>
        <v/>
      </c>
    </row>
    <row r="9167" spans="20:20">
      <c r="T9167" t="str">
        <f>IF(C9167="","",UPPER(LEFT(SUBSTITUTE(C9167," ",""),3))&amp;"-"&amp;TEXT(B9167,"AAMMDD")&amp;"-1")</f>
        <v/>
      </c>
    </row>
    <row r="9168" spans="20:20">
      <c r="T9168" t="str">
        <f>IF(C9168="","",UPPER(LEFT(SUBSTITUTE(C9168," ",""),3))&amp;"-"&amp;TEXT(B9168,"AAMMDD")&amp;"-1")</f>
        <v/>
      </c>
    </row>
    <row r="9169" spans="20:20">
      <c r="T9169" t="str">
        <f>IF(C9169="","",UPPER(LEFT(SUBSTITUTE(C9169," ",""),3))&amp;"-"&amp;TEXT(B9169,"AAMMDD")&amp;"-1")</f>
        <v/>
      </c>
    </row>
    <row r="9170" spans="20:20">
      <c r="T9170" t="str">
        <f>IF(C9170="","",UPPER(LEFT(SUBSTITUTE(C9170," ",""),3))&amp;"-"&amp;TEXT(B9170,"AAMMDD")&amp;"-1")</f>
        <v/>
      </c>
    </row>
    <row r="9171" spans="20:20">
      <c r="T9171" t="str">
        <f>IF(C9171="","",UPPER(LEFT(SUBSTITUTE(C9171," ",""),3))&amp;"-"&amp;TEXT(B9171,"AAMMDD")&amp;"-1")</f>
        <v/>
      </c>
    </row>
    <row r="9172" spans="20:20">
      <c r="T9172" t="str">
        <f>IF(C9172="","",UPPER(LEFT(SUBSTITUTE(C9172," ",""),3))&amp;"-"&amp;TEXT(B9172,"AAMMDD")&amp;"-1")</f>
        <v/>
      </c>
    </row>
    <row r="9173" spans="20:20">
      <c r="T9173" t="str">
        <f>IF(C9173="","",UPPER(LEFT(SUBSTITUTE(C9173," ",""),3))&amp;"-"&amp;TEXT(B9173,"AAMMDD")&amp;"-1")</f>
        <v/>
      </c>
    </row>
    <row r="9174" spans="20:20">
      <c r="T9174" t="str">
        <f>IF(C9174="","",UPPER(LEFT(SUBSTITUTE(C9174," ",""),3))&amp;"-"&amp;TEXT(B9174,"AAMMDD")&amp;"-1")</f>
        <v/>
      </c>
    </row>
    <row r="9175" spans="20:20">
      <c r="T9175" t="str">
        <f>IF(C9175="","",UPPER(LEFT(SUBSTITUTE(C9175," ",""),3))&amp;"-"&amp;TEXT(B9175,"AAMMDD")&amp;"-1")</f>
        <v/>
      </c>
    </row>
    <row r="9176" spans="20:20">
      <c r="T9176" t="str">
        <f>IF(C9176="","",UPPER(LEFT(SUBSTITUTE(C9176," ",""),3))&amp;"-"&amp;TEXT(B9176,"AAMMDD")&amp;"-1")</f>
        <v/>
      </c>
    </row>
    <row r="9177" spans="20:20">
      <c r="T9177" t="str">
        <f>IF(C9177="","",UPPER(LEFT(SUBSTITUTE(C9177," ",""),3))&amp;"-"&amp;TEXT(B9177,"AAMMDD")&amp;"-1")</f>
        <v/>
      </c>
    </row>
    <row r="9178" spans="20:20">
      <c r="T9178" t="str">
        <f>IF(C9178="","",UPPER(LEFT(SUBSTITUTE(C9178," ",""),3))&amp;"-"&amp;TEXT(B9178,"AAMMDD")&amp;"-1")</f>
        <v/>
      </c>
    </row>
    <row r="9179" spans="20:20">
      <c r="T9179" t="str">
        <f>IF(C9179="","",UPPER(LEFT(SUBSTITUTE(C9179," ",""),3))&amp;"-"&amp;TEXT(B9179,"AAMMDD")&amp;"-1")</f>
        <v/>
      </c>
    </row>
    <row r="9180" spans="20:20">
      <c r="T9180" t="str">
        <f>IF(C9180="","",UPPER(LEFT(SUBSTITUTE(C9180," ",""),3))&amp;"-"&amp;TEXT(B9180,"AAMMDD")&amp;"-1")</f>
        <v/>
      </c>
    </row>
    <row r="9181" spans="20:20">
      <c r="T9181" t="str">
        <f>IF(C9181="","",UPPER(LEFT(SUBSTITUTE(C9181," ",""),3))&amp;"-"&amp;TEXT(B9181,"AAMMDD")&amp;"-1")</f>
        <v/>
      </c>
    </row>
    <row r="9182" spans="20:20">
      <c r="T9182" t="str">
        <f>IF(C9182="","",UPPER(LEFT(SUBSTITUTE(C9182," ",""),3))&amp;"-"&amp;TEXT(B9182,"AAMMDD")&amp;"-1")</f>
        <v/>
      </c>
    </row>
    <row r="9183" spans="20:20">
      <c r="T9183" t="str">
        <f>IF(C9183="","",UPPER(LEFT(SUBSTITUTE(C9183," ",""),3))&amp;"-"&amp;TEXT(B9183,"AAMMDD")&amp;"-1")</f>
        <v/>
      </c>
    </row>
    <row r="9184" spans="20:20">
      <c r="T9184" t="str">
        <f>IF(C9184="","",UPPER(LEFT(SUBSTITUTE(C9184," ",""),3))&amp;"-"&amp;TEXT(B9184,"AAMMDD")&amp;"-1")</f>
        <v/>
      </c>
    </row>
    <row r="9185" spans="20:20">
      <c r="T9185" t="str">
        <f>IF(C9185="","",UPPER(LEFT(SUBSTITUTE(C9185," ",""),3))&amp;"-"&amp;TEXT(B9185,"AAMMDD")&amp;"-1")</f>
        <v/>
      </c>
    </row>
    <row r="9186" spans="20:20">
      <c r="T9186" t="str">
        <f>IF(C9186="","",UPPER(LEFT(SUBSTITUTE(C9186," ",""),3))&amp;"-"&amp;TEXT(B9186,"AAMMDD")&amp;"-1")</f>
        <v/>
      </c>
    </row>
    <row r="9187" spans="20:20">
      <c r="T9187" t="str">
        <f>IF(C9187="","",UPPER(LEFT(SUBSTITUTE(C9187," ",""),3))&amp;"-"&amp;TEXT(B9187,"AAMMDD")&amp;"-1")</f>
        <v/>
      </c>
    </row>
    <row r="9188" spans="20:20">
      <c r="T9188" t="str">
        <f>IF(C9188="","",UPPER(LEFT(SUBSTITUTE(C9188," ",""),3))&amp;"-"&amp;TEXT(B9188,"AAMMDD")&amp;"-1")</f>
        <v/>
      </c>
    </row>
    <row r="9189" spans="20:20">
      <c r="T9189" t="str">
        <f>IF(C9189="","",UPPER(LEFT(SUBSTITUTE(C9189," ",""),3))&amp;"-"&amp;TEXT(B9189,"AAMMDD")&amp;"-1")</f>
        <v/>
      </c>
    </row>
    <row r="9190" spans="20:20">
      <c r="T9190" t="str">
        <f>IF(C9190="","",UPPER(LEFT(SUBSTITUTE(C9190," ",""),3))&amp;"-"&amp;TEXT(B9190,"AAMMDD")&amp;"-1")</f>
        <v/>
      </c>
    </row>
    <row r="9191" spans="20:20">
      <c r="T9191" t="str">
        <f>IF(C9191="","",UPPER(LEFT(SUBSTITUTE(C9191," ",""),3))&amp;"-"&amp;TEXT(B9191,"AAMMDD")&amp;"-1")</f>
        <v/>
      </c>
    </row>
    <row r="9192" spans="20:20">
      <c r="T9192" t="str">
        <f>IF(C9192="","",UPPER(LEFT(SUBSTITUTE(C9192," ",""),3))&amp;"-"&amp;TEXT(B9192,"AAMMDD")&amp;"-1")</f>
        <v/>
      </c>
    </row>
    <row r="9193" spans="20:20">
      <c r="T9193" t="str">
        <f>IF(C9193="","",UPPER(LEFT(SUBSTITUTE(C9193," ",""),3))&amp;"-"&amp;TEXT(B9193,"AAMMDD")&amp;"-1")</f>
        <v/>
      </c>
    </row>
    <row r="9194" spans="20:20">
      <c r="T9194" t="str">
        <f>IF(C9194="","",UPPER(LEFT(SUBSTITUTE(C9194," ",""),3))&amp;"-"&amp;TEXT(B9194,"AAMMDD")&amp;"-1")</f>
        <v/>
      </c>
    </row>
    <row r="9195" spans="20:20">
      <c r="T9195" t="str">
        <f>IF(C9195="","",UPPER(LEFT(SUBSTITUTE(C9195," ",""),3))&amp;"-"&amp;TEXT(B9195,"AAMMDD")&amp;"-1")</f>
        <v/>
      </c>
    </row>
    <row r="9196" spans="20:20">
      <c r="T9196" t="str">
        <f>IF(C9196="","",UPPER(LEFT(SUBSTITUTE(C9196," ",""),3))&amp;"-"&amp;TEXT(B9196,"AAMMDD")&amp;"-1")</f>
        <v/>
      </c>
    </row>
    <row r="9197" spans="20:20">
      <c r="T9197" t="str">
        <f>IF(C9197="","",UPPER(LEFT(SUBSTITUTE(C9197," ",""),3))&amp;"-"&amp;TEXT(B9197,"AAMMDD")&amp;"-1")</f>
        <v/>
      </c>
    </row>
    <row r="9198" spans="20:20">
      <c r="T9198" t="str">
        <f>IF(C9198="","",UPPER(LEFT(SUBSTITUTE(C9198," ",""),3))&amp;"-"&amp;TEXT(B9198,"AAMMDD")&amp;"-1")</f>
        <v/>
      </c>
    </row>
    <row r="9199" spans="20:20">
      <c r="T9199" t="str">
        <f>IF(C9199="","",UPPER(LEFT(SUBSTITUTE(C9199," ",""),3))&amp;"-"&amp;TEXT(B9199,"AAMMDD")&amp;"-1")</f>
        <v/>
      </c>
    </row>
    <row r="9200" spans="20:20">
      <c r="T9200" t="str">
        <f>IF(C9200="","",UPPER(LEFT(SUBSTITUTE(C9200," ",""),3))&amp;"-"&amp;TEXT(B9200,"AAMMDD")&amp;"-1")</f>
        <v/>
      </c>
    </row>
    <row r="9201" spans="20:20">
      <c r="T9201" t="str">
        <f>IF(C9201="","",UPPER(LEFT(SUBSTITUTE(C9201," ",""),3))&amp;"-"&amp;TEXT(B9201,"AAMMDD")&amp;"-1")</f>
        <v/>
      </c>
    </row>
    <row r="9202" spans="20:20">
      <c r="T9202" t="str">
        <f>IF(C9202="","",UPPER(LEFT(SUBSTITUTE(C9202," ",""),3))&amp;"-"&amp;TEXT(B9202,"AAMMDD")&amp;"-1")</f>
        <v/>
      </c>
    </row>
    <row r="9203" spans="20:20">
      <c r="T9203" t="str">
        <f>IF(C9203="","",UPPER(LEFT(SUBSTITUTE(C9203," ",""),3))&amp;"-"&amp;TEXT(B9203,"AAMMDD")&amp;"-1")</f>
        <v/>
      </c>
    </row>
    <row r="9204" spans="20:20">
      <c r="T9204" t="str">
        <f>IF(C9204="","",UPPER(LEFT(SUBSTITUTE(C9204," ",""),3))&amp;"-"&amp;TEXT(B9204,"AAMMDD")&amp;"-1")</f>
        <v/>
      </c>
    </row>
    <row r="9205" spans="20:20">
      <c r="T9205" t="str">
        <f>IF(C9205="","",UPPER(LEFT(SUBSTITUTE(C9205," ",""),3))&amp;"-"&amp;TEXT(B9205,"AAMMDD")&amp;"-1")</f>
        <v/>
      </c>
    </row>
    <row r="9206" spans="20:20">
      <c r="T9206" t="str">
        <f>IF(C9206="","",UPPER(LEFT(SUBSTITUTE(C9206," ",""),3))&amp;"-"&amp;TEXT(B9206,"AAMMDD")&amp;"-1")</f>
        <v/>
      </c>
    </row>
    <row r="9207" spans="20:20">
      <c r="T9207" t="str">
        <f>IF(C9207="","",UPPER(LEFT(SUBSTITUTE(C9207," ",""),3))&amp;"-"&amp;TEXT(B9207,"AAMMDD")&amp;"-1")</f>
        <v/>
      </c>
    </row>
    <row r="9208" spans="20:20">
      <c r="T9208" t="str">
        <f>IF(C9208="","",UPPER(LEFT(SUBSTITUTE(C9208," ",""),3))&amp;"-"&amp;TEXT(B9208,"AAMMDD")&amp;"-1")</f>
        <v/>
      </c>
    </row>
    <row r="9209" spans="20:20">
      <c r="T9209" t="str">
        <f>IF(C9209="","",UPPER(LEFT(SUBSTITUTE(C9209," ",""),3))&amp;"-"&amp;TEXT(B9209,"AAMMDD")&amp;"-1")</f>
        <v/>
      </c>
    </row>
    <row r="9210" spans="20:20">
      <c r="T9210" t="str">
        <f>IF(C9210="","",UPPER(LEFT(SUBSTITUTE(C9210," ",""),3))&amp;"-"&amp;TEXT(B9210,"AAMMDD")&amp;"-1")</f>
        <v/>
      </c>
    </row>
    <row r="9211" spans="20:20">
      <c r="T9211" t="str">
        <f>IF(C9211="","",UPPER(LEFT(SUBSTITUTE(C9211," ",""),3))&amp;"-"&amp;TEXT(B9211,"AAMMDD")&amp;"-1")</f>
        <v/>
      </c>
    </row>
    <row r="9212" spans="20:20">
      <c r="T9212" t="str">
        <f>IF(C9212="","",UPPER(LEFT(SUBSTITUTE(C9212," ",""),3))&amp;"-"&amp;TEXT(B9212,"AAMMDD")&amp;"-1")</f>
        <v/>
      </c>
    </row>
    <row r="9213" spans="20:20">
      <c r="T9213" t="str">
        <f>IF(C9213="","",UPPER(LEFT(SUBSTITUTE(C9213," ",""),3))&amp;"-"&amp;TEXT(B9213,"AAMMDD")&amp;"-1")</f>
        <v/>
      </c>
    </row>
    <row r="9214" spans="20:20">
      <c r="T9214" t="str">
        <f>IF(C9214="","",UPPER(LEFT(SUBSTITUTE(C9214," ",""),3))&amp;"-"&amp;TEXT(B9214,"AAMMDD")&amp;"-1")</f>
        <v/>
      </c>
    </row>
    <row r="9215" spans="20:20">
      <c r="T9215" t="str">
        <f>IF(C9215="","",UPPER(LEFT(SUBSTITUTE(C9215," ",""),3))&amp;"-"&amp;TEXT(B9215,"AAMMDD")&amp;"-1")</f>
        <v/>
      </c>
    </row>
    <row r="9216" spans="20:20">
      <c r="T9216" t="str">
        <f>IF(C9216="","",UPPER(LEFT(SUBSTITUTE(C9216," ",""),3))&amp;"-"&amp;TEXT(B9216,"AAMMDD")&amp;"-1")</f>
        <v/>
      </c>
    </row>
    <row r="9217" spans="20:20">
      <c r="T9217" t="str">
        <f>IF(C9217="","",UPPER(LEFT(SUBSTITUTE(C9217," ",""),3))&amp;"-"&amp;TEXT(B9217,"AAMMDD")&amp;"-1")</f>
        <v/>
      </c>
    </row>
    <row r="9218" spans="20:20">
      <c r="T9218" t="str">
        <f>IF(C9218="","",UPPER(LEFT(SUBSTITUTE(C9218," ",""),3))&amp;"-"&amp;TEXT(B9218,"AAMMDD")&amp;"-1")</f>
        <v/>
      </c>
    </row>
    <row r="9219" spans="20:20">
      <c r="T9219" t="str">
        <f>IF(C9219="","",UPPER(LEFT(SUBSTITUTE(C9219," ",""),3))&amp;"-"&amp;TEXT(B9219,"AAMMDD")&amp;"-1")</f>
        <v/>
      </c>
    </row>
    <row r="9220" spans="20:20">
      <c r="T9220" t="str">
        <f>IF(C9220="","",UPPER(LEFT(SUBSTITUTE(C9220," ",""),3))&amp;"-"&amp;TEXT(B9220,"AAMMDD")&amp;"-1")</f>
        <v/>
      </c>
    </row>
    <row r="9221" spans="20:20">
      <c r="T9221" t="str">
        <f>IF(C9221="","",UPPER(LEFT(SUBSTITUTE(C9221," ",""),3))&amp;"-"&amp;TEXT(B9221,"AAMMDD")&amp;"-1")</f>
        <v/>
      </c>
    </row>
    <row r="9222" spans="20:20">
      <c r="T9222" t="str">
        <f>IF(C9222="","",UPPER(LEFT(SUBSTITUTE(C9222," ",""),3))&amp;"-"&amp;TEXT(B9222,"AAMMDD")&amp;"-1")</f>
        <v/>
      </c>
    </row>
    <row r="9223" spans="20:20">
      <c r="T9223" t="str">
        <f>IF(C9223="","",UPPER(LEFT(SUBSTITUTE(C9223," ",""),3))&amp;"-"&amp;TEXT(B9223,"AAMMDD")&amp;"-1")</f>
        <v/>
      </c>
    </row>
    <row r="9224" spans="20:20">
      <c r="T9224" t="str">
        <f>IF(C9224="","",UPPER(LEFT(SUBSTITUTE(C9224," ",""),3))&amp;"-"&amp;TEXT(B9224,"AAMMDD")&amp;"-1")</f>
        <v/>
      </c>
    </row>
    <row r="9225" spans="20:20">
      <c r="T9225" t="str">
        <f>IF(C9225="","",UPPER(LEFT(SUBSTITUTE(C9225," ",""),3))&amp;"-"&amp;TEXT(B9225,"AAMMDD")&amp;"-1")</f>
        <v/>
      </c>
    </row>
    <row r="9226" spans="20:20">
      <c r="T9226" t="str">
        <f>IF(C9226="","",UPPER(LEFT(SUBSTITUTE(C9226," ",""),3))&amp;"-"&amp;TEXT(B9226,"AAMMDD")&amp;"-1")</f>
        <v/>
      </c>
    </row>
    <row r="9227" spans="20:20">
      <c r="T9227" t="str">
        <f>IF(C9227="","",UPPER(LEFT(SUBSTITUTE(C9227," ",""),3))&amp;"-"&amp;TEXT(B9227,"AAMMDD")&amp;"-1")</f>
        <v/>
      </c>
    </row>
    <row r="9228" spans="20:20">
      <c r="T9228" t="str">
        <f>IF(C9228="","",UPPER(LEFT(SUBSTITUTE(C9228," ",""),3))&amp;"-"&amp;TEXT(B9228,"AAMMDD")&amp;"-1")</f>
        <v/>
      </c>
    </row>
    <row r="9229" spans="20:20">
      <c r="T9229" t="str">
        <f>IF(C9229="","",UPPER(LEFT(SUBSTITUTE(C9229," ",""),3))&amp;"-"&amp;TEXT(B9229,"AAMMDD")&amp;"-1")</f>
        <v/>
      </c>
    </row>
    <row r="9230" spans="20:20">
      <c r="T9230" t="str">
        <f>IF(C9230="","",UPPER(LEFT(SUBSTITUTE(C9230," ",""),3))&amp;"-"&amp;TEXT(B9230,"AAMMDD")&amp;"-1")</f>
        <v/>
      </c>
    </row>
    <row r="9231" spans="20:20">
      <c r="T9231" t="str">
        <f>IF(C9231="","",UPPER(LEFT(SUBSTITUTE(C9231," ",""),3))&amp;"-"&amp;TEXT(B9231,"AAMMDD")&amp;"-1")</f>
        <v/>
      </c>
    </row>
    <row r="9232" spans="20:20">
      <c r="T9232" t="str">
        <f>IF(C9232="","",UPPER(LEFT(SUBSTITUTE(C9232," ",""),3))&amp;"-"&amp;TEXT(B9232,"AAMMDD")&amp;"-1")</f>
        <v/>
      </c>
    </row>
    <row r="9233" spans="20:20">
      <c r="T9233" t="str">
        <f>IF(C9233="","",UPPER(LEFT(SUBSTITUTE(C9233," ",""),3))&amp;"-"&amp;TEXT(B9233,"AAMMDD")&amp;"-1")</f>
        <v/>
      </c>
    </row>
    <row r="9234" spans="20:20">
      <c r="T9234" t="str">
        <f>IF(C9234="","",UPPER(LEFT(SUBSTITUTE(C9234," ",""),3))&amp;"-"&amp;TEXT(B9234,"AAMMDD")&amp;"-1")</f>
        <v/>
      </c>
    </row>
    <row r="9235" spans="20:20">
      <c r="T9235" t="str">
        <f>IF(C9235="","",UPPER(LEFT(SUBSTITUTE(C9235," ",""),3))&amp;"-"&amp;TEXT(B9235,"AAMMDD")&amp;"-1")</f>
        <v/>
      </c>
    </row>
    <row r="9236" spans="20:20">
      <c r="T9236" t="str">
        <f>IF(C9236="","",UPPER(LEFT(SUBSTITUTE(C9236," ",""),3))&amp;"-"&amp;TEXT(B9236,"AAMMDD")&amp;"-1")</f>
        <v/>
      </c>
    </row>
    <row r="9237" spans="20:20">
      <c r="T9237" t="str">
        <f>IF(C9237="","",UPPER(LEFT(SUBSTITUTE(C9237," ",""),3))&amp;"-"&amp;TEXT(B9237,"AAMMDD")&amp;"-1")</f>
        <v/>
      </c>
    </row>
    <row r="9238" spans="20:20">
      <c r="T9238" t="str">
        <f>IF(C9238="","",UPPER(LEFT(SUBSTITUTE(C9238," ",""),3))&amp;"-"&amp;TEXT(B9238,"AAMMDD")&amp;"-1")</f>
        <v/>
      </c>
    </row>
    <row r="9239" spans="20:20">
      <c r="T9239" t="str">
        <f>IF(C9239="","",UPPER(LEFT(SUBSTITUTE(C9239," ",""),3))&amp;"-"&amp;TEXT(B9239,"AAMMDD")&amp;"-1")</f>
        <v/>
      </c>
    </row>
    <row r="9240" spans="20:20">
      <c r="T9240" t="str">
        <f>IF(C9240="","",UPPER(LEFT(SUBSTITUTE(C9240," ",""),3))&amp;"-"&amp;TEXT(B9240,"AAMMDD")&amp;"-1")</f>
        <v/>
      </c>
    </row>
    <row r="9241" spans="20:20">
      <c r="T9241" t="str">
        <f>IF(C9241="","",UPPER(LEFT(SUBSTITUTE(C9241," ",""),3))&amp;"-"&amp;TEXT(B9241,"AAMMDD")&amp;"-1")</f>
        <v/>
      </c>
    </row>
    <row r="9242" spans="20:20">
      <c r="T9242" t="str">
        <f>IF(C9242="","",UPPER(LEFT(SUBSTITUTE(C9242," ",""),3))&amp;"-"&amp;TEXT(B9242,"AAMMDD")&amp;"-1")</f>
        <v/>
      </c>
    </row>
    <row r="9243" spans="20:20">
      <c r="T9243" t="str">
        <f>IF(C9243="","",UPPER(LEFT(SUBSTITUTE(C9243," ",""),3))&amp;"-"&amp;TEXT(B9243,"AAMMDD")&amp;"-1")</f>
        <v/>
      </c>
    </row>
    <row r="9244" spans="20:20">
      <c r="T9244" t="str">
        <f>IF(C9244="","",UPPER(LEFT(SUBSTITUTE(C9244," ",""),3))&amp;"-"&amp;TEXT(B9244,"AAMMDD")&amp;"-1")</f>
        <v/>
      </c>
    </row>
    <row r="9245" spans="20:20">
      <c r="T9245" t="str">
        <f>IF(C9245="","",UPPER(LEFT(SUBSTITUTE(C9245," ",""),3))&amp;"-"&amp;TEXT(B9245,"AAMMDD")&amp;"-1")</f>
        <v/>
      </c>
    </row>
    <row r="9246" spans="20:20">
      <c r="T9246" t="str">
        <f>IF(C9246="","",UPPER(LEFT(SUBSTITUTE(C9246," ",""),3))&amp;"-"&amp;TEXT(B9246,"AAMMDD")&amp;"-1")</f>
        <v/>
      </c>
    </row>
    <row r="9247" spans="20:20">
      <c r="T9247" t="str">
        <f>IF(C9247="","",UPPER(LEFT(SUBSTITUTE(C9247," ",""),3))&amp;"-"&amp;TEXT(B9247,"AAMMDD")&amp;"-1")</f>
        <v/>
      </c>
    </row>
    <row r="9248" spans="20:20">
      <c r="T9248" t="str">
        <f>IF(C9248="","",UPPER(LEFT(SUBSTITUTE(C9248," ",""),3))&amp;"-"&amp;TEXT(B9248,"AAMMDD")&amp;"-1")</f>
        <v/>
      </c>
    </row>
    <row r="9249" spans="20:20">
      <c r="T9249" t="str">
        <f>IF(C9249="","",UPPER(LEFT(SUBSTITUTE(C9249," ",""),3))&amp;"-"&amp;TEXT(B9249,"AAMMDD")&amp;"-1")</f>
        <v/>
      </c>
    </row>
    <row r="9250" spans="20:20">
      <c r="T9250" t="str">
        <f>IF(C9250="","",UPPER(LEFT(SUBSTITUTE(C9250," ",""),3))&amp;"-"&amp;TEXT(B9250,"AAMMDD")&amp;"-1")</f>
        <v/>
      </c>
    </row>
    <row r="9251" spans="20:20">
      <c r="T9251" t="str">
        <f>IF(C9251="","",UPPER(LEFT(SUBSTITUTE(C9251," ",""),3))&amp;"-"&amp;TEXT(B9251,"AAMMDD")&amp;"-1")</f>
        <v/>
      </c>
    </row>
    <row r="9252" spans="20:20">
      <c r="T9252" t="str">
        <f>IF(C9252="","",UPPER(LEFT(SUBSTITUTE(C9252," ",""),3))&amp;"-"&amp;TEXT(B9252,"AAMMDD")&amp;"-1")</f>
        <v/>
      </c>
    </row>
    <row r="9253" spans="20:20">
      <c r="T9253" t="str">
        <f>IF(C9253="","",UPPER(LEFT(SUBSTITUTE(C9253," ",""),3))&amp;"-"&amp;TEXT(B9253,"AAMMDD")&amp;"-1")</f>
        <v/>
      </c>
    </row>
    <row r="9254" spans="20:20">
      <c r="T9254" t="str">
        <f>IF(C9254="","",UPPER(LEFT(SUBSTITUTE(C9254," ",""),3))&amp;"-"&amp;TEXT(B9254,"AAMMDD")&amp;"-1")</f>
        <v/>
      </c>
    </row>
    <row r="9255" spans="20:20">
      <c r="T9255" t="str">
        <f>IF(C9255="","",UPPER(LEFT(SUBSTITUTE(C9255," ",""),3))&amp;"-"&amp;TEXT(B9255,"AAMMDD")&amp;"-1")</f>
        <v/>
      </c>
    </row>
    <row r="9256" spans="20:20">
      <c r="T9256" t="str">
        <f>IF(C9256="","",UPPER(LEFT(SUBSTITUTE(C9256," ",""),3))&amp;"-"&amp;TEXT(B9256,"AAMMDD")&amp;"-1")</f>
        <v/>
      </c>
    </row>
    <row r="9257" spans="20:20">
      <c r="T9257" t="str">
        <f>IF(C9257="","",UPPER(LEFT(SUBSTITUTE(C9257," ",""),3))&amp;"-"&amp;TEXT(B9257,"AAMMDD")&amp;"-1")</f>
        <v/>
      </c>
    </row>
    <row r="9258" spans="20:20">
      <c r="T9258" t="str">
        <f>IF(C9258="","",UPPER(LEFT(SUBSTITUTE(C9258," ",""),3))&amp;"-"&amp;TEXT(B9258,"AAMMDD")&amp;"-1")</f>
        <v/>
      </c>
    </row>
    <row r="9259" spans="20:20">
      <c r="T9259" t="str">
        <f>IF(C9259="","",UPPER(LEFT(SUBSTITUTE(C9259," ",""),3))&amp;"-"&amp;TEXT(B9259,"AAMMDD")&amp;"-1")</f>
        <v/>
      </c>
    </row>
    <row r="9260" spans="20:20">
      <c r="T9260" t="str">
        <f>IF(C9260="","",UPPER(LEFT(SUBSTITUTE(C9260," ",""),3))&amp;"-"&amp;TEXT(B9260,"AAMMDD")&amp;"-1")</f>
        <v/>
      </c>
    </row>
    <row r="9261" spans="20:20">
      <c r="T9261" t="str">
        <f>IF(C9261="","",UPPER(LEFT(SUBSTITUTE(C9261," ",""),3))&amp;"-"&amp;TEXT(B9261,"AAMMDD")&amp;"-1")</f>
        <v/>
      </c>
    </row>
    <row r="9262" spans="20:20">
      <c r="T9262" t="str">
        <f>IF(C9262="","",UPPER(LEFT(SUBSTITUTE(C9262," ",""),3))&amp;"-"&amp;TEXT(B9262,"AAMMDD")&amp;"-1")</f>
        <v/>
      </c>
    </row>
    <row r="9263" spans="20:20">
      <c r="T9263" t="str">
        <f>IF(C9263="","",UPPER(LEFT(SUBSTITUTE(C9263," ",""),3))&amp;"-"&amp;TEXT(B9263,"AAMMDD")&amp;"-1")</f>
        <v/>
      </c>
    </row>
    <row r="9264" spans="20:20">
      <c r="T9264" t="str">
        <f>IF(C9264="","",UPPER(LEFT(SUBSTITUTE(C9264," ",""),3))&amp;"-"&amp;TEXT(B9264,"AAMMDD")&amp;"-1")</f>
        <v/>
      </c>
    </row>
    <row r="9265" spans="20:20">
      <c r="T9265" t="str">
        <f>IF(C9265="","",UPPER(LEFT(SUBSTITUTE(C9265," ",""),3))&amp;"-"&amp;TEXT(B9265,"AAMMDD")&amp;"-1")</f>
        <v/>
      </c>
    </row>
    <row r="9266" spans="20:20">
      <c r="T9266" t="str">
        <f>IF(C9266="","",UPPER(LEFT(SUBSTITUTE(C9266," ",""),3))&amp;"-"&amp;TEXT(B9266,"AAMMDD")&amp;"-1")</f>
        <v/>
      </c>
    </row>
    <row r="9267" spans="20:20">
      <c r="T9267" t="str">
        <f>IF(C9267="","",UPPER(LEFT(SUBSTITUTE(C9267," ",""),3))&amp;"-"&amp;TEXT(B9267,"AAMMDD")&amp;"-1")</f>
        <v/>
      </c>
    </row>
    <row r="9268" spans="20:20">
      <c r="T9268" t="str">
        <f>IF(C9268="","",UPPER(LEFT(SUBSTITUTE(C9268," ",""),3))&amp;"-"&amp;TEXT(B9268,"AAMMDD")&amp;"-1")</f>
        <v/>
      </c>
    </row>
    <row r="9269" spans="20:20">
      <c r="T9269" t="str">
        <f>IF(C9269="","",UPPER(LEFT(SUBSTITUTE(C9269," ",""),3))&amp;"-"&amp;TEXT(B9269,"AAMMDD")&amp;"-1")</f>
        <v/>
      </c>
    </row>
    <row r="9270" spans="20:20">
      <c r="T9270" t="str">
        <f>IF(C9270="","",UPPER(LEFT(SUBSTITUTE(C9270," ",""),3))&amp;"-"&amp;TEXT(B9270,"AAMMDD")&amp;"-1")</f>
        <v/>
      </c>
    </row>
    <row r="9271" spans="20:20">
      <c r="T9271" t="str">
        <f>IF(C9271="","",UPPER(LEFT(SUBSTITUTE(C9271," ",""),3))&amp;"-"&amp;TEXT(B9271,"AAMMDD")&amp;"-1")</f>
        <v/>
      </c>
    </row>
    <row r="9272" spans="20:20">
      <c r="T9272" t="str">
        <f>IF(C9272="","",UPPER(LEFT(SUBSTITUTE(C9272," ",""),3))&amp;"-"&amp;TEXT(B9272,"AAMMDD")&amp;"-1")</f>
        <v/>
      </c>
    </row>
    <row r="9273" spans="20:20">
      <c r="T9273" t="str">
        <f>IF(C9273="","",UPPER(LEFT(SUBSTITUTE(C9273," ",""),3))&amp;"-"&amp;TEXT(B9273,"AAMMDD")&amp;"-1")</f>
        <v/>
      </c>
    </row>
    <row r="9274" spans="20:20">
      <c r="T9274" t="str">
        <f>IF(C9274="","",UPPER(LEFT(SUBSTITUTE(C9274," ",""),3))&amp;"-"&amp;TEXT(B9274,"AAMMDD")&amp;"-1")</f>
        <v/>
      </c>
    </row>
    <row r="9275" spans="20:20">
      <c r="T9275" t="str">
        <f>IF(C9275="","",UPPER(LEFT(SUBSTITUTE(C9275," ",""),3))&amp;"-"&amp;TEXT(B9275,"AAMMDD")&amp;"-1")</f>
        <v/>
      </c>
    </row>
    <row r="9276" spans="20:20">
      <c r="T9276" t="str">
        <f>IF(C9276="","",UPPER(LEFT(SUBSTITUTE(C9276," ",""),3))&amp;"-"&amp;TEXT(B9276,"AAMMDD")&amp;"-1")</f>
        <v/>
      </c>
    </row>
    <row r="9277" spans="20:20">
      <c r="T9277" t="str">
        <f>IF(C9277="","",UPPER(LEFT(SUBSTITUTE(C9277," ",""),3))&amp;"-"&amp;TEXT(B9277,"AAMMDD")&amp;"-1")</f>
        <v/>
      </c>
    </row>
    <row r="9278" spans="20:20">
      <c r="T9278" t="str">
        <f>IF(C9278="","",UPPER(LEFT(SUBSTITUTE(C9278," ",""),3))&amp;"-"&amp;TEXT(B9278,"AAMMDD")&amp;"-1")</f>
        <v/>
      </c>
    </row>
    <row r="9279" spans="20:20">
      <c r="T9279" t="str">
        <f>IF(C9279="","",UPPER(LEFT(SUBSTITUTE(C9279," ",""),3))&amp;"-"&amp;TEXT(B9279,"AAMMDD")&amp;"-1")</f>
        <v/>
      </c>
    </row>
    <row r="9280" spans="20:20">
      <c r="T9280" t="str">
        <f>IF(C9280="","",UPPER(LEFT(SUBSTITUTE(C9280," ",""),3))&amp;"-"&amp;TEXT(B9280,"AAMMDD")&amp;"-1")</f>
        <v/>
      </c>
    </row>
    <row r="9281" spans="20:20">
      <c r="T9281" t="str">
        <f>IF(C9281="","",UPPER(LEFT(SUBSTITUTE(C9281," ",""),3))&amp;"-"&amp;TEXT(B9281,"AAMMDD")&amp;"-1")</f>
        <v/>
      </c>
    </row>
    <row r="9282" spans="20:20">
      <c r="T9282" t="str">
        <f>IF(C9282="","",UPPER(LEFT(SUBSTITUTE(C9282," ",""),3))&amp;"-"&amp;TEXT(B9282,"AAMMDD")&amp;"-1")</f>
        <v/>
      </c>
    </row>
    <row r="9283" spans="20:20">
      <c r="T9283" t="str">
        <f>IF(C9283="","",UPPER(LEFT(SUBSTITUTE(C9283," ",""),3))&amp;"-"&amp;TEXT(B9283,"AAMMDD")&amp;"-1")</f>
        <v/>
      </c>
    </row>
    <row r="9284" spans="20:20">
      <c r="T9284" t="str">
        <f>IF(C9284="","",UPPER(LEFT(SUBSTITUTE(C9284," ",""),3))&amp;"-"&amp;TEXT(B9284,"AAMMDD")&amp;"-1")</f>
        <v/>
      </c>
    </row>
    <row r="9285" spans="20:20">
      <c r="T9285" t="str">
        <f>IF(C9285="","",UPPER(LEFT(SUBSTITUTE(C9285," ",""),3))&amp;"-"&amp;TEXT(B9285,"AAMMDD")&amp;"-1")</f>
        <v/>
      </c>
    </row>
    <row r="9286" spans="20:20">
      <c r="T9286" t="str">
        <f>IF(C9286="","",UPPER(LEFT(SUBSTITUTE(C9286," ",""),3))&amp;"-"&amp;TEXT(B9286,"AAMMDD")&amp;"-1")</f>
        <v/>
      </c>
    </row>
    <row r="9287" spans="20:20">
      <c r="T9287" t="str">
        <f>IF(C9287="","",UPPER(LEFT(SUBSTITUTE(C9287," ",""),3))&amp;"-"&amp;TEXT(B9287,"AAMMDD")&amp;"-1")</f>
        <v/>
      </c>
    </row>
    <row r="9288" spans="20:20">
      <c r="T9288" t="str">
        <f>IF(C9288="","",UPPER(LEFT(SUBSTITUTE(C9288," ",""),3))&amp;"-"&amp;TEXT(B9288,"AAMMDD")&amp;"-1")</f>
        <v/>
      </c>
    </row>
    <row r="9289" spans="20:20">
      <c r="T9289" t="str">
        <f>IF(C9289="","",UPPER(LEFT(SUBSTITUTE(C9289," ",""),3))&amp;"-"&amp;TEXT(B9289,"AAMMDD")&amp;"-1")</f>
        <v/>
      </c>
    </row>
    <row r="9290" spans="20:20">
      <c r="T9290" t="str">
        <f>IF(C9290="","",UPPER(LEFT(SUBSTITUTE(C9290," ",""),3))&amp;"-"&amp;TEXT(B9290,"AAMMDD")&amp;"-1")</f>
        <v/>
      </c>
    </row>
    <row r="9291" spans="20:20">
      <c r="T9291" t="str">
        <f>IF(C9291="","",UPPER(LEFT(SUBSTITUTE(C9291," ",""),3))&amp;"-"&amp;TEXT(B9291,"AAMMDD")&amp;"-1")</f>
        <v/>
      </c>
    </row>
    <row r="9292" spans="20:20">
      <c r="T9292" t="str">
        <f>IF(C9292="","",UPPER(LEFT(SUBSTITUTE(C9292," ",""),3))&amp;"-"&amp;TEXT(B9292,"AAMMDD")&amp;"-1")</f>
        <v/>
      </c>
    </row>
    <row r="9293" spans="20:20">
      <c r="T9293" t="str">
        <f>IF(C9293="","",UPPER(LEFT(SUBSTITUTE(C9293," ",""),3))&amp;"-"&amp;TEXT(B9293,"AAMMDD")&amp;"-1")</f>
        <v/>
      </c>
    </row>
    <row r="9294" spans="20:20">
      <c r="T9294" t="str">
        <f>IF(C9294="","",UPPER(LEFT(SUBSTITUTE(C9294," ",""),3))&amp;"-"&amp;TEXT(B9294,"AAMMDD")&amp;"-1")</f>
        <v/>
      </c>
    </row>
    <row r="9295" spans="20:20">
      <c r="T9295" t="str">
        <f>IF(C9295="","",UPPER(LEFT(SUBSTITUTE(C9295," ",""),3))&amp;"-"&amp;TEXT(B9295,"AAMMDD")&amp;"-1")</f>
        <v/>
      </c>
    </row>
    <row r="9296" spans="20:20">
      <c r="T9296" t="str">
        <f>IF(C9296="","",UPPER(LEFT(SUBSTITUTE(C9296," ",""),3))&amp;"-"&amp;TEXT(B9296,"AAMMDD")&amp;"-1")</f>
        <v/>
      </c>
    </row>
    <row r="9297" spans="20:20">
      <c r="T9297" t="str">
        <f>IF(C9297="","",UPPER(LEFT(SUBSTITUTE(C9297," ",""),3))&amp;"-"&amp;TEXT(B9297,"AAMMDD")&amp;"-1")</f>
        <v/>
      </c>
    </row>
    <row r="9298" spans="20:20">
      <c r="T9298" t="str">
        <f>IF(C9298="","",UPPER(LEFT(SUBSTITUTE(C9298," ",""),3))&amp;"-"&amp;TEXT(B9298,"AAMMDD")&amp;"-1")</f>
        <v/>
      </c>
    </row>
    <row r="9299" spans="20:20">
      <c r="T9299" t="str">
        <f>IF(C9299="","",UPPER(LEFT(SUBSTITUTE(C9299," ",""),3))&amp;"-"&amp;TEXT(B9299,"AAMMDD")&amp;"-1")</f>
        <v/>
      </c>
    </row>
    <row r="9300" spans="20:20">
      <c r="T9300" t="str">
        <f>IF(C9300="","",UPPER(LEFT(SUBSTITUTE(C9300," ",""),3))&amp;"-"&amp;TEXT(B9300,"AAMMDD")&amp;"-1")</f>
        <v/>
      </c>
    </row>
    <row r="9301" spans="20:20">
      <c r="T9301" t="str">
        <f>IF(C9301="","",UPPER(LEFT(SUBSTITUTE(C9301," ",""),3))&amp;"-"&amp;TEXT(B9301,"AAMMDD")&amp;"-1")</f>
        <v/>
      </c>
    </row>
    <row r="9302" spans="20:20">
      <c r="T9302" t="str">
        <f>IF(C9302="","",UPPER(LEFT(SUBSTITUTE(C9302," ",""),3))&amp;"-"&amp;TEXT(B9302,"AAMMDD")&amp;"-1")</f>
        <v/>
      </c>
    </row>
    <row r="9303" spans="20:20">
      <c r="T9303" t="str">
        <f>IF(C9303="","",UPPER(LEFT(SUBSTITUTE(C9303," ",""),3))&amp;"-"&amp;TEXT(B9303,"AAMMDD")&amp;"-1")</f>
        <v/>
      </c>
    </row>
    <row r="9304" spans="20:20">
      <c r="T9304" t="str">
        <f>IF(C9304="","",UPPER(LEFT(SUBSTITUTE(C9304," ",""),3))&amp;"-"&amp;TEXT(B9304,"AAMMDD")&amp;"-1")</f>
        <v/>
      </c>
    </row>
    <row r="9305" spans="20:20">
      <c r="T9305" t="str">
        <f>IF(C9305="","",UPPER(LEFT(SUBSTITUTE(C9305," ",""),3))&amp;"-"&amp;TEXT(B9305,"AAMMDD")&amp;"-1")</f>
        <v/>
      </c>
    </row>
    <row r="9306" spans="20:20">
      <c r="T9306" t="str">
        <f>IF(C9306="","",UPPER(LEFT(SUBSTITUTE(C9306," ",""),3))&amp;"-"&amp;TEXT(B9306,"AAMMDD")&amp;"-1")</f>
        <v/>
      </c>
    </row>
    <row r="9307" spans="20:20">
      <c r="T9307" t="str">
        <f>IF(C9307="","",UPPER(LEFT(SUBSTITUTE(C9307," ",""),3))&amp;"-"&amp;TEXT(B9307,"AAMMDD")&amp;"-1")</f>
        <v/>
      </c>
    </row>
    <row r="9308" spans="20:20">
      <c r="T9308" t="str">
        <f>IF(C9308="","",UPPER(LEFT(SUBSTITUTE(C9308," ",""),3))&amp;"-"&amp;TEXT(B9308,"AAMMDD")&amp;"-1")</f>
        <v/>
      </c>
    </row>
    <row r="9309" spans="20:20">
      <c r="T9309" t="str">
        <f>IF(C9309="","",UPPER(LEFT(SUBSTITUTE(C9309," ",""),3))&amp;"-"&amp;TEXT(B9309,"AAMMDD")&amp;"-1")</f>
        <v/>
      </c>
    </row>
    <row r="9310" spans="20:20">
      <c r="T9310" t="str">
        <f>IF(C9310="","",UPPER(LEFT(SUBSTITUTE(C9310," ",""),3))&amp;"-"&amp;TEXT(B9310,"AAMMDD")&amp;"-1")</f>
        <v/>
      </c>
    </row>
    <row r="9311" spans="20:20">
      <c r="T9311" t="str">
        <f>IF(C9311="","",UPPER(LEFT(SUBSTITUTE(C9311," ",""),3))&amp;"-"&amp;TEXT(B9311,"AAMMDD")&amp;"-1")</f>
        <v/>
      </c>
    </row>
    <row r="9312" spans="20:20">
      <c r="T9312" t="str">
        <f>IF(C9312="","",UPPER(LEFT(SUBSTITUTE(C9312," ",""),3))&amp;"-"&amp;TEXT(B9312,"AAMMDD")&amp;"-1")</f>
        <v/>
      </c>
    </row>
    <row r="9313" spans="20:20">
      <c r="T9313" t="str">
        <f>IF(C9313="","",UPPER(LEFT(SUBSTITUTE(C9313," ",""),3))&amp;"-"&amp;TEXT(B9313,"AAMMDD")&amp;"-1")</f>
        <v/>
      </c>
    </row>
    <row r="9314" spans="20:20">
      <c r="T9314" t="str">
        <f>IF(C9314="","",UPPER(LEFT(SUBSTITUTE(C9314," ",""),3))&amp;"-"&amp;TEXT(B9314,"AAMMDD")&amp;"-1")</f>
        <v/>
      </c>
    </row>
    <row r="9315" spans="20:20">
      <c r="T9315" t="str">
        <f>IF(C9315="","",UPPER(LEFT(SUBSTITUTE(C9315," ",""),3))&amp;"-"&amp;TEXT(B9315,"AAMMDD")&amp;"-1")</f>
        <v/>
      </c>
    </row>
    <row r="9316" spans="20:20">
      <c r="T9316" t="str">
        <f>IF(C9316="","",UPPER(LEFT(SUBSTITUTE(C9316," ",""),3))&amp;"-"&amp;TEXT(B9316,"AAMMDD")&amp;"-1")</f>
        <v/>
      </c>
    </row>
    <row r="9317" spans="20:20">
      <c r="T9317" t="str">
        <f>IF(C9317="","",UPPER(LEFT(SUBSTITUTE(C9317," ",""),3))&amp;"-"&amp;TEXT(B9317,"AAMMDD")&amp;"-1")</f>
        <v/>
      </c>
    </row>
    <row r="9318" spans="20:20">
      <c r="T9318" t="str">
        <f>IF(C9318="","",UPPER(LEFT(SUBSTITUTE(C9318," ",""),3))&amp;"-"&amp;TEXT(B9318,"AAMMDD")&amp;"-1")</f>
        <v/>
      </c>
    </row>
    <row r="9319" spans="20:20">
      <c r="T9319" t="str">
        <f>IF(C9319="","",UPPER(LEFT(SUBSTITUTE(C9319," ",""),3))&amp;"-"&amp;TEXT(B9319,"AAMMDD")&amp;"-1")</f>
        <v/>
      </c>
    </row>
    <row r="9320" spans="20:20">
      <c r="T9320" t="str">
        <f>IF(C9320="","",UPPER(LEFT(SUBSTITUTE(C9320," ",""),3))&amp;"-"&amp;TEXT(B9320,"AAMMDD")&amp;"-1")</f>
        <v/>
      </c>
    </row>
    <row r="9321" spans="20:20">
      <c r="T9321" t="str">
        <f>IF(C9321="","",UPPER(LEFT(SUBSTITUTE(C9321," ",""),3))&amp;"-"&amp;TEXT(B9321,"AAMMDD")&amp;"-1")</f>
        <v/>
      </c>
    </row>
    <row r="9322" spans="20:20">
      <c r="T9322" t="str">
        <f>IF(C9322="","",UPPER(LEFT(SUBSTITUTE(C9322," ",""),3))&amp;"-"&amp;TEXT(B9322,"AAMMDD")&amp;"-1")</f>
        <v/>
      </c>
    </row>
    <row r="9323" spans="20:20">
      <c r="T9323" t="str">
        <f>IF(C9323="","",UPPER(LEFT(SUBSTITUTE(C9323," ",""),3))&amp;"-"&amp;TEXT(B9323,"AAMMDD")&amp;"-1")</f>
        <v/>
      </c>
    </row>
    <row r="9324" spans="20:20">
      <c r="T9324" t="str">
        <f>IF(C9324="","",UPPER(LEFT(SUBSTITUTE(C9324," ",""),3))&amp;"-"&amp;TEXT(B9324,"AAMMDD")&amp;"-1")</f>
        <v/>
      </c>
    </row>
    <row r="9325" spans="20:20">
      <c r="T9325" t="str">
        <f>IF(C9325="","",UPPER(LEFT(SUBSTITUTE(C9325," ",""),3))&amp;"-"&amp;TEXT(B9325,"AAMMDD")&amp;"-1")</f>
        <v/>
      </c>
    </row>
    <row r="9326" spans="20:20">
      <c r="T9326" t="str">
        <f>IF(C9326="","",UPPER(LEFT(SUBSTITUTE(C9326," ",""),3))&amp;"-"&amp;TEXT(B9326,"AAMMDD")&amp;"-1")</f>
        <v/>
      </c>
    </row>
    <row r="9327" spans="20:20">
      <c r="T9327" t="str">
        <f>IF(C9327="","",UPPER(LEFT(SUBSTITUTE(C9327," ",""),3))&amp;"-"&amp;TEXT(B9327,"AAMMDD")&amp;"-1")</f>
        <v/>
      </c>
    </row>
    <row r="9328" spans="20:20">
      <c r="T9328" t="str">
        <f>IF(C9328="","",UPPER(LEFT(SUBSTITUTE(C9328," ",""),3))&amp;"-"&amp;TEXT(B9328,"AAMMDD")&amp;"-1")</f>
        <v/>
      </c>
    </row>
    <row r="9329" spans="20:20">
      <c r="T9329" t="str">
        <f>IF(C9329="","",UPPER(LEFT(SUBSTITUTE(C9329," ",""),3))&amp;"-"&amp;TEXT(B9329,"AAMMDD")&amp;"-1")</f>
        <v/>
      </c>
    </row>
    <row r="9330" spans="20:20">
      <c r="T9330" t="str">
        <f>IF(C9330="","",UPPER(LEFT(SUBSTITUTE(C9330," ",""),3))&amp;"-"&amp;TEXT(B9330,"AAMMDD")&amp;"-1")</f>
        <v/>
      </c>
    </row>
    <row r="9331" spans="20:20">
      <c r="T9331" t="str">
        <f>IF(C9331="","",UPPER(LEFT(SUBSTITUTE(C9331," ",""),3))&amp;"-"&amp;TEXT(B9331,"AAMMDD")&amp;"-1")</f>
        <v/>
      </c>
    </row>
    <row r="9332" spans="20:20">
      <c r="T9332" t="str">
        <f>IF(C9332="","",UPPER(LEFT(SUBSTITUTE(C9332," ",""),3))&amp;"-"&amp;TEXT(B9332,"AAMMDD")&amp;"-1")</f>
        <v/>
      </c>
    </row>
    <row r="9333" spans="20:20">
      <c r="T9333" t="str">
        <f>IF(C9333="","",UPPER(LEFT(SUBSTITUTE(C9333," ",""),3))&amp;"-"&amp;TEXT(B9333,"AAMMDD")&amp;"-1")</f>
        <v/>
      </c>
    </row>
    <row r="9334" spans="20:20">
      <c r="T9334" t="str">
        <f>IF(C9334="","",UPPER(LEFT(SUBSTITUTE(C9334," ",""),3))&amp;"-"&amp;TEXT(B9334,"AAMMDD")&amp;"-1")</f>
        <v/>
      </c>
    </row>
    <row r="9335" spans="20:20">
      <c r="T9335" t="str">
        <f>IF(C9335="","",UPPER(LEFT(SUBSTITUTE(C9335," ",""),3))&amp;"-"&amp;TEXT(B9335,"AAMMDD")&amp;"-1")</f>
        <v/>
      </c>
    </row>
    <row r="9336" spans="20:20">
      <c r="T9336" t="str">
        <f>IF(C9336="","",UPPER(LEFT(SUBSTITUTE(C9336," ",""),3))&amp;"-"&amp;TEXT(B9336,"AAMMDD")&amp;"-1")</f>
        <v/>
      </c>
    </row>
    <row r="9337" spans="20:20">
      <c r="T9337" t="str">
        <f>IF(C9337="","",UPPER(LEFT(SUBSTITUTE(C9337," ",""),3))&amp;"-"&amp;TEXT(B9337,"AAMMDD")&amp;"-1")</f>
        <v/>
      </c>
    </row>
    <row r="9338" spans="20:20">
      <c r="T9338" t="str">
        <f>IF(C9338="","",UPPER(LEFT(SUBSTITUTE(C9338," ",""),3))&amp;"-"&amp;TEXT(B9338,"AAMMDD")&amp;"-1")</f>
        <v/>
      </c>
    </row>
    <row r="9339" spans="20:20">
      <c r="T9339" t="str">
        <f>IF(C9339="","",UPPER(LEFT(SUBSTITUTE(C9339," ",""),3))&amp;"-"&amp;TEXT(B9339,"AAMMDD")&amp;"-1")</f>
        <v/>
      </c>
    </row>
    <row r="9340" spans="20:20">
      <c r="T9340" t="str">
        <f>IF(C9340="","",UPPER(LEFT(SUBSTITUTE(C9340," ",""),3))&amp;"-"&amp;TEXT(B9340,"AAMMDD")&amp;"-1")</f>
        <v/>
      </c>
    </row>
    <row r="9341" spans="20:20">
      <c r="T9341" t="str">
        <f>IF(C9341="","",UPPER(LEFT(SUBSTITUTE(C9341," ",""),3))&amp;"-"&amp;TEXT(B9341,"AAMMDD")&amp;"-1")</f>
        <v/>
      </c>
    </row>
    <row r="9342" spans="20:20">
      <c r="T9342" t="str">
        <f>IF(C9342="","",UPPER(LEFT(SUBSTITUTE(C9342," ",""),3))&amp;"-"&amp;TEXT(B9342,"AAMMDD")&amp;"-1")</f>
        <v/>
      </c>
    </row>
    <row r="9343" spans="20:20">
      <c r="T9343" t="str">
        <f>IF(C9343="","",UPPER(LEFT(SUBSTITUTE(C9343," ",""),3))&amp;"-"&amp;TEXT(B9343,"AAMMDD")&amp;"-1")</f>
        <v/>
      </c>
    </row>
    <row r="9344" spans="20:20">
      <c r="T9344" t="str">
        <f>IF(C9344="","",UPPER(LEFT(SUBSTITUTE(C9344," ",""),3))&amp;"-"&amp;TEXT(B9344,"AAMMDD")&amp;"-1")</f>
        <v/>
      </c>
    </row>
    <row r="9345" spans="20:20">
      <c r="T9345" t="str">
        <f>IF(C9345="","",UPPER(LEFT(SUBSTITUTE(C9345," ",""),3))&amp;"-"&amp;TEXT(B9345,"AAMMDD")&amp;"-1")</f>
        <v/>
      </c>
    </row>
    <row r="9346" spans="20:20">
      <c r="T9346" t="str">
        <f>IF(C9346="","",UPPER(LEFT(SUBSTITUTE(C9346," ",""),3))&amp;"-"&amp;TEXT(B9346,"AAMMDD")&amp;"-1")</f>
        <v/>
      </c>
    </row>
    <row r="9347" spans="20:20">
      <c r="T9347" t="str">
        <f>IF(C9347="","",UPPER(LEFT(SUBSTITUTE(C9347," ",""),3))&amp;"-"&amp;TEXT(B9347,"AAMMDD")&amp;"-1")</f>
        <v/>
      </c>
    </row>
    <row r="9348" spans="20:20">
      <c r="T9348" t="str">
        <f>IF(C9348="","",UPPER(LEFT(SUBSTITUTE(C9348," ",""),3))&amp;"-"&amp;TEXT(B9348,"AAMMDD")&amp;"-1")</f>
        <v/>
      </c>
    </row>
    <row r="9349" spans="20:20">
      <c r="T9349" t="str">
        <f>IF(C9349="","",UPPER(LEFT(SUBSTITUTE(C9349," ",""),3))&amp;"-"&amp;TEXT(B9349,"AAMMDD")&amp;"-1")</f>
        <v/>
      </c>
    </row>
    <row r="9350" spans="20:20">
      <c r="T9350" t="str">
        <f>IF(C9350="","",UPPER(LEFT(SUBSTITUTE(C9350," ",""),3))&amp;"-"&amp;TEXT(B9350,"AAMMDD")&amp;"-1")</f>
        <v/>
      </c>
    </row>
    <row r="9351" spans="20:20">
      <c r="T9351" t="str">
        <f>IF(C9351="","",UPPER(LEFT(SUBSTITUTE(C9351," ",""),3))&amp;"-"&amp;TEXT(B9351,"AAMMDD")&amp;"-1")</f>
        <v/>
      </c>
    </row>
    <row r="9352" spans="20:20">
      <c r="T9352" t="str">
        <f>IF(C9352="","",UPPER(LEFT(SUBSTITUTE(C9352," ",""),3))&amp;"-"&amp;TEXT(B9352,"AAMMDD")&amp;"-1")</f>
        <v/>
      </c>
    </row>
    <row r="9353" spans="20:20">
      <c r="T9353" t="str">
        <f>IF(C9353="","",UPPER(LEFT(SUBSTITUTE(C9353," ",""),3))&amp;"-"&amp;TEXT(B9353,"AAMMDD")&amp;"-1")</f>
        <v/>
      </c>
    </row>
    <row r="9354" spans="20:20">
      <c r="T9354" t="str">
        <f>IF(C9354="","",UPPER(LEFT(SUBSTITUTE(C9354," ",""),3))&amp;"-"&amp;TEXT(B9354,"AAMMDD")&amp;"-1")</f>
        <v/>
      </c>
    </row>
    <row r="9355" spans="20:20">
      <c r="T9355" t="str">
        <f>IF(C9355="","",UPPER(LEFT(SUBSTITUTE(C9355," ",""),3))&amp;"-"&amp;TEXT(B9355,"AAMMDD")&amp;"-1")</f>
        <v/>
      </c>
    </row>
    <row r="9356" spans="20:20">
      <c r="T9356" t="str">
        <f>IF(C9356="","",UPPER(LEFT(SUBSTITUTE(C9356," ",""),3))&amp;"-"&amp;TEXT(B9356,"AAMMDD")&amp;"-1")</f>
        <v/>
      </c>
    </row>
    <row r="9357" spans="20:20">
      <c r="T9357" t="str">
        <f>IF(C9357="","",UPPER(LEFT(SUBSTITUTE(C9357," ",""),3))&amp;"-"&amp;TEXT(B9357,"AAMMDD")&amp;"-1")</f>
        <v/>
      </c>
    </row>
    <row r="9358" spans="20:20">
      <c r="T9358" t="str">
        <f>IF(C9358="","",UPPER(LEFT(SUBSTITUTE(C9358," ",""),3))&amp;"-"&amp;TEXT(B9358,"AAMMDD")&amp;"-1")</f>
        <v/>
      </c>
    </row>
    <row r="9359" spans="20:20">
      <c r="T9359" t="str">
        <f>IF(C9359="","",UPPER(LEFT(SUBSTITUTE(C9359," ",""),3))&amp;"-"&amp;TEXT(B9359,"AAMMDD")&amp;"-1")</f>
        <v/>
      </c>
    </row>
    <row r="9360" spans="20:20">
      <c r="T9360" t="str">
        <f>IF(C9360="","",UPPER(LEFT(SUBSTITUTE(C9360," ",""),3))&amp;"-"&amp;TEXT(B9360,"AAMMDD")&amp;"-1")</f>
        <v/>
      </c>
    </row>
    <row r="9361" spans="20:20">
      <c r="T9361" t="str">
        <f>IF(C9361="","",UPPER(LEFT(SUBSTITUTE(C9361," ",""),3))&amp;"-"&amp;TEXT(B9361,"AAMMDD")&amp;"-1")</f>
        <v/>
      </c>
    </row>
    <row r="9362" spans="20:20">
      <c r="T9362" t="str">
        <f>IF(C9362="","",UPPER(LEFT(SUBSTITUTE(C9362," ",""),3))&amp;"-"&amp;TEXT(B9362,"AAMMDD")&amp;"-1")</f>
        <v/>
      </c>
    </row>
    <row r="9363" spans="20:20">
      <c r="T9363" t="str">
        <f>IF(C9363="","",UPPER(LEFT(SUBSTITUTE(C9363," ",""),3))&amp;"-"&amp;TEXT(B9363,"AAMMDD")&amp;"-1")</f>
        <v/>
      </c>
    </row>
    <row r="9364" spans="20:20">
      <c r="T9364" t="str">
        <f>IF(C9364="","",UPPER(LEFT(SUBSTITUTE(C9364," ",""),3))&amp;"-"&amp;TEXT(B9364,"AAMMDD")&amp;"-1")</f>
        <v/>
      </c>
    </row>
    <row r="9365" spans="20:20">
      <c r="T9365" t="str">
        <f>IF(C9365="","",UPPER(LEFT(SUBSTITUTE(C9365," ",""),3))&amp;"-"&amp;TEXT(B9365,"AAMMDD")&amp;"-1")</f>
        <v/>
      </c>
    </row>
    <row r="9366" spans="20:20">
      <c r="T9366" t="str">
        <f>IF(C9366="","",UPPER(LEFT(SUBSTITUTE(C9366," ",""),3))&amp;"-"&amp;TEXT(B9366,"AAMMDD")&amp;"-1")</f>
        <v/>
      </c>
    </row>
    <row r="9367" spans="20:20">
      <c r="T9367" t="str">
        <f>IF(C9367="","",UPPER(LEFT(SUBSTITUTE(C9367," ",""),3))&amp;"-"&amp;TEXT(B9367,"AAMMDD")&amp;"-1")</f>
        <v/>
      </c>
    </row>
    <row r="9368" spans="20:20">
      <c r="T9368" t="str">
        <f>IF(C9368="","",UPPER(LEFT(SUBSTITUTE(C9368," ",""),3))&amp;"-"&amp;TEXT(B9368,"AAMMDD")&amp;"-1")</f>
        <v/>
      </c>
    </row>
    <row r="9369" spans="20:20">
      <c r="T9369" t="str">
        <f>IF(C9369="","",UPPER(LEFT(SUBSTITUTE(C9369," ",""),3))&amp;"-"&amp;TEXT(B9369,"AAMMDD")&amp;"-1")</f>
        <v/>
      </c>
    </row>
    <row r="9370" spans="20:20">
      <c r="T9370" t="str">
        <f>IF(C9370="","",UPPER(LEFT(SUBSTITUTE(C9370," ",""),3))&amp;"-"&amp;TEXT(B9370,"AAMMDD")&amp;"-1")</f>
        <v/>
      </c>
    </row>
    <row r="9371" spans="20:20">
      <c r="T9371" t="str">
        <f>IF(C9371="","",UPPER(LEFT(SUBSTITUTE(C9371," ",""),3))&amp;"-"&amp;TEXT(B9371,"AAMMDD")&amp;"-1")</f>
        <v/>
      </c>
    </row>
    <row r="9372" spans="20:20">
      <c r="T9372" t="str">
        <f>IF(C9372="","",UPPER(LEFT(SUBSTITUTE(C9372," ",""),3))&amp;"-"&amp;TEXT(B9372,"AAMMDD")&amp;"-1")</f>
        <v/>
      </c>
    </row>
    <row r="9373" spans="20:20">
      <c r="T9373" t="str">
        <f>IF(C9373="","",UPPER(LEFT(SUBSTITUTE(C9373," ",""),3))&amp;"-"&amp;TEXT(B9373,"AAMMDD")&amp;"-1")</f>
        <v/>
      </c>
    </row>
    <row r="9374" spans="20:20">
      <c r="T9374" t="str">
        <f>IF(C9374="","",UPPER(LEFT(SUBSTITUTE(C9374," ",""),3))&amp;"-"&amp;TEXT(B9374,"AAMMDD")&amp;"-1")</f>
        <v/>
      </c>
    </row>
    <row r="9375" spans="20:20">
      <c r="T9375" t="str">
        <f>IF(C9375="","",UPPER(LEFT(SUBSTITUTE(C9375," ",""),3))&amp;"-"&amp;TEXT(B9375,"AAMMDD")&amp;"-1")</f>
        <v/>
      </c>
    </row>
    <row r="9376" spans="20:20">
      <c r="T9376" t="str">
        <f>IF(C9376="","",UPPER(LEFT(SUBSTITUTE(C9376," ",""),3))&amp;"-"&amp;TEXT(B9376,"AAMMDD")&amp;"-1")</f>
        <v/>
      </c>
    </row>
    <row r="9377" spans="20:20">
      <c r="T9377" t="str">
        <f>IF(C9377="","",UPPER(LEFT(SUBSTITUTE(C9377," ",""),3))&amp;"-"&amp;TEXT(B9377,"AAMMDD")&amp;"-1")</f>
        <v/>
      </c>
    </row>
    <row r="9378" spans="20:20">
      <c r="T9378" t="str">
        <f>IF(C9378="","",UPPER(LEFT(SUBSTITUTE(C9378," ",""),3))&amp;"-"&amp;TEXT(B9378,"AAMMDD")&amp;"-1")</f>
        <v/>
      </c>
    </row>
    <row r="9379" spans="20:20">
      <c r="T9379" t="str">
        <f>IF(C9379="","",UPPER(LEFT(SUBSTITUTE(C9379," ",""),3))&amp;"-"&amp;TEXT(B9379,"AAMMDD")&amp;"-1")</f>
        <v/>
      </c>
    </row>
    <row r="9380" spans="20:20">
      <c r="T9380" t="str">
        <f>IF(C9380="","",UPPER(LEFT(SUBSTITUTE(C9380," ",""),3))&amp;"-"&amp;TEXT(B9380,"AAMMDD")&amp;"-1")</f>
        <v/>
      </c>
    </row>
    <row r="9381" spans="20:20">
      <c r="T9381" t="str">
        <f>IF(C9381="","",UPPER(LEFT(SUBSTITUTE(C9381," ",""),3))&amp;"-"&amp;TEXT(B9381,"AAMMDD")&amp;"-1")</f>
        <v/>
      </c>
    </row>
    <row r="9382" spans="20:20">
      <c r="T9382" t="str">
        <f>IF(C9382="","",UPPER(LEFT(SUBSTITUTE(C9382," ",""),3))&amp;"-"&amp;TEXT(B9382,"AAMMDD")&amp;"-1")</f>
        <v/>
      </c>
    </row>
    <row r="9383" spans="20:20">
      <c r="T9383" t="str">
        <f>IF(C9383="","",UPPER(LEFT(SUBSTITUTE(C9383," ",""),3))&amp;"-"&amp;TEXT(B9383,"AAMMDD")&amp;"-1")</f>
        <v/>
      </c>
    </row>
    <row r="9384" spans="20:20">
      <c r="T9384" t="str">
        <f>IF(C9384="","",UPPER(LEFT(SUBSTITUTE(C9384," ",""),3))&amp;"-"&amp;TEXT(B9384,"AAMMDD")&amp;"-1")</f>
        <v/>
      </c>
    </row>
    <row r="9385" spans="20:20">
      <c r="T9385" t="str">
        <f>IF(C9385="","",UPPER(LEFT(SUBSTITUTE(C9385," ",""),3))&amp;"-"&amp;TEXT(B9385,"AAMMDD")&amp;"-1")</f>
        <v/>
      </c>
    </row>
    <row r="9386" spans="20:20">
      <c r="T9386" t="str">
        <f>IF(C9386="","",UPPER(LEFT(SUBSTITUTE(C9386," ",""),3))&amp;"-"&amp;TEXT(B9386,"AAMMDD")&amp;"-1")</f>
        <v/>
      </c>
    </row>
    <row r="9387" spans="20:20">
      <c r="T9387" t="str">
        <f>IF(C9387="","",UPPER(LEFT(SUBSTITUTE(C9387," ",""),3))&amp;"-"&amp;TEXT(B9387,"AAMMDD")&amp;"-1")</f>
        <v/>
      </c>
    </row>
    <row r="9388" spans="20:20">
      <c r="T9388" t="str">
        <f>IF(C9388="","",UPPER(LEFT(SUBSTITUTE(C9388," ",""),3))&amp;"-"&amp;TEXT(B9388,"AAMMDD")&amp;"-1")</f>
        <v/>
      </c>
    </row>
    <row r="9389" spans="20:20">
      <c r="T9389" t="str">
        <f>IF(C9389="","",UPPER(LEFT(SUBSTITUTE(C9389," ",""),3))&amp;"-"&amp;TEXT(B9389,"AAMMDD")&amp;"-1")</f>
        <v/>
      </c>
    </row>
    <row r="9390" spans="20:20">
      <c r="T9390" t="str">
        <f>IF(C9390="","",UPPER(LEFT(SUBSTITUTE(C9390," ",""),3))&amp;"-"&amp;TEXT(B9390,"AAMMDD")&amp;"-1")</f>
        <v/>
      </c>
    </row>
    <row r="9391" spans="20:20">
      <c r="T9391" t="str">
        <f>IF(C9391="","",UPPER(LEFT(SUBSTITUTE(C9391," ",""),3))&amp;"-"&amp;TEXT(B9391,"AAMMDD")&amp;"-1")</f>
        <v/>
      </c>
    </row>
    <row r="9392" spans="20:20">
      <c r="T9392" t="str">
        <f>IF(C9392="","",UPPER(LEFT(SUBSTITUTE(C9392," ",""),3))&amp;"-"&amp;TEXT(B9392,"AAMMDD")&amp;"-1")</f>
        <v/>
      </c>
    </row>
    <row r="9393" spans="20:20">
      <c r="T9393" t="str">
        <f>IF(C9393="","",UPPER(LEFT(SUBSTITUTE(C9393," ",""),3))&amp;"-"&amp;TEXT(B9393,"AAMMDD")&amp;"-1")</f>
        <v/>
      </c>
    </row>
    <row r="9394" spans="20:20">
      <c r="T9394" t="str">
        <f>IF(C9394="","",UPPER(LEFT(SUBSTITUTE(C9394," ",""),3))&amp;"-"&amp;TEXT(B9394,"AAMMDD")&amp;"-1")</f>
        <v/>
      </c>
    </row>
    <row r="9395" spans="20:20">
      <c r="T9395" t="str">
        <f>IF(C9395="","",UPPER(LEFT(SUBSTITUTE(C9395," ",""),3))&amp;"-"&amp;TEXT(B9395,"AAMMDD")&amp;"-1")</f>
        <v/>
      </c>
    </row>
    <row r="9396" spans="20:20">
      <c r="T9396" t="str">
        <f>IF(C9396="","",UPPER(LEFT(SUBSTITUTE(C9396," ",""),3))&amp;"-"&amp;TEXT(B9396,"AAMMDD")&amp;"-1")</f>
        <v/>
      </c>
    </row>
    <row r="9397" spans="20:20">
      <c r="T9397" t="str">
        <f>IF(C9397="","",UPPER(LEFT(SUBSTITUTE(C9397," ",""),3))&amp;"-"&amp;TEXT(B9397,"AAMMDD")&amp;"-1")</f>
        <v/>
      </c>
    </row>
    <row r="9398" spans="20:20">
      <c r="T9398" t="str">
        <f>IF(C9398="","",UPPER(LEFT(SUBSTITUTE(C9398," ",""),3))&amp;"-"&amp;TEXT(B9398,"AAMMDD")&amp;"-1")</f>
        <v/>
      </c>
    </row>
    <row r="9399" spans="20:20">
      <c r="T9399" t="str">
        <f>IF(C9399="","",UPPER(LEFT(SUBSTITUTE(C9399," ",""),3))&amp;"-"&amp;TEXT(B9399,"AAMMDD")&amp;"-1")</f>
        <v/>
      </c>
    </row>
    <row r="9400" spans="20:20">
      <c r="T9400" t="str">
        <f>IF(C9400="","",UPPER(LEFT(SUBSTITUTE(C9400," ",""),3))&amp;"-"&amp;TEXT(B9400,"AAMMDD")&amp;"-1")</f>
        <v/>
      </c>
    </row>
    <row r="9401" spans="20:20">
      <c r="T9401" t="str">
        <f>IF(C9401="","",UPPER(LEFT(SUBSTITUTE(C9401," ",""),3))&amp;"-"&amp;TEXT(B9401,"AAMMDD")&amp;"-1")</f>
        <v/>
      </c>
    </row>
    <row r="9402" spans="20:20">
      <c r="T9402" t="str">
        <f>IF(C9402="","",UPPER(LEFT(SUBSTITUTE(C9402," ",""),3))&amp;"-"&amp;TEXT(B9402,"AAMMDD")&amp;"-1")</f>
        <v/>
      </c>
    </row>
    <row r="9403" spans="20:20">
      <c r="T9403" t="str">
        <f>IF(C9403="","",UPPER(LEFT(SUBSTITUTE(C9403," ",""),3))&amp;"-"&amp;TEXT(B9403,"AAMMDD")&amp;"-1")</f>
        <v/>
      </c>
    </row>
    <row r="9404" spans="20:20">
      <c r="T9404" t="str">
        <f>IF(C9404="","",UPPER(LEFT(SUBSTITUTE(C9404," ",""),3))&amp;"-"&amp;TEXT(B9404,"AAMMDD")&amp;"-1")</f>
        <v/>
      </c>
    </row>
    <row r="9405" spans="20:20">
      <c r="T9405" t="str">
        <f>IF(C9405="","",UPPER(LEFT(SUBSTITUTE(C9405," ",""),3))&amp;"-"&amp;TEXT(B9405,"AAMMDD")&amp;"-1")</f>
        <v/>
      </c>
    </row>
    <row r="9406" spans="20:20">
      <c r="T9406" t="str">
        <f>IF(C9406="","",UPPER(LEFT(SUBSTITUTE(C9406," ",""),3))&amp;"-"&amp;TEXT(B9406,"AAMMDD")&amp;"-1")</f>
        <v/>
      </c>
    </row>
    <row r="9407" spans="20:20">
      <c r="T9407" t="str">
        <f>IF(C9407="","",UPPER(LEFT(SUBSTITUTE(C9407," ",""),3))&amp;"-"&amp;TEXT(B9407,"AAMMDD")&amp;"-1")</f>
        <v/>
      </c>
    </row>
    <row r="9408" spans="20:20">
      <c r="T9408" t="str">
        <f>IF(C9408="","",UPPER(LEFT(SUBSTITUTE(C9408," ",""),3))&amp;"-"&amp;TEXT(B9408,"AAMMDD")&amp;"-1")</f>
        <v/>
      </c>
    </row>
    <row r="9409" spans="20:20">
      <c r="T9409" t="str">
        <f>IF(C9409="","",UPPER(LEFT(SUBSTITUTE(C9409," ",""),3))&amp;"-"&amp;TEXT(B9409,"AAMMDD")&amp;"-1")</f>
        <v/>
      </c>
    </row>
    <row r="9410" spans="20:20">
      <c r="T9410" t="str">
        <f>IF(C9410="","",UPPER(LEFT(SUBSTITUTE(C9410," ",""),3))&amp;"-"&amp;TEXT(B9410,"AAMMDD")&amp;"-1")</f>
        <v/>
      </c>
    </row>
    <row r="9411" spans="20:20">
      <c r="T9411" t="str">
        <f>IF(C9411="","",UPPER(LEFT(SUBSTITUTE(C9411," ",""),3))&amp;"-"&amp;TEXT(B9411,"AAMMDD")&amp;"-1")</f>
        <v/>
      </c>
    </row>
    <row r="9412" spans="20:20">
      <c r="T9412" t="str">
        <f>IF(C9412="","",UPPER(LEFT(SUBSTITUTE(C9412," ",""),3))&amp;"-"&amp;TEXT(B9412,"AAMMDD")&amp;"-1")</f>
        <v/>
      </c>
    </row>
    <row r="9413" spans="20:20">
      <c r="T9413" t="str">
        <f>IF(C9413="","",UPPER(LEFT(SUBSTITUTE(C9413," ",""),3))&amp;"-"&amp;TEXT(B9413,"AAMMDD")&amp;"-1")</f>
        <v/>
      </c>
    </row>
    <row r="9414" spans="20:20">
      <c r="T9414" t="str">
        <f>IF(C9414="","",UPPER(LEFT(SUBSTITUTE(C9414," ",""),3))&amp;"-"&amp;TEXT(B9414,"AAMMDD")&amp;"-1")</f>
        <v/>
      </c>
    </row>
    <row r="9415" spans="20:20">
      <c r="T9415" t="str">
        <f>IF(C9415="","",UPPER(LEFT(SUBSTITUTE(C9415," ",""),3))&amp;"-"&amp;TEXT(B9415,"AAMMDD")&amp;"-1")</f>
        <v/>
      </c>
    </row>
    <row r="9416" spans="20:20">
      <c r="T9416" t="str">
        <f>IF(C9416="","",UPPER(LEFT(SUBSTITUTE(C9416," ",""),3))&amp;"-"&amp;TEXT(B9416,"AAMMDD")&amp;"-1")</f>
        <v/>
      </c>
    </row>
    <row r="9417" spans="20:20">
      <c r="T9417" t="str">
        <f>IF(C9417="","",UPPER(LEFT(SUBSTITUTE(C9417," ",""),3))&amp;"-"&amp;TEXT(B9417,"AAMMDD")&amp;"-1")</f>
        <v/>
      </c>
    </row>
    <row r="9418" spans="20:20">
      <c r="T9418" t="str">
        <f>IF(C9418="","",UPPER(LEFT(SUBSTITUTE(C9418," ",""),3))&amp;"-"&amp;TEXT(B9418,"AAMMDD")&amp;"-1")</f>
        <v/>
      </c>
    </row>
    <row r="9419" spans="20:20">
      <c r="T9419" t="str">
        <f>IF(C9419="","",UPPER(LEFT(SUBSTITUTE(C9419," ",""),3))&amp;"-"&amp;TEXT(B9419,"AAMMDD")&amp;"-1")</f>
        <v/>
      </c>
    </row>
    <row r="9420" spans="20:20">
      <c r="T9420" t="str">
        <f>IF(C9420="","",UPPER(LEFT(SUBSTITUTE(C9420," ",""),3))&amp;"-"&amp;TEXT(B9420,"AAMMDD")&amp;"-1")</f>
        <v/>
      </c>
    </row>
    <row r="9421" spans="20:20">
      <c r="T9421" t="str">
        <f>IF(C9421="","",UPPER(LEFT(SUBSTITUTE(C9421," ",""),3))&amp;"-"&amp;TEXT(B9421,"AAMMDD")&amp;"-1")</f>
        <v/>
      </c>
    </row>
    <row r="9422" spans="20:20">
      <c r="T9422" t="str">
        <f>IF(C9422="","",UPPER(LEFT(SUBSTITUTE(C9422," ",""),3))&amp;"-"&amp;TEXT(B9422,"AAMMDD")&amp;"-1")</f>
        <v/>
      </c>
    </row>
    <row r="9423" spans="20:20">
      <c r="T9423" t="str">
        <f>IF(C9423="","",UPPER(LEFT(SUBSTITUTE(C9423," ",""),3))&amp;"-"&amp;TEXT(B9423,"AAMMDD")&amp;"-1")</f>
        <v/>
      </c>
    </row>
    <row r="9424" spans="20:20">
      <c r="T9424" t="str">
        <f>IF(C9424="","",UPPER(LEFT(SUBSTITUTE(C9424," ",""),3))&amp;"-"&amp;TEXT(B9424,"AAMMDD")&amp;"-1")</f>
        <v/>
      </c>
    </row>
    <row r="9425" spans="20:20">
      <c r="T9425" t="str">
        <f>IF(C9425="","",UPPER(LEFT(SUBSTITUTE(C9425," ",""),3))&amp;"-"&amp;TEXT(B9425,"AAMMDD")&amp;"-1")</f>
        <v/>
      </c>
    </row>
    <row r="9426" spans="20:20">
      <c r="T9426" t="str">
        <f>IF(C9426="","",UPPER(LEFT(SUBSTITUTE(C9426," ",""),3))&amp;"-"&amp;TEXT(B9426,"AAMMDD")&amp;"-1")</f>
        <v/>
      </c>
    </row>
    <row r="9427" spans="20:20">
      <c r="T9427" t="str">
        <f>IF(C9427="","",UPPER(LEFT(SUBSTITUTE(C9427," ",""),3))&amp;"-"&amp;TEXT(B9427,"AAMMDD")&amp;"-1")</f>
        <v/>
      </c>
    </row>
    <row r="9428" spans="20:20">
      <c r="T9428" t="str">
        <f>IF(C9428="","",UPPER(LEFT(SUBSTITUTE(C9428," ",""),3))&amp;"-"&amp;TEXT(B9428,"AAMMDD")&amp;"-1")</f>
        <v/>
      </c>
    </row>
    <row r="9429" spans="20:20">
      <c r="T9429" t="str">
        <f>IF(C9429="","",UPPER(LEFT(SUBSTITUTE(C9429," ",""),3))&amp;"-"&amp;TEXT(B9429,"AAMMDD")&amp;"-1")</f>
        <v/>
      </c>
    </row>
    <row r="9430" spans="20:20">
      <c r="T9430" t="str">
        <f>IF(C9430="","",UPPER(LEFT(SUBSTITUTE(C9430," ",""),3))&amp;"-"&amp;TEXT(B9430,"AAMMDD")&amp;"-1")</f>
        <v/>
      </c>
    </row>
    <row r="9431" spans="20:20">
      <c r="T9431" t="str">
        <f>IF(C9431="","",UPPER(LEFT(SUBSTITUTE(C9431," ",""),3))&amp;"-"&amp;TEXT(B9431,"AAMMDD")&amp;"-1")</f>
        <v/>
      </c>
    </row>
    <row r="9432" spans="20:20">
      <c r="T9432" t="str">
        <f>IF(C9432="","",UPPER(LEFT(SUBSTITUTE(C9432," ",""),3))&amp;"-"&amp;TEXT(B9432,"AAMMDD")&amp;"-1")</f>
        <v/>
      </c>
    </row>
    <row r="9433" spans="20:20">
      <c r="T9433" t="str">
        <f>IF(C9433="","",UPPER(LEFT(SUBSTITUTE(C9433," ",""),3))&amp;"-"&amp;TEXT(B9433,"AAMMDD")&amp;"-1")</f>
        <v/>
      </c>
    </row>
    <row r="9434" spans="20:20">
      <c r="T9434" t="str">
        <f>IF(C9434="","",UPPER(LEFT(SUBSTITUTE(C9434," ",""),3))&amp;"-"&amp;TEXT(B9434,"AAMMDD")&amp;"-1")</f>
        <v/>
      </c>
    </row>
    <row r="9435" spans="20:20">
      <c r="T9435" t="str">
        <f>IF(C9435="","",UPPER(LEFT(SUBSTITUTE(C9435," ",""),3))&amp;"-"&amp;TEXT(B9435,"AAMMDD")&amp;"-1")</f>
        <v/>
      </c>
    </row>
    <row r="9436" spans="20:20">
      <c r="T9436" t="str">
        <f>IF(C9436="","",UPPER(LEFT(SUBSTITUTE(C9436," ",""),3))&amp;"-"&amp;TEXT(B9436,"AAMMDD")&amp;"-1")</f>
        <v/>
      </c>
    </row>
    <row r="9437" spans="20:20">
      <c r="T9437" t="str">
        <f>IF(C9437="","",UPPER(LEFT(SUBSTITUTE(C9437," ",""),3))&amp;"-"&amp;TEXT(B9437,"AAMMDD")&amp;"-1")</f>
        <v/>
      </c>
    </row>
    <row r="9438" spans="20:20">
      <c r="T9438" t="str">
        <f>IF(C9438="","",UPPER(LEFT(SUBSTITUTE(C9438," ",""),3))&amp;"-"&amp;TEXT(B9438,"AAMMDD")&amp;"-1")</f>
        <v/>
      </c>
    </row>
    <row r="9439" spans="20:20">
      <c r="T9439" t="str">
        <f>IF(C9439="","",UPPER(LEFT(SUBSTITUTE(C9439," ",""),3))&amp;"-"&amp;TEXT(B9439,"AAMMDD")&amp;"-1")</f>
        <v/>
      </c>
    </row>
    <row r="9440" spans="20:20">
      <c r="T9440" t="str">
        <f>IF(C9440="","",UPPER(LEFT(SUBSTITUTE(C9440," ",""),3))&amp;"-"&amp;TEXT(B9440,"AAMMDD")&amp;"-1")</f>
        <v/>
      </c>
    </row>
    <row r="9441" spans="20:20">
      <c r="T9441" t="str">
        <f>IF(C9441="","",UPPER(LEFT(SUBSTITUTE(C9441," ",""),3))&amp;"-"&amp;TEXT(B9441,"AAMMDD")&amp;"-1")</f>
        <v/>
      </c>
    </row>
    <row r="9442" spans="20:20">
      <c r="T9442" t="str">
        <f>IF(C9442="","",UPPER(LEFT(SUBSTITUTE(C9442," ",""),3))&amp;"-"&amp;TEXT(B9442,"AAMMDD")&amp;"-1")</f>
        <v/>
      </c>
    </row>
    <row r="9443" spans="20:20">
      <c r="T9443" t="str">
        <f>IF(C9443="","",UPPER(LEFT(SUBSTITUTE(C9443," ",""),3))&amp;"-"&amp;TEXT(B9443,"AAMMDD")&amp;"-1")</f>
        <v/>
      </c>
    </row>
    <row r="9444" spans="20:20">
      <c r="T9444" t="str">
        <f>IF(C9444="","",UPPER(LEFT(SUBSTITUTE(C9444," ",""),3))&amp;"-"&amp;TEXT(B9444,"AAMMDD")&amp;"-1")</f>
        <v/>
      </c>
    </row>
    <row r="9445" spans="20:20">
      <c r="T9445" t="str">
        <f>IF(C9445="","",UPPER(LEFT(SUBSTITUTE(C9445," ",""),3))&amp;"-"&amp;TEXT(B9445,"AAMMDD")&amp;"-1")</f>
        <v/>
      </c>
    </row>
    <row r="9446" spans="20:20">
      <c r="T9446" t="str">
        <f>IF(C9446="","",UPPER(LEFT(SUBSTITUTE(C9446," ",""),3))&amp;"-"&amp;TEXT(B9446,"AAMMDD")&amp;"-1")</f>
        <v/>
      </c>
    </row>
    <row r="9447" spans="20:20">
      <c r="T9447" t="str">
        <f>IF(C9447="","",UPPER(LEFT(SUBSTITUTE(C9447," ",""),3))&amp;"-"&amp;TEXT(B9447,"AAMMDD")&amp;"-1")</f>
        <v/>
      </c>
    </row>
    <row r="9448" spans="20:20">
      <c r="T9448" t="str">
        <f>IF(C9448="","",UPPER(LEFT(SUBSTITUTE(C9448," ",""),3))&amp;"-"&amp;TEXT(B9448,"AAMMDD")&amp;"-1")</f>
        <v/>
      </c>
    </row>
    <row r="9449" spans="20:20">
      <c r="T9449" t="str">
        <f>IF(C9449="","",UPPER(LEFT(SUBSTITUTE(C9449," ",""),3))&amp;"-"&amp;TEXT(B9449,"AAMMDD")&amp;"-1")</f>
        <v/>
      </c>
    </row>
    <row r="9450" spans="20:20">
      <c r="T9450" t="str">
        <f>IF(C9450="","",UPPER(LEFT(SUBSTITUTE(C9450," ",""),3))&amp;"-"&amp;TEXT(B9450,"AAMMDD")&amp;"-1")</f>
        <v/>
      </c>
    </row>
    <row r="9451" spans="20:20">
      <c r="T9451" t="str">
        <f>IF(C9451="","",UPPER(LEFT(SUBSTITUTE(C9451," ",""),3))&amp;"-"&amp;TEXT(B9451,"AAMMDD")&amp;"-1")</f>
        <v/>
      </c>
    </row>
    <row r="9452" spans="20:20">
      <c r="T9452" t="str">
        <f>IF(C9452="","",UPPER(LEFT(SUBSTITUTE(C9452," ",""),3))&amp;"-"&amp;TEXT(B9452,"AAMMDD")&amp;"-1")</f>
        <v/>
      </c>
    </row>
    <row r="9453" spans="20:20">
      <c r="T9453" t="str">
        <f>IF(C9453="","",UPPER(LEFT(SUBSTITUTE(C9453," ",""),3))&amp;"-"&amp;TEXT(B9453,"AAMMDD")&amp;"-1")</f>
        <v/>
      </c>
    </row>
    <row r="9454" spans="20:20">
      <c r="T9454" t="str">
        <f>IF(C9454="","",UPPER(LEFT(SUBSTITUTE(C9454," ",""),3))&amp;"-"&amp;TEXT(B9454,"AAMMDD")&amp;"-1")</f>
        <v/>
      </c>
    </row>
    <row r="9455" spans="20:20">
      <c r="T9455" t="str">
        <f>IF(C9455="","",UPPER(LEFT(SUBSTITUTE(C9455," ",""),3))&amp;"-"&amp;TEXT(B9455,"AAMMDD")&amp;"-1")</f>
        <v/>
      </c>
    </row>
    <row r="9456" spans="20:20">
      <c r="T9456" t="str">
        <f>IF(C9456="","",UPPER(LEFT(SUBSTITUTE(C9456," ",""),3))&amp;"-"&amp;TEXT(B9456,"AAMMDD")&amp;"-1")</f>
        <v/>
      </c>
    </row>
    <row r="9457" spans="20:20">
      <c r="T9457" t="str">
        <f>IF(C9457="","",UPPER(LEFT(SUBSTITUTE(C9457," ",""),3))&amp;"-"&amp;TEXT(B9457,"AAMMDD")&amp;"-1")</f>
        <v/>
      </c>
    </row>
    <row r="9458" spans="20:20">
      <c r="T9458" t="str">
        <f>IF(C9458="","",UPPER(LEFT(SUBSTITUTE(C9458," ",""),3))&amp;"-"&amp;TEXT(B9458,"AAMMDD")&amp;"-1")</f>
        <v/>
      </c>
    </row>
    <row r="9459" spans="20:20">
      <c r="T9459" t="str">
        <f>IF(C9459="","",UPPER(LEFT(SUBSTITUTE(C9459," ",""),3))&amp;"-"&amp;TEXT(B9459,"AAMMDD")&amp;"-1")</f>
        <v/>
      </c>
    </row>
    <row r="9460" spans="20:20">
      <c r="T9460" t="str">
        <f>IF(C9460="","",UPPER(LEFT(SUBSTITUTE(C9460," ",""),3))&amp;"-"&amp;TEXT(B9460,"AAMMDD")&amp;"-1")</f>
        <v/>
      </c>
    </row>
    <row r="9461" spans="20:20">
      <c r="T9461" t="str">
        <f>IF(C9461="","",UPPER(LEFT(SUBSTITUTE(C9461," ",""),3))&amp;"-"&amp;TEXT(B9461,"AAMMDD")&amp;"-1")</f>
        <v/>
      </c>
    </row>
    <row r="9462" spans="20:20">
      <c r="T9462" t="str">
        <f>IF(C9462="","",UPPER(LEFT(SUBSTITUTE(C9462," ",""),3))&amp;"-"&amp;TEXT(B9462,"AAMMDD")&amp;"-1")</f>
        <v/>
      </c>
    </row>
    <row r="9463" spans="20:20">
      <c r="T9463" t="str">
        <f>IF(C9463="","",UPPER(LEFT(SUBSTITUTE(C9463," ",""),3))&amp;"-"&amp;TEXT(B9463,"AAMMDD")&amp;"-1")</f>
        <v/>
      </c>
    </row>
    <row r="9464" spans="20:20">
      <c r="T9464" t="str">
        <f>IF(C9464="","",UPPER(LEFT(SUBSTITUTE(C9464," ",""),3))&amp;"-"&amp;TEXT(B9464,"AAMMDD")&amp;"-1")</f>
        <v/>
      </c>
    </row>
    <row r="9465" spans="20:20">
      <c r="T9465" t="str">
        <f>IF(C9465="","",UPPER(LEFT(SUBSTITUTE(C9465," ",""),3))&amp;"-"&amp;TEXT(B9465,"AAMMDD")&amp;"-1")</f>
        <v/>
      </c>
    </row>
    <row r="9466" spans="20:20">
      <c r="T9466" t="str">
        <f>IF(C9466="","",UPPER(LEFT(SUBSTITUTE(C9466," ",""),3))&amp;"-"&amp;TEXT(B9466,"AAMMDD")&amp;"-1")</f>
        <v/>
      </c>
    </row>
    <row r="9467" spans="20:20">
      <c r="T9467" t="str">
        <f>IF(C9467="","",UPPER(LEFT(SUBSTITUTE(C9467," ",""),3))&amp;"-"&amp;TEXT(B9467,"AAMMDD")&amp;"-1")</f>
        <v/>
      </c>
    </row>
    <row r="9468" spans="20:20">
      <c r="T9468" t="str">
        <f>IF(C9468="","",UPPER(LEFT(SUBSTITUTE(C9468," ",""),3))&amp;"-"&amp;TEXT(B9468,"AAMMDD")&amp;"-1")</f>
        <v/>
      </c>
    </row>
    <row r="9469" spans="20:20">
      <c r="T9469" t="str">
        <f>IF(C9469="","",UPPER(LEFT(SUBSTITUTE(C9469," ",""),3))&amp;"-"&amp;TEXT(B9469,"AAMMDD")&amp;"-1")</f>
        <v/>
      </c>
    </row>
    <row r="9470" spans="20:20">
      <c r="T9470" t="str">
        <f>IF(C9470="","",UPPER(LEFT(SUBSTITUTE(C9470," ",""),3))&amp;"-"&amp;TEXT(B9470,"AAMMDD")&amp;"-1")</f>
        <v/>
      </c>
    </row>
    <row r="9471" spans="20:20">
      <c r="T9471" t="str">
        <f>IF(C9471="","",UPPER(LEFT(SUBSTITUTE(C9471," ",""),3))&amp;"-"&amp;TEXT(B9471,"AAMMDD")&amp;"-1")</f>
        <v/>
      </c>
    </row>
    <row r="9472" spans="20:20">
      <c r="T9472" t="str">
        <f>IF(C9472="","",UPPER(LEFT(SUBSTITUTE(C9472," ",""),3))&amp;"-"&amp;TEXT(B9472,"AAMMDD")&amp;"-1")</f>
        <v/>
      </c>
    </row>
    <row r="9473" spans="20:20">
      <c r="T9473" t="str">
        <f>IF(C9473="","",UPPER(LEFT(SUBSTITUTE(C9473," ",""),3))&amp;"-"&amp;TEXT(B9473,"AAMMDD")&amp;"-1")</f>
        <v/>
      </c>
    </row>
    <row r="9474" spans="20:20">
      <c r="T9474" t="str">
        <f>IF(C9474="","",UPPER(LEFT(SUBSTITUTE(C9474," ",""),3))&amp;"-"&amp;TEXT(B9474,"AAMMDD")&amp;"-1")</f>
        <v/>
      </c>
    </row>
    <row r="9475" spans="20:20">
      <c r="T9475" t="str">
        <f>IF(C9475="","",UPPER(LEFT(SUBSTITUTE(C9475," ",""),3))&amp;"-"&amp;TEXT(B9475,"AAMMDD")&amp;"-1")</f>
        <v/>
      </c>
    </row>
    <row r="9476" spans="20:20">
      <c r="T9476" t="str">
        <f>IF(C9476="","",UPPER(LEFT(SUBSTITUTE(C9476," ",""),3))&amp;"-"&amp;TEXT(B9476,"AAMMDD")&amp;"-1")</f>
        <v/>
      </c>
    </row>
    <row r="9477" spans="20:20">
      <c r="T9477" t="str">
        <f>IF(C9477="","",UPPER(LEFT(SUBSTITUTE(C9477," ",""),3))&amp;"-"&amp;TEXT(B9477,"AAMMDD")&amp;"-1")</f>
        <v/>
      </c>
    </row>
    <row r="9478" spans="20:20">
      <c r="T9478" t="str">
        <f>IF(C9478="","",UPPER(LEFT(SUBSTITUTE(C9478," ",""),3))&amp;"-"&amp;TEXT(B9478,"AAMMDD")&amp;"-1")</f>
        <v/>
      </c>
    </row>
    <row r="9479" spans="20:20">
      <c r="T9479" t="str">
        <f>IF(C9479="","",UPPER(LEFT(SUBSTITUTE(C9479," ",""),3))&amp;"-"&amp;TEXT(B9479,"AAMMDD")&amp;"-1")</f>
        <v/>
      </c>
    </row>
    <row r="9480" spans="20:20">
      <c r="T9480" t="str">
        <f>IF(C9480="","",UPPER(LEFT(SUBSTITUTE(C9480," ",""),3))&amp;"-"&amp;TEXT(B9480,"AAMMDD")&amp;"-1")</f>
        <v/>
      </c>
    </row>
    <row r="9481" spans="20:20">
      <c r="T9481" t="str">
        <f>IF(C9481="","",UPPER(LEFT(SUBSTITUTE(C9481," ",""),3))&amp;"-"&amp;TEXT(B9481,"AAMMDD")&amp;"-1")</f>
        <v/>
      </c>
    </row>
    <row r="9482" spans="20:20">
      <c r="T9482" t="str">
        <f>IF(C9482="","",UPPER(LEFT(SUBSTITUTE(C9482," ",""),3))&amp;"-"&amp;TEXT(B9482,"AAMMDD")&amp;"-1")</f>
        <v/>
      </c>
    </row>
    <row r="9483" spans="20:20">
      <c r="T9483" t="str">
        <f>IF(C9483="","",UPPER(LEFT(SUBSTITUTE(C9483," ",""),3))&amp;"-"&amp;TEXT(B9483,"AAMMDD")&amp;"-1")</f>
        <v/>
      </c>
    </row>
    <row r="9484" spans="20:20">
      <c r="T9484" t="str">
        <f>IF(C9484="","",UPPER(LEFT(SUBSTITUTE(C9484," ",""),3))&amp;"-"&amp;TEXT(B9484,"AAMMDD")&amp;"-1")</f>
        <v/>
      </c>
    </row>
    <row r="9485" spans="20:20">
      <c r="T9485" t="str">
        <f>IF(C9485="","",UPPER(LEFT(SUBSTITUTE(C9485," ",""),3))&amp;"-"&amp;TEXT(B9485,"AAMMDD")&amp;"-1")</f>
        <v/>
      </c>
    </row>
    <row r="9486" spans="20:20">
      <c r="T9486" t="str">
        <f>IF(C9486="","",UPPER(LEFT(SUBSTITUTE(C9486," ",""),3))&amp;"-"&amp;TEXT(B9486,"AAMMDD")&amp;"-1")</f>
        <v/>
      </c>
    </row>
    <row r="9487" spans="20:20">
      <c r="T9487" t="str">
        <f>IF(C9487="","",UPPER(LEFT(SUBSTITUTE(C9487," ",""),3))&amp;"-"&amp;TEXT(B9487,"AAMMDD")&amp;"-1")</f>
        <v/>
      </c>
    </row>
    <row r="9488" spans="20:20">
      <c r="T9488" t="str">
        <f>IF(C9488="","",UPPER(LEFT(SUBSTITUTE(C9488," ",""),3))&amp;"-"&amp;TEXT(B9488,"AAMMDD")&amp;"-1")</f>
        <v/>
      </c>
    </row>
    <row r="9489" spans="20:20">
      <c r="T9489" t="str">
        <f>IF(C9489="","",UPPER(LEFT(SUBSTITUTE(C9489," ",""),3))&amp;"-"&amp;TEXT(B9489,"AAMMDD")&amp;"-1")</f>
        <v/>
      </c>
    </row>
    <row r="9490" spans="20:20">
      <c r="T9490" t="str">
        <f>IF(C9490="","",UPPER(LEFT(SUBSTITUTE(C9490," ",""),3))&amp;"-"&amp;TEXT(B9490,"AAMMDD")&amp;"-1")</f>
        <v/>
      </c>
    </row>
    <row r="9491" spans="20:20">
      <c r="T9491" t="str">
        <f>IF(C9491="","",UPPER(LEFT(SUBSTITUTE(C9491," ",""),3))&amp;"-"&amp;TEXT(B9491,"AAMMDD")&amp;"-1")</f>
        <v/>
      </c>
    </row>
    <row r="9492" spans="20:20">
      <c r="T9492" t="str">
        <f>IF(C9492="","",UPPER(LEFT(SUBSTITUTE(C9492," ",""),3))&amp;"-"&amp;TEXT(B9492,"AAMMDD")&amp;"-1")</f>
        <v/>
      </c>
    </row>
    <row r="9493" spans="20:20">
      <c r="T9493" t="str">
        <f>IF(C9493="","",UPPER(LEFT(SUBSTITUTE(C9493," ",""),3))&amp;"-"&amp;TEXT(B9493,"AAMMDD")&amp;"-1")</f>
        <v/>
      </c>
    </row>
    <row r="9494" spans="20:20">
      <c r="T9494" t="str">
        <f>IF(C9494="","",UPPER(LEFT(SUBSTITUTE(C9494," ",""),3))&amp;"-"&amp;TEXT(B9494,"AAMMDD")&amp;"-1")</f>
        <v/>
      </c>
    </row>
    <row r="9495" spans="20:20">
      <c r="T9495" t="str">
        <f>IF(C9495="","",UPPER(LEFT(SUBSTITUTE(C9495," ",""),3))&amp;"-"&amp;TEXT(B9495,"AAMMDD")&amp;"-1")</f>
        <v/>
      </c>
    </row>
    <row r="9496" spans="20:20">
      <c r="T9496" t="str">
        <f>IF(C9496="","",UPPER(LEFT(SUBSTITUTE(C9496," ",""),3))&amp;"-"&amp;TEXT(B9496,"AAMMDD")&amp;"-1")</f>
        <v/>
      </c>
    </row>
    <row r="9497" spans="20:20">
      <c r="T9497" t="str">
        <f>IF(C9497="","",UPPER(LEFT(SUBSTITUTE(C9497," ",""),3))&amp;"-"&amp;TEXT(B9497,"AAMMDD")&amp;"-1")</f>
        <v/>
      </c>
    </row>
    <row r="9498" spans="20:20">
      <c r="T9498" t="str">
        <f>IF(C9498="","",UPPER(LEFT(SUBSTITUTE(C9498," ",""),3))&amp;"-"&amp;TEXT(B9498,"AAMMDD")&amp;"-1")</f>
        <v/>
      </c>
    </row>
    <row r="9499" spans="20:20">
      <c r="T9499" t="str">
        <f>IF(C9499="","",UPPER(LEFT(SUBSTITUTE(C9499," ",""),3))&amp;"-"&amp;TEXT(B9499,"AAMMDD")&amp;"-1")</f>
        <v/>
      </c>
    </row>
    <row r="9500" spans="20:20">
      <c r="T9500" t="str">
        <f>IF(C9500="","",UPPER(LEFT(SUBSTITUTE(C9500," ",""),3))&amp;"-"&amp;TEXT(B9500,"AAMMDD")&amp;"-1")</f>
        <v/>
      </c>
    </row>
    <row r="9501" spans="20:20">
      <c r="T9501" t="str">
        <f>IF(C9501="","",UPPER(LEFT(SUBSTITUTE(C9501," ",""),3))&amp;"-"&amp;TEXT(B9501,"AAMMDD")&amp;"-1")</f>
        <v/>
      </c>
    </row>
    <row r="9502" spans="20:20">
      <c r="T9502" t="str">
        <f>IF(C9502="","",UPPER(LEFT(SUBSTITUTE(C9502," ",""),3))&amp;"-"&amp;TEXT(B9502,"AAMMDD")&amp;"-1")</f>
        <v/>
      </c>
    </row>
    <row r="9503" spans="20:20">
      <c r="T9503" t="str">
        <f>IF(C9503="","",UPPER(LEFT(SUBSTITUTE(C9503," ",""),3))&amp;"-"&amp;TEXT(B9503,"AAMMDD")&amp;"-1")</f>
        <v/>
      </c>
    </row>
    <row r="9504" spans="20:20">
      <c r="T9504" t="str">
        <f>IF(C9504="","",UPPER(LEFT(SUBSTITUTE(C9504," ",""),3))&amp;"-"&amp;TEXT(B9504,"AAMMDD")&amp;"-1")</f>
        <v/>
      </c>
    </row>
    <row r="9505" spans="20:20">
      <c r="T9505" t="str">
        <f>IF(C9505="","",UPPER(LEFT(SUBSTITUTE(C9505," ",""),3))&amp;"-"&amp;TEXT(B9505,"AAMMDD")&amp;"-1")</f>
        <v/>
      </c>
    </row>
    <row r="9506" spans="20:20">
      <c r="T9506" t="str">
        <f>IF(C9506="","",UPPER(LEFT(SUBSTITUTE(C9506," ",""),3))&amp;"-"&amp;TEXT(B9506,"AAMMDD")&amp;"-1")</f>
        <v/>
      </c>
    </row>
    <row r="9507" spans="20:20">
      <c r="T9507" t="str">
        <f>IF(C9507="","",UPPER(LEFT(SUBSTITUTE(C9507," ",""),3))&amp;"-"&amp;TEXT(B9507,"AAMMDD")&amp;"-1")</f>
        <v/>
      </c>
    </row>
    <row r="9508" spans="20:20">
      <c r="T9508" t="str">
        <f>IF(C9508="","",UPPER(LEFT(SUBSTITUTE(C9508," ",""),3))&amp;"-"&amp;TEXT(B9508,"AAMMDD")&amp;"-1")</f>
        <v/>
      </c>
    </row>
    <row r="9509" spans="20:20">
      <c r="T9509" t="str">
        <f>IF(C9509="","",UPPER(LEFT(SUBSTITUTE(C9509," ",""),3))&amp;"-"&amp;TEXT(B9509,"AAMMDD")&amp;"-1")</f>
        <v/>
      </c>
    </row>
    <row r="9510" spans="20:20">
      <c r="T9510" t="str">
        <f>IF(C9510="","",UPPER(LEFT(SUBSTITUTE(C9510," ",""),3))&amp;"-"&amp;TEXT(B9510,"AAMMDD")&amp;"-1")</f>
        <v/>
      </c>
    </row>
    <row r="9511" spans="20:20">
      <c r="T9511" t="str">
        <f>IF(C9511="","",UPPER(LEFT(SUBSTITUTE(C9511," ",""),3))&amp;"-"&amp;TEXT(B9511,"AAMMDD")&amp;"-1")</f>
        <v/>
      </c>
    </row>
    <row r="9512" spans="20:20">
      <c r="T9512" t="str">
        <f>IF(C9512="","",UPPER(LEFT(SUBSTITUTE(C9512," ",""),3))&amp;"-"&amp;TEXT(B9512,"AAMMDD")&amp;"-1")</f>
        <v/>
      </c>
    </row>
    <row r="9513" spans="20:20">
      <c r="T9513" t="str">
        <f>IF(C9513="","",UPPER(LEFT(SUBSTITUTE(C9513," ",""),3))&amp;"-"&amp;TEXT(B9513,"AAMMDD")&amp;"-1")</f>
        <v/>
      </c>
    </row>
    <row r="9514" spans="20:20">
      <c r="T9514" t="str">
        <f>IF(C9514="","",UPPER(LEFT(SUBSTITUTE(C9514," ",""),3))&amp;"-"&amp;TEXT(B9514,"AAMMDD")&amp;"-1")</f>
        <v/>
      </c>
    </row>
    <row r="9515" spans="20:20">
      <c r="T9515" t="str">
        <f>IF(C9515="","",UPPER(LEFT(SUBSTITUTE(C9515," ",""),3))&amp;"-"&amp;TEXT(B9515,"AAMMDD")&amp;"-1")</f>
        <v/>
      </c>
    </row>
    <row r="9516" spans="20:20">
      <c r="T9516" t="str">
        <f>IF(C9516="","",UPPER(LEFT(SUBSTITUTE(C9516," ",""),3))&amp;"-"&amp;TEXT(B9516,"AAMMDD")&amp;"-1")</f>
        <v/>
      </c>
    </row>
    <row r="9517" spans="20:20">
      <c r="T9517" t="str">
        <f>IF(C9517="","",UPPER(LEFT(SUBSTITUTE(C9517," ",""),3))&amp;"-"&amp;TEXT(B9517,"AAMMDD")&amp;"-1")</f>
        <v/>
      </c>
    </row>
    <row r="9518" spans="20:20">
      <c r="T9518" t="str">
        <f>IF(C9518="","",UPPER(LEFT(SUBSTITUTE(C9518," ",""),3))&amp;"-"&amp;TEXT(B9518,"AAMMDD")&amp;"-1")</f>
        <v/>
      </c>
    </row>
    <row r="9519" spans="20:20">
      <c r="T9519" t="str">
        <f>IF(C9519="","",UPPER(LEFT(SUBSTITUTE(C9519," ",""),3))&amp;"-"&amp;TEXT(B9519,"AAMMDD")&amp;"-1")</f>
        <v/>
      </c>
    </row>
    <row r="9520" spans="20:20">
      <c r="T9520" t="str">
        <f>IF(C9520="","",UPPER(LEFT(SUBSTITUTE(C9520," ",""),3))&amp;"-"&amp;TEXT(B9520,"AAMMDD")&amp;"-1")</f>
        <v/>
      </c>
    </row>
    <row r="9521" spans="20:20">
      <c r="T9521" t="str">
        <f>IF(C9521="","",UPPER(LEFT(SUBSTITUTE(C9521," ",""),3))&amp;"-"&amp;TEXT(B9521,"AAMMDD")&amp;"-1")</f>
        <v/>
      </c>
    </row>
    <row r="9522" spans="20:20">
      <c r="T9522" t="str">
        <f>IF(C9522="","",UPPER(LEFT(SUBSTITUTE(C9522," ",""),3))&amp;"-"&amp;TEXT(B9522,"AAMMDD")&amp;"-1")</f>
        <v/>
      </c>
    </row>
    <row r="9523" spans="20:20">
      <c r="T9523" t="str">
        <f>IF(C9523="","",UPPER(LEFT(SUBSTITUTE(C9523," ",""),3))&amp;"-"&amp;TEXT(B9523,"AAMMDD")&amp;"-1")</f>
        <v/>
      </c>
    </row>
    <row r="9524" spans="20:20">
      <c r="T9524" t="str">
        <f>IF(C9524="","",UPPER(LEFT(SUBSTITUTE(C9524," ",""),3))&amp;"-"&amp;TEXT(B9524,"AAMMDD")&amp;"-1")</f>
        <v/>
      </c>
    </row>
    <row r="9525" spans="20:20">
      <c r="T9525" t="str">
        <f>IF(C9525="","",UPPER(LEFT(SUBSTITUTE(C9525," ",""),3))&amp;"-"&amp;TEXT(B9525,"AAMMDD")&amp;"-1")</f>
        <v/>
      </c>
    </row>
    <row r="9526" spans="20:20">
      <c r="T9526" t="str">
        <f>IF(C9526="","",UPPER(LEFT(SUBSTITUTE(C9526," ",""),3))&amp;"-"&amp;TEXT(B9526,"AAMMDD")&amp;"-1")</f>
        <v/>
      </c>
    </row>
    <row r="9527" spans="20:20">
      <c r="T9527" t="str">
        <f>IF(C9527="","",UPPER(LEFT(SUBSTITUTE(C9527," ",""),3))&amp;"-"&amp;TEXT(B9527,"AAMMDD")&amp;"-1")</f>
        <v/>
      </c>
    </row>
    <row r="9528" spans="20:20">
      <c r="T9528" t="str">
        <f>IF(C9528="","",UPPER(LEFT(SUBSTITUTE(C9528," ",""),3))&amp;"-"&amp;TEXT(B9528,"AAMMDD")&amp;"-1")</f>
        <v/>
      </c>
    </row>
    <row r="9529" spans="20:20">
      <c r="T9529" t="str">
        <f>IF(C9529="","",UPPER(LEFT(SUBSTITUTE(C9529," ",""),3))&amp;"-"&amp;TEXT(B9529,"AAMMDD")&amp;"-1")</f>
        <v/>
      </c>
    </row>
    <row r="9530" spans="20:20">
      <c r="T9530" t="str">
        <f>IF(C9530="","",UPPER(LEFT(SUBSTITUTE(C9530," ",""),3))&amp;"-"&amp;TEXT(B9530,"AAMMDD")&amp;"-1")</f>
        <v/>
      </c>
    </row>
    <row r="9531" spans="20:20">
      <c r="T9531" t="str">
        <f>IF(C9531="","",UPPER(LEFT(SUBSTITUTE(C9531," ",""),3))&amp;"-"&amp;TEXT(B9531,"AAMMDD")&amp;"-1")</f>
        <v/>
      </c>
    </row>
    <row r="9532" spans="20:20">
      <c r="T9532" t="str">
        <f>IF(C9532="","",UPPER(LEFT(SUBSTITUTE(C9532," ",""),3))&amp;"-"&amp;TEXT(B9532,"AAMMDD")&amp;"-1")</f>
        <v/>
      </c>
    </row>
    <row r="9533" spans="20:20">
      <c r="T9533" t="str">
        <f>IF(C9533="","",UPPER(LEFT(SUBSTITUTE(C9533," ",""),3))&amp;"-"&amp;TEXT(B9533,"AAMMDD")&amp;"-1")</f>
        <v/>
      </c>
    </row>
    <row r="9534" spans="20:20">
      <c r="T9534" t="str">
        <f>IF(C9534="","",UPPER(LEFT(SUBSTITUTE(C9534," ",""),3))&amp;"-"&amp;TEXT(B9534,"AAMMDD")&amp;"-1")</f>
        <v/>
      </c>
    </row>
    <row r="9535" spans="20:20">
      <c r="T9535" t="str">
        <f>IF(C9535="","",UPPER(LEFT(SUBSTITUTE(C9535," ",""),3))&amp;"-"&amp;TEXT(B9535,"AAMMDD")&amp;"-1")</f>
        <v/>
      </c>
    </row>
    <row r="9536" spans="20:20">
      <c r="T9536" t="str">
        <f>IF(C9536="","",UPPER(LEFT(SUBSTITUTE(C9536," ",""),3))&amp;"-"&amp;TEXT(B9536,"AAMMDD")&amp;"-1")</f>
        <v/>
      </c>
    </row>
    <row r="9537" spans="20:20">
      <c r="T9537" t="str">
        <f>IF(C9537="","",UPPER(LEFT(SUBSTITUTE(C9537," ",""),3))&amp;"-"&amp;TEXT(B9537,"AAMMDD")&amp;"-1")</f>
        <v/>
      </c>
    </row>
    <row r="9538" spans="20:20">
      <c r="T9538" t="str">
        <f>IF(C9538="","",UPPER(LEFT(SUBSTITUTE(C9538," ",""),3))&amp;"-"&amp;TEXT(B9538,"AAMMDD")&amp;"-1")</f>
        <v/>
      </c>
    </row>
    <row r="9539" spans="20:20">
      <c r="T9539" t="str">
        <f>IF(C9539="","",UPPER(LEFT(SUBSTITUTE(C9539," ",""),3))&amp;"-"&amp;TEXT(B9539,"AAMMDD")&amp;"-1")</f>
        <v/>
      </c>
    </row>
    <row r="9540" spans="20:20">
      <c r="T9540" t="str">
        <f>IF(C9540="","",UPPER(LEFT(SUBSTITUTE(C9540," ",""),3))&amp;"-"&amp;TEXT(B9540,"AAMMDD")&amp;"-1")</f>
        <v/>
      </c>
    </row>
    <row r="9541" spans="20:20">
      <c r="T9541" t="str">
        <f>IF(C9541="","",UPPER(LEFT(SUBSTITUTE(C9541," ",""),3))&amp;"-"&amp;TEXT(B9541,"AAMMDD")&amp;"-1")</f>
        <v/>
      </c>
    </row>
    <row r="9542" spans="20:20">
      <c r="T9542" t="str">
        <f>IF(C9542="","",UPPER(LEFT(SUBSTITUTE(C9542," ",""),3))&amp;"-"&amp;TEXT(B9542,"AAMMDD")&amp;"-1")</f>
        <v/>
      </c>
    </row>
    <row r="9543" spans="20:20">
      <c r="T9543" t="str">
        <f>IF(C9543="","",UPPER(LEFT(SUBSTITUTE(C9543," ",""),3))&amp;"-"&amp;TEXT(B9543,"AAMMDD")&amp;"-1")</f>
        <v/>
      </c>
    </row>
    <row r="9544" spans="20:20">
      <c r="T9544" t="str">
        <f>IF(C9544="","",UPPER(LEFT(SUBSTITUTE(C9544," ",""),3))&amp;"-"&amp;TEXT(B9544,"AAMMDD")&amp;"-1")</f>
        <v/>
      </c>
    </row>
    <row r="9545" spans="20:20">
      <c r="T9545" t="str">
        <f>IF(C9545="","",UPPER(LEFT(SUBSTITUTE(C9545," ",""),3))&amp;"-"&amp;TEXT(B9545,"AAMMDD")&amp;"-1")</f>
        <v/>
      </c>
    </row>
    <row r="9546" spans="20:20">
      <c r="T9546" t="str">
        <f>IF(C9546="","",UPPER(LEFT(SUBSTITUTE(C9546," ",""),3))&amp;"-"&amp;TEXT(B9546,"AAMMDD")&amp;"-1")</f>
        <v/>
      </c>
    </row>
    <row r="9547" spans="20:20">
      <c r="T9547" t="str">
        <f>IF(C9547="","",UPPER(LEFT(SUBSTITUTE(C9547," ",""),3))&amp;"-"&amp;TEXT(B9547,"AAMMDD")&amp;"-1")</f>
        <v/>
      </c>
    </row>
    <row r="9548" spans="20:20">
      <c r="T9548" t="str">
        <f>IF(C9548="","",UPPER(LEFT(SUBSTITUTE(C9548," ",""),3))&amp;"-"&amp;TEXT(B9548,"AAMMDD")&amp;"-1")</f>
        <v/>
      </c>
    </row>
    <row r="9549" spans="20:20">
      <c r="T9549" t="str">
        <f>IF(C9549="","",UPPER(LEFT(SUBSTITUTE(C9549," ",""),3))&amp;"-"&amp;TEXT(B9549,"AAMMDD")&amp;"-1")</f>
        <v/>
      </c>
    </row>
    <row r="9550" spans="20:20">
      <c r="T9550" t="str">
        <f>IF(C9550="","",UPPER(LEFT(SUBSTITUTE(C9550," ",""),3))&amp;"-"&amp;TEXT(B9550,"AAMMDD")&amp;"-1")</f>
        <v/>
      </c>
    </row>
    <row r="9551" spans="20:20">
      <c r="T9551" t="str">
        <f>IF(C9551="","",UPPER(LEFT(SUBSTITUTE(C9551," ",""),3))&amp;"-"&amp;TEXT(B9551,"AAMMDD")&amp;"-1")</f>
        <v/>
      </c>
    </row>
    <row r="9552" spans="20:20">
      <c r="T9552" t="str">
        <f>IF(C9552="","",UPPER(LEFT(SUBSTITUTE(C9552," ",""),3))&amp;"-"&amp;TEXT(B9552,"AAMMDD")&amp;"-1")</f>
        <v/>
      </c>
    </row>
    <row r="9553" spans="20:20">
      <c r="T9553" t="str">
        <f>IF(C9553="","",UPPER(LEFT(SUBSTITUTE(C9553," ",""),3))&amp;"-"&amp;TEXT(B9553,"AAMMDD")&amp;"-1")</f>
        <v/>
      </c>
    </row>
    <row r="9554" spans="20:20">
      <c r="T9554" t="str">
        <f>IF(C9554="","",UPPER(LEFT(SUBSTITUTE(C9554," ",""),3))&amp;"-"&amp;TEXT(B9554,"AAMMDD")&amp;"-1")</f>
        <v/>
      </c>
    </row>
    <row r="9555" spans="20:20">
      <c r="T9555" t="str">
        <f>IF(C9555="","",UPPER(LEFT(SUBSTITUTE(C9555," ",""),3))&amp;"-"&amp;TEXT(B9555,"AAMMDD")&amp;"-1")</f>
        <v/>
      </c>
    </row>
    <row r="9556" spans="20:20">
      <c r="T9556" t="str">
        <f>IF(C9556="","",UPPER(LEFT(SUBSTITUTE(C9556," ",""),3))&amp;"-"&amp;TEXT(B9556,"AAMMDD")&amp;"-1")</f>
        <v/>
      </c>
    </row>
    <row r="9557" spans="20:20">
      <c r="T9557" t="str">
        <f>IF(C9557="","",UPPER(LEFT(SUBSTITUTE(C9557," ",""),3))&amp;"-"&amp;TEXT(B9557,"AAMMDD")&amp;"-1")</f>
        <v/>
      </c>
    </row>
    <row r="9558" spans="20:20">
      <c r="T9558" t="str">
        <f>IF(C9558="","",UPPER(LEFT(SUBSTITUTE(C9558," ",""),3))&amp;"-"&amp;TEXT(B9558,"AAMMDD")&amp;"-1")</f>
        <v/>
      </c>
    </row>
    <row r="9559" spans="20:20">
      <c r="T9559" t="str">
        <f>IF(C9559="","",UPPER(LEFT(SUBSTITUTE(C9559," ",""),3))&amp;"-"&amp;TEXT(B9559,"AAMMDD")&amp;"-1")</f>
        <v/>
      </c>
    </row>
    <row r="9560" spans="20:20">
      <c r="T9560" t="str">
        <f>IF(C9560="","",UPPER(LEFT(SUBSTITUTE(C9560," ",""),3))&amp;"-"&amp;TEXT(B9560,"AAMMDD")&amp;"-1")</f>
        <v/>
      </c>
    </row>
    <row r="9561" spans="20:20">
      <c r="T9561" t="str">
        <f>IF(C9561="","",UPPER(LEFT(SUBSTITUTE(C9561," ",""),3))&amp;"-"&amp;TEXT(B9561,"AAMMDD")&amp;"-1")</f>
        <v/>
      </c>
    </row>
    <row r="9562" spans="20:20">
      <c r="T9562" t="str">
        <f>IF(C9562="","",UPPER(LEFT(SUBSTITUTE(C9562," ",""),3))&amp;"-"&amp;TEXT(B9562,"AAMMDD")&amp;"-1")</f>
        <v/>
      </c>
    </row>
    <row r="9563" spans="20:20">
      <c r="T9563" t="str">
        <f>IF(C9563="","",UPPER(LEFT(SUBSTITUTE(C9563," ",""),3))&amp;"-"&amp;TEXT(B9563,"AAMMDD")&amp;"-1")</f>
        <v/>
      </c>
    </row>
    <row r="9564" spans="20:20">
      <c r="T9564" t="str">
        <f>IF(C9564="","",UPPER(LEFT(SUBSTITUTE(C9564," ",""),3))&amp;"-"&amp;TEXT(B9564,"AAMMDD")&amp;"-1")</f>
        <v/>
      </c>
    </row>
    <row r="9565" spans="20:20">
      <c r="T9565" t="str">
        <f>IF(C9565="","",UPPER(LEFT(SUBSTITUTE(C9565," ",""),3))&amp;"-"&amp;TEXT(B9565,"AAMMDD")&amp;"-1")</f>
        <v/>
      </c>
    </row>
    <row r="9566" spans="20:20">
      <c r="T9566" t="str">
        <f>IF(C9566="","",UPPER(LEFT(SUBSTITUTE(C9566," ",""),3))&amp;"-"&amp;TEXT(B9566,"AAMMDD")&amp;"-1")</f>
        <v/>
      </c>
    </row>
    <row r="9567" spans="20:20">
      <c r="T9567" t="str">
        <f>IF(C9567="","",UPPER(LEFT(SUBSTITUTE(C9567," ",""),3))&amp;"-"&amp;TEXT(B9567,"AAMMDD")&amp;"-1")</f>
        <v/>
      </c>
    </row>
    <row r="9568" spans="20:20">
      <c r="T9568" t="str">
        <f>IF(C9568="","",UPPER(LEFT(SUBSTITUTE(C9568," ",""),3))&amp;"-"&amp;TEXT(B9568,"AAMMDD")&amp;"-1")</f>
        <v/>
      </c>
    </row>
    <row r="9569" spans="20:20">
      <c r="T9569" t="str">
        <f>IF(C9569="","",UPPER(LEFT(SUBSTITUTE(C9569," ",""),3))&amp;"-"&amp;TEXT(B9569,"AAMMDD")&amp;"-1")</f>
        <v/>
      </c>
    </row>
    <row r="9570" spans="20:20">
      <c r="T9570" t="str">
        <f>IF(C9570="","",UPPER(LEFT(SUBSTITUTE(C9570," ",""),3))&amp;"-"&amp;TEXT(B9570,"AAMMDD")&amp;"-1")</f>
        <v/>
      </c>
    </row>
    <row r="9571" spans="20:20">
      <c r="T9571" t="str">
        <f>IF(C9571="","",UPPER(LEFT(SUBSTITUTE(C9571," ",""),3))&amp;"-"&amp;TEXT(B9571,"AAMMDD")&amp;"-1")</f>
        <v/>
      </c>
    </row>
    <row r="9572" spans="20:20">
      <c r="T9572" t="str">
        <f>IF(C9572="","",UPPER(LEFT(SUBSTITUTE(C9572," ",""),3))&amp;"-"&amp;TEXT(B9572,"AAMMDD")&amp;"-1")</f>
        <v/>
      </c>
    </row>
    <row r="9573" spans="20:20">
      <c r="T9573" t="str">
        <f>IF(C9573="","",UPPER(LEFT(SUBSTITUTE(C9573," ",""),3))&amp;"-"&amp;TEXT(B9573,"AAMMDD")&amp;"-1")</f>
        <v/>
      </c>
    </row>
    <row r="9574" spans="20:20">
      <c r="T9574" t="str">
        <f>IF(C9574="","",UPPER(LEFT(SUBSTITUTE(C9574," ",""),3))&amp;"-"&amp;TEXT(B9574,"AAMMDD")&amp;"-1")</f>
        <v/>
      </c>
    </row>
    <row r="9575" spans="20:20">
      <c r="T9575" t="str">
        <f>IF(C9575="","",UPPER(LEFT(SUBSTITUTE(C9575," ",""),3))&amp;"-"&amp;TEXT(B9575,"AAMMDD")&amp;"-1")</f>
        <v/>
      </c>
    </row>
    <row r="9576" spans="20:20">
      <c r="T9576" t="str">
        <f>IF(C9576="","",UPPER(LEFT(SUBSTITUTE(C9576," ",""),3))&amp;"-"&amp;TEXT(B9576,"AAMMDD")&amp;"-1")</f>
        <v/>
      </c>
    </row>
    <row r="9577" spans="20:20">
      <c r="T9577" t="str">
        <f>IF(C9577="","",UPPER(LEFT(SUBSTITUTE(C9577," ",""),3))&amp;"-"&amp;TEXT(B9577,"AAMMDD")&amp;"-1")</f>
        <v/>
      </c>
    </row>
    <row r="9578" spans="20:20">
      <c r="T9578" t="str">
        <f>IF(C9578="","",UPPER(LEFT(SUBSTITUTE(C9578," ",""),3))&amp;"-"&amp;TEXT(B9578,"AAMMDD")&amp;"-1")</f>
        <v/>
      </c>
    </row>
    <row r="9579" spans="20:20">
      <c r="T9579" t="str">
        <f>IF(C9579="","",UPPER(LEFT(SUBSTITUTE(C9579," ",""),3))&amp;"-"&amp;TEXT(B9579,"AAMMDD")&amp;"-1")</f>
        <v/>
      </c>
    </row>
    <row r="9580" spans="20:20">
      <c r="T9580" t="str">
        <f>IF(C9580="","",UPPER(LEFT(SUBSTITUTE(C9580," ",""),3))&amp;"-"&amp;TEXT(B9580,"AAMMDD")&amp;"-1")</f>
        <v/>
      </c>
    </row>
    <row r="9581" spans="20:20">
      <c r="T9581" t="str">
        <f>IF(C9581="","",UPPER(LEFT(SUBSTITUTE(C9581," ",""),3))&amp;"-"&amp;TEXT(B9581,"AAMMDD")&amp;"-1")</f>
        <v/>
      </c>
    </row>
    <row r="9582" spans="20:20">
      <c r="T9582" t="str">
        <f>IF(C9582="","",UPPER(LEFT(SUBSTITUTE(C9582," ",""),3))&amp;"-"&amp;TEXT(B9582,"AAMMDD")&amp;"-1")</f>
        <v/>
      </c>
    </row>
    <row r="9583" spans="20:20">
      <c r="T9583" t="str">
        <f>IF(C9583="","",UPPER(LEFT(SUBSTITUTE(C9583," ",""),3))&amp;"-"&amp;TEXT(B9583,"AAMMDD")&amp;"-1")</f>
        <v/>
      </c>
    </row>
    <row r="9584" spans="20:20">
      <c r="T9584" t="str">
        <f>IF(C9584="","",UPPER(LEFT(SUBSTITUTE(C9584," ",""),3))&amp;"-"&amp;TEXT(B9584,"AAMMDD")&amp;"-1")</f>
        <v/>
      </c>
    </row>
    <row r="9585" spans="20:20">
      <c r="T9585" t="str">
        <f>IF(C9585="","",UPPER(LEFT(SUBSTITUTE(C9585," ",""),3))&amp;"-"&amp;TEXT(B9585,"AAMMDD")&amp;"-1")</f>
        <v/>
      </c>
    </row>
    <row r="9586" spans="20:20">
      <c r="T9586" t="str">
        <f>IF(C9586="","",UPPER(LEFT(SUBSTITUTE(C9586," ",""),3))&amp;"-"&amp;TEXT(B9586,"AAMMDD")&amp;"-1")</f>
        <v/>
      </c>
    </row>
    <row r="9587" spans="20:20">
      <c r="T9587" t="str">
        <f>IF(C9587="","",UPPER(LEFT(SUBSTITUTE(C9587," ",""),3))&amp;"-"&amp;TEXT(B9587,"AAMMDD")&amp;"-1")</f>
        <v/>
      </c>
    </row>
    <row r="9588" spans="20:20">
      <c r="T9588" t="str">
        <f>IF(C9588="","",UPPER(LEFT(SUBSTITUTE(C9588," ",""),3))&amp;"-"&amp;TEXT(B9588,"AAMMDD")&amp;"-1")</f>
        <v/>
      </c>
    </row>
    <row r="9589" spans="20:20">
      <c r="T9589" t="str">
        <f>IF(C9589="","",UPPER(LEFT(SUBSTITUTE(C9589," ",""),3))&amp;"-"&amp;TEXT(B9589,"AAMMDD")&amp;"-1")</f>
        <v/>
      </c>
    </row>
    <row r="9590" spans="20:20">
      <c r="T9590" t="str">
        <f>IF(C9590="","",UPPER(LEFT(SUBSTITUTE(C9590," ",""),3))&amp;"-"&amp;TEXT(B9590,"AAMMDD")&amp;"-1")</f>
        <v/>
      </c>
    </row>
    <row r="9591" spans="20:20">
      <c r="T9591" t="str">
        <f>IF(C9591="","",UPPER(LEFT(SUBSTITUTE(C9591," ",""),3))&amp;"-"&amp;TEXT(B9591,"AAMMDD")&amp;"-1")</f>
        <v/>
      </c>
    </row>
    <row r="9592" spans="20:20">
      <c r="T9592" t="str">
        <f>IF(C9592="","",UPPER(LEFT(SUBSTITUTE(C9592," ",""),3))&amp;"-"&amp;TEXT(B9592,"AAMMDD")&amp;"-1")</f>
        <v/>
      </c>
    </row>
    <row r="9593" spans="20:20">
      <c r="T9593" t="str">
        <f>IF(C9593="","",UPPER(LEFT(SUBSTITUTE(C9593," ",""),3))&amp;"-"&amp;TEXT(B9593,"AAMMDD")&amp;"-1")</f>
        <v/>
      </c>
    </row>
    <row r="9594" spans="20:20">
      <c r="T9594" t="str">
        <f>IF(C9594="","",UPPER(LEFT(SUBSTITUTE(C9594," ",""),3))&amp;"-"&amp;TEXT(B9594,"AAMMDD")&amp;"-1")</f>
        <v/>
      </c>
    </row>
    <row r="9595" spans="20:20">
      <c r="T9595" t="str">
        <f>IF(C9595="","",UPPER(LEFT(SUBSTITUTE(C9595," ",""),3))&amp;"-"&amp;TEXT(B9595,"AAMMDD")&amp;"-1")</f>
        <v/>
      </c>
    </row>
    <row r="9596" spans="20:20">
      <c r="T9596" t="str">
        <f>IF(C9596="","",UPPER(LEFT(SUBSTITUTE(C9596," ",""),3))&amp;"-"&amp;TEXT(B9596,"AAMMDD")&amp;"-1")</f>
        <v/>
      </c>
    </row>
    <row r="9597" spans="20:20">
      <c r="T9597" t="str">
        <f>IF(C9597="","",UPPER(LEFT(SUBSTITUTE(C9597," ",""),3))&amp;"-"&amp;TEXT(B9597,"AAMMDD")&amp;"-1")</f>
        <v/>
      </c>
    </row>
    <row r="9598" spans="20:20">
      <c r="T9598" t="str">
        <f>IF(C9598="","",UPPER(LEFT(SUBSTITUTE(C9598," ",""),3))&amp;"-"&amp;TEXT(B9598,"AAMMDD")&amp;"-1")</f>
        <v/>
      </c>
    </row>
    <row r="9599" spans="20:20">
      <c r="T9599" t="str">
        <f>IF(C9599="","",UPPER(LEFT(SUBSTITUTE(C9599," ",""),3))&amp;"-"&amp;TEXT(B9599,"AAMMDD")&amp;"-1")</f>
        <v/>
      </c>
    </row>
    <row r="9600" spans="20:20">
      <c r="T9600" t="str">
        <f>IF(C9600="","",UPPER(LEFT(SUBSTITUTE(C9600," ",""),3))&amp;"-"&amp;TEXT(B9600,"AAMMDD")&amp;"-1")</f>
        <v/>
      </c>
    </row>
    <row r="9601" spans="20:20">
      <c r="T9601" t="str">
        <f>IF(C9601="","",UPPER(LEFT(SUBSTITUTE(C9601," ",""),3))&amp;"-"&amp;TEXT(B9601,"AAMMDD")&amp;"-1")</f>
        <v/>
      </c>
    </row>
    <row r="9602" spans="20:20">
      <c r="T9602" t="str">
        <f>IF(C9602="","",UPPER(LEFT(SUBSTITUTE(C9602," ",""),3))&amp;"-"&amp;TEXT(B9602,"AAMMDD")&amp;"-1")</f>
        <v/>
      </c>
    </row>
    <row r="9603" spans="20:20">
      <c r="T9603" t="str">
        <f>IF(C9603="","",UPPER(LEFT(SUBSTITUTE(C9603," ",""),3))&amp;"-"&amp;TEXT(B9603,"AAMMDD")&amp;"-1")</f>
        <v/>
      </c>
    </row>
    <row r="9604" spans="20:20">
      <c r="T9604" t="str">
        <f>IF(C9604="","",UPPER(LEFT(SUBSTITUTE(C9604," ",""),3))&amp;"-"&amp;TEXT(B9604,"AAMMDD")&amp;"-1")</f>
        <v/>
      </c>
    </row>
    <row r="9605" spans="20:20">
      <c r="T9605" t="str">
        <f>IF(C9605="","",UPPER(LEFT(SUBSTITUTE(C9605," ",""),3))&amp;"-"&amp;TEXT(B9605,"AAMMDD")&amp;"-1")</f>
        <v/>
      </c>
    </row>
    <row r="9606" spans="20:20">
      <c r="T9606" t="str">
        <f>IF(C9606="","",UPPER(LEFT(SUBSTITUTE(C9606," ",""),3))&amp;"-"&amp;TEXT(B9606,"AAMMDD")&amp;"-1")</f>
        <v/>
      </c>
    </row>
    <row r="9607" spans="20:20">
      <c r="T9607" t="str">
        <f>IF(C9607="","",UPPER(LEFT(SUBSTITUTE(C9607," ",""),3))&amp;"-"&amp;TEXT(B9607,"AAMMDD")&amp;"-1")</f>
        <v/>
      </c>
    </row>
    <row r="9608" spans="20:20">
      <c r="T9608" t="str">
        <f>IF(C9608="","",UPPER(LEFT(SUBSTITUTE(C9608," ",""),3))&amp;"-"&amp;TEXT(B9608,"AAMMDD")&amp;"-1")</f>
        <v/>
      </c>
    </row>
    <row r="9609" spans="20:20">
      <c r="T9609" t="str">
        <f>IF(C9609="","",UPPER(LEFT(SUBSTITUTE(C9609," ",""),3))&amp;"-"&amp;TEXT(B9609,"AAMMDD")&amp;"-1")</f>
        <v/>
      </c>
    </row>
    <row r="9610" spans="20:20">
      <c r="T9610" t="str">
        <f>IF(C9610="","",UPPER(LEFT(SUBSTITUTE(C9610," ",""),3))&amp;"-"&amp;TEXT(B9610,"AAMMDD")&amp;"-1")</f>
        <v/>
      </c>
    </row>
    <row r="9611" spans="20:20">
      <c r="T9611" t="str">
        <f>IF(C9611="","",UPPER(LEFT(SUBSTITUTE(C9611," ",""),3))&amp;"-"&amp;TEXT(B9611,"AAMMDD")&amp;"-1")</f>
        <v/>
      </c>
    </row>
    <row r="9612" spans="20:20">
      <c r="T9612" t="str">
        <f>IF(C9612="","",UPPER(LEFT(SUBSTITUTE(C9612," ",""),3))&amp;"-"&amp;TEXT(B9612,"AAMMDD")&amp;"-1")</f>
        <v/>
      </c>
    </row>
    <row r="9613" spans="20:20">
      <c r="T9613" t="str">
        <f>IF(C9613="","",UPPER(LEFT(SUBSTITUTE(C9613," ",""),3))&amp;"-"&amp;TEXT(B9613,"AAMMDD")&amp;"-1")</f>
        <v/>
      </c>
    </row>
    <row r="9614" spans="20:20">
      <c r="T9614" t="str">
        <f>IF(C9614="","",UPPER(LEFT(SUBSTITUTE(C9614," ",""),3))&amp;"-"&amp;TEXT(B9614,"AAMMDD")&amp;"-1")</f>
        <v/>
      </c>
    </row>
    <row r="9615" spans="20:20">
      <c r="T9615" t="str">
        <f>IF(C9615="","",UPPER(LEFT(SUBSTITUTE(C9615," ",""),3))&amp;"-"&amp;TEXT(B9615,"AAMMDD")&amp;"-1")</f>
        <v/>
      </c>
    </row>
    <row r="9616" spans="20:20">
      <c r="T9616" t="str">
        <f>IF(C9616="","",UPPER(LEFT(SUBSTITUTE(C9616," ",""),3))&amp;"-"&amp;TEXT(B9616,"AAMMDD")&amp;"-1")</f>
        <v/>
      </c>
    </row>
    <row r="9617" spans="20:20">
      <c r="T9617" t="str">
        <f>IF(C9617="","",UPPER(LEFT(SUBSTITUTE(C9617," ",""),3))&amp;"-"&amp;TEXT(B9617,"AAMMDD")&amp;"-1")</f>
        <v/>
      </c>
    </row>
    <row r="9618" spans="20:20">
      <c r="T9618" t="str">
        <f>IF(C9618="","",UPPER(LEFT(SUBSTITUTE(C9618," ",""),3))&amp;"-"&amp;TEXT(B9618,"AAMMDD")&amp;"-1")</f>
        <v/>
      </c>
    </row>
    <row r="9619" spans="20:20">
      <c r="T9619" t="str">
        <f>IF(C9619="","",UPPER(LEFT(SUBSTITUTE(C9619," ",""),3))&amp;"-"&amp;TEXT(B9619,"AAMMDD")&amp;"-1")</f>
        <v/>
      </c>
    </row>
    <row r="9620" spans="20:20">
      <c r="T9620" t="str">
        <f>IF(C9620="","",UPPER(LEFT(SUBSTITUTE(C9620," ",""),3))&amp;"-"&amp;TEXT(B9620,"AAMMDD")&amp;"-1")</f>
        <v/>
      </c>
    </row>
    <row r="9621" spans="20:20">
      <c r="T9621" t="str">
        <f>IF(C9621="","",UPPER(LEFT(SUBSTITUTE(C9621," ",""),3))&amp;"-"&amp;TEXT(B9621,"AAMMDD")&amp;"-1")</f>
        <v/>
      </c>
    </row>
    <row r="9622" spans="20:20">
      <c r="T9622" t="str">
        <f>IF(C9622="","",UPPER(LEFT(SUBSTITUTE(C9622," ",""),3))&amp;"-"&amp;TEXT(B9622,"AAMMDD")&amp;"-1")</f>
        <v/>
      </c>
    </row>
    <row r="9623" spans="20:20">
      <c r="T9623" t="str">
        <f>IF(C9623="","",UPPER(LEFT(SUBSTITUTE(C9623," ",""),3))&amp;"-"&amp;TEXT(B9623,"AAMMDD")&amp;"-1")</f>
        <v/>
      </c>
    </row>
    <row r="9624" spans="20:20">
      <c r="T9624" t="str">
        <f>IF(C9624="","",UPPER(LEFT(SUBSTITUTE(C9624," ",""),3))&amp;"-"&amp;TEXT(B9624,"AAMMDD")&amp;"-1")</f>
        <v/>
      </c>
    </row>
    <row r="9625" spans="20:20">
      <c r="T9625" t="str">
        <f>IF(C9625="","",UPPER(LEFT(SUBSTITUTE(C9625," ",""),3))&amp;"-"&amp;TEXT(B9625,"AAMMDD")&amp;"-1")</f>
        <v/>
      </c>
    </row>
    <row r="9626" spans="20:20">
      <c r="T9626" t="str">
        <f>IF(C9626="","",UPPER(LEFT(SUBSTITUTE(C9626," ",""),3))&amp;"-"&amp;TEXT(B9626,"AAMMDD")&amp;"-1")</f>
        <v/>
      </c>
    </row>
    <row r="9627" spans="20:20">
      <c r="T9627" t="str">
        <f>IF(C9627="","",UPPER(LEFT(SUBSTITUTE(C9627," ",""),3))&amp;"-"&amp;TEXT(B9627,"AAMMDD")&amp;"-1")</f>
        <v/>
      </c>
    </row>
    <row r="9628" spans="20:20">
      <c r="T9628" t="str">
        <f>IF(C9628="","",UPPER(LEFT(SUBSTITUTE(C9628," ",""),3))&amp;"-"&amp;TEXT(B9628,"AAMMDD")&amp;"-1")</f>
        <v/>
      </c>
    </row>
    <row r="9629" spans="20:20">
      <c r="T9629" t="str">
        <f>IF(C9629="","",UPPER(LEFT(SUBSTITUTE(C9629," ",""),3))&amp;"-"&amp;TEXT(B9629,"AAMMDD")&amp;"-1")</f>
        <v/>
      </c>
    </row>
    <row r="9630" spans="20:20">
      <c r="T9630" t="str">
        <f>IF(C9630="","",UPPER(LEFT(SUBSTITUTE(C9630," ",""),3))&amp;"-"&amp;TEXT(B9630,"AAMMDD")&amp;"-1")</f>
        <v/>
      </c>
    </row>
    <row r="9631" spans="20:20">
      <c r="T9631" t="str">
        <f>IF(C9631="","",UPPER(LEFT(SUBSTITUTE(C9631," ",""),3))&amp;"-"&amp;TEXT(B9631,"AAMMDD")&amp;"-1")</f>
        <v/>
      </c>
    </row>
    <row r="9632" spans="20:20">
      <c r="T9632" t="str">
        <f>IF(C9632="","",UPPER(LEFT(SUBSTITUTE(C9632," ",""),3))&amp;"-"&amp;TEXT(B9632,"AAMMDD")&amp;"-1")</f>
        <v/>
      </c>
    </row>
    <row r="9633" spans="20:20">
      <c r="T9633" t="str">
        <f>IF(C9633="","",UPPER(LEFT(SUBSTITUTE(C9633," ",""),3))&amp;"-"&amp;TEXT(B9633,"AAMMDD")&amp;"-1")</f>
        <v/>
      </c>
    </row>
    <row r="9634" spans="20:20">
      <c r="T9634" t="str">
        <f>IF(C9634="","",UPPER(LEFT(SUBSTITUTE(C9634," ",""),3))&amp;"-"&amp;TEXT(B9634,"AAMMDD")&amp;"-1")</f>
        <v/>
      </c>
    </row>
    <row r="9635" spans="20:20">
      <c r="T9635" t="str">
        <f>IF(C9635="","",UPPER(LEFT(SUBSTITUTE(C9635," ",""),3))&amp;"-"&amp;TEXT(B9635,"AAMMDD")&amp;"-1")</f>
        <v/>
      </c>
    </row>
    <row r="9636" spans="20:20">
      <c r="T9636" t="str">
        <f>IF(C9636="","",UPPER(LEFT(SUBSTITUTE(C9636," ",""),3))&amp;"-"&amp;TEXT(B9636,"AAMMDD")&amp;"-1")</f>
        <v/>
      </c>
    </row>
    <row r="9637" spans="20:20">
      <c r="T9637" t="str">
        <f>IF(C9637="","",UPPER(LEFT(SUBSTITUTE(C9637," ",""),3))&amp;"-"&amp;TEXT(B9637,"AAMMDD")&amp;"-1")</f>
        <v/>
      </c>
    </row>
    <row r="9638" spans="20:20">
      <c r="T9638" t="str">
        <f>IF(C9638="","",UPPER(LEFT(SUBSTITUTE(C9638," ",""),3))&amp;"-"&amp;TEXT(B9638,"AAMMDD")&amp;"-1")</f>
        <v/>
      </c>
    </row>
    <row r="9639" spans="20:20">
      <c r="T9639" t="str">
        <f>IF(C9639="","",UPPER(LEFT(SUBSTITUTE(C9639," ",""),3))&amp;"-"&amp;TEXT(B9639,"AAMMDD")&amp;"-1")</f>
        <v/>
      </c>
    </row>
    <row r="9640" spans="20:20">
      <c r="T9640" t="str">
        <f>IF(C9640="","",UPPER(LEFT(SUBSTITUTE(C9640," ",""),3))&amp;"-"&amp;TEXT(B9640,"AAMMDD")&amp;"-1")</f>
        <v/>
      </c>
    </row>
    <row r="9641" spans="20:20">
      <c r="T9641" t="str">
        <f>IF(C9641="","",UPPER(LEFT(SUBSTITUTE(C9641," ",""),3))&amp;"-"&amp;TEXT(B9641,"AAMMDD")&amp;"-1")</f>
        <v/>
      </c>
    </row>
    <row r="9642" spans="20:20">
      <c r="T9642" t="str">
        <f>IF(C9642="","",UPPER(LEFT(SUBSTITUTE(C9642," ",""),3))&amp;"-"&amp;TEXT(B9642,"AAMMDD")&amp;"-1")</f>
        <v/>
      </c>
    </row>
    <row r="9643" spans="20:20">
      <c r="T9643" t="str">
        <f>IF(C9643="","",UPPER(LEFT(SUBSTITUTE(C9643," ",""),3))&amp;"-"&amp;TEXT(B9643,"AAMMDD")&amp;"-1")</f>
        <v/>
      </c>
    </row>
    <row r="9644" spans="20:20">
      <c r="T9644" t="str">
        <f>IF(C9644="","",UPPER(LEFT(SUBSTITUTE(C9644," ",""),3))&amp;"-"&amp;TEXT(B9644,"AAMMDD")&amp;"-1")</f>
        <v/>
      </c>
    </row>
    <row r="9645" spans="20:20">
      <c r="T9645" t="str">
        <f>IF(C9645="","",UPPER(LEFT(SUBSTITUTE(C9645," ",""),3))&amp;"-"&amp;TEXT(B9645,"AAMMDD")&amp;"-1")</f>
        <v/>
      </c>
    </row>
    <row r="9646" spans="20:20">
      <c r="T9646" t="str">
        <f>IF(C9646="","",UPPER(LEFT(SUBSTITUTE(C9646," ",""),3))&amp;"-"&amp;TEXT(B9646,"AAMMDD")&amp;"-1")</f>
        <v/>
      </c>
    </row>
    <row r="9647" spans="20:20">
      <c r="T9647" t="str">
        <f>IF(C9647="","",UPPER(LEFT(SUBSTITUTE(C9647," ",""),3))&amp;"-"&amp;TEXT(B9647,"AAMMDD")&amp;"-1")</f>
        <v/>
      </c>
    </row>
    <row r="9648" spans="20:20">
      <c r="T9648" t="str">
        <f>IF(C9648="","",UPPER(LEFT(SUBSTITUTE(C9648," ",""),3))&amp;"-"&amp;TEXT(B9648,"AAMMDD")&amp;"-1")</f>
        <v/>
      </c>
    </row>
    <row r="9649" spans="20:20">
      <c r="T9649" t="str">
        <f>IF(C9649="","",UPPER(LEFT(SUBSTITUTE(C9649," ",""),3))&amp;"-"&amp;TEXT(B9649,"AAMMDD")&amp;"-1")</f>
        <v/>
      </c>
    </row>
    <row r="9650" spans="20:20">
      <c r="T9650" t="str">
        <f>IF(C9650="","",UPPER(LEFT(SUBSTITUTE(C9650," ",""),3))&amp;"-"&amp;TEXT(B9650,"AAMMDD")&amp;"-1")</f>
        <v/>
      </c>
    </row>
    <row r="9651" spans="20:20">
      <c r="T9651" t="str">
        <f>IF(C9651="","",UPPER(LEFT(SUBSTITUTE(C9651," ",""),3))&amp;"-"&amp;TEXT(B9651,"AAMMDD")&amp;"-1")</f>
        <v/>
      </c>
    </row>
    <row r="9652" spans="20:20">
      <c r="T9652" t="str">
        <f>IF(C9652="","",UPPER(LEFT(SUBSTITUTE(C9652," ",""),3))&amp;"-"&amp;TEXT(B9652,"AAMMDD")&amp;"-1")</f>
        <v/>
      </c>
    </row>
    <row r="9653" spans="20:20">
      <c r="T9653" t="str">
        <f>IF(C9653="","",UPPER(LEFT(SUBSTITUTE(C9653," ",""),3))&amp;"-"&amp;TEXT(B9653,"AAMMDD")&amp;"-1")</f>
        <v/>
      </c>
    </row>
    <row r="9654" spans="20:20">
      <c r="T9654" t="str">
        <f>IF(C9654="","",UPPER(LEFT(SUBSTITUTE(C9654," ",""),3))&amp;"-"&amp;TEXT(B9654,"AAMMDD")&amp;"-1")</f>
        <v/>
      </c>
    </row>
    <row r="9655" spans="20:20">
      <c r="T9655" t="str">
        <f>IF(C9655="","",UPPER(LEFT(SUBSTITUTE(C9655," ",""),3))&amp;"-"&amp;TEXT(B9655,"AAMMDD")&amp;"-1")</f>
        <v/>
      </c>
    </row>
    <row r="9656" spans="20:20">
      <c r="T9656" t="str">
        <f>IF(C9656="","",UPPER(LEFT(SUBSTITUTE(C9656," ",""),3))&amp;"-"&amp;TEXT(B9656,"AAMMDD")&amp;"-1")</f>
        <v/>
      </c>
    </row>
    <row r="9657" spans="20:20">
      <c r="T9657" t="str">
        <f>IF(C9657="","",UPPER(LEFT(SUBSTITUTE(C9657," ",""),3))&amp;"-"&amp;TEXT(B9657,"AAMMDD")&amp;"-1")</f>
        <v/>
      </c>
    </row>
    <row r="9658" spans="20:20">
      <c r="T9658" t="str">
        <f>IF(C9658="","",UPPER(LEFT(SUBSTITUTE(C9658," ",""),3))&amp;"-"&amp;TEXT(B9658,"AAMMDD")&amp;"-1")</f>
        <v/>
      </c>
    </row>
    <row r="9659" spans="20:20">
      <c r="T9659" t="str">
        <f>IF(C9659="","",UPPER(LEFT(SUBSTITUTE(C9659," ",""),3))&amp;"-"&amp;TEXT(B9659,"AAMMDD")&amp;"-1")</f>
        <v/>
      </c>
    </row>
    <row r="9660" spans="20:20">
      <c r="T9660" t="str">
        <f>IF(C9660="","",UPPER(LEFT(SUBSTITUTE(C9660," ",""),3))&amp;"-"&amp;TEXT(B9660,"AAMMDD")&amp;"-1")</f>
        <v/>
      </c>
    </row>
    <row r="9661" spans="20:20">
      <c r="T9661" t="str">
        <f>IF(C9661="","",UPPER(LEFT(SUBSTITUTE(C9661," ",""),3))&amp;"-"&amp;TEXT(B9661,"AAMMDD")&amp;"-1")</f>
        <v/>
      </c>
    </row>
    <row r="9662" spans="20:20">
      <c r="T9662" t="str">
        <f>IF(C9662="","",UPPER(LEFT(SUBSTITUTE(C9662," ",""),3))&amp;"-"&amp;TEXT(B9662,"AAMMDD")&amp;"-1")</f>
        <v/>
      </c>
    </row>
    <row r="9663" spans="20:20">
      <c r="T9663" t="str">
        <f>IF(C9663="","",UPPER(LEFT(SUBSTITUTE(C9663," ",""),3))&amp;"-"&amp;TEXT(B9663,"AAMMDD")&amp;"-1")</f>
        <v/>
      </c>
    </row>
    <row r="9664" spans="20:20">
      <c r="T9664" t="str">
        <f>IF(C9664="","",UPPER(LEFT(SUBSTITUTE(C9664," ",""),3))&amp;"-"&amp;TEXT(B9664,"AAMMDD")&amp;"-1")</f>
        <v/>
      </c>
    </row>
    <row r="9665" spans="20:20">
      <c r="T9665" t="str">
        <f>IF(C9665="","",UPPER(LEFT(SUBSTITUTE(C9665," ",""),3))&amp;"-"&amp;TEXT(B9665,"AAMMDD")&amp;"-1")</f>
        <v/>
      </c>
    </row>
    <row r="9666" spans="20:20">
      <c r="T9666" t="str">
        <f>IF(C9666="","",UPPER(LEFT(SUBSTITUTE(C9666," ",""),3))&amp;"-"&amp;TEXT(B9666,"AAMMDD")&amp;"-1")</f>
        <v/>
      </c>
    </row>
    <row r="9667" spans="20:20">
      <c r="T9667" t="str">
        <f>IF(C9667="","",UPPER(LEFT(SUBSTITUTE(C9667," ",""),3))&amp;"-"&amp;TEXT(B9667,"AAMMDD")&amp;"-1")</f>
        <v/>
      </c>
    </row>
    <row r="9668" spans="20:20">
      <c r="T9668" t="str">
        <f>IF(C9668="","",UPPER(LEFT(SUBSTITUTE(C9668," ",""),3))&amp;"-"&amp;TEXT(B9668,"AAMMDD")&amp;"-1")</f>
        <v/>
      </c>
    </row>
    <row r="9669" spans="20:20">
      <c r="T9669" t="str">
        <f>IF(C9669="","",UPPER(LEFT(SUBSTITUTE(C9669," ",""),3))&amp;"-"&amp;TEXT(B9669,"AAMMDD")&amp;"-1")</f>
        <v/>
      </c>
    </row>
    <row r="9670" spans="20:20">
      <c r="T9670" t="str">
        <f>IF(C9670="","",UPPER(LEFT(SUBSTITUTE(C9670," ",""),3))&amp;"-"&amp;TEXT(B9670,"AAMMDD")&amp;"-1")</f>
        <v/>
      </c>
    </row>
    <row r="9671" spans="20:20">
      <c r="T9671" t="str">
        <f>IF(C9671="","",UPPER(LEFT(SUBSTITUTE(C9671," ",""),3))&amp;"-"&amp;TEXT(B9671,"AAMMDD")&amp;"-1")</f>
        <v/>
      </c>
    </row>
    <row r="9672" spans="20:20">
      <c r="T9672" t="str">
        <f>IF(C9672="","",UPPER(LEFT(SUBSTITUTE(C9672," ",""),3))&amp;"-"&amp;TEXT(B9672,"AAMMDD")&amp;"-1")</f>
        <v/>
      </c>
    </row>
    <row r="9673" spans="20:20">
      <c r="T9673" t="str">
        <f>IF(C9673="","",UPPER(LEFT(SUBSTITUTE(C9673," ",""),3))&amp;"-"&amp;TEXT(B9673,"AAMMDD")&amp;"-1")</f>
        <v/>
      </c>
    </row>
    <row r="9674" spans="20:20">
      <c r="T9674" t="str">
        <f>IF(C9674="","",UPPER(LEFT(SUBSTITUTE(C9674," ",""),3))&amp;"-"&amp;TEXT(B9674,"AAMMDD")&amp;"-1")</f>
        <v/>
      </c>
    </row>
    <row r="9675" spans="20:20">
      <c r="T9675" t="str">
        <f>IF(C9675="","",UPPER(LEFT(SUBSTITUTE(C9675," ",""),3))&amp;"-"&amp;TEXT(B9675,"AAMMDD")&amp;"-1")</f>
        <v/>
      </c>
    </row>
    <row r="9676" spans="20:20">
      <c r="T9676" t="str">
        <f>IF(C9676="","",UPPER(LEFT(SUBSTITUTE(C9676," ",""),3))&amp;"-"&amp;TEXT(B9676,"AAMMDD")&amp;"-1")</f>
        <v/>
      </c>
    </row>
    <row r="9677" spans="20:20">
      <c r="T9677" t="str">
        <f>IF(C9677="","",UPPER(LEFT(SUBSTITUTE(C9677," ",""),3))&amp;"-"&amp;TEXT(B9677,"AAMMDD")&amp;"-1")</f>
        <v/>
      </c>
    </row>
    <row r="9678" spans="20:20">
      <c r="T9678" t="str">
        <f>IF(C9678="","",UPPER(LEFT(SUBSTITUTE(C9678," ",""),3))&amp;"-"&amp;TEXT(B9678,"AAMMDD")&amp;"-1")</f>
        <v/>
      </c>
    </row>
    <row r="9679" spans="20:20">
      <c r="T9679" t="str">
        <f>IF(C9679="","",UPPER(LEFT(SUBSTITUTE(C9679," ",""),3))&amp;"-"&amp;TEXT(B9679,"AAMMDD")&amp;"-1")</f>
        <v/>
      </c>
    </row>
    <row r="9680" spans="20:20">
      <c r="T9680" t="str">
        <f>IF(C9680="","",UPPER(LEFT(SUBSTITUTE(C9680," ",""),3))&amp;"-"&amp;TEXT(B9680,"AAMMDD")&amp;"-1")</f>
        <v/>
      </c>
    </row>
    <row r="9681" spans="20:20">
      <c r="T9681" t="str">
        <f>IF(C9681="","",UPPER(LEFT(SUBSTITUTE(C9681," ",""),3))&amp;"-"&amp;TEXT(B9681,"AAMMDD")&amp;"-1")</f>
        <v/>
      </c>
    </row>
    <row r="9682" spans="20:20">
      <c r="T9682" t="str">
        <f>IF(C9682="","",UPPER(LEFT(SUBSTITUTE(C9682," ",""),3))&amp;"-"&amp;TEXT(B9682,"AAMMDD")&amp;"-1")</f>
        <v/>
      </c>
    </row>
    <row r="9683" spans="20:20">
      <c r="T9683" t="str">
        <f>IF(C9683="","",UPPER(LEFT(SUBSTITUTE(C9683," ",""),3))&amp;"-"&amp;TEXT(B9683,"AAMMDD")&amp;"-1")</f>
        <v/>
      </c>
    </row>
    <row r="9684" spans="20:20">
      <c r="T9684" t="str">
        <f>IF(C9684="","",UPPER(LEFT(SUBSTITUTE(C9684," ",""),3))&amp;"-"&amp;TEXT(B9684,"AAMMDD")&amp;"-1")</f>
        <v/>
      </c>
    </row>
    <row r="9685" spans="20:20">
      <c r="T9685" t="str">
        <f>IF(C9685="","",UPPER(LEFT(SUBSTITUTE(C9685," ",""),3))&amp;"-"&amp;TEXT(B9685,"AAMMDD")&amp;"-1")</f>
        <v/>
      </c>
    </row>
    <row r="9686" spans="20:20">
      <c r="T9686" t="str">
        <f>IF(C9686="","",UPPER(LEFT(SUBSTITUTE(C9686," ",""),3))&amp;"-"&amp;TEXT(B9686,"AAMMDD")&amp;"-1")</f>
        <v/>
      </c>
    </row>
    <row r="9687" spans="20:20">
      <c r="T9687" t="str">
        <f>IF(C9687="","",UPPER(LEFT(SUBSTITUTE(C9687," ",""),3))&amp;"-"&amp;TEXT(B9687,"AAMMDD")&amp;"-1")</f>
        <v/>
      </c>
    </row>
    <row r="9688" spans="20:20">
      <c r="T9688" t="str">
        <f>IF(C9688="","",UPPER(LEFT(SUBSTITUTE(C9688," ",""),3))&amp;"-"&amp;TEXT(B9688,"AAMMDD")&amp;"-1")</f>
        <v/>
      </c>
    </row>
    <row r="9689" spans="20:20">
      <c r="T9689" t="str">
        <f>IF(C9689="","",UPPER(LEFT(SUBSTITUTE(C9689," ",""),3))&amp;"-"&amp;TEXT(B9689,"AAMMDD")&amp;"-1")</f>
        <v/>
      </c>
    </row>
    <row r="9690" spans="20:20">
      <c r="T9690" t="str">
        <f>IF(C9690="","",UPPER(LEFT(SUBSTITUTE(C9690," ",""),3))&amp;"-"&amp;TEXT(B9690,"AAMMDD")&amp;"-1")</f>
        <v/>
      </c>
    </row>
    <row r="9691" spans="20:20">
      <c r="T9691" t="str">
        <f>IF(C9691="","",UPPER(LEFT(SUBSTITUTE(C9691," ",""),3))&amp;"-"&amp;TEXT(B9691,"AAMMDD")&amp;"-1")</f>
        <v/>
      </c>
    </row>
    <row r="9692" spans="20:20">
      <c r="T9692" t="str">
        <f>IF(C9692="","",UPPER(LEFT(SUBSTITUTE(C9692," ",""),3))&amp;"-"&amp;TEXT(B9692,"AAMMDD")&amp;"-1")</f>
        <v/>
      </c>
    </row>
    <row r="9693" spans="20:20">
      <c r="T9693" t="str">
        <f>IF(C9693="","",UPPER(LEFT(SUBSTITUTE(C9693," ",""),3))&amp;"-"&amp;TEXT(B9693,"AAMMDD")&amp;"-1")</f>
        <v/>
      </c>
    </row>
    <row r="9694" spans="20:20">
      <c r="T9694" t="str">
        <f>IF(C9694="","",UPPER(LEFT(SUBSTITUTE(C9694," ",""),3))&amp;"-"&amp;TEXT(B9694,"AAMMDD")&amp;"-1")</f>
        <v/>
      </c>
    </row>
    <row r="9695" spans="20:20">
      <c r="T9695" t="str">
        <f>IF(C9695="","",UPPER(LEFT(SUBSTITUTE(C9695," ",""),3))&amp;"-"&amp;TEXT(B9695,"AAMMDD")&amp;"-1")</f>
        <v/>
      </c>
    </row>
    <row r="9696" spans="20:20">
      <c r="T9696" t="str">
        <f>IF(C9696="","",UPPER(LEFT(SUBSTITUTE(C9696," ",""),3))&amp;"-"&amp;TEXT(B9696,"AAMMDD")&amp;"-1")</f>
        <v/>
      </c>
    </row>
    <row r="9697" spans="20:20">
      <c r="T9697" t="str">
        <f>IF(C9697="","",UPPER(LEFT(SUBSTITUTE(C9697," ",""),3))&amp;"-"&amp;TEXT(B9697,"AAMMDD")&amp;"-1")</f>
        <v/>
      </c>
    </row>
    <row r="9698" spans="20:20">
      <c r="T9698" t="str">
        <f>IF(C9698="","",UPPER(LEFT(SUBSTITUTE(C9698," ",""),3))&amp;"-"&amp;TEXT(B9698,"AAMMDD")&amp;"-1")</f>
        <v/>
      </c>
    </row>
    <row r="9699" spans="20:20">
      <c r="T9699" t="str">
        <f>IF(C9699="","",UPPER(LEFT(SUBSTITUTE(C9699," ",""),3))&amp;"-"&amp;TEXT(B9699,"AAMMDD")&amp;"-1")</f>
        <v/>
      </c>
    </row>
    <row r="9700" spans="20:20">
      <c r="T9700" t="str">
        <f>IF(C9700="","",UPPER(LEFT(SUBSTITUTE(C9700," ",""),3))&amp;"-"&amp;TEXT(B9700,"AAMMDD")&amp;"-1")</f>
        <v/>
      </c>
    </row>
    <row r="9701" spans="20:20">
      <c r="T9701" t="str">
        <f>IF(C9701="","",UPPER(LEFT(SUBSTITUTE(C9701," ",""),3))&amp;"-"&amp;TEXT(B9701,"AAMMDD")&amp;"-1")</f>
        <v/>
      </c>
    </row>
    <row r="9702" spans="20:20">
      <c r="T9702" t="str">
        <f>IF(C9702="","",UPPER(LEFT(SUBSTITUTE(C9702," ",""),3))&amp;"-"&amp;TEXT(B9702,"AAMMDD")&amp;"-1")</f>
        <v/>
      </c>
    </row>
    <row r="9703" spans="20:20">
      <c r="T9703" t="str">
        <f>IF(C9703="","",UPPER(LEFT(SUBSTITUTE(C9703," ",""),3))&amp;"-"&amp;TEXT(B9703,"AAMMDD")&amp;"-1")</f>
        <v/>
      </c>
    </row>
    <row r="9704" spans="20:20">
      <c r="T9704" t="str">
        <f>IF(C9704="","",UPPER(LEFT(SUBSTITUTE(C9704," ",""),3))&amp;"-"&amp;TEXT(B9704,"AAMMDD")&amp;"-1")</f>
        <v/>
      </c>
    </row>
    <row r="9705" spans="20:20">
      <c r="T9705" t="str">
        <f>IF(C9705="","",UPPER(LEFT(SUBSTITUTE(C9705," ",""),3))&amp;"-"&amp;TEXT(B9705,"AAMMDD")&amp;"-1")</f>
        <v/>
      </c>
    </row>
    <row r="9706" spans="20:20">
      <c r="T9706" t="str">
        <f>IF(C9706="","",UPPER(LEFT(SUBSTITUTE(C9706," ",""),3))&amp;"-"&amp;TEXT(B9706,"AAMMDD")&amp;"-1")</f>
        <v/>
      </c>
    </row>
    <row r="9707" spans="20:20">
      <c r="T9707" t="str">
        <f>IF(C9707="","",UPPER(LEFT(SUBSTITUTE(C9707," ",""),3))&amp;"-"&amp;TEXT(B9707,"AAMMDD")&amp;"-1")</f>
        <v/>
      </c>
    </row>
    <row r="9708" spans="20:20">
      <c r="T9708" t="str">
        <f>IF(C9708="","",UPPER(LEFT(SUBSTITUTE(C9708," ",""),3))&amp;"-"&amp;TEXT(B9708,"AAMMDD")&amp;"-1")</f>
        <v/>
      </c>
    </row>
    <row r="9709" spans="20:20">
      <c r="T9709" t="str">
        <f>IF(C9709="","",UPPER(LEFT(SUBSTITUTE(C9709," ",""),3))&amp;"-"&amp;TEXT(B9709,"AAMMDD")&amp;"-1")</f>
        <v/>
      </c>
    </row>
    <row r="9710" spans="20:20">
      <c r="T9710" t="str">
        <f>IF(C9710="","",UPPER(LEFT(SUBSTITUTE(C9710," ",""),3))&amp;"-"&amp;TEXT(B9710,"AAMMDD")&amp;"-1")</f>
        <v/>
      </c>
    </row>
    <row r="9711" spans="20:20">
      <c r="T9711" t="str">
        <f>IF(C9711="","",UPPER(LEFT(SUBSTITUTE(C9711," ",""),3))&amp;"-"&amp;TEXT(B9711,"AAMMDD")&amp;"-1")</f>
        <v/>
      </c>
    </row>
    <row r="9712" spans="20:20">
      <c r="T9712" t="str">
        <f>IF(C9712="","",UPPER(LEFT(SUBSTITUTE(C9712," ",""),3))&amp;"-"&amp;TEXT(B9712,"AAMMDD")&amp;"-1")</f>
        <v/>
      </c>
    </row>
    <row r="9713" spans="20:20">
      <c r="T9713" t="str">
        <f>IF(C9713="","",UPPER(LEFT(SUBSTITUTE(C9713," ",""),3))&amp;"-"&amp;TEXT(B9713,"AAMMDD")&amp;"-1")</f>
        <v/>
      </c>
    </row>
    <row r="9714" spans="20:20">
      <c r="T9714" t="str">
        <f>IF(C9714="","",UPPER(LEFT(SUBSTITUTE(C9714," ",""),3))&amp;"-"&amp;TEXT(B9714,"AAMMDD")&amp;"-1")</f>
        <v/>
      </c>
    </row>
    <row r="9715" spans="20:20">
      <c r="T9715" t="str">
        <f>IF(C9715="","",UPPER(LEFT(SUBSTITUTE(C9715," ",""),3))&amp;"-"&amp;TEXT(B9715,"AAMMDD")&amp;"-1")</f>
        <v/>
      </c>
    </row>
    <row r="9716" spans="20:20">
      <c r="T9716" t="str">
        <f>IF(C9716="","",UPPER(LEFT(SUBSTITUTE(C9716," ",""),3))&amp;"-"&amp;TEXT(B9716,"AAMMDD")&amp;"-1")</f>
        <v/>
      </c>
    </row>
    <row r="9717" spans="20:20">
      <c r="T9717" t="str">
        <f>IF(C9717="","",UPPER(LEFT(SUBSTITUTE(C9717," ",""),3))&amp;"-"&amp;TEXT(B9717,"AAMMDD")&amp;"-1")</f>
        <v/>
      </c>
    </row>
    <row r="9718" spans="20:20">
      <c r="T9718" t="str">
        <f>IF(C9718="","",UPPER(LEFT(SUBSTITUTE(C9718," ",""),3))&amp;"-"&amp;TEXT(B9718,"AAMMDD")&amp;"-1")</f>
        <v/>
      </c>
    </row>
    <row r="9719" spans="20:20">
      <c r="T9719" t="str">
        <f>IF(C9719="","",UPPER(LEFT(SUBSTITUTE(C9719," ",""),3))&amp;"-"&amp;TEXT(B9719,"AAMMDD")&amp;"-1")</f>
        <v/>
      </c>
    </row>
    <row r="9720" spans="20:20">
      <c r="T9720" t="str">
        <f>IF(C9720="","",UPPER(LEFT(SUBSTITUTE(C9720," ",""),3))&amp;"-"&amp;TEXT(B9720,"AAMMDD")&amp;"-1")</f>
        <v/>
      </c>
    </row>
    <row r="9721" spans="20:20">
      <c r="T9721" t="str">
        <f>IF(C9721="","",UPPER(LEFT(SUBSTITUTE(C9721," ",""),3))&amp;"-"&amp;TEXT(B9721,"AAMMDD")&amp;"-1")</f>
        <v/>
      </c>
    </row>
    <row r="9722" spans="20:20">
      <c r="T9722" t="str">
        <f>IF(C9722="","",UPPER(LEFT(SUBSTITUTE(C9722," ",""),3))&amp;"-"&amp;TEXT(B9722,"AAMMDD")&amp;"-1")</f>
        <v/>
      </c>
    </row>
    <row r="9723" spans="20:20">
      <c r="T9723" t="str">
        <f>IF(C9723="","",UPPER(LEFT(SUBSTITUTE(C9723," ",""),3))&amp;"-"&amp;TEXT(B9723,"AAMMDD")&amp;"-1")</f>
        <v/>
      </c>
    </row>
    <row r="9724" spans="20:20">
      <c r="T9724" t="str">
        <f>IF(C9724="","",UPPER(LEFT(SUBSTITUTE(C9724," ",""),3))&amp;"-"&amp;TEXT(B9724,"AAMMDD")&amp;"-1")</f>
        <v/>
      </c>
    </row>
    <row r="9725" spans="20:20">
      <c r="T9725" t="str">
        <f>IF(C9725="","",UPPER(LEFT(SUBSTITUTE(C9725," ",""),3))&amp;"-"&amp;TEXT(B9725,"AAMMDD")&amp;"-1")</f>
        <v/>
      </c>
    </row>
    <row r="9726" spans="20:20">
      <c r="T9726" t="str">
        <f>IF(C9726="","",UPPER(LEFT(SUBSTITUTE(C9726," ",""),3))&amp;"-"&amp;TEXT(B9726,"AAMMDD")&amp;"-1")</f>
        <v/>
      </c>
    </row>
    <row r="9727" spans="20:20">
      <c r="T9727" t="str">
        <f>IF(C9727="","",UPPER(LEFT(SUBSTITUTE(C9727," ",""),3))&amp;"-"&amp;TEXT(B9727,"AAMMDD")&amp;"-1")</f>
        <v/>
      </c>
    </row>
    <row r="9728" spans="20:20">
      <c r="T9728" t="str">
        <f>IF(C9728="","",UPPER(LEFT(SUBSTITUTE(C9728," ",""),3))&amp;"-"&amp;TEXT(B9728,"AAMMDD")&amp;"-1")</f>
        <v/>
      </c>
    </row>
    <row r="9729" spans="20:20">
      <c r="T9729" t="str">
        <f>IF(C9729="","",UPPER(LEFT(SUBSTITUTE(C9729," ",""),3))&amp;"-"&amp;TEXT(B9729,"AAMMDD")&amp;"-1")</f>
        <v/>
      </c>
    </row>
    <row r="9730" spans="20:20">
      <c r="T9730" t="str">
        <f>IF(C9730="","",UPPER(LEFT(SUBSTITUTE(C9730," ",""),3))&amp;"-"&amp;TEXT(B9730,"AAMMDD")&amp;"-1")</f>
        <v/>
      </c>
    </row>
    <row r="9731" spans="20:20">
      <c r="T9731" t="str">
        <f>IF(C9731="","",UPPER(LEFT(SUBSTITUTE(C9731," ",""),3))&amp;"-"&amp;TEXT(B9731,"AAMMDD")&amp;"-1")</f>
        <v/>
      </c>
    </row>
    <row r="9732" spans="20:20">
      <c r="T9732" t="str">
        <f>IF(C9732="","",UPPER(LEFT(SUBSTITUTE(C9732," ",""),3))&amp;"-"&amp;TEXT(B9732,"AAMMDD")&amp;"-1")</f>
        <v/>
      </c>
    </row>
    <row r="9733" spans="20:20">
      <c r="T9733" t="str">
        <f>IF(C9733="","",UPPER(LEFT(SUBSTITUTE(C9733," ",""),3))&amp;"-"&amp;TEXT(B9733,"AAMMDD")&amp;"-1")</f>
        <v/>
      </c>
    </row>
    <row r="9734" spans="20:20">
      <c r="T9734" t="str">
        <f>IF(C9734="","",UPPER(LEFT(SUBSTITUTE(C9734," ",""),3))&amp;"-"&amp;TEXT(B9734,"AAMMDD")&amp;"-1")</f>
        <v/>
      </c>
    </row>
    <row r="9735" spans="20:20">
      <c r="T9735" t="str">
        <f>IF(C9735="","",UPPER(LEFT(SUBSTITUTE(C9735," ",""),3))&amp;"-"&amp;TEXT(B9735,"AAMMDD")&amp;"-1")</f>
        <v/>
      </c>
    </row>
    <row r="9736" spans="20:20">
      <c r="T9736" t="str">
        <f>IF(C9736="","",UPPER(LEFT(SUBSTITUTE(C9736," ",""),3))&amp;"-"&amp;TEXT(B9736,"AAMMDD")&amp;"-1")</f>
        <v/>
      </c>
    </row>
    <row r="9737" spans="20:20">
      <c r="T9737" t="str">
        <f>IF(C9737="","",UPPER(LEFT(SUBSTITUTE(C9737," ",""),3))&amp;"-"&amp;TEXT(B9737,"AAMMDD")&amp;"-1")</f>
        <v/>
      </c>
    </row>
    <row r="9738" spans="20:20">
      <c r="T9738" t="str">
        <f>IF(C9738="","",UPPER(LEFT(SUBSTITUTE(C9738," ",""),3))&amp;"-"&amp;TEXT(B9738,"AAMMDD")&amp;"-1")</f>
        <v/>
      </c>
    </row>
    <row r="9739" spans="20:20">
      <c r="T9739" t="str">
        <f>IF(C9739="","",UPPER(LEFT(SUBSTITUTE(C9739," ",""),3))&amp;"-"&amp;TEXT(B9739,"AAMMDD")&amp;"-1")</f>
        <v/>
      </c>
    </row>
    <row r="9740" spans="20:20">
      <c r="T9740" t="str">
        <f>IF(C9740="","",UPPER(LEFT(SUBSTITUTE(C9740," ",""),3))&amp;"-"&amp;TEXT(B9740,"AAMMDD")&amp;"-1")</f>
        <v/>
      </c>
    </row>
    <row r="9741" spans="20:20">
      <c r="T9741" t="str">
        <f>IF(C9741="","",UPPER(LEFT(SUBSTITUTE(C9741," ",""),3))&amp;"-"&amp;TEXT(B9741,"AAMMDD")&amp;"-1")</f>
        <v/>
      </c>
    </row>
    <row r="9742" spans="20:20">
      <c r="T9742" t="str">
        <f>IF(C9742="","",UPPER(LEFT(SUBSTITUTE(C9742," ",""),3))&amp;"-"&amp;TEXT(B9742,"AAMMDD")&amp;"-1")</f>
        <v/>
      </c>
    </row>
    <row r="9743" spans="20:20">
      <c r="T9743" t="str">
        <f>IF(C9743="","",UPPER(LEFT(SUBSTITUTE(C9743," ",""),3))&amp;"-"&amp;TEXT(B9743,"AAMMDD")&amp;"-1")</f>
        <v/>
      </c>
    </row>
    <row r="9744" spans="20:20">
      <c r="T9744" t="str">
        <f>IF(C9744="","",UPPER(LEFT(SUBSTITUTE(C9744," ",""),3))&amp;"-"&amp;TEXT(B9744,"AAMMDD")&amp;"-1")</f>
        <v/>
      </c>
    </row>
    <row r="9745" spans="20:20">
      <c r="T9745" t="str">
        <f>IF(C9745="","",UPPER(LEFT(SUBSTITUTE(C9745," ",""),3))&amp;"-"&amp;TEXT(B9745,"AAMMDD")&amp;"-1")</f>
        <v/>
      </c>
    </row>
    <row r="9746" spans="20:20">
      <c r="T9746" t="str">
        <f>IF(C9746="","",UPPER(LEFT(SUBSTITUTE(C9746," ",""),3))&amp;"-"&amp;TEXT(B9746,"AAMMDD")&amp;"-1")</f>
        <v/>
      </c>
    </row>
    <row r="9747" spans="20:20">
      <c r="T9747" t="str">
        <f>IF(C9747="","",UPPER(LEFT(SUBSTITUTE(C9747," ",""),3))&amp;"-"&amp;TEXT(B9747,"AAMMDD")&amp;"-1")</f>
        <v/>
      </c>
    </row>
    <row r="9748" spans="20:20">
      <c r="T9748" t="str">
        <f>IF(C9748="","",UPPER(LEFT(SUBSTITUTE(C9748," ",""),3))&amp;"-"&amp;TEXT(B9748,"AAMMDD")&amp;"-1")</f>
        <v/>
      </c>
    </row>
    <row r="9749" spans="20:20">
      <c r="T9749" t="str">
        <f>IF(C9749="","",UPPER(LEFT(SUBSTITUTE(C9749," ",""),3))&amp;"-"&amp;TEXT(B9749,"AAMMDD")&amp;"-1")</f>
        <v/>
      </c>
    </row>
    <row r="9750" spans="20:20">
      <c r="T9750" t="str">
        <f>IF(C9750="","",UPPER(LEFT(SUBSTITUTE(C9750," ",""),3))&amp;"-"&amp;TEXT(B9750,"AAMMDD")&amp;"-1")</f>
        <v/>
      </c>
    </row>
    <row r="9751" spans="20:20">
      <c r="T9751" t="str">
        <f>IF(C9751="","",UPPER(LEFT(SUBSTITUTE(C9751," ",""),3))&amp;"-"&amp;TEXT(B9751,"AAMMDD")&amp;"-1")</f>
        <v/>
      </c>
    </row>
    <row r="9752" spans="20:20">
      <c r="T9752" t="str">
        <f>IF(C9752="","",UPPER(LEFT(SUBSTITUTE(C9752," ",""),3))&amp;"-"&amp;TEXT(B9752,"AAMMDD")&amp;"-1")</f>
        <v/>
      </c>
    </row>
    <row r="9753" spans="20:20">
      <c r="T9753" t="str">
        <f>IF(C9753="","",UPPER(LEFT(SUBSTITUTE(C9753," ",""),3))&amp;"-"&amp;TEXT(B9753,"AAMMDD")&amp;"-1")</f>
        <v/>
      </c>
    </row>
    <row r="9754" spans="20:20">
      <c r="T9754" t="str">
        <f>IF(C9754="","",UPPER(LEFT(SUBSTITUTE(C9754," ",""),3))&amp;"-"&amp;TEXT(B9754,"AAMMDD")&amp;"-1")</f>
        <v/>
      </c>
    </row>
    <row r="9755" spans="20:20">
      <c r="T9755" t="str">
        <f>IF(C9755="","",UPPER(LEFT(SUBSTITUTE(C9755," ",""),3))&amp;"-"&amp;TEXT(B9755,"AAMMDD")&amp;"-1")</f>
        <v/>
      </c>
    </row>
    <row r="9756" spans="20:20">
      <c r="T9756" t="str">
        <f>IF(C9756="","",UPPER(LEFT(SUBSTITUTE(C9756," ",""),3))&amp;"-"&amp;TEXT(B9756,"AAMMDD")&amp;"-1")</f>
        <v/>
      </c>
    </row>
    <row r="9757" spans="20:20">
      <c r="T9757" t="str">
        <f>IF(C9757="","",UPPER(LEFT(SUBSTITUTE(C9757," ",""),3))&amp;"-"&amp;TEXT(B9757,"AAMMDD")&amp;"-1")</f>
        <v/>
      </c>
    </row>
    <row r="9758" spans="20:20">
      <c r="T9758" t="str">
        <f>IF(C9758="","",UPPER(LEFT(SUBSTITUTE(C9758," ",""),3))&amp;"-"&amp;TEXT(B9758,"AAMMDD")&amp;"-1")</f>
        <v/>
      </c>
    </row>
    <row r="9759" spans="20:20">
      <c r="T9759" t="str">
        <f>IF(C9759="","",UPPER(LEFT(SUBSTITUTE(C9759," ",""),3))&amp;"-"&amp;TEXT(B9759,"AAMMDD")&amp;"-1")</f>
        <v/>
      </c>
    </row>
    <row r="9760" spans="20:20">
      <c r="T9760" t="str">
        <f>IF(C9760="","",UPPER(LEFT(SUBSTITUTE(C9760," ",""),3))&amp;"-"&amp;TEXT(B9760,"AAMMDD")&amp;"-1")</f>
        <v/>
      </c>
    </row>
    <row r="9761" spans="20:20">
      <c r="T9761" t="str">
        <f>IF(C9761="","",UPPER(LEFT(SUBSTITUTE(C9761," ",""),3))&amp;"-"&amp;TEXT(B9761,"AAMMDD")&amp;"-1")</f>
        <v/>
      </c>
    </row>
    <row r="9762" spans="20:20">
      <c r="T9762" t="str">
        <f>IF(C9762="","",UPPER(LEFT(SUBSTITUTE(C9762," ",""),3))&amp;"-"&amp;TEXT(B9762,"AAMMDD")&amp;"-1")</f>
        <v/>
      </c>
    </row>
    <row r="9763" spans="20:20">
      <c r="T9763" t="str">
        <f>IF(C9763="","",UPPER(LEFT(SUBSTITUTE(C9763," ",""),3))&amp;"-"&amp;TEXT(B9763,"AAMMDD")&amp;"-1")</f>
        <v/>
      </c>
    </row>
    <row r="9764" spans="20:20">
      <c r="T9764" t="str">
        <f>IF(C9764="","",UPPER(LEFT(SUBSTITUTE(C9764," ",""),3))&amp;"-"&amp;TEXT(B9764,"AAMMDD")&amp;"-1")</f>
        <v/>
      </c>
    </row>
    <row r="9765" spans="20:20">
      <c r="T9765" t="str">
        <f>IF(C9765="","",UPPER(LEFT(SUBSTITUTE(C9765," ",""),3))&amp;"-"&amp;TEXT(B9765,"AAMMDD")&amp;"-1")</f>
        <v/>
      </c>
    </row>
    <row r="9766" spans="20:20">
      <c r="T9766" t="str">
        <f>IF(C9766="","",UPPER(LEFT(SUBSTITUTE(C9766," ",""),3))&amp;"-"&amp;TEXT(B9766,"AAMMDD")&amp;"-1")</f>
        <v/>
      </c>
    </row>
    <row r="9767" spans="20:20">
      <c r="T9767" t="str">
        <f>IF(C9767="","",UPPER(LEFT(SUBSTITUTE(C9767," ",""),3))&amp;"-"&amp;TEXT(B9767,"AAMMDD")&amp;"-1")</f>
        <v/>
      </c>
    </row>
    <row r="9768" spans="20:20">
      <c r="T9768" t="str">
        <f>IF(C9768="","",UPPER(LEFT(SUBSTITUTE(C9768," ",""),3))&amp;"-"&amp;TEXT(B9768,"AAMMDD")&amp;"-1")</f>
        <v/>
      </c>
    </row>
    <row r="9769" spans="20:20">
      <c r="T9769" t="str">
        <f>IF(C9769="","",UPPER(LEFT(SUBSTITUTE(C9769," ",""),3))&amp;"-"&amp;TEXT(B9769,"AAMMDD")&amp;"-1")</f>
        <v/>
      </c>
    </row>
    <row r="9770" spans="20:20">
      <c r="T9770" t="str">
        <f>IF(C9770="","",UPPER(LEFT(SUBSTITUTE(C9770," ",""),3))&amp;"-"&amp;TEXT(B9770,"AAMMDD")&amp;"-1")</f>
        <v/>
      </c>
    </row>
    <row r="9771" spans="20:20">
      <c r="T9771" t="str">
        <f>IF(C9771="","",UPPER(LEFT(SUBSTITUTE(C9771," ",""),3))&amp;"-"&amp;TEXT(B9771,"AAMMDD")&amp;"-1")</f>
        <v/>
      </c>
    </row>
    <row r="9772" spans="20:20">
      <c r="T9772" t="str">
        <f>IF(C9772="","",UPPER(LEFT(SUBSTITUTE(C9772," ",""),3))&amp;"-"&amp;TEXT(B9772,"AAMMDD")&amp;"-1")</f>
        <v/>
      </c>
    </row>
    <row r="9773" spans="20:20">
      <c r="T9773" t="str">
        <f>IF(C9773="","",UPPER(LEFT(SUBSTITUTE(C9773," ",""),3))&amp;"-"&amp;TEXT(B9773,"AAMMDD")&amp;"-1")</f>
        <v/>
      </c>
    </row>
    <row r="9774" spans="20:20">
      <c r="T9774" t="str">
        <f>IF(C9774="","",UPPER(LEFT(SUBSTITUTE(C9774," ",""),3))&amp;"-"&amp;TEXT(B9774,"AAMMDD")&amp;"-1")</f>
        <v/>
      </c>
    </row>
    <row r="9775" spans="20:20">
      <c r="T9775" t="str">
        <f>IF(C9775="","",UPPER(LEFT(SUBSTITUTE(C9775," ",""),3))&amp;"-"&amp;TEXT(B9775,"AAMMDD")&amp;"-1")</f>
        <v/>
      </c>
    </row>
    <row r="9776" spans="20:20">
      <c r="T9776" t="str">
        <f>IF(C9776="","",UPPER(LEFT(SUBSTITUTE(C9776," ",""),3))&amp;"-"&amp;TEXT(B9776,"AAMMDD")&amp;"-1")</f>
        <v/>
      </c>
    </row>
    <row r="9777" spans="20:20">
      <c r="T9777" t="str">
        <f>IF(C9777="","",UPPER(LEFT(SUBSTITUTE(C9777," ",""),3))&amp;"-"&amp;TEXT(B9777,"AAMMDD")&amp;"-1")</f>
        <v/>
      </c>
    </row>
    <row r="9778" spans="20:20">
      <c r="T9778" t="str">
        <f>IF(C9778="","",UPPER(LEFT(SUBSTITUTE(C9778," ",""),3))&amp;"-"&amp;TEXT(B9778,"AAMMDD")&amp;"-1")</f>
        <v/>
      </c>
    </row>
    <row r="9779" spans="20:20">
      <c r="T9779" t="str">
        <f>IF(C9779="","",UPPER(LEFT(SUBSTITUTE(C9779," ",""),3))&amp;"-"&amp;TEXT(B9779,"AAMMDD")&amp;"-1")</f>
        <v/>
      </c>
    </row>
    <row r="9780" spans="20:20">
      <c r="T9780" t="str">
        <f>IF(C9780="","",UPPER(LEFT(SUBSTITUTE(C9780," ",""),3))&amp;"-"&amp;TEXT(B9780,"AAMMDD")&amp;"-1")</f>
        <v/>
      </c>
    </row>
    <row r="9781" spans="20:20">
      <c r="T9781" t="str">
        <f>IF(C9781="","",UPPER(LEFT(SUBSTITUTE(C9781," ",""),3))&amp;"-"&amp;TEXT(B9781,"AAMMDD")&amp;"-1")</f>
        <v/>
      </c>
    </row>
    <row r="9782" spans="20:20">
      <c r="T9782" t="str">
        <f>IF(C9782="","",UPPER(LEFT(SUBSTITUTE(C9782," ",""),3))&amp;"-"&amp;TEXT(B9782,"AAMMDD")&amp;"-1")</f>
        <v/>
      </c>
    </row>
    <row r="9783" spans="20:20">
      <c r="T9783" t="str">
        <f>IF(C9783="","",UPPER(LEFT(SUBSTITUTE(C9783," ",""),3))&amp;"-"&amp;TEXT(B9783,"AAMMDD")&amp;"-1")</f>
        <v/>
      </c>
    </row>
    <row r="9784" spans="20:20">
      <c r="T9784" t="str">
        <f>IF(C9784="","",UPPER(LEFT(SUBSTITUTE(C9784," ",""),3))&amp;"-"&amp;TEXT(B9784,"AAMMDD")&amp;"-1")</f>
        <v/>
      </c>
    </row>
    <row r="9785" spans="20:20">
      <c r="T9785" t="str">
        <f>IF(C9785="","",UPPER(LEFT(SUBSTITUTE(C9785," ",""),3))&amp;"-"&amp;TEXT(B9785,"AAMMDD")&amp;"-1")</f>
        <v/>
      </c>
    </row>
    <row r="9786" spans="20:20">
      <c r="T9786" t="str">
        <f>IF(C9786="","",UPPER(LEFT(SUBSTITUTE(C9786," ",""),3))&amp;"-"&amp;TEXT(B9786,"AAMMDD")&amp;"-1")</f>
        <v/>
      </c>
    </row>
    <row r="9787" spans="20:20">
      <c r="T9787" t="str">
        <f>IF(C9787="","",UPPER(LEFT(SUBSTITUTE(C9787," ",""),3))&amp;"-"&amp;TEXT(B9787,"AAMMDD")&amp;"-1")</f>
        <v/>
      </c>
    </row>
    <row r="9788" spans="20:20">
      <c r="T9788" t="str">
        <f>IF(C9788="","",UPPER(LEFT(SUBSTITUTE(C9788," ",""),3))&amp;"-"&amp;TEXT(B9788,"AAMMDD")&amp;"-1")</f>
        <v/>
      </c>
    </row>
    <row r="9789" spans="20:20">
      <c r="T9789" t="str">
        <f>IF(C9789="","",UPPER(LEFT(SUBSTITUTE(C9789," ",""),3))&amp;"-"&amp;TEXT(B9789,"AAMMDD")&amp;"-1")</f>
        <v/>
      </c>
    </row>
    <row r="9790" spans="20:20">
      <c r="T9790" t="str">
        <f>IF(C9790="","",UPPER(LEFT(SUBSTITUTE(C9790," ",""),3))&amp;"-"&amp;TEXT(B9790,"AAMMDD")&amp;"-1")</f>
        <v/>
      </c>
    </row>
    <row r="9791" spans="20:20">
      <c r="T9791" t="str">
        <f>IF(C9791="","",UPPER(LEFT(SUBSTITUTE(C9791," ",""),3))&amp;"-"&amp;TEXT(B9791,"AAMMDD")&amp;"-1")</f>
        <v/>
      </c>
    </row>
    <row r="9792" spans="20:20">
      <c r="T9792" t="str">
        <f>IF(C9792="","",UPPER(LEFT(SUBSTITUTE(C9792," ",""),3))&amp;"-"&amp;TEXT(B9792,"AAMMDD")&amp;"-1")</f>
        <v/>
      </c>
    </row>
    <row r="9793" spans="20:20">
      <c r="T9793" t="str">
        <f>IF(C9793="","",UPPER(LEFT(SUBSTITUTE(C9793," ",""),3))&amp;"-"&amp;TEXT(B9793,"AAMMDD")&amp;"-1")</f>
        <v/>
      </c>
    </row>
    <row r="9794" spans="20:20">
      <c r="T9794" t="str">
        <f>IF(C9794="","",UPPER(LEFT(SUBSTITUTE(C9794," ",""),3))&amp;"-"&amp;TEXT(B9794,"AAMMDD")&amp;"-1")</f>
        <v/>
      </c>
    </row>
    <row r="9795" spans="20:20">
      <c r="T9795" t="str">
        <f>IF(C9795="","",UPPER(LEFT(SUBSTITUTE(C9795," ",""),3))&amp;"-"&amp;TEXT(B9795,"AAMMDD")&amp;"-1")</f>
        <v/>
      </c>
    </row>
    <row r="9796" spans="20:20">
      <c r="T9796" t="str">
        <f>IF(C9796="","",UPPER(LEFT(SUBSTITUTE(C9796," ",""),3))&amp;"-"&amp;TEXT(B9796,"AAMMDD")&amp;"-1")</f>
        <v/>
      </c>
    </row>
    <row r="9797" spans="20:20">
      <c r="T9797" t="str">
        <f>IF(C9797="","",UPPER(LEFT(SUBSTITUTE(C9797," ",""),3))&amp;"-"&amp;TEXT(B9797,"AAMMDD")&amp;"-1")</f>
        <v/>
      </c>
    </row>
    <row r="9798" spans="20:20">
      <c r="T9798" t="str">
        <f>IF(C9798="","",UPPER(LEFT(SUBSTITUTE(C9798," ",""),3))&amp;"-"&amp;TEXT(B9798,"AAMMDD")&amp;"-1")</f>
        <v/>
      </c>
    </row>
    <row r="9799" spans="20:20">
      <c r="T9799" t="str">
        <f>IF(C9799="","",UPPER(LEFT(SUBSTITUTE(C9799," ",""),3))&amp;"-"&amp;TEXT(B9799,"AAMMDD")&amp;"-1")</f>
        <v/>
      </c>
    </row>
    <row r="9800" spans="20:20">
      <c r="T9800" t="str">
        <f>IF(C9800="","",UPPER(LEFT(SUBSTITUTE(C9800," ",""),3))&amp;"-"&amp;TEXT(B9800,"AAMMDD")&amp;"-1")</f>
        <v/>
      </c>
    </row>
    <row r="9801" spans="20:20">
      <c r="T9801" t="str">
        <f>IF(C9801="","",UPPER(LEFT(SUBSTITUTE(C9801," ",""),3))&amp;"-"&amp;TEXT(B9801,"AAMMDD")&amp;"-1")</f>
        <v/>
      </c>
    </row>
    <row r="9802" spans="20:20">
      <c r="T9802" t="str">
        <f>IF(C9802="","",UPPER(LEFT(SUBSTITUTE(C9802," ",""),3))&amp;"-"&amp;TEXT(B9802,"AAMMDD")&amp;"-1")</f>
        <v/>
      </c>
    </row>
    <row r="9803" spans="20:20">
      <c r="T9803" t="str">
        <f>IF(C9803="","",UPPER(LEFT(SUBSTITUTE(C9803," ",""),3))&amp;"-"&amp;TEXT(B9803,"AAMMDD")&amp;"-1")</f>
        <v/>
      </c>
    </row>
    <row r="9804" spans="20:20">
      <c r="T9804" t="str">
        <f>IF(C9804="","",UPPER(LEFT(SUBSTITUTE(C9804," ",""),3))&amp;"-"&amp;TEXT(B9804,"AAMMDD")&amp;"-1")</f>
        <v/>
      </c>
    </row>
    <row r="9805" spans="20:20">
      <c r="T9805" t="str">
        <f>IF(C9805="","",UPPER(LEFT(SUBSTITUTE(C9805," ",""),3))&amp;"-"&amp;TEXT(B9805,"AAMMDD")&amp;"-1")</f>
        <v/>
      </c>
    </row>
    <row r="9806" spans="20:20">
      <c r="T9806" t="str">
        <f>IF(C9806="","",UPPER(LEFT(SUBSTITUTE(C9806," ",""),3))&amp;"-"&amp;TEXT(B9806,"AAMMDD")&amp;"-1")</f>
        <v/>
      </c>
    </row>
    <row r="9807" spans="20:20">
      <c r="T9807" t="str">
        <f>IF(C9807="","",UPPER(LEFT(SUBSTITUTE(C9807," ",""),3))&amp;"-"&amp;TEXT(B9807,"AAMMDD")&amp;"-1")</f>
        <v/>
      </c>
    </row>
    <row r="9808" spans="20:20">
      <c r="T9808" t="str">
        <f>IF(C9808="","",UPPER(LEFT(SUBSTITUTE(C9808," ",""),3))&amp;"-"&amp;TEXT(B9808,"AAMMDD")&amp;"-1")</f>
        <v/>
      </c>
    </row>
    <row r="9809" spans="20:20">
      <c r="T9809" t="str">
        <f>IF(C9809="","",UPPER(LEFT(SUBSTITUTE(C9809," ",""),3))&amp;"-"&amp;TEXT(B9809,"AAMMDD")&amp;"-1")</f>
        <v/>
      </c>
    </row>
    <row r="9810" spans="20:20">
      <c r="T9810" t="str">
        <f>IF(C9810="","",UPPER(LEFT(SUBSTITUTE(C9810," ",""),3))&amp;"-"&amp;TEXT(B9810,"AAMMDD")&amp;"-1")</f>
        <v/>
      </c>
    </row>
    <row r="9811" spans="20:20">
      <c r="T9811" t="str">
        <f>IF(C9811="","",UPPER(LEFT(SUBSTITUTE(C9811," ",""),3))&amp;"-"&amp;TEXT(B9811,"AAMMDD")&amp;"-1")</f>
        <v/>
      </c>
    </row>
    <row r="9812" spans="20:20">
      <c r="T9812" t="str">
        <f>IF(C9812="","",UPPER(LEFT(SUBSTITUTE(C9812," ",""),3))&amp;"-"&amp;TEXT(B9812,"AAMMDD")&amp;"-1")</f>
        <v/>
      </c>
    </row>
    <row r="9813" spans="20:20">
      <c r="T9813" t="str">
        <f>IF(C9813="","",UPPER(LEFT(SUBSTITUTE(C9813," ",""),3))&amp;"-"&amp;TEXT(B9813,"AAMMDD")&amp;"-1")</f>
        <v/>
      </c>
    </row>
    <row r="9814" spans="20:20">
      <c r="T9814" t="str">
        <f>IF(C9814="","",UPPER(LEFT(SUBSTITUTE(C9814," ",""),3))&amp;"-"&amp;TEXT(B9814,"AAMMDD")&amp;"-1")</f>
        <v/>
      </c>
    </row>
    <row r="9815" spans="20:20">
      <c r="T9815" t="str">
        <f>IF(C9815="","",UPPER(LEFT(SUBSTITUTE(C9815," ",""),3))&amp;"-"&amp;TEXT(B9815,"AAMMDD")&amp;"-1")</f>
        <v/>
      </c>
    </row>
    <row r="9816" spans="20:20">
      <c r="T9816" t="str">
        <f>IF(C9816="","",UPPER(LEFT(SUBSTITUTE(C9816," ",""),3))&amp;"-"&amp;TEXT(B9816,"AAMMDD")&amp;"-1")</f>
        <v/>
      </c>
    </row>
    <row r="9817" spans="20:20">
      <c r="T9817" t="str">
        <f>IF(C9817="","",UPPER(LEFT(SUBSTITUTE(C9817," ",""),3))&amp;"-"&amp;TEXT(B9817,"AAMMDD")&amp;"-1")</f>
        <v/>
      </c>
    </row>
    <row r="9818" spans="20:20">
      <c r="T9818" t="str">
        <f>IF(C9818="","",UPPER(LEFT(SUBSTITUTE(C9818," ",""),3))&amp;"-"&amp;TEXT(B9818,"AAMMDD")&amp;"-1")</f>
        <v/>
      </c>
    </row>
    <row r="9819" spans="20:20">
      <c r="T9819" t="str">
        <f>IF(C9819="","",UPPER(LEFT(SUBSTITUTE(C9819," ",""),3))&amp;"-"&amp;TEXT(B9819,"AAMMDD")&amp;"-1")</f>
        <v/>
      </c>
    </row>
    <row r="9820" spans="20:20">
      <c r="T9820" t="str">
        <f>IF(C9820="","",UPPER(LEFT(SUBSTITUTE(C9820," ",""),3))&amp;"-"&amp;TEXT(B9820,"AAMMDD")&amp;"-1")</f>
        <v/>
      </c>
    </row>
    <row r="9821" spans="20:20">
      <c r="T9821" t="str">
        <f>IF(C9821="","",UPPER(LEFT(SUBSTITUTE(C9821," ",""),3))&amp;"-"&amp;TEXT(B9821,"AAMMDD")&amp;"-1")</f>
        <v/>
      </c>
    </row>
    <row r="9822" spans="20:20">
      <c r="T9822" t="str">
        <f>IF(C9822="","",UPPER(LEFT(SUBSTITUTE(C9822," ",""),3))&amp;"-"&amp;TEXT(B9822,"AAMMDD")&amp;"-1")</f>
        <v/>
      </c>
    </row>
    <row r="9823" spans="20:20">
      <c r="T9823" t="str">
        <f>IF(C9823="","",UPPER(LEFT(SUBSTITUTE(C9823," ",""),3))&amp;"-"&amp;TEXT(B9823,"AAMMDD")&amp;"-1")</f>
        <v/>
      </c>
    </row>
    <row r="9824" spans="20:20">
      <c r="T9824" t="str">
        <f>IF(C9824="","",UPPER(LEFT(SUBSTITUTE(C9824," ",""),3))&amp;"-"&amp;TEXT(B9824,"AAMMDD")&amp;"-1")</f>
        <v/>
      </c>
    </row>
    <row r="9825" spans="20:20">
      <c r="T9825" t="str">
        <f>IF(C9825="","",UPPER(LEFT(SUBSTITUTE(C9825," ",""),3))&amp;"-"&amp;TEXT(B9825,"AAMMDD")&amp;"-1")</f>
        <v/>
      </c>
    </row>
    <row r="9826" spans="20:20">
      <c r="T9826" t="str">
        <f>IF(C9826="","",UPPER(LEFT(SUBSTITUTE(C9826," ",""),3))&amp;"-"&amp;TEXT(B9826,"AAMMDD")&amp;"-1")</f>
        <v/>
      </c>
    </row>
    <row r="9827" spans="20:20">
      <c r="T9827" t="str">
        <f>IF(C9827="","",UPPER(LEFT(SUBSTITUTE(C9827," ",""),3))&amp;"-"&amp;TEXT(B9827,"AAMMDD")&amp;"-1")</f>
        <v/>
      </c>
    </row>
    <row r="9828" spans="20:20">
      <c r="T9828" t="str">
        <f>IF(C9828="","",UPPER(LEFT(SUBSTITUTE(C9828," ",""),3))&amp;"-"&amp;TEXT(B9828,"AAMMDD")&amp;"-1")</f>
        <v/>
      </c>
    </row>
    <row r="9829" spans="20:20">
      <c r="T9829" t="str">
        <f>IF(C9829="","",UPPER(LEFT(SUBSTITUTE(C9829," ",""),3))&amp;"-"&amp;TEXT(B9829,"AAMMDD")&amp;"-1")</f>
        <v/>
      </c>
    </row>
    <row r="9830" spans="20:20">
      <c r="T9830" t="str">
        <f>IF(C9830="","",UPPER(LEFT(SUBSTITUTE(C9830," ",""),3))&amp;"-"&amp;TEXT(B9830,"AAMMDD")&amp;"-1")</f>
        <v/>
      </c>
    </row>
    <row r="9831" spans="20:20">
      <c r="T9831" t="str">
        <f>IF(C9831="","",UPPER(LEFT(SUBSTITUTE(C9831," ",""),3))&amp;"-"&amp;TEXT(B9831,"AAMMDD")&amp;"-1")</f>
        <v/>
      </c>
    </row>
    <row r="9832" spans="20:20">
      <c r="T9832" t="str">
        <f>IF(C9832="","",UPPER(LEFT(SUBSTITUTE(C9832," ",""),3))&amp;"-"&amp;TEXT(B9832,"AAMMDD")&amp;"-1")</f>
        <v/>
      </c>
    </row>
    <row r="9833" spans="20:20">
      <c r="T9833" t="str">
        <f>IF(C9833="","",UPPER(LEFT(SUBSTITUTE(C9833," ",""),3))&amp;"-"&amp;TEXT(B9833,"AAMMDD")&amp;"-1")</f>
        <v/>
      </c>
    </row>
    <row r="9834" spans="20:20">
      <c r="T9834" t="str">
        <f>IF(C9834="","",UPPER(LEFT(SUBSTITUTE(C9834," ",""),3))&amp;"-"&amp;TEXT(B9834,"AAMMDD")&amp;"-1")</f>
        <v/>
      </c>
    </row>
    <row r="9835" spans="20:20">
      <c r="T9835" t="str">
        <f>IF(C9835="","",UPPER(LEFT(SUBSTITUTE(C9835," ",""),3))&amp;"-"&amp;TEXT(B9835,"AAMMDD")&amp;"-1")</f>
        <v/>
      </c>
    </row>
    <row r="9836" spans="20:20">
      <c r="T9836" t="str">
        <f>IF(C9836="","",UPPER(LEFT(SUBSTITUTE(C9836," ",""),3))&amp;"-"&amp;TEXT(B9836,"AAMMDD")&amp;"-1")</f>
        <v/>
      </c>
    </row>
    <row r="9837" spans="20:20">
      <c r="T9837" t="str">
        <f>IF(C9837="","",UPPER(LEFT(SUBSTITUTE(C9837," ",""),3))&amp;"-"&amp;TEXT(B9837,"AAMMDD")&amp;"-1")</f>
        <v/>
      </c>
    </row>
    <row r="9838" spans="20:20">
      <c r="T9838" t="str">
        <f>IF(C9838="","",UPPER(LEFT(SUBSTITUTE(C9838," ",""),3))&amp;"-"&amp;TEXT(B9838,"AAMMDD")&amp;"-1")</f>
        <v/>
      </c>
    </row>
    <row r="9839" spans="20:20">
      <c r="T9839" t="str">
        <f>IF(C9839="","",UPPER(LEFT(SUBSTITUTE(C9839," ",""),3))&amp;"-"&amp;TEXT(B9839,"AAMMDD")&amp;"-1")</f>
        <v/>
      </c>
    </row>
    <row r="9840" spans="20:20">
      <c r="T9840" t="str">
        <f>IF(C9840="","",UPPER(LEFT(SUBSTITUTE(C9840," ",""),3))&amp;"-"&amp;TEXT(B9840,"AAMMDD")&amp;"-1")</f>
        <v/>
      </c>
    </row>
    <row r="9841" spans="20:20">
      <c r="T9841" t="str">
        <f>IF(C9841="","",UPPER(LEFT(SUBSTITUTE(C9841," ",""),3))&amp;"-"&amp;TEXT(B9841,"AAMMDD")&amp;"-1")</f>
        <v/>
      </c>
    </row>
    <row r="9842" spans="20:20">
      <c r="T9842" t="str">
        <f>IF(C9842="","",UPPER(LEFT(SUBSTITUTE(C9842," ",""),3))&amp;"-"&amp;TEXT(B9842,"AAMMDD")&amp;"-1")</f>
        <v/>
      </c>
    </row>
    <row r="9843" spans="20:20">
      <c r="T9843" t="str">
        <f>IF(C9843="","",UPPER(LEFT(SUBSTITUTE(C9843," ",""),3))&amp;"-"&amp;TEXT(B9843,"AAMMDD")&amp;"-1")</f>
        <v/>
      </c>
    </row>
    <row r="9844" spans="20:20">
      <c r="T9844" t="str">
        <f>IF(C9844="","",UPPER(LEFT(SUBSTITUTE(C9844," ",""),3))&amp;"-"&amp;TEXT(B9844,"AAMMDD")&amp;"-1")</f>
        <v/>
      </c>
    </row>
    <row r="9845" spans="20:20">
      <c r="T9845" t="str">
        <f>IF(C9845="","",UPPER(LEFT(SUBSTITUTE(C9845," ",""),3))&amp;"-"&amp;TEXT(B9845,"AAMMDD")&amp;"-1")</f>
        <v/>
      </c>
    </row>
    <row r="9846" spans="20:20">
      <c r="T9846" t="str">
        <f>IF(C9846="","",UPPER(LEFT(SUBSTITUTE(C9846," ",""),3))&amp;"-"&amp;TEXT(B9846,"AAMMDD")&amp;"-1")</f>
        <v/>
      </c>
    </row>
    <row r="9847" spans="20:20">
      <c r="T9847" t="str">
        <f>IF(C9847="","",UPPER(LEFT(SUBSTITUTE(C9847," ",""),3))&amp;"-"&amp;TEXT(B9847,"AAMMDD")&amp;"-1")</f>
        <v/>
      </c>
    </row>
    <row r="9848" spans="20:20">
      <c r="T9848" t="str">
        <f>IF(C9848="","",UPPER(LEFT(SUBSTITUTE(C9848," ",""),3))&amp;"-"&amp;TEXT(B9848,"AAMMDD")&amp;"-1")</f>
        <v/>
      </c>
    </row>
    <row r="9849" spans="20:20">
      <c r="T9849" t="str">
        <f>IF(C9849="","",UPPER(LEFT(SUBSTITUTE(C9849," ",""),3))&amp;"-"&amp;TEXT(B9849,"AAMMDD")&amp;"-1")</f>
        <v/>
      </c>
    </row>
    <row r="9850" spans="20:20">
      <c r="T9850" t="str">
        <f>IF(C9850="","",UPPER(LEFT(SUBSTITUTE(C9850," ",""),3))&amp;"-"&amp;TEXT(B9850,"AAMMDD")&amp;"-1")</f>
        <v/>
      </c>
    </row>
    <row r="9851" spans="20:20">
      <c r="T9851" t="str">
        <f>IF(C9851="","",UPPER(LEFT(SUBSTITUTE(C9851," ",""),3))&amp;"-"&amp;TEXT(B9851,"AAMMDD")&amp;"-1")</f>
        <v/>
      </c>
    </row>
    <row r="9852" spans="20:20">
      <c r="T9852" t="str">
        <f>IF(C9852="","",UPPER(LEFT(SUBSTITUTE(C9852," ",""),3))&amp;"-"&amp;TEXT(B9852,"AAMMDD")&amp;"-1")</f>
        <v/>
      </c>
    </row>
    <row r="9853" spans="20:20">
      <c r="T9853" t="str">
        <f>IF(C9853="","",UPPER(LEFT(SUBSTITUTE(C9853," ",""),3))&amp;"-"&amp;TEXT(B9853,"AAMMDD")&amp;"-1")</f>
        <v/>
      </c>
    </row>
    <row r="9854" spans="20:20">
      <c r="T9854" t="str">
        <f>IF(C9854="","",UPPER(LEFT(SUBSTITUTE(C9854," ",""),3))&amp;"-"&amp;TEXT(B9854,"AAMMDD")&amp;"-1")</f>
        <v/>
      </c>
    </row>
    <row r="9855" spans="20:20">
      <c r="T9855" t="str">
        <f>IF(C9855="","",UPPER(LEFT(SUBSTITUTE(C9855," ",""),3))&amp;"-"&amp;TEXT(B9855,"AAMMDD")&amp;"-1")</f>
        <v/>
      </c>
    </row>
    <row r="9856" spans="20:20">
      <c r="T9856" t="str">
        <f>IF(C9856="","",UPPER(LEFT(SUBSTITUTE(C9856," ",""),3))&amp;"-"&amp;TEXT(B9856,"AAMMDD")&amp;"-1")</f>
        <v/>
      </c>
    </row>
    <row r="9857" spans="20:20">
      <c r="T9857" t="str">
        <f>IF(C9857="","",UPPER(LEFT(SUBSTITUTE(C9857," ",""),3))&amp;"-"&amp;TEXT(B9857,"AAMMDD")&amp;"-1")</f>
        <v/>
      </c>
    </row>
    <row r="9858" spans="20:20">
      <c r="T9858" t="str">
        <f>IF(C9858="","",UPPER(LEFT(SUBSTITUTE(C9858," ",""),3))&amp;"-"&amp;TEXT(B9858,"AAMMDD")&amp;"-1")</f>
        <v/>
      </c>
    </row>
    <row r="9859" spans="20:20">
      <c r="T9859" t="str">
        <f>IF(C9859="","",UPPER(LEFT(SUBSTITUTE(C9859," ",""),3))&amp;"-"&amp;TEXT(B9859,"AAMMDD")&amp;"-1")</f>
        <v/>
      </c>
    </row>
    <row r="9860" spans="20:20">
      <c r="T9860" t="str">
        <f>IF(C9860="","",UPPER(LEFT(SUBSTITUTE(C9860," ",""),3))&amp;"-"&amp;TEXT(B9860,"AAMMDD")&amp;"-1")</f>
        <v/>
      </c>
    </row>
    <row r="9861" spans="20:20">
      <c r="T9861" t="str">
        <f>IF(C9861="","",UPPER(LEFT(SUBSTITUTE(C9861," ",""),3))&amp;"-"&amp;TEXT(B9861,"AAMMDD")&amp;"-1")</f>
        <v/>
      </c>
    </row>
    <row r="9862" spans="20:20">
      <c r="T9862" t="str">
        <f>IF(C9862="","",UPPER(LEFT(SUBSTITUTE(C9862," ",""),3))&amp;"-"&amp;TEXT(B9862,"AAMMDD")&amp;"-1")</f>
        <v/>
      </c>
    </row>
    <row r="9863" spans="20:20">
      <c r="T9863" t="str">
        <f>IF(C9863="","",UPPER(LEFT(SUBSTITUTE(C9863," ",""),3))&amp;"-"&amp;TEXT(B9863,"AAMMDD")&amp;"-1")</f>
        <v/>
      </c>
    </row>
    <row r="9864" spans="20:20">
      <c r="T9864" t="str">
        <f>IF(C9864="","",UPPER(LEFT(SUBSTITUTE(C9864," ",""),3))&amp;"-"&amp;TEXT(B9864,"AAMMDD")&amp;"-1")</f>
        <v/>
      </c>
    </row>
    <row r="9865" spans="20:20">
      <c r="T9865" t="str">
        <f>IF(C9865="","",UPPER(LEFT(SUBSTITUTE(C9865," ",""),3))&amp;"-"&amp;TEXT(B9865,"AAMMDD")&amp;"-1")</f>
        <v/>
      </c>
    </row>
    <row r="9866" spans="20:20">
      <c r="T9866" t="str">
        <f>IF(C9866="","",UPPER(LEFT(SUBSTITUTE(C9866," ",""),3))&amp;"-"&amp;TEXT(B9866,"AAMMDD")&amp;"-1")</f>
        <v/>
      </c>
    </row>
    <row r="9867" spans="20:20">
      <c r="T9867" t="str">
        <f>IF(C9867="","",UPPER(LEFT(SUBSTITUTE(C9867," ",""),3))&amp;"-"&amp;TEXT(B9867,"AAMMDD")&amp;"-1")</f>
        <v/>
      </c>
    </row>
    <row r="9868" spans="20:20">
      <c r="T9868" t="str">
        <f>IF(C9868="","",UPPER(LEFT(SUBSTITUTE(C9868," ",""),3))&amp;"-"&amp;TEXT(B9868,"AAMMDD")&amp;"-1")</f>
        <v/>
      </c>
    </row>
    <row r="9869" spans="20:20">
      <c r="T9869" t="str">
        <f>IF(C9869="","",UPPER(LEFT(SUBSTITUTE(C9869," ",""),3))&amp;"-"&amp;TEXT(B9869,"AAMMDD")&amp;"-1")</f>
        <v/>
      </c>
    </row>
    <row r="9870" spans="20:20">
      <c r="T9870" t="str">
        <f>IF(C9870="","",UPPER(LEFT(SUBSTITUTE(C9870," ",""),3))&amp;"-"&amp;TEXT(B9870,"AAMMDD")&amp;"-1")</f>
        <v/>
      </c>
    </row>
    <row r="9871" spans="20:20">
      <c r="T9871" t="str">
        <f>IF(C9871="","",UPPER(LEFT(SUBSTITUTE(C9871," ",""),3))&amp;"-"&amp;TEXT(B9871,"AAMMDD")&amp;"-1")</f>
        <v/>
      </c>
    </row>
    <row r="9872" spans="20:20">
      <c r="T9872" t="str">
        <f>IF(C9872="","",UPPER(LEFT(SUBSTITUTE(C9872," ",""),3))&amp;"-"&amp;TEXT(B9872,"AAMMDD")&amp;"-1")</f>
        <v/>
      </c>
    </row>
    <row r="9873" spans="20:20">
      <c r="T9873" t="str">
        <f>IF(C9873="","",UPPER(LEFT(SUBSTITUTE(C9873," ",""),3))&amp;"-"&amp;TEXT(B9873,"AAMMDD")&amp;"-1")</f>
        <v/>
      </c>
    </row>
    <row r="9874" spans="20:20">
      <c r="T9874" t="str">
        <f>IF(C9874="","",UPPER(LEFT(SUBSTITUTE(C9874," ",""),3))&amp;"-"&amp;TEXT(B9874,"AAMMDD")&amp;"-1")</f>
        <v/>
      </c>
    </row>
    <row r="9875" spans="20:20">
      <c r="T9875" t="str">
        <f>IF(C9875="","",UPPER(LEFT(SUBSTITUTE(C9875," ",""),3))&amp;"-"&amp;TEXT(B9875,"AAMMDD")&amp;"-1")</f>
        <v/>
      </c>
    </row>
    <row r="9876" spans="20:20">
      <c r="T9876" t="str">
        <f>IF(C9876="","",UPPER(LEFT(SUBSTITUTE(C9876," ",""),3))&amp;"-"&amp;TEXT(B9876,"AAMMDD")&amp;"-1")</f>
        <v/>
      </c>
    </row>
    <row r="9877" spans="20:20">
      <c r="T9877" t="str">
        <f>IF(C9877="","",UPPER(LEFT(SUBSTITUTE(C9877," ",""),3))&amp;"-"&amp;TEXT(B9877,"AAMMDD")&amp;"-1")</f>
        <v/>
      </c>
    </row>
    <row r="9878" spans="20:20">
      <c r="T9878" t="str">
        <f>IF(C9878="","",UPPER(LEFT(SUBSTITUTE(C9878," ",""),3))&amp;"-"&amp;TEXT(B9878,"AAMMDD")&amp;"-1")</f>
        <v/>
      </c>
    </row>
    <row r="9879" spans="20:20">
      <c r="T9879" t="str">
        <f>IF(C9879="","",UPPER(LEFT(SUBSTITUTE(C9879," ",""),3))&amp;"-"&amp;TEXT(B9879,"AAMMDD")&amp;"-1")</f>
        <v/>
      </c>
    </row>
    <row r="9880" spans="20:20">
      <c r="T9880" t="str">
        <f>IF(C9880="","",UPPER(LEFT(SUBSTITUTE(C9880," ",""),3))&amp;"-"&amp;TEXT(B9880,"AAMMDD")&amp;"-1")</f>
        <v/>
      </c>
    </row>
    <row r="9881" spans="20:20">
      <c r="T9881" t="str">
        <f>IF(C9881="","",UPPER(LEFT(SUBSTITUTE(C9881," ",""),3))&amp;"-"&amp;TEXT(B9881,"AAMMDD")&amp;"-1")</f>
        <v/>
      </c>
    </row>
    <row r="9882" spans="20:20">
      <c r="T9882" t="str">
        <f>IF(C9882="","",UPPER(LEFT(SUBSTITUTE(C9882," ",""),3))&amp;"-"&amp;TEXT(B9882,"AAMMDD")&amp;"-1")</f>
        <v/>
      </c>
    </row>
    <row r="9883" spans="20:20">
      <c r="T9883" t="str">
        <f>IF(C9883="","",UPPER(LEFT(SUBSTITUTE(C9883," ",""),3))&amp;"-"&amp;TEXT(B9883,"AAMMDD")&amp;"-1")</f>
        <v/>
      </c>
    </row>
    <row r="9884" spans="20:20">
      <c r="T9884" t="str">
        <f>IF(C9884="","",UPPER(LEFT(SUBSTITUTE(C9884," ",""),3))&amp;"-"&amp;TEXT(B9884,"AAMMDD")&amp;"-1")</f>
        <v/>
      </c>
    </row>
    <row r="9885" spans="20:20">
      <c r="T9885" t="str">
        <f>IF(C9885="","",UPPER(LEFT(SUBSTITUTE(C9885," ",""),3))&amp;"-"&amp;TEXT(B9885,"AAMMDD")&amp;"-1")</f>
        <v/>
      </c>
    </row>
    <row r="9886" spans="20:20">
      <c r="T9886" t="str">
        <f>IF(C9886="","",UPPER(LEFT(SUBSTITUTE(C9886," ",""),3))&amp;"-"&amp;TEXT(B9886,"AAMMDD")&amp;"-1")</f>
        <v/>
      </c>
    </row>
    <row r="9887" spans="20:20">
      <c r="T9887" t="str">
        <f>IF(C9887="","",UPPER(LEFT(SUBSTITUTE(C9887," ",""),3))&amp;"-"&amp;TEXT(B9887,"AAMMDD")&amp;"-1")</f>
        <v/>
      </c>
    </row>
    <row r="9888" spans="20:20">
      <c r="T9888" t="str">
        <f>IF(C9888="","",UPPER(LEFT(SUBSTITUTE(C9888," ",""),3))&amp;"-"&amp;TEXT(B9888,"AAMMDD")&amp;"-1")</f>
        <v/>
      </c>
    </row>
    <row r="9889" spans="20:20">
      <c r="T9889" t="str">
        <f>IF(C9889="","",UPPER(LEFT(SUBSTITUTE(C9889," ",""),3))&amp;"-"&amp;TEXT(B9889,"AAMMDD")&amp;"-1")</f>
        <v/>
      </c>
    </row>
    <row r="9890" spans="20:20">
      <c r="T9890" t="str">
        <f>IF(C9890="","",UPPER(LEFT(SUBSTITUTE(C9890," ",""),3))&amp;"-"&amp;TEXT(B9890,"AAMMDD")&amp;"-1")</f>
        <v/>
      </c>
    </row>
    <row r="9891" spans="20:20">
      <c r="T9891" t="str">
        <f>IF(C9891="","",UPPER(LEFT(SUBSTITUTE(C9891," ",""),3))&amp;"-"&amp;TEXT(B9891,"AAMMDD")&amp;"-1")</f>
        <v/>
      </c>
    </row>
    <row r="9892" spans="20:20">
      <c r="T9892" t="str">
        <f>IF(C9892="","",UPPER(LEFT(SUBSTITUTE(C9892," ",""),3))&amp;"-"&amp;TEXT(B9892,"AAMMDD")&amp;"-1")</f>
        <v/>
      </c>
    </row>
    <row r="9893" spans="20:20">
      <c r="T9893" t="str">
        <f>IF(C9893="","",UPPER(LEFT(SUBSTITUTE(C9893," ",""),3))&amp;"-"&amp;TEXT(B9893,"AAMMDD")&amp;"-1")</f>
        <v/>
      </c>
    </row>
    <row r="9894" spans="20:20">
      <c r="T9894" t="str">
        <f>IF(C9894="","",UPPER(LEFT(SUBSTITUTE(C9894," ",""),3))&amp;"-"&amp;TEXT(B9894,"AAMMDD")&amp;"-1")</f>
        <v/>
      </c>
    </row>
    <row r="9895" spans="20:20">
      <c r="T9895" t="str">
        <f>IF(C9895="","",UPPER(LEFT(SUBSTITUTE(C9895," ",""),3))&amp;"-"&amp;TEXT(B9895,"AAMMDD")&amp;"-1")</f>
        <v/>
      </c>
    </row>
    <row r="9896" spans="20:20">
      <c r="T9896" t="str">
        <f>IF(C9896="","",UPPER(LEFT(SUBSTITUTE(C9896," ",""),3))&amp;"-"&amp;TEXT(B9896,"AAMMDD")&amp;"-1")</f>
        <v/>
      </c>
    </row>
    <row r="9897" spans="20:20">
      <c r="T9897" t="str">
        <f>IF(C9897="","",UPPER(LEFT(SUBSTITUTE(C9897," ",""),3))&amp;"-"&amp;TEXT(B9897,"AAMMDD")&amp;"-1")</f>
        <v/>
      </c>
    </row>
    <row r="9898" spans="20:20">
      <c r="T9898" t="str">
        <f>IF(C9898="","",UPPER(LEFT(SUBSTITUTE(C9898," ",""),3))&amp;"-"&amp;TEXT(B9898,"AAMMDD")&amp;"-1")</f>
        <v/>
      </c>
    </row>
    <row r="9899" spans="20:20">
      <c r="T9899" t="str">
        <f>IF(C9899="","",UPPER(LEFT(SUBSTITUTE(C9899," ",""),3))&amp;"-"&amp;TEXT(B9899,"AAMMDD")&amp;"-1")</f>
        <v/>
      </c>
    </row>
    <row r="9900" spans="20:20">
      <c r="T9900" t="str">
        <f>IF(C9900="","",UPPER(LEFT(SUBSTITUTE(C9900," ",""),3))&amp;"-"&amp;TEXT(B9900,"AAMMDD")&amp;"-1")</f>
        <v/>
      </c>
    </row>
    <row r="9901" spans="20:20">
      <c r="T9901" t="str">
        <f>IF(C9901="","",UPPER(LEFT(SUBSTITUTE(C9901," ",""),3))&amp;"-"&amp;TEXT(B9901,"AAMMDD")&amp;"-1")</f>
        <v/>
      </c>
    </row>
    <row r="9902" spans="20:20">
      <c r="T9902" t="str">
        <f>IF(C9902="","",UPPER(LEFT(SUBSTITUTE(C9902," ",""),3))&amp;"-"&amp;TEXT(B9902,"AAMMDD")&amp;"-1")</f>
        <v/>
      </c>
    </row>
    <row r="9903" spans="20:20">
      <c r="T9903" t="str">
        <f>IF(C9903="","",UPPER(LEFT(SUBSTITUTE(C9903," ",""),3))&amp;"-"&amp;TEXT(B9903,"AAMMDD")&amp;"-1")</f>
        <v/>
      </c>
    </row>
    <row r="9904" spans="20:20">
      <c r="T9904" t="str">
        <f>IF(C9904="","",UPPER(LEFT(SUBSTITUTE(C9904," ",""),3))&amp;"-"&amp;TEXT(B9904,"AAMMDD")&amp;"-1")</f>
        <v/>
      </c>
    </row>
    <row r="9905" spans="20:20">
      <c r="T9905" t="str">
        <f>IF(C9905="","",UPPER(LEFT(SUBSTITUTE(C9905," ",""),3))&amp;"-"&amp;TEXT(B9905,"AAMMDD")&amp;"-1")</f>
        <v/>
      </c>
    </row>
    <row r="9906" spans="20:20">
      <c r="T9906" t="str">
        <f>IF(C9906="","",UPPER(LEFT(SUBSTITUTE(C9906," ",""),3))&amp;"-"&amp;TEXT(B9906,"AAMMDD")&amp;"-1")</f>
        <v/>
      </c>
    </row>
    <row r="9907" spans="20:20">
      <c r="T9907" t="str">
        <f>IF(C9907="","",UPPER(LEFT(SUBSTITUTE(C9907," ",""),3))&amp;"-"&amp;TEXT(B9907,"AAMMDD")&amp;"-1")</f>
        <v/>
      </c>
    </row>
    <row r="9908" spans="20:20">
      <c r="T9908" t="str">
        <f>IF(C9908="","",UPPER(LEFT(SUBSTITUTE(C9908," ",""),3))&amp;"-"&amp;TEXT(B9908,"AAMMDD")&amp;"-1")</f>
        <v/>
      </c>
    </row>
    <row r="9909" spans="20:20">
      <c r="T9909" t="str">
        <f>IF(C9909="","",UPPER(LEFT(SUBSTITUTE(C9909," ",""),3))&amp;"-"&amp;TEXT(B9909,"AAMMDD")&amp;"-1")</f>
        <v/>
      </c>
    </row>
    <row r="9910" spans="20:20">
      <c r="T9910" t="str">
        <f>IF(C9910="","",UPPER(LEFT(SUBSTITUTE(C9910," ",""),3))&amp;"-"&amp;TEXT(B9910,"AAMMDD")&amp;"-1")</f>
        <v/>
      </c>
    </row>
    <row r="9911" spans="20:20">
      <c r="T9911" t="str">
        <f>IF(C9911="","",UPPER(LEFT(SUBSTITUTE(C9911," ",""),3))&amp;"-"&amp;TEXT(B9911,"AAMMDD")&amp;"-1")</f>
        <v/>
      </c>
    </row>
    <row r="9912" spans="20:20">
      <c r="T9912" t="str">
        <f>IF(C9912="","",UPPER(LEFT(SUBSTITUTE(C9912," ",""),3))&amp;"-"&amp;TEXT(B9912,"AAMMDD")&amp;"-1")</f>
        <v/>
      </c>
    </row>
    <row r="9913" spans="20:20">
      <c r="T9913" t="str">
        <f>IF(C9913="","",UPPER(LEFT(SUBSTITUTE(C9913," ",""),3))&amp;"-"&amp;TEXT(B9913,"AAMMDD")&amp;"-1")</f>
        <v/>
      </c>
    </row>
    <row r="9914" spans="20:20">
      <c r="T9914" t="str">
        <f>IF(C9914="","",UPPER(LEFT(SUBSTITUTE(C9914," ",""),3))&amp;"-"&amp;TEXT(B9914,"AAMMDD")&amp;"-1")</f>
        <v/>
      </c>
    </row>
    <row r="9915" spans="20:20">
      <c r="T9915" t="str">
        <f>IF(C9915="","",UPPER(LEFT(SUBSTITUTE(C9915," ",""),3))&amp;"-"&amp;TEXT(B9915,"AAMMDD")&amp;"-1")</f>
        <v/>
      </c>
    </row>
    <row r="9916" spans="20:20">
      <c r="T9916" t="str">
        <f>IF(C9916="","",UPPER(LEFT(SUBSTITUTE(C9916," ",""),3))&amp;"-"&amp;TEXT(B9916,"AAMMDD")&amp;"-1")</f>
        <v/>
      </c>
    </row>
    <row r="9917" spans="20:20">
      <c r="T9917" t="str">
        <f>IF(C9917="","",UPPER(LEFT(SUBSTITUTE(C9917," ",""),3))&amp;"-"&amp;TEXT(B9917,"AAMMDD")&amp;"-1")</f>
        <v/>
      </c>
    </row>
    <row r="9918" spans="20:20">
      <c r="T9918" t="str">
        <f>IF(C9918="","",UPPER(LEFT(SUBSTITUTE(C9918," ",""),3))&amp;"-"&amp;TEXT(B9918,"AAMMDD")&amp;"-1")</f>
        <v/>
      </c>
    </row>
    <row r="9919" spans="20:20">
      <c r="T9919" t="str">
        <f>IF(C9919="","",UPPER(LEFT(SUBSTITUTE(C9919," ",""),3))&amp;"-"&amp;TEXT(B9919,"AAMMDD")&amp;"-1")</f>
        <v/>
      </c>
    </row>
    <row r="9920" spans="20:20">
      <c r="T9920" t="str">
        <f>IF(C9920="","",UPPER(LEFT(SUBSTITUTE(C9920," ",""),3))&amp;"-"&amp;TEXT(B9920,"AAMMDD")&amp;"-1")</f>
        <v/>
      </c>
    </row>
    <row r="9921" spans="20:20">
      <c r="T9921" t="str">
        <f>IF(C9921="","",UPPER(LEFT(SUBSTITUTE(C9921," ",""),3))&amp;"-"&amp;TEXT(B9921,"AAMMDD")&amp;"-1")</f>
        <v/>
      </c>
    </row>
    <row r="9922" spans="20:20">
      <c r="T9922" t="str">
        <f>IF(C9922="","",UPPER(LEFT(SUBSTITUTE(C9922," ",""),3))&amp;"-"&amp;TEXT(B9922,"AAMMDD")&amp;"-1")</f>
        <v/>
      </c>
    </row>
    <row r="9923" spans="20:20">
      <c r="T9923" t="str">
        <f>IF(C9923="","",UPPER(LEFT(SUBSTITUTE(C9923," ",""),3))&amp;"-"&amp;TEXT(B9923,"AAMMDD")&amp;"-1")</f>
        <v/>
      </c>
    </row>
    <row r="9924" spans="20:20">
      <c r="T9924" t="str">
        <f>IF(C9924="","",UPPER(LEFT(SUBSTITUTE(C9924," ",""),3))&amp;"-"&amp;TEXT(B9924,"AAMMDD")&amp;"-1")</f>
        <v/>
      </c>
    </row>
    <row r="9925" spans="20:20">
      <c r="T9925" t="str">
        <f>IF(C9925="","",UPPER(LEFT(SUBSTITUTE(C9925," ",""),3))&amp;"-"&amp;TEXT(B9925,"AAMMDD")&amp;"-1")</f>
        <v/>
      </c>
    </row>
    <row r="9926" spans="20:20">
      <c r="T9926" t="str">
        <f>IF(C9926="","",UPPER(LEFT(SUBSTITUTE(C9926," ",""),3))&amp;"-"&amp;TEXT(B9926,"AAMMDD")&amp;"-1")</f>
        <v/>
      </c>
    </row>
    <row r="9927" spans="20:20">
      <c r="T9927" t="str">
        <f>IF(C9927="","",UPPER(LEFT(SUBSTITUTE(C9927," ",""),3))&amp;"-"&amp;TEXT(B9927,"AAMMDD")&amp;"-1")</f>
        <v/>
      </c>
    </row>
    <row r="9928" spans="20:20">
      <c r="T9928" t="str">
        <f>IF(C9928="","",UPPER(LEFT(SUBSTITUTE(C9928," ",""),3))&amp;"-"&amp;TEXT(B9928,"AAMMDD")&amp;"-1")</f>
        <v/>
      </c>
    </row>
    <row r="9929" spans="20:20">
      <c r="T9929" t="str">
        <f>IF(C9929="","",UPPER(LEFT(SUBSTITUTE(C9929," ",""),3))&amp;"-"&amp;TEXT(B9929,"AAMMDD")&amp;"-1")</f>
        <v/>
      </c>
    </row>
    <row r="9930" spans="20:20">
      <c r="T9930" t="str">
        <f>IF(C9930="","",UPPER(LEFT(SUBSTITUTE(C9930," ",""),3))&amp;"-"&amp;TEXT(B9930,"AAMMDD")&amp;"-1")</f>
        <v/>
      </c>
    </row>
    <row r="9931" spans="20:20">
      <c r="T9931" t="str">
        <f>IF(C9931="","",UPPER(LEFT(SUBSTITUTE(C9931," ",""),3))&amp;"-"&amp;TEXT(B9931,"AAMMDD")&amp;"-1")</f>
        <v/>
      </c>
    </row>
    <row r="9932" spans="20:20">
      <c r="T9932" t="str">
        <f>IF(C9932="","",UPPER(LEFT(SUBSTITUTE(C9932," ",""),3))&amp;"-"&amp;TEXT(B9932,"AAMMDD")&amp;"-1")</f>
        <v/>
      </c>
    </row>
    <row r="9933" spans="20:20">
      <c r="T9933" t="str">
        <f>IF(C9933="","",UPPER(LEFT(SUBSTITUTE(C9933," ",""),3))&amp;"-"&amp;TEXT(B9933,"AAMMDD")&amp;"-1")</f>
        <v/>
      </c>
    </row>
    <row r="9934" spans="20:20">
      <c r="T9934" t="str">
        <f>IF(C9934="","",UPPER(LEFT(SUBSTITUTE(C9934," ",""),3))&amp;"-"&amp;TEXT(B9934,"AAMMDD")&amp;"-1")</f>
        <v/>
      </c>
    </row>
    <row r="9935" spans="20:20">
      <c r="T9935" t="str">
        <f>IF(C9935="","",UPPER(LEFT(SUBSTITUTE(C9935," ",""),3))&amp;"-"&amp;TEXT(B9935,"AAMMDD")&amp;"-1")</f>
        <v/>
      </c>
    </row>
    <row r="9936" spans="20:20">
      <c r="T9936" t="str">
        <f>IF(C9936="","",UPPER(LEFT(SUBSTITUTE(C9936," ",""),3))&amp;"-"&amp;TEXT(B9936,"AAMMDD")&amp;"-1")</f>
        <v/>
      </c>
    </row>
    <row r="9937" spans="20:20">
      <c r="T9937" t="str">
        <f>IF(C9937="","",UPPER(LEFT(SUBSTITUTE(C9937," ",""),3))&amp;"-"&amp;TEXT(B9937,"AAMMDD")&amp;"-1")</f>
        <v/>
      </c>
    </row>
    <row r="9938" spans="20:20">
      <c r="T9938" t="str">
        <f>IF(C9938="","",UPPER(LEFT(SUBSTITUTE(C9938," ",""),3))&amp;"-"&amp;TEXT(B9938,"AAMMDD")&amp;"-1")</f>
        <v/>
      </c>
    </row>
    <row r="9939" spans="20:20">
      <c r="T9939" t="str">
        <f>IF(C9939="","",UPPER(LEFT(SUBSTITUTE(C9939," ",""),3))&amp;"-"&amp;TEXT(B9939,"AAMMDD")&amp;"-1")</f>
        <v/>
      </c>
    </row>
    <row r="9940" spans="20:20">
      <c r="T9940" t="str">
        <f>IF(C9940="","",UPPER(LEFT(SUBSTITUTE(C9940," ",""),3))&amp;"-"&amp;TEXT(B9940,"AAMMDD")&amp;"-1")</f>
        <v/>
      </c>
    </row>
    <row r="9941" spans="20:20">
      <c r="T9941" t="str">
        <f>IF(C9941="","",UPPER(LEFT(SUBSTITUTE(C9941," ",""),3))&amp;"-"&amp;TEXT(B9941,"AAMMDD")&amp;"-1")</f>
        <v/>
      </c>
    </row>
    <row r="9942" spans="20:20">
      <c r="T9942" t="str">
        <f>IF(C9942="","",UPPER(LEFT(SUBSTITUTE(C9942," ",""),3))&amp;"-"&amp;TEXT(B9942,"AAMMDD")&amp;"-1")</f>
        <v/>
      </c>
    </row>
    <row r="9943" spans="20:20">
      <c r="T9943" t="str">
        <f>IF(C9943="","",UPPER(LEFT(SUBSTITUTE(C9943," ",""),3))&amp;"-"&amp;TEXT(B9943,"AAMMDD")&amp;"-1")</f>
        <v/>
      </c>
    </row>
    <row r="9944" spans="20:20">
      <c r="T9944" t="str">
        <f>IF(C9944="","",UPPER(LEFT(SUBSTITUTE(C9944," ",""),3))&amp;"-"&amp;TEXT(B9944,"AAMMDD")&amp;"-1")</f>
        <v/>
      </c>
    </row>
    <row r="9945" spans="20:20">
      <c r="T9945" t="str">
        <f>IF(C9945="","",UPPER(LEFT(SUBSTITUTE(C9945," ",""),3))&amp;"-"&amp;TEXT(B9945,"AAMMDD")&amp;"-1")</f>
        <v/>
      </c>
    </row>
    <row r="9946" spans="20:20">
      <c r="T9946" t="str">
        <f>IF(C9946="","",UPPER(LEFT(SUBSTITUTE(C9946," ",""),3))&amp;"-"&amp;TEXT(B9946,"AAMMDD")&amp;"-1")</f>
        <v/>
      </c>
    </row>
    <row r="9947" spans="20:20">
      <c r="T9947" t="str">
        <f>IF(C9947="","",UPPER(LEFT(SUBSTITUTE(C9947," ",""),3))&amp;"-"&amp;TEXT(B9947,"AAMMDD")&amp;"-1")</f>
        <v/>
      </c>
    </row>
    <row r="9948" spans="20:20">
      <c r="T9948" t="str">
        <f>IF(C9948="","",UPPER(LEFT(SUBSTITUTE(C9948," ",""),3))&amp;"-"&amp;TEXT(B9948,"AAMMDD")&amp;"-1")</f>
        <v/>
      </c>
    </row>
    <row r="9949" spans="20:20">
      <c r="T9949" t="str">
        <f>IF(C9949="","",UPPER(LEFT(SUBSTITUTE(C9949," ",""),3))&amp;"-"&amp;TEXT(B9949,"AAMMDD")&amp;"-1")</f>
        <v/>
      </c>
    </row>
    <row r="9950" spans="20:20">
      <c r="T9950" t="str">
        <f>IF(C9950="","",UPPER(LEFT(SUBSTITUTE(C9950," ",""),3))&amp;"-"&amp;TEXT(B9950,"AAMMDD")&amp;"-1")</f>
        <v/>
      </c>
    </row>
    <row r="9951" spans="20:20">
      <c r="T9951" t="str">
        <f>IF(C9951="","",UPPER(LEFT(SUBSTITUTE(C9951," ",""),3))&amp;"-"&amp;TEXT(B9951,"AAMMDD")&amp;"-1")</f>
        <v/>
      </c>
    </row>
    <row r="9952" spans="20:20">
      <c r="T9952" t="str">
        <f>IF(C9952="","",UPPER(LEFT(SUBSTITUTE(C9952," ",""),3))&amp;"-"&amp;TEXT(B9952,"AAMMDD")&amp;"-1")</f>
        <v/>
      </c>
    </row>
    <row r="9953" spans="20:20">
      <c r="T9953" t="str">
        <f>IF(C9953="","",UPPER(LEFT(SUBSTITUTE(C9953," ",""),3))&amp;"-"&amp;TEXT(B9953,"AAMMDD")&amp;"-1")</f>
        <v/>
      </c>
    </row>
    <row r="9954" spans="20:20">
      <c r="T9954" t="str">
        <f>IF(C9954="","",UPPER(LEFT(SUBSTITUTE(C9954," ",""),3))&amp;"-"&amp;TEXT(B9954,"AAMMDD")&amp;"-1")</f>
        <v/>
      </c>
    </row>
    <row r="9955" spans="20:20">
      <c r="T9955" t="str">
        <f>IF(C9955="","",UPPER(LEFT(SUBSTITUTE(C9955," ",""),3))&amp;"-"&amp;TEXT(B9955,"AAMMDD")&amp;"-1")</f>
        <v/>
      </c>
    </row>
    <row r="9956" spans="20:20">
      <c r="T9956" t="str">
        <f>IF(C9956="","",UPPER(LEFT(SUBSTITUTE(C9956," ",""),3))&amp;"-"&amp;TEXT(B9956,"AAMMDD")&amp;"-1")</f>
        <v/>
      </c>
    </row>
    <row r="9957" spans="20:20">
      <c r="T9957" t="str">
        <f>IF(C9957="","",UPPER(LEFT(SUBSTITUTE(C9957," ",""),3))&amp;"-"&amp;TEXT(B9957,"AAMMDD")&amp;"-1")</f>
        <v/>
      </c>
    </row>
    <row r="9958" spans="20:20">
      <c r="T9958" t="str">
        <f>IF(C9958="","",UPPER(LEFT(SUBSTITUTE(C9958," ",""),3))&amp;"-"&amp;TEXT(B9958,"AAMMDD")&amp;"-1")</f>
        <v/>
      </c>
    </row>
    <row r="9959" spans="20:20">
      <c r="T9959" t="str">
        <f>IF(C9959="","",UPPER(LEFT(SUBSTITUTE(C9959," ",""),3))&amp;"-"&amp;TEXT(B9959,"AAMMDD")&amp;"-1")</f>
        <v/>
      </c>
    </row>
    <row r="9960" spans="20:20">
      <c r="T9960" t="str">
        <f>IF(C9960="","",UPPER(LEFT(SUBSTITUTE(C9960," ",""),3))&amp;"-"&amp;TEXT(B9960,"AAMMDD")&amp;"-1")</f>
        <v/>
      </c>
    </row>
    <row r="9961" spans="20:20">
      <c r="T9961" t="str">
        <f>IF(C9961="","",UPPER(LEFT(SUBSTITUTE(C9961," ",""),3))&amp;"-"&amp;TEXT(B9961,"AAMMDD")&amp;"-1")</f>
        <v/>
      </c>
    </row>
    <row r="9962" spans="20:20">
      <c r="T9962" t="str">
        <f>IF(C9962="","",UPPER(LEFT(SUBSTITUTE(C9962," ",""),3))&amp;"-"&amp;TEXT(B9962,"AAMMDD")&amp;"-1")</f>
        <v/>
      </c>
    </row>
    <row r="9963" spans="20:20">
      <c r="T9963" t="str">
        <f>IF(C9963="","",UPPER(LEFT(SUBSTITUTE(C9963," ",""),3))&amp;"-"&amp;TEXT(B9963,"AAMMDD")&amp;"-1")</f>
        <v/>
      </c>
    </row>
    <row r="9964" spans="20:20">
      <c r="T9964" t="str">
        <f>IF(C9964="","",UPPER(LEFT(SUBSTITUTE(C9964," ",""),3))&amp;"-"&amp;TEXT(B9964,"AAMMDD")&amp;"-1")</f>
        <v/>
      </c>
    </row>
    <row r="9965" spans="20:20">
      <c r="T9965" t="str">
        <f>IF(C9965="","",UPPER(LEFT(SUBSTITUTE(C9965," ",""),3))&amp;"-"&amp;TEXT(B9965,"AAMMDD")&amp;"-1")</f>
        <v/>
      </c>
    </row>
    <row r="9966" spans="20:20">
      <c r="T9966" t="str">
        <f>IF(C9966="","",UPPER(LEFT(SUBSTITUTE(C9966," ",""),3))&amp;"-"&amp;TEXT(B9966,"AAMMDD")&amp;"-1")</f>
        <v/>
      </c>
    </row>
    <row r="9967" spans="20:20">
      <c r="T9967" t="str">
        <f>IF(C9967="","",UPPER(LEFT(SUBSTITUTE(C9967," ",""),3))&amp;"-"&amp;TEXT(B9967,"AAMMDD")&amp;"-1")</f>
        <v/>
      </c>
    </row>
    <row r="9968" spans="20:20">
      <c r="T9968" t="str">
        <f>IF(C9968="","",UPPER(LEFT(SUBSTITUTE(C9968," ",""),3))&amp;"-"&amp;TEXT(B9968,"AAMMDD")&amp;"-1")</f>
        <v/>
      </c>
    </row>
    <row r="9969" spans="20:20">
      <c r="T9969" t="str">
        <f>IF(C9969="","",UPPER(LEFT(SUBSTITUTE(C9969," ",""),3))&amp;"-"&amp;TEXT(B9969,"AAMMDD")&amp;"-1")</f>
        <v/>
      </c>
    </row>
    <row r="9970" spans="20:20">
      <c r="T9970" t="str">
        <f>IF(C9970="","",UPPER(LEFT(SUBSTITUTE(C9970," ",""),3))&amp;"-"&amp;TEXT(B9970,"AAMMDD")&amp;"-1")</f>
        <v/>
      </c>
    </row>
    <row r="9971" spans="20:20">
      <c r="T9971" t="str">
        <f>IF(C9971="","",UPPER(LEFT(SUBSTITUTE(C9971," ",""),3))&amp;"-"&amp;TEXT(B9971,"AAMMDD")&amp;"-1")</f>
        <v/>
      </c>
    </row>
    <row r="9972" spans="20:20">
      <c r="T9972" t="str">
        <f>IF(C9972="","",UPPER(LEFT(SUBSTITUTE(C9972," ",""),3))&amp;"-"&amp;TEXT(B9972,"AAMMDD")&amp;"-1")</f>
        <v/>
      </c>
    </row>
    <row r="9973" spans="20:20">
      <c r="T9973" t="str">
        <f>IF(C9973="","",UPPER(LEFT(SUBSTITUTE(C9973," ",""),3))&amp;"-"&amp;TEXT(B9973,"AAMMDD")&amp;"-1")</f>
        <v/>
      </c>
    </row>
    <row r="9974" spans="20:20">
      <c r="T9974" t="str">
        <f>IF(C9974="","",UPPER(LEFT(SUBSTITUTE(C9974," ",""),3))&amp;"-"&amp;TEXT(B9974,"AAMMDD")&amp;"-1")</f>
        <v/>
      </c>
    </row>
    <row r="9975" spans="20:20">
      <c r="T9975" t="str">
        <f>IF(C9975="","",UPPER(LEFT(SUBSTITUTE(C9975," ",""),3))&amp;"-"&amp;TEXT(B9975,"AAMMDD")&amp;"-1")</f>
        <v/>
      </c>
    </row>
    <row r="9976" spans="20:20">
      <c r="T9976" t="str">
        <f>IF(C9976="","",UPPER(LEFT(SUBSTITUTE(C9976," ",""),3))&amp;"-"&amp;TEXT(B9976,"AAMMDD")&amp;"-1")</f>
        <v/>
      </c>
    </row>
    <row r="9977" spans="20:20">
      <c r="T9977" t="str">
        <f>IF(C9977="","",UPPER(LEFT(SUBSTITUTE(C9977," ",""),3))&amp;"-"&amp;TEXT(B9977,"AAMMDD")&amp;"-1")</f>
        <v/>
      </c>
    </row>
    <row r="9978" spans="20:20">
      <c r="T9978" t="str">
        <f>IF(C9978="","",UPPER(LEFT(SUBSTITUTE(C9978," ",""),3))&amp;"-"&amp;TEXT(B9978,"AAMMDD")&amp;"-1")</f>
        <v/>
      </c>
    </row>
    <row r="9979" spans="20:20">
      <c r="T9979" t="str">
        <f>IF(C9979="","",UPPER(LEFT(SUBSTITUTE(C9979," ",""),3))&amp;"-"&amp;TEXT(B9979,"AAMMDD")&amp;"-1")</f>
        <v/>
      </c>
    </row>
    <row r="9980" spans="20:20">
      <c r="T9980" t="str">
        <f>IF(C9980="","",UPPER(LEFT(SUBSTITUTE(C9980," ",""),3))&amp;"-"&amp;TEXT(B9980,"AAMMDD")&amp;"-1")</f>
        <v/>
      </c>
    </row>
    <row r="9981" spans="20:20">
      <c r="T9981" t="str">
        <f>IF(C9981="","",UPPER(LEFT(SUBSTITUTE(C9981," ",""),3))&amp;"-"&amp;TEXT(B9981,"AAMMDD")&amp;"-1")</f>
        <v/>
      </c>
    </row>
    <row r="9982" spans="20:20">
      <c r="T9982" t="str">
        <f>IF(C9982="","",UPPER(LEFT(SUBSTITUTE(C9982," ",""),3))&amp;"-"&amp;TEXT(B9982,"AAMMDD")&amp;"-1")</f>
        <v/>
      </c>
    </row>
    <row r="9983" spans="20:20">
      <c r="T9983" t="str">
        <f>IF(C9983="","",UPPER(LEFT(SUBSTITUTE(C9983," ",""),3))&amp;"-"&amp;TEXT(B9983,"AAMMDD")&amp;"-1")</f>
        <v/>
      </c>
    </row>
    <row r="9984" spans="20:20">
      <c r="T9984" t="str">
        <f>IF(C9984="","",UPPER(LEFT(SUBSTITUTE(C9984," ",""),3))&amp;"-"&amp;TEXT(B9984,"AAMMDD")&amp;"-1")</f>
        <v/>
      </c>
    </row>
    <row r="9985" spans="20:20">
      <c r="T9985" t="str">
        <f>IF(C9985="","",UPPER(LEFT(SUBSTITUTE(C9985," ",""),3))&amp;"-"&amp;TEXT(B9985,"AAMMDD")&amp;"-1")</f>
        <v/>
      </c>
    </row>
    <row r="9986" spans="20:20">
      <c r="T9986" t="str">
        <f>IF(C9986="","",UPPER(LEFT(SUBSTITUTE(C9986," ",""),3))&amp;"-"&amp;TEXT(B9986,"AAMMDD")&amp;"-1")</f>
        <v/>
      </c>
    </row>
    <row r="9987" spans="20:20">
      <c r="T9987" t="str">
        <f>IF(C9987="","",UPPER(LEFT(SUBSTITUTE(C9987," ",""),3))&amp;"-"&amp;TEXT(B9987,"AAMMDD")&amp;"-1")</f>
        <v/>
      </c>
    </row>
    <row r="9988" spans="20:20">
      <c r="T9988" t="str">
        <f>IF(C9988="","",UPPER(LEFT(SUBSTITUTE(C9988," ",""),3))&amp;"-"&amp;TEXT(B9988,"AAMMDD")&amp;"-1")</f>
        <v/>
      </c>
    </row>
    <row r="9989" spans="20:20">
      <c r="T9989" t="str">
        <f>IF(C9989="","",UPPER(LEFT(SUBSTITUTE(C9989," ",""),3))&amp;"-"&amp;TEXT(B9989,"AAMMDD")&amp;"-1")</f>
        <v/>
      </c>
    </row>
    <row r="9990" spans="20:20">
      <c r="T9990" t="str">
        <f>IF(C9990="","",UPPER(LEFT(SUBSTITUTE(C9990," ",""),3))&amp;"-"&amp;TEXT(B9990,"AAMMDD")&amp;"-1")</f>
        <v/>
      </c>
    </row>
    <row r="9991" spans="20:20">
      <c r="T9991" t="str">
        <f>IF(C9991="","",UPPER(LEFT(SUBSTITUTE(C9991," ",""),3))&amp;"-"&amp;TEXT(B9991,"AAMMDD")&amp;"-1")</f>
        <v/>
      </c>
    </row>
    <row r="9992" spans="20:20">
      <c r="T9992" t="str">
        <f>IF(C9992="","",UPPER(LEFT(SUBSTITUTE(C9992," ",""),3))&amp;"-"&amp;TEXT(B9992,"AAMMDD")&amp;"-1")</f>
        <v/>
      </c>
    </row>
    <row r="9993" spans="20:20">
      <c r="T9993" t="str">
        <f>IF(C9993="","",UPPER(LEFT(SUBSTITUTE(C9993," ",""),3))&amp;"-"&amp;TEXT(B9993,"AAMMDD")&amp;"-1")</f>
        <v/>
      </c>
    </row>
    <row r="9994" spans="20:20">
      <c r="T9994" t="str">
        <f>IF(C9994="","",UPPER(LEFT(SUBSTITUTE(C9994," ",""),3))&amp;"-"&amp;TEXT(B9994,"AAMMDD")&amp;"-1")</f>
        <v/>
      </c>
    </row>
    <row r="9995" spans="20:20">
      <c r="T9995" t="str">
        <f>IF(C9995="","",UPPER(LEFT(SUBSTITUTE(C9995," ",""),3))&amp;"-"&amp;TEXT(B9995,"AAMMDD")&amp;"-1")</f>
        <v/>
      </c>
    </row>
    <row r="9996" spans="20:20">
      <c r="T9996" t="str">
        <f>IF(C9996="","",UPPER(LEFT(SUBSTITUTE(C9996," ",""),3))&amp;"-"&amp;TEXT(B9996,"AAMMDD")&amp;"-1")</f>
        <v/>
      </c>
    </row>
    <row r="9997" spans="20:20">
      <c r="T9997" t="str">
        <f>IF(C9997="","",UPPER(LEFT(SUBSTITUTE(C9997," ",""),3))&amp;"-"&amp;TEXT(B9997,"AAMMDD")&amp;"-1")</f>
        <v/>
      </c>
    </row>
    <row r="9998" spans="20:20">
      <c r="T9998" t="str">
        <f>IF(C9998="","",UPPER(LEFT(SUBSTITUTE(C9998," ",""),3))&amp;"-"&amp;TEXT(B9998,"AAMMDD")&amp;"-1")</f>
        <v/>
      </c>
    </row>
    <row r="9999" spans="20:20">
      <c r="T9999" t="str">
        <f>IF(C9999="","",UPPER(LEFT(SUBSTITUTE(C9999," ",""),3))&amp;"-"&amp;TEXT(B9999,"AAMMDD")&amp;"-1")</f>
        <v/>
      </c>
    </row>
    <row r="10000" spans="20:20">
      <c r="T10000" t="str">
        <f>IF(C10000="","",UPPER(LEFT(SUBSTITUTE(C10000," ",""),3))&amp;"-"&amp;TEXT(B10000,"AAMMDD")&amp;"-1")</f>
        <v/>
      </c>
    </row>
    <row r="10001" spans="20:20">
      <c r="T10001" t="str">
        <f>IF(C10001="","",UPPER(LEFT(SUBSTITUTE(C10001," ",""),3))&amp;"-"&amp;TEXT(B10001,"AAMMDD")&amp;"-1")</f>
        <v/>
      </c>
    </row>
    <row r="10002" spans="20:20">
      <c r="T10002" t="str">
        <f>IF(C10002="","",UPPER(LEFT(SUBSTITUTE(C10002," ",""),3))&amp;"-"&amp;TEXT(B10002,"AAMMDD")&amp;"-1")</f>
        <v/>
      </c>
    </row>
    <row r="10003" spans="20:20">
      <c r="T10003" t="str">
        <f>IF(C10003="","",UPPER(LEFT(SUBSTITUTE(C10003," ",""),3))&amp;"-"&amp;TEXT(B10003,"AAMMDD")&amp;"-1")</f>
        <v/>
      </c>
    </row>
    <row r="10004" spans="20:20">
      <c r="T10004" t="str">
        <f>IF(C10004="","",UPPER(LEFT(SUBSTITUTE(C10004," ",""),3))&amp;"-"&amp;TEXT(B10004,"AAMMDD")&amp;"-1")</f>
        <v/>
      </c>
    </row>
    <row r="10005" spans="20:20">
      <c r="T10005" t="str">
        <f>IF(C10005="","",UPPER(LEFT(SUBSTITUTE(C10005," ",""),3))&amp;"-"&amp;TEXT(B10005,"AAMMDD")&amp;"-1")</f>
        <v/>
      </c>
    </row>
    <row r="10006" spans="20:20">
      <c r="T10006" t="str">
        <f>IF(C10006="","",UPPER(LEFT(SUBSTITUTE(C10006," ",""),3))&amp;"-"&amp;TEXT(B10006,"AAMMDD")&amp;"-1")</f>
        <v/>
      </c>
    </row>
    <row r="10007" spans="20:20">
      <c r="T10007" t="str">
        <f>IF(C10007="","",UPPER(LEFT(SUBSTITUTE(C10007," ",""),3))&amp;"-"&amp;TEXT(B10007,"AAMMDD")&amp;"-1")</f>
        <v/>
      </c>
    </row>
    <row r="10008" spans="20:20">
      <c r="T10008" t="str">
        <f>IF(C10008="","",UPPER(LEFT(SUBSTITUTE(C10008," ",""),3))&amp;"-"&amp;TEXT(B10008,"AAMMDD")&amp;"-1")</f>
        <v/>
      </c>
    </row>
    <row r="10009" spans="20:20">
      <c r="T10009" t="str">
        <f>IF(C10009="","",UPPER(LEFT(SUBSTITUTE(C10009," ",""),3))&amp;"-"&amp;TEXT(B10009,"AAMMDD")&amp;"-1")</f>
        <v/>
      </c>
    </row>
    <row r="10010" spans="20:20">
      <c r="T10010" t="str">
        <f>IF(C10010="","",UPPER(LEFT(SUBSTITUTE(C10010," ",""),3))&amp;"-"&amp;TEXT(B10010,"AAMMDD")&amp;"-1")</f>
        <v/>
      </c>
    </row>
    <row r="10011" spans="20:20">
      <c r="T10011" t="str">
        <f>IF(C10011="","",UPPER(LEFT(SUBSTITUTE(C10011," ",""),3))&amp;"-"&amp;TEXT(B10011,"AAMMDD")&amp;"-1")</f>
        <v/>
      </c>
    </row>
    <row r="10012" spans="20:20">
      <c r="T10012" t="str">
        <f>IF(C10012="","",UPPER(LEFT(SUBSTITUTE(C10012," ",""),3))&amp;"-"&amp;TEXT(B10012,"AAMMDD")&amp;"-1")</f>
        <v/>
      </c>
    </row>
    <row r="10013" spans="20:20">
      <c r="T10013" t="str">
        <f>IF(C10013="","",UPPER(LEFT(SUBSTITUTE(C10013," ",""),3))&amp;"-"&amp;TEXT(B10013,"AAMMDD")&amp;"-1")</f>
        <v/>
      </c>
    </row>
    <row r="10014" spans="20:20">
      <c r="T10014" t="str">
        <f>IF(C10014="","",UPPER(LEFT(SUBSTITUTE(C10014," ",""),3))&amp;"-"&amp;TEXT(B10014,"AAMMDD")&amp;"-1")</f>
        <v/>
      </c>
    </row>
    <row r="10015" spans="20:20">
      <c r="T10015" t="str">
        <f>IF(C10015="","",UPPER(LEFT(SUBSTITUTE(C10015," ",""),3))&amp;"-"&amp;TEXT(B10015,"AAMMDD")&amp;"-1")</f>
        <v/>
      </c>
    </row>
    <row r="10016" spans="20:20">
      <c r="T10016" t="str">
        <f>IF(C10016="","",UPPER(LEFT(SUBSTITUTE(C10016," ",""),3))&amp;"-"&amp;TEXT(B10016,"AAMMDD")&amp;"-1")</f>
        <v/>
      </c>
    </row>
    <row r="10017" spans="20:20">
      <c r="T10017" t="str">
        <f>IF(C10017="","",UPPER(LEFT(SUBSTITUTE(C10017," ",""),3))&amp;"-"&amp;TEXT(B10017,"AAMMDD")&amp;"-1")</f>
        <v/>
      </c>
    </row>
    <row r="10018" spans="20:20">
      <c r="T10018" t="str">
        <f>IF(C10018="","",UPPER(LEFT(SUBSTITUTE(C10018," ",""),3))&amp;"-"&amp;TEXT(B10018,"AAMMDD")&amp;"-1")</f>
        <v/>
      </c>
    </row>
    <row r="10019" spans="20:20">
      <c r="T10019" t="str">
        <f>IF(C10019="","",UPPER(LEFT(SUBSTITUTE(C10019," ",""),3))&amp;"-"&amp;TEXT(B10019,"AAMMDD")&amp;"-1")</f>
        <v/>
      </c>
    </row>
    <row r="10020" spans="20:20">
      <c r="T10020" t="str">
        <f>IF(C10020="","",UPPER(LEFT(SUBSTITUTE(C10020," ",""),3))&amp;"-"&amp;TEXT(B10020,"AAMMDD")&amp;"-1")</f>
        <v/>
      </c>
    </row>
    <row r="10021" spans="20:20">
      <c r="T10021" t="str">
        <f>IF(C10021="","",UPPER(LEFT(SUBSTITUTE(C10021," ",""),3))&amp;"-"&amp;TEXT(B10021,"AAMMDD")&amp;"-1")</f>
        <v/>
      </c>
    </row>
    <row r="10022" spans="20:20">
      <c r="T10022" t="str">
        <f>IF(C10022="","",UPPER(LEFT(SUBSTITUTE(C10022," ",""),3))&amp;"-"&amp;TEXT(B10022,"AAMMDD")&amp;"-1")</f>
        <v/>
      </c>
    </row>
    <row r="10023" spans="20:20">
      <c r="T10023" t="str">
        <f>IF(C10023="","",UPPER(LEFT(SUBSTITUTE(C10023," ",""),3))&amp;"-"&amp;TEXT(B10023,"AAMMDD")&amp;"-1")</f>
        <v/>
      </c>
    </row>
    <row r="10024" spans="20:20">
      <c r="T10024" t="str">
        <f>IF(C10024="","",UPPER(LEFT(SUBSTITUTE(C10024," ",""),3))&amp;"-"&amp;TEXT(B10024,"AAMMDD")&amp;"-1")</f>
        <v/>
      </c>
    </row>
    <row r="10025" spans="20:20">
      <c r="T10025" t="str">
        <f>IF(C10025="","",UPPER(LEFT(SUBSTITUTE(C10025," ",""),3))&amp;"-"&amp;TEXT(B10025,"AAMMDD")&amp;"-1")</f>
        <v/>
      </c>
    </row>
    <row r="10026" spans="20:20">
      <c r="T10026" t="str">
        <f>IF(C10026="","",UPPER(LEFT(SUBSTITUTE(C10026," ",""),3))&amp;"-"&amp;TEXT(B10026,"AAMMDD")&amp;"-1")</f>
        <v/>
      </c>
    </row>
    <row r="10027" spans="20:20">
      <c r="T10027" t="str">
        <f>IF(C10027="","",UPPER(LEFT(SUBSTITUTE(C10027," ",""),3))&amp;"-"&amp;TEXT(B10027,"AAMMDD")&amp;"-1")</f>
        <v/>
      </c>
    </row>
    <row r="10028" spans="20:20">
      <c r="T10028" t="str">
        <f>IF(C10028="","",UPPER(LEFT(SUBSTITUTE(C10028," ",""),3))&amp;"-"&amp;TEXT(B10028,"AAMMDD")&amp;"-1")</f>
        <v/>
      </c>
    </row>
    <row r="10029" spans="20:20">
      <c r="T10029" t="str">
        <f>IF(C10029="","",UPPER(LEFT(SUBSTITUTE(C10029," ",""),3))&amp;"-"&amp;TEXT(B10029,"AAMMDD")&amp;"-1")</f>
        <v/>
      </c>
    </row>
    <row r="10030" spans="20:20">
      <c r="T10030" t="str">
        <f>IF(C10030="","",UPPER(LEFT(SUBSTITUTE(C10030," ",""),3))&amp;"-"&amp;TEXT(B10030,"AAMMDD")&amp;"-1")</f>
        <v/>
      </c>
    </row>
    <row r="10031" spans="20:20">
      <c r="T10031" t="str">
        <f>IF(C10031="","",UPPER(LEFT(SUBSTITUTE(C10031," ",""),3))&amp;"-"&amp;TEXT(B10031,"AAMMDD")&amp;"-1")</f>
        <v/>
      </c>
    </row>
    <row r="10032" spans="20:20">
      <c r="T10032" t="str">
        <f>IF(C10032="","",UPPER(LEFT(SUBSTITUTE(C10032," ",""),3))&amp;"-"&amp;TEXT(B10032,"AAMMDD")&amp;"-1")</f>
        <v/>
      </c>
    </row>
    <row r="10033" spans="20:20">
      <c r="T10033" t="str">
        <f>IF(C10033="","",UPPER(LEFT(SUBSTITUTE(C10033," ",""),3))&amp;"-"&amp;TEXT(B10033,"AAMMDD")&amp;"-1")</f>
        <v/>
      </c>
    </row>
    <row r="10034" spans="20:20">
      <c r="T10034" t="str">
        <f>IF(C10034="","",UPPER(LEFT(SUBSTITUTE(C10034," ",""),3))&amp;"-"&amp;TEXT(B10034,"AAMMDD")&amp;"-1")</f>
        <v/>
      </c>
    </row>
    <row r="10035" spans="20:20">
      <c r="T10035" t="str">
        <f>IF(C10035="","",UPPER(LEFT(SUBSTITUTE(C10035," ",""),3))&amp;"-"&amp;TEXT(B10035,"AAMMDD")&amp;"-1")</f>
        <v/>
      </c>
    </row>
    <row r="10036" spans="20:20">
      <c r="T10036" t="str">
        <f>IF(C10036="","",UPPER(LEFT(SUBSTITUTE(C10036," ",""),3))&amp;"-"&amp;TEXT(B10036,"AAMMDD")&amp;"-1")</f>
        <v/>
      </c>
    </row>
    <row r="10037" spans="20:20">
      <c r="T10037" t="str">
        <f>IF(C10037="","",UPPER(LEFT(SUBSTITUTE(C10037," ",""),3))&amp;"-"&amp;TEXT(B10037,"AAMMDD")&amp;"-1")</f>
        <v/>
      </c>
    </row>
    <row r="10038" spans="20:20">
      <c r="T10038" t="str">
        <f>IF(C10038="","",UPPER(LEFT(SUBSTITUTE(C10038," ",""),3))&amp;"-"&amp;TEXT(B10038,"AAMMDD")&amp;"-1")</f>
        <v/>
      </c>
    </row>
    <row r="10039" spans="20:20">
      <c r="T10039" t="str">
        <f>IF(C10039="","",UPPER(LEFT(SUBSTITUTE(C10039," ",""),3))&amp;"-"&amp;TEXT(B10039,"AAMMDD")&amp;"-1")</f>
        <v/>
      </c>
    </row>
    <row r="10040" spans="20:20">
      <c r="T10040" t="str">
        <f>IF(C10040="","",UPPER(LEFT(SUBSTITUTE(C10040," ",""),3))&amp;"-"&amp;TEXT(B10040,"AAMMDD")&amp;"-1")</f>
        <v/>
      </c>
    </row>
    <row r="10041" spans="20:20">
      <c r="T10041" t="str">
        <f>IF(C10041="","",UPPER(LEFT(SUBSTITUTE(C10041," ",""),3))&amp;"-"&amp;TEXT(B10041,"AAMMDD")&amp;"-1")</f>
        <v/>
      </c>
    </row>
    <row r="10042" spans="20:20">
      <c r="T10042" t="str">
        <f>IF(C10042="","",UPPER(LEFT(SUBSTITUTE(C10042," ",""),3))&amp;"-"&amp;TEXT(B10042,"AAMMDD")&amp;"-1")</f>
        <v/>
      </c>
    </row>
    <row r="10043" spans="20:20">
      <c r="T10043" t="str">
        <f>IF(C10043="","",UPPER(LEFT(SUBSTITUTE(C10043," ",""),3))&amp;"-"&amp;TEXT(B10043,"AAMMDD")&amp;"-1")</f>
        <v/>
      </c>
    </row>
    <row r="10044" spans="20:20">
      <c r="T10044" t="str">
        <f>IF(C10044="","",UPPER(LEFT(SUBSTITUTE(C10044," ",""),3))&amp;"-"&amp;TEXT(B10044,"AAMMDD")&amp;"-1")</f>
        <v/>
      </c>
    </row>
    <row r="10045" spans="20:20">
      <c r="T10045" t="str">
        <f>IF(C10045="","",UPPER(LEFT(SUBSTITUTE(C10045," ",""),3))&amp;"-"&amp;TEXT(B10045,"AAMMDD")&amp;"-1")</f>
        <v/>
      </c>
    </row>
    <row r="10046" spans="20:20">
      <c r="T10046" t="str">
        <f>IF(C10046="","",UPPER(LEFT(SUBSTITUTE(C10046," ",""),3))&amp;"-"&amp;TEXT(B10046,"AAMMDD")&amp;"-1")</f>
        <v/>
      </c>
    </row>
    <row r="10047" spans="20:20">
      <c r="T10047" t="str">
        <f>IF(C10047="","",UPPER(LEFT(SUBSTITUTE(C10047," ",""),3))&amp;"-"&amp;TEXT(B10047,"AAMMDD")&amp;"-1")</f>
        <v/>
      </c>
    </row>
    <row r="10048" spans="20:20">
      <c r="T10048" t="str">
        <f>IF(C10048="","",UPPER(LEFT(SUBSTITUTE(C10048," ",""),3))&amp;"-"&amp;TEXT(B10048,"AAMMDD")&amp;"-1")</f>
        <v/>
      </c>
    </row>
    <row r="10049" spans="20:20">
      <c r="T10049" t="str">
        <f>IF(C10049="","",UPPER(LEFT(SUBSTITUTE(C10049," ",""),3))&amp;"-"&amp;TEXT(B10049,"AAMMDD")&amp;"-1")</f>
        <v/>
      </c>
    </row>
    <row r="10050" spans="20:20">
      <c r="T10050" t="str">
        <f>IF(C10050="","",UPPER(LEFT(SUBSTITUTE(C10050," ",""),3))&amp;"-"&amp;TEXT(B10050,"AAMMDD")&amp;"-1")</f>
        <v/>
      </c>
    </row>
    <row r="10051" spans="20:20">
      <c r="T10051" t="str">
        <f>IF(C10051="","",UPPER(LEFT(SUBSTITUTE(C10051," ",""),3))&amp;"-"&amp;TEXT(B10051,"AAMMDD")&amp;"-1")</f>
        <v/>
      </c>
    </row>
    <row r="10052" spans="20:20">
      <c r="T10052" t="str">
        <f>IF(C10052="","",UPPER(LEFT(SUBSTITUTE(C10052," ",""),3))&amp;"-"&amp;TEXT(B10052,"AAMMDD")&amp;"-1")</f>
        <v/>
      </c>
    </row>
    <row r="10053" spans="20:20">
      <c r="T10053" t="str">
        <f>IF(C10053="","",UPPER(LEFT(SUBSTITUTE(C10053," ",""),3))&amp;"-"&amp;TEXT(B10053,"AAMMDD")&amp;"-1")</f>
        <v/>
      </c>
    </row>
    <row r="10054" spans="20:20">
      <c r="T10054" t="str">
        <f>IF(C10054="","",UPPER(LEFT(SUBSTITUTE(C10054," ",""),3))&amp;"-"&amp;TEXT(B10054,"AAMMDD")&amp;"-1")</f>
        <v/>
      </c>
    </row>
    <row r="10055" spans="20:20">
      <c r="T10055" t="str">
        <f>IF(C10055="","",UPPER(LEFT(SUBSTITUTE(C10055," ",""),3))&amp;"-"&amp;TEXT(B10055,"AAMMDD")&amp;"-1")</f>
        <v/>
      </c>
    </row>
    <row r="10056" spans="20:20">
      <c r="T10056" t="str">
        <f>IF(C10056="","",UPPER(LEFT(SUBSTITUTE(C10056," ",""),3))&amp;"-"&amp;TEXT(B10056,"AAMMDD")&amp;"-1")</f>
        <v/>
      </c>
    </row>
    <row r="10057" spans="20:20">
      <c r="T10057" t="str">
        <f>IF(C10057="","",UPPER(LEFT(SUBSTITUTE(C10057," ",""),3))&amp;"-"&amp;TEXT(B10057,"AAMMDD")&amp;"-1")</f>
        <v/>
      </c>
    </row>
    <row r="10058" spans="20:20">
      <c r="T10058" t="str">
        <f>IF(C10058="","",UPPER(LEFT(SUBSTITUTE(C10058," ",""),3))&amp;"-"&amp;TEXT(B10058,"AAMMDD")&amp;"-1")</f>
        <v/>
      </c>
    </row>
    <row r="10059" spans="20:20">
      <c r="T10059" t="str">
        <f>IF(C10059="","",UPPER(LEFT(SUBSTITUTE(C10059," ",""),3))&amp;"-"&amp;TEXT(B10059,"AAMMDD")&amp;"-1")</f>
        <v/>
      </c>
    </row>
    <row r="10060" spans="20:20">
      <c r="T10060" t="str">
        <f>IF(C10060="","",UPPER(LEFT(SUBSTITUTE(C10060," ",""),3))&amp;"-"&amp;TEXT(B10060,"AAMMDD")&amp;"-1")</f>
        <v/>
      </c>
    </row>
    <row r="10061" spans="20:20">
      <c r="T10061" t="str">
        <f>IF(C10061="","",UPPER(LEFT(SUBSTITUTE(C10061," ",""),3))&amp;"-"&amp;TEXT(B10061,"AAMMDD")&amp;"-1")</f>
        <v/>
      </c>
    </row>
    <row r="10062" spans="20:20">
      <c r="T10062" t="str">
        <f>IF(C10062="","",UPPER(LEFT(SUBSTITUTE(C10062," ",""),3))&amp;"-"&amp;TEXT(B10062,"AAMMDD")&amp;"-1")</f>
        <v/>
      </c>
    </row>
    <row r="10063" spans="20:20">
      <c r="T10063" t="str">
        <f>IF(C10063="","",UPPER(LEFT(SUBSTITUTE(C10063," ",""),3))&amp;"-"&amp;TEXT(B10063,"AAMMDD")&amp;"-1")</f>
        <v/>
      </c>
    </row>
    <row r="10064" spans="20:20">
      <c r="T10064" t="str">
        <f>IF(C10064="","",UPPER(LEFT(SUBSTITUTE(C10064," ",""),3))&amp;"-"&amp;TEXT(B10064,"AAMMDD")&amp;"-1")</f>
        <v/>
      </c>
    </row>
    <row r="10065" spans="20:20">
      <c r="T10065" t="str">
        <f>IF(C10065="","",UPPER(LEFT(SUBSTITUTE(C10065," ",""),3))&amp;"-"&amp;TEXT(B10065,"AAMMDD")&amp;"-1")</f>
        <v/>
      </c>
    </row>
    <row r="10066" spans="20:20">
      <c r="T10066" t="str">
        <f>IF(C10066="","",UPPER(LEFT(SUBSTITUTE(C10066," ",""),3))&amp;"-"&amp;TEXT(B10066,"AAMMDD")&amp;"-1")</f>
        <v/>
      </c>
    </row>
    <row r="10067" spans="20:20">
      <c r="T10067" t="str">
        <f>IF(C10067="","",UPPER(LEFT(SUBSTITUTE(C10067," ",""),3))&amp;"-"&amp;TEXT(B10067,"AAMMDD")&amp;"-1")</f>
        <v/>
      </c>
    </row>
    <row r="10068" spans="20:20">
      <c r="T10068" t="str">
        <f>IF(C10068="","",UPPER(LEFT(SUBSTITUTE(C10068," ",""),3))&amp;"-"&amp;TEXT(B10068,"AAMMDD")&amp;"-1")</f>
        <v/>
      </c>
    </row>
    <row r="10069" spans="20:20">
      <c r="T10069" t="str">
        <f>IF(C10069="","",UPPER(LEFT(SUBSTITUTE(C10069," ",""),3))&amp;"-"&amp;TEXT(B10069,"AAMMDD")&amp;"-1")</f>
        <v/>
      </c>
    </row>
    <row r="10070" spans="20:20">
      <c r="T10070" t="str">
        <f>IF(C10070="","",UPPER(LEFT(SUBSTITUTE(C10070," ",""),3))&amp;"-"&amp;TEXT(B10070,"AAMMDD")&amp;"-1")</f>
        <v/>
      </c>
    </row>
    <row r="10071" spans="20:20">
      <c r="T10071" t="str">
        <f>IF(C10071="","",UPPER(LEFT(SUBSTITUTE(C10071," ",""),3))&amp;"-"&amp;TEXT(B10071,"AAMMDD")&amp;"-1")</f>
        <v/>
      </c>
    </row>
    <row r="10072" spans="20:20">
      <c r="T10072" t="str">
        <f>IF(C10072="","",UPPER(LEFT(SUBSTITUTE(C10072," ",""),3))&amp;"-"&amp;TEXT(B10072,"AAMMDD")&amp;"-1")</f>
        <v/>
      </c>
    </row>
    <row r="10073" spans="20:20">
      <c r="T10073" t="str">
        <f>IF(C10073="","",UPPER(LEFT(SUBSTITUTE(C10073," ",""),3))&amp;"-"&amp;TEXT(B10073,"AAMMDD")&amp;"-1")</f>
        <v/>
      </c>
    </row>
    <row r="10074" spans="20:20">
      <c r="T10074" t="str">
        <f>IF(C10074="","",UPPER(LEFT(SUBSTITUTE(C10074," ",""),3))&amp;"-"&amp;TEXT(B10074,"AAMMDD")&amp;"-1")</f>
        <v/>
      </c>
    </row>
    <row r="10075" spans="20:20">
      <c r="T10075" t="str">
        <f>IF(C10075="","",UPPER(LEFT(SUBSTITUTE(C10075," ",""),3))&amp;"-"&amp;TEXT(B10075,"AAMMDD")&amp;"-1")</f>
        <v/>
      </c>
    </row>
    <row r="10076" spans="20:20">
      <c r="T10076" t="str">
        <f>IF(C10076="","",UPPER(LEFT(SUBSTITUTE(C10076," ",""),3))&amp;"-"&amp;TEXT(B10076,"AAMMDD")&amp;"-1")</f>
        <v/>
      </c>
    </row>
    <row r="10077" spans="20:20">
      <c r="T10077" t="str">
        <f>IF(C10077="","",UPPER(LEFT(SUBSTITUTE(C10077," ",""),3))&amp;"-"&amp;TEXT(B10077,"AAMMDD")&amp;"-1")</f>
        <v/>
      </c>
    </row>
    <row r="10078" spans="20:20">
      <c r="T10078" t="str">
        <f>IF(C10078="","",UPPER(LEFT(SUBSTITUTE(C10078," ",""),3))&amp;"-"&amp;TEXT(B10078,"AAMMDD")&amp;"-1")</f>
        <v/>
      </c>
    </row>
    <row r="10079" spans="20:20">
      <c r="T10079" t="str">
        <f>IF(C10079="","",UPPER(LEFT(SUBSTITUTE(C10079," ",""),3))&amp;"-"&amp;TEXT(B10079,"AAMMDD")&amp;"-1")</f>
        <v/>
      </c>
    </row>
    <row r="10080" spans="20:20">
      <c r="T10080" t="str">
        <f>IF(C10080="","",UPPER(LEFT(SUBSTITUTE(C10080," ",""),3))&amp;"-"&amp;TEXT(B10080,"AAMMDD")&amp;"-1")</f>
        <v/>
      </c>
    </row>
    <row r="10081" spans="20:20">
      <c r="T10081" t="str">
        <f>IF(C10081="","",UPPER(LEFT(SUBSTITUTE(C10081," ",""),3))&amp;"-"&amp;TEXT(B10081,"AAMMDD")&amp;"-1")</f>
        <v/>
      </c>
    </row>
    <row r="10082" spans="20:20">
      <c r="T10082" t="str">
        <f>IF(C10082="","",UPPER(LEFT(SUBSTITUTE(C10082," ",""),3))&amp;"-"&amp;TEXT(B10082,"AAMMDD")&amp;"-1")</f>
        <v/>
      </c>
    </row>
    <row r="10083" spans="20:20">
      <c r="T10083" t="str">
        <f>IF(C10083="","",UPPER(LEFT(SUBSTITUTE(C10083," ",""),3))&amp;"-"&amp;TEXT(B10083,"AAMMDD")&amp;"-1")</f>
        <v/>
      </c>
    </row>
    <row r="10084" spans="20:20">
      <c r="T10084" t="str">
        <f>IF(C10084="","",UPPER(LEFT(SUBSTITUTE(C10084," ",""),3))&amp;"-"&amp;TEXT(B10084,"AAMMDD")&amp;"-1")</f>
        <v/>
      </c>
    </row>
    <row r="10085" spans="20:20">
      <c r="T10085" t="str">
        <f>IF(C10085="","",UPPER(LEFT(SUBSTITUTE(C10085," ",""),3))&amp;"-"&amp;TEXT(B10085,"AAMMDD")&amp;"-1")</f>
        <v/>
      </c>
    </row>
    <row r="10086" spans="20:20">
      <c r="T10086" t="str">
        <f>IF(C10086="","",UPPER(LEFT(SUBSTITUTE(C10086," ",""),3))&amp;"-"&amp;TEXT(B10086,"AAMMDD")&amp;"-1")</f>
        <v/>
      </c>
    </row>
    <row r="10087" spans="20:20">
      <c r="T10087" t="str">
        <f>IF(C10087="","",UPPER(LEFT(SUBSTITUTE(C10087," ",""),3))&amp;"-"&amp;TEXT(B10087,"AAMMDD")&amp;"-1")</f>
        <v/>
      </c>
    </row>
    <row r="10088" spans="20:20">
      <c r="T10088" t="str">
        <f>IF(C10088="","",UPPER(LEFT(SUBSTITUTE(C10088," ",""),3))&amp;"-"&amp;TEXT(B10088,"AAMMDD")&amp;"-1")</f>
        <v/>
      </c>
    </row>
    <row r="10089" spans="20:20">
      <c r="T10089" t="str">
        <f>IF(C10089="","",UPPER(LEFT(SUBSTITUTE(C10089," ",""),3))&amp;"-"&amp;TEXT(B10089,"AAMMDD")&amp;"-1")</f>
        <v/>
      </c>
    </row>
    <row r="10090" spans="20:20">
      <c r="T10090" t="str">
        <f>IF(C10090="","",UPPER(LEFT(SUBSTITUTE(C10090," ",""),3))&amp;"-"&amp;TEXT(B10090,"AAMMDD")&amp;"-1")</f>
        <v/>
      </c>
    </row>
    <row r="10091" spans="20:20">
      <c r="T10091" t="str">
        <f>IF(C10091="","",UPPER(LEFT(SUBSTITUTE(C10091," ",""),3))&amp;"-"&amp;TEXT(B10091,"AAMMDD")&amp;"-1")</f>
        <v/>
      </c>
    </row>
    <row r="10092" spans="20:20">
      <c r="T10092" t="str">
        <f>IF(C10092="","",UPPER(LEFT(SUBSTITUTE(C10092," ",""),3))&amp;"-"&amp;TEXT(B10092,"AAMMDD")&amp;"-1")</f>
        <v/>
      </c>
    </row>
    <row r="10093" spans="20:20">
      <c r="T10093" t="str">
        <f>IF(C10093="","",UPPER(LEFT(SUBSTITUTE(C10093," ",""),3))&amp;"-"&amp;TEXT(B10093,"AAMMDD")&amp;"-1")</f>
        <v/>
      </c>
    </row>
    <row r="10094" spans="20:20">
      <c r="T10094" t="str">
        <f>IF(C10094="","",UPPER(LEFT(SUBSTITUTE(C10094," ",""),3))&amp;"-"&amp;TEXT(B10094,"AAMMDD")&amp;"-1")</f>
        <v/>
      </c>
    </row>
    <row r="10095" spans="20:20">
      <c r="T10095" t="str">
        <f>IF(C10095="","",UPPER(LEFT(SUBSTITUTE(C10095," ",""),3))&amp;"-"&amp;TEXT(B10095,"AAMMDD")&amp;"-1")</f>
        <v/>
      </c>
    </row>
    <row r="10096" spans="20:20">
      <c r="T10096" t="str">
        <f>IF(C10096="","",UPPER(LEFT(SUBSTITUTE(C10096," ",""),3))&amp;"-"&amp;TEXT(B10096,"AAMMDD")&amp;"-1")</f>
        <v/>
      </c>
    </row>
    <row r="10097" spans="20:20">
      <c r="T10097" t="str">
        <f>IF(C10097="","",UPPER(LEFT(SUBSTITUTE(C10097," ",""),3))&amp;"-"&amp;TEXT(B10097,"AAMMDD")&amp;"-1")</f>
        <v/>
      </c>
    </row>
    <row r="10098" spans="20:20">
      <c r="T10098" t="str">
        <f>IF(C10098="","",UPPER(LEFT(SUBSTITUTE(C10098," ",""),3))&amp;"-"&amp;TEXT(B10098,"AAMMDD")&amp;"-1")</f>
        <v/>
      </c>
    </row>
    <row r="10099" spans="20:20">
      <c r="T10099" t="str">
        <f>IF(C10099="","",UPPER(LEFT(SUBSTITUTE(C10099," ",""),3))&amp;"-"&amp;TEXT(B10099,"AAMMDD")&amp;"-1")</f>
        <v/>
      </c>
    </row>
    <row r="10100" spans="20:20">
      <c r="T10100" t="str">
        <f>IF(C10100="","",UPPER(LEFT(SUBSTITUTE(C10100," ",""),3))&amp;"-"&amp;TEXT(B10100,"AAMMDD")&amp;"-1")</f>
        <v/>
      </c>
    </row>
    <row r="10101" spans="20:20">
      <c r="T10101" t="str">
        <f>IF(C10101="","",UPPER(LEFT(SUBSTITUTE(C10101," ",""),3))&amp;"-"&amp;TEXT(B10101,"AAMMDD")&amp;"-1")</f>
        <v/>
      </c>
    </row>
    <row r="10102" spans="20:20">
      <c r="T10102" t="str">
        <f>IF(C10102="","",UPPER(LEFT(SUBSTITUTE(C10102," ",""),3))&amp;"-"&amp;TEXT(B10102,"AAMMDD")&amp;"-1")</f>
        <v/>
      </c>
    </row>
    <row r="10103" spans="20:20">
      <c r="T10103" t="str">
        <f>IF(C10103="","",UPPER(LEFT(SUBSTITUTE(C10103," ",""),3))&amp;"-"&amp;TEXT(B10103,"AAMMDD")&amp;"-1")</f>
        <v/>
      </c>
    </row>
    <row r="10104" spans="20:20">
      <c r="T10104" t="str">
        <f>IF(C10104="","",UPPER(LEFT(SUBSTITUTE(C10104," ",""),3))&amp;"-"&amp;TEXT(B10104,"AAMMDD")&amp;"-1")</f>
        <v/>
      </c>
    </row>
    <row r="10105" spans="20:20">
      <c r="T10105" t="str">
        <f>IF(C10105="","",UPPER(LEFT(SUBSTITUTE(C10105," ",""),3))&amp;"-"&amp;TEXT(B10105,"AAMMDD")&amp;"-1")</f>
        <v/>
      </c>
    </row>
    <row r="10106" spans="20:20">
      <c r="T10106" t="str">
        <f>IF(C10106="","",UPPER(LEFT(SUBSTITUTE(C10106," ",""),3))&amp;"-"&amp;TEXT(B10106,"AAMMDD")&amp;"-1")</f>
        <v/>
      </c>
    </row>
    <row r="10107" spans="20:20">
      <c r="T10107" t="str">
        <f>IF(C10107="","",UPPER(LEFT(SUBSTITUTE(C10107," ",""),3))&amp;"-"&amp;TEXT(B10107,"AAMMDD")&amp;"-1")</f>
        <v/>
      </c>
    </row>
    <row r="10108" spans="20:20">
      <c r="T10108" t="str">
        <f>IF(C10108="","",UPPER(LEFT(SUBSTITUTE(C10108," ",""),3))&amp;"-"&amp;TEXT(B10108,"AAMMDD")&amp;"-1")</f>
        <v/>
      </c>
    </row>
    <row r="10109" spans="20:20">
      <c r="T10109" t="str">
        <f>IF(C10109="","",UPPER(LEFT(SUBSTITUTE(C10109," ",""),3))&amp;"-"&amp;TEXT(B10109,"AAMMDD")&amp;"-1")</f>
        <v/>
      </c>
    </row>
    <row r="10110" spans="20:20">
      <c r="T10110" t="str">
        <f>IF(C10110="","",UPPER(LEFT(SUBSTITUTE(C10110," ",""),3))&amp;"-"&amp;TEXT(B10110,"AAMMDD")&amp;"-1")</f>
        <v/>
      </c>
    </row>
    <row r="10111" spans="20:20">
      <c r="T10111" t="str">
        <f>IF(C10111="","",UPPER(LEFT(SUBSTITUTE(C10111," ",""),3))&amp;"-"&amp;TEXT(B10111,"AAMMDD")&amp;"-1")</f>
        <v/>
      </c>
    </row>
    <row r="10112" spans="20:20">
      <c r="T10112" t="str">
        <f>IF(C10112="","",UPPER(LEFT(SUBSTITUTE(C10112," ",""),3))&amp;"-"&amp;TEXT(B10112,"AAMMDD")&amp;"-1")</f>
        <v/>
      </c>
    </row>
    <row r="10113" spans="20:20">
      <c r="T10113" t="str">
        <f>IF(C10113="","",UPPER(LEFT(SUBSTITUTE(C10113," ",""),3))&amp;"-"&amp;TEXT(B10113,"AAMMDD")&amp;"-1")</f>
        <v/>
      </c>
    </row>
    <row r="10114" spans="20:20">
      <c r="T10114" t="str">
        <f>IF(C10114="","",UPPER(LEFT(SUBSTITUTE(C10114," ",""),3))&amp;"-"&amp;TEXT(B10114,"AAMMDD")&amp;"-1")</f>
        <v/>
      </c>
    </row>
    <row r="10115" spans="20:20">
      <c r="T10115" t="str">
        <f>IF(C10115="","",UPPER(LEFT(SUBSTITUTE(C10115," ",""),3))&amp;"-"&amp;TEXT(B10115,"AAMMDD")&amp;"-1")</f>
        <v/>
      </c>
    </row>
    <row r="10116" spans="20:20">
      <c r="T10116" t="str">
        <f>IF(C10116="","",UPPER(LEFT(SUBSTITUTE(C10116," ",""),3))&amp;"-"&amp;TEXT(B10116,"AAMMDD")&amp;"-1")</f>
        <v/>
      </c>
    </row>
    <row r="10117" spans="20:20">
      <c r="T10117" t="str">
        <f>IF(C10117="","",UPPER(LEFT(SUBSTITUTE(C10117," ",""),3))&amp;"-"&amp;TEXT(B10117,"AAMMDD")&amp;"-1")</f>
        <v/>
      </c>
    </row>
    <row r="10118" spans="20:20">
      <c r="T10118" t="str">
        <f>IF(C10118="","",UPPER(LEFT(SUBSTITUTE(C10118," ",""),3))&amp;"-"&amp;TEXT(B10118,"AAMMDD")&amp;"-1")</f>
        <v/>
      </c>
    </row>
    <row r="10119" spans="20:20">
      <c r="T10119" t="str">
        <f>IF(C10119="","",UPPER(LEFT(SUBSTITUTE(C10119," ",""),3))&amp;"-"&amp;TEXT(B10119,"AAMMDD")&amp;"-1")</f>
        <v/>
      </c>
    </row>
    <row r="10120" spans="20:20">
      <c r="T10120" t="str">
        <f>IF(C10120="","",UPPER(LEFT(SUBSTITUTE(C10120," ",""),3))&amp;"-"&amp;TEXT(B10120,"AAMMDD")&amp;"-1")</f>
        <v/>
      </c>
    </row>
    <row r="10121" spans="20:20">
      <c r="T10121" t="str">
        <f>IF(C10121="","",UPPER(LEFT(SUBSTITUTE(C10121," ",""),3))&amp;"-"&amp;TEXT(B10121,"AAMMDD")&amp;"-1")</f>
        <v/>
      </c>
    </row>
    <row r="10122" spans="20:20">
      <c r="T10122" t="str">
        <f>IF(C10122="","",UPPER(LEFT(SUBSTITUTE(C10122," ",""),3))&amp;"-"&amp;TEXT(B10122,"AAMMDD")&amp;"-1")</f>
        <v/>
      </c>
    </row>
    <row r="10123" spans="20:20">
      <c r="T10123" t="str">
        <f>IF(C10123="","",UPPER(LEFT(SUBSTITUTE(C10123," ",""),3))&amp;"-"&amp;TEXT(B10123,"AAMMDD")&amp;"-1")</f>
        <v/>
      </c>
    </row>
    <row r="10124" spans="20:20">
      <c r="T10124" t="str">
        <f>IF(C10124="","",UPPER(LEFT(SUBSTITUTE(C10124," ",""),3))&amp;"-"&amp;TEXT(B10124,"AAMMDD")&amp;"-1")</f>
        <v/>
      </c>
    </row>
    <row r="10125" spans="20:20">
      <c r="T10125" t="str">
        <f>IF(C10125="","",UPPER(LEFT(SUBSTITUTE(C10125," ",""),3))&amp;"-"&amp;TEXT(B10125,"AAMMDD")&amp;"-1")</f>
        <v/>
      </c>
    </row>
    <row r="10126" spans="20:20">
      <c r="T10126" t="str">
        <f>IF(C10126="","",UPPER(LEFT(SUBSTITUTE(C10126," ",""),3))&amp;"-"&amp;TEXT(B10126,"AAMMDD")&amp;"-1")</f>
        <v/>
      </c>
    </row>
    <row r="10127" spans="20:20">
      <c r="T10127" t="str">
        <f>IF(C10127="","",UPPER(LEFT(SUBSTITUTE(C10127," ",""),3))&amp;"-"&amp;TEXT(B10127,"AAMMDD")&amp;"-1")</f>
        <v/>
      </c>
    </row>
    <row r="10128" spans="20:20">
      <c r="T10128" t="str">
        <f>IF(C10128="","",UPPER(LEFT(SUBSTITUTE(C10128," ",""),3))&amp;"-"&amp;TEXT(B10128,"AAMMDD")&amp;"-1")</f>
        <v/>
      </c>
    </row>
    <row r="10129" spans="20:20">
      <c r="T10129" t="str">
        <f>IF(C10129="","",UPPER(LEFT(SUBSTITUTE(C10129," ",""),3))&amp;"-"&amp;TEXT(B10129,"AAMMDD")&amp;"-1")</f>
        <v/>
      </c>
    </row>
    <row r="10130" spans="20:20">
      <c r="T10130" t="str">
        <f>IF(C10130="","",UPPER(LEFT(SUBSTITUTE(C10130," ",""),3))&amp;"-"&amp;TEXT(B10130,"AAMMDD")&amp;"-1")</f>
        <v/>
      </c>
    </row>
    <row r="10131" spans="20:20">
      <c r="T10131" t="str">
        <f>IF(C10131="","",UPPER(LEFT(SUBSTITUTE(C10131," ",""),3))&amp;"-"&amp;TEXT(B10131,"AAMMDD")&amp;"-1")</f>
        <v/>
      </c>
    </row>
    <row r="10132" spans="20:20">
      <c r="T10132" t="str">
        <f>IF(C10132="","",UPPER(LEFT(SUBSTITUTE(C10132," ",""),3))&amp;"-"&amp;TEXT(B10132,"AAMMDD")&amp;"-1")</f>
        <v/>
      </c>
    </row>
    <row r="10133" spans="20:20">
      <c r="T10133" t="str">
        <f>IF(C10133="","",UPPER(LEFT(SUBSTITUTE(C10133," ",""),3))&amp;"-"&amp;TEXT(B10133,"AAMMDD")&amp;"-1")</f>
        <v/>
      </c>
    </row>
    <row r="10134" spans="20:20">
      <c r="T10134" t="str">
        <f>IF(C10134="","",UPPER(LEFT(SUBSTITUTE(C10134," ",""),3))&amp;"-"&amp;TEXT(B10134,"AAMMDD")&amp;"-1")</f>
        <v/>
      </c>
    </row>
    <row r="10135" spans="20:20">
      <c r="T10135" t="str">
        <f>IF(C10135="","",UPPER(LEFT(SUBSTITUTE(C10135," ",""),3))&amp;"-"&amp;TEXT(B10135,"AAMMDD")&amp;"-1")</f>
        <v/>
      </c>
    </row>
    <row r="10136" spans="20:20">
      <c r="T10136" t="str">
        <f>IF(C10136="","",UPPER(LEFT(SUBSTITUTE(C10136," ",""),3))&amp;"-"&amp;TEXT(B10136,"AAMMDD")&amp;"-1")</f>
        <v/>
      </c>
    </row>
    <row r="10137" spans="20:20">
      <c r="T10137" t="str">
        <f>IF(C10137="","",UPPER(LEFT(SUBSTITUTE(C10137," ",""),3))&amp;"-"&amp;TEXT(B10137,"AAMMDD")&amp;"-1")</f>
        <v/>
      </c>
    </row>
    <row r="10138" spans="20:20">
      <c r="T10138" t="str">
        <f>IF(C10138="","",UPPER(LEFT(SUBSTITUTE(C10138," ",""),3))&amp;"-"&amp;TEXT(B10138,"AAMMDD")&amp;"-1")</f>
        <v/>
      </c>
    </row>
    <row r="10139" spans="20:20">
      <c r="T10139" t="str">
        <f>IF(C10139="","",UPPER(LEFT(SUBSTITUTE(C10139," ",""),3))&amp;"-"&amp;TEXT(B10139,"AAMMDD")&amp;"-1")</f>
        <v/>
      </c>
    </row>
    <row r="10140" spans="20:20">
      <c r="T10140" t="str">
        <f>IF(C10140="","",UPPER(LEFT(SUBSTITUTE(C10140," ",""),3))&amp;"-"&amp;TEXT(B10140,"AAMMDD")&amp;"-1")</f>
        <v/>
      </c>
    </row>
    <row r="10141" spans="20:20">
      <c r="T10141" t="str">
        <f>IF(C10141="","",UPPER(LEFT(SUBSTITUTE(C10141," ",""),3))&amp;"-"&amp;TEXT(B10141,"AAMMDD")&amp;"-1")</f>
        <v/>
      </c>
    </row>
    <row r="10142" spans="20:20">
      <c r="T10142" t="str">
        <f>IF(C10142="","",UPPER(LEFT(SUBSTITUTE(C10142," ",""),3))&amp;"-"&amp;TEXT(B10142,"AAMMDD")&amp;"-1")</f>
        <v/>
      </c>
    </row>
    <row r="10143" spans="20:20">
      <c r="T10143" t="str">
        <f>IF(C10143="","",UPPER(LEFT(SUBSTITUTE(C10143," ",""),3))&amp;"-"&amp;TEXT(B10143,"AAMMDD")&amp;"-1")</f>
        <v/>
      </c>
    </row>
    <row r="10144" spans="20:20">
      <c r="T10144" t="str">
        <f>IF(C10144="","",UPPER(LEFT(SUBSTITUTE(C10144," ",""),3))&amp;"-"&amp;TEXT(B10144,"AAMMDD")&amp;"-1")</f>
        <v/>
      </c>
    </row>
    <row r="10145" spans="20:20">
      <c r="T10145" t="str">
        <f>IF(C10145="","",UPPER(LEFT(SUBSTITUTE(C10145," ",""),3))&amp;"-"&amp;TEXT(B10145,"AAMMDD")&amp;"-1")</f>
        <v/>
      </c>
    </row>
    <row r="10146" spans="20:20">
      <c r="T10146" t="str">
        <f>IF(C10146="","",UPPER(LEFT(SUBSTITUTE(C10146," ",""),3))&amp;"-"&amp;TEXT(B10146,"AAMMDD")&amp;"-1")</f>
        <v/>
      </c>
    </row>
    <row r="10147" spans="20:20">
      <c r="T10147" t="str">
        <f>IF(C10147="","",UPPER(LEFT(SUBSTITUTE(C10147," ",""),3))&amp;"-"&amp;TEXT(B10147,"AAMMDD")&amp;"-1")</f>
        <v/>
      </c>
    </row>
    <row r="10148" spans="20:20">
      <c r="T10148" t="str">
        <f>IF(C10148="","",UPPER(LEFT(SUBSTITUTE(C10148," ",""),3))&amp;"-"&amp;TEXT(B10148,"AAMMDD")&amp;"-1")</f>
        <v/>
      </c>
    </row>
    <row r="10149" spans="20:20">
      <c r="T10149" t="str">
        <f>IF(C10149="","",UPPER(LEFT(SUBSTITUTE(C10149," ",""),3))&amp;"-"&amp;TEXT(B10149,"AAMMDD")&amp;"-1")</f>
        <v/>
      </c>
    </row>
    <row r="10150" spans="20:20">
      <c r="T10150" t="str">
        <f>IF(C10150="","",UPPER(LEFT(SUBSTITUTE(C10150," ",""),3))&amp;"-"&amp;TEXT(B10150,"AAMMDD")&amp;"-1")</f>
        <v/>
      </c>
    </row>
    <row r="10151" spans="20:20">
      <c r="T10151" t="str">
        <f>IF(C10151="","",UPPER(LEFT(SUBSTITUTE(C10151," ",""),3))&amp;"-"&amp;TEXT(B10151,"AAMMDD")&amp;"-1")</f>
        <v/>
      </c>
    </row>
    <row r="10152" spans="20:20">
      <c r="T10152" t="str">
        <f>IF(C10152="","",UPPER(LEFT(SUBSTITUTE(C10152," ",""),3))&amp;"-"&amp;TEXT(B10152,"AAMMDD")&amp;"-1")</f>
        <v/>
      </c>
    </row>
    <row r="10153" spans="20:20">
      <c r="T10153" t="str">
        <f>IF(C10153="","",UPPER(LEFT(SUBSTITUTE(C10153," ",""),3))&amp;"-"&amp;TEXT(B10153,"AAMMDD")&amp;"-1")</f>
        <v/>
      </c>
    </row>
    <row r="10154" spans="20:20">
      <c r="T10154" t="str">
        <f>IF(C10154="","",UPPER(LEFT(SUBSTITUTE(C10154," ",""),3))&amp;"-"&amp;TEXT(B10154,"AAMMDD")&amp;"-1")</f>
        <v/>
      </c>
    </row>
    <row r="10155" spans="20:20">
      <c r="T10155" t="str">
        <f>IF(C10155="","",UPPER(LEFT(SUBSTITUTE(C10155," ",""),3))&amp;"-"&amp;TEXT(B10155,"AAMMDD")&amp;"-1")</f>
        <v/>
      </c>
    </row>
    <row r="10156" spans="20:20">
      <c r="T10156" t="str">
        <f>IF(C10156="","",UPPER(LEFT(SUBSTITUTE(C10156," ",""),3))&amp;"-"&amp;TEXT(B10156,"AAMMDD")&amp;"-1")</f>
        <v/>
      </c>
    </row>
    <row r="10157" spans="20:20">
      <c r="T10157" t="str">
        <f>IF(C10157="","",UPPER(LEFT(SUBSTITUTE(C10157," ",""),3))&amp;"-"&amp;TEXT(B10157,"AAMMDD")&amp;"-1")</f>
        <v/>
      </c>
    </row>
    <row r="10158" spans="20:20">
      <c r="T10158" t="str">
        <f>IF(C10158="","",UPPER(LEFT(SUBSTITUTE(C10158," ",""),3))&amp;"-"&amp;TEXT(B10158,"AAMMDD")&amp;"-1")</f>
        <v/>
      </c>
    </row>
    <row r="10159" spans="20:20">
      <c r="T10159" t="str">
        <f>IF(C10159="","",UPPER(LEFT(SUBSTITUTE(C10159," ",""),3))&amp;"-"&amp;TEXT(B10159,"AAMMDD")&amp;"-1")</f>
        <v/>
      </c>
    </row>
    <row r="10160" spans="20:20">
      <c r="T10160" t="str">
        <f>IF(C10160="","",UPPER(LEFT(SUBSTITUTE(C10160," ",""),3))&amp;"-"&amp;TEXT(B10160,"AAMMDD")&amp;"-1")</f>
        <v/>
      </c>
    </row>
    <row r="10161" spans="20:20">
      <c r="T10161" t="str">
        <f>IF(C10161="","",UPPER(LEFT(SUBSTITUTE(C10161," ",""),3))&amp;"-"&amp;TEXT(B10161,"AAMMDD")&amp;"-1")</f>
        <v/>
      </c>
    </row>
    <row r="10162" spans="20:20">
      <c r="T10162" t="str">
        <f>IF(C10162="","",UPPER(LEFT(SUBSTITUTE(C10162," ",""),3))&amp;"-"&amp;TEXT(B10162,"AAMMDD")&amp;"-1")</f>
        <v/>
      </c>
    </row>
    <row r="10163" spans="20:20">
      <c r="T10163" t="str">
        <f>IF(C10163="","",UPPER(LEFT(SUBSTITUTE(C10163," ",""),3))&amp;"-"&amp;TEXT(B10163,"AAMMDD")&amp;"-1")</f>
        <v/>
      </c>
    </row>
    <row r="10164" spans="20:20">
      <c r="T10164" t="str">
        <f>IF(C10164="","",UPPER(LEFT(SUBSTITUTE(C10164," ",""),3))&amp;"-"&amp;TEXT(B10164,"AAMMDD")&amp;"-1")</f>
        <v/>
      </c>
    </row>
    <row r="10165" spans="20:20">
      <c r="T10165" t="str">
        <f>IF(C10165="","",UPPER(LEFT(SUBSTITUTE(C10165," ",""),3))&amp;"-"&amp;TEXT(B10165,"AAMMDD")&amp;"-1")</f>
        <v/>
      </c>
    </row>
    <row r="10166" spans="20:20">
      <c r="T10166" t="str">
        <f>IF(C10166="","",UPPER(LEFT(SUBSTITUTE(C10166," ",""),3))&amp;"-"&amp;TEXT(B10166,"AAMMDD")&amp;"-1")</f>
        <v/>
      </c>
    </row>
    <row r="10167" spans="20:20">
      <c r="T10167" t="str">
        <f>IF(C10167="","",UPPER(LEFT(SUBSTITUTE(C10167," ",""),3))&amp;"-"&amp;TEXT(B10167,"AAMMDD")&amp;"-1")</f>
        <v/>
      </c>
    </row>
    <row r="10168" spans="20:20">
      <c r="T10168" t="str">
        <f>IF(C10168="","",UPPER(LEFT(SUBSTITUTE(C10168," ",""),3))&amp;"-"&amp;TEXT(B10168,"AAMMDD")&amp;"-1")</f>
        <v/>
      </c>
    </row>
    <row r="10169" spans="20:20">
      <c r="T10169" t="str">
        <f>IF(C10169="","",UPPER(LEFT(SUBSTITUTE(C10169," ",""),3))&amp;"-"&amp;TEXT(B10169,"AAMMDD")&amp;"-1")</f>
        <v/>
      </c>
    </row>
    <row r="10170" spans="20:20">
      <c r="T10170" t="str">
        <f>IF(C10170="","",UPPER(LEFT(SUBSTITUTE(C10170," ",""),3))&amp;"-"&amp;TEXT(B10170,"AAMMDD")&amp;"-1")</f>
        <v/>
      </c>
    </row>
    <row r="10171" spans="20:20">
      <c r="T10171" t="str">
        <f>IF(C10171="","",UPPER(LEFT(SUBSTITUTE(C10171," ",""),3))&amp;"-"&amp;TEXT(B10171,"AAMMDD")&amp;"-1")</f>
        <v/>
      </c>
    </row>
    <row r="10172" spans="20:20">
      <c r="T10172" t="str">
        <f>IF(C10172="","",UPPER(LEFT(SUBSTITUTE(C10172," ",""),3))&amp;"-"&amp;TEXT(B10172,"AAMMDD")&amp;"-1")</f>
        <v/>
      </c>
    </row>
    <row r="10173" spans="20:20">
      <c r="T10173" t="str">
        <f>IF(C10173="","",UPPER(LEFT(SUBSTITUTE(C10173," ",""),3))&amp;"-"&amp;TEXT(B10173,"AAMMDD")&amp;"-1")</f>
        <v/>
      </c>
    </row>
    <row r="10174" spans="20:20">
      <c r="T10174" t="str">
        <f>IF(C10174="","",UPPER(LEFT(SUBSTITUTE(C10174," ",""),3))&amp;"-"&amp;TEXT(B10174,"AAMMDD")&amp;"-1")</f>
        <v/>
      </c>
    </row>
    <row r="10175" spans="20:20">
      <c r="T10175" t="str">
        <f>IF(C10175="","",UPPER(LEFT(SUBSTITUTE(C10175," ",""),3))&amp;"-"&amp;TEXT(B10175,"AAMMDD")&amp;"-1")</f>
        <v/>
      </c>
    </row>
    <row r="10176" spans="20:20">
      <c r="T10176" t="str">
        <f>IF(C10176="","",UPPER(LEFT(SUBSTITUTE(C10176," ",""),3))&amp;"-"&amp;TEXT(B10176,"AAMMDD")&amp;"-1")</f>
        <v/>
      </c>
    </row>
    <row r="10177" spans="20:20">
      <c r="T10177" t="str">
        <f>IF(C10177="","",UPPER(LEFT(SUBSTITUTE(C10177," ",""),3))&amp;"-"&amp;TEXT(B10177,"AAMMDD")&amp;"-1")</f>
        <v/>
      </c>
    </row>
    <row r="10178" spans="20:20">
      <c r="T10178" t="str">
        <f>IF(C10178="","",UPPER(LEFT(SUBSTITUTE(C10178," ",""),3))&amp;"-"&amp;TEXT(B10178,"AAMMDD")&amp;"-1")</f>
        <v/>
      </c>
    </row>
    <row r="10179" spans="20:20">
      <c r="T10179" t="str">
        <f>IF(C10179="","",UPPER(LEFT(SUBSTITUTE(C10179," ",""),3))&amp;"-"&amp;TEXT(B10179,"AAMMDD")&amp;"-1")</f>
        <v/>
      </c>
    </row>
    <row r="10180" spans="20:20">
      <c r="T10180" t="str">
        <f>IF(C10180="","",UPPER(LEFT(SUBSTITUTE(C10180," ",""),3))&amp;"-"&amp;TEXT(B10180,"AAMMDD")&amp;"-1")</f>
        <v/>
      </c>
    </row>
    <row r="10181" spans="20:20">
      <c r="T10181" t="str">
        <f>IF(C10181="","",UPPER(LEFT(SUBSTITUTE(C10181," ",""),3))&amp;"-"&amp;TEXT(B10181,"AAMMDD")&amp;"-1")</f>
        <v/>
      </c>
    </row>
    <row r="10182" spans="20:20">
      <c r="T10182" t="str">
        <f>IF(C10182="","",UPPER(LEFT(SUBSTITUTE(C10182," ",""),3))&amp;"-"&amp;TEXT(B10182,"AAMMDD")&amp;"-1")</f>
        <v/>
      </c>
    </row>
    <row r="10183" spans="20:20">
      <c r="T10183" t="str">
        <f>IF(C10183="","",UPPER(LEFT(SUBSTITUTE(C10183," ",""),3))&amp;"-"&amp;TEXT(B10183,"AAMMDD")&amp;"-1")</f>
        <v/>
      </c>
    </row>
    <row r="10184" spans="20:20">
      <c r="T10184" t="str">
        <f>IF(C10184="","",UPPER(LEFT(SUBSTITUTE(C10184," ",""),3))&amp;"-"&amp;TEXT(B10184,"AAMMDD")&amp;"-1")</f>
        <v/>
      </c>
    </row>
    <row r="10185" spans="20:20">
      <c r="T10185" t="str">
        <f>IF(C10185="","",UPPER(LEFT(SUBSTITUTE(C10185," ",""),3))&amp;"-"&amp;TEXT(B10185,"AAMMDD")&amp;"-1")</f>
        <v/>
      </c>
    </row>
    <row r="10186" spans="20:20">
      <c r="T10186" t="str">
        <f>IF(C10186="","",UPPER(LEFT(SUBSTITUTE(C10186," ",""),3))&amp;"-"&amp;TEXT(B10186,"AAMMDD")&amp;"-1")</f>
        <v/>
      </c>
    </row>
    <row r="10187" spans="20:20">
      <c r="T10187" t="str">
        <f>IF(C10187="","",UPPER(LEFT(SUBSTITUTE(C10187," ",""),3))&amp;"-"&amp;TEXT(B10187,"AAMMDD")&amp;"-1")</f>
        <v/>
      </c>
    </row>
    <row r="10188" spans="20:20">
      <c r="T10188" t="str">
        <f>IF(C10188="","",UPPER(LEFT(SUBSTITUTE(C10188," ",""),3))&amp;"-"&amp;TEXT(B10188,"AAMMDD")&amp;"-1")</f>
        <v/>
      </c>
    </row>
    <row r="10189" spans="20:20">
      <c r="T10189" t="str">
        <f>IF(C10189="","",UPPER(LEFT(SUBSTITUTE(C10189," ",""),3))&amp;"-"&amp;TEXT(B10189,"AAMMDD")&amp;"-1")</f>
        <v/>
      </c>
    </row>
    <row r="10190" spans="20:20">
      <c r="T10190" t="str">
        <f>IF(C10190="","",UPPER(LEFT(SUBSTITUTE(C10190," ",""),3))&amp;"-"&amp;TEXT(B10190,"AAMMDD")&amp;"-1")</f>
        <v/>
      </c>
    </row>
    <row r="10191" spans="20:20">
      <c r="T10191" t="str">
        <f>IF(C10191="","",UPPER(LEFT(SUBSTITUTE(C10191," ",""),3))&amp;"-"&amp;TEXT(B10191,"AAMMDD")&amp;"-1")</f>
        <v/>
      </c>
    </row>
    <row r="10192" spans="20:20">
      <c r="T10192" t="str">
        <f>IF(C10192="","",UPPER(LEFT(SUBSTITUTE(C10192," ",""),3))&amp;"-"&amp;TEXT(B10192,"AAMMDD")&amp;"-1")</f>
        <v/>
      </c>
    </row>
    <row r="10193" spans="20:20">
      <c r="T10193" t="str">
        <f>IF(C10193="","",UPPER(LEFT(SUBSTITUTE(C10193," ",""),3))&amp;"-"&amp;TEXT(B10193,"AAMMDD")&amp;"-1")</f>
        <v/>
      </c>
    </row>
    <row r="10194" spans="20:20">
      <c r="T10194" t="str">
        <f>IF(C10194="","",UPPER(LEFT(SUBSTITUTE(C10194," ",""),3))&amp;"-"&amp;TEXT(B10194,"AAMMDD")&amp;"-1")</f>
        <v/>
      </c>
    </row>
    <row r="10195" spans="20:20">
      <c r="T10195" t="str">
        <f>IF(C10195="","",UPPER(LEFT(SUBSTITUTE(C10195," ",""),3))&amp;"-"&amp;TEXT(B10195,"AAMMDD")&amp;"-1")</f>
        <v/>
      </c>
    </row>
    <row r="10196" spans="20:20">
      <c r="T10196" t="str">
        <f>IF(C10196="","",UPPER(LEFT(SUBSTITUTE(C10196," ",""),3))&amp;"-"&amp;TEXT(B10196,"AAMMDD")&amp;"-1")</f>
        <v/>
      </c>
    </row>
    <row r="10197" spans="20:20">
      <c r="T10197" t="str">
        <f>IF(C10197="","",UPPER(LEFT(SUBSTITUTE(C10197," ",""),3))&amp;"-"&amp;TEXT(B10197,"AAMMDD")&amp;"-1")</f>
        <v/>
      </c>
    </row>
    <row r="10198" spans="20:20">
      <c r="T10198" t="str">
        <f>IF(C10198="","",UPPER(LEFT(SUBSTITUTE(C10198," ",""),3))&amp;"-"&amp;TEXT(B10198,"AAMMDD")&amp;"-1")</f>
        <v/>
      </c>
    </row>
    <row r="10199" spans="20:20">
      <c r="T10199" t="str">
        <f>IF(C10199="","",UPPER(LEFT(SUBSTITUTE(C10199," ",""),3))&amp;"-"&amp;TEXT(B10199,"AAMMDD")&amp;"-1")</f>
        <v/>
      </c>
    </row>
    <row r="10200" spans="20:20">
      <c r="T10200" t="str">
        <f>IF(C10200="","",UPPER(LEFT(SUBSTITUTE(C10200," ",""),3))&amp;"-"&amp;TEXT(B10200,"AAMMDD")&amp;"-1")</f>
        <v/>
      </c>
    </row>
    <row r="10201" spans="20:20">
      <c r="T10201" t="str">
        <f>IF(C10201="","",UPPER(LEFT(SUBSTITUTE(C10201," ",""),3))&amp;"-"&amp;TEXT(B10201,"AAMMDD")&amp;"-1")</f>
        <v/>
      </c>
    </row>
    <row r="10202" spans="20:20">
      <c r="T10202" t="str">
        <f>IF(C10202="","",UPPER(LEFT(SUBSTITUTE(C10202," ",""),3))&amp;"-"&amp;TEXT(B10202,"AAMMDD")&amp;"-1")</f>
        <v/>
      </c>
    </row>
    <row r="10203" spans="20:20">
      <c r="T10203" t="str">
        <f>IF(C10203="","",UPPER(LEFT(SUBSTITUTE(C10203," ",""),3))&amp;"-"&amp;TEXT(B10203,"AAMMDD")&amp;"-1")</f>
        <v/>
      </c>
    </row>
    <row r="10204" spans="20:20">
      <c r="T10204" t="str">
        <f>IF(C10204="","",UPPER(LEFT(SUBSTITUTE(C10204," ",""),3))&amp;"-"&amp;TEXT(B10204,"AAMMDD")&amp;"-1")</f>
        <v/>
      </c>
    </row>
    <row r="10205" spans="20:20">
      <c r="T10205" t="str">
        <f>IF(C10205="","",UPPER(LEFT(SUBSTITUTE(C10205," ",""),3))&amp;"-"&amp;TEXT(B10205,"AAMMDD")&amp;"-1")</f>
        <v/>
      </c>
    </row>
    <row r="10206" spans="20:20">
      <c r="T10206" t="str">
        <f>IF(C10206="","",UPPER(LEFT(SUBSTITUTE(C10206," ",""),3))&amp;"-"&amp;TEXT(B10206,"AAMMDD")&amp;"-1")</f>
        <v/>
      </c>
    </row>
    <row r="10207" spans="20:20">
      <c r="T10207" t="str">
        <f>IF(C10207="","",UPPER(LEFT(SUBSTITUTE(C10207," ",""),3))&amp;"-"&amp;TEXT(B10207,"AAMMDD")&amp;"-1")</f>
        <v/>
      </c>
    </row>
    <row r="10208" spans="20:20">
      <c r="T10208" t="str">
        <f>IF(C10208="","",UPPER(LEFT(SUBSTITUTE(C10208," ",""),3))&amp;"-"&amp;TEXT(B10208,"AAMMDD")&amp;"-1")</f>
        <v/>
      </c>
    </row>
    <row r="10209" spans="20:20">
      <c r="T10209" t="str">
        <f>IF(C10209="","",UPPER(LEFT(SUBSTITUTE(C10209," ",""),3))&amp;"-"&amp;TEXT(B10209,"AAMMDD")&amp;"-1")</f>
        <v/>
      </c>
    </row>
    <row r="10210" spans="20:20">
      <c r="T10210" t="str">
        <f>IF(C10210="","",UPPER(LEFT(SUBSTITUTE(C10210," ",""),3))&amp;"-"&amp;TEXT(B10210,"AAMMDD")&amp;"-1")</f>
        <v/>
      </c>
    </row>
    <row r="10211" spans="20:20">
      <c r="T10211" t="str">
        <f>IF(C10211="","",UPPER(LEFT(SUBSTITUTE(C10211," ",""),3))&amp;"-"&amp;TEXT(B10211,"AAMMDD")&amp;"-1")</f>
        <v/>
      </c>
    </row>
    <row r="10212" spans="20:20">
      <c r="T10212" t="str">
        <f>IF(C10212="","",UPPER(LEFT(SUBSTITUTE(C10212," ",""),3))&amp;"-"&amp;TEXT(B10212,"AAMMDD")&amp;"-1")</f>
        <v/>
      </c>
    </row>
    <row r="10213" spans="20:20">
      <c r="T10213" t="str">
        <f>IF(C10213="","",UPPER(LEFT(SUBSTITUTE(C10213," ",""),3))&amp;"-"&amp;TEXT(B10213,"AAMMDD")&amp;"-1")</f>
        <v/>
      </c>
    </row>
    <row r="10214" spans="20:20">
      <c r="T10214" t="str">
        <f>IF(C10214="","",UPPER(LEFT(SUBSTITUTE(C10214," ",""),3))&amp;"-"&amp;TEXT(B10214,"AAMMDD")&amp;"-1")</f>
        <v/>
      </c>
    </row>
    <row r="10215" spans="20:20">
      <c r="T10215" t="str">
        <f>IF(C10215="","",UPPER(LEFT(SUBSTITUTE(C10215," ",""),3))&amp;"-"&amp;TEXT(B10215,"AAMMDD")&amp;"-1")</f>
        <v/>
      </c>
    </row>
    <row r="10216" spans="20:20">
      <c r="T10216" t="str">
        <f>IF(C10216="","",UPPER(LEFT(SUBSTITUTE(C10216," ",""),3))&amp;"-"&amp;TEXT(B10216,"AAMMDD")&amp;"-1")</f>
        <v/>
      </c>
    </row>
    <row r="10217" spans="20:20">
      <c r="T10217" t="str">
        <f>IF(C10217="","",UPPER(LEFT(SUBSTITUTE(C10217," ",""),3))&amp;"-"&amp;TEXT(B10217,"AAMMDD")&amp;"-1")</f>
        <v/>
      </c>
    </row>
    <row r="10218" spans="20:20">
      <c r="T10218" t="str">
        <f>IF(C10218="","",UPPER(LEFT(SUBSTITUTE(C10218," ",""),3))&amp;"-"&amp;TEXT(B10218,"AAMMDD")&amp;"-1")</f>
        <v/>
      </c>
    </row>
    <row r="10219" spans="20:20">
      <c r="T10219" t="str">
        <f>IF(C10219="","",UPPER(LEFT(SUBSTITUTE(C10219," ",""),3))&amp;"-"&amp;TEXT(B10219,"AAMMDD")&amp;"-1")</f>
        <v/>
      </c>
    </row>
    <row r="10220" spans="20:20">
      <c r="T10220" t="str">
        <f>IF(C10220="","",UPPER(LEFT(SUBSTITUTE(C10220," ",""),3))&amp;"-"&amp;TEXT(B10220,"AAMMDD")&amp;"-1")</f>
        <v/>
      </c>
    </row>
    <row r="10221" spans="20:20">
      <c r="T10221" t="str">
        <f>IF(C10221="","",UPPER(LEFT(SUBSTITUTE(C10221," ",""),3))&amp;"-"&amp;TEXT(B10221,"AAMMDD")&amp;"-1")</f>
        <v/>
      </c>
    </row>
    <row r="10222" spans="20:20">
      <c r="T10222" t="str">
        <f>IF(C10222="","",UPPER(LEFT(SUBSTITUTE(C10222," ",""),3))&amp;"-"&amp;TEXT(B10222,"AAMMDD")&amp;"-1")</f>
        <v/>
      </c>
    </row>
    <row r="10223" spans="20:20">
      <c r="T10223" t="str">
        <f>IF(C10223="","",UPPER(LEFT(SUBSTITUTE(C10223," ",""),3))&amp;"-"&amp;TEXT(B10223,"AAMMDD")&amp;"-1")</f>
        <v/>
      </c>
    </row>
    <row r="10224" spans="20:20">
      <c r="T10224" t="str">
        <f>IF(C10224="","",UPPER(LEFT(SUBSTITUTE(C10224," ",""),3))&amp;"-"&amp;TEXT(B10224,"AAMMDD")&amp;"-1")</f>
        <v/>
      </c>
    </row>
    <row r="10225" spans="20:20">
      <c r="T10225" t="str">
        <f>IF(C10225="","",UPPER(LEFT(SUBSTITUTE(C10225," ",""),3))&amp;"-"&amp;TEXT(B10225,"AAMMDD")&amp;"-1")</f>
        <v/>
      </c>
    </row>
    <row r="10226" spans="20:20">
      <c r="T10226" t="str">
        <f>IF(C10226="","",UPPER(LEFT(SUBSTITUTE(C10226," ",""),3))&amp;"-"&amp;TEXT(B10226,"AAMMDD")&amp;"-1")</f>
        <v/>
      </c>
    </row>
    <row r="10227" spans="20:20">
      <c r="T10227" t="str">
        <f>IF(C10227="","",UPPER(LEFT(SUBSTITUTE(C10227," ",""),3))&amp;"-"&amp;TEXT(B10227,"AAMMDD")&amp;"-1")</f>
        <v/>
      </c>
    </row>
    <row r="10228" spans="20:20">
      <c r="T10228" t="str">
        <f>IF(C10228="","",UPPER(LEFT(SUBSTITUTE(C10228," ",""),3))&amp;"-"&amp;TEXT(B10228,"AAMMDD")&amp;"-1")</f>
        <v/>
      </c>
    </row>
    <row r="10229" spans="20:20">
      <c r="T10229" t="str">
        <f>IF(C10229="","",UPPER(LEFT(SUBSTITUTE(C10229," ",""),3))&amp;"-"&amp;TEXT(B10229,"AAMMDD")&amp;"-1")</f>
        <v/>
      </c>
    </row>
    <row r="10230" spans="20:20">
      <c r="T10230" t="str">
        <f>IF(C10230="","",UPPER(LEFT(SUBSTITUTE(C10230," ",""),3))&amp;"-"&amp;TEXT(B10230,"AAMMDD")&amp;"-1")</f>
        <v/>
      </c>
    </row>
    <row r="10231" spans="20:20">
      <c r="T10231" t="str">
        <f>IF(C10231="","",UPPER(LEFT(SUBSTITUTE(C10231," ",""),3))&amp;"-"&amp;TEXT(B10231,"AAMMDD")&amp;"-1")</f>
        <v/>
      </c>
    </row>
    <row r="10232" spans="20:20">
      <c r="T10232" t="str">
        <f>IF(C10232="","",UPPER(LEFT(SUBSTITUTE(C10232," ",""),3))&amp;"-"&amp;TEXT(B10232,"AAMMDD")&amp;"-1")</f>
        <v/>
      </c>
    </row>
    <row r="10233" spans="20:20">
      <c r="T10233" t="str">
        <f>IF(C10233="","",UPPER(LEFT(SUBSTITUTE(C10233," ",""),3))&amp;"-"&amp;TEXT(B10233,"AAMMDD")&amp;"-1")</f>
        <v/>
      </c>
    </row>
    <row r="10234" spans="20:20">
      <c r="T10234" t="str">
        <f>IF(C10234="","",UPPER(LEFT(SUBSTITUTE(C10234," ",""),3))&amp;"-"&amp;TEXT(B10234,"AAMMDD")&amp;"-1")</f>
        <v/>
      </c>
    </row>
    <row r="10235" spans="20:20">
      <c r="T10235" t="str">
        <f>IF(C10235="","",UPPER(LEFT(SUBSTITUTE(C10235," ",""),3))&amp;"-"&amp;TEXT(B10235,"AAMMDD")&amp;"-1")</f>
        <v/>
      </c>
    </row>
    <row r="10236" spans="20:20">
      <c r="T10236" t="str">
        <f>IF(C10236="","",UPPER(LEFT(SUBSTITUTE(C10236," ",""),3))&amp;"-"&amp;TEXT(B10236,"AAMMDD")&amp;"-1")</f>
        <v/>
      </c>
    </row>
    <row r="10237" spans="20:20">
      <c r="T10237" t="str">
        <f>IF(C10237="","",UPPER(LEFT(SUBSTITUTE(C10237," ",""),3))&amp;"-"&amp;TEXT(B10237,"AAMMDD")&amp;"-1")</f>
        <v/>
      </c>
    </row>
    <row r="10238" spans="20:20">
      <c r="T10238" t="str">
        <f>IF(C10238="","",UPPER(LEFT(SUBSTITUTE(C10238," ",""),3))&amp;"-"&amp;TEXT(B10238,"AAMMDD")&amp;"-1")</f>
        <v/>
      </c>
    </row>
    <row r="10239" spans="20:20">
      <c r="T10239" t="str">
        <f>IF(C10239="","",UPPER(LEFT(SUBSTITUTE(C10239," ",""),3))&amp;"-"&amp;TEXT(B10239,"AAMMDD")&amp;"-1")</f>
        <v/>
      </c>
    </row>
    <row r="10240" spans="20:20">
      <c r="T10240" t="str">
        <f>IF(C10240="","",UPPER(LEFT(SUBSTITUTE(C10240," ",""),3))&amp;"-"&amp;TEXT(B10240,"AAMMDD")&amp;"-1")</f>
        <v/>
      </c>
    </row>
    <row r="10241" spans="20:20">
      <c r="T10241" t="str">
        <f>IF(C10241="","",UPPER(LEFT(SUBSTITUTE(C10241," ",""),3))&amp;"-"&amp;TEXT(B10241,"AAMMDD")&amp;"-1")</f>
        <v/>
      </c>
    </row>
    <row r="10242" spans="20:20">
      <c r="T10242" t="str">
        <f>IF(C10242="","",UPPER(LEFT(SUBSTITUTE(C10242," ",""),3))&amp;"-"&amp;TEXT(B10242,"AAMMDD")&amp;"-1")</f>
        <v/>
      </c>
    </row>
    <row r="10243" spans="20:20">
      <c r="T10243" t="str">
        <f>IF(C10243="","",UPPER(LEFT(SUBSTITUTE(C10243," ",""),3))&amp;"-"&amp;TEXT(B10243,"AAMMDD")&amp;"-1")</f>
        <v/>
      </c>
    </row>
    <row r="10244" spans="20:20">
      <c r="T10244" t="str">
        <f>IF(C10244="","",UPPER(LEFT(SUBSTITUTE(C10244," ",""),3))&amp;"-"&amp;TEXT(B10244,"AAMMDD")&amp;"-1")</f>
        <v/>
      </c>
    </row>
    <row r="10245" spans="20:20">
      <c r="T10245" t="str">
        <f>IF(C10245="","",UPPER(LEFT(SUBSTITUTE(C10245," ",""),3))&amp;"-"&amp;TEXT(B10245,"AAMMDD")&amp;"-1")</f>
        <v/>
      </c>
    </row>
    <row r="10246" spans="20:20">
      <c r="T10246" t="str">
        <f>IF(C10246="","",UPPER(LEFT(SUBSTITUTE(C10246," ",""),3))&amp;"-"&amp;TEXT(B10246,"AAMMDD")&amp;"-1")</f>
        <v/>
      </c>
    </row>
    <row r="10247" spans="20:20">
      <c r="T10247" t="str">
        <f>IF(C10247="","",UPPER(LEFT(SUBSTITUTE(C10247," ",""),3))&amp;"-"&amp;TEXT(B10247,"AAMMDD")&amp;"-1")</f>
        <v/>
      </c>
    </row>
    <row r="10248" spans="20:20">
      <c r="T10248" t="str">
        <f>IF(C10248="","",UPPER(LEFT(SUBSTITUTE(C10248," ",""),3))&amp;"-"&amp;TEXT(B10248,"AAMMDD")&amp;"-1")</f>
        <v/>
      </c>
    </row>
    <row r="10249" spans="20:20">
      <c r="T10249" t="str">
        <f>IF(C10249="","",UPPER(LEFT(SUBSTITUTE(C10249," ",""),3))&amp;"-"&amp;TEXT(B10249,"AAMMDD")&amp;"-1")</f>
        <v/>
      </c>
    </row>
    <row r="10250" spans="20:20">
      <c r="T10250" t="str">
        <f>IF(C10250="","",UPPER(LEFT(SUBSTITUTE(C10250," ",""),3))&amp;"-"&amp;TEXT(B10250,"AAMMDD")&amp;"-1")</f>
        <v/>
      </c>
    </row>
    <row r="10251" spans="20:20">
      <c r="T10251" t="str">
        <f>IF(C10251="","",UPPER(LEFT(SUBSTITUTE(C10251," ",""),3))&amp;"-"&amp;TEXT(B10251,"AAMMDD")&amp;"-1")</f>
        <v/>
      </c>
    </row>
    <row r="10252" spans="20:20">
      <c r="T10252" t="str">
        <f>IF(C10252="","",UPPER(LEFT(SUBSTITUTE(C10252," ",""),3))&amp;"-"&amp;TEXT(B10252,"AAMMDD")&amp;"-1")</f>
        <v/>
      </c>
    </row>
    <row r="10253" spans="20:20">
      <c r="T10253" t="str">
        <f>IF(C10253="","",UPPER(LEFT(SUBSTITUTE(C10253," ",""),3))&amp;"-"&amp;TEXT(B10253,"AAMMDD")&amp;"-1")</f>
        <v/>
      </c>
    </row>
    <row r="10254" spans="20:20">
      <c r="T10254" t="str">
        <f>IF(C10254="","",UPPER(LEFT(SUBSTITUTE(C10254," ",""),3))&amp;"-"&amp;TEXT(B10254,"AAMMDD")&amp;"-1")</f>
        <v/>
      </c>
    </row>
    <row r="10255" spans="20:20">
      <c r="T10255" t="str">
        <f>IF(C10255="","",UPPER(LEFT(SUBSTITUTE(C10255," ",""),3))&amp;"-"&amp;TEXT(B10255,"AAMMDD")&amp;"-1")</f>
        <v/>
      </c>
    </row>
    <row r="10256" spans="20:20">
      <c r="T10256" t="str">
        <f>IF(C10256="","",UPPER(LEFT(SUBSTITUTE(C10256," ",""),3))&amp;"-"&amp;TEXT(B10256,"AAMMDD")&amp;"-1")</f>
        <v/>
      </c>
    </row>
    <row r="10257" spans="20:20">
      <c r="T10257" t="str">
        <f>IF(C10257="","",UPPER(LEFT(SUBSTITUTE(C10257," ",""),3))&amp;"-"&amp;TEXT(B10257,"AAMMDD")&amp;"-1")</f>
        <v/>
      </c>
    </row>
    <row r="10258" spans="20:20">
      <c r="T10258" t="str">
        <f>IF(C10258="","",UPPER(LEFT(SUBSTITUTE(C10258," ",""),3))&amp;"-"&amp;TEXT(B10258,"AAMMDD")&amp;"-1")</f>
        <v/>
      </c>
    </row>
    <row r="10259" spans="20:20">
      <c r="T10259" t="str">
        <f>IF(C10259="","",UPPER(LEFT(SUBSTITUTE(C10259," ",""),3))&amp;"-"&amp;TEXT(B10259,"AAMMDD")&amp;"-1")</f>
        <v/>
      </c>
    </row>
    <row r="10260" spans="20:20">
      <c r="T10260" t="str">
        <f>IF(C10260="","",UPPER(LEFT(SUBSTITUTE(C10260," ",""),3))&amp;"-"&amp;TEXT(B10260,"AAMMDD")&amp;"-1")</f>
        <v/>
      </c>
    </row>
    <row r="10261" spans="20:20">
      <c r="T10261" t="str">
        <f>IF(C10261="","",UPPER(LEFT(SUBSTITUTE(C10261," ",""),3))&amp;"-"&amp;TEXT(B10261,"AAMMDD")&amp;"-1")</f>
        <v/>
      </c>
    </row>
    <row r="10262" spans="20:20">
      <c r="T10262" t="str">
        <f>IF(C10262="","",UPPER(LEFT(SUBSTITUTE(C10262," ",""),3))&amp;"-"&amp;TEXT(B10262,"AAMMDD")&amp;"-1")</f>
        <v/>
      </c>
    </row>
    <row r="10263" spans="20:20">
      <c r="T10263" t="str">
        <f>IF(C10263="","",UPPER(LEFT(SUBSTITUTE(C10263," ",""),3))&amp;"-"&amp;TEXT(B10263,"AAMMDD")&amp;"-1")</f>
        <v/>
      </c>
    </row>
    <row r="10264" spans="20:20">
      <c r="T10264" t="str">
        <f>IF(C10264="","",UPPER(LEFT(SUBSTITUTE(C10264," ",""),3))&amp;"-"&amp;TEXT(B10264,"AAMMDD")&amp;"-1")</f>
        <v/>
      </c>
    </row>
    <row r="10265" spans="20:20">
      <c r="T10265" t="str">
        <f>IF(C10265="","",UPPER(LEFT(SUBSTITUTE(C10265," ",""),3))&amp;"-"&amp;TEXT(B10265,"AAMMDD")&amp;"-1")</f>
        <v/>
      </c>
    </row>
    <row r="10266" spans="20:20">
      <c r="T10266" t="str">
        <f>IF(C10266="","",UPPER(LEFT(SUBSTITUTE(C10266," ",""),3))&amp;"-"&amp;TEXT(B10266,"AAMMDD")&amp;"-1")</f>
        <v/>
      </c>
    </row>
    <row r="10267" spans="20:20">
      <c r="T10267" t="str">
        <f>IF(C10267="","",UPPER(LEFT(SUBSTITUTE(C10267," ",""),3))&amp;"-"&amp;TEXT(B10267,"AAMMDD")&amp;"-1")</f>
        <v/>
      </c>
    </row>
    <row r="10268" spans="20:20">
      <c r="T10268" t="str">
        <f>IF(C10268="","",UPPER(LEFT(SUBSTITUTE(C10268," ",""),3))&amp;"-"&amp;TEXT(B10268,"AAMMDD")&amp;"-1")</f>
        <v/>
      </c>
    </row>
    <row r="10269" spans="20:20">
      <c r="T10269" t="str">
        <f>IF(C10269="","",UPPER(LEFT(SUBSTITUTE(C10269," ",""),3))&amp;"-"&amp;TEXT(B10269,"AAMMDD")&amp;"-1")</f>
        <v/>
      </c>
    </row>
    <row r="10270" spans="20:20">
      <c r="T10270" t="str">
        <f>IF(C10270="","",UPPER(LEFT(SUBSTITUTE(C10270," ",""),3))&amp;"-"&amp;TEXT(B10270,"AAMMDD")&amp;"-1")</f>
        <v/>
      </c>
    </row>
    <row r="10271" spans="20:20">
      <c r="T10271" t="str">
        <f>IF(C10271="","",UPPER(LEFT(SUBSTITUTE(C10271," ",""),3))&amp;"-"&amp;TEXT(B10271,"AAMMDD")&amp;"-1")</f>
        <v/>
      </c>
    </row>
    <row r="10272" spans="20:20">
      <c r="T10272" t="str">
        <f>IF(C10272="","",UPPER(LEFT(SUBSTITUTE(C10272," ",""),3))&amp;"-"&amp;TEXT(B10272,"AAMMDD")&amp;"-1")</f>
        <v/>
      </c>
    </row>
    <row r="10273" spans="20:20">
      <c r="T10273" t="str">
        <f>IF(C10273="","",UPPER(LEFT(SUBSTITUTE(C10273," ",""),3))&amp;"-"&amp;TEXT(B10273,"AAMMDD")&amp;"-1")</f>
        <v/>
      </c>
    </row>
    <row r="10274" spans="20:20">
      <c r="T10274" t="str">
        <f>IF(C10274="","",UPPER(LEFT(SUBSTITUTE(C10274," ",""),3))&amp;"-"&amp;TEXT(B10274,"AAMMDD")&amp;"-1")</f>
        <v/>
      </c>
    </row>
    <row r="10275" spans="20:20">
      <c r="T10275" t="str">
        <f>IF(C10275="","",UPPER(LEFT(SUBSTITUTE(C10275," ",""),3))&amp;"-"&amp;TEXT(B10275,"AAMMDD")&amp;"-1")</f>
        <v/>
      </c>
    </row>
    <row r="10276" spans="20:20">
      <c r="T10276" t="str">
        <f>IF(C10276="","",UPPER(LEFT(SUBSTITUTE(C10276," ",""),3))&amp;"-"&amp;TEXT(B10276,"AAMMDD")&amp;"-1")</f>
        <v/>
      </c>
    </row>
    <row r="10277" spans="20:20">
      <c r="T10277" t="str">
        <f>IF(C10277="","",UPPER(LEFT(SUBSTITUTE(C10277," ",""),3))&amp;"-"&amp;TEXT(B10277,"AAMMDD")&amp;"-1")</f>
        <v/>
      </c>
    </row>
    <row r="10278" spans="20:20">
      <c r="T10278" t="str">
        <f>IF(C10278="","",UPPER(LEFT(SUBSTITUTE(C10278," ",""),3))&amp;"-"&amp;TEXT(B10278,"AAMMDD")&amp;"-1")</f>
        <v/>
      </c>
    </row>
    <row r="10279" spans="20:20">
      <c r="T10279" t="str">
        <f>IF(C10279="","",UPPER(LEFT(SUBSTITUTE(C10279," ",""),3))&amp;"-"&amp;TEXT(B10279,"AAMMDD")&amp;"-1")</f>
        <v/>
      </c>
    </row>
    <row r="10280" spans="20:20">
      <c r="T10280" t="str">
        <f>IF(C10280="","",UPPER(LEFT(SUBSTITUTE(C10280," ",""),3))&amp;"-"&amp;TEXT(B10280,"AAMMDD")&amp;"-1")</f>
        <v/>
      </c>
    </row>
    <row r="10281" spans="20:20">
      <c r="T10281" t="str">
        <f>IF(C10281="","",UPPER(LEFT(SUBSTITUTE(C10281," ",""),3))&amp;"-"&amp;TEXT(B10281,"AAMMDD")&amp;"-1")</f>
        <v/>
      </c>
    </row>
    <row r="10282" spans="20:20">
      <c r="T10282" t="str">
        <f>IF(C10282="","",UPPER(LEFT(SUBSTITUTE(C10282," ",""),3))&amp;"-"&amp;TEXT(B10282,"AAMMDD")&amp;"-1")</f>
        <v/>
      </c>
    </row>
    <row r="10283" spans="20:20">
      <c r="T10283" t="str">
        <f>IF(C10283="","",UPPER(LEFT(SUBSTITUTE(C10283," ",""),3))&amp;"-"&amp;TEXT(B10283,"AAMMDD")&amp;"-1")</f>
        <v/>
      </c>
    </row>
    <row r="10284" spans="20:20">
      <c r="T10284" t="str">
        <f>IF(C10284="","",UPPER(LEFT(SUBSTITUTE(C10284," ",""),3))&amp;"-"&amp;TEXT(B10284,"AAMMDD")&amp;"-1")</f>
        <v/>
      </c>
    </row>
    <row r="10285" spans="20:20">
      <c r="T10285" t="str">
        <f>IF(C10285="","",UPPER(LEFT(SUBSTITUTE(C10285," ",""),3))&amp;"-"&amp;TEXT(B10285,"AAMMDD")&amp;"-1")</f>
        <v/>
      </c>
    </row>
    <row r="10286" spans="20:20">
      <c r="T10286" t="str">
        <f>IF(C10286="","",UPPER(LEFT(SUBSTITUTE(C10286," ",""),3))&amp;"-"&amp;TEXT(B10286,"AAMMDD")&amp;"-1")</f>
        <v/>
      </c>
    </row>
    <row r="10287" spans="20:20">
      <c r="T10287" t="str">
        <f>IF(C10287="","",UPPER(LEFT(SUBSTITUTE(C10287," ",""),3))&amp;"-"&amp;TEXT(B10287,"AAMMDD")&amp;"-1")</f>
        <v/>
      </c>
    </row>
    <row r="10288" spans="20:20">
      <c r="T10288" t="str">
        <f>IF(C10288="","",UPPER(LEFT(SUBSTITUTE(C10288," ",""),3))&amp;"-"&amp;TEXT(B10288,"AAMMDD")&amp;"-1")</f>
        <v/>
      </c>
    </row>
    <row r="10289" spans="20:20">
      <c r="T10289" t="str">
        <f>IF(C10289="","",UPPER(LEFT(SUBSTITUTE(C10289," ",""),3))&amp;"-"&amp;TEXT(B10289,"AAMMDD")&amp;"-1")</f>
        <v/>
      </c>
    </row>
    <row r="10290" spans="20:20">
      <c r="T10290" t="str">
        <f>IF(C10290="","",UPPER(LEFT(SUBSTITUTE(C10290," ",""),3))&amp;"-"&amp;TEXT(B10290,"AAMMDD")&amp;"-1")</f>
        <v/>
      </c>
    </row>
    <row r="10291" spans="20:20">
      <c r="T10291" t="str">
        <f>IF(C10291="","",UPPER(LEFT(SUBSTITUTE(C10291," ",""),3))&amp;"-"&amp;TEXT(B10291,"AAMMDD")&amp;"-1")</f>
        <v/>
      </c>
    </row>
    <row r="10292" spans="20:20">
      <c r="T10292" t="str">
        <f>IF(C10292="","",UPPER(LEFT(SUBSTITUTE(C10292," ",""),3))&amp;"-"&amp;TEXT(B10292,"AAMMDD")&amp;"-1")</f>
        <v/>
      </c>
    </row>
    <row r="10293" spans="20:20">
      <c r="T10293" t="str">
        <f>IF(C10293="","",UPPER(LEFT(SUBSTITUTE(C10293," ",""),3))&amp;"-"&amp;TEXT(B10293,"AAMMDD")&amp;"-1")</f>
        <v/>
      </c>
    </row>
    <row r="10294" spans="20:20">
      <c r="T10294" t="str">
        <f>IF(C10294="","",UPPER(LEFT(SUBSTITUTE(C10294," ",""),3))&amp;"-"&amp;TEXT(B10294,"AAMMDD")&amp;"-1")</f>
        <v/>
      </c>
    </row>
    <row r="10295" spans="20:20">
      <c r="T10295" t="str">
        <f>IF(C10295="","",UPPER(LEFT(SUBSTITUTE(C10295," ",""),3))&amp;"-"&amp;TEXT(B10295,"AAMMDD")&amp;"-1")</f>
        <v/>
      </c>
    </row>
    <row r="10296" spans="20:20">
      <c r="T10296" t="str">
        <f>IF(C10296="","",UPPER(LEFT(SUBSTITUTE(C10296," ",""),3))&amp;"-"&amp;TEXT(B10296,"AAMMDD")&amp;"-1")</f>
        <v/>
      </c>
    </row>
    <row r="10297" spans="20:20">
      <c r="T10297" t="str">
        <f>IF(C10297="","",UPPER(LEFT(SUBSTITUTE(C10297," ",""),3))&amp;"-"&amp;TEXT(B10297,"AAMMDD")&amp;"-1")</f>
        <v/>
      </c>
    </row>
    <row r="10298" spans="20:20">
      <c r="T10298" t="str">
        <f>IF(C10298="","",UPPER(LEFT(SUBSTITUTE(C10298," ",""),3))&amp;"-"&amp;TEXT(B10298,"AAMMDD")&amp;"-1")</f>
        <v/>
      </c>
    </row>
    <row r="10299" spans="20:20">
      <c r="T10299" t="str">
        <f>IF(C10299="","",UPPER(LEFT(SUBSTITUTE(C10299," ",""),3))&amp;"-"&amp;TEXT(B10299,"AAMMDD")&amp;"-1")</f>
        <v/>
      </c>
    </row>
    <row r="10300" spans="20:20">
      <c r="T10300" t="str">
        <f>IF(C10300="","",UPPER(LEFT(SUBSTITUTE(C10300," ",""),3))&amp;"-"&amp;TEXT(B10300,"AAMMDD")&amp;"-1")</f>
        <v/>
      </c>
    </row>
    <row r="10301" spans="20:20">
      <c r="T10301" t="str">
        <f>IF(C10301="","",UPPER(LEFT(SUBSTITUTE(C10301," ",""),3))&amp;"-"&amp;TEXT(B10301,"AAMMDD")&amp;"-1")</f>
        <v/>
      </c>
    </row>
    <row r="10302" spans="20:20">
      <c r="T10302" t="str">
        <f>IF(C10302="","",UPPER(LEFT(SUBSTITUTE(C10302," ",""),3))&amp;"-"&amp;TEXT(B10302,"AAMMDD")&amp;"-1")</f>
        <v/>
      </c>
    </row>
    <row r="10303" spans="20:20">
      <c r="T10303" t="str">
        <f>IF(C10303="","",UPPER(LEFT(SUBSTITUTE(C10303," ",""),3))&amp;"-"&amp;TEXT(B10303,"AAMMDD")&amp;"-1")</f>
        <v/>
      </c>
    </row>
    <row r="10304" spans="20:20">
      <c r="T10304" t="str">
        <f>IF(C10304="","",UPPER(LEFT(SUBSTITUTE(C10304," ",""),3))&amp;"-"&amp;TEXT(B10304,"AAMMDD")&amp;"-1")</f>
        <v/>
      </c>
    </row>
    <row r="10305" spans="20:20">
      <c r="T10305" t="str">
        <f>IF(C10305="","",UPPER(LEFT(SUBSTITUTE(C10305," ",""),3))&amp;"-"&amp;TEXT(B10305,"AAMMDD")&amp;"-1")</f>
        <v/>
      </c>
    </row>
    <row r="10306" spans="20:20">
      <c r="T10306" t="str">
        <f>IF(C10306="","",UPPER(LEFT(SUBSTITUTE(C10306," ",""),3))&amp;"-"&amp;TEXT(B10306,"AAMMDD")&amp;"-1")</f>
        <v/>
      </c>
    </row>
    <row r="10307" spans="20:20">
      <c r="T10307" t="str">
        <f>IF(C10307="","",UPPER(LEFT(SUBSTITUTE(C10307," ",""),3))&amp;"-"&amp;TEXT(B10307,"AAMMDD")&amp;"-1")</f>
        <v/>
      </c>
    </row>
    <row r="10308" spans="20:20">
      <c r="T10308" t="str">
        <f>IF(C10308="","",UPPER(LEFT(SUBSTITUTE(C10308," ",""),3))&amp;"-"&amp;TEXT(B10308,"AAMMDD")&amp;"-1")</f>
        <v/>
      </c>
    </row>
    <row r="10309" spans="20:20">
      <c r="T10309" t="str">
        <f>IF(C10309="","",UPPER(LEFT(SUBSTITUTE(C10309," ",""),3))&amp;"-"&amp;TEXT(B10309,"AAMMDD")&amp;"-1")</f>
        <v/>
      </c>
    </row>
    <row r="10310" spans="20:20">
      <c r="T10310" t="str">
        <f>IF(C10310="","",UPPER(LEFT(SUBSTITUTE(C10310," ",""),3))&amp;"-"&amp;TEXT(B10310,"AAMMDD")&amp;"-1")</f>
        <v/>
      </c>
    </row>
    <row r="10311" spans="20:20">
      <c r="T10311" t="str">
        <f>IF(C10311="","",UPPER(LEFT(SUBSTITUTE(C10311," ",""),3))&amp;"-"&amp;TEXT(B10311,"AAMMDD")&amp;"-1")</f>
        <v/>
      </c>
    </row>
    <row r="10312" spans="20:20">
      <c r="T10312" t="str">
        <f>IF(C10312="","",UPPER(LEFT(SUBSTITUTE(C10312," ",""),3))&amp;"-"&amp;TEXT(B10312,"AAMMDD")&amp;"-1")</f>
        <v/>
      </c>
    </row>
    <row r="10313" spans="20:20">
      <c r="T10313" t="str">
        <f>IF(C10313="","",UPPER(LEFT(SUBSTITUTE(C10313," ",""),3))&amp;"-"&amp;TEXT(B10313,"AAMMDD")&amp;"-1")</f>
        <v/>
      </c>
    </row>
    <row r="10314" spans="20:20">
      <c r="T10314" t="str">
        <f>IF(C10314="","",UPPER(LEFT(SUBSTITUTE(C10314," ",""),3))&amp;"-"&amp;TEXT(B10314,"AAMMDD")&amp;"-1")</f>
        <v/>
      </c>
    </row>
    <row r="10315" spans="20:20">
      <c r="T10315" t="str">
        <f>IF(C10315="","",UPPER(LEFT(SUBSTITUTE(C10315," ",""),3))&amp;"-"&amp;TEXT(B10315,"AAMMDD")&amp;"-1")</f>
        <v/>
      </c>
    </row>
    <row r="10316" spans="20:20">
      <c r="T10316" t="str">
        <f>IF(C10316="","",UPPER(LEFT(SUBSTITUTE(C10316," ",""),3))&amp;"-"&amp;TEXT(B10316,"AAMMDD")&amp;"-1")</f>
        <v/>
      </c>
    </row>
    <row r="10317" spans="20:20">
      <c r="T10317" t="str">
        <f>IF(C10317="","",UPPER(LEFT(SUBSTITUTE(C10317," ",""),3))&amp;"-"&amp;TEXT(B10317,"AAMMDD")&amp;"-1")</f>
        <v/>
      </c>
    </row>
    <row r="10318" spans="20:20">
      <c r="T10318" t="str">
        <f>IF(C10318="","",UPPER(LEFT(SUBSTITUTE(C10318," ",""),3))&amp;"-"&amp;TEXT(B10318,"AAMMDD")&amp;"-1")</f>
        <v/>
      </c>
    </row>
    <row r="10319" spans="20:20">
      <c r="T10319" t="str">
        <f>IF(C10319="","",UPPER(LEFT(SUBSTITUTE(C10319," ",""),3))&amp;"-"&amp;TEXT(B10319,"AAMMDD")&amp;"-1")</f>
        <v/>
      </c>
    </row>
    <row r="10320" spans="20:20">
      <c r="T10320" t="str">
        <f>IF(C10320="","",UPPER(LEFT(SUBSTITUTE(C10320," ",""),3))&amp;"-"&amp;TEXT(B10320,"AAMMDD")&amp;"-1")</f>
        <v/>
      </c>
    </row>
    <row r="10321" spans="20:20">
      <c r="T10321" t="str">
        <f>IF(C10321="","",UPPER(LEFT(SUBSTITUTE(C10321," ",""),3))&amp;"-"&amp;TEXT(B10321,"AAMMDD")&amp;"-1")</f>
        <v/>
      </c>
    </row>
    <row r="10322" spans="20:20">
      <c r="T10322" t="str">
        <f>IF(C10322="","",UPPER(LEFT(SUBSTITUTE(C10322," ",""),3))&amp;"-"&amp;TEXT(B10322,"AAMMDD")&amp;"-1")</f>
        <v/>
      </c>
    </row>
    <row r="10323" spans="20:20">
      <c r="T10323" t="str">
        <f>IF(C10323="","",UPPER(LEFT(SUBSTITUTE(C10323," ",""),3))&amp;"-"&amp;TEXT(B10323,"AAMMDD")&amp;"-1")</f>
        <v/>
      </c>
    </row>
    <row r="10324" spans="20:20">
      <c r="T10324" t="str">
        <f>IF(C10324="","",UPPER(LEFT(SUBSTITUTE(C10324," ",""),3))&amp;"-"&amp;TEXT(B10324,"AAMMDD")&amp;"-1")</f>
        <v/>
      </c>
    </row>
    <row r="10325" spans="20:20">
      <c r="T10325" t="str">
        <f>IF(C10325="","",UPPER(LEFT(SUBSTITUTE(C10325," ",""),3))&amp;"-"&amp;TEXT(B10325,"AAMMDD")&amp;"-1")</f>
        <v/>
      </c>
    </row>
    <row r="10326" spans="20:20">
      <c r="T10326" t="str">
        <f>IF(C10326="","",UPPER(LEFT(SUBSTITUTE(C10326," ",""),3))&amp;"-"&amp;TEXT(B10326,"AAMMDD")&amp;"-1")</f>
        <v/>
      </c>
    </row>
    <row r="10327" spans="20:20">
      <c r="T10327" t="str">
        <f>IF(C10327="","",UPPER(LEFT(SUBSTITUTE(C10327," ",""),3))&amp;"-"&amp;TEXT(B10327,"AAMMDD")&amp;"-1")</f>
        <v/>
      </c>
    </row>
    <row r="10328" spans="20:20">
      <c r="T10328" t="str">
        <f>IF(C10328="","",UPPER(LEFT(SUBSTITUTE(C10328," ",""),3))&amp;"-"&amp;TEXT(B10328,"AAMMDD")&amp;"-1")</f>
        <v/>
      </c>
    </row>
    <row r="10329" spans="20:20">
      <c r="T10329" t="str">
        <f>IF(C10329="","",UPPER(LEFT(SUBSTITUTE(C10329," ",""),3))&amp;"-"&amp;TEXT(B10329,"AAMMDD")&amp;"-1")</f>
        <v/>
      </c>
    </row>
    <row r="10330" spans="20:20">
      <c r="T10330" t="str">
        <f>IF(C10330="","",UPPER(LEFT(SUBSTITUTE(C10330," ",""),3))&amp;"-"&amp;TEXT(B10330,"AAMMDD")&amp;"-1")</f>
        <v/>
      </c>
    </row>
    <row r="10331" spans="20:20">
      <c r="T10331" t="str">
        <f>IF(C10331="","",UPPER(LEFT(SUBSTITUTE(C10331," ",""),3))&amp;"-"&amp;TEXT(B10331,"AAMMDD")&amp;"-1")</f>
        <v/>
      </c>
    </row>
    <row r="10332" spans="20:20">
      <c r="T10332" t="str">
        <f>IF(C10332="","",UPPER(LEFT(SUBSTITUTE(C10332," ",""),3))&amp;"-"&amp;TEXT(B10332,"AAMMDD")&amp;"-1")</f>
        <v/>
      </c>
    </row>
    <row r="10333" spans="20:20">
      <c r="T10333" t="str">
        <f>IF(C10333="","",UPPER(LEFT(SUBSTITUTE(C10333," ",""),3))&amp;"-"&amp;TEXT(B10333,"AAMMDD")&amp;"-1")</f>
        <v/>
      </c>
    </row>
    <row r="10334" spans="20:20">
      <c r="T10334" t="str">
        <f>IF(C10334="","",UPPER(LEFT(SUBSTITUTE(C10334," ",""),3))&amp;"-"&amp;TEXT(B10334,"AAMMDD")&amp;"-1")</f>
        <v/>
      </c>
    </row>
    <row r="10335" spans="20:20">
      <c r="T10335" t="str">
        <f>IF(C10335="","",UPPER(LEFT(SUBSTITUTE(C10335," ",""),3))&amp;"-"&amp;TEXT(B10335,"AAMMDD")&amp;"-1")</f>
        <v/>
      </c>
    </row>
    <row r="10336" spans="20:20">
      <c r="T10336" t="str">
        <f>IF(C10336="","",UPPER(LEFT(SUBSTITUTE(C10336," ",""),3))&amp;"-"&amp;TEXT(B10336,"AAMMDD")&amp;"-1")</f>
        <v/>
      </c>
    </row>
    <row r="10337" spans="20:20">
      <c r="T10337" t="str">
        <f>IF(C10337="","",UPPER(LEFT(SUBSTITUTE(C10337," ",""),3))&amp;"-"&amp;TEXT(B10337,"AAMMDD")&amp;"-1")</f>
        <v/>
      </c>
    </row>
    <row r="10338" spans="20:20">
      <c r="T10338" t="str">
        <f>IF(C10338="","",UPPER(LEFT(SUBSTITUTE(C10338," ",""),3))&amp;"-"&amp;TEXT(B10338,"AAMMDD")&amp;"-1")</f>
        <v/>
      </c>
    </row>
    <row r="10339" spans="20:20">
      <c r="T10339" t="str">
        <f>IF(C10339="","",UPPER(LEFT(SUBSTITUTE(C10339," ",""),3))&amp;"-"&amp;TEXT(B10339,"AAMMDD")&amp;"-1")</f>
        <v/>
      </c>
    </row>
    <row r="10340" spans="20:20">
      <c r="T10340" t="str">
        <f>IF(C10340="","",UPPER(LEFT(SUBSTITUTE(C10340," ",""),3))&amp;"-"&amp;TEXT(B10340,"AAMMDD")&amp;"-1")</f>
        <v/>
      </c>
    </row>
    <row r="10341" spans="20:20">
      <c r="T10341" t="str">
        <f>IF(C10341="","",UPPER(LEFT(SUBSTITUTE(C10341," ",""),3))&amp;"-"&amp;TEXT(B10341,"AAMMDD")&amp;"-1")</f>
        <v/>
      </c>
    </row>
    <row r="10342" spans="20:20">
      <c r="T10342" t="str">
        <f>IF(C10342="","",UPPER(LEFT(SUBSTITUTE(C10342," ",""),3))&amp;"-"&amp;TEXT(B10342,"AAMMDD")&amp;"-1")</f>
        <v/>
      </c>
    </row>
    <row r="10343" spans="20:20">
      <c r="T10343" t="str">
        <f>IF(C10343="","",UPPER(LEFT(SUBSTITUTE(C10343," ",""),3))&amp;"-"&amp;TEXT(B10343,"AAMMDD")&amp;"-1")</f>
        <v/>
      </c>
    </row>
    <row r="10344" spans="20:20">
      <c r="T10344" t="str">
        <f>IF(C10344="","",UPPER(LEFT(SUBSTITUTE(C10344," ",""),3))&amp;"-"&amp;TEXT(B10344,"AAMMDD")&amp;"-1")</f>
        <v/>
      </c>
    </row>
    <row r="10345" spans="20:20">
      <c r="T10345" t="str">
        <f>IF(C10345="","",UPPER(LEFT(SUBSTITUTE(C10345," ",""),3))&amp;"-"&amp;TEXT(B10345,"AAMMDD")&amp;"-1")</f>
        <v/>
      </c>
    </row>
    <row r="10346" spans="20:20">
      <c r="T10346" t="str">
        <f>IF(C10346="","",UPPER(LEFT(SUBSTITUTE(C10346," ",""),3))&amp;"-"&amp;TEXT(B10346,"AAMMDD")&amp;"-1")</f>
        <v/>
      </c>
    </row>
    <row r="10347" spans="20:20">
      <c r="T10347" t="str">
        <f>IF(C10347="","",UPPER(LEFT(SUBSTITUTE(C10347," ",""),3))&amp;"-"&amp;TEXT(B10347,"AAMMDD")&amp;"-1")</f>
        <v/>
      </c>
    </row>
    <row r="10348" spans="20:20">
      <c r="T10348" t="str">
        <f>IF(C10348="","",UPPER(LEFT(SUBSTITUTE(C10348," ",""),3))&amp;"-"&amp;TEXT(B10348,"AAMMDD")&amp;"-1")</f>
        <v/>
      </c>
    </row>
    <row r="10349" spans="20:20">
      <c r="T10349" t="str">
        <f>IF(C10349="","",UPPER(LEFT(SUBSTITUTE(C10349," ",""),3))&amp;"-"&amp;TEXT(B10349,"AAMMDD")&amp;"-1")</f>
        <v/>
      </c>
    </row>
    <row r="10350" spans="20:20">
      <c r="T10350" t="str">
        <f>IF(C10350="","",UPPER(LEFT(SUBSTITUTE(C10350," ",""),3))&amp;"-"&amp;TEXT(B10350,"AAMMDD")&amp;"-1")</f>
        <v/>
      </c>
    </row>
    <row r="10351" spans="20:20">
      <c r="T10351" t="str">
        <f>IF(C10351="","",UPPER(LEFT(SUBSTITUTE(C10351," ",""),3))&amp;"-"&amp;TEXT(B10351,"AAMMDD")&amp;"-1")</f>
        <v/>
      </c>
    </row>
    <row r="10352" spans="20:20">
      <c r="T10352" t="str">
        <f>IF(C10352="","",UPPER(LEFT(SUBSTITUTE(C10352," ",""),3))&amp;"-"&amp;TEXT(B10352,"AAMMDD")&amp;"-1")</f>
        <v/>
      </c>
    </row>
    <row r="10353" spans="20:20">
      <c r="T10353" t="str">
        <f>IF(C10353="","",UPPER(LEFT(SUBSTITUTE(C10353," ",""),3))&amp;"-"&amp;TEXT(B10353,"AAMMDD")&amp;"-1")</f>
        <v/>
      </c>
    </row>
    <row r="10354" spans="20:20">
      <c r="T10354" t="str">
        <f>IF(C10354="","",UPPER(LEFT(SUBSTITUTE(C10354," ",""),3))&amp;"-"&amp;TEXT(B10354,"AAMMDD")&amp;"-1")</f>
        <v/>
      </c>
    </row>
    <row r="10355" spans="20:20">
      <c r="T10355" t="str">
        <f>IF(C10355="","",UPPER(LEFT(SUBSTITUTE(C10355," ",""),3))&amp;"-"&amp;TEXT(B10355,"AAMMDD")&amp;"-1")</f>
        <v/>
      </c>
    </row>
    <row r="10356" spans="20:20">
      <c r="T10356" t="str">
        <f>IF(C10356="","",UPPER(LEFT(SUBSTITUTE(C10356," ",""),3))&amp;"-"&amp;TEXT(B10356,"AAMMDD")&amp;"-1")</f>
        <v/>
      </c>
    </row>
    <row r="10357" spans="20:20">
      <c r="T10357" t="str">
        <f>IF(C10357="","",UPPER(LEFT(SUBSTITUTE(C10357," ",""),3))&amp;"-"&amp;TEXT(B10357,"AAMMDD")&amp;"-1")</f>
        <v/>
      </c>
    </row>
    <row r="10358" spans="20:20">
      <c r="T10358" t="str">
        <f>IF(C10358="","",UPPER(LEFT(SUBSTITUTE(C10358," ",""),3))&amp;"-"&amp;TEXT(B10358,"AAMMDD")&amp;"-1")</f>
        <v/>
      </c>
    </row>
    <row r="10359" spans="20:20">
      <c r="T10359" t="str">
        <f>IF(C10359="","",UPPER(LEFT(SUBSTITUTE(C10359," ",""),3))&amp;"-"&amp;TEXT(B10359,"AAMMDD")&amp;"-1")</f>
        <v/>
      </c>
    </row>
    <row r="10360" spans="20:20">
      <c r="T10360" t="str">
        <f>IF(C10360="","",UPPER(LEFT(SUBSTITUTE(C10360," ",""),3))&amp;"-"&amp;TEXT(B10360,"AAMMDD")&amp;"-1")</f>
        <v/>
      </c>
    </row>
    <row r="10361" spans="20:20">
      <c r="T10361" t="str">
        <f>IF(C10361="","",UPPER(LEFT(SUBSTITUTE(C10361," ",""),3))&amp;"-"&amp;TEXT(B10361,"AAMMDD")&amp;"-1")</f>
        <v/>
      </c>
    </row>
    <row r="10362" spans="20:20">
      <c r="T10362" t="str">
        <f>IF(C10362="","",UPPER(LEFT(SUBSTITUTE(C10362," ",""),3))&amp;"-"&amp;TEXT(B10362,"AAMMDD")&amp;"-1")</f>
        <v/>
      </c>
    </row>
    <row r="10363" spans="20:20">
      <c r="T10363" t="str">
        <f>IF(C10363="","",UPPER(LEFT(SUBSTITUTE(C10363," ",""),3))&amp;"-"&amp;TEXT(B10363,"AAMMDD")&amp;"-1")</f>
        <v/>
      </c>
    </row>
    <row r="10364" spans="20:20">
      <c r="T10364" t="str">
        <f>IF(C10364="","",UPPER(LEFT(SUBSTITUTE(C10364," ",""),3))&amp;"-"&amp;TEXT(B10364,"AAMMDD")&amp;"-1")</f>
        <v/>
      </c>
    </row>
    <row r="10365" spans="20:20">
      <c r="T10365" t="str">
        <f>IF(C10365="","",UPPER(LEFT(SUBSTITUTE(C10365," ",""),3))&amp;"-"&amp;TEXT(B10365,"AAMMDD")&amp;"-1")</f>
        <v/>
      </c>
    </row>
    <row r="10366" spans="20:20">
      <c r="T10366" t="str">
        <f>IF(C10366="","",UPPER(LEFT(SUBSTITUTE(C10366," ",""),3))&amp;"-"&amp;TEXT(B10366,"AAMMDD")&amp;"-1")</f>
        <v/>
      </c>
    </row>
    <row r="10367" spans="20:20">
      <c r="T10367" t="str">
        <f>IF(C10367="","",UPPER(LEFT(SUBSTITUTE(C10367," ",""),3))&amp;"-"&amp;TEXT(B10367,"AAMMDD")&amp;"-1")</f>
        <v/>
      </c>
    </row>
    <row r="10368" spans="20:20">
      <c r="T10368" t="str">
        <f>IF(C10368="","",UPPER(LEFT(SUBSTITUTE(C10368," ",""),3))&amp;"-"&amp;TEXT(B10368,"AAMMDD")&amp;"-1")</f>
        <v/>
      </c>
    </row>
    <row r="10369" spans="20:20">
      <c r="T10369" t="str">
        <f>IF(C10369="","",UPPER(LEFT(SUBSTITUTE(C10369," ",""),3))&amp;"-"&amp;TEXT(B10369,"AAMMDD")&amp;"-1")</f>
        <v/>
      </c>
    </row>
    <row r="10370" spans="20:20">
      <c r="T10370" t="str">
        <f>IF(C10370="","",UPPER(LEFT(SUBSTITUTE(C10370," ",""),3))&amp;"-"&amp;TEXT(B10370,"AAMMDD")&amp;"-1")</f>
        <v/>
      </c>
    </row>
    <row r="10371" spans="20:20">
      <c r="T10371" t="str">
        <f>IF(C10371="","",UPPER(LEFT(SUBSTITUTE(C10371," ",""),3))&amp;"-"&amp;TEXT(B10371,"AAMMDD")&amp;"-1")</f>
        <v/>
      </c>
    </row>
    <row r="10372" spans="20:20">
      <c r="T10372" t="str">
        <f>IF(C10372="","",UPPER(LEFT(SUBSTITUTE(C10372," ",""),3))&amp;"-"&amp;TEXT(B10372,"AAMMDD")&amp;"-1")</f>
        <v/>
      </c>
    </row>
    <row r="10373" spans="20:20">
      <c r="T10373" t="str">
        <f>IF(C10373="","",UPPER(LEFT(SUBSTITUTE(C10373," ",""),3))&amp;"-"&amp;TEXT(B10373,"AAMMDD")&amp;"-1")</f>
        <v/>
      </c>
    </row>
    <row r="10374" spans="20:20">
      <c r="T10374" t="str">
        <f>IF(C10374="","",UPPER(LEFT(SUBSTITUTE(C10374," ",""),3))&amp;"-"&amp;TEXT(B10374,"AAMMDD")&amp;"-1")</f>
        <v/>
      </c>
    </row>
    <row r="10375" spans="20:20">
      <c r="T10375" t="str">
        <f>IF(C10375="","",UPPER(LEFT(SUBSTITUTE(C10375," ",""),3))&amp;"-"&amp;TEXT(B10375,"AAMMDD")&amp;"-1")</f>
        <v/>
      </c>
    </row>
    <row r="10376" spans="20:20">
      <c r="T10376" t="str">
        <f>IF(C10376="","",UPPER(LEFT(SUBSTITUTE(C10376," ",""),3))&amp;"-"&amp;TEXT(B10376,"AAMMDD")&amp;"-1")</f>
        <v/>
      </c>
    </row>
    <row r="10377" spans="20:20">
      <c r="T10377" t="str">
        <f>IF(C10377="","",UPPER(LEFT(SUBSTITUTE(C10377," ",""),3))&amp;"-"&amp;TEXT(B10377,"AAMMDD")&amp;"-1")</f>
        <v/>
      </c>
    </row>
    <row r="10378" spans="20:20">
      <c r="T10378" t="str">
        <f>IF(C10378="","",UPPER(LEFT(SUBSTITUTE(C10378," ",""),3))&amp;"-"&amp;TEXT(B10378,"AAMMDD")&amp;"-1")</f>
        <v/>
      </c>
    </row>
    <row r="10379" spans="20:20">
      <c r="T10379" t="str">
        <f>IF(C10379="","",UPPER(LEFT(SUBSTITUTE(C10379," ",""),3))&amp;"-"&amp;TEXT(B10379,"AAMMDD")&amp;"-1")</f>
        <v/>
      </c>
    </row>
    <row r="10380" spans="20:20">
      <c r="T10380" t="str">
        <f>IF(C10380="","",UPPER(LEFT(SUBSTITUTE(C10380," ",""),3))&amp;"-"&amp;TEXT(B10380,"AAMMDD")&amp;"-1")</f>
        <v/>
      </c>
    </row>
    <row r="10381" spans="20:20">
      <c r="T10381" t="str">
        <f>IF(C10381="","",UPPER(LEFT(SUBSTITUTE(C10381," ",""),3))&amp;"-"&amp;TEXT(B10381,"AAMMDD")&amp;"-1")</f>
        <v/>
      </c>
    </row>
    <row r="10382" spans="20:20">
      <c r="T10382" t="str">
        <f>IF(C10382="","",UPPER(LEFT(SUBSTITUTE(C10382," ",""),3))&amp;"-"&amp;TEXT(B10382,"AAMMDD")&amp;"-1")</f>
        <v/>
      </c>
    </row>
    <row r="10383" spans="20:20">
      <c r="T10383" t="str">
        <f>IF(C10383="","",UPPER(LEFT(SUBSTITUTE(C10383," ",""),3))&amp;"-"&amp;TEXT(B10383,"AAMMDD")&amp;"-1")</f>
        <v/>
      </c>
    </row>
    <row r="10384" spans="20:20">
      <c r="T10384" t="str">
        <f>IF(C10384="","",UPPER(LEFT(SUBSTITUTE(C10384," ",""),3))&amp;"-"&amp;TEXT(B10384,"AAMMDD")&amp;"-1")</f>
        <v/>
      </c>
    </row>
    <row r="10385" spans="20:20">
      <c r="T10385" t="str">
        <f>IF(C10385="","",UPPER(LEFT(SUBSTITUTE(C10385," ",""),3))&amp;"-"&amp;TEXT(B10385,"AAMMDD")&amp;"-1")</f>
        <v/>
      </c>
    </row>
    <row r="10386" spans="20:20">
      <c r="T10386" t="str">
        <f>IF(C10386="","",UPPER(LEFT(SUBSTITUTE(C10386," ",""),3))&amp;"-"&amp;TEXT(B10386,"AAMMDD")&amp;"-1")</f>
        <v/>
      </c>
    </row>
    <row r="10387" spans="20:20">
      <c r="T10387" t="str">
        <f>IF(C10387="","",UPPER(LEFT(SUBSTITUTE(C10387," ",""),3))&amp;"-"&amp;TEXT(B10387,"AAMMDD")&amp;"-1")</f>
        <v/>
      </c>
    </row>
    <row r="10388" spans="20:20">
      <c r="T10388" t="str">
        <f>IF(C10388="","",UPPER(LEFT(SUBSTITUTE(C10388," ",""),3))&amp;"-"&amp;TEXT(B10388,"AAMMDD")&amp;"-1")</f>
        <v/>
      </c>
    </row>
    <row r="10389" spans="20:20">
      <c r="T10389" t="str">
        <f>IF(C10389="","",UPPER(LEFT(SUBSTITUTE(C10389," ",""),3))&amp;"-"&amp;TEXT(B10389,"AAMMDD")&amp;"-1")</f>
        <v/>
      </c>
    </row>
    <row r="10390" spans="20:20">
      <c r="T10390" t="str">
        <f>IF(C10390="","",UPPER(LEFT(SUBSTITUTE(C10390," ",""),3))&amp;"-"&amp;TEXT(B10390,"AAMMDD")&amp;"-1")</f>
        <v/>
      </c>
    </row>
    <row r="10391" spans="20:20">
      <c r="T10391" t="str">
        <f>IF(C10391="","",UPPER(LEFT(SUBSTITUTE(C10391," ",""),3))&amp;"-"&amp;TEXT(B10391,"AAMMDD")&amp;"-1")</f>
        <v/>
      </c>
    </row>
    <row r="10392" spans="20:20">
      <c r="T10392" t="str">
        <f>IF(C10392="","",UPPER(LEFT(SUBSTITUTE(C10392," ",""),3))&amp;"-"&amp;TEXT(B10392,"AAMMDD")&amp;"-1")</f>
        <v/>
      </c>
    </row>
    <row r="10393" spans="20:20">
      <c r="T10393" t="str">
        <f>IF(C10393="","",UPPER(LEFT(SUBSTITUTE(C10393," ",""),3))&amp;"-"&amp;TEXT(B10393,"AAMMDD")&amp;"-1")</f>
        <v/>
      </c>
    </row>
    <row r="10394" spans="20:20">
      <c r="T10394" t="str">
        <f>IF(C10394="","",UPPER(LEFT(SUBSTITUTE(C10394," ",""),3))&amp;"-"&amp;TEXT(B10394,"AAMMDD")&amp;"-1")</f>
        <v/>
      </c>
    </row>
    <row r="10395" spans="20:20">
      <c r="T10395" t="str">
        <f>IF(C10395="","",UPPER(LEFT(SUBSTITUTE(C10395," ",""),3))&amp;"-"&amp;TEXT(B10395,"AAMMDD")&amp;"-1")</f>
        <v/>
      </c>
    </row>
    <row r="10396" spans="20:20">
      <c r="T10396" t="str">
        <f>IF(C10396="","",UPPER(LEFT(SUBSTITUTE(C10396," ",""),3))&amp;"-"&amp;TEXT(B10396,"AAMMDD")&amp;"-1")</f>
        <v/>
      </c>
    </row>
    <row r="10397" spans="20:20">
      <c r="T10397" t="str">
        <f>IF(C10397="","",UPPER(LEFT(SUBSTITUTE(C10397," ",""),3))&amp;"-"&amp;TEXT(B10397,"AAMMDD")&amp;"-1")</f>
        <v/>
      </c>
    </row>
    <row r="10398" spans="20:20">
      <c r="T10398" t="str">
        <f>IF(C10398="","",UPPER(LEFT(SUBSTITUTE(C10398," ",""),3))&amp;"-"&amp;TEXT(B10398,"AAMMDD")&amp;"-1")</f>
        <v/>
      </c>
    </row>
    <row r="10399" spans="20:20">
      <c r="T10399" t="str">
        <f>IF(C10399="","",UPPER(LEFT(SUBSTITUTE(C10399," ",""),3))&amp;"-"&amp;TEXT(B10399,"AAMMDD")&amp;"-1")</f>
        <v/>
      </c>
    </row>
    <row r="10400" spans="20:20">
      <c r="T10400" t="str">
        <f>IF(C10400="","",UPPER(LEFT(SUBSTITUTE(C10400," ",""),3))&amp;"-"&amp;TEXT(B10400,"AAMMDD")&amp;"-1")</f>
        <v/>
      </c>
    </row>
    <row r="10401" spans="20:20">
      <c r="T10401" t="str">
        <f>IF(C10401="","",UPPER(LEFT(SUBSTITUTE(C10401," ",""),3))&amp;"-"&amp;TEXT(B10401,"AAMMDD")&amp;"-1")</f>
        <v/>
      </c>
    </row>
    <row r="10402" spans="20:20">
      <c r="T10402" t="str">
        <f>IF(C10402="","",UPPER(LEFT(SUBSTITUTE(C10402," ",""),3))&amp;"-"&amp;TEXT(B10402,"AAMMDD")&amp;"-1")</f>
        <v/>
      </c>
    </row>
    <row r="10403" spans="20:20">
      <c r="T10403" t="str">
        <f>IF(C10403="","",UPPER(LEFT(SUBSTITUTE(C10403," ",""),3))&amp;"-"&amp;TEXT(B10403,"AAMMDD")&amp;"-1")</f>
        <v/>
      </c>
    </row>
    <row r="10404" spans="20:20">
      <c r="T10404" t="str">
        <f>IF(C10404="","",UPPER(LEFT(SUBSTITUTE(C10404," ",""),3))&amp;"-"&amp;TEXT(B10404,"AAMMDD")&amp;"-1")</f>
        <v/>
      </c>
    </row>
    <row r="10405" spans="20:20">
      <c r="T10405" t="str">
        <f>IF(C10405="","",UPPER(LEFT(SUBSTITUTE(C10405," ",""),3))&amp;"-"&amp;TEXT(B10405,"AAMMDD")&amp;"-1")</f>
        <v/>
      </c>
    </row>
    <row r="10406" spans="20:20">
      <c r="T10406" t="str">
        <f>IF(C10406="","",UPPER(LEFT(SUBSTITUTE(C10406," ",""),3))&amp;"-"&amp;TEXT(B10406,"AAMMDD")&amp;"-1")</f>
        <v/>
      </c>
    </row>
    <row r="10407" spans="20:20">
      <c r="T10407" t="str">
        <f>IF(C10407="","",UPPER(LEFT(SUBSTITUTE(C10407," ",""),3))&amp;"-"&amp;TEXT(B10407,"AAMMDD")&amp;"-1")</f>
        <v/>
      </c>
    </row>
    <row r="10408" spans="20:20">
      <c r="T10408" t="str">
        <f>IF(C10408="","",UPPER(LEFT(SUBSTITUTE(C10408," ",""),3))&amp;"-"&amp;TEXT(B10408,"AAMMDD")&amp;"-1")</f>
        <v/>
      </c>
    </row>
    <row r="10409" spans="20:20">
      <c r="T10409" t="str">
        <f>IF(C10409="","",UPPER(LEFT(SUBSTITUTE(C10409," ",""),3))&amp;"-"&amp;TEXT(B10409,"AAMMDD")&amp;"-1")</f>
        <v/>
      </c>
    </row>
    <row r="10410" spans="20:20">
      <c r="T10410" t="str">
        <f>IF(C10410="","",UPPER(LEFT(SUBSTITUTE(C10410," ",""),3))&amp;"-"&amp;TEXT(B10410,"AAMMDD")&amp;"-1")</f>
        <v/>
      </c>
    </row>
    <row r="10411" spans="20:20">
      <c r="T10411" t="str">
        <f>IF(C10411="","",UPPER(LEFT(SUBSTITUTE(C10411," ",""),3))&amp;"-"&amp;TEXT(B10411,"AAMMDD")&amp;"-1")</f>
        <v/>
      </c>
    </row>
    <row r="10412" spans="20:20">
      <c r="T10412" t="str">
        <f>IF(C10412="","",UPPER(LEFT(SUBSTITUTE(C10412," ",""),3))&amp;"-"&amp;TEXT(B10412,"AAMMDD")&amp;"-1")</f>
        <v/>
      </c>
    </row>
    <row r="10413" spans="20:20">
      <c r="T10413" t="str">
        <f>IF(C10413="","",UPPER(LEFT(SUBSTITUTE(C10413," ",""),3))&amp;"-"&amp;TEXT(B10413,"AAMMDD")&amp;"-1")</f>
        <v/>
      </c>
    </row>
    <row r="10414" spans="20:20">
      <c r="T10414" t="str">
        <f>IF(C10414="","",UPPER(LEFT(SUBSTITUTE(C10414," ",""),3))&amp;"-"&amp;TEXT(B10414,"AAMMDD")&amp;"-1")</f>
        <v/>
      </c>
    </row>
    <row r="10415" spans="20:20">
      <c r="T10415" t="str">
        <f>IF(C10415="","",UPPER(LEFT(SUBSTITUTE(C10415," ",""),3))&amp;"-"&amp;TEXT(B10415,"AAMMDD")&amp;"-1")</f>
        <v/>
      </c>
    </row>
    <row r="10416" spans="20:20">
      <c r="T10416" t="str">
        <f>IF(C10416="","",UPPER(LEFT(SUBSTITUTE(C10416," ",""),3))&amp;"-"&amp;TEXT(B10416,"AAMMDD")&amp;"-1")</f>
        <v/>
      </c>
    </row>
    <row r="10417" spans="20:20">
      <c r="T10417" t="str">
        <f>IF(C10417="","",UPPER(LEFT(SUBSTITUTE(C10417," ",""),3))&amp;"-"&amp;TEXT(B10417,"AAMMDD")&amp;"-1")</f>
        <v/>
      </c>
    </row>
    <row r="10418" spans="20:20">
      <c r="T10418" t="str">
        <f>IF(C10418="","",UPPER(LEFT(SUBSTITUTE(C10418," ",""),3))&amp;"-"&amp;TEXT(B10418,"AAMMDD")&amp;"-1")</f>
        <v/>
      </c>
    </row>
    <row r="10419" spans="20:20">
      <c r="T10419" t="str">
        <f>IF(C10419="","",UPPER(LEFT(SUBSTITUTE(C10419," ",""),3))&amp;"-"&amp;TEXT(B10419,"AAMMDD")&amp;"-1")</f>
        <v/>
      </c>
    </row>
    <row r="10420" spans="20:20">
      <c r="T10420" t="str">
        <f>IF(C10420="","",UPPER(LEFT(SUBSTITUTE(C10420," ",""),3))&amp;"-"&amp;TEXT(B10420,"AAMMDD")&amp;"-1")</f>
        <v/>
      </c>
    </row>
    <row r="10421" spans="20:20">
      <c r="T10421" t="str">
        <f>IF(C10421="","",UPPER(LEFT(SUBSTITUTE(C10421," ",""),3))&amp;"-"&amp;TEXT(B10421,"AAMMDD")&amp;"-1")</f>
        <v/>
      </c>
    </row>
    <row r="10422" spans="20:20">
      <c r="T10422" t="str">
        <f>IF(C10422="","",UPPER(LEFT(SUBSTITUTE(C10422," ",""),3))&amp;"-"&amp;TEXT(B10422,"AAMMDD")&amp;"-1")</f>
        <v/>
      </c>
    </row>
    <row r="10423" spans="20:20">
      <c r="T10423" t="str">
        <f>IF(C10423="","",UPPER(LEFT(SUBSTITUTE(C10423," ",""),3))&amp;"-"&amp;TEXT(B10423,"AAMMDD")&amp;"-1")</f>
        <v/>
      </c>
    </row>
    <row r="10424" spans="20:20">
      <c r="T10424" t="str">
        <f>IF(C10424="","",UPPER(LEFT(SUBSTITUTE(C10424," ",""),3))&amp;"-"&amp;TEXT(B10424,"AAMMDD")&amp;"-1")</f>
        <v/>
      </c>
    </row>
    <row r="10425" spans="20:20">
      <c r="T10425" t="str">
        <f>IF(C10425="","",UPPER(LEFT(SUBSTITUTE(C10425," ",""),3))&amp;"-"&amp;TEXT(B10425,"AAMMDD")&amp;"-1")</f>
        <v/>
      </c>
    </row>
    <row r="10426" spans="20:20">
      <c r="T10426" t="str">
        <f>IF(C10426="","",UPPER(LEFT(SUBSTITUTE(C10426," ",""),3))&amp;"-"&amp;TEXT(B10426,"AAMMDD")&amp;"-1")</f>
        <v/>
      </c>
    </row>
    <row r="10427" spans="20:20">
      <c r="T10427" t="str">
        <f>IF(C10427="","",UPPER(LEFT(SUBSTITUTE(C10427," ",""),3))&amp;"-"&amp;TEXT(B10427,"AAMMDD")&amp;"-1")</f>
        <v/>
      </c>
    </row>
    <row r="10428" spans="20:20">
      <c r="T10428" t="str">
        <f>IF(C10428="","",UPPER(LEFT(SUBSTITUTE(C10428," ",""),3))&amp;"-"&amp;TEXT(B10428,"AAMMDD")&amp;"-1")</f>
        <v/>
      </c>
    </row>
    <row r="10429" spans="20:20">
      <c r="T10429" t="str">
        <f>IF(C10429="","",UPPER(LEFT(SUBSTITUTE(C10429," ",""),3))&amp;"-"&amp;TEXT(B10429,"AAMMDD")&amp;"-1")</f>
        <v/>
      </c>
    </row>
    <row r="10430" spans="20:20">
      <c r="T10430" t="str">
        <f>IF(C10430="","",UPPER(LEFT(SUBSTITUTE(C10430," ",""),3))&amp;"-"&amp;TEXT(B10430,"AAMMDD")&amp;"-1")</f>
        <v/>
      </c>
    </row>
    <row r="10431" spans="20:20">
      <c r="T10431" t="str">
        <f>IF(C10431="","",UPPER(LEFT(SUBSTITUTE(C10431," ",""),3))&amp;"-"&amp;TEXT(B10431,"AAMMDD")&amp;"-1")</f>
        <v/>
      </c>
    </row>
    <row r="10432" spans="20:20">
      <c r="T10432" t="str">
        <f>IF(C10432="","",UPPER(LEFT(SUBSTITUTE(C10432," ",""),3))&amp;"-"&amp;TEXT(B10432,"AAMMDD")&amp;"-1")</f>
        <v/>
      </c>
    </row>
    <row r="10433" spans="20:20">
      <c r="T10433" t="str">
        <f>IF(C10433="","",UPPER(LEFT(SUBSTITUTE(C10433," ",""),3))&amp;"-"&amp;TEXT(B10433,"AAMMDD")&amp;"-1")</f>
        <v/>
      </c>
    </row>
    <row r="10434" spans="20:20">
      <c r="T10434" t="str">
        <f>IF(C10434="","",UPPER(LEFT(SUBSTITUTE(C10434," ",""),3))&amp;"-"&amp;TEXT(B10434,"AAMMDD")&amp;"-1")</f>
        <v/>
      </c>
    </row>
    <row r="10435" spans="20:20">
      <c r="T10435" t="str">
        <f>IF(C10435="","",UPPER(LEFT(SUBSTITUTE(C10435," ",""),3))&amp;"-"&amp;TEXT(B10435,"AAMMDD")&amp;"-1")</f>
        <v/>
      </c>
    </row>
    <row r="10436" spans="20:20">
      <c r="T10436" t="str">
        <f>IF(C10436="","",UPPER(LEFT(SUBSTITUTE(C10436," ",""),3))&amp;"-"&amp;TEXT(B10436,"AAMMDD")&amp;"-1")</f>
        <v/>
      </c>
    </row>
    <row r="10437" spans="20:20">
      <c r="T10437" t="str">
        <f>IF(C10437="","",UPPER(LEFT(SUBSTITUTE(C10437," ",""),3))&amp;"-"&amp;TEXT(B10437,"AAMMDD")&amp;"-1")</f>
        <v/>
      </c>
    </row>
    <row r="10438" spans="20:20">
      <c r="T10438" t="str">
        <f>IF(C10438="","",UPPER(LEFT(SUBSTITUTE(C10438," ",""),3))&amp;"-"&amp;TEXT(B10438,"AAMMDD")&amp;"-1")</f>
        <v/>
      </c>
    </row>
    <row r="10439" spans="20:20">
      <c r="T10439" t="str">
        <f>IF(C10439="","",UPPER(LEFT(SUBSTITUTE(C10439," ",""),3))&amp;"-"&amp;TEXT(B10439,"AAMMDD")&amp;"-1")</f>
        <v/>
      </c>
    </row>
    <row r="10440" spans="20:20">
      <c r="T10440" t="str">
        <f>IF(C10440="","",UPPER(LEFT(SUBSTITUTE(C10440," ",""),3))&amp;"-"&amp;TEXT(B10440,"AAMMDD")&amp;"-1")</f>
        <v/>
      </c>
    </row>
    <row r="10441" spans="20:20">
      <c r="T10441" t="str">
        <f>IF(C10441="","",UPPER(LEFT(SUBSTITUTE(C10441," ",""),3))&amp;"-"&amp;TEXT(B10441,"AAMMDD")&amp;"-1")</f>
        <v/>
      </c>
    </row>
    <row r="10442" spans="20:20">
      <c r="T10442" t="str">
        <f>IF(C10442="","",UPPER(LEFT(SUBSTITUTE(C10442," ",""),3))&amp;"-"&amp;TEXT(B10442,"AAMMDD")&amp;"-1")</f>
        <v/>
      </c>
    </row>
    <row r="10443" spans="20:20">
      <c r="T10443" t="str">
        <f>IF(C10443="","",UPPER(LEFT(SUBSTITUTE(C10443," ",""),3))&amp;"-"&amp;TEXT(B10443,"AAMMDD")&amp;"-1")</f>
        <v/>
      </c>
    </row>
    <row r="10444" spans="20:20">
      <c r="T10444" t="str">
        <f>IF(C10444="","",UPPER(LEFT(SUBSTITUTE(C10444," ",""),3))&amp;"-"&amp;TEXT(B10444,"AAMMDD")&amp;"-1")</f>
        <v/>
      </c>
    </row>
    <row r="10445" spans="20:20">
      <c r="T10445" t="str">
        <f>IF(C10445="","",UPPER(LEFT(SUBSTITUTE(C10445," ",""),3))&amp;"-"&amp;TEXT(B10445,"AAMMDD")&amp;"-1")</f>
        <v/>
      </c>
    </row>
    <row r="10446" spans="20:20">
      <c r="T10446" t="str">
        <f>IF(C10446="","",UPPER(LEFT(SUBSTITUTE(C10446," ",""),3))&amp;"-"&amp;TEXT(B10446,"AAMMDD")&amp;"-1")</f>
        <v/>
      </c>
    </row>
    <row r="10447" spans="20:20">
      <c r="T10447" t="str">
        <f>IF(C10447="","",UPPER(LEFT(SUBSTITUTE(C10447," ",""),3))&amp;"-"&amp;TEXT(B10447,"AAMMDD")&amp;"-1")</f>
        <v/>
      </c>
    </row>
    <row r="10448" spans="20:20">
      <c r="T10448" t="str">
        <f>IF(C10448="","",UPPER(LEFT(SUBSTITUTE(C10448," ",""),3))&amp;"-"&amp;TEXT(B10448,"AAMMDD")&amp;"-1")</f>
        <v/>
      </c>
    </row>
    <row r="10449" spans="20:20">
      <c r="T10449" t="str">
        <f>IF(C10449="","",UPPER(LEFT(SUBSTITUTE(C10449," ",""),3))&amp;"-"&amp;TEXT(B10449,"AAMMDD")&amp;"-1")</f>
        <v/>
      </c>
    </row>
    <row r="10450" spans="20:20">
      <c r="T10450" t="str">
        <f>IF(C10450="","",UPPER(LEFT(SUBSTITUTE(C10450," ",""),3))&amp;"-"&amp;TEXT(B10450,"AAMMDD")&amp;"-1")</f>
        <v/>
      </c>
    </row>
    <row r="10451" spans="20:20">
      <c r="T10451" t="str">
        <f>IF(C10451="","",UPPER(LEFT(SUBSTITUTE(C10451," ",""),3))&amp;"-"&amp;TEXT(B10451,"AAMMDD")&amp;"-1")</f>
        <v/>
      </c>
    </row>
    <row r="10452" spans="20:20">
      <c r="T10452" t="str">
        <f>IF(C10452="","",UPPER(LEFT(SUBSTITUTE(C10452," ",""),3))&amp;"-"&amp;TEXT(B10452,"AAMMDD")&amp;"-1")</f>
        <v/>
      </c>
    </row>
    <row r="10453" spans="20:20">
      <c r="T10453" t="str">
        <f>IF(C10453="","",UPPER(LEFT(SUBSTITUTE(C10453," ",""),3))&amp;"-"&amp;TEXT(B10453,"AAMMDD")&amp;"-1")</f>
        <v/>
      </c>
    </row>
    <row r="10454" spans="20:20">
      <c r="T10454" t="str">
        <f>IF(C10454="","",UPPER(LEFT(SUBSTITUTE(C10454," ",""),3))&amp;"-"&amp;TEXT(B10454,"AAMMDD")&amp;"-1")</f>
        <v/>
      </c>
    </row>
    <row r="10455" spans="20:20">
      <c r="T10455" t="str">
        <f>IF(C10455="","",UPPER(LEFT(SUBSTITUTE(C10455," ",""),3))&amp;"-"&amp;TEXT(B10455,"AAMMDD")&amp;"-1")</f>
        <v/>
      </c>
    </row>
    <row r="10456" spans="20:20">
      <c r="T10456" t="str">
        <f>IF(C10456="","",UPPER(LEFT(SUBSTITUTE(C10456," ",""),3))&amp;"-"&amp;TEXT(B10456,"AAMMDD")&amp;"-1")</f>
        <v/>
      </c>
    </row>
    <row r="10457" spans="20:20">
      <c r="T10457" t="str">
        <f>IF(C10457="","",UPPER(LEFT(SUBSTITUTE(C10457," ",""),3))&amp;"-"&amp;TEXT(B10457,"AAMMDD")&amp;"-1")</f>
        <v/>
      </c>
    </row>
    <row r="10458" spans="20:20">
      <c r="T10458" t="str">
        <f>IF(C10458="","",UPPER(LEFT(SUBSTITUTE(C10458," ",""),3))&amp;"-"&amp;TEXT(B10458,"AAMMDD")&amp;"-1")</f>
        <v/>
      </c>
    </row>
    <row r="10459" spans="20:20">
      <c r="T10459" t="str">
        <f>IF(C10459="","",UPPER(LEFT(SUBSTITUTE(C10459," ",""),3))&amp;"-"&amp;TEXT(B10459,"AAMMDD")&amp;"-1")</f>
        <v/>
      </c>
    </row>
    <row r="10460" spans="20:20">
      <c r="T10460" t="str">
        <f>IF(C10460="","",UPPER(LEFT(SUBSTITUTE(C10460," ",""),3))&amp;"-"&amp;TEXT(B10460,"AAMMDD")&amp;"-1")</f>
        <v/>
      </c>
    </row>
    <row r="10461" spans="20:20">
      <c r="T10461" t="str">
        <f>IF(C10461="","",UPPER(LEFT(SUBSTITUTE(C10461," ",""),3))&amp;"-"&amp;TEXT(B10461,"AAMMDD")&amp;"-1")</f>
        <v/>
      </c>
    </row>
    <row r="10462" spans="20:20">
      <c r="T10462" t="str">
        <f>IF(C10462="","",UPPER(LEFT(SUBSTITUTE(C10462," ",""),3))&amp;"-"&amp;TEXT(B10462,"AAMMDD")&amp;"-1")</f>
        <v/>
      </c>
    </row>
    <row r="10463" spans="20:20">
      <c r="T10463" t="str">
        <f>IF(C10463="","",UPPER(LEFT(SUBSTITUTE(C10463," ",""),3))&amp;"-"&amp;TEXT(B10463,"AAMMDD")&amp;"-1")</f>
        <v/>
      </c>
    </row>
    <row r="10464" spans="20:20">
      <c r="T10464" t="str">
        <f>IF(C10464="","",UPPER(LEFT(SUBSTITUTE(C10464," ",""),3))&amp;"-"&amp;TEXT(B10464,"AAMMDD")&amp;"-1")</f>
        <v/>
      </c>
    </row>
    <row r="10465" spans="20:20">
      <c r="T10465" t="str">
        <f>IF(C10465="","",UPPER(LEFT(SUBSTITUTE(C10465," ",""),3))&amp;"-"&amp;TEXT(B10465,"AAMMDD")&amp;"-1")</f>
        <v/>
      </c>
    </row>
    <row r="10466" spans="20:20">
      <c r="T10466" t="str">
        <f>IF(C10466="","",UPPER(LEFT(SUBSTITUTE(C10466," ",""),3))&amp;"-"&amp;TEXT(B10466,"AAMMDD")&amp;"-1")</f>
        <v/>
      </c>
    </row>
    <row r="10467" spans="20:20">
      <c r="T10467" t="str">
        <f>IF(C10467="","",UPPER(LEFT(SUBSTITUTE(C10467," ",""),3))&amp;"-"&amp;TEXT(B10467,"AAMMDD")&amp;"-1")</f>
        <v/>
      </c>
    </row>
    <row r="10468" spans="20:20">
      <c r="T10468" t="str">
        <f>IF(C10468="","",UPPER(LEFT(SUBSTITUTE(C10468," ",""),3))&amp;"-"&amp;TEXT(B10468,"AAMMDD")&amp;"-1")</f>
        <v/>
      </c>
    </row>
    <row r="10469" spans="20:20">
      <c r="T10469" t="str">
        <f>IF(C10469="","",UPPER(LEFT(SUBSTITUTE(C10469," ",""),3))&amp;"-"&amp;TEXT(B10469,"AAMMDD")&amp;"-1")</f>
        <v/>
      </c>
    </row>
    <row r="10470" spans="20:20">
      <c r="T10470" t="str">
        <f>IF(C10470="","",UPPER(LEFT(SUBSTITUTE(C10470," ",""),3))&amp;"-"&amp;TEXT(B10470,"AAMMDD")&amp;"-1")</f>
        <v/>
      </c>
    </row>
    <row r="10471" spans="20:20">
      <c r="T10471" t="str">
        <f>IF(C10471="","",UPPER(LEFT(SUBSTITUTE(C10471," ",""),3))&amp;"-"&amp;TEXT(B10471,"AAMMDD")&amp;"-1")</f>
        <v/>
      </c>
    </row>
    <row r="10472" spans="20:20">
      <c r="T10472" t="str">
        <f>IF(C10472="","",UPPER(LEFT(SUBSTITUTE(C10472," ",""),3))&amp;"-"&amp;TEXT(B10472,"AAMMDD")&amp;"-1")</f>
        <v/>
      </c>
    </row>
    <row r="10473" spans="20:20">
      <c r="T10473" t="str">
        <f>IF(C10473="","",UPPER(LEFT(SUBSTITUTE(C10473," ",""),3))&amp;"-"&amp;TEXT(B10473,"AAMMDD")&amp;"-1")</f>
        <v/>
      </c>
    </row>
    <row r="10474" spans="20:20">
      <c r="T10474" t="str">
        <f>IF(C10474="","",UPPER(LEFT(SUBSTITUTE(C10474," ",""),3))&amp;"-"&amp;TEXT(B10474,"AAMMDD")&amp;"-1")</f>
        <v/>
      </c>
    </row>
    <row r="10475" spans="20:20">
      <c r="T10475" t="str">
        <f>IF(C10475="","",UPPER(LEFT(SUBSTITUTE(C10475," ",""),3))&amp;"-"&amp;TEXT(B10475,"AAMMDD")&amp;"-1")</f>
        <v/>
      </c>
    </row>
    <row r="10476" spans="20:20">
      <c r="T10476" t="str">
        <f>IF(C10476="","",UPPER(LEFT(SUBSTITUTE(C10476," ",""),3))&amp;"-"&amp;TEXT(B10476,"AAMMDD")&amp;"-1")</f>
        <v/>
      </c>
    </row>
    <row r="10477" spans="20:20">
      <c r="T10477" t="str">
        <f>IF(C10477="","",UPPER(LEFT(SUBSTITUTE(C10477," ",""),3))&amp;"-"&amp;TEXT(B10477,"AAMMDD")&amp;"-1")</f>
        <v/>
      </c>
    </row>
    <row r="10478" spans="20:20">
      <c r="T10478" t="str">
        <f>IF(C10478="","",UPPER(LEFT(SUBSTITUTE(C10478," ",""),3))&amp;"-"&amp;TEXT(B10478,"AAMMDD")&amp;"-1")</f>
        <v/>
      </c>
    </row>
    <row r="10479" spans="20:20">
      <c r="T10479" t="str">
        <f>IF(C10479="","",UPPER(LEFT(SUBSTITUTE(C10479," ",""),3))&amp;"-"&amp;TEXT(B10479,"AAMMDD")&amp;"-1")</f>
        <v/>
      </c>
    </row>
    <row r="10480" spans="20:20">
      <c r="T10480" t="str">
        <f>IF(C10480="","",UPPER(LEFT(SUBSTITUTE(C10480," ",""),3))&amp;"-"&amp;TEXT(B10480,"AAMMDD")&amp;"-1")</f>
        <v/>
      </c>
    </row>
    <row r="10481" spans="20:20">
      <c r="T10481" t="str">
        <f>IF(C10481="","",UPPER(LEFT(SUBSTITUTE(C10481," ",""),3))&amp;"-"&amp;TEXT(B10481,"AAMMDD")&amp;"-1")</f>
        <v/>
      </c>
    </row>
    <row r="10482" spans="20:20">
      <c r="T10482" t="str">
        <f>IF(C10482="","",UPPER(LEFT(SUBSTITUTE(C10482," ",""),3))&amp;"-"&amp;TEXT(B10482,"AAMMDD")&amp;"-1")</f>
        <v/>
      </c>
    </row>
    <row r="10483" spans="20:20">
      <c r="T10483" t="str">
        <f>IF(C10483="","",UPPER(LEFT(SUBSTITUTE(C10483," ",""),3))&amp;"-"&amp;TEXT(B10483,"AAMMDD")&amp;"-1")</f>
        <v/>
      </c>
    </row>
    <row r="10484" spans="20:20">
      <c r="T10484" t="str">
        <f>IF(C10484="","",UPPER(LEFT(SUBSTITUTE(C10484," ",""),3))&amp;"-"&amp;TEXT(B10484,"AAMMDD")&amp;"-1")</f>
        <v/>
      </c>
    </row>
    <row r="10485" spans="20:20">
      <c r="T10485" t="str">
        <f>IF(C10485="","",UPPER(LEFT(SUBSTITUTE(C10485," ",""),3))&amp;"-"&amp;TEXT(B10485,"AAMMDD")&amp;"-1")</f>
        <v/>
      </c>
    </row>
    <row r="10486" spans="20:20">
      <c r="T10486" t="str">
        <f>IF(C10486="","",UPPER(LEFT(SUBSTITUTE(C10486," ",""),3))&amp;"-"&amp;TEXT(B10486,"AAMMDD")&amp;"-1")</f>
        <v/>
      </c>
    </row>
    <row r="10487" spans="20:20">
      <c r="T10487" t="str">
        <f>IF(C10487="","",UPPER(LEFT(SUBSTITUTE(C10487," ",""),3))&amp;"-"&amp;TEXT(B10487,"AAMMDD")&amp;"-1")</f>
        <v/>
      </c>
    </row>
    <row r="10488" spans="20:20">
      <c r="T10488" t="str">
        <f>IF(C10488="","",UPPER(LEFT(SUBSTITUTE(C10488," ",""),3))&amp;"-"&amp;TEXT(B10488,"AAMMDD")&amp;"-1")</f>
        <v/>
      </c>
    </row>
    <row r="10489" spans="20:20">
      <c r="T10489" t="str">
        <f>IF(C10489="","",UPPER(LEFT(SUBSTITUTE(C10489," ",""),3))&amp;"-"&amp;TEXT(B10489,"AAMMDD")&amp;"-1")</f>
        <v/>
      </c>
    </row>
    <row r="10490" spans="20:20">
      <c r="T10490" t="str">
        <f>IF(C10490="","",UPPER(LEFT(SUBSTITUTE(C10490," ",""),3))&amp;"-"&amp;TEXT(B10490,"AAMMDD")&amp;"-1")</f>
        <v/>
      </c>
    </row>
    <row r="10491" spans="20:20">
      <c r="T10491" t="str">
        <f>IF(C10491="","",UPPER(LEFT(SUBSTITUTE(C10491," ",""),3))&amp;"-"&amp;TEXT(B10491,"AAMMDD")&amp;"-1")</f>
        <v/>
      </c>
    </row>
    <row r="10492" spans="20:20">
      <c r="T10492" t="str">
        <f>IF(C10492="","",UPPER(LEFT(SUBSTITUTE(C10492," ",""),3))&amp;"-"&amp;TEXT(B10492,"AAMMDD")&amp;"-1")</f>
        <v/>
      </c>
    </row>
    <row r="10493" spans="20:20">
      <c r="T10493" t="str">
        <f>IF(C10493="","",UPPER(LEFT(SUBSTITUTE(C10493," ",""),3))&amp;"-"&amp;TEXT(B10493,"AAMMDD")&amp;"-1")</f>
        <v/>
      </c>
    </row>
    <row r="10494" spans="20:20">
      <c r="T10494" t="str">
        <f>IF(C10494="","",UPPER(LEFT(SUBSTITUTE(C10494," ",""),3))&amp;"-"&amp;TEXT(B10494,"AAMMDD")&amp;"-1")</f>
        <v/>
      </c>
    </row>
    <row r="10495" spans="20:20">
      <c r="T10495" t="str">
        <f>IF(C10495="","",UPPER(LEFT(SUBSTITUTE(C10495," ",""),3))&amp;"-"&amp;TEXT(B10495,"AAMMDD")&amp;"-1")</f>
        <v/>
      </c>
    </row>
    <row r="10496" spans="20:20">
      <c r="T10496" t="str">
        <f>IF(C10496="","",UPPER(LEFT(SUBSTITUTE(C10496," ",""),3))&amp;"-"&amp;TEXT(B10496,"AAMMDD")&amp;"-1")</f>
        <v/>
      </c>
    </row>
    <row r="10497" spans="20:20">
      <c r="T10497" t="str">
        <f>IF(C10497="","",UPPER(LEFT(SUBSTITUTE(C10497," ",""),3))&amp;"-"&amp;TEXT(B10497,"AAMMDD")&amp;"-1")</f>
        <v/>
      </c>
    </row>
    <row r="10498" spans="20:20">
      <c r="T10498" t="str">
        <f>IF(C10498="","",UPPER(LEFT(SUBSTITUTE(C10498," ",""),3))&amp;"-"&amp;TEXT(B10498,"AAMMDD")&amp;"-1")</f>
        <v/>
      </c>
    </row>
    <row r="10499" spans="20:20">
      <c r="T10499" t="str">
        <f>IF(C10499="","",UPPER(LEFT(SUBSTITUTE(C10499," ",""),3))&amp;"-"&amp;TEXT(B10499,"AAMMDD")&amp;"-1")</f>
        <v/>
      </c>
    </row>
    <row r="10500" spans="20:20">
      <c r="T10500" t="str">
        <f>IF(C10500="","",UPPER(LEFT(SUBSTITUTE(C10500," ",""),3))&amp;"-"&amp;TEXT(B10500,"AAMMDD")&amp;"-1")</f>
        <v/>
      </c>
    </row>
    <row r="10501" spans="20:20">
      <c r="T10501" t="str">
        <f>IF(C10501="","",UPPER(LEFT(SUBSTITUTE(C10501," ",""),3))&amp;"-"&amp;TEXT(B10501,"AAMMDD")&amp;"-1")</f>
        <v/>
      </c>
    </row>
    <row r="10502" spans="20:20">
      <c r="T10502" t="str">
        <f>IF(C10502="","",UPPER(LEFT(SUBSTITUTE(C10502," ",""),3))&amp;"-"&amp;TEXT(B10502,"AAMMDD")&amp;"-1")</f>
        <v/>
      </c>
    </row>
    <row r="10503" spans="20:20">
      <c r="T10503" t="str">
        <f>IF(C10503="","",UPPER(LEFT(SUBSTITUTE(C10503," ",""),3))&amp;"-"&amp;TEXT(B10503,"AAMMDD")&amp;"-1")</f>
        <v/>
      </c>
    </row>
    <row r="10504" spans="20:20">
      <c r="T10504" t="str">
        <f>IF(C10504="","",UPPER(LEFT(SUBSTITUTE(C10504," ",""),3))&amp;"-"&amp;TEXT(B10504,"AAMMDD")&amp;"-1")</f>
        <v/>
      </c>
    </row>
    <row r="10505" spans="20:20">
      <c r="T10505" t="str">
        <f>IF(C10505="","",UPPER(LEFT(SUBSTITUTE(C10505," ",""),3))&amp;"-"&amp;TEXT(B10505,"AAMMDD")&amp;"-1")</f>
        <v/>
      </c>
    </row>
    <row r="10506" spans="20:20">
      <c r="T10506" t="str">
        <f>IF(C10506="","",UPPER(LEFT(SUBSTITUTE(C10506," ",""),3))&amp;"-"&amp;TEXT(B10506,"AAMMDD")&amp;"-1")</f>
        <v/>
      </c>
    </row>
    <row r="10507" spans="20:20">
      <c r="T10507" t="str">
        <f>IF(C10507="","",UPPER(LEFT(SUBSTITUTE(C10507," ",""),3))&amp;"-"&amp;TEXT(B10507,"AAMMDD")&amp;"-1")</f>
        <v/>
      </c>
    </row>
    <row r="10508" spans="20:20">
      <c r="T10508" t="str">
        <f>IF(C10508="","",UPPER(LEFT(SUBSTITUTE(C10508," ",""),3))&amp;"-"&amp;TEXT(B10508,"AAMMDD")&amp;"-1")</f>
        <v/>
      </c>
    </row>
    <row r="10509" spans="20:20">
      <c r="T10509" t="str">
        <f>IF(C10509="","",UPPER(LEFT(SUBSTITUTE(C10509," ",""),3))&amp;"-"&amp;TEXT(B10509,"AAMMDD")&amp;"-1")</f>
        <v/>
      </c>
    </row>
    <row r="10510" spans="20:20">
      <c r="T10510" t="str">
        <f>IF(C10510="","",UPPER(LEFT(SUBSTITUTE(C10510," ",""),3))&amp;"-"&amp;TEXT(B10510,"AAMMDD")&amp;"-1")</f>
        <v/>
      </c>
    </row>
    <row r="10511" spans="20:20">
      <c r="T10511" t="str">
        <f>IF(C10511="","",UPPER(LEFT(SUBSTITUTE(C10511," ",""),3))&amp;"-"&amp;TEXT(B10511,"AAMMDD")&amp;"-1")</f>
        <v/>
      </c>
    </row>
    <row r="10512" spans="20:20">
      <c r="T10512" t="str">
        <f>IF(C10512="","",UPPER(LEFT(SUBSTITUTE(C10512," ",""),3))&amp;"-"&amp;TEXT(B10512,"AAMMDD")&amp;"-1")</f>
        <v/>
      </c>
    </row>
    <row r="10513" spans="20:20">
      <c r="T10513" t="str">
        <f>IF(C10513="","",UPPER(LEFT(SUBSTITUTE(C10513," ",""),3))&amp;"-"&amp;TEXT(B10513,"AAMMDD")&amp;"-1")</f>
        <v/>
      </c>
    </row>
    <row r="10514" spans="20:20">
      <c r="T10514" t="str">
        <f>IF(C10514="","",UPPER(LEFT(SUBSTITUTE(C10514," ",""),3))&amp;"-"&amp;TEXT(B10514,"AAMMDD")&amp;"-1")</f>
        <v/>
      </c>
    </row>
    <row r="10515" spans="20:20">
      <c r="T10515" t="str">
        <f>IF(C10515="","",UPPER(LEFT(SUBSTITUTE(C10515," ",""),3))&amp;"-"&amp;TEXT(B10515,"AAMMDD")&amp;"-1")</f>
        <v/>
      </c>
    </row>
    <row r="10516" spans="20:20">
      <c r="T10516" t="str">
        <f>IF(C10516="","",UPPER(LEFT(SUBSTITUTE(C10516," ",""),3))&amp;"-"&amp;TEXT(B10516,"AAMMDD")&amp;"-1")</f>
        <v/>
      </c>
    </row>
    <row r="10517" spans="20:20">
      <c r="T10517" t="str">
        <f>IF(C10517="","",UPPER(LEFT(SUBSTITUTE(C10517," ",""),3))&amp;"-"&amp;TEXT(B10517,"AAMMDD")&amp;"-1")</f>
        <v/>
      </c>
    </row>
    <row r="10518" spans="20:20">
      <c r="T10518" t="str">
        <f>IF(C10518="","",UPPER(LEFT(SUBSTITUTE(C10518," ",""),3))&amp;"-"&amp;TEXT(B10518,"AAMMDD")&amp;"-1")</f>
        <v/>
      </c>
    </row>
    <row r="10519" spans="20:20">
      <c r="T10519" t="str">
        <f>IF(C10519="","",UPPER(LEFT(SUBSTITUTE(C10519," ",""),3))&amp;"-"&amp;TEXT(B10519,"AAMMDD")&amp;"-1")</f>
        <v/>
      </c>
    </row>
    <row r="10520" spans="20:20">
      <c r="T10520" t="str">
        <f>IF(C10520="","",UPPER(LEFT(SUBSTITUTE(C10520," ",""),3))&amp;"-"&amp;TEXT(B10520,"AAMMDD")&amp;"-1")</f>
        <v/>
      </c>
    </row>
    <row r="10521" spans="20:20">
      <c r="T10521" t="str">
        <f>IF(C10521="","",UPPER(LEFT(SUBSTITUTE(C10521," ",""),3))&amp;"-"&amp;TEXT(B10521,"AAMMDD")&amp;"-1")</f>
        <v/>
      </c>
    </row>
    <row r="10522" spans="20:20">
      <c r="T10522" t="str">
        <f>IF(C10522="","",UPPER(LEFT(SUBSTITUTE(C10522," ",""),3))&amp;"-"&amp;TEXT(B10522,"AAMMDD")&amp;"-1")</f>
        <v/>
      </c>
    </row>
    <row r="10523" spans="20:20">
      <c r="T10523" t="str">
        <f>IF(C10523="","",UPPER(LEFT(SUBSTITUTE(C10523," ",""),3))&amp;"-"&amp;TEXT(B10523,"AAMMDD")&amp;"-1")</f>
        <v/>
      </c>
    </row>
    <row r="10524" spans="20:20">
      <c r="T10524" t="str">
        <f>IF(C10524="","",UPPER(LEFT(SUBSTITUTE(C10524," ",""),3))&amp;"-"&amp;TEXT(B10524,"AAMMDD")&amp;"-1")</f>
        <v/>
      </c>
    </row>
    <row r="10525" spans="20:20">
      <c r="T10525" t="str">
        <f>IF(C10525="","",UPPER(LEFT(SUBSTITUTE(C10525," ",""),3))&amp;"-"&amp;TEXT(B10525,"AAMMDD")&amp;"-1")</f>
        <v/>
      </c>
    </row>
    <row r="10526" spans="20:20">
      <c r="T10526" t="str">
        <f>IF(C10526="","",UPPER(LEFT(SUBSTITUTE(C10526," ",""),3))&amp;"-"&amp;TEXT(B10526,"AAMMDD")&amp;"-1")</f>
        <v/>
      </c>
    </row>
    <row r="10527" spans="20:20">
      <c r="T10527" t="str">
        <f>IF(C10527="","",UPPER(LEFT(SUBSTITUTE(C10527," ",""),3))&amp;"-"&amp;TEXT(B10527,"AAMMDD")&amp;"-1")</f>
        <v/>
      </c>
    </row>
    <row r="10528" spans="20:20">
      <c r="T10528" t="str">
        <f>IF(C10528="","",UPPER(LEFT(SUBSTITUTE(C10528," ",""),3))&amp;"-"&amp;TEXT(B10528,"AAMMDD")&amp;"-1")</f>
        <v/>
      </c>
    </row>
    <row r="10529" spans="20:20">
      <c r="T10529" t="str">
        <f>IF(C10529="","",UPPER(LEFT(SUBSTITUTE(C10529," ",""),3))&amp;"-"&amp;TEXT(B10529,"AAMMDD")&amp;"-1")</f>
        <v/>
      </c>
    </row>
    <row r="10530" spans="20:20">
      <c r="T10530" t="str">
        <f>IF(C10530="","",UPPER(LEFT(SUBSTITUTE(C10530," ",""),3))&amp;"-"&amp;TEXT(B10530,"AAMMDD")&amp;"-1")</f>
        <v/>
      </c>
    </row>
    <row r="10531" spans="20:20">
      <c r="T10531" t="str">
        <f>IF(C10531="","",UPPER(LEFT(SUBSTITUTE(C10531," ",""),3))&amp;"-"&amp;TEXT(B10531,"AAMMDD")&amp;"-1")</f>
        <v/>
      </c>
    </row>
    <row r="10532" spans="20:20">
      <c r="T10532" t="str">
        <f>IF(C10532="","",UPPER(LEFT(SUBSTITUTE(C10532," ",""),3))&amp;"-"&amp;TEXT(B10532,"AAMMDD")&amp;"-1")</f>
        <v/>
      </c>
    </row>
    <row r="10533" spans="20:20">
      <c r="T10533" t="str">
        <f>IF(C10533="","",UPPER(LEFT(SUBSTITUTE(C10533," ",""),3))&amp;"-"&amp;TEXT(B10533,"AAMMDD")&amp;"-1")</f>
        <v/>
      </c>
    </row>
    <row r="10534" spans="20:20">
      <c r="T10534" t="str">
        <f>IF(C10534="","",UPPER(LEFT(SUBSTITUTE(C10534," ",""),3))&amp;"-"&amp;TEXT(B10534,"AAMMDD")&amp;"-1")</f>
        <v/>
      </c>
    </row>
    <row r="10535" spans="20:20">
      <c r="T10535" t="str">
        <f>IF(C10535="","",UPPER(LEFT(SUBSTITUTE(C10535," ",""),3))&amp;"-"&amp;TEXT(B10535,"AAMMDD")&amp;"-1")</f>
        <v/>
      </c>
    </row>
    <row r="10536" spans="20:20">
      <c r="T10536" t="str">
        <f>IF(C10536="","",UPPER(LEFT(SUBSTITUTE(C10536," ",""),3))&amp;"-"&amp;TEXT(B10536,"AAMMDD")&amp;"-1")</f>
        <v/>
      </c>
    </row>
    <row r="10537" spans="20:20">
      <c r="T10537" t="str">
        <f>IF(C10537="","",UPPER(LEFT(SUBSTITUTE(C10537," ",""),3))&amp;"-"&amp;TEXT(B10537,"AAMMDD")&amp;"-1")</f>
        <v/>
      </c>
    </row>
    <row r="10538" spans="20:20">
      <c r="T10538" t="str">
        <f>IF(C10538="","",UPPER(LEFT(SUBSTITUTE(C10538," ",""),3))&amp;"-"&amp;TEXT(B10538,"AAMMDD")&amp;"-1")</f>
        <v/>
      </c>
    </row>
    <row r="10539" spans="20:20">
      <c r="T10539" t="str">
        <f>IF(C10539="","",UPPER(LEFT(SUBSTITUTE(C10539," ",""),3))&amp;"-"&amp;TEXT(B10539,"AAMMDD")&amp;"-1")</f>
        <v/>
      </c>
    </row>
    <row r="10540" spans="20:20">
      <c r="T10540" t="str">
        <f>IF(C10540="","",UPPER(LEFT(SUBSTITUTE(C10540," ",""),3))&amp;"-"&amp;TEXT(B10540,"AAMMDD")&amp;"-1")</f>
        <v/>
      </c>
    </row>
    <row r="10541" spans="20:20">
      <c r="T10541" t="str">
        <f>IF(C10541="","",UPPER(LEFT(SUBSTITUTE(C10541," ",""),3))&amp;"-"&amp;TEXT(B10541,"AAMMDD")&amp;"-1")</f>
        <v/>
      </c>
    </row>
    <row r="10542" spans="20:20">
      <c r="T10542" t="str">
        <f>IF(C10542="","",UPPER(LEFT(SUBSTITUTE(C10542," ",""),3))&amp;"-"&amp;TEXT(B10542,"AAMMDD")&amp;"-1")</f>
        <v/>
      </c>
    </row>
    <row r="10543" spans="20:20">
      <c r="T10543" t="str">
        <f>IF(C10543="","",UPPER(LEFT(SUBSTITUTE(C10543," ",""),3))&amp;"-"&amp;TEXT(B10543,"AAMMDD")&amp;"-1")</f>
        <v/>
      </c>
    </row>
    <row r="10544" spans="20:20">
      <c r="T10544" t="str">
        <f>IF(C10544="","",UPPER(LEFT(SUBSTITUTE(C10544," ",""),3))&amp;"-"&amp;TEXT(B10544,"AAMMDD")&amp;"-1")</f>
        <v/>
      </c>
    </row>
    <row r="10545" spans="20:20">
      <c r="T10545" t="str">
        <f>IF(C10545="","",UPPER(LEFT(SUBSTITUTE(C10545," ",""),3))&amp;"-"&amp;TEXT(B10545,"AAMMDD")&amp;"-1")</f>
        <v/>
      </c>
    </row>
    <row r="10546" spans="20:20">
      <c r="T10546" t="str">
        <f>IF(C10546="","",UPPER(LEFT(SUBSTITUTE(C10546," ",""),3))&amp;"-"&amp;TEXT(B10546,"AAMMDD")&amp;"-1")</f>
        <v/>
      </c>
    </row>
    <row r="10547" spans="20:20">
      <c r="T10547" t="str">
        <f>IF(C10547="","",UPPER(LEFT(SUBSTITUTE(C10547," ",""),3))&amp;"-"&amp;TEXT(B10547,"AAMMDD")&amp;"-1")</f>
        <v/>
      </c>
    </row>
    <row r="10548" spans="20:20">
      <c r="T10548" t="str">
        <f>IF(C10548="","",UPPER(LEFT(SUBSTITUTE(C10548," ",""),3))&amp;"-"&amp;TEXT(B10548,"AAMMDD")&amp;"-1")</f>
        <v/>
      </c>
    </row>
    <row r="10549" spans="20:20">
      <c r="T10549" t="str">
        <f>IF(C10549="","",UPPER(LEFT(SUBSTITUTE(C10549," ",""),3))&amp;"-"&amp;TEXT(B10549,"AAMMDD")&amp;"-1")</f>
        <v/>
      </c>
    </row>
    <row r="10550" spans="20:20">
      <c r="T10550" t="str">
        <f>IF(C10550="","",UPPER(LEFT(SUBSTITUTE(C10550," ",""),3))&amp;"-"&amp;TEXT(B10550,"AAMMDD")&amp;"-1")</f>
        <v/>
      </c>
    </row>
    <row r="10551" spans="20:20">
      <c r="T10551" t="str">
        <f>IF(C10551="","",UPPER(LEFT(SUBSTITUTE(C10551," ",""),3))&amp;"-"&amp;TEXT(B10551,"AAMMDD")&amp;"-1")</f>
        <v/>
      </c>
    </row>
    <row r="10552" spans="20:20">
      <c r="T10552" t="str">
        <f>IF(C10552="","",UPPER(LEFT(SUBSTITUTE(C10552," ",""),3))&amp;"-"&amp;TEXT(B10552,"AAMMDD")&amp;"-1")</f>
        <v/>
      </c>
    </row>
    <row r="10553" spans="20:20">
      <c r="T10553" t="str">
        <f>IF(C10553="","",UPPER(LEFT(SUBSTITUTE(C10553," ",""),3))&amp;"-"&amp;TEXT(B10553,"AAMMDD")&amp;"-1")</f>
        <v/>
      </c>
    </row>
    <row r="10554" spans="20:20">
      <c r="T10554" t="str">
        <f>IF(C10554="","",UPPER(LEFT(SUBSTITUTE(C10554," ",""),3))&amp;"-"&amp;TEXT(B10554,"AAMMDD")&amp;"-1")</f>
        <v/>
      </c>
    </row>
    <row r="10555" spans="20:20">
      <c r="T10555" t="str">
        <f>IF(C10555="","",UPPER(LEFT(SUBSTITUTE(C10555," ",""),3))&amp;"-"&amp;TEXT(B10555,"AAMMDD")&amp;"-1")</f>
        <v/>
      </c>
    </row>
    <row r="10556" spans="20:20">
      <c r="T10556" t="str">
        <f>IF(C10556="","",UPPER(LEFT(SUBSTITUTE(C10556," ",""),3))&amp;"-"&amp;TEXT(B10556,"AAMMDD")&amp;"-1")</f>
        <v/>
      </c>
    </row>
    <row r="10557" spans="20:20">
      <c r="T10557" t="str">
        <f>IF(C10557="","",UPPER(LEFT(SUBSTITUTE(C10557," ",""),3))&amp;"-"&amp;TEXT(B10557,"AAMMDD")&amp;"-1")</f>
        <v/>
      </c>
    </row>
    <row r="10558" spans="20:20">
      <c r="T10558" t="str">
        <f>IF(C10558="","",UPPER(LEFT(SUBSTITUTE(C10558," ",""),3))&amp;"-"&amp;TEXT(B10558,"AAMMDD")&amp;"-1")</f>
        <v/>
      </c>
    </row>
    <row r="10559" spans="20:20">
      <c r="T10559" t="str">
        <f>IF(C10559="","",UPPER(LEFT(SUBSTITUTE(C10559," ",""),3))&amp;"-"&amp;TEXT(B10559,"AAMMDD")&amp;"-1")</f>
        <v/>
      </c>
    </row>
    <row r="10560" spans="20:20">
      <c r="T10560" t="str">
        <f>IF(C10560="","",UPPER(LEFT(SUBSTITUTE(C10560," ",""),3))&amp;"-"&amp;TEXT(B10560,"AAMMDD")&amp;"-1")</f>
        <v/>
      </c>
    </row>
    <row r="10561" spans="20:20">
      <c r="T10561" t="str">
        <f>IF(C10561="","",UPPER(LEFT(SUBSTITUTE(C10561," ",""),3))&amp;"-"&amp;TEXT(B10561,"AAMMDD")&amp;"-1")</f>
        <v/>
      </c>
    </row>
    <row r="10562" spans="20:20">
      <c r="T10562" t="str">
        <f>IF(C10562="","",UPPER(LEFT(SUBSTITUTE(C10562," ",""),3))&amp;"-"&amp;TEXT(B10562,"AAMMDD")&amp;"-1")</f>
        <v/>
      </c>
    </row>
    <row r="10563" spans="20:20">
      <c r="T10563" t="str">
        <f>IF(C10563="","",UPPER(LEFT(SUBSTITUTE(C10563," ",""),3))&amp;"-"&amp;TEXT(B10563,"AAMMDD")&amp;"-1")</f>
        <v/>
      </c>
    </row>
    <row r="10564" spans="20:20">
      <c r="T10564" t="str">
        <f>IF(C10564="","",UPPER(LEFT(SUBSTITUTE(C10564," ",""),3))&amp;"-"&amp;TEXT(B10564,"AAMMDD")&amp;"-1")</f>
        <v/>
      </c>
    </row>
    <row r="10565" spans="20:20">
      <c r="T10565" t="str">
        <f>IF(C10565="","",UPPER(LEFT(SUBSTITUTE(C10565," ",""),3))&amp;"-"&amp;TEXT(B10565,"AAMMDD")&amp;"-1")</f>
        <v/>
      </c>
    </row>
    <row r="10566" spans="20:20">
      <c r="T10566" t="str">
        <f>IF(C10566="","",UPPER(LEFT(SUBSTITUTE(C10566," ",""),3))&amp;"-"&amp;TEXT(B10566,"AAMMDD")&amp;"-1")</f>
        <v/>
      </c>
    </row>
    <row r="10567" spans="20:20">
      <c r="T10567" t="str">
        <f>IF(C10567="","",UPPER(LEFT(SUBSTITUTE(C10567," ",""),3))&amp;"-"&amp;TEXT(B10567,"AAMMDD")&amp;"-1")</f>
        <v/>
      </c>
    </row>
    <row r="10568" spans="20:20">
      <c r="T10568" t="str">
        <f>IF(C10568="","",UPPER(LEFT(SUBSTITUTE(C10568," ",""),3))&amp;"-"&amp;TEXT(B10568,"AAMMDD")&amp;"-1")</f>
        <v/>
      </c>
    </row>
    <row r="10569" spans="20:20">
      <c r="T10569" t="str">
        <f>IF(C10569="","",UPPER(LEFT(SUBSTITUTE(C10569," ",""),3))&amp;"-"&amp;TEXT(B10569,"AAMMDD")&amp;"-1")</f>
        <v/>
      </c>
    </row>
    <row r="10570" spans="20:20">
      <c r="T10570" t="str">
        <f>IF(C10570="","",UPPER(LEFT(SUBSTITUTE(C10570," ",""),3))&amp;"-"&amp;TEXT(B10570,"AAMMDD")&amp;"-1")</f>
        <v/>
      </c>
    </row>
    <row r="10571" spans="20:20">
      <c r="T10571" t="str">
        <f>IF(C10571="","",UPPER(LEFT(SUBSTITUTE(C10571," ",""),3))&amp;"-"&amp;TEXT(B10571,"AAMMDD")&amp;"-1")</f>
        <v/>
      </c>
    </row>
    <row r="10572" spans="20:20">
      <c r="T10572" t="str">
        <f>IF(C10572="","",UPPER(LEFT(SUBSTITUTE(C10572," ",""),3))&amp;"-"&amp;TEXT(B10572,"AAMMDD")&amp;"-1")</f>
        <v/>
      </c>
    </row>
    <row r="10573" spans="20:20">
      <c r="T10573" t="str">
        <f>IF(C10573="","",UPPER(LEFT(SUBSTITUTE(C10573," ",""),3))&amp;"-"&amp;TEXT(B10573,"AAMMDD")&amp;"-1")</f>
        <v/>
      </c>
    </row>
    <row r="10574" spans="20:20">
      <c r="T10574" t="str">
        <f>IF(C10574="","",UPPER(LEFT(SUBSTITUTE(C10574," ",""),3))&amp;"-"&amp;TEXT(B10574,"AAMMDD")&amp;"-1")</f>
        <v/>
      </c>
    </row>
    <row r="10575" spans="20:20">
      <c r="T10575" t="str">
        <f>IF(C10575="","",UPPER(LEFT(SUBSTITUTE(C10575," ",""),3))&amp;"-"&amp;TEXT(B10575,"AAMMDD")&amp;"-1")</f>
        <v/>
      </c>
    </row>
    <row r="10576" spans="20:20">
      <c r="T10576" t="str">
        <f>IF(C10576="","",UPPER(LEFT(SUBSTITUTE(C10576," ",""),3))&amp;"-"&amp;TEXT(B10576,"AAMMDD")&amp;"-1")</f>
        <v/>
      </c>
    </row>
    <row r="10577" spans="20:20">
      <c r="T10577" t="str">
        <f>IF(C10577="","",UPPER(LEFT(SUBSTITUTE(C10577," ",""),3))&amp;"-"&amp;TEXT(B10577,"AAMMDD")&amp;"-1")</f>
        <v/>
      </c>
    </row>
    <row r="10578" spans="20:20">
      <c r="T10578" t="str">
        <f>IF(C10578="","",UPPER(LEFT(SUBSTITUTE(C10578," ",""),3))&amp;"-"&amp;TEXT(B10578,"AAMMDD")&amp;"-1")</f>
        <v/>
      </c>
    </row>
    <row r="10579" spans="20:20">
      <c r="T10579" t="str">
        <f>IF(C10579="","",UPPER(LEFT(SUBSTITUTE(C10579," ",""),3))&amp;"-"&amp;TEXT(B10579,"AAMMDD")&amp;"-1")</f>
        <v/>
      </c>
    </row>
    <row r="10580" spans="20:20">
      <c r="T10580" t="str">
        <f>IF(C10580="","",UPPER(LEFT(SUBSTITUTE(C10580," ",""),3))&amp;"-"&amp;TEXT(B10580,"AAMMDD")&amp;"-1")</f>
        <v/>
      </c>
    </row>
    <row r="10581" spans="20:20">
      <c r="T10581" t="str">
        <f>IF(C10581="","",UPPER(LEFT(SUBSTITUTE(C10581," ",""),3))&amp;"-"&amp;TEXT(B10581,"AAMMDD")&amp;"-1")</f>
        <v/>
      </c>
    </row>
    <row r="10582" spans="20:20">
      <c r="T10582" t="str">
        <f>IF(C10582="","",UPPER(LEFT(SUBSTITUTE(C10582," ",""),3))&amp;"-"&amp;TEXT(B10582,"AAMMDD")&amp;"-1")</f>
        <v/>
      </c>
    </row>
    <row r="10583" spans="20:20">
      <c r="T10583" t="str">
        <f>IF(C10583="","",UPPER(LEFT(SUBSTITUTE(C10583," ",""),3))&amp;"-"&amp;TEXT(B10583,"AAMMDD")&amp;"-1")</f>
        <v/>
      </c>
    </row>
    <row r="10584" spans="20:20">
      <c r="T10584" t="str">
        <f>IF(C10584="","",UPPER(LEFT(SUBSTITUTE(C10584," ",""),3))&amp;"-"&amp;TEXT(B10584,"AAMMDD")&amp;"-1")</f>
        <v/>
      </c>
    </row>
    <row r="10585" spans="20:20">
      <c r="T10585" t="str">
        <f>IF(C10585="","",UPPER(LEFT(SUBSTITUTE(C10585," ",""),3))&amp;"-"&amp;TEXT(B10585,"AAMMDD")&amp;"-1")</f>
        <v/>
      </c>
    </row>
    <row r="10586" spans="20:20">
      <c r="T10586" t="str">
        <f>IF(C10586="","",UPPER(LEFT(SUBSTITUTE(C10586," ",""),3))&amp;"-"&amp;TEXT(B10586,"AAMMDD")&amp;"-1")</f>
        <v/>
      </c>
    </row>
    <row r="10587" spans="20:20">
      <c r="T10587" t="str">
        <f>IF(C10587="","",UPPER(LEFT(SUBSTITUTE(C10587," ",""),3))&amp;"-"&amp;TEXT(B10587,"AAMMDD")&amp;"-1")</f>
        <v/>
      </c>
    </row>
    <row r="10588" spans="20:20">
      <c r="T10588" t="str">
        <f>IF(C10588="","",UPPER(LEFT(SUBSTITUTE(C10588," ",""),3))&amp;"-"&amp;TEXT(B10588,"AAMMDD")&amp;"-1")</f>
        <v/>
      </c>
    </row>
    <row r="10589" spans="20:20">
      <c r="T10589" t="str">
        <f>IF(C10589="","",UPPER(LEFT(SUBSTITUTE(C10589," ",""),3))&amp;"-"&amp;TEXT(B10589,"AAMMDD")&amp;"-1")</f>
        <v/>
      </c>
    </row>
    <row r="10590" spans="20:20">
      <c r="T10590" t="str">
        <f>IF(C10590="","",UPPER(LEFT(SUBSTITUTE(C10590," ",""),3))&amp;"-"&amp;TEXT(B10590,"AAMMDD")&amp;"-1")</f>
        <v/>
      </c>
    </row>
    <row r="10591" spans="20:20">
      <c r="T10591" t="str">
        <f>IF(C10591="","",UPPER(LEFT(SUBSTITUTE(C10591," ",""),3))&amp;"-"&amp;TEXT(B10591,"AAMMDD")&amp;"-1")</f>
        <v/>
      </c>
    </row>
    <row r="10592" spans="20:20">
      <c r="T10592" t="str">
        <f>IF(C10592="","",UPPER(LEFT(SUBSTITUTE(C10592," ",""),3))&amp;"-"&amp;TEXT(B10592,"AAMMDD")&amp;"-1")</f>
        <v/>
      </c>
    </row>
    <row r="10593" spans="20:20">
      <c r="T10593" t="str">
        <f>IF(C10593="","",UPPER(LEFT(SUBSTITUTE(C10593," ",""),3))&amp;"-"&amp;TEXT(B10593,"AAMMDD")&amp;"-1")</f>
        <v/>
      </c>
    </row>
    <row r="10594" spans="20:20">
      <c r="T10594" t="str">
        <f>IF(C10594="","",UPPER(LEFT(SUBSTITUTE(C10594," ",""),3))&amp;"-"&amp;TEXT(B10594,"AAMMDD")&amp;"-1")</f>
        <v/>
      </c>
    </row>
    <row r="10595" spans="20:20">
      <c r="T10595" t="str">
        <f>IF(C10595="","",UPPER(LEFT(SUBSTITUTE(C10595," ",""),3))&amp;"-"&amp;TEXT(B10595,"AAMMDD")&amp;"-1")</f>
        <v/>
      </c>
    </row>
    <row r="10596" spans="20:20">
      <c r="T10596" t="str">
        <f>IF(C10596="","",UPPER(LEFT(SUBSTITUTE(C10596," ",""),3))&amp;"-"&amp;TEXT(B10596,"AAMMDD")&amp;"-1")</f>
        <v/>
      </c>
    </row>
    <row r="10597" spans="20:20">
      <c r="T10597" t="str">
        <f>IF(C10597="","",UPPER(LEFT(SUBSTITUTE(C10597," ",""),3))&amp;"-"&amp;TEXT(B10597,"AAMMDD")&amp;"-1")</f>
        <v/>
      </c>
    </row>
    <row r="10598" spans="20:20">
      <c r="T10598" t="str">
        <f>IF(C10598="","",UPPER(LEFT(SUBSTITUTE(C10598," ",""),3))&amp;"-"&amp;TEXT(B10598,"AAMMDD")&amp;"-1")</f>
        <v/>
      </c>
    </row>
    <row r="10599" spans="20:20">
      <c r="T10599" t="str">
        <f>IF(C10599="","",UPPER(LEFT(SUBSTITUTE(C10599," ",""),3))&amp;"-"&amp;TEXT(B10599,"AAMMDD")&amp;"-1")</f>
        <v/>
      </c>
    </row>
    <row r="10600" spans="20:20">
      <c r="T10600" t="str">
        <f>IF(C10600="","",UPPER(LEFT(SUBSTITUTE(C10600," ",""),3))&amp;"-"&amp;TEXT(B10600,"AAMMDD")&amp;"-1")</f>
        <v/>
      </c>
    </row>
    <row r="10601" spans="20:20">
      <c r="T10601" t="str">
        <f>IF(C10601="","",UPPER(LEFT(SUBSTITUTE(C10601," ",""),3))&amp;"-"&amp;TEXT(B10601,"AAMMDD")&amp;"-1")</f>
        <v/>
      </c>
    </row>
    <row r="10602" spans="20:20">
      <c r="T10602" t="str">
        <f>IF(C10602="","",UPPER(LEFT(SUBSTITUTE(C10602," ",""),3))&amp;"-"&amp;TEXT(B10602,"AAMMDD")&amp;"-1")</f>
        <v/>
      </c>
    </row>
    <row r="10603" spans="20:20">
      <c r="T10603" t="str">
        <f>IF(C10603="","",UPPER(LEFT(SUBSTITUTE(C10603," ",""),3))&amp;"-"&amp;TEXT(B10603,"AAMMDD")&amp;"-1")</f>
        <v/>
      </c>
    </row>
    <row r="10604" spans="20:20">
      <c r="T10604" t="str">
        <f>IF(C10604="","",UPPER(LEFT(SUBSTITUTE(C10604," ",""),3))&amp;"-"&amp;TEXT(B10604,"AAMMDD")&amp;"-1")</f>
        <v/>
      </c>
    </row>
    <row r="10605" spans="20:20">
      <c r="T10605" t="str">
        <f>IF(C10605="","",UPPER(LEFT(SUBSTITUTE(C10605," ",""),3))&amp;"-"&amp;TEXT(B10605,"AAMMDD")&amp;"-1")</f>
        <v/>
      </c>
    </row>
    <row r="10606" spans="20:20">
      <c r="T10606" t="str">
        <f>IF(C10606="","",UPPER(LEFT(SUBSTITUTE(C10606," ",""),3))&amp;"-"&amp;TEXT(B10606,"AAMMDD")&amp;"-1")</f>
        <v/>
      </c>
    </row>
    <row r="10607" spans="20:20">
      <c r="T10607" t="str">
        <f>IF(C10607="","",UPPER(LEFT(SUBSTITUTE(C10607," ",""),3))&amp;"-"&amp;TEXT(B10607,"AAMMDD")&amp;"-1")</f>
        <v/>
      </c>
    </row>
    <row r="10608" spans="20:20">
      <c r="T10608" t="str">
        <f>IF(C10608="","",UPPER(LEFT(SUBSTITUTE(C10608," ",""),3))&amp;"-"&amp;TEXT(B10608,"AAMMDD")&amp;"-1")</f>
        <v/>
      </c>
    </row>
    <row r="10609" spans="20:20">
      <c r="T10609" t="str">
        <f>IF(C10609="","",UPPER(LEFT(SUBSTITUTE(C10609," ",""),3))&amp;"-"&amp;TEXT(B10609,"AAMMDD")&amp;"-1")</f>
        <v/>
      </c>
    </row>
    <row r="10610" spans="20:20">
      <c r="T10610" t="str">
        <f>IF(C10610="","",UPPER(LEFT(SUBSTITUTE(C10610," ",""),3))&amp;"-"&amp;TEXT(B10610,"AAMMDD")&amp;"-1")</f>
        <v/>
      </c>
    </row>
    <row r="10611" spans="20:20">
      <c r="T10611" t="str">
        <f>IF(C10611="","",UPPER(LEFT(SUBSTITUTE(C10611," ",""),3))&amp;"-"&amp;TEXT(B10611,"AAMMDD")&amp;"-1")</f>
        <v/>
      </c>
    </row>
    <row r="10612" spans="20:20">
      <c r="T10612" t="str">
        <f>IF(C10612="","",UPPER(LEFT(SUBSTITUTE(C10612," ",""),3))&amp;"-"&amp;TEXT(B10612,"AAMMDD")&amp;"-1")</f>
        <v/>
      </c>
    </row>
    <row r="10613" spans="20:20">
      <c r="T10613" t="str">
        <f>IF(C10613="","",UPPER(LEFT(SUBSTITUTE(C10613," ",""),3))&amp;"-"&amp;TEXT(B10613,"AAMMDD")&amp;"-1")</f>
        <v/>
      </c>
    </row>
    <row r="10614" spans="20:20">
      <c r="T10614" t="str">
        <f>IF(C10614="","",UPPER(LEFT(SUBSTITUTE(C10614," ",""),3))&amp;"-"&amp;TEXT(B10614,"AAMMDD")&amp;"-1")</f>
        <v/>
      </c>
    </row>
    <row r="10615" spans="20:20">
      <c r="T10615" t="str">
        <f>IF(C10615="","",UPPER(LEFT(SUBSTITUTE(C10615," ",""),3))&amp;"-"&amp;TEXT(B10615,"AAMMDD")&amp;"-1")</f>
        <v/>
      </c>
    </row>
    <row r="10616" spans="20:20">
      <c r="T10616" t="str">
        <f>IF(C10616="","",UPPER(LEFT(SUBSTITUTE(C10616," ",""),3))&amp;"-"&amp;TEXT(B10616,"AAMMDD")&amp;"-1")</f>
        <v/>
      </c>
    </row>
    <row r="10617" spans="20:20">
      <c r="T10617" t="str">
        <f>IF(C10617="","",UPPER(LEFT(SUBSTITUTE(C10617," ",""),3))&amp;"-"&amp;TEXT(B10617,"AAMMDD")&amp;"-1")</f>
        <v/>
      </c>
    </row>
    <row r="10618" spans="20:20">
      <c r="T10618" t="str">
        <f>IF(C10618="","",UPPER(LEFT(SUBSTITUTE(C10618," ",""),3))&amp;"-"&amp;TEXT(B10618,"AAMMDD")&amp;"-1")</f>
        <v/>
      </c>
    </row>
    <row r="10619" spans="20:20">
      <c r="T10619" t="str">
        <f>IF(C10619="","",UPPER(LEFT(SUBSTITUTE(C10619," ",""),3))&amp;"-"&amp;TEXT(B10619,"AAMMDD")&amp;"-1")</f>
        <v/>
      </c>
    </row>
    <row r="10620" spans="20:20">
      <c r="T10620" t="str">
        <f>IF(C10620="","",UPPER(LEFT(SUBSTITUTE(C10620," ",""),3))&amp;"-"&amp;TEXT(B10620,"AAMMDD")&amp;"-1")</f>
        <v/>
      </c>
    </row>
    <row r="10621" spans="20:20">
      <c r="T10621" t="str">
        <f>IF(C10621="","",UPPER(LEFT(SUBSTITUTE(C10621," ",""),3))&amp;"-"&amp;TEXT(B10621,"AAMMDD")&amp;"-1")</f>
        <v/>
      </c>
    </row>
    <row r="10622" spans="20:20">
      <c r="T10622" t="str">
        <f>IF(C10622="","",UPPER(LEFT(SUBSTITUTE(C10622," ",""),3))&amp;"-"&amp;TEXT(B10622,"AAMMDD")&amp;"-1")</f>
        <v/>
      </c>
    </row>
    <row r="10623" spans="20:20">
      <c r="T10623" t="str">
        <f>IF(C10623="","",UPPER(LEFT(SUBSTITUTE(C10623," ",""),3))&amp;"-"&amp;TEXT(B10623,"AAMMDD")&amp;"-1")</f>
        <v/>
      </c>
    </row>
    <row r="10624" spans="20:20">
      <c r="T10624" t="str">
        <f>IF(C10624="","",UPPER(LEFT(SUBSTITUTE(C10624," ",""),3))&amp;"-"&amp;TEXT(B10624,"AAMMDD")&amp;"-1")</f>
        <v/>
      </c>
    </row>
    <row r="10625" spans="20:20">
      <c r="T10625" t="str">
        <f>IF(C10625="","",UPPER(LEFT(SUBSTITUTE(C10625," ",""),3))&amp;"-"&amp;TEXT(B10625,"AAMMDD")&amp;"-1")</f>
        <v/>
      </c>
    </row>
    <row r="10626" spans="20:20">
      <c r="T10626" t="str">
        <f>IF(C10626="","",UPPER(LEFT(SUBSTITUTE(C10626," ",""),3))&amp;"-"&amp;TEXT(B10626,"AAMMDD")&amp;"-1")</f>
        <v/>
      </c>
    </row>
    <row r="10627" spans="20:20">
      <c r="T10627" t="str">
        <f>IF(C10627="","",UPPER(LEFT(SUBSTITUTE(C10627," ",""),3))&amp;"-"&amp;TEXT(B10627,"AAMMDD")&amp;"-1")</f>
        <v/>
      </c>
    </row>
    <row r="10628" spans="20:20">
      <c r="T10628" t="str">
        <f>IF(C10628="","",UPPER(LEFT(SUBSTITUTE(C10628," ",""),3))&amp;"-"&amp;TEXT(B10628,"AAMMDD")&amp;"-1")</f>
        <v/>
      </c>
    </row>
    <row r="10629" spans="20:20">
      <c r="T10629" t="str">
        <f>IF(C10629="","",UPPER(LEFT(SUBSTITUTE(C10629," ",""),3))&amp;"-"&amp;TEXT(B10629,"AAMMDD")&amp;"-1")</f>
        <v/>
      </c>
    </row>
    <row r="10630" spans="20:20">
      <c r="T10630" t="str">
        <f>IF(C10630="","",UPPER(LEFT(SUBSTITUTE(C10630," ",""),3))&amp;"-"&amp;TEXT(B10630,"AAMMDD")&amp;"-1")</f>
        <v/>
      </c>
    </row>
    <row r="10631" spans="20:20">
      <c r="T10631" t="str">
        <f>IF(C10631="","",UPPER(LEFT(SUBSTITUTE(C10631," ",""),3))&amp;"-"&amp;TEXT(B10631,"AAMMDD")&amp;"-1")</f>
        <v/>
      </c>
    </row>
    <row r="10632" spans="20:20">
      <c r="T10632" t="str">
        <f>IF(C10632="","",UPPER(LEFT(SUBSTITUTE(C10632," ",""),3))&amp;"-"&amp;TEXT(B10632,"AAMMDD")&amp;"-1")</f>
        <v/>
      </c>
    </row>
    <row r="10633" spans="20:20">
      <c r="T10633" t="str">
        <f>IF(C10633="","",UPPER(LEFT(SUBSTITUTE(C10633," ",""),3))&amp;"-"&amp;TEXT(B10633,"AAMMDD")&amp;"-1")</f>
        <v/>
      </c>
    </row>
    <row r="10634" spans="20:20">
      <c r="T10634" t="str">
        <f>IF(C10634="","",UPPER(LEFT(SUBSTITUTE(C10634," ",""),3))&amp;"-"&amp;TEXT(B10634,"AAMMDD")&amp;"-1")</f>
        <v/>
      </c>
    </row>
    <row r="10635" spans="20:20">
      <c r="T10635" t="str">
        <f>IF(C10635="","",UPPER(LEFT(SUBSTITUTE(C10635," ",""),3))&amp;"-"&amp;TEXT(B10635,"AAMMDD")&amp;"-1")</f>
        <v/>
      </c>
    </row>
    <row r="10636" spans="20:20">
      <c r="T10636" t="str">
        <f>IF(C10636="","",UPPER(LEFT(SUBSTITUTE(C10636," ",""),3))&amp;"-"&amp;TEXT(B10636,"AAMMDD")&amp;"-1")</f>
        <v/>
      </c>
    </row>
    <row r="10637" spans="20:20">
      <c r="T10637" t="str">
        <f>IF(C10637="","",UPPER(LEFT(SUBSTITUTE(C10637," ",""),3))&amp;"-"&amp;TEXT(B10637,"AAMMDD")&amp;"-1")</f>
        <v/>
      </c>
    </row>
    <row r="10638" spans="20:20">
      <c r="T10638" t="str">
        <f>IF(C10638="","",UPPER(LEFT(SUBSTITUTE(C10638," ",""),3))&amp;"-"&amp;TEXT(B10638,"AAMMDD")&amp;"-1")</f>
        <v/>
      </c>
    </row>
    <row r="10639" spans="20:20">
      <c r="T10639" t="str">
        <f>IF(C10639="","",UPPER(LEFT(SUBSTITUTE(C10639," ",""),3))&amp;"-"&amp;TEXT(B10639,"AAMMDD")&amp;"-1")</f>
        <v/>
      </c>
    </row>
    <row r="10640" spans="20:20">
      <c r="T10640" t="str">
        <f>IF(C10640="","",UPPER(LEFT(SUBSTITUTE(C10640," ",""),3))&amp;"-"&amp;TEXT(B10640,"AAMMDD")&amp;"-1")</f>
        <v/>
      </c>
    </row>
    <row r="10641" spans="20:20">
      <c r="T10641" t="str">
        <f>IF(C10641="","",UPPER(LEFT(SUBSTITUTE(C10641," ",""),3))&amp;"-"&amp;TEXT(B10641,"AAMMDD")&amp;"-1")</f>
        <v/>
      </c>
    </row>
    <row r="10642" spans="20:20">
      <c r="T10642" t="str">
        <f>IF(C10642="","",UPPER(LEFT(SUBSTITUTE(C10642," ",""),3))&amp;"-"&amp;TEXT(B10642,"AAMMDD")&amp;"-1")</f>
        <v/>
      </c>
    </row>
    <row r="10643" spans="20:20">
      <c r="T10643" t="str">
        <f>IF(C10643="","",UPPER(LEFT(SUBSTITUTE(C10643," ",""),3))&amp;"-"&amp;TEXT(B10643,"AAMMDD")&amp;"-1")</f>
        <v/>
      </c>
    </row>
    <row r="10644" spans="20:20">
      <c r="T10644" t="str">
        <f>IF(C10644="","",UPPER(LEFT(SUBSTITUTE(C10644," ",""),3))&amp;"-"&amp;TEXT(B10644,"AAMMDD")&amp;"-1")</f>
        <v/>
      </c>
    </row>
    <row r="10645" spans="20:20">
      <c r="T10645" t="str">
        <f>IF(C10645="","",UPPER(LEFT(SUBSTITUTE(C10645," ",""),3))&amp;"-"&amp;TEXT(B10645,"AAMMDD")&amp;"-1")</f>
        <v/>
      </c>
    </row>
    <row r="10646" spans="20:20">
      <c r="T10646" t="str">
        <f>IF(C10646="","",UPPER(LEFT(SUBSTITUTE(C10646," ",""),3))&amp;"-"&amp;TEXT(B10646,"AAMMDD")&amp;"-1")</f>
        <v/>
      </c>
    </row>
    <row r="10647" spans="20:20">
      <c r="T10647" t="str">
        <f>IF(C10647="","",UPPER(LEFT(SUBSTITUTE(C10647," ",""),3))&amp;"-"&amp;TEXT(B10647,"AAMMDD")&amp;"-1")</f>
        <v/>
      </c>
    </row>
    <row r="10648" spans="20:20">
      <c r="T10648" t="str">
        <f>IF(C10648="","",UPPER(LEFT(SUBSTITUTE(C10648," ",""),3))&amp;"-"&amp;TEXT(B10648,"AAMMDD")&amp;"-1")</f>
        <v/>
      </c>
    </row>
    <row r="10649" spans="20:20">
      <c r="T10649" t="str">
        <f>IF(C10649="","",UPPER(LEFT(SUBSTITUTE(C10649," ",""),3))&amp;"-"&amp;TEXT(B10649,"AAMMDD")&amp;"-1")</f>
        <v/>
      </c>
    </row>
    <row r="10650" spans="20:20">
      <c r="T10650" t="str">
        <f>IF(C10650="","",UPPER(LEFT(SUBSTITUTE(C10650," ",""),3))&amp;"-"&amp;TEXT(B10650,"AAMMDD")&amp;"-1")</f>
        <v/>
      </c>
    </row>
    <row r="10651" spans="20:20">
      <c r="T10651" t="str">
        <f>IF(C10651="","",UPPER(LEFT(SUBSTITUTE(C10651," ",""),3))&amp;"-"&amp;TEXT(B10651,"AAMMDD")&amp;"-1")</f>
        <v/>
      </c>
    </row>
    <row r="10652" spans="20:20">
      <c r="T10652" t="str">
        <f>IF(C10652="","",UPPER(LEFT(SUBSTITUTE(C10652," ",""),3))&amp;"-"&amp;TEXT(B10652,"AAMMDD")&amp;"-1")</f>
        <v/>
      </c>
    </row>
    <row r="10653" spans="20:20">
      <c r="T10653" t="str">
        <f>IF(C10653="","",UPPER(LEFT(SUBSTITUTE(C10653," ",""),3))&amp;"-"&amp;TEXT(B10653,"AAMMDD")&amp;"-1")</f>
        <v/>
      </c>
    </row>
    <row r="10654" spans="20:20">
      <c r="T10654" t="str">
        <f>IF(C10654="","",UPPER(LEFT(SUBSTITUTE(C10654," ",""),3))&amp;"-"&amp;TEXT(B10654,"AAMMDD")&amp;"-1")</f>
        <v/>
      </c>
    </row>
    <row r="10655" spans="20:20">
      <c r="T10655" t="str">
        <f>IF(C10655="","",UPPER(LEFT(SUBSTITUTE(C10655," ",""),3))&amp;"-"&amp;TEXT(B10655,"AAMMDD")&amp;"-1")</f>
        <v/>
      </c>
    </row>
    <row r="10656" spans="20:20">
      <c r="T10656" t="str">
        <f>IF(C10656="","",UPPER(LEFT(SUBSTITUTE(C10656," ",""),3))&amp;"-"&amp;TEXT(B10656,"AAMMDD")&amp;"-1")</f>
        <v/>
      </c>
    </row>
    <row r="10657" spans="20:20">
      <c r="T10657" t="str">
        <f>IF(C10657="","",UPPER(LEFT(SUBSTITUTE(C10657," ",""),3))&amp;"-"&amp;TEXT(B10657,"AAMMDD")&amp;"-1")</f>
        <v/>
      </c>
    </row>
    <row r="10658" spans="20:20">
      <c r="T10658" t="str">
        <f>IF(C10658="","",UPPER(LEFT(SUBSTITUTE(C10658," ",""),3))&amp;"-"&amp;TEXT(B10658,"AAMMDD")&amp;"-1")</f>
        <v/>
      </c>
    </row>
    <row r="10659" spans="20:20">
      <c r="T10659" t="str">
        <f>IF(C10659="","",UPPER(LEFT(SUBSTITUTE(C10659," ",""),3))&amp;"-"&amp;TEXT(B10659,"AAMMDD")&amp;"-1")</f>
        <v/>
      </c>
    </row>
    <row r="10660" spans="20:20">
      <c r="T10660" t="str">
        <f>IF(C10660="","",UPPER(LEFT(SUBSTITUTE(C10660," ",""),3))&amp;"-"&amp;TEXT(B10660,"AAMMDD")&amp;"-1")</f>
        <v/>
      </c>
    </row>
    <row r="10661" spans="20:20">
      <c r="T10661" t="str">
        <f>IF(C10661="","",UPPER(LEFT(SUBSTITUTE(C10661," ",""),3))&amp;"-"&amp;TEXT(B10661,"AAMMDD")&amp;"-1")</f>
        <v/>
      </c>
    </row>
    <row r="10662" spans="20:20">
      <c r="T10662" t="str">
        <f>IF(C10662="","",UPPER(LEFT(SUBSTITUTE(C10662," ",""),3))&amp;"-"&amp;TEXT(B10662,"AAMMDD")&amp;"-1")</f>
        <v/>
      </c>
    </row>
    <row r="10663" spans="20:20">
      <c r="T10663" t="str">
        <f>IF(C10663="","",UPPER(LEFT(SUBSTITUTE(C10663," ",""),3))&amp;"-"&amp;TEXT(B10663,"AAMMDD")&amp;"-1")</f>
        <v/>
      </c>
    </row>
    <row r="10664" spans="20:20">
      <c r="T10664" t="str">
        <f>IF(C10664="","",UPPER(LEFT(SUBSTITUTE(C10664," ",""),3))&amp;"-"&amp;TEXT(B10664,"AAMMDD")&amp;"-1")</f>
        <v/>
      </c>
    </row>
    <row r="10665" spans="20:20">
      <c r="T10665" t="str">
        <f>IF(C10665="","",UPPER(LEFT(SUBSTITUTE(C10665," ",""),3))&amp;"-"&amp;TEXT(B10665,"AAMMDD")&amp;"-1")</f>
        <v/>
      </c>
    </row>
    <row r="10666" spans="20:20">
      <c r="T10666" t="str">
        <f>IF(C10666="","",UPPER(LEFT(SUBSTITUTE(C10666," ",""),3))&amp;"-"&amp;TEXT(B10666,"AAMMDD")&amp;"-1")</f>
        <v/>
      </c>
    </row>
    <row r="10667" spans="20:20">
      <c r="T10667" t="str">
        <f>IF(C10667="","",UPPER(LEFT(SUBSTITUTE(C10667," ",""),3))&amp;"-"&amp;TEXT(B10667,"AAMMDD")&amp;"-1")</f>
        <v/>
      </c>
    </row>
    <row r="10668" spans="20:20">
      <c r="T10668" t="str">
        <f>IF(C10668="","",UPPER(LEFT(SUBSTITUTE(C10668," ",""),3))&amp;"-"&amp;TEXT(B10668,"AAMMDD")&amp;"-1")</f>
        <v/>
      </c>
    </row>
    <row r="10669" spans="20:20">
      <c r="T10669" t="str">
        <f>IF(C10669="","",UPPER(LEFT(SUBSTITUTE(C10669," ",""),3))&amp;"-"&amp;TEXT(B10669,"AAMMDD")&amp;"-1")</f>
        <v/>
      </c>
    </row>
    <row r="10670" spans="20:20">
      <c r="T10670" t="str">
        <f>IF(C10670="","",UPPER(LEFT(SUBSTITUTE(C10670," ",""),3))&amp;"-"&amp;TEXT(B10670,"AAMMDD")&amp;"-1")</f>
        <v/>
      </c>
    </row>
    <row r="10671" spans="20:20">
      <c r="T10671" t="str">
        <f>IF(C10671="","",UPPER(LEFT(SUBSTITUTE(C10671," ",""),3))&amp;"-"&amp;TEXT(B10671,"AAMMDD")&amp;"-1")</f>
        <v/>
      </c>
    </row>
    <row r="10672" spans="20:20">
      <c r="T10672" t="str">
        <f>IF(C10672="","",UPPER(LEFT(SUBSTITUTE(C10672," ",""),3))&amp;"-"&amp;TEXT(B10672,"AAMMDD")&amp;"-1")</f>
        <v/>
      </c>
    </row>
    <row r="10673" spans="20:20">
      <c r="T10673" t="str">
        <f>IF(C10673="","",UPPER(LEFT(SUBSTITUTE(C10673," ",""),3))&amp;"-"&amp;TEXT(B10673,"AAMMDD")&amp;"-1")</f>
        <v/>
      </c>
    </row>
    <row r="10674" spans="20:20">
      <c r="T10674" t="str">
        <f>IF(C10674="","",UPPER(LEFT(SUBSTITUTE(C10674," ",""),3))&amp;"-"&amp;TEXT(B10674,"AAMMDD")&amp;"-1")</f>
        <v/>
      </c>
    </row>
    <row r="10675" spans="20:20">
      <c r="T10675" t="str">
        <f>IF(C10675="","",UPPER(LEFT(SUBSTITUTE(C10675," ",""),3))&amp;"-"&amp;TEXT(B10675,"AAMMDD")&amp;"-1")</f>
        <v/>
      </c>
    </row>
    <row r="10676" spans="20:20">
      <c r="T10676" t="str">
        <f>IF(C10676="","",UPPER(LEFT(SUBSTITUTE(C10676," ",""),3))&amp;"-"&amp;TEXT(B10676,"AAMMDD")&amp;"-1")</f>
        <v/>
      </c>
    </row>
    <row r="10677" spans="20:20">
      <c r="T10677" t="str">
        <f>IF(C10677="","",UPPER(LEFT(SUBSTITUTE(C10677," ",""),3))&amp;"-"&amp;TEXT(B10677,"AAMMDD")&amp;"-1")</f>
        <v/>
      </c>
    </row>
    <row r="10678" spans="20:20">
      <c r="T10678" t="str">
        <f>IF(C10678="","",UPPER(LEFT(SUBSTITUTE(C10678," ",""),3))&amp;"-"&amp;TEXT(B10678,"AAMMDD")&amp;"-1")</f>
        <v/>
      </c>
    </row>
    <row r="10679" spans="20:20">
      <c r="T10679" t="str">
        <f>IF(C10679="","",UPPER(LEFT(SUBSTITUTE(C10679," ",""),3))&amp;"-"&amp;TEXT(B10679,"AAMMDD")&amp;"-1")</f>
        <v/>
      </c>
    </row>
    <row r="10680" spans="20:20">
      <c r="T10680" t="str">
        <f>IF(C10680="","",UPPER(LEFT(SUBSTITUTE(C10680," ",""),3))&amp;"-"&amp;TEXT(B10680,"AAMMDD")&amp;"-1")</f>
        <v/>
      </c>
    </row>
    <row r="10681" spans="20:20">
      <c r="T10681" t="str">
        <f>IF(C10681="","",UPPER(LEFT(SUBSTITUTE(C10681," ",""),3))&amp;"-"&amp;TEXT(B10681,"AAMMDD")&amp;"-1")</f>
        <v/>
      </c>
    </row>
    <row r="10682" spans="20:20">
      <c r="T10682" t="str">
        <f>IF(C10682="","",UPPER(LEFT(SUBSTITUTE(C10682," ",""),3))&amp;"-"&amp;TEXT(B10682,"AAMMDD")&amp;"-1")</f>
        <v/>
      </c>
    </row>
    <row r="10683" spans="20:20">
      <c r="T10683" t="str">
        <f>IF(C10683="","",UPPER(LEFT(SUBSTITUTE(C10683," ",""),3))&amp;"-"&amp;TEXT(B10683,"AAMMDD")&amp;"-1")</f>
        <v/>
      </c>
    </row>
    <row r="10684" spans="20:20">
      <c r="T10684" t="str">
        <f>IF(C10684="","",UPPER(LEFT(SUBSTITUTE(C10684," ",""),3))&amp;"-"&amp;TEXT(B10684,"AAMMDD")&amp;"-1")</f>
        <v/>
      </c>
    </row>
    <row r="10685" spans="20:20">
      <c r="T10685" t="str">
        <f>IF(C10685="","",UPPER(LEFT(SUBSTITUTE(C10685," ",""),3))&amp;"-"&amp;TEXT(B10685,"AAMMDD")&amp;"-1")</f>
        <v/>
      </c>
    </row>
    <row r="10686" spans="20:20">
      <c r="T10686" t="str">
        <f>IF(C10686="","",UPPER(LEFT(SUBSTITUTE(C10686," ",""),3))&amp;"-"&amp;TEXT(B10686,"AAMMDD")&amp;"-1")</f>
        <v/>
      </c>
    </row>
    <row r="10687" spans="20:20">
      <c r="T10687" t="str">
        <f>IF(C10687="","",UPPER(LEFT(SUBSTITUTE(C10687," ",""),3))&amp;"-"&amp;TEXT(B10687,"AAMMDD")&amp;"-1")</f>
        <v/>
      </c>
    </row>
    <row r="10688" spans="20:20">
      <c r="T10688" t="str">
        <f>IF(C10688="","",UPPER(LEFT(SUBSTITUTE(C10688," ",""),3))&amp;"-"&amp;TEXT(B10688,"AAMMDD")&amp;"-1")</f>
        <v/>
      </c>
    </row>
    <row r="10689" spans="20:20">
      <c r="T10689" t="str">
        <f>IF(C10689="","",UPPER(LEFT(SUBSTITUTE(C10689," ",""),3))&amp;"-"&amp;TEXT(B10689,"AAMMDD")&amp;"-1")</f>
        <v/>
      </c>
    </row>
    <row r="10690" spans="20:20">
      <c r="T10690" t="str">
        <f>IF(C10690="","",UPPER(LEFT(SUBSTITUTE(C10690," ",""),3))&amp;"-"&amp;TEXT(B10690,"AAMMDD")&amp;"-1")</f>
        <v/>
      </c>
    </row>
    <row r="10691" spans="20:20">
      <c r="T10691" t="str">
        <f>IF(C10691="","",UPPER(LEFT(SUBSTITUTE(C10691," ",""),3))&amp;"-"&amp;TEXT(B10691,"AAMMDD")&amp;"-1")</f>
        <v/>
      </c>
    </row>
    <row r="10692" spans="20:20">
      <c r="T10692" t="str">
        <f>IF(C10692="","",UPPER(LEFT(SUBSTITUTE(C10692," ",""),3))&amp;"-"&amp;TEXT(B10692,"AAMMDD")&amp;"-1")</f>
        <v/>
      </c>
    </row>
    <row r="10693" spans="20:20">
      <c r="T10693" t="str">
        <f>IF(C10693="","",UPPER(LEFT(SUBSTITUTE(C10693," ",""),3))&amp;"-"&amp;TEXT(B10693,"AAMMDD")&amp;"-1")</f>
        <v/>
      </c>
    </row>
    <row r="10694" spans="20:20">
      <c r="T10694" t="str">
        <f>IF(C10694="","",UPPER(LEFT(SUBSTITUTE(C10694," ",""),3))&amp;"-"&amp;TEXT(B10694,"AAMMDD")&amp;"-1")</f>
        <v/>
      </c>
    </row>
    <row r="10695" spans="20:20">
      <c r="T10695" t="str">
        <f>IF(C10695="","",UPPER(LEFT(SUBSTITUTE(C10695," ",""),3))&amp;"-"&amp;TEXT(B10695,"AAMMDD")&amp;"-1")</f>
        <v/>
      </c>
    </row>
    <row r="10696" spans="20:20">
      <c r="T10696" t="str">
        <f>IF(C10696="","",UPPER(LEFT(SUBSTITUTE(C10696," ",""),3))&amp;"-"&amp;TEXT(B10696,"AAMMDD")&amp;"-1")</f>
        <v/>
      </c>
    </row>
    <row r="10697" spans="20:20">
      <c r="T10697" t="str">
        <f>IF(C10697="","",UPPER(LEFT(SUBSTITUTE(C10697," ",""),3))&amp;"-"&amp;TEXT(B10697,"AAMMDD")&amp;"-1")</f>
        <v/>
      </c>
    </row>
    <row r="10698" spans="20:20">
      <c r="T10698" t="str">
        <f>IF(C10698="","",UPPER(LEFT(SUBSTITUTE(C10698," ",""),3))&amp;"-"&amp;TEXT(B10698,"AAMMDD")&amp;"-1")</f>
        <v/>
      </c>
    </row>
    <row r="10699" spans="20:20">
      <c r="T10699" t="str">
        <f>IF(C10699="","",UPPER(LEFT(SUBSTITUTE(C10699," ",""),3))&amp;"-"&amp;TEXT(B10699,"AAMMDD")&amp;"-1")</f>
        <v/>
      </c>
    </row>
    <row r="10700" spans="20:20">
      <c r="T10700" t="str">
        <f>IF(C10700="","",UPPER(LEFT(SUBSTITUTE(C10700," ",""),3))&amp;"-"&amp;TEXT(B10700,"AAMMDD")&amp;"-1")</f>
        <v/>
      </c>
    </row>
    <row r="10701" spans="20:20">
      <c r="T10701" t="str">
        <f>IF(C10701="","",UPPER(LEFT(SUBSTITUTE(C10701," ",""),3))&amp;"-"&amp;TEXT(B10701,"AAMMDD")&amp;"-1")</f>
        <v/>
      </c>
    </row>
    <row r="10702" spans="20:20">
      <c r="T10702" t="str">
        <f>IF(C10702="","",UPPER(LEFT(SUBSTITUTE(C10702," ",""),3))&amp;"-"&amp;TEXT(B10702,"AAMMDD")&amp;"-1")</f>
        <v/>
      </c>
    </row>
    <row r="10703" spans="20:20">
      <c r="T10703" t="str">
        <f>IF(C10703="","",UPPER(LEFT(SUBSTITUTE(C10703," ",""),3))&amp;"-"&amp;TEXT(B10703,"AAMMDD")&amp;"-1")</f>
        <v/>
      </c>
    </row>
    <row r="10704" spans="20:20">
      <c r="T10704" t="str">
        <f>IF(C10704="","",UPPER(LEFT(SUBSTITUTE(C10704," ",""),3))&amp;"-"&amp;TEXT(B10704,"AAMMDD")&amp;"-1")</f>
        <v/>
      </c>
    </row>
    <row r="10705" spans="20:20">
      <c r="T10705" t="str">
        <f>IF(C10705="","",UPPER(LEFT(SUBSTITUTE(C10705," ",""),3))&amp;"-"&amp;TEXT(B10705,"AAMMDD")&amp;"-1")</f>
        <v/>
      </c>
    </row>
    <row r="10706" spans="20:20">
      <c r="T10706" t="str">
        <f>IF(C10706="","",UPPER(LEFT(SUBSTITUTE(C10706," ",""),3))&amp;"-"&amp;TEXT(B10706,"AAMMDD")&amp;"-1")</f>
        <v/>
      </c>
    </row>
    <row r="10707" spans="20:20">
      <c r="T10707" t="str">
        <f>IF(C10707="","",UPPER(LEFT(SUBSTITUTE(C10707," ",""),3))&amp;"-"&amp;TEXT(B10707,"AAMMDD")&amp;"-1")</f>
        <v/>
      </c>
    </row>
    <row r="10708" spans="20:20">
      <c r="T10708" t="str">
        <f>IF(C10708="","",UPPER(LEFT(SUBSTITUTE(C10708," ",""),3))&amp;"-"&amp;TEXT(B10708,"AAMMDD")&amp;"-1")</f>
        <v/>
      </c>
    </row>
    <row r="10709" spans="20:20">
      <c r="T10709" t="str">
        <f>IF(C10709="","",UPPER(LEFT(SUBSTITUTE(C10709," ",""),3))&amp;"-"&amp;TEXT(B10709,"AAMMDD")&amp;"-1")</f>
        <v/>
      </c>
    </row>
    <row r="10710" spans="20:20">
      <c r="T10710" t="str">
        <f>IF(C10710="","",UPPER(LEFT(SUBSTITUTE(C10710," ",""),3))&amp;"-"&amp;TEXT(B10710,"AAMMDD")&amp;"-1")</f>
        <v/>
      </c>
    </row>
    <row r="10711" spans="20:20">
      <c r="T10711" t="str">
        <f>IF(C10711="","",UPPER(LEFT(SUBSTITUTE(C10711," ",""),3))&amp;"-"&amp;TEXT(B10711,"AAMMDD")&amp;"-1")</f>
        <v/>
      </c>
    </row>
    <row r="10712" spans="20:20">
      <c r="T10712" t="str">
        <f>IF(C10712="","",UPPER(LEFT(SUBSTITUTE(C10712," ",""),3))&amp;"-"&amp;TEXT(B10712,"AAMMDD")&amp;"-1")</f>
        <v/>
      </c>
    </row>
    <row r="10713" spans="20:20">
      <c r="T10713" t="str">
        <f>IF(C10713="","",UPPER(LEFT(SUBSTITUTE(C10713," ",""),3))&amp;"-"&amp;TEXT(B10713,"AAMMDD")&amp;"-1")</f>
        <v/>
      </c>
    </row>
    <row r="10714" spans="20:20">
      <c r="T10714" t="str">
        <f>IF(C10714="","",UPPER(LEFT(SUBSTITUTE(C10714," ",""),3))&amp;"-"&amp;TEXT(B10714,"AAMMDD")&amp;"-1")</f>
        <v/>
      </c>
    </row>
    <row r="10715" spans="20:20">
      <c r="T10715" t="str">
        <f>IF(C10715="","",UPPER(LEFT(SUBSTITUTE(C10715," ",""),3))&amp;"-"&amp;TEXT(B10715,"AAMMDD")&amp;"-1")</f>
        <v/>
      </c>
    </row>
    <row r="10716" spans="20:20">
      <c r="T10716" t="str">
        <f>IF(C10716="","",UPPER(LEFT(SUBSTITUTE(C10716," ",""),3))&amp;"-"&amp;TEXT(B10716,"AAMMDD")&amp;"-1")</f>
        <v/>
      </c>
    </row>
    <row r="10717" spans="20:20">
      <c r="T10717" t="str">
        <f>IF(C10717="","",UPPER(LEFT(SUBSTITUTE(C10717," ",""),3))&amp;"-"&amp;TEXT(B10717,"AAMMDD")&amp;"-1")</f>
        <v/>
      </c>
    </row>
    <row r="10718" spans="20:20">
      <c r="T10718" t="str">
        <f>IF(C10718="","",UPPER(LEFT(SUBSTITUTE(C10718," ",""),3))&amp;"-"&amp;TEXT(B10718,"AAMMDD")&amp;"-1")</f>
        <v/>
      </c>
    </row>
    <row r="10719" spans="20:20">
      <c r="T10719" t="str">
        <f>IF(C10719="","",UPPER(LEFT(SUBSTITUTE(C10719," ",""),3))&amp;"-"&amp;TEXT(B10719,"AAMMDD")&amp;"-1")</f>
        <v/>
      </c>
    </row>
    <row r="10720" spans="20:20">
      <c r="T10720" t="str">
        <f>IF(C10720="","",UPPER(LEFT(SUBSTITUTE(C10720," ",""),3))&amp;"-"&amp;TEXT(B10720,"AAMMDD")&amp;"-1")</f>
        <v/>
      </c>
    </row>
    <row r="10721" spans="20:20">
      <c r="T10721" t="str">
        <f>IF(C10721="","",UPPER(LEFT(SUBSTITUTE(C10721," ",""),3))&amp;"-"&amp;TEXT(B10721,"AAMMDD")&amp;"-1")</f>
        <v/>
      </c>
    </row>
    <row r="10722" spans="20:20">
      <c r="T10722" t="str">
        <f>IF(C10722="","",UPPER(LEFT(SUBSTITUTE(C10722," ",""),3))&amp;"-"&amp;TEXT(B10722,"AAMMDD")&amp;"-1")</f>
        <v/>
      </c>
    </row>
    <row r="10723" spans="20:20">
      <c r="T10723" t="str">
        <f>IF(C10723="","",UPPER(LEFT(SUBSTITUTE(C10723," ",""),3))&amp;"-"&amp;TEXT(B10723,"AAMMDD")&amp;"-1")</f>
        <v/>
      </c>
    </row>
    <row r="10724" spans="20:20">
      <c r="T10724" t="str">
        <f>IF(C10724="","",UPPER(LEFT(SUBSTITUTE(C10724," ",""),3))&amp;"-"&amp;TEXT(B10724,"AAMMDD")&amp;"-1")</f>
        <v/>
      </c>
    </row>
    <row r="10725" spans="20:20">
      <c r="T10725" t="str">
        <f>IF(C10725="","",UPPER(LEFT(SUBSTITUTE(C10725," ",""),3))&amp;"-"&amp;TEXT(B10725,"AAMMDD")&amp;"-1")</f>
        <v/>
      </c>
    </row>
    <row r="10726" spans="20:20">
      <c r="T10726" t="str">
        <f>IF(C10726="","",UPPER(LEFT(SUBSTITUTE(C10726," ",""),3))&amp;"-"&amp;TEXT(B10726,"AAMMDD")&amp;"-1")</f>
        <v/>
      </c>
    </row>
    <row r="10727" spans="20:20">
      <c r="T10727" t="str">
        <f>IF(C10727="","",UPPER(LEFT(SUBSTITUTE(C10727," ",""),3))&amp;"-"&amp;TEXT(B10727,"AAMMDD")&amp;"-1")</f>
        <v/>
      </c>
    </row>
    <row r="10728" spans="20:20">
      <c r="T10728" t="str">
        <f>IF(C10728="","",UPPER(LEFT(SUBSTITUTE(C10728," ",""),3))&amp;"-"&amp;TEXT(B10728,"AAMMDD")&amp;"-1")</f>
        <v/>
      </c>
    </row>
    <row r="10729" spans="20:20">
      <c r="T10729" t="str">
        <f>IF(C10729="","",UPPER(LEFT(SUBSTITUTE(C10729," ",""),3))&amp;"-"&amp;TEXT(B10729,"AAMMDD")&amp;"-1")</f>
        <v/>
      </c>
    </row>
    <row r="10730" spans="20:20">
      <c r="T10730" t="str">
        <f>IF(C10730="","",UPPER(LEFT(SUBSTITUTE(C10730," ",""),3))&amp;"-"&amp;TEXT(B10730,"AAMMDD")&amp;"-1")</f>
        <v/>
      </c>
    </row>
    <row r="10731" spans="20:20">
      <c r="T10731" t="str">
        <f>IF(C10731="","",UPPER(LEFT(SUBSTITUTE(C10731," ",""),3))&amp;"-"&amp;TEXT(B10731,"AAMMDD")&amp;"-1")</f>
        <v/>
      </c>
    </row>
    <row r="10732" spans="20:20">
      <c r="T10732" t="str">
        <f>IF(C10732="","",UPPER(LEFT(SUBSTITUTE(C10732," ",""),3))&amp;"-"&amp;TEXT(B10732,"AAMMDD")&amp;"-1")</f>
        <v/>
      </c>
    </row>
    <row r="10733" spans="20:20">
      <c r="T10733" t="str">
        <f>IF(C10733="","",UPPER(LEFT(SUBSTITUTE(C10733," ",""),3))&amp;"-"&amp;TEXT(B10733,"AAMMDD")&amp;"-1")</f>
        <v/>
      </c>
    </row>
    <row r="10734" spans="20:20">
      <c r="T10734" t="str">
        <f>IF(C10734="","",UPPER(LEFT(SUBSTITUTE(C10734," ",""),3))&amp;"-"&amp;TEXT(B10734,"AAMMDD")&amp;"-1")</f>
        <v/>
      </c>
    </row>
    <row r="10735" spans="20:20">
      <c r="T10735" t="str">
        <f>IF(C10735="","",UPPER(LEFT(SUBSTITUTE(C10735," ",""),3))&amp;"-"&amp;TEXT(B10735,"AAMMDD")&amp;"-1")</f>
        <v/>
      </c>
    </row>
    <row r="10736" spans="20:20">
      <c r="T10736" t="str">
        <f>IF(C10736="","",UPPER(LEFT(SUBSTITUTE(C10736," ",""),3))&amp;"-"&amp;TEXT(B10736,"AAMMDD")&amp;"-1")</f>
        <v/>
      </c>
    </row>
    <row r="10737" spans="20:20">
      <c r="T10737" t="str">
        <f>IF(C10737="","",UPPER(LEFT(SUBSTITUTE(C10737," ",""),3))&amp;"-"&amp;TEXT(B10737,"AAMMDD")&amp;"-1")</f>
        <v/>
      </c>
    </row>
    <row r="10738" spans="20:20">
      <c r="T10738" t="str">
        <f>IF(C10738="","",UPPER(LEFT(SUBSTITUTE(C10738," ",""),3))&amp;"-"&amp;TEXT(B10738,"AAMMDD")&amp;"-1")</f>
        <v/>
      </c>
    </row>
    <row r="10739" spans="20:20">
      <c r="T10739" t="str">
        <f>IF(C10739="","",UPPER(LEFT(SUBSTITUTE(C10739," ",""),3))&amp;"-"&amp;TEXT(B10739,"AAMMDD")&amp;"-1")</f>
        <v/>
      </c>
    </row>
    <row r="10740" spans="20:20">
      <c r="T10740" t="str">
        <f>IF(C10740="","",UPPER(LEFT(SUBSTITUTE(C10740," ",""),3))&amp;"-"&amp;TEXT(B10740,"AAMMDD")&amp;"-1")</f>
        <v/>
      </c>
    </row>
    <row r="10741" spans="20:20">
      <c r="T10741" t="str">
        <f>IF(C10741="","",UPPER(LEFT(SUBSTITUTE(C10741," ",""),3))&amp;"-"&amp;TEXT(B10741,"AAMMDD")&amp;"-1")</f>
        <v/>
      </c>
    </row>
    <row r="10742" spans="20:20">
      <c r="T10742" t="str">
        <f>IF(C10742="","",UPPER(LEFT(SUBSTITUTE(C10742," ",""),3))&amp;"-"&amp;TEXT(B10742,"AAMMDD")&amp;"-1")</f>
        <v/>
      </c>
    </row>
    <row r="10743" spans="20:20">
      <c r="T10743" t="str">
        <f>IF(C10743="","",UPPER(LEFT(SUBSTITUTE(C10743," ",""),3))&amp;"-"&amp;TEXT(B10743,"AAMMDD")&amp;"-1")</f>
        <v/>
      </c>
    </row>
    <row r="10744" spans="20:20">
      <c r="T10744" t="str">
        <f>IF(C10744="","",UPPER(LEFT(SUBSTITUTE(C10744," ",""),3))&amp;"-"&amp;TEXT(B10744,"AAMMDD")&amp;"-1")</f>
        <v/>
      </c>
    </row>
    <row r="10745" spans="20:20">
      <c r="T10745" t="str">
        <f>IF(C10745="","",UPPER(LEFT(SUBSTITUTE(C10745," ",""),3))&amp;"-"&amp;TEXT(B10745,"AAMMDD")&amp;"-1")</f>
        <v/>
      </c>
    </row>
    <row r="10746" spans="20:20">
      <c r="T10746" t="str">
        <f>IF(C10746="","",UPPER(LEFT(SUBSTITUTE(C10746," ",""),3))&amp;"-"&amp;TEXT(B10746,"AAMMDD")&amp;"-1")</f>
        <v/>
      </c>
    </row>
    <row r="10747" spans="20:20">
      <c r="T10747" t="str">
        <f>IF(C10747="","",UPPER(LEFT(SUBSTITUTE(C10747," ",""),3))&amp;"-"&amp;TEXT(B10747,"AAMMDD")&amp;"-1")</f>
        <v/>
      </c>
    </row>
    <row r="10748" spans="20:20">
      <c r="T10748" t="str">
        <f>IF(C10748="","",UPPER(LEFT(SUBSTITUTE(C10748," ",""),3))&amp;"-"&amp;TEXT(B10748,"AAMMDD")&amp;"-1")</f>
        <v/>
      </c>
    </row>
    <row r="10749" spans="20:20">
      <c r="T10749" t="str">
        <f>IF(C10749="","",UPPER(LEFT(SUBSTITUTE(C10749," ",""),3))&amp;"-"&amp;TEXT(B10749,"AAMMDD")&amp;"-1")</f>
        <v/>
      </c>
    </row>
    <row r="10750" spans="20:20">
      <c r="T10750" t="str">
        <f>IF(C10750="","",UPPER(LEFT(SUBSTITUTE(C10750," ",""),3))&amp;"-"&amp;TEXT(B10750,"AAMMDD")&amp;"-1")</f>
        <v/>
      </c>
    </row>
    <row r="10751" spans="20:20">
      <c r="T10751" t="str">
        <f>IF(C10751="","",UPPER(LEFT(SUBSTITUTE(C10751," ",""),3))&amp;"-"&amp;TEXT(B10751,"AAMMDD")&amp;"-1")</f>
        <v/>
      </c>
    </row>
    <row r="10752" spans="20:20">
      <c r="T10752" t="str">
        <f>IF(C10752="","",UPPER(LEFT(SUBSTITUTE(C10752," ",""),3))&amp;"-"&amp;TEXT(B10752,"AAMMDD")&amp;"-1")</f>
        <v/>
      </c>
    </row>
    <row r="10753" spans="20:20">
      <c r="T10753" t="str">
        <f>IF(C10753="","",UPPER(LEFT(SUBSTITUTE(C10753," ",""),3))&amp;"-"&amp;TEXT(B10753,"AAMMDD")&amp;"-1")</f>
        <v/>
      </c>
    </row>
    <row r="10754" spans="20:20">
      <c r="T10754" t="str">
        <f>IF(C10754="","",UPPER(LEFT(SUBSTITUTE(C10754," ",""),3))&amp;"-"&amp;TEXT(B10754,"AAMMDD")&amp;"-1")</f>
        <v/>
      </c>
    </row>
    <row r="10755" spans="20:20">
      <c r="T10755" t="str">
        <f>IF(C10755="","",UPPER(LEFT(SUBSTITUTE(C10755," ",""),3))&amp;"-"&amp;TEXT(B10755,"AAMMDD")&amp;"-1")</f>
        <v/>
      </c>
    </row>
    <row r="10756" spans="20:20">
      <c r="T10756" t="str">
        <f>IF(C10756="","",UPPER(LEFT(SUBSTITUTE(C10756," ",""),3))&amp;"-"&amp;TEXT(B10756,"AAMMDD")&amp;"-1")</f>
        <v/>
      </c>
    </row>
    <row r="10757" spans="20:20">
      <c r="T10757" t="str">
        <f>IF(C10757="","",UPPER(LEFT(SUBSTITUTE(C10757," ",""),3))&amp;"-"&amp;TEXT(B10757,"AAMMDD")&amp;"-1")</f>
        <v/>
      </c>
    </row>
    <row r="10758" spans="20:20">
      <c r="T10758" t="str">
        <f>IF(C10758="","",UPPER(LEFT(SUBSTITUTE(C10758," ",""),3))&amp;"-"&amp;TEXT(B10758,"AAMMDD")&amp;"-1")</f>
        <v/>
      </c>
    </row>
    <row r="10759" spans="20:20">
      <c r="T10759" t="str">
        <f>IF(C10759="","",UPPER(LEFT(SUBSTITUTE(C10759," ",""),3))&amp;"-"&amp;TEXT(B10759,"AAMMDD")&amp;"-1")</f>
        <v/>
      </c>
    </row>
    <row r="10760" spans="20:20">
      <c r="T10760" t="str">
        <f>IF(C10760="","",UPPER(LEFT(SUBSTITUTE(C10760," ",""),3))&amp;"-"&amp;TEXT(B10760,"AAMMDD")&amp;"-1")</f>
        <v/>
      </c>
    </row>
    <row r="10761" spans="20:20">
      <c r="T10761" t="str">
        <f>IF(C10761="","",UPPER(LEFT(SUBSTITUTE(C10761," ",""),3))&amp;"-"&amp;TEXT(B10761,"AAMMDD")&amp;"-1")</f>
        <v/>
      </c>
    </row>
    <row r="10762" spans="20:20">
      <c r="T10762" t="str">
        <f>IF(C10762="","",UPPER(LEFT(SUBSTITUTE(C10762," ",""),3))&amp;"-"&amp;TEXT(B10762,"AAMMDD")&amp;"-1")</f>
        <v/>
      </c>
    </row>
    <row r="10763" spans="20:20">
      <c r="T10763" t="str">
        <f>IF(C10763="","",UPPER(LEFT(SUBSTITUTE(C10763," ",""),3))&amp;"-"&amp;TEXT(B10763,"AAMMDD")&amp;"-1")</f>
        <v/>
      </c>
    </row>
    <row r="10764" spans="20:20">
      <c r="T10764" t="str">
        <f>IF(C10764="","",UPPER(LEFT(SUBSTITUTE(C10764," ",""),3))&amp;"-"&amp;TEXT(B10764,"AAMMDD")&amp;"-1")</f>
        <v/>
      </c>
    </row>
    <row r="10765" spans="20:20">
      <c r="T10765" t="str">
        <f>IF(C10765="","",UPPER(LEFT(SUBSTITUTE(C10765," ",""),3))&amp;"-"&amp;TEXT(B10765,"AAMMDD")&amp;"-1")</f>
        <v/>
      </c>
    </row>
    <row r="10766" spans="20:20">
      <c r="T10766" t="str">
        <f>IF(C10766="","",UPPER(LEFT(SUBSTITUTE(C10766," ",""),3))&amp;"-"&amp;TEXT(B10766,"AAMMDD")&amp;"-1")</f>
        <v/>
      </c>
    </row>
    <row r="10767" spans="20:20">
      <c r="T10767" t="str">
        <f>IF(C10767="","",UPPER(LEFT(SUBSTITUTE(C10767," ",""),3))&amp;"-"&amp;TEXT(B10767,"AAMMDD")&amp;"-1")</f>
        <v/>
      </c>
    </row>
    <row r="10768" spans="20:20">
      <c r="T10768" t="str">
        <f>IF(C10768="","",UPPER(LEFT(SUBSTITUTE(C10768," ",""),3))&amp;"-"&amp;TEXT(B10768,"AAMMDD")&amp;"-1")</f>
        <v/>
      </c>
    </row>
    <row r="10769" spans="20:20">
      <c r="T10769" t="str">
        <f>IF(C10769="","",UPPER(LEFT(SUBSTITUTE(C10769," ",""),3))&amp;"-"&amp;TEXT(B10769,"AAMMDD")&amp;"-1")</f>
        <v/>
      </c>
    </row>
    <row r="10770" spans="20:20">
      <c r="T10770" t="str">
        <f>IF(C10770="","",UPPER(LEFT(SUBSTITUTE(C10770," ",""),3))&amp;"-"&amp;TEXT(B10770,"AAMMDD")&amp;"-1")</f>
        <v/>
      </c>
    </row>
    <row r="10771" spans="20:20">
      <c r="T10771" t="str">
        <f>IF(C10771="","",UPPER(LEFT(SUBSTITUTE(C10771," ",""),3))&amp;"-"&amp;TEXT(B10771,"AAMMDD")&amp;"-1")</f>
        <v/>
      </c>
    </row>
    <row r="10772" spans="20:20">
      <c r="T10772" t="str">
        <f>IF(C10772="","",UPPER(LEFT(SUBSTITUTE(C10772," ",""),3))&amp;"-"&amp;TEXT(B10772,"AAMMDD")&amp;"-1")</f>
        <v/>
      </c>
    </row>
    <row r="10773" spans="20:20">
      <c r="T10773" t="str">
        <f>IF(C10773="","",UPPER(LEFT(SUBSTITUTE(C10773," ",""),3))&amp;"-"&amp;TEXT(B10773,"AAMMDD")&amp;"-1")</f>
        <v/>
      </c>
    </row>
    <row r="10774" spans="20:20">
      <c r="T10774" t="str">
        <f>IF(C10774="","",UPPER(LEFT(SUBSTITUTE(C10774," ",""),3))&amp;"-"&amp;TEXT(B10774,"AAMMDD")&amp;"-1")</f>
        <v/>
      </c>
    </row>
    <row r="10775" spans="20:20">
      <c r="T10775" t="str">
        <f>IF(C10775="","",UPPER(LEFT(SUBSTITUTE(C10775," ",""),3))&amp;"-"&amp;TEXT(B10775,"AAMMDD")&amp;"-1")</f>
        <v/>
      </c>
    </row>
    <row r="10776" spans="20:20">
      <c r="T10776" t="str">
        <f>IF(C10776="","",UPPER(LEFT(SUBSTITUTE(C10776," ",""),3))&amp;"-"&amp;TEXT(B10776,"AAMMDD")&amp;"-1")</f>
        <v/>
      </c>
    </row>
    <row r="10777" spans="20:20">
      <c r="T10777" t="str">
        <f>IF(C10777="","",UPPER(LEFT(SUBSTITUTE(C10777," ",""),3))&amp;"-"&amp;TEXT(B10777,"AAMMDD")&amp;"-1")</f>
        <v/>
      </c>
    </row>
    <row r="10778" spans="20:20">
      <c r="T10778" t="str">
        <f>IF(C10778="","",UPPER(LEFT(SUBSTITUTE(C10778," ",""),3))&amp;"-"&amp;TEXT(B10778,"AAMMDD")&amp;"-1")</f>
        <v/>
      </c>
    </row>
    <row r="10779" spans="20:20">
      <c r="T10779" t="str">
        <f>IF(C10779="","",UPPER(LEFT(SUBSTITUTE(C10779," ",""),3))&amp;"-"&amp;TEXT(B10779,"AAMMDD")&amp;"-1")</f>
        <v/>
      </c>
    </row>
    <row r="10780" spans="20:20">
      <c r="T10780" t="str">
        <f>IF(C10780="","",UPPER(LEFT(SUBSTITUTE(C10780," ",""),3))&amp;"-"&amp;TEXT(B10780,"AAMMDD")&amp;"-1")</f>
        <v/>
      </c>
    </row>
    <row r="10781" spans="20:20">
      <c r="T10781" t="str">
        <f>IF(C10781="","",UPPER(LEFT(SUBSTITUTE(C10781," ",""),3))&amp;"-"&amp;TEXT(B10781,"AAMMDD")&amp;"-1")</f>
        <v/>
      </c>
    </row>
    <row r="10782" spans="20:20">
      <c r="T10782" t="str">
        <f>IF(C10782="","",UPPER(LEFT(SUBSTITUTE(C10782," ",""),3))&amp;"-"&amp;TEXT(B10782,"AAMMDD")&amp;"-1")</f>
        <v/>
      </c>
    </row>
    <row r="10783" spans="20:20">
      <c r="T10783" t="str">
        <f>IF(C10783="","",UPPER(LEFT(SUBSTITUTE(C10783," ",""),3))&amp;"-"&amp;TEXT(B10783,"AAMMDD")&amp;"-1")</f>
        <v/>
      </c>
    </row>
    <row r="10784" spans="20:20">
      <c r="T10784" t="str">
        <f>IF(C10784="","",UPPER(LEFT(SUBSTITUTE(C10784," ",""),3))&amp;"-"&amp;TEXT(B10784,"AAMMDD")&amp;"-1")</f>
        <v/>
      </c>
    </row>
    <row r="10785" spans="20:20">
      <c r="T10785" t="str">
        <f>IF(C10785="","",UPPER(LEFT(SUBSTITUTE(C10785," ",""),3))&amp;"-"&amp;TEXT(B10785,"AAMMDD")&amp;"-1")</f>
        <v/>
      </c>
    </row>
    <row r="10786" spans="20:20">
      <c r="T10786" t="str">
        <f>IF(C10786="","",UPPER(LEFT(SUBSTITUTE(C10786," ",""),3))&amp;"-"&amp;TEXT(B10786,"AAMMDD")&amp;"-1")</f>
        <v/>
      </c>
    </row>
    <row r="10787" spans="20:20">
      <c r="T10787" t="str">
        <f>IF(C10787="","",UPPER(LEFT(SUBSTITUTE(C10787," ",""),3))&amp;"-"&amp;TEXT(B10787,"AAMMDD")&amp;"-1")</f>
        <v/>
      </c>
    </row>
    <row r="10788" spans="20:20">
      <c r="T10788" t="str">
        <f>IF(C10788="","",UPPER(LEFT(SUBSTITUTE(C10788," ",""),3))&amp;"-"&amp;TEXT(B10788,"AAMMDD")&amp;"-1")</f>
        <v/>
      </c>
    </row>
    <row r="10789" spans="20:20">
      <c r="T10789" t="str">
        <f>IF(C10789="","",UPPER(LEFT(SUBSTITUTE(C10789," ",""),3))&amp;"-"&amp;TEXT(B10789,"AAMMDD")&amp;"-1")</f>
        <v/>
      </c>
    </row>
    <row r="10790" spans="20:20">
      <c r="T10790" t="str">
        <f>IF(C10790="","",UPPER(LEFT(SUBSTITUTE(C10790," ",""),3))&amp;"-"&amp;TEXT(B10790,"AAMMDD")&amp;"-1")</f>
        <v/>
      </c>
    </row>
    <row r="10791" spans="20:20">
      <c r="T10791" t="str">
        <f>IF(C10791="","",UPPER(LEFT(SUBSTITUTE(C10791," ",""),3))&amp;"-"&amp;TEXT(B10791,"AAMMDD")&amp;"-1")</f>
        <v/>
      </c>
    </row>
    <row r="10792" spans="20:20">
      <c r="T10792" t="str">
        <f>IF(C10792="","",UPPER(LEFT(SUBSTITUTE(C10792," ",""),3))&amp;"-"&amp;TEXT(B10792,"AAMMDD")&amp;"-1")</f>
        <v/>
      </c>
    </row>
    <row r="10793" spans="20:20">
      <c r="T10793" t="str">
        <f>IF(C10793="","",UPPER(LEFT(SUBSTITUTE(C10793," ",""),3))&amp;"-"&amp;TEXT(B10793,"AAMMDD")&amp;"-1")</f>
        <v/>
      </c>
    </row>
    <row r="10794" spans="20:20">
      <c r="T10794" t="str">
        <f>IF(C10794="","",UPPER(LEFT(SUBSTITUTE(C10794," ",""),3))&amp;"-"&amp;TEXT(B10794,"AAMMDD")&amp;"-1")</f>
        <v/>
      </c>
    </row>
    <row r="10795" spans="20:20">
      <c r="T10795" t="str">
        <f>IF(C10795="","",UPPER(LEFT(SUBSTITUTE(C10795," ",""),3))&amp;"-"&amp;TEXT(B10795,"AAMMDD")&amp;"-1")</f>
        <v/>
      </c>
    </row>
    <row r="10796" spans="20:20">
      <c r="T10796" t="str">
        <f>IF(C10796="","",UPPER(LEFT(SUBSTITUTE(C10796," ",""),3))&amp;"-"&amp;TEXT(B10796,"AAMMDD")&amp;"-1")</f>
        <v/>
      </c>
    </row>
    <row r="10797" spans="20:20">
      <c r="T10797" t="str">
        <f>IF(C10797="","",UPPER(LEFT(SUBSTITUTE(C10797," ",""),3))&amp;"-"&amp;TEXT(B10797,"AAMMDD")&amp;"-1")</f>
        <v/>
      </c>
    </row>
    <row r="10798" spans="20:20">
      <c r="T10798" t="str">
        <f>IF(C10798="","",UPPER(LEFT(SUBSTITUTE(C10798," ",""),3))&amp;"-"&amp;TEXT(B10798,"AAMMDD")&amp;"-1")</f>
        <v/>
      </c>
    </row>
    <row r="10799" spans="20:20">
      <c r="T10799" t="str">
        <f>IF(C10799="","",UPPER(LEFT(SUBSTITUTE(C10799," ",""),3))&amp;"-"&amp;TEXT(B10799,"AAMMDD")&amp;"-1")</f>
        <v/>
      </c>
    </row>
    <row r="10800" spans="20:20">
      <c r="T10800" t="str">
        <f>IF(C10800="","",UPPER(LEFT(SUBSTITUTE(C10800," ",""),3))&amp;"-"&amp;TEXT(B10800,"AAMMDD")&amp;"-1")</f>
        <v/>
      </c>
    </row>
    <row r="10801" spans="20:20">
      <c r="T10801" t="str">
        <f>IF(C10801="","",UPPER(LEFT(SUBSTITUTE(C10801," ",""),3))&amp;"-"&amp;TEXT(B10801,"AAMMDD")&amp;"-1")</f>
        <v/>
      </c>
    </row>
    <row r="10802" spans="20:20">
      <c r="T10802" t="str">
        <f>IF(C10802="","",UPPER(LEFT(SUBSTITUTE(C10802," ",""),3))&amp;"-"&amp;TEXT(B10802,"AAMMDD")&amp;"-1")</f>
        <v/>
      </c>
    </row>
    <row r="10803" spans="20:20">
      <c r="T10803" t="str">
        <f>IF(C10803="","",UPPER(LEFT(SUBSTITUTE(C10803," ",""),3))&amp;"-"&amp;TEXT(B10803,"AAMMDD")&amp;"-1")</f>
        <v/>
      </c>
    </row>
    <row r="10804" spans="20:20">
      <c r="T10804" t="str">
        <f>IF(C10804="","",UPPER(LEFT(SUBSTITUTE(C10804," ",""),3))&amp;"-"&amp;TEXT(B10804,"AAMMDD")&amp;"-1")</f>
        <v/>
      </c>
    </row>
    <row r="10805" spans="20:20">
      <c r="T10805" t="str">
        <f>IF(C10805="","",UPPER(LEFT(SUBSTITUTE(C10805," ",""),3))&amp;"-"&amp;TEXT(B10805,"AAMMDD")&amp;"-1")</f>
        <v/>
      </c>
    </row>
    <row r="10806" spans="20:20">
      <c r="T10806" t="str">
        <f>IF(C10806="","",UPPER(LEFT(SUBSTITUTE(C10806," ",""),3))&amp;"-"&amp;TEXT(B10806,"AAMMDD")&amp;"-1")</f>
        <v/>
      </c>
    </row>
    <row r="10807" spans="20:20">
      <c r="T10807" t="str">
        <f>IF(C10807="","",UPPER(LEFT(SUBSTITUTE(C10807," ",""),3))&amp;"-"&amp;TEXT(B10807,"AAMMDD")&amp;"-1")</f>
        <v/>
      </c>
    </row>
    <row r="10808" spans="20:20">
      <c r="T10808" t="str">
        <f>IF(C10808="","",UPPER(LEFT(SUBSTITUTE(C10808," ",""),3))&amp;"-"&amp;TEXT(B10808,"AAMMDD")&amp;"-1")</f>
        <v/>
      </c>
    </row>
    <row r="10809" spans="20:20">
      <c r="T10809" t="str">
        <f>IF(C10809="","",UPPER(LEFT(SUBSTITUTE(C10809," ",""),3))&amp;"-"&amp;TEXT(B10809,"AAMMDD")&amp;"-1")</f>
        <v/>
      </c>
    </row>
    <row r="10810" spans="20:20">
      <c r="T10810" t="str">
        <f>IF(C10810="","",UPPER(LEFT(SUBSTITUTE(C10810," ",""),3))&amp;"-"&amp;TEXT(B10810,"AAMMDD")&amp;"-1")</f>
        <v/>
      </c>
    </row>
    <row r="10811" spans="20:20">
      <c r="T10811" t="str">
        <f>IF(C10811="","",UPPER(LEFT(SUBSTITUTE(C10811," ",""),3))&amp;"-"&amp;TEXT(B10811,"AAMMDD")&amp;"-1")</f>
        <v/>
      </c>
    </row>
    <row r="10812" spans="20:20">
      <c r="T10812" t="str">
        <f>IF(C10812="","",UPPER(LEFT(SUBSTITUTE(C10812," ",""),3))&amp;"-"&amp;TEXT(B10812,"AAMMDD")&amp;"-1")</f>
        <v/>
      </c>
    </row>
    <row r="10813" spans="20:20">
      <c r="T10813" t="str">
        <f>IF(C10813="","",UPPER(LEFT(SUBSTITUTE(C10813," ",""),3))&amp;"-"&amp;TEXT(B10813,"AAMMDD")&amp;"-1")</f>
        <v/>
      </c>
    </row>
    <row r="10814" spans="20:20">
      <c r="T10814" t="str">
        <f>IF(C10814="","",UPPER(LEFT(SUBSTITUTE(C10814," ",""),3))&amp;"-"&amp;TEXT(B10814,"AAMMDD")&amp;"-1")</f>
        <v/>
      </c>
    </row>
    <row r="10815" spans="20:20">
      <c r="T10815" t="str">
        <f>IF(C10815="","",UPPER(LEFT(SUBSTITUTE(C10815," ",""),3))&amp;"-"&amp;TEXT(B10815,"AAMMDD")&amp;"-1")</f>
        <v/>
      </c>
    </row>
    <row r="10816" spans="20:20">
      <c r="T10816" t="str">
        <f>IF(C10816="","",UPPER(LEFT(SUBSTITUTE(C10816," ",""),3))&amp;"-"&amp;TEXT(B10816,"AAMMDD")&amp;"-1")</f>
        <v/>
      </c>
    </row>
    <row r="10817" spans="20:20">
      <c r="T10817" t="str">
        <f>IF(C10817="","",UPPER(LEFT(SUBSTITUTE(C10817," ",""),3))&amp;"-"&amp;TEXT(B10817,"AAMMDD")&amp;"-1")</f>
        <v/>
      </c>
    </row>
    <row r="10818" spans="20:20">
      <c r="T10818" t="str">
        <f>IF(C10818="","",UPPER(LEFT(SUBSTITUTE(C10818," ",""),3))&amp;"-"&amp;TEXT(B10818,"AAMMDD")&amp;"-1")</f>
        <v/>
      </c>
    </row>
    <row r="10819" spans="20:20">
      <c r="T10819" t="str">
        <f>IF(C10819="","",UPPER(LEFT(SUBSTITUTE(C10819," ",""),3))&amp;"-"&amp;TEXT(B10819,"AAMMDD")&amp;"-1")</f>
        <v/>
      </c>
    </row>
    <row r="10820" spans="20:20">
      <c r="T10820" t="str">
        <f>IF(C10820="","",UPPER(LEFT(SUBSTITUTE(C10820," ",""),3))&amp;"-"&amp;TEXT(B10820,"AAMMDD")&amp;"-1")</f>
        <v/>
      </c>
    </row>
    <row r="10821" spans="20:20">
      <c r="T10821" t="str">
        <f>IF(C10821="","",UPPER(LEFT(SUBSTITUTE(C10821," ",""),3))&amp;"-"&amp;TEXT(B10821,"AAMMDD")&amp;"-1")</f>
        <v/>
      </c>
    </row>
    <row r="10822" spans="20:20">
      <c r="T10822" t="str">
        <f>IF(C10822="","",UPPER(LEFT(SUBSTITUTE(C10822," ",""),3))&amp;"-"&amp;TEXT(B10822,"AAMMDD")&amp;"-1")</f>
        <v/>
      </c>
    </row>
    <row r="10823" spans="20:20">
      <c r="T10823" t="str">
        <f>IF(C10823="","",UPPER(LEFT(SUBSTITUTE(C10823," ",""),3))&amp;"-"&amp;TEXT(B10823,"AAMMDD")&amp;"-1")</f>
        <v/>
      </c>
    </row>
    <row r="10824" spans="20:20">
      <c r="T10824" t="str">
        <f>IF(C10824="","",UPPER(LEFT(SUBSTITUTE(C10824," ",""),3))&amp;"-"&amp;TEXT(B10824,"AAMMDD")&amp;"-1")</f>
        <v/>
      </c>
    </row>
    <row r="10825" spans="20:20">
      <c r="T10825" t="str">
        <f>IF(C10825="","",UPPER(LEFT(SUBSTITUTE(C10825," ",""),3))&amp;"-"&amp;TEXT(B10825,"AAMMDD")&amp;"-1")</f>
        <v/>
      </c>
    </row>
    <row r="10826" spans="20:20">
      <c r="T10826" t="str">
        <f>IF(C10826="","",UPPER(LEFT(SUBSTITUTE(C10826," ",""),3))&amp;"-"&amp;TEXT(B10826,"AAMMDD")&amp;"-1")</f>
        <v/>
      </c>
    </row>
    <row r="10827" spans="20:20">
      <c r="T10827" t="str">
        <f>IF(C10827="","",UPPER(LEFT(SUBSTITUTE(C10827," ",""),3))&amp;"-"&amp;TEXT(B10827,"AAMMDD")&amp;"-1")</f>
        <v/>
      </c>
    </row>
    <row r="10828" spans="20:20">
      <c r="T10828" t="str">
        <f>IF(C10828="","",UPPER(LEFT(SUBSTITUTE(C10828," ",""),3))&amp;"-"&amp;TEXT(B10828,"AAMMDD")&amp;"-1")</f>
        <v/>
      </c>
    </row>
    <row r="10829" spans="20:20">
      <c r="T10829" t="str">
        <f>IF(C10829="","",UPPER(LEFT(SUBSTITUTE(C10829," ",""),3))&amp;"-"&amp;TEXT(B10829,"AAMMDD")&amp;"-1")</f>
        <v/>
      </c>
    </row>
    <row r="10830" spans="20:20">
      <c r="T10830" t="str">
        <f>IF(C10830="","",UPPER(LEFT(SUBSTITUTE(C10830," ",""),3))&amp;"-"&amp;TEXT(B10830,"AAMMDD")&amp;"-1")</f>
        <v/>
      </c>
    </row>
    <row r="10831" spans="20:20">
      <c r="T10831" t="str">
        <f>IF(C10831="","",UPPER(LEFT(SUBSTITUTE(C10831," ",""),3))&amp;"-"&amp;TEXT(B10831,"AAMMDD")&amp;"-1")</f>
        <v/>
      </c>
    </row>
    <row r="10832" spans="20:20">
      <c r="T10832" t="str">
        <f>IF(C10832="","",UPPER(LEFT(SUBSTITUTE(C10832," ",""),3))&amp;"-"&amp;TEXT(B10832,"AAMMDD")&amp;"-1")</f>
        <v/>
      </c>
    </row>
    <row r="10833" spans="20:20">
      <c r="T10833" t="str">
        <f>IF(C10833="","",UPPER(LEFT(SUBSTITUTE(C10833," ",""),3))&amp;"-"&amp;TEXT(B10833,"AAMMDD")&amp;"-1")</f>
        <v/>
      </c>
    </row>
    <row r="10834" spans="20:20">
      <c r="T10834" t="str">
        <f>IF(C10834="","",UPPER(LEFT(SUBSTITUTE(C10834," ",""),3))&amp;"-"&amp;TEXT(B10834,"AAMMDD")&amp;"-1")</f>
        <v/>
      </c>
    </row>
    <row r="10835" spans="20:20">
      <c r="T10835" t="str">
        <f>IF(C10835="","",UPPER(LEFT(SUBSTITUTE(C10835," ",""),3))&amp;"-"&amp;TEXT(B10835,"AAMMDD")&amp;"-1")</f>
        <v/>
      </c>
    </row>
    <row r="10836" spans="20:20">
      <c r="T10836" t="str">
        <f>IF(C10836="","",UPPER(LEFT(SUBSTITUTE(C10836," ",""),3))&amp;"-"&amp;TEXT(B10836,"AAMMDD")&amp;"-1")</f>
        <v/>
      </c>
    </row>
    <row r="10837" spans="20:20">
      <c r="T10837" t="str">
        <f>IF(C10837="","",UPPER(LEFT(SUBSTITUTE(C10837," ",""),3))&amp;"-"&amp;TEXT(B10837,"AAMMDD")&amp;"-1")</f>
        <v/>
      </c>
    </row>
    <row r="10838" spans="20:20">
      <c r="T10838" t="str">
        <f>IF(C10838="","",UPPER(LEFT(SUBSTITUTE(C10838," ",""),3))&amp;"-"&amp;TEXT(B10838,"AAMMDD")&amp;"-1")</f>
        <v/>
      </c>
    </row>
    <row r="10839" spans="20:20">
      <c r="T10839" t="str">
        <f>IF(C10839="","",UPPER(LEFT(SUBSTITUTE(C10839," ",""),3))&amp;"-"&amp;TEXT(B10839,"AAMMDD")&amp;"-1")</f>
        <v/>
      </c>
    </row>
    <row r="10840" spans="20:20">
      <c r="T10840" t="str">
        <f>IF(C10840="","",UPPER(LEFT(SUBSTITUTE(C10840," ",""),3))&amp;"-"&amp;TEXT(B10840,"AAMMDD")&amp;"-1")</f>
        <v/>
      </c>
    </row>
    <row r="10841" spans="20:20">
      <c r="T10841" t="str">
        <f>IF(C10841="","",UPPER(LEFT(SUBSTITUTE(C10841," ",""),3))&amp;"-"&amp;TEXT(B10841,"AAMMDD")&amp;"-1")</f>
        <v/>
      </c>
    </row>
    <row r="10842" spans="20:20">
      <c r="T10842" t="str">
        <f>IF(C10842="","",UPPER(LEFT(SUBSTITUTE(C10842," ",""),3))&amp;"-"&amp;TEXT(B10842,"AAMMDD")&amp;"-1")</f>
        <v/>
      </c>
    </row>
    <row r="10843" spans="20:20">
      <c r="T10843" t="str">
        <f>IF(C10843="","",UPPER(LEFT(SUBSTITUTE(C10843," ",""),3))&amp;"-"&amp;TEXT(B10843,"AAMMDD")&amp;"-1")</f>
        <v/>
      </c>
    </row>
    <row r="10844" spans="20:20">
      <c r="T10844" t="str">
        <f>IF(C10844="","",UPPER(LEFT(SUBSTITUTE(C10844," ",""),3))&amp;"-"&amp;TEXT(B10844,"AAMMDD")&amp;"-1")</f>
        <v/>
      </c>
    </row>
    <row r="10845" spans="20:20">
      <c r="T10845" t="str">
        <f>IF(C10845="","",UPPER(LEFT(SUBSTITUTE(C10845," ",""),3))&amp;"-"&amp;TEXT(B10845,"AAMMDD")&amp;"-1")</f>
        <v/>
      </c>
    </row>
    <row r="10846" spans="20:20">
      <c r="T10846" t="str">
        <f>IF(C10846="","",UPPER(LEFT(SUBSTITUTE(C10846," ",""),3))&amp;"-"&amp;TEXT(B10846,"AAMMDD")&amp;"-1")</f>
        <v/>
      </c>
    </row>
    <row r="10847" spans="20:20">
      <c r="T10847" t="str">
        <f>IF(C10847="","",UPPER(LEFT(SUBSTITUTE(C10847," ",""),3))&amp;"-"&amp;TEXT(B10847,"AAMMDD")&amp;"-1")</f>
        <v/>
      </c>
    </row>
    <row r="10848" spans="20:20">
      <c r="T10848" t="str">
        <f>IF(C10848="","",UPPER(LEFT(SUBSTITUTE(C10848," ",""),3))&amp;"-"&amp;TEXT(B10848,"AAMMDD")&amp;"-1")</f>
        <v/>
      </c>
    </row>
    <row r="10849" spans="20:20">
      <c r="T10849" t="str">
        <f>IF(C10849="","",UPPER(LEFT(SUBSTITUTE(C10849," ",""),3))&amp;"-"&amp;TEXT(B10849,"AAMMDD")&amp;"-1")</f>
        <v/>
      </c>
    </row>
    <row r="10850" spans="20:20">
      <c r="T10850" t="str">
        <f>IF(C10850="","",UPPER(LEFT(SUBSTITUTE(C10850," ",""),3))&amp;"-"&amp;TEXT(B10850,"AAMMDD")&amp;"-1")</f>
        <v/>
      </c>
    </row>
    <row r="10851" spans="20:20">
      <c r="T10851" t="str">
        <f>IF(C10851="","",UPPER(LEFT(SUBSTITUTE(C10851," ",""),3))&amp;"-"&amp;TEXT(B10851,"AAMMDD")&amp;"-1")</f>
        <v/>
      </c>
    </row>
    <row r="10852" spans="20:20">
      <c r="T10852" t="str">
        <f>IF(C10852="","",UPPER(LEFT(SUBSTITUTE(C10852," ",""),3))&amp;"-"&amp;TEXT(B10852,"AAMMDD")&amp;"-1")</f>
        <v/>
      </c>
    </row>
    <row r="10853" spans="20:20">
      <c r="T10853" t="str">
        <f>IF(C10853="","",UPPER(LEFT(SUBSTITUTE(C10853," ",""),3))&amp;"-"&amp;TEXT(B10853,"AAMMDD")&amp;"-1")</f>
        <v/>
      </c>
    </row>
    <row r="10854" spans="20:20">
      <c r="T10854" t="str">
        <f>IF(C10854="","",UPPER(LEFT(SUBSTITUTE(C10854," ",""),3))&amp;"-"&amp;TEXT(B10854,"AAMMDD")&amp;"-1")</f>
        <v/>
      </c>
    </row>
    <row r="10855" spans="20:20">
      <c r="T10855" t="str">
        <f>IF(C10855="","",UPPER(LEFT(SUBSTITUTE(C10855," ",""),3))&amp;"-"&amp;TEXT(B10855,"AAMMDD")&amp;"-1")</f>
        <v/>
      </c>
    </row>
    <row r="10856" spans="20:20">
      <c r="T10856" t="str">
        <f>IF(C10856="","",UPPER(LEFT(SUBSTITUTE(C10856," ",""),3))&amp;"-"&amp;TEXT(B10856,"AAMMDD")&amp;"-1")</f>
        <v/>
      </c>
    </row>
    <row r="10857" spans="20:20">
      <c r="T10857" t="str">
        <f>IF(C10857="","",UPPER(LEFT(SUBSTITUTE(C10857," ",""),3))&amp;"-"&amp;TEXT(B10857,"AAMMDD")&amp;"-1")</f>
        <v/>
      </c>
    </row>
    <row r="10858" spans="20:20">
      <c r="T10858" t="str">
        <f>IF(C10858="","",UPPER(LEFT(SUBSTITUTE(C10858," ",""),3))&amp;"-"&amp;TEXT(B10858,"AAMMDD")&amp;"-1")</f>
        <v/>
      </c>
    </row>
    <row r="10859" spans="20:20">
      <c r="T10859" t="str">
        <f>IF(C10859="","",UPPER(LEFT(SUBSTITUTE(C10859," ",""),3))&amp;"-"&amp;TEXT(B10859,"AAMMDD")&amp;"-1")</f>
        <v/>
      </c>
    </row>
    <row r="10860" spans="20:20">
      <c r="T10860" t="str">
        <f>IF(C10860="","",UPPER(LEFT(SUBSTITUTE(C10860," ",""),3))&amp;"-"&amp;TEXT(B10860,"AAMMDD")&amp;"-1")</f>
        <v/>
      </c>
    </row>
    <row r="10861" spans="20:20">
      <c r="T10861" t="str">
        <f>IF(C10861="","",UPPER(LEFT(SUBSTITUTE(C10861," ",""),3))&amp;"-"&amp;TEXT(B10861,"AAMMDD")&amp;"-1")</f>
        <v/>
      </c>
    </row>
    <row r="10862" spans="20:20">
      <c r="T10862" t="str">
        <f>IF(C10862="","",UPPER(LEFT(SUBSTITUTE(C10862," ",""),3))&amp;"-"&amp;TEXT(B10862,"AAMMDD")&amp;"-1")</f>
        <v/>
      </c>
    </row>
    <row r="10863" spans="20:20">
      <c r="T10863" t="str">
        <f>IF(C10863="","",UPPER(LEFT(SUBSTITUTE(C10863," ",""),3))&amp;"-"&amp;TEXT(B10863,"AAMMDD")&amp;"-1")</f>
        <v/>
      </c>
    </row>
    <row r="10864" spans="20:20">
      <c r="T10864" t="str">
        <f>IF(C10864="","",UPPER(LEFT(SUBSTITUTE(C10864," ",""),3))&amp;"-"&amp;TEXT(B10864,"AAMMDD")&amp;"-1")</f>
        <v/>
      </c>
    </row>
    <row r="10865" spans="20:20">
      <c r="T10865" t="str">
        <f>IF(C10865="","",UPPER(LEFT(SUBSTITUTE(C10865," ",""),3))&amp;"-"&amp;TEXT(B10865,"AAMMDD")&amp;"-1")</f>
        <v/>
      </c>
    </row>
    <row r="10866" spans="20:20">
      <c r="T10866" t="str">
        <f>IF(C10866="","",UPPER(LEFT(SUBSTITUTE(C10866," ",""),3))&amp;"-"&amp;TEXT(B10866,"AAMMDD")&amp;"-1")</f>
        <v/>
      </c>
    </row>
    <row r="10867" spans="20:20">
      <c r="T10867" t="str">
        <f>IF(C10867="","",UPPER(LEFT(SUBSTITUTE(C10867," ",""),3))&amp;"-"&amp;TEXT(B10867,"AAMMDD")&amp;"-1")</f>
        <v/>
      </c>
    </row>
    <row r="10868" spans="20:20">
      <c r="T10868" t="str">
        <f>IF(C10868="","",UPPER(LEFT(SUBSTITUTE(C10868," ",""),3))&amp;"-"&amp;TEXT(B10868,"AAMMDD")&amp;"-1")</f>
        <v/>
      </c>
    </row>
    <row r="10869" spans="20:20">
      <c r="T10869" t="str">
        <f>IF(C10869="","",UPPER(LEFT(SUBSTITUTE(C10869," ",""),3))&amp;"-"&amp;TEXT(B10869,"AAMMDD")&amp;"-1")</f>
        <v/>
      </c>
    </row>
    <row r="10870" spans="20:20">
      <c r="T10870" t="str">
        <f>IF(C10870="","",UPPER(LEFT(SUBSTITUTE(C10870," ",""),3))&amp;"-"&amp;TEXT(B10870,"AAMMDD")&amp;"-1")</f>
        <v/>
      </c>
    </row>
    <row r="10871" spans="20:20">
      <c r="T10871" t="str">
        <f>IF(C10871="","",UPPER(LEFT(SUBSTITUTE(C10871," ",""),3))&amp;"-"&amp;TEXT(B10871,"AAMMDD")&amp;"-1")</f>
        <v/>
      </c>
    </row>
    <row r="10872" spans="20:20">
      <c r="T10872" t="str">
        <f>IF(C10872="","",UPPER(LEFT(SUBSTITUTE(C10872," ",""),3))&amp;"-"&amp;TEXT(B10872,"AAMMDD")&amp;"-1")</f>
        <v/>
      </c>
    </row>
    <row r="10873" spans="20:20">
      <c r="T10873" t="str">
        <f>IF(C10873="","",UPPER(LEFT(SUBSTITUTE(C10873," ",""),3))&amp;"-"&amp;TEXT(B10873,"AAMMDD")&amp;"-1")</f>
        <v/>
      </c>
    </row>
    <row r="10874" spans="20:20">
      <c r="T10874" t="str">
        <f>IF(C10874="","",UPPER(LEFT(SUBSTITUTE(C10874," ",""),3))&amp;"-"&amp;TEXT(B10874,"AAMMDD")&amp;"-1")</f>
        <v/>
      </c>
    </row>
    <row r="10875" spans="20:20">
      <c r="T10875" t="str">
        <f>IF(C10875="","",UPPER(LEFT(SUBSTITUTE(C10875," ",""),3))&amp;"-"&amp;TEXT(B10875,"AAMMDD")&amp;"-1")</f>
        <v/>
      </c>
    </row>
    <row r="10876" spans="20:20">
      <c r="T10876" t="str">
        <f>IF(C10876="","",UPPER(LEFT(SUBSTITUTE(C10876," ",""),3))&amp;"-"&amp;TEXT(B10876,"AAMMDD")&amp;"-1")</f>
        <v/>
      </c>
    </row>
    <row r="10877" spans="20:20">
      <c r="T10877" t="str">
        <f>IF(C10877="","",UPPER(LEFT(SUBSTITUTE(C10877," ",""),3))&amp;"-"&amp;TEXT(B10877,"AAMMDD")&amp;"-1")</f>
        <v/>
      </c>
    </row>
    <row r="10878" spans="20:20">
      <c r="T10878" t="str">
        <f>IF(C10878="","",UPPER(LEFT(SUBSTITUTE(C10878," ",""),3))&amp;"-"&amp;TEXT(B10878,"AAMMDD")&amp;"-1")</f>
        <v/>
      </c>
    </row>
    <row r="10879" spans="20:20">
      <c r="T10879" t="str">
        <f>IF(C10879="","",UPPER(LEFT(SUBSTITUTE(C10879," ",""),3))&amp;"-"&amp;TEXT(B10879,"AAMMDD")&amp;"-1")</f>
        <v/>
      </c>
    </row>
    <row r="10880" spans="20:20">
      <c r="T10880" t="str">
        <f>IF(C10880="","",UPPER(LEFT(SUBSTITUTE(C10880," ",""),3))&amp;"-"&amp;TEXT(B10880,"AAMMDD")&amp;"-1")</f>
        <v/>
      </c>
    </row>
    <row r="10881" spans="20:20">
      <c r="T10881" t="str">
        <f>IF(C10881="","",UPPER(LEFT(SUBSTITUTE(C10881," ",""),3))&amp;"-"&amp;TEXT(B10881,"AAMMDD")&amp;"-1")</f>
        <v/>
      </c>
    </row>
    <row r="10882" spans="20:20">
      <c r="T10882" t="str">
        <f>IF(C10882="","",UPPER(LEFT(SUBSTITUTE(C10882," ",""),3))&amp;"-"&amp;TEXT(B10882,"AAMMDD")&amp;"-1")</f>
        <v/>
      </c>
    </row>
    <row r="10883" spans="20:20">
      <c r="T10883" t="str">
        <f>IF(C10883="","",UPPER(LEFT(SUBSTITUTE(C10883," ",""),3))&amp;"-"&amp;TEXT(B10883,"AAMMDD")&amp;"-1")</f>
        <v/>
      </c>
    </row>
    <row r="10884" spans="20:20">
      <c r="T10884" t="str">
        <f>IF(C10884="","",UPPER(LEFT(SUBSTITUTE(C10884," ",""),3))&amp;"-"&amp;TEXT(B10884,"AAMMDD")&amp;"-1")</f>
        <v/>
      </c>
    </row>
    <row r="10885" spans="20:20">
      <c r="T10885" t="str">
        <f>IF(C10885="","",UPPER(LEFT(SUBSTITUTE(C10885," ",""),3))&amp;"-"&amp;TEXT(B10885,"AAMMDD")&amp;"-1")</f>
        <v/>
      </c>
    </row>
    <row r="10886" spans="20:20">
      <c r="T10886" t="str">
        <f>IF(C10886="","",UPPER(LEFT(SUBSTITUTE(C10886," ",""),3))&amp;"-"&amp;TEXT(B10886,"AAMMDD")&amp;"-1")</f>
        <v/>
      </c>
    </row>
    <row r="10887" spans="20:20">
      <c r="T10887" t="str">
        <f>IF(C10887="","",UPPER(LEFT(SUBSTITUTE(C10887," ",""),3))&amp;"-"&amp;TEXT(B10887,"AAMMDD")&amp;"-1")</f>
        <v/>
      </c>
    </row>
    <row r="10888" spans="20:20">
      <c r="T10888" t="str">
        <f>IF(C10888="","",UPPER(LEFT(SUBSTITUTE(C10888," ",""),3))&amp;"-"&amp;TEXT(B10888,"AAMMDD")&amp;"-1")</f>
        <v/>
      </c>
    </row>
    <row r="10889" spans="20:20">
      <c r="T10889" t="str">
        <f>IF(C10889="","",UPPER(LEFT(SUBSTITUTE(C10889," ",""),3))&amp;"-"&amp;TEXT(B10889,"AAMMDD")&amp;"-1")</f>
        <v/>
      </c>
    </row>
    <row r="10890" spans="20:20">
      <c r="T10890" t="str">
        <f>IF(C10890="","",UPPER(LEFT(SUBSTITUTE(C10890," ",""),3))&amp;"-"&amp;TEXT(B10890,"AAMMDD")&amp;"-1")</f>
        <v/>
      </c>
    </row>
    <row r="10891" spans="20:20">
      <c r="T10891" t="str">
        <f>IF(C10891="","",UPPER(LEFT(SUBSTITUTE(C10891," ",""),3))&amp;"-"&amp;TEXT(B10891,"AAMMDD")&amp;"-1")</f>
        <v/>
      </c>
    </row>
    <row r="10892" spans="20:20">
      <c r="T10892" t="str">
        <f>IF(C10892="","",UPPER(LEFT(SUBSTITUTE(C10892," ",""),3))&amp;"-"&amp;TEXT(B10892,"AAMMDD")&amp;"-1")</f>
        <v/>
      </c>
    </row>
    <row r="10893" spans="20:20">
      <c r="T10893" t="str">
        <f>IF(C10893="","",UPPER(LEFT(SUBSTITUTE(C10893," ",""),3))&amp;"-"&amp;TEXT(B10893,"AAMMDD")&amp;"-1")</f>
        <v/>
      </c>
    </row>
    <row r="10894" spans="20:20">
      <c r="T10894" t="str">
        <f>IF(C10894="","",UPPER(LEFT(SUBSTITUTE(C10894," ",""),3))&amp;"-"&amp;TEXT(B10894,"AAMMDD")&amp;"-1")</f>
        <v/>
      </c>
    </row>
    <row r="10895" spans="20:20">
      <c r="T10895" t="str">
        <f>IF(C10895="","",UPPER(LEFT(SUBSTITUTE(C10895," ",""),3))&amp;"-"&amp;TEXT(B10895,"AAMMDD")&amp;"-1")</f>
        <v/>
      </c>
    </row>
    <row r="10896" spans="20:20">
      <c r="T10896" t="str">
        <f>IF(C10896="","",UPPER(LEFT(SUBSTITUTE(C10896," ",""),3))&amp;"-"&amp;TEXT(B10896,"AAMMDD")&amp;"-1")</f>
        <v/>
      </c>
    </row>
    <row r="10897" spans="20:20">
      <c r="T10897" t="str">
        <f>IF(C10897="","",UPPER(LEFT(SUBSTITUTE(C10897," ",""),3))&amp;"-"&amp;TEXT(B10897,"AAMMDD")&amp;"-1")</f>
        <v/>
      </c>
    </row>
    <row r="10898" spans="20:20">
      <c r="T10898" t="str">
        <f>IF(C10898="","",UPPER(LEFT(SUBSTITUTE(C10898," ",""),3))&amp;"-"&amp;TEXT(B10898,"AAMMDD")&amp;"-1")</f>
        <v/>
      </c>
    </row>
    <row r="10899" spans="20:20">
      <c r="T10899" t="str">
        <f>IF(C10899="","",UPPER(LEFT(SUBSTITUTE(C10899," ",""),3))&amp;"-"&amp;TEXT(B10899,"AAMMDD")&amp;"-1")</f>
        <v/>
      </c>
    </row>
    <row r="10900" spans="20:20">
      <c r="T10900" t="str">
        <f>IF(C10900="","",UPPER(LEFT(SUBSTITUTE(C10900," ",""),3))&amp;"-"&amp;TEXT(B10900,"AAMMDD")&amp;"-1")</f>
        <v/>
      </c>
    </row>
    <row r="10901" spans="20:20">
      <c r="T10901" t="str">
        <f>IF(C10901="","",UPPER(LEFT(SUBSTITUTE(C10901," ",""),3))&amp;"-"&amp;TEXT(B10901,"AAMMDD")&amp;"-1")</f>
        <v/>
      </c>
    </row>
    <row r="10902" spans="20:20">
      <c r="T10902" t="str">
        <f>IF(C10902="","",UPPER(LEFT(SUBSTITUTE(C10902," ",""),3))&amp;"-"&amp;TEXT(B10902,"AAMMDD")&amp;"-1")</f>
        <v/>
      </c>
    </row>
    <row r="10903" spans="20:20">
      <c r="T10903" t="str">
        <f>IF(C10903="","",UPPER(LEFT(SUBSTITUTE(C10903," ",""),3))&amp;"-"&amp;TEXT(B10903,"AAMMDD")&amp;"-1")</f>
        <v/>
      </c>
    </row>
    <row r="10904" spans="20:20">
      <c r="T10904" t="str">
        <f>IF(C10904="","",UPPER(LEFT(SUBSTITUTE(C10904," ",""),3))&amp;"-"&amp;TEXT(B10904,"AAMMDD")&amp;"-1")</f>
        <v/>
      </c>
    </row>
    <row r="10905" spans="20:20">
      <c r="T10905" t="str">
        <f>IF(C10905="","",UPPER(LEFT(SUBSTITUTE(C10905," ",""),3))&amp;"-"&amp;TEXT(B10905,"AAMMDD")&amp;"-1")</f>
        <v/>
      </c>
    </row>
    <row r="10906" spans="20:20">
      <c r="T10906" t="str">
        <f>IF(C10906="","",UPPER(LEFT(SUBSTITUTE(C10906," ",""),3))&amp;"-"&amp;TEXT(B10906,"AAMMDD")&amp;"-1")</f>
        <v/>
      </c>
    </row>
    <row r="10907" spans="20:20">
      <c r="T10907" t="str">
        <f>IF(C10907="","",UPPER(LEFT(SUBSTITUTE(C10907," ",""),3))&amp;"-"&amp;TEXT(B10907,"AAMMDD")&amp;"-1")</f>
        <v/>
      </c>
    </row>
    <row r="10908" spans="20:20">
      <c r="T10908" t="str">
        <f>IF(C10908="","",UPPER(LEFT(SUBSTITUTE(C10908," ",""),3))&amp;"-"&amp;TEXT(B10908,"AAMMDD")&amp;"-1")</f>
        <v/>
      </c>
    </row>
    <row r="10909" spans="20:20">
      <c r="T10909" t="str">
        <f>IF(C10909="","",UPPER(LEFT(SUBSTITUTE(C10909," ",""),3))&amp;"-"&amp;TEXT(B10909,"AAMMDD")&amp;"-1")</f>
        <v/>
      </c>
    </row>
    <row r="10910" spans="20:20">
      <c r="T10910" t="str">
        <f>IF(C10910="","",UPPER(LEFT(SUBSTITUTE(C10910," ",""),3))&amp;"-"&amp;TEXT(B10910,"AAMMDD")&amp;"-1")</f>
        <v/>
      </c>
    </row>
    <row r="10911" spans="20:20">
      <c r="T10911" t="str">
        <f>IF(C10911="","",UPPER(LEFT(SUBSTITUTE(C10911," ",""),3))&amp;"-"&amp;TEXT(B10911,"AAMMDD")&amp;"-1")</f>
        <v/>
      </c>
    </row>
    <row r="10912" spans="20:20">
      <c r="T10912" t="str">
        <f>IF(C10912="","",UPPER(LEFT(SUBSTITUTE(C10912," ",""),3))&amp;"-"&amp;TEXT(B10912,"AAMMDD")&amp;"-1")</f>
        <v/>
      </c>
    </row>
    <row r="10913" spans="20:20">
      <c r="T10913" t="str">
        <f>IF(C10913="","",UPPER(LEFT(SUBSTITUTE(C10913," ",""),3))&amp;"-"&amp;TEXT(B10913,"AAMMDD")&amp;"-1")</f>
        <v/>
      </c>
    </row>
    <row r="10914" spans="20:20">
      <c r="T10914" t="str">
        <f>IF(C10914="","",UPPER(LEFT(SUBSTITUTE(C10914," ",""),3))&amp;"-"&amp;TEXT(B10914,"AAMMDD")&amp;"-1")</f>
        <v/>
      </c>
    </row>
    <row r="10915" spans="20:20">
      <c r="T10915" t="str">
        <f>IF(C10915="","",UPPER(LEFT(SUBSTITUTE(C10915," ",""),3))&amp;"-"&amp;TEXT(B10915,"AAMMDD")&amp;"-1")</f>
        <v/>
      </c>
    </row>
    <row r="10916" spans="20:20">
      <c r="T10916" t="str">
        <f>IF(C10916="","",UPPER(LEFT(SUBSTITUTE(C10916," ",""),3))&amp;"-"&amp;TEXT(B10916,"AAMMDD")&amp;"-1")</f>
        <v/>
      </c>
    </row>
    <row r="10917" spans="20:20">
      <c r="T10917" t="str">
        <f>IF(C10917="","",UPPER(LEFT(SUBSTITUTE(C10917," ",""),3))&amp;"-"&amp;TEXT(B10917,"AAMMDD")&amp;"-1")</f>
        <v/>
      </c>
    </row>
    <row r="10918" spans="20:20">
      <c r="T10918" t="str">
        <f>IF(C10918="","",UPPER(LEFT(SUBSTITUTE(C10918," ",""),3))&amp;"-"&amp;TEXT(B10918,"AAMMDD")&amp;"-1")</f>
        <v/>
      </c>
    </row>
    <row r="10919" spans="20:20">
      <c r="T10919" t="str">
        <f>IF(C10919="","",UPPER(LEFT(SUBSTITUTE(C10919," ",""),3))&amp;"-"&amp;TEXT(B10919,"AAMMDD")&amp;"-1")</f>
        <v/>
      </c>
    </row>
    <row r="10920" spans="20:20">
      <c r="T10920" t="str">
        <f>IF(C10920="","",UPPER(LEFT(SUBSTITUTE(C10920," ",""),3))&amp;"-"&amp;TEXT(B10920,"AAMMDD")&amp;"-1")</f>
        <v/>
      </c>
    </row>
    <row r="10921" spans="20:20">
      <c r="T10921" t="str">
        <f>IF(C10921="","",UPPER(LEFT(SUBSTITUTE(C10921," ",""),3))&amp;"-"&amp;TEXT(B10921,"AAMMDD")&amp;"-1")</f>
        <v/>
      </c>
    </row>
    <row r="10922" spans="20:20">
      <c r="T10922" t="str">
        <f>IF(C10922="","",UPPER(LEFT(SUBSTITUTE(C10922," ",""),3))&amp;"-"&amp;TEXT(B10922,"AAMMDD")&amp;"-1")</f>
        <v/>
      </c>
    </row>
    <row r="10923" spans="20:20">
      <c r="T10923" t="str">
        <f>IF(C10923="","",UPPER(LEFT(SUBSTITUTE(C10923," ",""),3))&amp;"-"&amp;TEXT(B10923,"AAMMDD")&amp;"-1")</f>
        <v/>
      </c>
    </row>
    <row r="10924" spans="20:20">
      <c r="T10924" t="str">
        <f>IF(C10924="","",UPPER(LEFT(SUBSTITUTE(C10924," ",""),3))&amp;"-"&amp;TEXT(B10924,"AAMMDD")&amp;"-1")</f>
        <v/>
      </c>
    </row>
    <row r="10925" spans="20:20">
      <c r="T10925" t="str">
        <f>IF(C10925="","",UPPER(LEFT(SUBSTITUTE(C10925," ",""),3))&amp;"-"&amp;TEXT(B10925,"AAMMDD")&amp;"-1")</f>
        <v/>
      </c>
    </row>
    <row r="10926" spans="20:20">
      <c r="T10926" t="str">
        <f>IF(C10926="","",UPPER(LEFT(SUBSTITUTE(C10926," ",""),3))&amp;"-"&amp;TEXT(B10926,"AAMMDD")&amp;"-1")</f>
        <v/>
      </c>
    </row>
    <row r="10927" spans="20:20">
      <c r="T10927" t="str">
        <f>IF(C10927="","",UPPER(LEFT(SUBSTITUTE(C10927," ",""),3))&amp;"-"&amp;TEXT(B10927,"AAMMDD")&amp;"-1")</f>
        <v/>
      </c>
    </row>
    <row r="10928" spans="20:20">
      <c r="T10928" t="str">
        <f>IF(C10928="","",UPPER(LEFT(SUBSTITUTE(C10928," ",""),3))&amp;"-"&amp;TEXT(B10928,"AAMMDD")&amp;"-1")</f>
        <v/>
      </c>
    </row>
    <row r="10929" spans="20:20">
      <c r="T10929" t="str">
        <f>IF(C10929="","",UPPER(LEFT(SUBSTITUTE(C10929," ",""),3))&amp;"-"&amp;TEXT(B10929,"AAMMDD")&amp;"-1")</f>
        <v/>
      </c>
    </row>
    <row r="10930" spans="20:20">
      <c r="T10930" t="str">
        <f>IF(C10930="","",UPPER(LEFT(SUBSTITUTE(C10930," ",""),3))&amp;"-"&amp;TEXT(B10930,"AAMMDD")&amp;"-1")</f>
        <v/>
      </c>
    </row>
    <row r="10931" spans="20:20">
      <c r="T10931" t="str">
        <f>IF(C10931="","",UPPER(LEFT(SUBSTITUTE(C10931," ",""),3))&amp;"-"&amp;TEXT(B10931,"AAMMDD")&amp;"-1")</f>
        <v/>
      </c>
    </row>
    <row r="10932" spans="20:20">
      <c r="T10932" t="str">
        <f>IF(C10932="","",UPPER(LEFT(SUBSTITUTE(C10932," ",""),3))&amp;"-"&amp;TEXT(B10932,"AAMMDD")&amp;"-1")</f>
        <v/>
      </c>
    </row>
    <row r="10933" spans="20:20">
      <c r="T10933" t="str">
        <f>IF(C10933="","",UPPER(LEFT(SUBSTITUTE(C10933," ",""),3))&amp;"-"&amp;TEXT(B10933,"AAMMDD")&amp;"-1")</f>
        <v/>
      </c>
    </row>
    <row r="10934" spans="20:20">
      <c r="T10934" t="str">
        <f>IF(C10934="","",UPPER(LEFT(SUBSTITUTE(C10934," ",""),3))&amp;"-"&amp;TEXT(B10934,"AAMMDD")&amp;"-1")</f>
        <v/>
      </c>
    </row>
    <row r="10935" spans="20:20">
      <c r="T10935" t="str">
        <f>IF(C10935="","",UPPER(LEFT(SUBSTITUTE(C10935," ",""),3))&amp;"-"&amp;TEXT(B10935,"AAMMDD")&amp;"-1")</f>
        <v/>
      </c>
    </row>
    <row r="10936" spans="20:20">
      <c r="T10936" t="str">
        <f>IF(C10936="","",UPPER(LEFT(SUBSTITUTE(C10936," ",""),3))&amp;"-"&amp;TEXT(B10936,"AAMMDD")&amp;"-1")</f>
        <v/>
      </c>
    </row>
    <row r="10937" spans="20:20">
      <c r="T10937" t="str">
        <f>IF(C10937="","",UPPER(LEFT(SUBSTITUTE(C10937," ",""),3))&amp;"-"&amp;TEXT(B10937,"AAMMDD")&amp;"-1")</f>
        <v/>
      </c>
    </row>
    <row r="10938" spans="20:20">
      <c r="T10938" t="str">
        <f>IF(C10938="","",UPPER(LEFT(SUBSTITUTE(C10938," ",""),3))&amp;"-"&amp;TEXT(B10938,"AAMMDD")&amp;"-1")</f>
        <v/>
      </c>
    </row>
    <row r="10939" spans="20:20">
      <c r="T10939" t="str">
        <f>IF(C10939="","",UPPER(LEFT(SUBSTITUTE(C10939," ",""),3))&amp;"-"&amp;TEXT(B10939,"AAMMDD")&amp;"-1")</f>
        <v/>
      </c>
    </row>
    <row r="10940" spans="20:20">
      <c r="T10940" t="str">
        <f>IF(C10940="","",UPPER(LEFT(SUBSTITUTE(C10940," ",""),3))&amp;"-"&amp;TEXT(B10940,"AAMMDD")&amp;"-1")</f>
        <v/>
      </c>
    </row>
    <row r="10941" spans="20:20">
      <c r="T10941" t="str">
        <f>IF(C10941="","",UPPER(LEFT(SUBSTITUTE(C10941," ",""),3))&amp;"-"&amp;TEXT(B10941,"AAMMDD")&amp;"-1")</f>
        <v/>
      </c>
    </row>
    <row r="10942" spans="20:20">
      <c r="T10942" t="str">
        <f>IF(C10942="","",UPPER(LEFT(SUBSTITUTE(C10942," ",""),3))&amp;"-"&amp;TEXT(B10942,"AAMMDD")&amp;"-1")</f>
        <v/>
      </c>
    </row>
    <row r="10943" spans="20:20">
      <c r="T10943" t="str">
        <f>IF(C10943="","",UPPER(LEFT(SUBSTITUTE(C10943," ",""),3))&amp;"-"&amp;TEXT(B10943,"AAMMDD")&amp;"-1")</f>
        <v/>
      </c>
    </row>
    <row r="10944" spans="20:20">
      <c r="T10944" t="str">
        <f>IF(C10944="","",UPPER(LEFT(SUBSTITUTE(C10944," ",""),3))&amp;"-"&amp;TEXT(B10944,"AAMMDD")&amp;"-1")</f>
        <v/>
      </c>
    </row>
    <row r="10945" spans="20:20">
      <c r="T10945" t="str">
        <f>IF(C10945="","",UPPER(LEFT(SUBSTITUTE(C10945," ",""),3))&amp;"-"&amp;TEXT(B10945,"AAMMDD")&amp;"-1")</f>
        <v/>
      </c>
    </row>
    <row r="10946" spans="20:20">
      <c r="T10946" t="str">
        <f>IF(C10946="","",UPPER(LEFT(SUBSTITUTE(C10946," ",""),3))&amp;"-"&amp;TEXT(B10946,"AAMMDD")&amp;"-1")</f>
        <v/>
      </c>
    </row>
    <row r="10947" spans="20:20">
      <c r="T10947" t="str">
        <f>IF(C10947="","",UPPER(LEFT(SUBSTITUTE(C10947," ",""),3))&amp;"-"&amp;TEXT(B10947,"AAMMDD")&amp;"-1")</f>
        <v/>
      </c>
    </row>
    <row r="10948" spans="20:20">
      <c r="T10948" t="str">
        <f>IF(C10948="","",UPPER(LEFT(SUBSTITUTE(C10948," ",""),3))&amp;"-"&amp;TEXT(B10948,"AAMMDD")&amp;"-1")</f>
        <v/>
      </c>
    </row>
    <row r="10949" spans="20:20">
      <c r="T10949" t="str">
        <f>IF(C10949="","",UPPER(LEFT(SUBSTITUTE(C10949," ",""),3))&amp;"-"&amp;TEXT(B10949,"AAMMDD")&amp;"-1")</f>
        <v/>
      </c>
    </row>
    <row r="10950" spans="20:20">
      <c r="T10950" t="str">
        <f>IF(C10950="","",UPPER(LEFT(SUBSTITUTE(C10950," ",""),3))&amp;"-"&amp;TEXT(B10950,"AAMMDD")&amp;"-1")</f>
        <v/>
      </c>
    </row>
    <row r="10951" spans="20:20">
      <c r="T10951" t="str">
        <f>IF(C10951="","",UPPER(LEFT(SUBSTITUTE(C10951," ",""),3))&amp;"-"&amp;TEXT(B10951,"AAMMDD")&amp;"-1")</f>
        <v/>
      </c>
    </row>
    <row r="10952" spans="20:20">
      <c r="T10952" t="str">
        <f>IF(C10952="","",UPPER(LEFT(SUBSTITUTE(C10952," ",""),3))&amp;"-"&amp;TEXT(B10952,"AAMMDD")&amp;"-1")</f>
        <v/>
      </c>
    </row>
    <row r="10953" spans="20:20">
      <c r="T10953" t="str">
        <f>IF(C10953="","",UPPER(LEFT(SUBSTITUTE(C10953," ",""),3))&amp;"-"&amp;TEXT(B10953,"AAMMDD")&amp;"-1")</f>
        <v/>
      </c>
    </row>
    <row r="10954" spans="20:20">
      <c r="T10954" t="str">
        <f>IF(C10954="","",UPPER(LEFT(SUBSTITUTE(C10954," ",""),3))&amp;"-"&amp;TEXT(B10954,"AAMMDD")&amp;"-1")</f>
        <v/>
      </c>
    </row>
    <row r="10955" spans="20:20">
      <c r="T10955" t="str">
        <f>IF(C10955="","",UPPER(LEFT(SUBSTITUTE(C10955," ",""),3))&amp;"-"&amp;TEXT(B10955,"AAMMDD")&amp;"-1")</f>
        <v/>
      </c>
    </row>
    <row r="10956" spans="20:20">
      <c r="T10956" t="str">
        <f>IF(C10956="","",UPPER(LEFT(SUBSTITUTE(C10956," ",""),3))&amp;"-"&amp;TEXT(B10956,"AAMMDD")&amp;"-1")</f>
        <v/>
      </c>
    </row>
    <row r="10957" spans="20:20">
      <c r="T10957" t="str">
        <f>IF(C10957="","",UPPER(LEFT(SUBSTITUTE(C10957," ",""),3))&amp;"-"&amp;TEXT(B10957,"AAMMDD")&amp;"-1")</f>
        <v/>
      </c>
    </row>
    <row r="10958" spans="20:20">
      <c r="T10958" t="str">
        <f>IF(C10958="","",UPPER(LEFT(SUBSTITUTE(C10958," ",""),3))&amp;"-"&amp;TEXT(B10958,"AAMMDD")&amp;"-1")</f>
        <v/>
      </c>
    </row>
    <row r="10959" spans="20:20">
      <c r="T10959" t="str">
        <f>IF(C10959="","",UPPER(LEFT(SUBSTITUTE(C10959," ",""),3))&amp;"-"&amp;TEXT(B10959,"AAMMDD")&amp;"-1")</f>
        <v/>
      </c>
    </row>
    <row r="10960" spans="20:20">
      <c r="T10960" t="str">
        <f>IF(C10960="","",UPPER(LEFT(SUBSTITUTE(C10960," ",""),3))&amp;"-"&amp;TEXT(B10960,"AAMMDD")&amp;"-1")</f>
        <v/>
      </c>
    </row>
    <row r="10961" spans="20:20">
      <c r="T10961" t="str">
        <f>IF(C10961="","",UPPER(LEFT(SUBSTITUTE(C10961," ",""),3))&amp;"-"&amp;TEXT(B10961,"AAMMDD")&amp;"-1")</f>
        <v/>
      </c>
    </row>
    <row r="10962" spans="20:20">
      <c r="T10962" t="str">
        <f>IF(C10962="","",UPPER(LEFT(SUBSTITUTE(C10962," ",""),3))&amp;"-"&amp;TEXT(B10962,"AAMMDD")&amp;"-1")</f>
        <v/>
      </c>
    </row>
    <row r="10963" spans="20:20">
      <c r="T10963" t="str">
        <f>IF(C10963="","",UPPER(LEFT(SUBSTITUTE(C10963," ",""),3))&amp;"-"&amp;TEXT(B10963,"AAMMDD")&amp;"-1")</f>
        <v/>
      </c>
    </row>
    <row r="10964" spans="20:20">
      <c r="T10964" t="str">
        <f>IF(C10964="","",UPPER(LEFT(SUBSTITUTE(C10964," ",""),3))&amp;"-"&amp;TEXT(B10964,"AAMMDD")&amp;"-1")</f>
        <v/>
      </c>
    </row>
    <row r="10965" spans="20:20">
      <c r="T10965" t="str">
        <f>IF(C10965="","",UPPER(LEFT(SUBSTITUTE(C10965," ",""),3))&amp;"-"&amp;TEXT(B10965,"AAMMDD")&amp;"-1")</f>
        <v/>
      </c>
    </row>
    <row r="10966" spans="20:20">
      <c r="T10966" t="str">
        <f>IF(C10966="","",UPPER(LEFT(SUBSTITUTE(C10966," ",""),3))&amp;"-"&amp;TEXT(B10966,"AAMMDD")&amp;"-1")</f>
        <v/>
      </c>
    </row>
    <row r="10967" spans="20:20">
      <c r="T10967" t="str">
        <f>IF(C10967="","",UPPER(LEFT(SUBSTITUTE(C10967," ",""),3))&amp;"-"&amp;TEXT(B10967,"AAMMDD")&amp;"-1")</f>
        <v/>
      </c>
    </row>
    <row r="10968" spans="20:20">
      <c r="T10968" t="str">
        <f>IF(C10968="","",UPPER(LEFT(SUBSTITUTE(C10968," ",""),3))&amp;"-"&amp;TEXT(B10968,"AAMMDD")&amp;"-1")</f>
        <v/>
      </c>
    </row>
    <row r="10969" spans="20:20">
      <c r="T10969" t="str">
        <f>IF(C10969="","",UPPER(LEFT(SUBSTITUTE(C10969," ",""),3))&amp;"-"&amp;TEXT(B10969,"AAMMDD")&amp;"-1")</f>
        <v/>
      </c>
    </row>
    <row r="10970" spans="20:20">
      <c r="T10970" t="str">
        <f>IF(C10970="","",UPPER(LEFT(SUBSTITUTE(C10970," ",""),3))&amp;"-"&amp;TEXT(B10970,"AAMMDD")&amp;"-1")</f>
        <v/>
      </c>
    </row>
    <row r="10971" spans="20:20">
      <c r="T10971" t="str">
        <f>IF(C10971="","",UPPER(LEFT(SUBSTITUTE(C10971," ",""),3))&amp;"-"&amp;TEXT(B10971,"AAMMDD")&amp;"-1")</f>
        <v/>
      </c>
    </row>
    <row r="10972" spans="20:20">
      <c r="T10972" t="str">
        <f>IF(C10972="","",UPPER(LEFT(SUBSTITUTE(C10972," ",""),3))&amp;"-"&amp;TEXT(B10972,"AAMMDD")&amp;"-1")</f>
        <v/>
      </c>
    </row>
    <row r="10973" spans="20:20">
      <c r="T10973" t="str">
        <f>IF(C10973="","",UPPER(LEFT(SUBSTITUTE(C10973," ",""),3))&amp;"-"&amp;TEXT(B10973,"AAMMDD")&amp;"-1")</f>
        <v/>
      </c>
    </row>
    <row r="10974" spans="20:20">
      <c r="T10974" t="str">
        <f>IF(C10974="","",UPPER(LEFT(SUBSTITUTE(C10974," ",""),3))&amp;"-"&amp;TEXT(B10974,"AAMMDD")&amp;"-1")</f>
        <v/>
      </c>
    </row>
    <row r="10975" spans="20:20">
      <c r="T10975" t="str">
        <f>IF(C10975="","",UPPER(LEFT(SUBSTITUTE(C10975," ",""),3))&amp;"-"&amp;TEXT(B10975,"AAMMDD")&amp;"-1")</f>
        <v/>
      </c>
    </row>
    <row r="10976" spans="20:20">
      <c r="T10976" t="str">
        <f>IF(C10976="","",UPPER(LEFT(SUBSTITUTE(C10976," ",""),3))&amp;"-"&amp;TEXT(B10976,"AAMMDD")&amp;"-1")</f>
        <v/>
      </c>
    </row>
    <row r="10977" spans="20:20">
      <c r="T10977" t="str">
        <f>IF(C10977="","",UPPER(LEFT(SUBSTITUTE(C10977," ",""),3))&amp;"-"&amp;TEXT(B10977,"AAMMDD")&amp;"-1")</f>
        <v/>
      </c>
    </row>
    <row r="10978" spans="20:20">
      <c r="T10978" t="str">
        <f>IF(C10978="","",UPPER(LEFT(SUBSTITUTE(C10978," ",""),3))&amp;"-"&amp;TEXT(B10978,"AAMMDD")&amp;"-1")</f>
        <v/>
      </c>
    </row>
    <row r="10979" spans="20:20">
      <c r="T10979" t="str">
        <f>IF(C10979="","",UPPER(LEFT(SUBSTITUTE(C10979," ",""),3))&amp;"-"&amp;TEXT(B10979,"AAMMDD")&amp;"-1")</f>
        <v/>
      </c>
    </row>
    <row r="10980" spans="20:20">
      <c r="T10980" t="str">
        <f>IF(C10980="","",UPPER(LEFT(SUBSTITUTE(C10980," ",""),3))&amp;"-"&amp;TEXT(B10980,"AAMMDD")&amp;"-1")</f>
        <v/>
      </c>
    </row>
    <row r="10981" spans="20:20">
      <c r="T10981" t="str">
        <f>IF(C10981="","",UPPER(LEFT(SUBSTITUTE(C10981," ",""),3))&amp;"-"&amp;TEXT(B10981,"AAMMDD")&amp;"-1")</f>
        <v/>
      </c>
    </row>
    <row r="10982" spans="20:20">
      <c r="T10982" t="str">
        <f>IF(C10982="","",UPPER(LEFT(SUBSTITUTE(C10982," ",""),3))&amp;"-"&amp;TEXT(B10982,"AAMMDD")&amp;"-1")</f>
        <v/>
      </c>
    </row>
    <row r="10983" spans="20:20">
      <c r="T10983" t="str">
        <f>IF(C10983="","",UPPER(LEFT(SUBSTITUTE(C10983," ",""),3))&amp;"-"&amp;TEXT(B10983,"AAMMDD")&amp;"-1")</f>
        <v/>
      </c>
    </row>
    <row r="10984" spans="20:20">
      <c r="T10984" t="str">
        <f>IF(C10984="","",UPPER(LEFT(SUBSTITUTE(C10984," ",""),3))&amp;"-"&amp;TEXT(B10984,"AAMMDD")&amp;"-1")</f>
        <v/>
      </c>
    </row>
    <row r="10985" spans="20:20">
      <c r="T10985" t="str">
        <f>IF(C10985="","",UPPER(LEFT(SUBSTITUTE(C10985," ",""),3))&amp;"-"&amp;TEXT(B10985,"AAMMDD")&amp;"-1")</f>
        <v/>
      </c>
    </row>
    <row r="10986" spans="20:20">
      <c r="T10986" t="str">
        <f>IF(C10986="","",UPPER(LEFT(SUBSTITUTE(C10986," ",""),3))&amp;"-"&amp;TEXT(B10986,"AAMMDD")&amp;"-1")</f>
        <v/>
      </c>
    </row>
    <row r="10987" spans="20:20">
      <c r="T10987" t="str">
        <f>IF(C10987="","",UPPER(LEFT(SUBSTITUTE(C10987," ",""),3))&amp;"-"&amp;TEXT(B10987,"AAMMDD")&amp;"-1")</f>
        <v/>
      </c>
    </row>
    <row r="10988" spans="20:20">
      <c r="T10988" t="str">
        <f>IF(C10988="","",UPPER(LEFT(SUBSTITUTE(C10988," ",""),3))&amp;"-"&amp;TEXT(B10988,"AAMMDD")&amp;"-1")</f>
        <v/>
      </c>
    </row>
    <row r="10989" spans="20:20">
      <c r="T10989" t="str">
        <f>IF(C10989="","",UPPER(LEFT(SUBSTITUTE(C10989," ",""),3))&amp;"-"&amp;TEXT(B10989,"AAMMDD")&amp;"-1")</f>
        <v/>
      </c>
    </row>
    <row r="10990" spans="20:20">
      <c r="T10990" t="str">
        <f>IF(C10990="","",UPPER(LEFT(SUBSTITUTE(C10990," ",""),3))&amp;"-"&amp;TEXT(B10990,"AAMMDD")&amp;"-1")</f>
        <v/>
      </c>
    </row>
    <row r="10991" spans="20:20">
      <c r="T10991" t="str">
        <f>IF(C10991="","",UPPER(LEFT(SUBSTITUTE(C10991," ",""),3))&amp;"-"&amp;TEXT(B10991,"AAMMDD")&amp;"-1")</f>
        <v/>
      </c>
    </row>
    <row r="10992" spans="20:20">
      <c r="T10992" t="str">
        <f>IF(C10992="","",UPPER(LEFT(SUBSTITUTE(C10992," ",""),3))&amp;"-"&amp;TEXT(B10992,"AAMMDD")&amp;"-1")</f>
        <v/>
      </c>
    </row>
    <row r="10993" spans="20:20">
      <c r="T10993" t="str">
        <f>IF(C10993="","",UPPER(LEFT(SUBSTITUTE(C10993," ",""),3))&amp;"-"&amp;TEXT(B10993,"AAMMDD")&amp;"-1")</f>
        <v/>
      </c>
    </row>
    <row r="10994" spans="20:20">
      <c r="T10994" t="str">
        <f>IF(C10994="","",UPPER(LEFT(SUBSTITUTE(C10994," ",""),3))&amp;"-"&amp;TEXT(B10994,"AAMMDD")&amp;"-1")</f>
        <v/>
      </c>
    </row>
    <row r="10995" spans="20:20">
      <c r="T10995" t="str">
        <f>IF(C10995="","",UPPER(LEFT(SUBSTITUTE(C10995," ",""),3))&amp;"-"&amp;TEXT(B10995,"AAMMDD")&amp;"-1")</f>
        <v/>
      </c>
    </row>
    <row r="10996" spans="20:20">
      <c r="T10996" t="str">
        <f>IF(C10996="","",UPPER(LEFT(SUBSTITUTE(C10996," ",""),3))&amp;"-"&amp;TEXT(B10996,"AAMMDD")&amp;"-1")</f>
        <v/>
      </c>
    </row>
    <row r="10997" spans="20:20">
      <c r="T10997" t="str">
        <f>IF(C10997="","",UPPER(LEFT(SUBSTITUTE(C10997," ",""),3))&amp;"-"&amp;TEXT(B10997,"AAMMDD")&amp;"-1")</f>
        <v/>
      </c>
    </row>
    <row r="10998" spans="20:20">
      <c r="T10998" t="str">
        <f>IF(C10998="","",UPPER(LEFT(SUBSTITUTE(C10998," ",""),3))&amp;"-"&amp;TEXT(B10998,"AAMMDD")&amp;"-1")</f>
        <v/>
      </c>
    </row>
    <row r="10999" spans="20:20">
      <c r="T10999" t="str">
        <f>IF(C10999="","",UPPER(LEFT(SUBSTITUTE(C10999," ",""),3))&amp;"-"&amp;TEXT(B10999,"AAMMDD")&amp;"-1")</f>
        <v/>
      </c>
    </row>
    <row r="11000" spans="20:20">
      <c r="T11000" t="str">
        <f>IF(C11000="","",UPPER(LEFT(SUBSTITUTE(C11000," ",""),3))&amp;"-"&amp;TEXT(B11000,"AAMMDD")&amp;"-1")</f>
        <v/>
      </c>
    </row>
    <row r="11001" spans="20:20">
      <c r="T11001" t="str">
        <f>IF(C11001="","",UPPER(LEFT(SUBSTITUTE(C11001," ",""),3))&amp;"-"&amp;TEXT(B11001,"AAMMDD")&amp;"-1")</f>
        <v/>
      </c>
    </row>
    <row r="11002" spans="20:20">
      <c r="T11002" t="str">
        <f>IF(C11002="","",UPPER(LEFT(SUBSTITUTE(C11002," ",""),3))&amp;"-"&amp;TEXT(B11002,"AAMMDD")&amp;"-1")</f>
        <v/>
      </c>
    </row>
    <row r="11003" spans="20:20">
      <c r="T11003" t="str">
        <f>IF(C11003="","",UPPER(LEFT(SUBSTITUTE(C11003," ",""),3))&amp;"-"&amp;TEXT(B11003,"AAMMDD")&amp;"-1")</f>
        <v/>
      </c>
    </row>
    <row r="11004" spans="20:20">
      <c r="T11004" t="str">
        <f>IF(C11004="","",UPPER(LEFT(SUBSTITUTE(C11004," ",""),3))&amp;"-"&amp;TEXT(B11004,"AAMMDD")&amp;"-1")</f>
        <v/>
      </c>
    </row>
    <row r="11005" spans="20:20">
      <c r="T11005" t="str">
        <f>IF(C11005="","",UPPER(LEFT(SUBSTITUTE(C11005," ",""),3))&amp;"-"&amp;TEXT(B11005,"AAMMDD")&amp;"-1")</f>
        <v/>
      </c>
    </row>
    <row r="11006" spans="20:20">
      <c r="T11006" t="str">
        <f>IF(C11006="","",UPPER(LEFT(SUBSTITUTE(C11006," ",""),3))&amp;"-"&amp;TEXT(B11006,"AAMMDD")&amp;"-1")</f>
        <v/>
      </c>
    </row>
    <row r="11007" spans="20:20">
      <c r="T11007" t="str">
        <f>IF(C11007="","",UPPER(LEFT(SUBSTITUTE(C11007," ",""),3))&amp;"-"&amp;TEXT(B11007,"AAMMDD")&amp;"-1")</f>
        <v/>
      </c>
    </row>
    <row r="11008" spans="20:20">
      <c r="T11008" t="str">
        <f>IF(C11008="","",UPPER(LEFT(SUBSTITUTE(C11008," ",""),3))&amp;"-"&amp;TEXT(B11008,"AAMMDD")&amp;"-1")</f>
        <v/>
      </c>
    </row>
    <row r="11009" spans="20:20">
      <c r="T11009" t="str">
        <f>IF(C11009="","",UPPER(LEFT(SUBSTITUTE(C11009," ",""),3))&amp;"-"&amp;TEXT(B11009,"AAMMDD")&amp;"-1")</f>
        <v/>
      </c>
    </row>
    <row r="11010" spans="20:20">
      <c r="T11010" t="str">
        <f>IF(C11010="","",UPPER(LEFT(SUBSTITUTE(C11010," ",""),3))&amp;"-"&amp;TEXT(B11010,"AAMMDD")&amp;"-1")</f>
        <v/>
      </c>
    </row>
    <row r="11011" spans="20:20">
      <c r="T11011" t="str">
        <f>IF(C11011="","",UPPER(LEFT(SUBSTITUTE(C11011," ",""),3))&amp;"-"&amp;TEXT(B11011,"AAMMDD")&amp;"-1")</f>
        <v/>
      </c>
    </row>
    <row r="11012" spans="20:20">
      <c r="T11012" t="str">
        <f>IF(C11012="","",UPPER(LEFT(SUBSTITUTE(C11012," ",""),3))&amp;"-"&amp;TEXT(B11012,"AAMMDD")&amp;"-1")</f>
        <v/>
      </c>
    </row>
    <row r="11013" spans="20:20">
      <c r="T11013" t="str">
        <f>IF(C11013="","",UPPER(LEFT(SUBSTITUTE(C11013," ",""),3))&amp;"-"&amp;TEXT(B11013,"AAMMDD")&amp;"-1")</f>
        <v/>
      </c>
    </row>
    <row r="11014" spans="20:20">
      <c r="T11014" t="str">
        <f>IF(C11014="","",UPPER(LEFT(SUBSTITUTE(C11014," ",""),3))&amp;"-"&amp;TEXT(B11014,"AAMMDD")&amp;"-1")</f>
        <v/>
      </c>
    </row>
    <row r="11015" spans="20:20">
      <c r="T11015" t="str">
        <f>IF(C11015="","",UPPER(LEFT(SUBSTITUTE(C11015," ",""),3))&amp;"-"&amp;TEXT(B11015,"AAMMDD")&amp;"-1")</f>
        <v/>
      </c>
    </row>
    <row r="11016" spans="20:20">
      <c r="T11016" t="str">
        <f>IF(C11016="","",UPPER(LEFT(SUBSTITUTE(C11016," ",""),3))&amp;"-"&amp;TEXT(B11016,"AAMMDD")&amp;"-1")</f>
        <v/>
      </c>
    </row>
    <row r="11017" spans="20:20">
      <c r="T11017" t="str">
        <f>IF(C11017="","",UPPER(LEFT(SUBSTITUTE(C11017," ",""),3))&amp;"-"&amp;TEXT(B11017,"AAMMDD")&amp;"-1")</f>
        <v/>
      </c>
    </row>
    <row r="11018" spans="20:20">
      <c r="T11018" t="str">
        <f>IF(C11018="","",UPPER(LEFT(SUBSTITUTE(C11018," ",""),3))&amp;"-"&amp;TEXT(B11018,"AAMMDD")&amp;"-1")</f>
        <v/>
      </c>
    </row>
    <row r="11019" spans="20:20">
      <c r="T11019" t="str">
        <f>IF(C11019="","",UPPER(LEFT(SUBSTITUTE(C11019," ",""),3))&amp;"-"&amp;TEXT(B11019,"AAMMDD")&amp;"-1")</f>
        <v/>
      </c>
    </row>
    <row r="11020" spans="20:20">
      <c r="T11020" t="str">
        <f>IF(C11020="","",UPPER(LEFT(SUBSTITUTE(C11020," ",""),3))&amp;"-"&amp;TEXT(B11020,"AAMMDD")&amp;"-1")</f>
        <v/>
      </c>
    </row>
    <row r="11021" spans="20:20">
      <c r="T11021" t="str">
        <f>IF(C11021="","",UPPER(LEFT(SUBSTITUTE(C11021," ",""),3))&amp;"-"&amp;TEXT(B11021,"AAMMDD")&amp;"-1")</f>
        <v/>
      </c>
    </row>
    <row r="11022" spans="20:20">
      <c r="T11022" t="str">
        <f>IF(C11022="","",UPPER(LEFT(SUBSTITUTE(C11022," ",""),3))&amp;"-"&amp;TEXT(B11022,"AAMMDD")&amp;"-1")</f>
        <v/>
      </c>
    </row>
    <row r="11023" spans="20:20">
      <c r="T11023" t="str">
        <f>IF(C11023="","",UPPER(LEFT(SUBSTITUTE(C11023," ",""),3))&amp;"-"&amp;TEXT(B11023,"AAMMDD")&amp;"-1")</f>
        <v/>
      </c>
    </row>
    <row r="11024" spans="20:20">
      <c r="T11024" t="str">
        <f>IF(C11024="","",UPPER(LEFT(SUBSTITUTE(C11024," ",""),3))&amp;"-"&amp;TEXT(B11024,"AAMMDD")&amp;"-1")</f>
        <v/>
      </c>
    </row>
    <row r="11025" spans="20:20">
      <c r="T11025" t="str">
        <f>IF(C11025="","",UPPER(LEFT(SUBSTITUTE(C11025," ",""),3))&amp;"-"&amp;TEXT(B11025,"AAMMDD")&amp;"-1")</f>
        <v/>
      </c>
    </row>
    <row r="11026" spans="20:20">
      <c r="T11026" t="str">
        <f>IF(C11026="","",UPPER(LEFT(SUBSTITUTE(C11026," ",""),3))&amp;"-"&amp;TEXT(B11026,"AAMMDD")&amp;"-1")</f>
        <v/>
      </c>
    </row>
    <row r="11027" spans="20:20">
      <c r="T11027" t="str">
        <f>IF(C11027="","",UPPER(LEFT(SUBSTITUTE(C11027," ",""),3))&amp;"-"&amp;TEXT(B11027,"AAMMDD")&amp;"-1")</f>
        <v/>
      </c>
    </row>
    <row r="11028" spans="20:20">
      <c r="T11028" t="str">
        <f>IF(C11028="","",UPPER(LEFT(SUBSTITUTE(C11028," ",""),3))&amp;"-"&amp;TEXT(B11028,"AAMMDD")&amp;"-1")</f>
        <v/>
      </c>
    </row>
    <row r="11029" spans="20:20">
      <c r="T11029" t="str">
        <f>IF(C11029="","",UPPER(LEFT(SUBSTITUTE(C11029," ",""),3))&amp;"-"&amp;TEXT(B11029,"AAMMDD")&amp;"-1")</f>
        <v/>
      </c>
    </row>
    <row r="11030" spans="20:20">
      <c r="T11030" t="str">
        <f>IF(C11030="","",UPPER(LEFT(SUBSTITUTE(C11030," ",""),3))&amp;"-"&amp;TEXT(B11030,"AAMMDD")&amp;"-1")</f>
        <v/>
      </c>
    </row>
    <row r="11031" spans="20:20">
      <c r="T11031" t="str">
        <f>IF(C11031="","",UPPER(LEFT(SUBSTITUTE(C11031," ",""),3))&amp;"-"&amp;TEXT(B11031,"AAMMDD")&amp;"-1")</f>
        <v/>
      </c>
    </row>
    <row r="11032" spans="20:20">
      <c r="T11032" t="str">
        <f>IF(C11032="","",UPPER(LEFT(SUBSTITUTE(C11032," ",""),3))&amp;"-"&amp;TEXT(B11032,"AAMMDD")&amp;"-1")</f>
        <v/>
      </c>
    </row>
    <row r="11033" spans="20:20">
      <c r="T11033" t="str">
        <f>IF(C11033="","",UPPER(LEFT(SUBSTITUTE(C11033," ",""),3))&amp;"-"&amp;TEXT(B11033,"AAMMDD")&amp;"-1")</f>
        <v/>
      </c>
    </row>
    <row r="11034" spans="20:20">
      <c r="T11034" t="str">
        <f>IF(C11034="","",UPPER(LEFT(SUBSTITUTE(C11034," ",""),3))&amp;"-"&amp;TEXT(B11034,"AAMMDD")&amp;"-1")</f>
        <v/>
      </c>
    </row>
    <row r="11035" spans="20:20">
      <c r="T11035" t="str">
        <f>IF(C11035="","",UPPER(LEFT(SUBSTITUTE(C11035," ",""),3))&amp;"-"&amp;TEXT(B11035,"AAMMDD")&amp;"-1")</f>
        <v/>
      </c>
    </row>
    <row r="11036" spans="20:20">
      <c r="T11036" t="str">
        <f>IF(C11036="","",UPPER(LEFT(SUBSTITUTE(C11036," ",""),3))&amp;"-"&amp;TEXT(B11036,"AAMMDD")&amp;"-1")</f>
        <v/>
      </c>
    </row>
    <row r="11037" spans="20:20">
      <c r="T11037" t="str">
        <f>IF(C11037="","",UPPER(LEFT(SUBSTITUTE(C11037," ",""),3))&amp;"-"&amp;TEXT(B11037,"AAMMDD")&amp;"-1")</f>
        <v/>
      </c>
    </row>
    <row r="11038" spans="20:20">
      <c r="T11038" t="str">
        <f>IF(C11038="","",UPPER(LEFT(SUBSTITUTE(C11038," ",""),3))&amp;"-"&amp;TEXT(B11038,"AAMMDD")&amp;"-1")</f>
        <v/>
      </c>
    </row>
    <row r="11039" spans="20:20">
      <c r="T11039" t="str">
        <f>IF(C11039="","",UPPER(LEFT(SUBSTITUTE(C11039," ",""),3))&amp;"-"&amp;TEXT(B11039,"AAMMDD")&amp;"-1")</f>
        <v/>
      </c>
    </row>
    <row r="11040" spans="20:20">
      <c r="T11040" t="str">
        <f>IF(C11040="","",UPPER(LEFT(SUBSTITUTE(C11040," ",""),3))&amp;"-"&amp;TEXT(B11040,"AAMMDD")&amp;"-1")</f>
        <v/>
      </c>
    </row>
    <row r="11041" spans="20:20">
      <c r="T11041" t="str">
        <f>IF(C11041="","",UPPER(LEFT(SUBSTITUTE(C11041," ",""),3))&amp;"-"&amp;TEXT(B11041,"AAMMDD")&amp;"-1")</f>
        <v/>
      </c>
    </row>
    <row r="11042" spans="20:20">
      <c r="T11042" t="str">
        <f>IF(C11042="","",UPPER(LEFT(SUBSTITUTE(C11042," ",""),3))&amp;"-"&amp;TEXT(B11042,"AAMMDD")&amp;"-1")</f>
        <v/>
      </c>
    </row>
    <row r="11043" spans="20:20">
      <c r="T11043" t="str">
        <f>IF(C11043="","",UPPER(LEFT(SUBSTITUTE(C11043," ",""),3))&amp;"-"&amp;TEXT(B11043,"AAMMDD")&amp;"-1")</f>
        <v/>
      </c>
    </row>
    <row r="11044" spans="20:20">
      <c r="T11044" t="str">
        <f>IF(C11044="","",UPPER(LEFT(SUBSTITUTE(C11044," ",""),3))&amp;"-"&amp;TEXT(B11044,"AAMMDD")&amp;"-1")</f>
        <v/>
      </c>
    </row>
    <row r="11045" spans="20:20">
      <c r="T11045" t="str">
        <f>IF(C11045="","",UPPER(LEFT(SUBSTITUTE(C11045," ",""),3))&amp;"-"&amp;TEXT(B11045,"AAMMDD")&amp;"-1")</f>
        <v/>
      </c>
    </row>
    <row r="11046" spans="20:20">
      <c r="T11046" t="str">
        <f>IF(C11046="","",UPPER(LEFT(SUBSTITUTE(C11046," ",""),3))&amp;"-"&amp;TEXT(B11046,"AAMMDD")&amp;"-1")</f>
        <v/>
      </c>
    </row>
    <row r="11047" spans="20:20">
      <c r="T11047" t="str">
        <f>IF(C11047="","",UPPER(LEFT(SUBSTITUTE(C11047," ",""),3))&amp;"-"&amp;TEXT(B11047,"AAMMDD")&amp;"-1")</f>
        <v/>
      </c>
    </row>
    <row r="11048" spans="20:20">
      <c r="T11048" t="str">
        <f>IF(C11048="","",UPPER(LEFT(SUBSTITUTE(C11048," ",""),3))&amp;"-"&amp;TEXT(B11048,"AAMMDD")&amp;"-1")</f>
        <v/>
      </c>
    </row>
    <row r="11049" spans="20:20">
      <c r="T11049" t="str">
        <f>IF(C11049="","",UPPER(LEFT(SUBSTITUTE(C11049," ",""),3))&amp;"-"&amp;TEXT(B11049,"AAMMDD")&amp;"-1")</f>
        <v/>
      </c>
    </row>
    <row r="11050" spans="20:20">
      <c r="T11050" t="str">
        <f>IF(C11050="","",UPPER(LEFT(SUBSTITUTE(C11050," ",""),3))&amp;"-"&amp;TEXT(B11050,"AAMMDD")&amp;"-1")</f>
        <v/>
      </c>
    </row>
    <row r="11051" spans="20:20">
      <c r="T11051" t="str">
        <f>IF(C11051="","",UPPER(LEFT(SUBSTITUTE(C11051," ",""),3))&amp;"-"&amp;TEXT(B11051,"AAMMDD")&amp;"-1")</f>
        <v/>
      </c>
    </row>
    <row r="11052" spans="20:20">
      <c r="T11052" t="str">
        <f>IF(C11052="","",UPPER(LEFT(SUBSTITUTE(C11052," ",""),3))&amp;"-"&amp;TEXT(B11052,"AAMMDD")&amp;"-1")</f>
        <v/>
      </c>
    </row>
    <row r="11053" spans="20:20">
      <c r="T11053" t="str">
        <f>IF(C11053="","",UPPER(LEFT(SUBSTITUTE(C11053," ",""),3))&amp;"-"&amp;TEXT(B11053,"AAMMDD")&amp;"-1")</f>
        <v/>
      </c>
    </row>
    <row r="11054" spans="20:20">
      <c r="T11054" t="str">
        <f>IF(C11054="","",UPPER(LEFT(SUBSTITUTE(C11054," ",""),3))&amp;"-"&amp;TEXT(B11054,"AAMMDD")&amp;"-1")</f>
        <v/>
      </c>
    </row>
    <row r="11055" spans="20:20">
      <c r="T11055" t="str">
        <f>IF(C11055="","",UPPER(LEFT(SUBSTITUTE(C11055," ",""),3))&amp;"-"&amp;TEXT(B11055,"AAMMDD")&amp;"-1")</f>
        <v/>
      </c>
    </row>
    <row r="11056" spans="20:20">
      <c r="T11056" t="str">
        <f>IF(C11056="","",UPPER(LEFT(SUBSTITUTE(C11056," ",""),3))&amp;"-"&amp;TEXT(B11056,"AAMMDD")&amp;"-1")</f>
        <v/>
      </c>
    </row>
    <row r="11057" spans="20:20">
      <c r="T11057" t="str">
        <f>IF(C11057="","",UPPER(LEFT(SUBSTITUTE(C11057," ",""),3))&amp;"-"&amp;TEXT(B11057,"AAMMDD")&amp;"-1")</f>
        <v/>
      </c>
    </row>
    <row r="11058" spans="20:20">
      <c r="T11058" t="str">
        <f>IF(C11058="","",UPPER(LEFT(SUBSTITUTE(C11058," ",""),3))&amp;"-"&amp;TEXT(B11058,"AAMMDD")&amp;"-1")</f>
        <v/>
      </c>
    </row>
    <row r="11059" spans="20:20">
      <c r="T11059" t="str">
        <f>IF(C11059="","",UPPER(LEFT(SUBSTITUTE(C11059," ",""),3))&amp;"-"&amp;TEXT(B11059,"AAMMDD")&amp;"-1")</f>
        <v/>
      </c>
    </row>
    <row r="11060" spans="20:20">
      <c r="T11060" t="str">
        <f>IF(C11060="","",UPPER(LEFT(SUBSTITUTE(C11060," ",""),3))&amp;"-"&amp;TEXT(B11060,"AAMMDD")&amp;"-1")</f>
        <v/>
      </c>
    </row>
    <row r="11061" spans="20:20">
      <c r="T11061" t="str">
        <f>IF(C11061="","",UPPER(LEFT(SUBSTITUTE(C11061," ",""),3))&amp;"-"&amp;TEXT(B11061,"AAMMDD")&amp;"-1")</f>
        <v/>
      </c>
    </row>
    <row r="11062" spans="20:20">
      <c r="T11062" t="str">
        <f>IF(C11062="","",UPPER(LEFT(SUBSTITUTE(C11062," ",""),3))&amp;"-"&amp;TEXT(B11062,"AAMMDD")&amp;"-1")</f>
        <v/>
      </c>
    </row>
    <row r="11063" spans="20:20">
      <c r="T11063" t="str">
        <f>IF(C11063="","",UPPER(LEFT(SUBSTITUTE(C11063," ",""),3))&amp;"-"&amp;TEXT(B11063,"AAMMDD")&amp;"-1")</f>
        <v/>
      </c>
    </row>
    <row r="11064" spans="20:20">
      <c r="T11064" t="str">
        <f>IF(C11064="","",UPPER(LEFT(SUBSTITUTE(C11064," ",""),3))&amp;"-"&amp;TEXT(B11064,"AAMMDD")&amp;"-1")</f>
        <v/>
      </c>
    </row>
    <row r="11065" spans="20:20">
      <c r="T11065" t="str">
        <f>IF(C11065="","",UPPER(LEFT(SUBSTITUTE(C11065," ",""),3))&amp;"-"&amp;TEXT(B11065,"AAMMDD")&amp;"-1")</f>
        <v/>
      </c>
    </row>
    <row r="11066" spans="20:20">
      <c r="T11066" t="str">
        <f>IF(C11066="","",UPPER(LEFT(SUBSTITUTE(C11066," ",""),3))&amp;"-"&amp;TEXT(B11066,"AAMMDD")&amp;"-1")</f>
        <v/>
      </c>
    </row>
    <row r="11067" spans="20:20">
      <c r="T11067" t="str">
        <f>IF(C11067="","",UPPER(LEFT(SUBSTITUTE(C11067," ",""),3))&amp;"-"&amp;TEXT(B11067,"AAMMDD")&amp;"-1")</f>
        <v/>
      </c>
    </row>
    <row r="11068" spans="20:20">
      <c r="T11068" t="str">
        <f>IF(C11068="","",UPPER(LEFT(SUBSTITUTE(C11068," ",""),3))&amp;"-"&amp;TEXT(B11068,"AAMMDD")&amp;"-1")</f>
        <v/>
      </c>
    </row>
    <row r="11069" spans="20:20">
      <c r="T11069" t="str">
        <f>IF(C11069="","",UPPER(LEFT(SUBSTITUTE(C11069," ",""),3))&amp;"-"&amp;TEXT(B11069,"AAMMDD")&amp;"-1")</f>
        <v/>
      </c>
    </row>
    <row r="11070" spans="20:20">
      <c r="T11070" t="str">
        <f>IF(C11070="","",UPPER(LEFT(SUBSTITUTE(C11070," ",""),3))&amp;"-"&amp;TEXT(B11070,"AAMMDD")&amp;"-1")</f>
        <v/>
      </c>
    </row>
    <row r="11071" spans="20:20">
      <c r="T11071" t="str">
        <f>IF(C11071="","",UPPER(LEFT(SUBSTITUTE(C11071," ",""),3))&amp;"-"&amp;TEXT(B11071,"AAMMDD")&amp;"-1")</f>
        <v/>
      </c>
    </row>
    <row r="11072" spans="20:20">
      <c r="T11072" t="str">
        <f>IF(C11072="","",UPPER(LEFT(SUBSTITUTE(C11072," ",""),3))&amp;"-"&amp;TEXT(B11072,"AAMMDD")&amp;"-1")</f>
        <v/>
      </c>
    </row>
    <row r="11073" spans="20:20">
      <c r="T11073" t="str">
        <f>IF(C11073="","",UPPER(LEFT(SUBSTITUTE(C11073," ",""),3))&amp;"-"&amp;TEXT(B11073,"AAMMDD")&amp;"-1")</f>
        <v/>
      </c>
    </row>
    <row r="11074" spans="20:20">
      <c r="T11074" t="str">
        <f>IF(C11074="","",UPPER(LEFT(SUBSTITUTE(C11074," ",""),3))&amp;"-"&amp;TEXT(B11074,"AAMMDD")&amp;"-1")</f>
        <v/>
      </c>
    </row>
    <row r="11075" spans="20:20">
      <c r="T11075" t="str">
        <f>IF(C11075="","",UPPER(LEFT(SUBSTITUTE(C11075," ",""),3))&amp;"-"&amp;TEXT(B11075,"AAMMDD")&amp;"-1")</f>
        <v/>
      </c>
    </row>
    <row r="11076" spans="20:20">
      <c r="T11076" t="str">
        <f>IF(C11076="","",UPPER(LEFT(SUBSTITUTE(C11076," ",""),3))&amp;"-"&amp;TEXT(B11076,"AAMMDD")&amp;"-1")</f>
        <v/>
      </c>
    </row>
    <row r="11077" spans="20:20">
      <c r="T11077" t="str">
        <f>IF(C11077="","",UPPER(LEFT(SUBSTITUTE(C11077," ",""),3))&amp;"-"&amp;TEXT(B11077,"AAMMDD")&amp;"-1")</f>
        <v/>
      </c>
    </row>
    <row r="11078" spans="20:20">
      <c r="T11078" t="str">
        <f>IF(C11078="","",UPPER(LEFT(SUBSTITUTE(C11078," ",""),3))&amp;"-"&amp;TEXT(B11078,"AAMMDD")&amp;"-1")</f>
        <v/>
      </c>
    </row>
    <row r="11079" spans="20:20">
      <c r="T11079" t="str">
        <f>IF(C11079="","",UPPER(LEFT(SUBSTITUTE(C11079," ",""),3))&amp;"-"&amp;TEXT(B11079,"AAMMDD")&amp;"-1")</f>
        <v/>
      </c>
    </row>
    <row r="11080" spans="20:20">
      <c r="T11080" t="str">
        <f>IF(C11080="","",UPPER(LEFT(SUBSTITUTE(C11080," ",""),3))&amp;"-"&amp;TEXT(B11080,"AAMMDD")&amp;"-1")</f>
        <v/>
      </c>
    </row>
    <row r="11081" spans="20:20">
      <c r="T11081" t="str">
        <f>IF(C11081="","",UPPER(LEFT(SUBSTITUTE(C11081," ",""),3))&amp;"-"&amp;TEXT(B11081,"AAMMDD")&amp;"-1")</f>
        <v/>
      </c>
    </row>
    <row r="11082" spans="20:20">
      <c r="T11082" t="str">
        <f>IF(C11082="","",UPPER(LEFT(SUBSTITUTE(C11082," ",""),3))&amp;"-"&amp;TEXT(B11082,"AAMMDD")&amp;"-1")</f>
        <v/>
      </c>
    </row>
    <row r="11083" spans="20:20">
      <c r="T11083" t="str">
        <f>IF(C11083="","",UPPER(LEFT(SUBSTITUTE(C11083," ",""),3))&amp;"-"&amp;TEXT(B11083,"AAMMDD")&amp;"-1")</f>
        <v/>
      </c>
    </row>
    <row r="11084" spans="20:20">
      <c r="T11084" t="str">
        <f>IF(C11084="","",UPPER(LEFT(SUBSTITUTE(C11084," ",""),3))&amp;"-"&amp;TEXT(B11084,"AAMMDD")&amp;"-1")</f>
        <v/>
      </c>
    </row>
    <row r="11085" spans="20:20">
      <c r="T11085" t="str">
        <f>IF(C11085="","",UPPER(LEFT(SUBSTITUTE(C11085," ",""),3))&amp;"-"&amp;TEXT(B11085,"AAMMDD")&amp;"-1")</f>
        <v/>
      </c>
    </row>
    <row r="11086" spans="20:20">
      <c r="T11086" t="str">
        <f>IF(C11086="","",UPPER(LEFT(SUBSTITUTE(C11086," ",""),3))&amp;"-"&amp;TEXT(B11086,"AAMMDD")&amp;"-1")</f>
        <v/>
      </c>
    </row>
    <row r="11087" spans="20:20">
      <c r="T11087" t="str">
        <f>IF(C11087="","",UPPER(LEFT(SUBSTITUTE(C11087," ",""),3))&amp;"-"&amp;TEXT(B11087,"AAMMDD")&amp;"-1")</f>
        <v/>
      </c>
    </row>
    <row r="11088" spans="20:20">
      <c r="T11088" t="str">
        <f>IF(C11088="","",UPPER(LEFT(SUBSTITUTE(C11088," ",""),3))&amp;"-"&amp;TEXT(B11088,"AAMMDD")&amp;"-1")</f>
        <v/>
      </c>
    </row>
    <row r="11089" spans="20:20">
      <c r="T11089" t="str">
        <f>IF(C11089="","",UPPER(LEFT(SUBSTITUTE(C11089," ",""),3))&amp;"-"&amp;TEXT(B11089,"AAMMDD")&amp;"-1")</f>
        <v/>
      </c>
    </row>
    <row r="11090" spans="20:20">
      <c r="T11090" t="str">
        <f>IF(C11090="","",UPPER(LEFT(SUBSTITUTE(C11090," ",""),3))&amp;"-"&amp;TEXT(B11090,"AAMMDD")&amp;"-1")</f>
        <v/>
      </c>
    </row>
    <row r="11091" spans="20:20">
      <c r="T11091" t="str">
        <f>IF(C11091="","",UPPER(LEFT(SUBSTITUTE(C11091," ",""),3))&amp;"-"&amp;TEXT(B11091,"AAMMDD")&amp;"-1")</f>
        <v/>
      </c>
    </row>
    <row r="11092" spans="20:20">
      <c r="T11092" t="str">
        <f>IF(C11092="","",UPPER(LEFT(SUBSTITUTE(C11092," ",""),3))&amp;"-"&amp;TEXT(B11092,"AAMMDD")&amp;"-1")</f>
        <v/>
      </c>
    </row>
    <row r="11093" spans="20:20">
      <c r="T11093" t="str">
        <f>IF(C11093="","",UPPER(LEFT(SUBSTITUTE(C11093," ",""),3))&amp;"-"&amp;TEXT(B11093,"AAMMDD")&amp;"-1")</f>
        <v/>
      </c>
    </row>
    <row r="11094" spans="20:20">
      <c r="T11094" t="str">
        <f>IF(C11094="","",UPPER(LEFT(SUBSTITUTE(C11094," ",""),3))&amp;"-"&amp;TEXT(B11094,"AAMMDD")&amp;"-1")</f>
        <v/>
      </c>
    </row>
    <row r="11095" spans="20:20">
      <c r="T11095" t="str">
        <f>IF(C11095="","",UPPER(LEFT(SUBSTITUTE(C11095," ",""),3))&amp;"-"&amp;TEXT(B11095,"AAMMDD")&amp;"-1")</f>
        <v/>
      </c>
    </row>
    <row r="11096" spans="20:20">
      <c r="T11096" t="str">
        <f>IF(C11096="","",UPPER(LEFT(SUBSTITUTE(C11096," ",""),3))&amp;"-"&amp;TEXT(B11096,"AAMMDD")&amp;"-1")</f>
        <v/>
      </c>
    </row>
    <row r="11097" spans="20:20">
      <c r="T11097" t="str">
        <f>IF(C11097="","",UPPER(LEFT(SUBSTITUTE(C11097," ",""),3))&amp;"-"&amp;TEXT(B11097,"AAMMDD")&amp;"-1")</f>
        <v/>
      </c>
    </row>
    <row r="11098" spans="20:20">
      <c r="T11098" t="str">
        <f>IF(C11098="","",UPPER(LEFT(SUBSTITUTE(C11098," ",""),3))&amp;"-"&amp;TEXT(B11098,"AAMMDD")&amp;"-1")</f>
        <v/>
      </c>
    </row>
    <row r="11099" spans="20:20">
      <c r="T11099" t="str">
        <f>IF(C11099="","",UPPER(LEFT(SUBSTITUTE(C11099," ",""),3))&amp;"-"&amp;TEXT(B11099,"AAMMDD")&amp;"-1")</f>
        <v/>
      </c>
    </row>
    <row r="11100" spans="20:20">
      <c r="T11100" t="str">
        <f>IF(C11100="","",UPPER(LEFT(SUBSTITUTE(C11100," ",""),3))&amp;"-"&amp;TEXT(B11100,"AAMMDD")&amp;"-1")</f>
        <v/>
      </c>
    </row>
    <row r="11101" spans="20:20">
      <c r="T11101" t="str">
        <f>IF(C11101="","",UPPER(LEFT(SUBSTITUTE(C11101," ",""),3))&amp;"-"&amp;TEXT(B11101,"AAMMDD")&amp;"-1")</f>
        <v/>
      </c>
    </row>
    <row r="11102" spans="20:20">
      <c r="T11102" t="str">
        <f>IF(C11102="","",UPPER(LEFT(SUBSTITUTE(C11102," ",""),3))&amp;"-"&amp;TEXT(B11102,"AAMMDD")&amp;"-1")</f>
        <v/>
      </c>
    </row>
    <row r="11103" spans="20:20">
      <c r="T11103" t="str">
        <f>IF(C11103="","",UPPER(LEFT(SUBSTITUTE(C11103," ",""),3))&amp;"-"&amp;TEXT(B11103,"AAMMDD")&amp;"-1")</f>
        <v/>
      </c>
    </row>
    <row r="11104" spans="20:20">
      <c r="T11104" t="str">
        <f>IF(C11104="","",UPPER(LEFT(SUBSTITUTE(C11104," ",""),3))&amp;"-"&amp;TEXT(B11104,"AAMMDD")&amp;"-1")</f>
        <v/>
      </c>
    </row>
    <row r="11105" spans="20:20">
      <c r="T11105" t="str">
        <f>IF(C11105="","",UPPER(LEFT(SUBSTITUTE(C11105," ",""),3))&amp;"-"&amp;TEXT(B11105,"AAMMDD")&amp;"-1")</f>
        <v/>
      </c>
    </row>
    <row r="11106" spans="20:20">
      <c r="T11106" t="str">
        <f>IF(C11106="","",UPPER(LEFT(SUBSTITUTE(C11106," ",""),3))&amp;"-"&amp;TEXT(B11106,"AAMMDD")&amp;"-1")</f>
        <v/>
      </c>
    </row>
    <row r="11107" spans="20:20">
      <c r="T11107" t="str">
        <f>IF(C11107="","",UPPER(LEFT(SUBSTITUTE(C11107," ",""),3))&amp;"-"&amp;TEXT(B11107,"AAMMDD")&amp;"-1")</f>
        <v/>
      </c>
    </row>
    <row r="11108" spans="20:20">
      <c r="T11108" t="str">
        <f>IF(C11108="","",UPPER(LEFT(SUBSTITUTE(C11108," ",""),3))&amp;"-"&amp;TEXT(B11108,"AAMMDD")&amp;"-1")</f>
        <v/>
      </c>
    </row>
    <row r="11109" spans="20:20">
      <c r="T11109" t="str">
        <f>IF(C11109="","",UPPER(LEFT(SUBSTITUTE(C11109," ",""),3))&amp;"-"&amp;TEXT(B11109,"AAMMDD")&amp;"-1")</f>
        <v/>
      </c>
    </row>
    <row r="11110" spans="20:20">
      <c r="T11110" t="str">
        <f>IF(C11110="","",UPPER(LEFT(SUBSTITUTE(C11110," ",""),3))&amp;"-"&amp;TEXT(B11110,"AAMMDD")&amp;"-1")</f>
        <v/>
      </c>
    </row>
    <row r="11111" spans="20:20">
      <c r="T11111" t="str">
        <f>IF(C11111="","",UPPER(LEFT(SUBSTITUTE(C11111," ",""),3))&amp;"-"&amp;TEXT(B11111,"AAMMDD")&amp;"-1")</f>
        <v/>
      </c>
    </row>
    <row r="11112" spans="20:20">
      <c r="T11112" t="str">
        <f>IF(C11112="","",UPPER(LEFT(SUBSTITUTE(C11112," ",""),3))&amp;"-"&amp;TEXT(B11112,"AAMMDD")&amp;"-1")</f>
        <v/>
      </c>
    </row>
    <row r="11113" spans="20:20">
      <c r="T11113" t="str">
        <f>IF(C11113="","",UPPER(LEFT(SUBSTITUTE(C11113," ",""),3))&amp;"-"&amp;TEXT(B11113,"AAMMDD")&amp;"-1")</f>
        <v/>
      </c>
    </row>
    <row r="11114" spans="20:20">
      <c r="T11114" t="str">
        <f>IF(C11114="","",UPPER(LEFT(SUBSTITUTE(C11114," ",""),3))&amp;"-"&amp;TEXT(B11114,"AAMMDD")&amp;"-1")</f>
        <v/>
      </c>
    </row>
    <row r="11115" spans="20:20">
      <c r="T11115" t="str">
        <f>IF(C11115="","",UPPER(LEFT(SUBSTITUTE(C11115," ",""),3))&amp;"-"&amp;TEXT(B11115,"AAMMDD")&amp;"-1")</f>
        <v/>
      </c>
    </row>
    <row r="11116" spans="20:20">
      <c r="T11116" t="str">
        <f>IF(C11116="","",UPPER(LEFT(SUBSTITUTE(C11116," ",""),3))&amp;"-"&amp;TEXT(B11116,"AAMMDD")&amp;"-1")</f>
        <v/>
      </c>
    </row>
    <row r="11117" spans="20:20">
      <c r="T11117" t="str">
        <f>IF(C11117="","",UPPER(LEFT(SUBSTITUTE(C11117," ",""),3))&amp;"-"&amp;TEXT(B11117,"AAMMDD")&amp;"-1")</f>
        <v/>
      </c>
    </row>
    <row r="11118" spans="20:20">
      <c r="T11118" t="str">
        <f>IF(C11118="","",UPPER(LEFT(SUBSTITUTE(C11118," ",""),3))&amp;"-"&amp;TEXT(B11118,"AAMMDD")&amp;"-1")</f>
        <v/>
      </c>
    </row>
    <row r="11119" spans="20:20">
      <c r="T11119" t="str">
        <f>IF(C11119="","",UPPER(LEFT(SUBSTITUTE(C11119," ",""),3))&amp;"-"&amp;TEXT(B11119,"AAMMDD")&amp;"-1")</f>
        <v/>
      </c>
    </row>
    <row r="11120" spans="20:20">
      <c r="T11120" t="str">
        <f>IF(C11120="","",UPPER(LEFT(SUBSTITUTE(C11120," ",""),3))&amp;"-"&amp;TEXT(B11120,"AAMMDD")&amp;"-1")</f>
        <v/>
      </c>
    </row>
    <row r="11121" spans="20:20">
      <c r="T11121" t="str">
        <f>IF(C11121="","",UPPER(LEFT(SUBSTITUTE(C11121," ",""),3))&amp;"-"&amp;TEXT(B11121,"AAMMDD")&amp;"-1")</f>
        <v/>
      </c>
    </row>
    <row r="11122" spans="20:20">
      <c r="T11122" t="str">
        <f>IF(C11122="","",UPPER(LEFT(SUBSTITUTE(C11122," ",""),3))&amp;"-"&amp;TEXT(B11122,"AAMMDD")&amp;"-1")</f>
        <v/>
      </c>
    </row>
    <row r="11123" spans="20:20">
      <c r="T11123" t="str">
        <f>IF(C11123="","",UPPER(LEFT(SUBSTITUTE(C11123," ",""),3))&amp;"-"&amp;TEXT(B11123,"AAMMDD")&amp;"-1")</f>
        <v/>
      </c>
    </row>
    <row r="11124" spans="20:20">
      <c r="T11124" t="str">
        <f>IF(C11124="","",UPPER(LEFT(SUBSTITUTE(C11124," ",""),3))&amp;"-"&amp;TEXT(B11124,"AAMMDD")&amp;"-1")</f>
        <v/>
      </c>
    </row>
    <row r="11125" spans="20:20">
      <c r="T11125" t="str">
        <f>IF(C11125="","",UPPER(LEFT(SUBSTITUTE(C11125," ",""),3))&amp;"-"&amp;TEXT(B11125,"AAMMDD")&amp;"-1")</f>
        <v/>
      </c>
    </row>
    <row r="11126" spans="20:20">
      <c r="T11126" t="str">
        <f>IF(C11126="","",UPPER(LEFT(SUBSTITUTE(C11126," ",""),3))&amp;"-"&amp;TEXT(B11126,"AAMMDD")&amp;"-1")</f>
        <v/>
      </c>
    </row>
    <row r="11127" spans="20:20">
      <c r="T11127" t="str">
        <f>IF(C11127="","",UPPER(LEFT(SUBSTITUTE(C11127," ",""),3))&amp;"-"&amp;TEXT(B11127,"AAMMDD")&amp;"-1")</f>
        <v/>
      </c>
    </row>
    <row r="11128" spans="20:20">
      <c r="T11128" t="str">
        <f>IF(C11128="","",UPPER(LEFT(SUBSTITUTE(C11128," ",""),3))&amp;"-"&amp;TEXT(B11128,"AAMMDD")&amp;"-1")</f>
        <v/>
      </c>
    </row>
    <row r="11129" spans="20:20">
      <c r="T11129" t="str">
        <f>IF(C11129="","",UPPER(LEFT(SUBSTITUTE(C11129," ",""),3))&amp;"-"&amp;TEXT(B11129,"AAMMDD")&amp;"-1")</f>
        <v/>
      </c>
    </row>
    <row r="11130" spans="20:20">
      <c r="T11130" t="str">
        <f>IF(C11130="","",UPPER(LEFT(SUBSTITUTE(C11130," ",""),3))&amp;"-"&amp;TEXT(B11130,"AAMMDD")&amp;"-1")</f>
        <v/>
      </c>
    </row>
    <row r="11131" spans="20:20">
      <c r="T11131" t="str">
        <f>IF(C11131="","",UPPER(LEFT(SUBSTITUTE(C11131," ",""),3))&amp;"-"&amp;TEXT(B11131,"AAMMDD")&amp;"-1")</f>
        <v/>
      </c>
    </row>
    <row r="11132" spans="20:20">
      <c r="T11132" t="str">
        <f>IF(C11132="","",UPPER(LEFT(SUBSTITUTE(C11132," ",""),3))&amp;"-"&amp;TEXT(B11132,"AAMMDD")&amp;"-1")</f>
        <v/>
      </c>
    </row>
    <row r="11133" spans="20:20">
      <c r="T11133" t="str">
        <f>IF(C11133="","",UPPER(LEFT(SUBSTITUTE(C11133," ",""),3))&amp;"-"&amp;TEXT(B11133,"AAMMDD")&amp;"-1")</f>
        <v/>
      </c>
    </row>
    <row r="11134" spans="20:20">
      <c r="T11134" t="str">
        <f>IF(C11134="","",UPPER(LEFT(SUBSTITUTE(C11134," ",""),3))&amp;"-"&amp;TEXT(B11134,"AAMMDD")&amp;"-1")</f>
        <v/>
      </c>
    </row>
    <row r="11135" spans="20:20">
      <c r="T11135" t="str">
        <f>IF(C11135="","",UPPER(LEFT(SUBSTITUTE(C11135," ",""),3))&amp;"-"&amp;TEXT(B11135,"AAMMDD")&amp;"-1")</f>
        <v/>
      </c>
    </row>
    <row r="11136" spans="20:20">
      <c r="T11136" t="str">
        <f>IF(C11136="","",UPPER(LEFT(SUBSTITUTE(C11136," ",""),3))&amp;"-"&amp;TEXT(B11136,"AAMMDD")&amp;"-1")</f>
        <v/>
      </c>
    </row>
    <row r="11137" spans="20:20">
      <c r="T11137" t="str">
        <f>IF(C11137="","",UPPER(LEFT(SUBSTITUTE(C11137," ",""),3))&amp;"-"&amp;TEXT(B11137,"AAMMDD")&amp;"-1")</f>
        <v/>
      </c>
    </row>
    <row r="11138" spans="20:20">
      <c r="T11138" t="str">
        <f>IF(C11138="","",UPPER(LEFT(SUBSTITUTE(C11138," ",""),3))&amp;"-"&amp;TEXT(B11138,"AAMMDD")&amp;"-1")</f>
        <v/>
      </c>
    </row>
    <row r="11139" spans="20:20">
      <c r="T11139" t="str">
        <f>IF(C11139="","",UPPER(LEFT(SUBSTITUTE(C11139," ",""),3))&amp;"-"&amp;TEXT(B11139,"AAMMDD")&amp;"-1")</f>
        <v/>
      </c>
    </row>
    <row r="11140" spans="20:20">
      <c r="T11140" t="str">
        <f>IF(C11140="","",UPPER(LEFT(SUBSTITUTE(C11140," ",""),3))&amp;"-"&amp;TEXT(B11140,"AAMMDD")&amp;"-1")</f>
        <v/>
      </c>
    </row>
    <row r="11141" spans="20:20">
      <c r="T11141" t="str">
        <f>IF(C11141="","",UPPER(LEFT(SUBSTITUTE(C11141," ",""),3))&amp;"-"&amp;TEXT(B11141,"AAMMDD")&amp;"-1")</f>
        <v/>
      </c>
    </row>
    <row r="11142" spans="20:20">
      <c r="T11142" t="str">
        <f>IF(C11142="","",UPPER(LEFT(SUBSTITUTE(C11142," ",""),3))&amp;"-"&amp;TEXT(B11142,"AAMMDD")&amp;"-1")</f>
        <v/>
      </c>
    </row>
    <row r="11143" spans="20:20">
      <c r="T11143" t="str">
        <f>IF(C11143="","",UPPER(LEFT(SUBSTITUTE(C11143," ",""),3))&amp;"-"&amp;TEXT(B11143,"AAMMDD")&amp;"-1")</f>
        <v/>
      </c>
    </row>
    <row r="11144" spans="20:20">
      <c r="T11144" t="str">
        <f>IF(C11144="","",UPPER(LEFT(SUBSTITUTE(C11144," ",""),3))&amp;"-"&amp;TEXT(B11144,"AAMMDD")&amp;"-1")</f>
        <v/>
      </c>
    </row>
    <row r="11145" spans="20:20">
      <c r="T11145" t="str">
        <f>IF(C11145="","",UPPER(LEFT(SUBSTITUTE(C11145," ",""),3))&amp;"-"&amp;TEXT(B11145,"AAMMDD")&amp;"-1")</f>
        <v/>
      </c>
    </row>
    <row r="11146" spans="20:20">
      <c r="T11146" t="str">
        <f>IF(C11146="","",UPPER(LEFT(SUBSTITUTE(C11146," ",""),3))&amp;"-"&amp;TEXT(B11146,"AAMMDD")&amp;"-1")</f>
        <v/>
      </c>
    </row>
    <row r="11147" spans="20:20">
      <c r="T11147" t="str">
        <f>IF(C11147="","",UPPER(LEFT(SUBSTITUTE(C11147," ",""),3))&amp;"-"&amp;TEXT(B11147,"AAMMDD")&amp;"-1")</f>
        <v/>
      </c>
    </row>
    <row r="11148" spans="20:20">
      <c r="T11148" t="str">
        <f>IF(C11148="","",UPPER(LEFT(SUBSTITUTE(C11148," ",""),3))&amp;"-"&amp;TEXT(B11148,"AAMMDD")&amp;"-1")</f>
        <v/>
      </c>
    </row>
    <row r="11149" spans="20:20">
      <c r="T11149" t="str">
        <f>IF(C11149="","",UPPER(LEFT(SUBSTITUTE(C11149," ",""),3))&amp;"-"&amp;TEXT(B11149,"AAMMDD")&amp;"-1")</f>
        <v/>
      </c>
    </row>
    <row r="11150" spans="20:20">
      <c r="T11150" t="str">
        <f>IF(C11150="","",UPPER(LEFT(SUBSTITUTE(C11150," ",""),3))&amp;"-"&amp;TEXT(B11150,"AAMMDD")&amp;"-1")</f>
        <v/>
      </c>
    </row>
    <row r="11151" spans="20:20">
      <c r="T11151" t="str">
        <f>IF(C11151="","",UPPER(LEFT(SUBSTITUTE(C11151," ",""),3))&amp;"-"&amp;TEXT(B11151,"AAMMDD")&amp;"-1")</f>
        <v/>
      </c>
    </row>
    <row r="11152" spans="20:20">
      <c r="T11152" t="str">
        <f>IF(C11152="","",UPPER(LEFT(SUBSTITUTE(C11152," ",""),3))&amp;"-"&amp;TEXT(B11152,"AAMMDD")&amp;"-1")</f>
        <v/>
      </c>
    </row>
    <row r="11153" spans="20:20">
      <c r="T11153" t="str">
        <f>IF(C11153="","",UPPER(LEFT(SUBSTITUTE(C11153," ",""),3))&amp;"-"&amp;TEXT(B11153,"AAMMDD")&amp;"-1")</f>
        <v/>
      </c>
    </row>
    <row r="11154" spans="20:20">
      <c r="T11154" t="str">
        <f>IF(C11154="","",UPPER(LEFT(SUBSTITUTE(C11154," ",""),3))&amp;"-"&amp;TEXT(B11154,"AAMMDD")&amp;"-1")</f>
        <v/>
      </c>
    </row>
    <row r="11155" spans="20:20">
      <c r="T11155" t="str">
        <f>IF(C11155="","",UPPER(LEFT(SUBSTITUTE(C11155," ",""),3))&amp;"-"&amp;TEXT(B11155,"AAMMDD")&amp;"-1")</f>
        <v/>
      </c>
    </row>
    <row r="11156" spans="20:20">
      <c r="T11156" t="str">
        <f>IF(C11156="","",UPPER(LEFT(SUBSTITUTE(C11156," ",""),3))&amp;"-"&amp;TEXT(B11156,"AAMMDD")&amp;"-1")</f>
        <v/>
      </c>
    </row>
    <row r="11157" spans="20:20">
      <c r="T11157" t="str">
        <f>IF(C11157="","",UPPER(LEFT(SUBSTITUTE(C11157," ",""),3))&amp;"-"&amp;TEXT(B11157,"AAMMDD")&amp;"-1")</f>
        <v/>
      </c>
    </row>
    <row r="11158" spans="20:20">
      <c r="T11158" t="str">
        <f>IF(C11158="","",UPPER(LEFT(SUBSTITUTE(C11158," ",""),3))&amp;"-"&amp;TEXT(B11158,"AAMMDD")&amp;"-1")</f>
        <v/>
      </c>
    </row>
    <row r="11159" spans="20:20">
      <c r="T11159" t="str">
        <f>IF(C11159="","",UPPER(LEFT(SUBSTITUTE(C11159," ",""),3))&amp;"-"&amp;TEXT(B11159,"AAMMDD")&amp;"-1")</f>
        <v/>
      </c>
    </row>
    <row r="11160" spans="20:20">
      <c r="T11160" t="str">
        <f>IF(C11160="","",UPPER(LEFT(SUBSTITUTE(C11160," ",""),3))&amp;"-"&amp;TEXT(B11160,"AAMMDD")&amp;"-1")</f>
        <v/>
      </c>
    </row>
    <row r="11161" spans="20:20">
      <c r="T11161" t="str">
        <f>IF(C11161="","",UPPER(LEFT(SUBSTITUTE(C11161," ",""),3))&amp;"-"&amp;TEXT(B11161,"AAMMDD")&amp;"-1")</f>
        <v/>
      </c>
    </row>
    <row r="11162" spans="20:20">
      <c r="T11162" t="str">
        <f>IF(C11162="","",UPPER(LEFT(SUBSTITUTE(C11162," ",""),3))&amp;"-"&amp;TEXT(B11162,"AAMMDD")&amp;"-1")</f>
        <v/>
      </c>
    </row>
    <row r="11163" spans="20:20">
      <c r="T11163" t="str">
        <f>IF(C11163="","",UPPER(LEFT(SUBSTITUTE(C11163," ",""),3))&amp;"-"&amp;TEXT(B11163,"AAMMDD")&amp;"-1")</f>
        <v/>
      </c>
    </row>
    <row r="11164" spans="20:20">
      <c r="T11164" t="str">
        <f>IF(C11164="","",UPPER(LEFT(SUBSTITUTE(C11164," ",""),3))&amp;"-"&amp;TEXT(B11164,"AAMMDD")&amp;"-1")</f>
        <v/>
      </c>
    </row>
    <row r="11165" spans="20:20">
      <c r="T11165" t="str">
        <f>IF(C11165="","",UPPER(LEFT(SUBSTITUTE(C11165," ",""),3))&amp;"-"&amp;TEXT(B11165,"AAMMDD")&amp;"-1")</f>
        <v/>
      </c>
    </row>
    <row r="11166" spans="20:20">
      <c r="T11166" t="str">
        <f>IF(C11166="","",UPPER(LEFT(SUBSTITUTE(C11166," ",""),3))&amp;"-"&amp;TEXT(B11166,"AAMMDD")&amp;"-1")</f>
        <v/>
      </c>
    </row>
    <row r="11167" spans="20:20">
      <c r="T11167" t="str">
        <f>IF(C11167="","",UPPER(LEFT(SUBSTITUTE(C11167," ",""),3))&amp;"-"&amp;TEXT(B11167,"AAMMDD")&amp;"-1")</f>
        <v/>
      </c>
    </row>
    <row r="11168" spans="20:20">
      <c r="T11168" t="str">
        <f>IF(C11168="","",UPPER(LEFT(SUBSTITUTE(C11168," ",""),3))&amp;"-"&amp;TEXT(B11168,"AAMMDD")&amp;"-1")</f>
        <v/>
      </c>
    </row>
    <row r="11169" spans="20:20">
      <c r="T11169" t="str">
        <f>IF(C11169="","",UPPER(LEFT(SUBSTITUTE(C11169," ",""),3))&amp;"-"&amp;TEXT(B11169,"AAMMDD")&amp;"-1")</f>
        <v/>
      </c>
    </row>
    <row r="11170" spans="20:20">
      <c r="T11170" t="str">
        <f>IF(C11170="","",UPPER(LEFT(SUBSTITUTE(C11170," ",""),3))&amp;"-"&amp;TEXT(B11170,"AAMMDD")&amp;"-1")</f>
        <v/>
      </c>
    </row>
    <row r="11171" spans="20:20">
      <c r="T11171" t="str">
        <f>IF(C11171="","",UPPER(LEFT(SUBSTITUTE(C11171," ",""),3))&amp;"-"&amp;TEXT(B11171,"AAMMDD")&amp;"-1")</f>
        <v/>
      </c>
    </row>
    <row r="11172" spans="20:20">
      <c r="T11172" t="str">
        <f>IF(C11172="","",UPPER(LEFT(SUBSTITUTE(C11172," ",""),3))&amp;"-"&amp;TEXT(B11172,"AAMMDD")&amp;"-1")</f>
        <v/>
      </c>
    </row>
    <row r="11173" spans="20:20">
      <c r="T11173" t="str">
        <f>IF(C11173="","",UPPER(LEFT(SUBSTITUTE(C11173," ",""),3))&amp;"-"&amp;TEXT(B11173,"AAMMDD")&amp;"-1")</f>
        <v/>
      </c>
    </row>
    <row r="11174" spans="20:20">
      <c r="T11174" t="str">
        <f>IF(C11174="","",UPPER(LEFT(SUBSTITUTE(C11174," ",""),3))&amp;"-"&amp;TEXT(B11174,"AAMMDD")&amp;"-1")</f>
        <v/>
      </c>
    </row>
    <row r="11175" spans="20:20">
      <c r="T11175" t="str">
        <f>IF(C11175="","",UPPER(LEFT(SUBSTITUTE(C11175," ",""),3))&amp;"-"&amp;TEXT(B11175,"AAMMDD")&amp;"-1")</f>
        <v/>
      </c>
    </row>
    <row r="11176" spans="20:20">
      <c r="T11176" t="str">
        <f>IF(C11176="","",UPPER(LEFT(SUBSTITUTE(C11176," ",""),3))&amp;"-"&amp;TEXT(B11176,"AAMMDD")&amp;"-1")</f>
        <v/>
      </c>
    </row>
    <row r="11177" spans="20:20">
      <c r="T11177" t="str">
        <f>IF(C11177="","",UPPER(LEFT(SUBSTITUTE(C11177," ",""),3))&amp;"-"&amp;TEXT(B11177,"AAMMDD")&amp;"-1")</f>
        <v/>
      </c>
    </row>
    <row r="11178" spans="20:20">
      <c r="T11178" t="str">
        <f>IF(C11178="","",UPPER(LEFT(SUBSTITUTE(C11178," ",""),3))&amp;"-"&amp;TEXT(B11178,"AAMMDD")&amp;"-1")</f>
        <v/>
      </c>
    </row>
    <row r="11179" spans="20:20">
      <c r="T11179" t="str">
        <f>IF(C11179="","",UPPER(LEFT(SUBSTITUTE(C11179," ",""),3))&amp;"-"&amp;TEXT(B11179,"AAMMDD")&amp;"-1")</f>
        <v/>
      </c>
    </row>
    <row r="11180" spans="20:20">
      <c r="T11180" t="str">
        <f>IF(C11180="","",UPPER(LEFT(SUBSTITUTE(C11180," ",""),3))&amp;"-"&amp;TEXT(B11180,"AAMMDD")&amp;"-1")</f>
        <v/>
      </c>
    </row>
    <row r="11181" spans="20:20">
      <c r="T11181" t="str">
        <f>IF(C11181="","",UPPER(LEFT(SUBSTITUTE(C11181," ",""),3))&amp;"-"&amp;TEXT(B11181,"AAMMDD")&amp;"-1")</f>
        <v/>
      </c>
    </row>
    <row r="11182" spans="20:20">
      <c r="T11182" t="str">
        <f>IF(C11182="","",UPPER(LEFT(SUBSTITUTE(C11182," ",""),3))&amp;"-"&amp;TEXT(B11182,"AAMMDD")&amp;"-1")</f>
        <v/>
      </c>
    </row>
    <row r="11183" spans="20:20">
      <c r="T11183" t="str">
        <f>IF(C11183="","",UPPER(LEFT(SUBSTITUTE(C11183," ",""),3))&amp;"-"&amp;TEXT(B11183,"AAMMDD")&amp;"-1")</f>
        <v/>
      </c>
    </row>
    <row r="11184" spans="20:20">
      <c r="T11184" t="str">
        <f>IF(C11184="","",UPPER(LEFT(SUBSTITUTE(C11184," ",""),3))&amp;"-"&amp;TEXT(B11184,"AAMMDD")&amp;"-1")</f>
        <v/>
      </c>
    </row>
    <row r="11185" spans="20:20">
      <c r="T11185" t="str">
        <f>IF(C11185="","",UPPER(LEFT(SUBSTITUTE(C11185," ",""),3))&amp;"-"&amp;TEXT(B11185,"AAMMDD")&amp;"-1")</f>
        <v/>
      </c>
    </row>
    <row r="11186" spans="20:20">
      <c r="T11186" t="str">
        <f>IF(C11186="","",UPPER(LEFT(SUBSTITUTE(C11186," ",""),3))&amp;"-"&amp;TEXT(B11186,"AAMMDD")&amp;"-1")</f>
        <v/>
      </c>
    </row>
    <row r="11187" spans="20:20">
      <c r="T11187" t="str">
        <f>IF(C11187="","",UPPER(LEFT(SUBSTITUTE(C11187," ",""),3))&amp;"-"&amp;TEXT(B11187,"AAMMDD")&amp;"-1")</f>
        <v/>
      </c>
    </row>
    <row r="11188" spans="20:20">
      <c r="T11188" t="str">
        <f>IF(C11188="","",UPPER(LEFT(SUBSTITUTE(C11188," ",""),3))&amp;"-"&amp;TEXT(B11188,"AAMMDD")&amp;"-1")</f>
        <v/>
      </c>
    </row>
    <row r="11189" spans="20:20">
      <c r="T11189" t="str">
        <f>IF(C11189="","",UPPER(LEFT(SUBSTITUTE(C11189," ",""),3))&amp;"-"&amp;TEXT(B11189,"AAMMDD")&amp;"-1")</f>
        <v/>
      </c>
    </row>
    <row r="11190" spans="20:20">
      <c r="T11190" t="str">
        <f>IF(C11190="","",UPPER(LEFT(SUBSTITUTE(C11190," ",""),3))&amp;"-"&amp;TEXT(B11190,"AAMMDD")&amp;"-1")</f>
        <v/>
      </c>
    </row>
    <row r="11191" spans="20:20">
      <c r="T11191" t="str">
        <f>IF(C11191="","",UPPER(LEFT(SUBSTITUTE(C11191," ",""),3))&amp;"-"&amp;TEXT(B11191,"AAMMDD")&amp;"-1")</f>
        <v/>
      </c>
    </row>
    <row r="11192" spans="20:20">
      <c r="T11192" t="str">
        <f>IF(C11192="","",UPPER(LEFT(SUBSTITUTE(C11192," ",""),3))&amp;"-"&amp;TEXT(B11192,"AAMMDD")&amp;"-1")</f>
        <v/>
      </c>
    </row>
    <row r="11193" spans="20:20">
      <c r="T11193" t="str">
        <f>IF(C11193="","",UPPER(LEFT(SUBSTITUTE(C11193," ",""),3))&amp;"-"&amp;TEXT(B11193,"AAMMDD")&amp;"-1")</f>
        <v/>
      </c>
    </row>
    <row r="11194" spans="20:20">
      <c r="T11194" t="str">
        <f>IF(C11194="","",UPPER(LEFT(SUBSTITUTE(C11194," ",""),3))&amp;"-"&amp;TEXT(B11194,"AAMMDD")&amp;"-1")</f>
        <v/>
      </c>
    </row>
    <row r="11195" spans="20:20">
      <c r="T11195" t="str">
        <f>IF(C11195="","",UPPER(LEFT(SUBSTITUTE(C11195," ",""),3))&amp;"-"&amp;TEXT(B11195,"AAMMDD")&amp;"-1")</f>
        <v/>
      </c>
    </row>
    <row r="11196" spans="20:20">
      <c r="T11196" t="str">
        <f>IF(C11196="","",UPPER(LEFT(SUBSTITUTE(C11196," ",""),3))&amp;"-"&amp;TEXT(B11196,"AAMMDD")&amp;"-1")</f>
        <v/>
      </c>
    </row>
    <row r="11197" spans="20:20">
      <c r="T11197" t="str">
        <f>IF(C11197="","",UPPER(LEFT(SUBSTITUTE(C11197," ",""),3))&amp;"-"&amp;TEXT(B11197,"AAMMDD")&amp;"-1")</f>
        <v/>
      </c>
    </row>
    <row r="11198" spans="20:20">
      <c r="T11198" t="str">
        <f>IF(C11198="","",UPPER(LEFT(SUBSTITUTE(C11198," ",""),3))&amp;"-"&amp;TEXT(B11198,"AAMMDD")&amp;"-1")</f>
        <v/>
      </c>
    </row>
    <row r="11199" spans="20:20">
      <c r="T11199" t="str">
        <f>IF(C11199="","",UPPER(LEFT(SUBSTITUTE(C11199," ",""),3))&amp;"-"&amp;TEXT(B11199,"AAMMDD")&amp;"-1")</f>
        <v/>
      </c>
    </row>
    <row r="11200" spans="20:20">
      <c r="T11200" t="str">
        <f>IF(C11200="","",UPPER(LEFT(SUBSTITUTE(C11200," ",""),3))&amp;"-"&amp;TEXT(B11200,"AAMMDD")&amp;"-1")</f>
        <v/>
      </c>
    </row>
    <row r="11201" spans="20:20">
      <c r="T11201" t="str">
        <f>IF(C11201="","",UPPER(LEFT(SUBSTITUTE(C11201," ",""),3))&amp;"-"&amp;TEXT(B11201,"AAMMDD")&amp;"-1")</f>
        <v/>
      </c>
    </row>
    <row r="11202" spans="20:20">
      <c r="T11202" t="str">
        <f>IF(C11202="","",UPPER(LEFT(SUBSTITUTE(C11202," ",""),3))&amp;"-"&amp;TEXT(B11202,"AAMMDD")&amp;"-1")</f>
        <v/>
      </c>
    </row>
    <row r="11203" spans="20:20">
      <c r="T11203" t="str">
        <f>IF(C11203="","",UPPER(LEFT(SUBSTITUTE(C11203," ",""),3))&amp;"-"&amp;TEXT(B11203,"AAMMDD")&amp;"-1")</f>
        <v/>
      </c>
    </row>
    <row r="11204" spans="20:20">
      <c r="T11204" t="str">
        <f>IF(C11204="","",UPPER(LEFT(SUBSTITUTE(C11204," ",""),3))&amp;"-"&amp;TEXT(B11204,"AAMMDD")&amp;"-1")</f>
        <v/>
      </c>
    </row>
    <row r="11205" spans="20:20">
      <c r="T11205" t="str">
        <f>IF(C11205="","",UPPER(LEFT(SUBSTITUTE(C11205," ",""),3))&amp;"-"&amp;TEXT(B11205,"AAMMDD")&amp;"-1")</f>
        <v/>
      </c>
    </row>
    <row r="11206" spans="20:20">
      <c r="T11206" t="str">
        <f>IF(C11206="","",UPPER(LEFT(SUBSTITUTE(C11206," ",""),3))&amp;"-"&amp;TEXT(B11206,"AAMMDD")&amp;"-1")</f>
        <v/>
      </c>
    </row>
    <row r="11207" spans="20:20">
      <c r="T11207" t="str">
        <f>IF(C11207="","",UPPER(LEFT(SUBSTITUTE(C11207," ",""),3))&amp;"-"&amp;TEXT(B11207,"AAMMDD")&amp;"-1")</f>
        <v/>
      </c>
    </row>
    <row r="11208" spans="20:20">
      <c r="T11208" t="str">
        <f>IF(C11208="","",UPPER(LEFT(SUBSTITUTE(C11208," ",""),3))&amp;"-"&amp;TEXT(B11208,"AAMMDD")&amp;"-1")</f>
        <v/>
      </c>
    </row>
    <row r="11209" spans="20:20">
      <c r="T11209" t="str">
        <f>IF(C11209="","",UPPER(LEFT(SUBSTITUTE(C11209," ",""),3))&amp;"-"&amp;TEXT(B11209,"AAMMDD")&amp;"-1")</f>
        <v/>
      </c>
    </row>
    <row r="11210" spans="20:20">
      <c r="T11210" t="str">
        <f>IF(C11210="","",UPPER(LEFT(SUBSTITUTE(C11210," ",""),3))&amp;"-"&amp;TEXT(B11210,"AAMMDD")&amp;"-1")</f>
        <v/>
      </c>
    </row>
    <row r="11211" spans="20:20">
      <c r="T11211" t="str">
        <f>IF(C11211="","",UPPER(LEFT(SUBSTITUTE(C11211," ",""),3))&amp;"-"&amp;TEXT(B11211,"AAMMDD")&amp;"-1")</f>
        <v/>
      </c>
    </row>
    <row r="11212" spans="20:20">
      <c r="T11212" t="str">
        <f>IF(C11212="","",UPPER(LEFT(SUBSTITUTE(C11212," ",""),3))&amp;"-"&amp;TEXT(B11212,"AAMMDD")&amp;"-1")</f>
        <v/>
      </c>
    </row>
    <row r="11213" spans="20:20">
      <c r="T11213" t="str">
        <f>IF(C11213="","",UPPER(LEFT(SUBSTITUTE(C11213," ",""),3))&amp;"-"&amp;TEXT(B11213,"AAMMDD")&amp;"-1")</f>
        <v/>
      </c>
    </row>
    <row r="11214" spans="20:20">
      <c r="T11214" t="str">
        <f>IF(C11214="","",UPPER(LEFT(SUBSTITUTE(C11214," ",""),3))&amp;"-"&amp;TEXT(B11214,"AAMMDD")&amp;"-1")</f>
        <v/>
      </c>
    </row>
    <row r="11215" spans="20:20">
      <c r="T11215" t="str">
        <f>IF(C11215="","",UPPER(LEFT(SUBSTITUTE(C11215," ",""),3))&amp;"-"&amp;TEXT(B11215,"AAMMDD")&amp;"-1")</f>
        <v/>
      </c>
    </row>
    <row r="11216" spans="20:20">
      <c r="T11216" t="str">
        <f>IF(C11216="","",UPPER(LEFT(SUBSTITUTE(C11216," ",""),3))&amp;"-"&amp;TEXT(B11216,"AAMMDD")&amp;"-1")</f>
        <v/>
      </c>
    </row>
    <row r="11217" spans="20:20">
      <c r="T11217" t="str">
        <f>IF(C11217="","",UPPER(LEFT(SUBSTITUTE(C11217," ",""),3))&amp;"-"&amp;TEXT(B11217,"AAMMDD")&amp;"-1")</f>
        <v/>
      </c>
    </row>
    <row r="11218" spans="20:20">
      <c r="T11218" t="str">
        <f>IF(C11218="","",UPPER(LEFT(SUBSTITUTE(C11218," ",""),3))&amp;"-"&amp;TEXT(B11218,"AAMMDD")&amp;"-1")</f>
        <v/>
      </c>
    </row>
    <row r="11219" spans="20:20">
      <c r="T11219" t="str">
        <f>IF(C11219="","",UPPER(LEFT(SUBSTITUTE(C11219," ",""),3))&amp;"-"&amp;TEXT(B11219,"AAMMDD")&amp;"-1")</f>
        <v/>
      </c>
    </row>
    <row r="11220" spans="20:20">
      <c r="T11220" t="str">
        <f>IF(C11220="","",UPPER(LEFT(SUBSTITUTE(C11220," ",""),3))&amp;"-"&amp;TEXT(B11220,"AAMMDD")&amp;"-1")</f>
        <v/>
      </c>
    </row>
    <row r="11221" spans="20:20">
      <c r="T11221" t="str">
        <f>IF(C11221="","",UPPER(LEFT(SUBSTITUTE(C11221," ",""),3))&amp;"-"&amp;TEXT(B11221,"AAMMDD")&amp;"-1")</f>
        <v/>
      </c>
    </row>
    <row r="11222" spans="20:20">
      <c r="T11222" t="str">
        <f>IF(C11222="","",UPPER(LEFT(SUBSTITUTE(C11222," ",""),3))&amp;"-"&amp;TEXT(B11222,"AAMMDD")&amp;"-1")</f>
        <v/>
      </c>
    </row>
    <row r="11223" spans="20:20">
      <c r="T11223" t="str">
        <f>IF(C11223="","",UPPER(LEFT(SUBSTITUTE(C11223," ",""),3))&amp;"-"&amp;TEXT(B11223,"AAMMDD")&amp;"-1")</f>
        <v/>
      </c>
    </row>
    <row r="11224" spans="20:20">
      <c r="T11224" t="str">
        <f>IF(C11224="","",UPPER(LEFT(SUBSTITUTE(C11224," ",""),3))&amp;"-"&amp;TEXT(B11224,"AAMMDD")&amp;"-1")</f>
        <v/>
      </c>
    </row>
    <row r="11225" spans="20:20">
      <c r="T11225" t="str">
        <f>IF(C11225="","",UPPER(LEFT(SUBSTITUTE(C11225," ",""),3))&amp;"-"&amp;TEXT(B11225,"AAMMDD")&amp;"-1")</f>
        <v/>
      </c>
    </row>
    <row r="11226" spans="20:20">
      <c r="T11226" t="str">
        <f>IF(C11226="","",UPPER(LEFT(SUBSTITUTE(C11226," ",""),3))&amp;"-"&amp;TEXT(B11226,"AAMMDD")&amp;"-1")</f>
        <v/>
      </c>
    </row>
    <row r="11227" spans="20:20">
      <c r="T11227" t="str">
        <f>IF(C11227="","",UPPER(LEFT(SUBSTITUTE(C11227," ",""),3))&amp;"-"&amp;TEXT(B11227,"AAMMDD")&amp;"-1")</f>
        <v/>
      </c>
    </row>
    <row r="11228" spans="20:20">
      <c r="T11228" t="str">
        <f>IF(C11228="","",UPPER(LEFT(SUBSTITUTE(C11228," ",""),3))&amp;"-"&amp;TEXT(B11228,"AAMMDD")&amp;"-1")</f>
        <v/>
      </c>
    </row>
    <row r="11229" spans="20:20">
      <c r="T11229" t="str">
        <f>IF(C11229="","",UPPER(LEFT(SUBSTITUTE(C11229," ",""),3))&amp;"-"&amp;TEXT(B11229,"AAMMDD")&amp;"-1")</f>
        <v/>
      </c>
    </row>
    <row r="11230" spans="20:20">
      <c r="T11230" t="str">
        <f>IF(C11230="","",UPPER(LEFT(SUBSTITUTE(C11230," ",""),3))&amp;"-"&amp;TEXT(B11230,"AAMMDD")&amp;"-1")</f>
        <v/>
      </c>
    </row>
    <row r="11231" spans="20:20">
      <c r="T11231" t="str">
        <f>IF(C11231="","",UPPER(LEFT(SUBSTITUTE(C11231," ",""),3))&amp;"-"&amp;TEXT(B11231,"AAMMDD")&amp;"-1")</f>
        <v/>
      </c>
    </row>
    <row r="11232" spans="20:20">
      <c r="T11232" t="str">
        <f>IF(C11232="","",UPPER(LEFT(SUBSTITUTE(C11232," ",""),3))&amp;"-"&amp;TEXT(B11232,"AAMMDD")&amp;"-1")</f>
        <v/>
      </c>
    </row>
    <row r="11233" spans="20:20">
      <c r="T11233" t="str">
        <f>IF(C11233="","",UPPER(LEFT(SUBSTITUTE(C11233," ",""),3))&amp;"-"&amp;TEXT(B11233,"AAMMDD")&amp;"-1")</f>
        <v/>
      </c>
    </row>
    <row r="11234" spans="20:20">
      <c r="T11234" t="str">
        <f>IF(C11234="","",UPPER(LEFT(SUBSTITUTE(C11234," ",""),3))&amp;"-"&amp;TEXT(B11234,"AAMMDD")&amp;"-1")</f>
        <v/>
      </c>
    </row>
    <row r="11235" spans="20:20">
      <c r="T11235" t="str">
        <f>IF(C11235="","",UPPER(LEFT(SUBSTITUTE(C11235," ",""),3))&amp;"-"&amp;TEXT(B11235,"AAMMDD")&amp;"-1")</f>
        <v/>
      </c>
    </row>
    <row r="11236" spans="20:20">
      <c r="T11236" t="str">
        <f>IF(C11236="","",UPPER(LEFT(SUBSTITUTE(C11236," ",""),3))&amp;"-"&amp;TEXT(B11236,"AAMMDD")&amp;"-1")</f>
        <v/>
      </c>
    </row>
    <row r="11237" spans="20:20">
      <c r="T11237" t="str">
        <f>IF(C11237="","",UPPER(LEFT(SUBSTITUTE(C11237," ",""),3))&amp;"-"&amp;TEXT(B11237,"AAMMDD")&amp;"-1")</f>
        <v/>
      </c>
    </row>
    <row r="11238" spans="20:20">
      <c r="T11238" t="str">
        <f>IF(C11238="","",UPPER(LEFT(SUBSTITUTE(C11238," ",""),3))&amp;"-"&amp;TEXT(B11238,"AAMMDD")&amp;"-1")</f>
        <v/>
      </c>
    </row>
    <row r="11239" spans="20:20">
      <c r="T11239" t="str">
        <f>IF(C11239="","",UPPER(LEFT(SUBSTITUTE(C11239," ",""),3))&amp;"-"&amp;TEXT(B11239,"AAMMDD")&amp;"-1")</f>
        <v/>
      </c>
    </row>
    <row r="11240" spans="20:20">
      <c r="T11240" t="str">
        <f>IF(C11240="","",UPPER(LEFT(SUBSTITUTE(C11240," ",""),3))&amp;"-"&amp;TEXT(B11240,"AAMMDD")&amp;"-1")</f>
        <v/>
      </c>
    </row>
    <row r="11241" spans="20:20">
      <c r="T11241" t="str">
        <f>IF(C11241="","",UPPER(LEFT(SUBSTITUTE(C11241," ",""),3))&amp;"-"&amp;TEXT(B11241,"AAMMDD")&amp;"-1")</f>
        <v/>
      </c>
    </row>
    <row r="11242" spans="20:20">
      <c r="T11242" t="str">
        <f>IF(C11242="","",UPPER(LEFT(SUBSTITUTE(C11242," ",""),3))&amp;"-"&amp;TEXT(B11242,"AAMMDD")&amp;"-1")</f>
        <v/>
      </c>
    </row>
    <row r="11243" spans="20:20">
      <c r="T11243" t="str">
        <f>IF(C11243="","",UPPER(LEFT(SUBSTITUTE(C11243," ",""),3))&amp;"-"&amp;TEXT(B11243,"AAMMDD")&amp;"-1")</f>
        <v/>
      </c>
    </row>
    <row r="11244" spans="20:20">
      <c r="T11244" t="str">
        <f>IF(C11244="","",UPPER(LEFT(SUBSTITUTE(C11244," ",""),3))&amp;"-"&amp;TEXT(B11244,"AAMMDD")&amp;"-1")</f>
        <v/>
      </c>
    </row>
    <row r="11245" spans="20:20">
      <c r="T11245" t="str">
        <f>IF(C11245="","",UPPER(LEFT(SUBSTITUTE(C11245," ",""),3))&amp;"-"&amp;TEXT(B11245,"AAMMDD")&amp;"-1")</f>
        <v/>
      </c>
    </row>
    <row r="11246" spans="20:20">
      <c r="T11246" t="str">
        <f>IF(C11246="","",UPPER(LEFT(SUBSTITUTE(C11246," ",""),3))&amp;"-"&amp;TEXT(B11246,"AAMMDD")&amp;"-1")</f>
        <v/>
      </c>
    </row>
    <row r="11247" spans="20:20">
      <c r="T11247" t="str">
        <f>IF(C11247="","",UPPER(LEFT(SUBSTITUTE(C11247," ",""),3))&amp;"-"&amp;TEXT(B11247,"AAMMDD")&amp;"-1")</f>
        <v/>
      </c>
    </row>
    <row r="11248" spans="20:20">
      <c r="T11248" t="str">
        <f>IF(C11248="","",UPPER(LEFT(SUBSTITUTE(C11248," ",""),3))&amp;"-"&amp;TEXT(B11248,"AAMMDD")&amp;"-1")</f>
        <v/>
      </c>
    </row>
    <row r="11249" spans="20:20">
      <c r="T11249" t="str">
        <f>IF(C11249="","",UPPER(LEFT(SUBSTITUTE(C11249," ",""),3))&amp;"-"&amp;TEXT(B11249,"AAMMDD")&amp;"-1")</f>
        <v/>
      </c>
    </row>
    <row r="11250" spans="20:20">
      <c r="T11250" t="str">
        <f>IF(C11250="","",UPPER(LEFT(SUBSTITUTE(C11250," ",""),3))&amp;"-"&amp;TEXT(B11250,"AAMMDD")&amp;"-1")</f>
        <v/>
      </c>
    </row>
    <row r="11251" spans="20:20">
      <c r="T11251" t="str">
        <f>IF(C11251="","",UPPER(LEFT(SUBSTITUTE(C11251," ",""),3))&amp;"-"&amp;TEXT(B11251,"AAMMDD")&amp;"-1")</f>
        <v/>
      </c>
    </row>
    <row r="11252" spans="20:20">
      <c r="T11252" t="str">
        <f>IF(C11252="","",UPPER(LEFT(SUBSTITUTE(C11252," ",""),3))&amp;"-"&amp;TEXT(B11252,"AAMMDD")&amp;"-1")</f>
        <v/>
      </c>
    </row>
    <row r="11253" spans="20:20">
      <c r="T11253" t="str">
        <f>IF(C11253="","",UPPER(LEFT(SUBSTITUTE(C11253," ",""),3))&amp;"-"&amp;TEXT(B11253,"AAMMDD")&amp;"-1")</f>
        <v/>
      </c>
    </row>
    <row r="11254" spans="20:20">
      <c r="T11254" t="str">
        <f>IF(C11254="","",UPPER(LEFT(SUBSTITUTE(C11254," ",""),3))&amp;"-"&amp;TEXT(B11254,"AAMMDD")&amp;"-1")</f>
        <v/>
      </c>
    </row>
    <row r="11255" spans="20:20">
      <c r="T11255" t="str">
        <f>IF(C11255="","",UPPER(LEFT(SUBSTITUTE(C11255," ",""),3))&amp;"-"&amp;TEXT(B11255,"AAMMDD")&amp;"-1")</f>
        <v/>
      </c>
    </row>
    <row r="11256" spans="20:20">
      <c r="T11256" t="str">
        <f>IF(C11256="","",UPPER(LEFT(SUBSTITUTE(C11256," ",""),3))&amp;"-"&amp;TEXT(B11256,"AAMMDD")&amp;"-1")</f>
        <v/>
      </c>
    </row>
    <row r="11257" spans="20:20">
      <c r="T11257" t="str">
        <f>IF(C11257="","",UPPER(LEFT(SUBSTITUTE(C11257," ",""),3))&amp;"-"&amp;TEXT(B11257,"AAMMDD")&amp;"-1")</f>
        <v/>
      </c>
    </row>
    <row r="11258" spans="20:20">
      <c r="T11258" t="str">
        <f>IF(C11258="","",UPPER(LEFT(SUBSTITUTE(C11258," ",""),3))&amp;"-"&amp;TEXT(B11258,"AAMMDD")&amp;"-1")</f>
        <v/>
      </c>
    </row>
    <row r="11259" spans="20:20">
      <c r="T11259" t="str">
        <f>IF(C11259="","",UPPER(LEFT(SUBSTITUTE(C11259," ",""),3))&amp;"-"&amp;TEXT(B11259,"AAMMDD")&amp;"-1")</f>
        <v/>
      </c>
    </row>
    <row r="11260" spans="20:20">
      <c r="T11260" t="str">
        <f>IF(C11260="","",UPPER(LEFT(SUBSTITUTE(C11260," ",""),3))&amp;"-"&amp;TEXT(B11260,"AAMMDD")&amp;"-1")</f>
        <v/>
      </c>
    </row>
    <row r="11261" spans="20:20">
      <c r="T11261" t="str">
        <f>IF(C11261="","",UPPER(LEFT(SUBSTITUTE(C11261," ",""),3))&amp;"-"&amp;TEXT(B11261,"AAMMDD")&amp;"-1")</f>
        <v/>
      </c>
    </row>
    <row r="11262" spans="20:20">
      <c r="T11262" t="str">
        <f>IF(C11262="","",UPPER(LEFT(SUBSTITUTE(C11262," ",""),3))&amp;"-"&amp;TEXT(B11262,"AAMMDD")&amp;"-1")</f>
        <v/>
      </c>
    </row>
    <row r="11263" spans="20:20">
      <c r="T11263" t="str">
        <f>IF(C11263="","",UPPER(LEFT(SUBSTITUTE(C11263," ",""),3))&amp;"-"&amp;TEXT(B11263,"AAMMDD")&amp;"-1")</f>
        <v/>
      </c>
    </row>
    <row r="11264" spans="20:20">
      <c r="T11264" t="str">
        <f>IF(C11264="","",UPPER(LEFT(SUBSTITUTE(C11264," ",""),3))&amp;"-"&amp;TEXT(B11264,"AAMMDD")&amp;"-1")</f>
        <v/>
      </c>
    </row>
    <row r="11265" spans="20:20">
      <c r="T11265" t="str">
        <f>IF(C11265="","",UPPER(LEFT(SUBSTITUTE(C11265," ",""),3))&amp;"-"&amp;TEXT(B11265,"AAMMDD")&amp;"-1")</f>
        <v/>
      </c>
    </row>
    <row r="11266" spans="20:20">
      <c r="T11266" t="str">
        <f>IF(C11266="","",UPPER(LEFT(SUBSTITUTE(C11266," ",""),3))&amp;"-"&amp;TEXT(B11266,"AAMMDD")&amp;"-1")</f>
        <v/>
      </c>
    </row>
    <row r="11267" spans="20:20">
      <c r="T11267" t="str">
        <f>IF(C11267="","",UPPER(LEFT(SUBSTITUTE(C11267," ",""),3))&amp;"-"&amp;TEXT(B11267,"AAMMDD")&amp;"-1")</f>
        <v/>
      </c>
    </row>
    <row r="11268" spans="20:20">
      <c r="T11268" t="str">
        <f>IF(C11268="","",UPPER(LEFT(SUBSTITUTE(C11268," ",""),3))&amp;"-"&amp;TEXT(B11268,"AAMMDD")&amp;"-1")</f>
        <v/>
      </c>
    </row>
    <row r="11269" spans="20:20">
      <c r="T11269" t="str">
        <f>IF(C11269="","",UPPER(LEFT(SUBSTITUTE(C11269," ",""),3))&amp;"-"&amp;TEXT(B11269,"AAMMDD")&amp;"-1")</f>
        <v/>
      </c>
    </row>
    <row r="11270" spans="20:20">
      <c r="T11270" t="str">
        <f>IF(C11270="","",UPPER(LEFT(SUBSTITUTE(C11270," ",""),3))&amp;"-"&amp;TEXT(B11270,"AAMMDD")&amp;"-1")</f>
        <v/>
      </c>
    </row>
    <row r="11271" spans="20:20">
      <c r="T11271" t="str">
        <f>IF(C11271="","",UPPER(LEFT(SUBSTITUTE(C11271," ",""),3))&amp;"-"&amp;TEXT(B11271,"AAMMDD")&amp;"-1")</f>
        <v/>
      </c>
    </row>
    <row r="11272" spans="20:20">
      <c r="T11272" t="str">
        <f>IF(C11272="","",UPPER(LEFT(SUBSTITUTE(C11272," ",""),3))&amp;"-"&amp;TEXT(B11272,"AAMMDD")&amp;"-1")</f>
        <v/>
      </c>
    </row>
    <row r="11273" spans="20:20">
      <c r="T11273" t="str">
        <f>IF(C11273="","",UPPER(LEFT(SUBSTITUTE(C11273," ",""),3))&amp;"-"&amp;TEXT(B11273,"AAMMDD")&amp;"-1")</f>
        <v/>
      </c>
    </row>
    <row r="11274" spans="20:20">
      <c r="T11274" t="str">
        <f>IF(C11274="","",UPPER(LEFT(SUBSTITUTE(C11274," ",""),3))&amp;"-"&amp;TEXT(B11274,"AAMMDD")&amp;"-1")</f>
        <v/>
      </c>
    </row>
    <row r="11275" spans="20:20">
      <c r="T11275" t="str">
        <f>IF(C11275="","",UPPER(LEFT(SUBSTITUTE(C11275," ",""),3))&amp;"-"&amp;TEXT(B11275,"AAMMDD")&amp;"-1")</f>
        <v/>
      </c>
    </row>
    <row r="11276" spans="20:20">
      <c r="T11276" t="str">
        <f>IF(C11276="","",UPPER(LEFT(SUBSTITUTE(C11276," ",""),3))&amp;"-"&amp;TEXT(B11276,"AAMMDD")&amp;"-1")</f>
        <v/>
      </c>
    </row>
    <row r="11277" spans="20:20">
      <c r="T11277" t="str">
        <f>IF(C11277="","",UPPER(LEFT(SUBSTITUTE(C11277," ",""),3))&amp;"-"&amp;TEXT(B11277,"AAMMDD")&amp;"-1")</f>
        <v/>
      </c>
    </row>
    <row r="11278" spans="20:20">
      <c r="T11278" t="str">
        <f>IF(C11278="","",UPPER(LEFT(SUBSTITUTE(C11278," ",""),3))&amp;"-"&amp;TEXT(B11278,"AAMMDD")&amp;"-1")</f>
        <v/>
      </c>
    </row>
    <row r="11279" spans="20:20">
      <c r="T11279" t="str">
        <f>IF(C11279="","",UPPER(LEFT(SUBSTITUTE(C11279," ",""),3))&amp;"-"&amp;TEXT(B11279,"AAMMDD")&amp;"-1")</f>
        <v/>
      </c>
    </row>
    <row r="11280" spans="20:20">
      <c r="T11280" t="str">
        <f>IF(C11280="","",UPPER(LEFT(SUBSTITUTE(C11280," ",""),3))&amp;"-"&amp;TEXT(B11280,"AAMMDD")&amp;"-1")</f>
        <v/>
      </c>
    </row>
    <row r="11281" spans="20:20">
      <c r="T11281" t="str">
        <f>IF(C11281="","",UPPER(LEFT(SUBSTITUTE(C11281," ",""),3))&amp;"-"&amp;TEXT(B11281,"AAMMDD")&amp;"-1")</f>
        <v/>
      </c>
    </row>
    <row r="11282" spans="20:20">
      <c r="T11282" t="str">
        <f>IF(C11282="","",UPPER(LEFT(SUBSTITUTE(C11282," ",""),3))&amp;"-"&amp;TEXT(B11282,"AAMMDD")&amp;"-1")</f>
        <v/>
      </c>
    </row>
    <row r="11283" spans="20:20">
      <c r="T11283" t="str">
        <f>IF(C11283="","",UPPER(LEFT(SUBSTITUTE(C11283," ",""),3))&amp;"-"&amp;TEXT(B11283,"AAMMDD")&amp;"-1")</f>
        <v/>
      </c>
    </row>
    <row r="11284" spans="20:20">
      <c r="T11284" t="str">
        <f>IF(C11284="","",UPPER(LEFT(SUBSTITUTE(C11284," ",""),3))&amp;"-"&amp;TEXT(B11284,"AAMMDD")&amp;"-1")</f>
        <v/>
      </c>
    </row>
    <row r="11285" spans="20:20">
      <c r="T11285" t="str">
        <f>IF(C11285="","",UPPER(LEFT(SUBSTITUTE(C11285," ",""),3))&amp;"-"&amp;TEXT(B11285,"AAMMDD")&amp;"-1")</f>
        <v/>
      </c>
    </row>
    <row r="11286" spans="20:20">
      <c r="T11286" t="str">
        <f>IF(C11286="","",UPPER(LEFT(SUBSTITUTE(C11286," ",""),3))&amp;"-"&amp;TEXT(B11286,"AAMMDD")&amp;"-1")</f>
        <v/>
      </c>
    </row>
    <row r="11287" spans="20:20">
      <c r="T11287" t="str">
        <f>IF(C11287="","",UPPER(LEFT(SUBSTITUTE(C11287," ",""),3))&amp;"-"&amp;TEXT(B11287,"AAMMDD")&amp;"-1")</f>
        <v/>
      </c>
    </row>
    <row r="11288" spans="20:20">
      <c r="T11288" t="str">
        <f>IF(C11288="","",UPPER(LEFT(SUBSTITUTE(C11288," ",""),3))&amp;"-"&amp;TEXT(B11288,"AAMMDD")&amp;"-1")</f>
        <v/>
      </c>
    </row>
    <row r="11289" spans="20:20">
      <c r="T11289" t="str">
        <f>IF(C11289="","",UPPER(LEFT(SUBSTITUTE(C11289," ",""),3))&amp;"-"&amp;TEXT(B11289,"AAMMDD")&amp;"-1")</f>
        <v/>
      </c>
    </row>
    <row r="11290" spans="20:20">
      <c r="T11290" t="str">
        <f>IF(C11290="","",UPPER(LEFT(SUBSTITUTE(C11290," ",""),3))&amp;"-"&amp;TEXT(B11290,"AAMMDD")&amp;"-1")</f>
        <v/>
      </c>
    </row>
    <row r="11291" spans="20:20">
      <c r="T11291" t="str">
        <f>IF(C11291="","",UPPER(LEFT(SUBSTITUTE(C11291," ",""),3))&amp;"-"&amp;TEXT(B11291,"AAMMDD")&amp;"-1")</f>
        <v/>
      </c>
    </row>
    <row r="11292" spans="20:20">
      <c r="T11292" t="str">
        <f>IF(C11292="","",UPPER(LEFT(SUBSTITUTE(C11292," ",""),3))&amp;"-"&amp;TEXT(B11292,"AAMMDD")&amp;"-1")</f>
        <v/>
      </c>
    </row>
    <row r="11293" spans="20:20">
      <c r="T11293" t="str">
        <f>IF(C11293="","",UPPER(LEFT(SUBSTITUTE(C11293," ",""),3))&amp;"-"&amp;TEXT(B11293,"AAMMDD")&amp;"-1")</f>
        <v/>
      </c>
    </row>
    <row r="11294" spans="20:20">
      <c r="T11294" t="str">
        <f>IF(C11294="","",UPPER(LEFT(SUBSTITUTE(C11294," ",""),3))&amp;"-"&amp;TEXT(B11294,"AAMMDD")&amp;"-1")</f>
        <v/>
      </c>
    </row>
    <row r="11295" spans="20:20">
      <c r="T11295" t="str">
        <f>IF(C11295="","",UPPER(LEFT(SUBSTITUTE(C11295," ",""),3))&amp;"-"&amp;TEXT(B11295,"AAMMDD")&amp;"-1")</f>
        <v/>
      </c>
    </row>
    <row r="11296" spans="20:20">
      <c r="T11296" t="str">
        <f>IF(C11296="","",UPPER(LEFT(SUBSTITUTE(C11296," ",""),3))&amp;"-"&amp;TEXT(B11296,"AAMMDD")&amp;"-1")</f>
        <v/>
      </c>
    </row>
    <row r="11297" spans="20:20">
      <c r="T11297" t="str">
        <f>IF(C11297="","",UPPER(LEFT(SUBSTITUTE(C11297," ",""),3))&amp;"-"&amp;TEXT(B11297,"AAMMDD")&amp;"-1")</f>
        <v/>
      </c>
    </row>
    <row r="11298" spans="20:20">
      <c r="T11298" t="str">
        <f>IF(C11298="","",UPPER(LEFT(SUBSTITUTE(C11298," ",""),3))&amp;"-"&amp;TEXT(B11298,"AAMMDD")&amp;"-1")</f>
        <v/>
      </c>
    </row>
    <row r="11299" spans="20:20">
      <c r="T11299" t="str">
        <f>IF(C11299="","",UPPER(LEFT(SUBSTITUTE(C11299," ",""),3))&amp;"-"&amp;TEXT(B11299,"AAMMDD")&amp;"-1")</f>
        <v/>
      </c>
    </row>
    <row r="11300" spans="20:20">
      <c r="T11300" t="str">
        <f>IF(C11300="","",UPPER(LEFT(SUBSTITUTE(C11300," ",""),3))&amp;"-"&amp;TEXT(B11300,"AAMMDD")&amp;"-1")</f>
        <v/>
      </c>
    </row>
    <row r="11301" spans="20:20">
      <c r="T11301" t="str">
        <f>IF(C11301="","",UPPER(LEFT(SUBSTITUTE(C11301," ",""),3))&amp;"-"&amp;TEXT(B11301,"AAMMDD")&amp;"-1")</f>
        <v/>
      </c>
    </row>
    <row r="11302" spans="20:20">
      <c r="T11302" t="str">
        <f>IF(C11302="","",UPPER(LEFT(SUBSTITUTE(C11302," ",""),3))&amp;"-"&amp;TEXT(B11302,"AAMMDD")&amp;"-1")</f>
        <v/>
      </c>
    </row>
    <row r="11303" spans="20:20">
      <c r="T11303" t="str">
        <f>IF(C11303="","",UPPER(LEFT(SUBSTITUTE(C11303," ",""),3))&amp;"-"&amp;TEXT(B11303,"AAMMDD")&amp;"-1")</f>
        <v/>
      </c>
    </row>
    <row r="11304" spans="20:20">
      <c r="T11304" t="str">
        <f>IF(C11304="","",UPPER(LEFT(SUBSTITUTE(C11304," ",""),3))&amp;"-"&amp;TEXT(B11304,"AAMMDD")&amp;"-1")</f>
        <v/>
      </c>
    </row>
    <row r="11305" spans="20:20">
      <c r="T11305" t="str">
        <f>IF(C11305="","",UPPER(LEFT(SUBSTITUTE(C11305," ",""),3))&amp;"-"&amp;TEXT(B11305,"AAMMDD")&amp;"-1")</f>
        <v/>
      </c>
    </row>
    <row r="11306" spans="20:20">
      <c r="T11306" t="str">
        <f>IF(C11306="","",UPPER(LEFT(SUBSTITUTE(C11306," ",""),3))&amp;"-"&amp;TEXT(B11306,"AAMMDD")&amp;"-1")</f>
        <v/>
      </c>
    </row>
    <row r="11307" spans="20:20">
      <c r="T11307" t="str">
        <f>IF(C11307="","",UPPER(LEFT(SUBSTITUTE(C11307," ",""),3))&amp;"-"&amp;TEXT(B11307,"AAMMDD")&amp;"-1")</f>
        <v/>
      </c>
    </row>
    <row r="11308" spans="20:20">
      <c r="T11308" t="str">
        <f>IF(C11308="","",UPPER(LEFT(SUBSTITUTE(C11308," ",""),3))&amp;"-"&amp;TEXT(B11308,"AAMMDD")&amp;"-1")</f>
        <v/>
      </c>
    </row>
    <row r="11309" spans="20:20">
      <c r="T11309" t="str">
        <f>IF(C11309="","",UPPER(LEFT(SUBSTITUTE(C11309," ",""),3))&amp;"-"&amp;TEXT(B11309,"AAMMDD")&amp;"-1")</f>
        <v/>
      </c>
    </row>
    <row r="11310" spans="20:20">
      <c r="T11310" t="str">
        <f>IF(C11310="","",UPPER(LEFT(SUBSTITUTE(C11310," ",""),3))&amp;"-"&amp;TEXT(B11310,"AAMMDD")&amp;"-1")</f>
        <v/>
      </c>
    </row>
    <row r="11311" spans="20:20">
      <c r="T11311" t="str">
        <f>IF(C11311="","",UPPER(LEFT(SUBSTITUTE(C11311," ",""),3))&amp;"-"&amp;TEXT(B11311,"AAMMDD")&amp;"-1")</f>
        <v/>
      </c>
    </row>
    <row r="11312" spans="20:20">
      <c r="T11312" t="str">
        <f>IF(C11312="","",UPPER(LEFT(SUBSTITUTE(C11312," ",""),3))&amp;"-"&amp;TEXT(B11312,"AAMMDD")&amp;"-1")</f>
        <v/>
      </c>
    </row>
    <row r="11313" spans="20:20">
      <c r="T11313" t="str">
        <f>IF(C11313="","",UPPER(LEFT(SUBSTITUTE(C11313," ",""),3))&amp;"-"&amp;TEXT(B11313,"AAMMDD")&amp;"-1")</f>
        <v/>
      </c>
    </row>
    <row r="11314" spans="20:20">
      <c r="T11314" t="str">
        <f>IF(C11314="","",UPPER(LEFT(SUBSTITUTE(C11314," ",""),3))&amp;"-"&amp;TEXT(B11314,"AAMMDD")&amp;"-1")</f>
        <v/>
      </c>
    </row>
    <row r="11315" spans="20:20">
      <c r="T11315" t="str">
        <f>IF(C11315="","",UPPER(LEFT(SUBSTITUTE(C11315," ",""),3))&amp;"-"&amp;TEXT(B11315,"AAMMDD")&amp;"-1")</f>
        <v/>
      </c>
    </row>
    <row r="11316" spans="20:20">
      <c r="T11316" t="str">
        <f>IF(C11316="","",UPPER(LEFT(SUBSTITUTE(C11316," ",""),3))&amp;"-"&amp;TEXT(B11316,"AAMMDD")&amp;"-1")</f>
        <v/>
      </c>
    </row>
    <row r="11317" spans="20:20">
      <c r="T11317" t="str">
        <f>IF(C11317="","",UPPER(LEFT(SUBSTITUTE(C11317," ",""),3))&amp;"-"&amp;TEXT(B11317,"AAMMDD")&amp;"-1")</f>
        <v/>
      </c>
    </row>
    <row r="11318" spans="20:20">
      <c r="T11318" t="str">
        <f>IF(C11318="","",UPPER(LEFT(SUBSTITUTE(C11318," ",""),3))&amp;"-"&amp;TEXT(B11318,"AAMMDD")&amp;"-1")</f>
        <v/>
      </c>
    </row>
    <row r="11319" spans="20:20">
      <c r="T11319" t="str">
        <f>IF(C11319="","",UPPER(LEFT(SUBSTITUTE(C11319," ",""),3))&amp;"-"&amp;TEXT(B11319,"AAMMDD")&amp;"-1")</f>
        <v/>
      </c>
    </row>
    <row r="11320" spans="20:20">
      <c r="T11320" t="str">
        <f>IF(C11320="","",UPPER(LEFT(SUBSTITUTE(C11320," ",""),3))&amp;"-"&amp;TEXT(B11320,"AAMMDD")&amp;"-1")</f>
        <v/>
      </c>
    </row>
    <row r="11321" spans="20:20">
      <c r="T11321" t="str">
        <f>IF(C11321="","",UPPER(LEFT(SUBSTITUTE(C11321," ",""),3))&amp;"-"&amp;TEXT(B11321,"AAMMDD")&amp;"-1")</f>
        <v/>
      </c>
    </row>
    <row r="11322" spans="20:20">
      <c r="T11322" t="str">
        <f>IF(C11322="","",UPPER(LEFT(SUBSTITUTE(C11322," ",""),3))&amp;"-"&amp;TEXT(B11322,"AAMMDD")&amp;"-1")</f>
        <v/>
      </c>
    </row>
    <row r="11323" spans="20:20">
      <c r="T11323" t="str">
        <f>IF(C11323="","",UPPER(LEFT(SUBSTITUTE(C11323," ",""),3))&amp;"-"&amp;TEXT(B11323,"AAMMDD")&amp;"-1")</f>
        <v/>
      </c>
    </row>
    <row r="11324" spans="20:20">
      <c r="T11324" t="str">
        <f>IF(C11324="","",UPPER(LEFT(SUBSTITUTE(C11324," ",""),3))&amp;"-"&amp;TEXT(B11324,"AAMMDD")&amp;"-1")</f>
        <v/>
      </c>
    </row>
    <row r="11325" spans="20:20">
      <c r="T11325" t="str">
        <f>IF(C11325="","",UPPER(LEFT(SUBSTITUTE(C11325," ",""),3))&amp;"-"&amp;TEXT(B11325,"AAMMDD")&amp;"-1")</f>
        <v/>
      </c>
    </row>
    <row r="11326" spans="20:20">
      <c r="T11326" t="str">
        <f>IF(C11326="","",UPPER(LEFT(SUBSTITUTE(C11326," ",""),3))&amp;"-"&amp;TEXT(B11326,"AAMMDD")&amp;"-1")</f>
        <v/>
      </c>
    </row>
    <row r="11327" spans="20:20">
      <c r="T11327" t="str">
        <f>IF(C11327="","",UPPER(LEFT(SUBSTITUTE(C11327," ",""),3))&amp;"-"&amp;TEXT(B11327,"AAMMDD")&amp;"-1")</f>
        <v/>
      </c>
    </row>
    <row r="11328" spans="20:20">
      <c r="T11328" t="str">
        <f>IF(C11328="","",UPPER(LEFT(SUBSTITUTE(C11328," ",""),3))&amp;"-"&amp;TEXT(B11328,"AAMMDD")&amp;"-1")</f>
        <v/>
      </c>
    </row>
    <row r="11329" spans="20:20">
      <c r="T11329" t="str">
        <f>IF(C11329="","",UPPER(LEFT(SUBSTITUTE(C11329," ",""),3))&amp;"-"&amp;TEXT(B11329,"AAMMDD")&amp;"-1")</f>
        <v/>
      </c>
    </row>
    <row r="11330" spans="20:20">
      <c r="T11330" t="str">
        <f>IF(C11330="","",UPPER(LEFT(SUBSTITUTE(C11330," ",""),3))&amp;"-"&amp;TEXT(B11330,"AAMMDD")&amp;"-1")</f>
        <v/>
      </c>
    </row>
    <row r="11331" spans="20:20">
      <c r="T11331" t="str">
        <f>IF(C11331="","",UPPER(LEFT(SUBSTITUTE(C11331," ",""),3))&amp;"-"&amp;TEXT(B11331,"AAMMDD")&amp;"-1")</f>
        <v/>
      </c>
    </row>
    <row r="11332" spans="20:20">
      <c r="T11332" t="str">
        <f>IF(C11332="","",UPPER(LEFT(SUBSTITUTE(C11332," ",""),3))&amp;"-"&amp;TEXT(B11332,"AAMMDD")&amp;"-1")</f>
        <v/>
      </c>
    </row>
    <row r="11333" spans="20:20">
      <c r="T11333" t="str">
        <f>IF(C11333="","",UPPER(LEFT(SUBSTITUTE(C11333," ",""),3))&amp;"-"&amp;TEXT(B11333,"AAMMDD")&amp;"-1")</f>
        <v/>
      </c>
    </row>
    <row r="11334" spans="20:20">
      <c r="T11334" t="str">
        <f>IF(C11334="","",UPPER(LEFT(SUBSTITUTE(C11334," ",""),3))&amp;"-"&amp;TEXT(B11334,"AAMMDD")&amp;"-1")</f>
        <v/>
      </c>
    </row>
    <row r="11335" spans="20:20">
      <c r="T11335" t="str">
        <f>IF(C11335="","",UPPER(LEFT(SUBSTITUTE(C11335," ",""),3))&amp;"-"&amp;TEXT(B11335,"AAMMDD")&amp;"-1")</f>
        <v/>
      </c>
    </row>
    <row r="11336" spans="20:20">
      <c r="T11336" t="str">
        <f>IF(C11336="","",UPPER(LEFT(SUBSTITUTE(C11336," ",""),3))&amp;"-"&amp;TEXT(B11336,"AAMMDD")&amp;"-1")</f>
        <v/>
      </c>
    </row>
    <row r="11337" spans="20:20">
      <c r="T11337" t="str">
        <f>IF(C11337="","",UPPER(LEFT(SUBSTITUTE(C11337," ",""),3))&amp;"-"&amp;TEXT(B11337,"AAMMDD")&amp;"-1")</f>
        <v/>
      </c>
    </row>
    <row r="11338" spans="20:20">
      <c r="T11338" t="str">
        <f>IF(C11338="","",UPPER(LEFT(SUBSTITUTE(C11338," ",""),3))&amp;"-"&amp;TEXT(B11338,"AAMMDD")&amp;"-1")</f>
        <v/>
      </c>
    </row>
    <row r="11339" spans="20:20">
      <c r="T11339" t="str">
        <f>IF(C11339="","",UPPER(LEFT(SUBSTITUTE(C11339," ",""),3))&amp;"-"&amp;TEXT(B11339,"AAMMDD")&amp;"-1")</f>
        <v/>
      </c>
    </row>
    <row r="11340" spans="20:20">
      <c r="T11340" t="str">
        <f>IF(C11340="","",UPPER(LEFT(SUBSTITUTE(C11340," ",""),3))&amp;"-"&amp;TEXT(B11340,"AAMMDD")&amp;"-1")</f>
        <v/>
      </c>
    </row>
    <row r="11341" spans="20:20">
      <c r="T11341" t="str">
        <f>IF(C11341="","",UPPER(LEFT(SUBSTITUTE(C11341," ",""),3))&amp;"-"&amp;TEXT(B11341,"AAMMDD")&amp;"-1")</f>
        <v/>
      </c>
    </row>
    <row r="11342" spans="20:20">
      <c r="T11342" t="str">
        <f>IF(C11342="","",UPPER(LEFT(SUBSTITUTE(C11342," ",""),3))&amp;"-"&amp;TEXT(B11342,"AAMMDD")&amp;"-1")</f>
        <v/>
      </c>
    </row>
    <row r="11343" spans="20:20">
      <c r="T11343" t="str">
        <f>IF(C11343="","",UPPER(LEFT(SUBSTITUTE(C11343," ",""),3))&amp;"-"&amp;TEXT(B11343,"AAMMDD")&amp;"-1")</f>
        <v/>
      </c>
    </row>
    <row r="11344" spans="20:20">
      <c r="T11344" t="str">
        <f>IF(C11344="","",UPPER(LEFT(SUBSTITUTE(C11344," ",""),3))&amp;"-"&amp;TEXT(B11344,"AAMMDD")&amp;"-1")</f>
        <v/>
      </c>
    </row>
    <row r="11345" spans="20:20">
      <c r="T11345" t="str">
        <f>IF(C11345="","",UPPER(LEFT(SUBSTITUTE(C11345," ",""),3))&amp;"-"&amp;TEXT(B11345,"AAMMDD")&amp;"-1")</f>
        <v/>
      </c>
    </row>
    <row r="11346" spans="20:20">
      <c r="T11346" t="str">
        <f>IF(C11346="","",UPPER(LEFT(SUBSTITUTE(C11346," ",""),3))&amp;"-"&amp;TEXT(B11346,"AAMMDD")&amp;"-1")</f>
        <v/>
      </c>
    </row>
    <row r="11347" spans="20:20">
      <c r="T11347" t="str">
        <f>IF(C11347="","",UPPER(LEFT(SUBSTITUTE(C11347," ",""),3))&amp;"-"&amp;TEXT(B11347,"AAMMDD")&amp;"-1")</f>
        <v/>
      </c>
    </row>
    <row r="11348" spans="20:20">
      <c r="T11348" t="str">
        <f>IF(C11348="","",UPPER(LEFT(SUBSTITUTE(C11348," ",""),3))&amp;"-"&amp;TEXT(B11348,"AAMMDD")&amp;"-1")</f>
        <v/>
      </c>
    </row>
    <row r="11349" spans="20:20">
      <c r="T11349" t="str">
        <f>IF(C11349="","",UPPER(LEFT(SUBSTITUTE(C11349," ",""),3))&amp;"-"&amp;TEXT(B11349,"AAMMDD")&amp;"-1")</f>
        <v/>
      </c>
    </row>
    <row r="11350" spans="20:20">
      <c r="T11350" t="str">
        <f>IF(C11350="","",UPPER(LEFT(SUBSTITUTE(C11350," ",""),3))&amp;"-"&amp;TEXT(B11350,"AAMMDD")&amp;"-1")</f>
        <v/>
      </c>
    </row>
    <row r="11351" spans="20:20">
      <c r="T11351" t="str">
        <f>IF(C11351="","",UPPER(LEFT(SUBSTITUTE(C11351," ",""),3))&amp;"-"&amp;TEXT(B11351,"AAMMDD")&amp;"-1")</f>
        <v/>
      </c>
    </row>
    <row r="11352" spans="20:20">
      <c r="T11352" t="str">
        <f>IF(C11352="","",UPPER(LEFT(SUBSTITUTE(C11352," ",""),3))&amp;"-"&amp;TEXT(B11352,"AAMMDD")&amp;"-1")</f>
        <v/>
      </c>
    </row>
    <row r="11353" spans="20:20">
      <c r="T11353" t="str">
        <f>IF(C11353="","",UPPER(LEFT(SUBSTITUTE(C11353," ",""),3))&amp;"-"&amp;TEXT(B11353,"AAMMDD")&amp;"-1")</f>
        <v/>
      </c>
    </row>
    <row r="11354" spans="20:20">
      <c r="T11354" t="str">
        <f>IF(C11354="","",UPPER(LEFT(SUBSTITUTE(C11354," ",""),3))&amp;"-"&amp;TEXT(B11354,"AAMMDD")&amp;"-1")</f>
        <v/>
      </c>
    </row>
    <row r="11355" spans="20:20">
      <c r="T11355" t="str">
        <f>IF(C11355="","",UPPER(LEFT(SUBSTITUTE(C11355," ",""),3))&amp;"-"&amp;TEXT(B11355,"AAMMDD")&amp;"-1")</f>
        <v/>
      </c>
    </row>
    <row r="11356" spans="20:20">
      <c r="T11356" t="str">
        <f>IF(C11356="","",UPPER(LEFT(SUBSTITUTE(C11356," ",""),3))&amp;"-"&amp;TEXT(B11356,"AAMMDD")&amp;"-1")</f>
        <v/>
      </c>
    </row>
    <row r="11357" spans="20:20">
      <c r="T11357" t="str">
        <f>IF(C11357="","",UPPER(LEFT(SUBSTITUTE(C11357," ",""),3))&amp;"-"&amp;TEXT(B11357,"AAMMDD")&amp;"-1")</f>
        <v/>
      </c>
    </row>
    <row r="11358" spans="20:20">
      <c r="T11358" t="str">
        <f>IF(C11358="","",UPPER(LEFT(SUBSTITUTE(C11358," ",""),3))&amp;"-"&amp;TEXT(B11358,"AAMMDD")&amp;"-1")</f>
        <v/>
      </c>
    </row>
    <row r="11359" spans="20:20">
      <c r="T11359" t="str">
        <f>IF(C11359="","",UPPER(LEFT(SUBSTITUTE(C11359," ",""),3))&amp;"-"&amp;TEXT(B11359,"AAMMDD")&amp;"-1")</f>
        <v/>
      </c>
    </row>
    <row r="11360" spans="20:20">
      <c r="T11360" t="str">
        <f>IF(C11360="","",UPPER(LEFT(SUBSTITUTE(C11360," ",""),3))&amp;"-"&amp;TEXT(B11360,"AAMMDD")&amp;"-1")</f>
        <v/>
      </c>
    </row>
    <row r="11361" spans="20:20">
      <c r="T11361" t="str">
        <f>IF(C11361="","",UPPER(LEFT(SUBSTITUTE(C11361," ",""),3))&amp;"-"&amp;TEXT(B11361,"AAMMDD")&amp;"-1")</f>
        <v/>
      </c>
    </row>
    <row r="11362" spans="20:20">
      <c r="T11362" t="str">
        <f>IF(C11362="","",UPPER(LEFT(SUBSTITUTE(C11362," ",""),3))&amp;"-"&amp;TEXT(B11362,"AAMMDD")&amp;"-1")</f>
        <v/>
      </c>
    </row>
    <row r="11363" spans="20:20">
      <c r="T11363" t="str">
        <f>IF(C11363="","",UPPER(LEFT(SUBSTITUTE(C11363," ",""),3))&amp;"-"&amp;TEXT(B11363,"AAMMDD")&amp;"-1")</f>
        <v/>
      </c>
    </row>
    <row r="11364" spans="20:20">
      <c r="T11364" t="str">
        <f>IF(C11364="","",UPPER(LEFT(SUBSTITUTE(C11364," ",""),3))&amp;"-"&amp;TEXT(B11364,"AAMMDD")&amp;"-1")</f>
        <v/>
      </c>
    </row>
    <row r="11365" spans="20:20">
      <c r="T11365" t="str">
        <f>IF(C11365="","",UPPER(LEFT(SUBSTITUTE(C11365," ",""),3))&amp;"-"&amp;TEXT(B11365,"AAMMDD")&amp;"-1")</f>
        <v/>
      </c>
    </row>
    <row r="11366" spans="20:20">
      <c r="T11366" t="str">
        <f>IF(C11366="","",UPPER(LEFT(SUBSTITUTE(C11366," ",""),3))&amp;"-"&amp;TEXT(B11366,"AAMMDD")&amp;"-1")</f>
        <v/>
      </c>
    </row>
    <row r="11367" spans="20:20">
      <c r="T11367" t="str">
        <f>IF(C11367="","",UPPER(LEFT(SUBSTITUTE(C11367," ",""),3))&amp;"-"&amp;TEXT(B11367,"AAMMDD")&amp;"-1")</f>
        <v/>
      </c>
    </row>
    <row r="11368" spans="20:20">
      <c r="T11368" t="str">
        <f>IF(C11368="","",UPPER(LEFT(SUBSTITUTE(C11368," ",""),3))&amp;"-"&amp;TEXT(B11368,"AAMMDD")&amp;"-1")</f>
        <v/>
      </c>
    </row>
    <row r="11369" spans="20:20">
      <c r="T11369" t="str">
        <f>IF(C11369="","",UPPER(LEFT(SUBSTITUTE(C11369," ",""),3))&amp;"-"&amp;TEXT(B11369,"AAMMDD")&amp;"-1")</f>
        <v/>
      </c>
    </row>
    <row r="11370" spans="20:20">
      <c r="T11370" t="str">
        <f>IF(C11370="","",UPPER(LEFT(SUBSTITUTE(C11370," ",""),3))&amp;"-"&amp;TEXT(B11370,"AAMMDD")&amp;"-1")</f>
        <v/>
      </c>
    </row>
    <row r="11371" spans="20:20">
      <c r="T11371" t="str">
        <f>IF(C11371="","",UPPER(LEFT(SUBSTITUTE(C11371," ",""),3))&amp;"-"&amp;TEXT(B11371,"AAMMDD")&amp;"-1")</f>
        <v/>
      </c>
    </row>
    <row r="11372" spans="20:20">
      <c r="T11372" t="str">
        <f>IF(C11372="","",UPPER(LEFT(SUBSTITUTE(C11372," ",""),3))&amp;"-"&amp;TEXT(B11372,"AAMMDD")&amp;"-1")</f>
        <v/>
      </c>
    </row>
    <row r="11373" spans="20:20">
      <c r="T11373" t="str">
        <f>IF(C11373="","",UPPER(LEFT(SUBSTITUTE(C11373," ",""),3))&amp;"-"&amp;TEXT(B11373,"AAMMDD")&amp;"-1")</f>
        <v/>
      </c>
    </row>
    <row r="11374" spans="20:20">
      <c r="T11374" t="str">
        <f>IF(C11374="","",UPPER(LEFT(SUBSTITUTE(C11374," ",""),3))&amp;"-"&amp;TEXT(B11374,"AAMMDD")&amp;"-1")</f>
        <v/>
      </c>
    </row>
    <row r="11375" spans="20:20">
      <c r="T11375" t="str">
        <f>IF(C11375="","",UPPER(LEFT(SUBSTITUTE(C11375," ",""),3))&amp;"-"&amp;TEXT(B11375,"AAMMDD")&amp;"-1")</f>
        <v/>
      </c>
    </row>
    <row r="11376" spans="20:20">
      <c r="T11376" t="str">
        <f>IF(C11376="","",UPPER(LEFT(SUBSTITUTE(C11376," ",""),3))&amp;"-"&amp;TEXT(B11376,"AAMMDD")&amp;"-1")</f>
        <v/>
      </c>
    </row>
    <row r="11377" spans="20:20">
      <c r="T11377" t="str">
        <f>IF(C11377="","",UPPER(LEFT(SUBSTITUTE(C11377," ",""),3))&amp;"-"&amp;TEXT(B11377,"AAMMDD")&amp;"-1")</f>
        <v/>
      </c>
    </row>
    <row r="11378" spans="20:20">
      <c r="T11378" t="str">
        <f>IF(C11378="","",UPPER(LEFT(SUBSTITUTE(C11378," ",""),3))&amp;"-"&amp;TEXT(B11378,"AAMMDD")&amp;"-1")</f>
        <v/>
      </c>
    </row>
    <row r="11379" spans="20:20">
      <c r="T11379" t="str">
        <f>IF(C11379="","",UPPER(LEFT(SUBSTITUTE(C11379," ",""),3))&amp;"-"&amp;TEXT(B11379,"AAMMDD")&amp;"-1")</f>
        <v/>
      </c>
    </row>
    <row r="11380" spans="20:20">
      <c r="T11380" t="str">
        <f>IF(C11380="","",UPPER(LEFT(SUBSTITUTE(C11380," ",""),3))&amp;"-"&amp;TEXT(B11380,"AAMMDD")&amp;"-1")</f>
        <v/>
      </c>
    </row>
    <row r="11381" spans="20:20">
      <c r="T11381" t="str">
        <f>IF(C11381="","",UPPER(LEFT(SUBSTITUTE(C11381," ",""),3))&amp;"-"&amp;TEXT(B11381,"AAMMDD")&amp;"-1")</f>
        <v/>
      </c>
    </row>
    <row r="11382" spans="20:20">
      <c r="T11382" t="str">
        <f>IF(C11382="","",UPPER(LEFT(SUBSTITUTE(C11382," ",""),3))&amp;"-"&amp;TEXT(B11382,"AAMMDD")&amp;"-1")</f>
        <v/>
      </c>
    </row>
    <row r="11383" spans="20:20">
      <c r="T11383" t="str">
        <f>IF(C11383="","",UPPER(LEFT(SUBSTITUTE(C11383," ",""),3))&amp;"-"&amp;TEXT(B11383,"AAMMDD")&amp;"-1")</f>
        <v/>
      </c>
    </row>
    <row r="11384" spans="20:20">
      <c r="T11384" t="str">
        <f>IF(C11384="","",UPPER(LEFT(SUBSTITUTE(C11384," ",""),3))&amp;"-"&amp;TEXT(B11384,"AAMMDD")&amp;"-1")</f>
        <v/>
      </c>
    </row>
    <row r="11385" spans="20:20">
      <c r="T11385" t="str">
        <f>IF(C11385="","",UPPER(LEFT(SUBSTITUTE(C11385," ",""),3))&amp;"-"&amp;TEXT(B11385,"AAMMDD")&amp;"-1")</f>
        <v/>
      </c>
    </row>
    <row r="11386" spans="20:20">
      <c r="T11386" t="str">
        <f>IF(C11386="","",UPPER(LEFT(SUBSTITUTE(C11386," ",""),3))&amp;"-"&amp;TEXT(B11386,"AAMMDD")&amp;"-1")</f>
        <v/>
      </c>
    </row>
    <row r="11387" spans="20:20">
      <c r="T11387" t="str">
        <f>IF(C11387="","",UPPER(LEFT(SUBSTITUTE(C11387," ",""),3))&amp;"-"&amp;TEXT(B11387,"AAMMDD")&amp;"-1")</f>
        <v/>
      </c>
    </row>
    <row r="11388" spans="20:20">
      <c r="T11388" t="str">
        <f>IF(C11388="","",UPPER(LEFT(SUBSTITUTE(C11388," ",""),3))&amp;"-"&amp;TEXT(B11388,"AAMMDD")&amp;"-1")</f>
        <v/>
      </c>
    </row>
    <row r="11389" spans="20:20">
      <c r="T11389" t="str">
        <f>IF(C11389="","",UPPER(LEFT(SUBSTITUTE(C11389," ",""),3))&amp;"-"&amp;TEXT(B11389,"AAMMDD")&amp;"-1")</f>
        <v/>
      </c>
    </row>
    <row r="11390" spans="20:20">
      <c r="T11390" t="str">
        <f>IF(C11390="","",UPPER(LEFT(SUBSTITUTE(C11390," ",""),3))&amp;"-"&amp;TEXT(B11390,"AAMMDD")&amp;"-1")</f>
        <v/>
      </c>
    </row>
    <row r="11391" spans="20:20">
      <c r="T11391" t="str">
        <f>IF(C11391="","",UPPER(LEFT(SUBSTITUTE(C11391," ",""),3))&amp;"-"&amp;TEXT(B11391,"AAMMDD")&amp;"-1")</f>
        <v/>
      </c>
    </row>
    <row r="11392" spans="20:20">
      <c r="T11392" t="str">
        <f>IF(C11392="","",UPPER(LEFT(SUBSTITUTE(C11392," ",""),3))&amp;"-"&amp;TEXT(B11392,"AAMMDD")&amp;"-1")</f>
        <v/>
      </c>
    </row>
    <row r="11393" spans="20:20">
      <c r="T11393" t="str">
        <f>IF(C11393="","",UPPER(LEFT(SUBSTITUTE(C11393," ",""),3))&amp;"-"&amp;TEXT(B11393,"AAMMDD")&amp;"-1")</f>
        <v/>
      </c>
    </row>
    <row r="11394" spans="20:20">
      <c r="T11394" t="str">
        <f>IF(C11394="","",UPPER(LEFT(SUBSTITUTE(C11394," ",""),3))&amp;"-"&amp;TEXT(B11394,"AAMMDD")&amp;"-1")</f>
        <v/>
      </c>
    </row>
    <row r="11395" spans="20:20">
      <c r="T11395" t="str">
        <f>IF(C11395="","",UPPER(LEFT(SUBSTITUTE(C11395," ",""),3))&amp;"-"&amp;TEXT(B11395,"AAMMDD")&amp;"-1")</f>
        <v/>
      </c>
    </row>
    <row r="11396" spans="20:20">
      <c r="T11396" t="str">
        <f>IF(C11396="","",UPPER(LEFT(SUBSTITUTE(C11396," ",""),3))&amp;"-"&amp;TEXT(B11396,"AAMMDD")&amp;"-1")</f>
        <v/>
      </c>
    </row>
    <row r="11397" spans="20:20">
      <c r="T11397" t="str">
        <f>IF(C11397="","",UPPER(LEFT(SUBSTITUTE(C11397," ",""),3))&amp;"-"&amp;TEXT(B11397,"AAMMDD")&amp;"-1")</f>
        <v/>
      </c>
    </row>
    <row r="11398" spans="20:20">
      <c r="T11398" t="str">
        <f>IF(C11398="","",UPPER(LEFT(SUBSTITUTE(C11398," ",""),3))&amp;"-"&amp;TEXT(B11398,"AAMMDD")&amp;"-1")</f>
        <v/>
      </c>
    </row>
    <row r="11399" spans="20:20">
      <c r="T11399" t="str">
        <f>IF(C11399="","",UPPER(LEFT(SUBSTITUTE(C11399," ",""),3))&amp;"-"&amp;TEXT(B11399,"AAMMDD")&amp;"-1")</f>
        <v/>
      </c>
    </row>
    <row r="11400" spans="20:20">
      <c r="T11400" t="str">
        <f>IF(C11400="","",UPPER(LEFT(SUBSTITUTE(C11400," ",""),3))&amp;"-"&amp;TEXT(B11400,"AAMMDD")&amp;"-1")</f>
        <v/>
      </c>
    </row>
    <row r="11401" spans="20:20">
      <c r="T11401" t="str">
        <f>IF(C11401="","",UPPER(LEFT(SUBSTITUTE(C11401," ",""),3))&amp;"-"&amp;TEXT(B11401,"AAMMDD")&amp;"-1")</f>
        <v/>
      </c>
    </row>
    <row r="11402" spans="20:20">
      <c r="T11402" t="str">
        <f>IF(C11402="","",UPPER(LEFT(SUBSTITUTE(C11402," ",""),3))&amp;"-"&amp;TEXT(B11402,"AAMMDD")&amp;"-1")</f>
        <v/>
      </c>
    </row>
    <row r="11403" spans="20:20">
      <c r="T11403" t="str">
        <f>IF(C11403="","",UPPER(LEFT(SUBSTITUTE(C11403," ",""),3))&amp;"-"&amp;TEXT(B11403,"AAMMDD")&amp;"-1")</f>
        <v/>
      </c>
    </row>
    <row r="11404" spans="20:20">
      <c r="T11404" t="str">
        <f>IF(C11404="","",UPPER(LEFT(SUBSTITUTE(C11404," ",""),3))&amp;"-"&amp;TEXT(B11404,"AAMMDD")&amp;"-1")</f>
        <v/>
      </c>
    </row>
    <row r="11405" spans="20:20">
      <c r="T11405" t="str">
        <f>IF(C11405="","",UPPER(LEFT(SUBSTITUTE(C11405," ",""),3))&amp;"-"&amp;TEXT(B11405,"AAMMDD")&amp;"-1")</f>
        <v/>
      </c>
    </row>
    <row r="11406" spans="20:20">
      <c r="T11406" t="str">
        <f>IF(C11406="","",UPPER(LEFT(SUBSTITUTE(C11406," ",""),3))&amp;"-"&amp;TEXT(B11406,"AAMMDD")&amp;"-1")</f>
        <v/>
      </c>
    </row>
    <row r="11407" spans="20:20">
      <c r="T11407" t="str">
        <f>IF(C11407="","",UPPER(LEFT(SUBSTITUTE(C11407," ",""),3))&amp;"-"&amp;TEXT(B11407,"AAMMDD")&amp;"-1")</f>
        <v/>
      </c>
    </row>
    <row r="11408" spans="20:20">
      <c r="T11408" t="str">
        <f>IF(C11408="","",UPPER(LEFT(SUBSTITUTE(C11408," ",""),3))&amp;"-"&amp;TEXT(B11408,"AAMMDD")&amp;"-1")</f>
        <v/>
      </c>
    </row>
    <row r="11409" spans="20:20">
      <c r="T11409" t="str">
        <f>IF(C11409="","",UPPER(LEFT(SUBSTITUTE(C11409," ",""),3))&amp;"-"&amp;TEXT(B11409,"AAMMDD")&amp;"-1")</f>
        <v/>
      </c>
    </row>
    <row r="11410" spans="20:20">
      <c r="T11410" t="str">
        <f>IF(C11410="","",UPPER(LEFT(SUBSTITUTE(C11410," ",""),3))&amp;"-"&amp;TEXT(B11410,"AAMMDD")&amp;"-1")</f>
        <v/>
      </c>
    </row>
    <row r="11411" spans="20:20">
      <c r="T11411" t="str">
        <f>IF(C11411="","",UPPER(LEFT(SUBSTITUTE(C11411," ",""),3))&amp;"-"&amp;TEXT(B11411,"AAMMDD")&amp;"-1")</f>
        <v/>
      </c>
    </row>
    <row r="11412" spans="20:20">
      <c r="T11412" t="str">
        <f>IF(C11412="","",UPPER(LEFT(SUBSTITUTE(C11412," ",""),3))&amp;"-"&amp;TEXT(B11412,"AAMMDD")&amp;"-1")</f>
        <v/>
      </c>
    </row>
    <row r="11413" spans="20:20">
      <c r="T11413" t="str">
        <f>IF(C11413="","",UPPER(LEFT(SUBSTITUTE(C11413," ",""),3))&amp;"-"&amp;TEXT(B11413,"AAMMDD")&amp;"-1")</f>
        <v/>
      </c>
    </row>
    <row r="11414" spans="20:20">
      <c r="T11414" t="str">
        <f>IF(C11414="","",UPPER(LEFT(SUBSTITUTE(C11414," ",""),3))&amp;"-"&amp;TEXT(B11414,"AAMMDD")&amp;"-1")</f>
        <v/>
      </c>
    </row>
    <row r="11415" spans="20:20">
      <c r="T11415" t="str">
        <f>IF(C11415="","",UPPER(LEFT(SUBSTITUTE(C11415," ",""),3))&amp;"-"&amp;TEXT(B11415,"AAMMDD")&amp;"-1")</f>
        <v/>
      </c>
    </row>
    <row r="11416" spans="20:20">
      <c r="T11416" t="str">
        <f>IF(C11416="","",UPPER(LEFT(SUBSTITUTE(C11416," ",""),3))&amp;"-"&amp;TEXT(B11416,"AAMMDD")&amp;"-1")</f>
        <v/>
      </c>
    </row>
    <row r="11417" spans="20:20">
      <c r="T11417" t="str">
        <f>IF(C11417="","",UPPER(LEFT(SUBSTITUTE(C11417," ",""),3))&amp;"-"&amp;TEXT(B11417,"AAMMDD")&amp;"-1")</f>
        <v/>
      </c>
    </row>
    <row r="11418" spans="20:20">
      <c r="T11418" t="str">
        <f>IF(C11418="","",UPPER(LEFT(SUBSTITUTE(C11418," ",""),3))&amp;"-"&amp;TEXT(B11418,"AAMMDD")&amp;"-1")</f>
        <v/>
      </c>
    </row>
    <row r="11419" spans="20:20">
      <c r="T11419" t="str">
        <f>IF(C11419="","",UPPER(LEFT(SUBSTITUTE(C11419," ",""),3))&amp;"-"&amp;TEXT(B11419,"AAMMDD")&amp;"-1")</f>
        <v/>
      </c>
    </row>
    <row r="11420" spans="20:20">
      <c r="T11420" t="str">
        <f>IF(C11420="","",UPPER(LEFT(SUBSTITUTE(C11420," ",""),3))&amp;"-"&amp;TEXT(B11420,"AAMMDD")&amp;"-1")</f>
        <v/>
      </c>
    </row>
    <row r="11421" spans="20:20">
      <c r="T11421" t="str">
        <f>IF(C11421="","",UPPER(LEFT(SUBSTITUTE(C11421," ",""),3))&amp;"-"&amp;TEXT(B11421,"AAMMDD")&amp;"-1")</f>
        <v/>
      </c>
    </row>
    <row r="11422" spans="20:20">
      <c r="T11422" t="str">
        <f>IF(C11422="","",UPPER(LEFT(SUBSTITUTE(C11422," ",""),3))&amp;"-"&amp;TEXT(B11422,"AAMMDD")&amp;"-1")</f>
        <v/>
      </c>
    </row>
    <row r="11423" spans="20:20">
      <c r="T11423" t="str">
        <f>IF(C11423="","",UPPER(LEFT(SUBSTITUTE(C11423," ",""),3))&amp;"-"&amp;TEXT(B11423,"AAMMDD")&amp;"-1")</f>
        <v/>
      </c>
    </row>
    <row r="11424" spans="20:20">
      <c r="T11424" t="str">
        <f>IF(C11424="","",UPPER(LEFT(SUBSTITUTE(C11424," ",""),3))&amp;"-"&amp;TEXT(B11424,"AAMMDD")&amp;"-1")</f>
        <v/>
      </c>
    </row>
    <row r="11425" spans="20:20">
      <c r="T11425" t="str">
        <f>IF(C11425="","",UPPER(LEFT(SUBSTITUTE(C11425," ",""),3))&amp;"-"&amp;TEXT(B11425,"AAMMDD")&amp;"-1")</f>
        <v/>
      </c>
    </row>
    <row r="11426" spans="20:20">
      <c r="T11426" t="str">
        <f>IF(C11426="","",UPPER(LEFT(SUBSTITUTE(C11426," ",""),3))&amp;"-"&amp;TEXT(B11426,"AAMMDD")&amp;"-1")</f>
        <v/>
      </c>
    </row>
    <row r="11427" spans="20:20">
      <c r="T11427" t="str">
        <f>IF(C11427="","",UPPER(LEFT(SUBSTITUTE(C11427," ",""),3))&amp;"-"&amp;TEXT(B11427,"AAMMDD")&amp;"-1")</f>
        <v/>
      </c>
    </row>
    <row r="11428" spans="20:20">
      <c r="T11428" t="str">
        <f>IF(C11428="","",UPPER(LEFT(SUBSTITUTE(C11428," ",""),3))&amp;"-"&amp;TEXT(B11428,"AAMMDD")&amp;"-1")</f>
        <v/>
      </c>
    </row>
    <row r="11429" spans="20:20">
      <c r="T11429" t="str">
        <f>IF(C11429="","",UPPER(LEFT(SUBSTITUTE(C11429," ",""),3))&amp;"-"&amp;TEXT(B11429,"AAMMDD")&amp;"-1")</f>
        <v/>
      </c>
    </row>
    <row r="11430" spans="20:20">
      <c r="T11430" t="str">
        <f>IF(C11430="","",UPPER(LEFT(SUBSTITUTE(C11430," ",""),3))&amp;"-"&amp;TEXT(B11430,"AAMMDD")&amp;"-1")</f>
        <v/>
      </c>
    </row>
    <row r="11431" spans="20:20">
      <c r="T11431" t="str">
        <f>IF(C11431="","",UPPER(LEFT(SUBSTITUTE(C11431," ",""),3))&amp;"-"&amp;TEXT(B11431,"AAMMDD")&amp;"-1")</f>
        <v/>
      </c>
    </row>
    <row r="11432" spans="20:20">
      <c r="T11432" t="str">
        <f>IF(C11432="","",UPPER(LEFT(SUBSTITUTE(C11432," ",""),3))&amp;"-"&amp;TEXT(B11432,"AAMMDD")&amp;"-1")</f>
        <v/>
      </c>
    </row>
    <row r="11433" spans="20:20">
      <c r="T11433" t="str">
        <f>IF(C11433="","",UPPER(LEFT(SUBSTITUTE(C11433," ",""),3))&amp;"-"&amp;TEXT(B11433,"AAMMDD")&amp;"-1")</f>
        <v/>
      </c>
    </row>
    <row r="11434" spans="20:20">
      <c r="T11434" t="str">
        <f>IF(C11434="","",UPPER(LEFT(SUBSTITUTE(C11434," ",""),3))&amp;"-"&amp;TEXT(B11434,"AAMMDD")&amp;"-1")</f>
        <v/>
      </c>
    </row>
    <row r="11435" spans="20:20">
      <c r="T11435" t="str">
        <f>IF(C11435="","",UPPER(LEFT(SUBSTITUTE(C11435," ",""),3))&amp;"-"&amp;TEXT(B11435,"AAMMDD")&amp;"-1")</f>
        <v/>
      </c>
    </row>
    <row r="11436" spans="20:20">
      <c r="T11436" t="str">
        <f>IF(C11436="","",UPPER(LEFT(SUBSTITUTE(C11436," ",""),3))&amp;"-"&amp;TEXT(B11436,"AAMMDD")&amp;"-1")</f>
        <v/>
      </c>
    </row>
    <row r="11437" spans="20:20">
      <c r="T11437" t="str">
        <f>IF(C11437="","",UPPER(LEFT(SUBSTITUTE(C11437," ",""),3))&amp;"-"&amp;TEXT(B11437,"AAMMDD")&amp;"-1")</f>
        <v/>
      </c>
    </row>
    <row r="11438" spans="20:20">
      <c r="T11438" t="str">
        <f>IF(C11438="","",UPPER(LEFT(SUBSTITUTE(C11438," ",""),3))&amp;"-"&amp;TEXT(B11438,"AAMMDD")&amp;"-1")</f>
        <v/>
      </c>
    </row>
    <row r="11439" spans="20:20">
      <c r="T11439" t="str">
        <f>IF(C11439="","",UPPER(LEFT(SUBSTITUTE(C11439," ",""),3))&amp;"-"&amp;TEXT(B11439,"AAMMDD")&amp;"-1")</f>
        <v/>
      </c>
    </row>
    <row r="11440" spans="20:20">
      <c r="T11440" t="str">
        <f>IF(C11440="","",UPPER(LEFT(SUBSTITUTE(C11440," ",""),3))&amp;"-"&amp;TEXT(B11440,"AAMMDD")&amp;"-1")</f>
        <v/>
      </c>
    </row>
    <row r="11441" spans="20:20">
      <c r="T11441" t="str">
        <f>IF(C11441="","",UPPER(LEFT(SUBSTITUTE(C11441," ",""),3))&amp;"-"&amp;TEXT(B11441,"AAMMDD")&amp;"-1")</f>
        <v/>
      </c>
    </row>
    <row r="11442" spans="20:20">
      <c r="T11442" t="str">
        <f>IF(C11442="","",UPPER(LEFT(SUBSTITUTE(C11442," ",""),3))&amp;"-"&amp;TEXT(B11442,"AAMMDD")&amp;"-1")</f>
        <v/>
      </c>
    </row>
    <row r="11443" spans="20:20">
      <c r="T11443" t="str">
        <f>IF(C11443="","",UPPER(LEFT(SUBSTITUTE(C11443," ",""),3))&amp;"-"&amp;TEXT(B11443,"AAMMDD")&amp;"-1")</f>
        <v/>
      </c>
    </row>
    <row r="11444" spans="20:20">
      <c r="T11444" t="str">
        <f>IF(C11444="","",UPPER(LEFT(SUBSTITUTE(C11444," ",""),3))&amp;"-"&amp;TEXT(B11444,"AAMMDD")&amp;"-1")</f>
        <v/>
      </c>
    </row>
    <row r="11445" spans="20:20">
      <c r="T11445" t="str">
        <f>IF(C11445="","",UPPER(LEFT(SUBSTITUTE(C11445," ",""),3))&amp;"-"&amp;TEXT(B11445,"AAMMDD")&amp;"-1")</f>
        <v/>
      </c>
    </row>
    <row r="11446" spans="20:20">
      <c r="T11446" t="str">
        <f>IF(C11446="","",UPPER(LEFT(SUBSTITUTE(C11446," ",""),3))&amp;"-"&amp;TEXT(B11446,"AAMMDD")&amp;"-1")</f>
        <v/>
      </c>
    </row>
    <row r="11447" spans="20:20">
      <c r="T11447" t="str">
        <f>IF(C11447="","",UPPER(LEFT(SUBSTITUTE(C11447," ",""),3))&amp;"-"&amp;TEXT(B11447,"AAMMDD")&amp;"-1")</f>
        <v/>
      </c>
    </row>
    <row r="11448" spans="20:20">
      <c r="T11448" t="str">
        <f>IF(C11448="","",UPPER(LEFT(SUBSTITUTE(C11448," ",""),3))&amp;"-"&amp;TEXT(B11448,"AAMMDD")&amp;"-1")</f>
        <v/>
      </c>
    </row>
    <row r="11449" spans="20:20">
      <c r="T11449" t="str">
        <f>IF(C11449="","",UPPER(LEFT(SUBSTITUTE(C11449," ",""),3))&amp;"-"&amp;TEXT(B11449,"AAMMDD")&amp;"-1")</f>
        <v/>
      </c>
    </row>
    <row r="11450" spans="20:20">
      <c r="T11450" t="str">
        <f>IF(C11450="","",UPPER(LEFT(SUBSTITUTE(C11450," ",""),3))&amp;"-"&amp;TEXT(B11450,"AAMMDD")&amp;"-1")</f>
        <v/>
      </c>
    </row>
    <row r="11451" spans="20:20">
      <c r="T11451" t="str">
        <f>IF(C11451="","",UPPER(LEFT(SUBSTITUTE(C11451," ",""),3))&amp;"-"&amp;TEXT(B11451,"AAMMDD")&amp;"-1")</f>
        <v/>
      </c>
    </row>
    <row r="11452" spans="20:20">
      <c r="T11452" t="str">
        <f>IF(C11452="","",UPPER(LEFT(SUBSTITUTE(C11452," ",""),3))&amp;"-"&amp;TEXT(B11452,"AAMMDD")&amp;"-1")</f>
        <v/>
      </c>
    </row>
    <row r="11453" spans="20:20">
      <c r="T11453" t="str">
        <f>IF(C11453="","",UPPER(LEFT(SUBSTITUTE(C11453," ",""),3))&amp;"-"&amp;TEXT(B11453,"AAMMDD")&amp;"-1")</f>
        <v/>
      </c>
    </row>
    <row r="11454" spans="20:20">
      <c r="T11454" t="str">
        <f>IF(C11454="","",UPPER(LEFT(SUBSTITUTE(C11454," ",""),3))&amp;"-"&amp;TEXT(B11454,"AAMMDD")&amp;"-1")</f>
        <v/>
      </c>
    </row>
    <row r="11455" spans="20:20">
      <c r="T11455" t="str">
        <f>IF(C11455="","",UPPER(LEFT(SUBSTITUTE(C11455," ",""),3))&amp;"-"&amp;TEXT(B11455,"AAMMDD")&amp;"-1")</f>
        <v/>
      </c>
    </row>
    <row r="11456" spans="20:20">
      <c r="T11456" t="str">
        <f>IF(C11456="","",UPPER(LEFT(SUBSTITUTE(C11456," ",""),3))&amp;"-"&amp;TEXT(B11456,"AAMMDD")&amp;"-1")</f>
        <v/>
      </c>
    </row>
    <row r="11457" spans="20:20">
      <c r="T11457" t="str">
        <f>IF(C11457="","",UPPER(LEFT(SUBSTITUTE(C11457," ",""),3))&amp;"-"&amp;TEXT(B11457,"AAMMDD")&amp;"-1")</f>
        <v/>
      </c>
    </row>
    <row r="11458" spans="20:20">
      <c r="T11458" t="str">
        <f>IF(C11458="","",UPPER(LEFT(SUBSTITUTE(C11458," ",""),3))&amp;"-"&amp;TEXT(B11458,"AAMMDD")&amp;"-1")</f>
        <v/>
      </c>
    </row>
    <row r="11459" spans="20:20">
      <c r="T11459" t="str">
        <f>IF(C11459="","",UPPER(LEFT(SUBSTITUTE(C11459," ",""),3))&amp;"-"&amp;TEXT(B11459,"AAMMDD")&amp;"-1")</f>
        <v/>
      </c>
    </row>
    <row r="11460" spans="20:20">
      <c r="T11460" t="str">
        <f>IF(C11460="","",UPPER(LEFT(SUBSTITUTE(C11460," ",""),3))&amp;"-"&amp;TEXT(B11460,"AAMMDD")&amp;"-1")</f>
        <v/>
      </c>
    </row>
    <row r="11461" spans="20:20">
      <c r="T11461" t="str">
        <f>IF(C11461="","",UPPER(LEFT(SUBSTITUTE(C11461," ",""),3))&amp;"-"&amp;TEXT(B11461,"AAMMDD")&amp;"-1")</f>
        <v/>
      </c>
    </row>
    <row r="11462" spans="20:20">
      <c r="T11462" t="str">
        <f>IF(C11462="","",UPPER(LEFT(SUBSTITUTE(C11462," ",""),3))&amp;"-"&amp;TEXT(B11462,"AAMMDD")&amp;"-1")</f>
        <v/>
      </c>
    </row>
    <row r="11463" spans="20:20">
      <c r="T11463" t="str">
        <f>IF(C11463="","",UPPER(LEFT(SUBSTITUTE(C11463," ",""),3))&amp;"-"&amp;TEXT(B11463,"AAMMDD")&amp;"-1")</f>
        <v/>
      </c>
    </row>
    <row r="11464" spans="20:20">
      <c r="T11464" t="str">
        <f>IF(C11464="","",UPPER(LEFT(SUBSTITUTE(C11464," ",""),3))&amp;"-"&amp;TEXT(B11464,"AAMMDD")&amp;"-1")</f>
        <v/>
      </c>
    </row>
    <row r="11465" spans="20:20">
      <c r="T11465" t="str">
        <f>IF(C11465="","",UPPER(LEFT(SUBSTITUTE(C11465," ",""),3))&amp;"-"&amp;TEXT(B11465,"AAMMDD")&amp;"-1")</f>
        <v/>
      </c>
    </row>
    <row r="11466" spans="20:20">
      <c r="T11466" t="str">
        <f>IF(C11466="","",UPPER(LEFT(SUBSTITUTE(C11466," ",""),3))&amp;"-"&amp;TEXT(B11466,"AAMMDD")&amp;"-1")</f>
        <v/>
      </c>
    </row>
    <row r="11467" spans="20:20">
      <c r="T11467" t="str">
        <f>IF(C11467="","",UPPER(LEFT(SUBSTITUTE(C11467," ",""),3))&amp;"-"&amp;TEXT(B11467,"AAMMDD")&amp;"-1")</f>
        <v/>
      </c>
    </row>
    <row r="11468" spans="20:20">
      <c r="T11468" t="str">
        <f>IF(C11468="","",UPPER(LEFT(SUBSTITUTE(C11468," ",""),3))&amp;"-"&amp;TEXT(B11468,"AAMMDD")&amp;"-1")</f>
        <v/>
      </c>
    </row>
    <row r="11469" spans="20:20">
      <c r="T11469" t="str">
        <f>IF(C11469="","",UPPER(LEFT(SUBSTITUTE(C11469," ",""),3))&amp;"-"&amp;TEXT(B11469,"AAMMDD")&amp;"-1")</f>
        <v/>
      </c>
    </row>
    <row r="11470" spans="20:20">
      <c r="T11470" t="str">
        <f>IF(C11470="","",UPPER(LEFT(SUBSTITUTE(C11470," ",""),3))&amp;"-"&amp;TEXT(B11470,"AAMMDD")&amp;"-1")</f>
        <v/>
      </c>
    </row>
    <row r="11471" spans="20:20">
      <c r="T11471" t="str">
        <f>IF(C11471="","",UPPER(LEFT(SUBSTITUTE(C11471," ",""),3))&amp;"-"&amp;TEXT(B11471,"AAMMDD")&amp;"-1")</f>
        <v/>
      </c>
    </row>
    <row r="11472" spans="20:20">
      <c r="T11472" t="str">
        <f>IF(C11472="","",UPPER(LEFT(SUBSTITUTE(C11472," ",""),3))&amp;"-"&amp;TEXT(B11472,"AAMMDD")&amp;"-1")</f>
        <v/>
      </c>
    </row>
    <row r="11473" spans="20:20">
      <c r="T11473" t="str">
        <f>IF(C11473="","",UPPER(LEFT(SUBSTITUTE(C11473," ",""),3))&amp;"-"&amp;TEXT(B11473,"AAMMDD")&amp;"-1")</f>
        <v/>
      </c>
    </row>
    <row r="11474" spans="20:20">
      <c r="T11474" t="str">
        <f>IF(C11474="","",UPPER(LEFT(SUBSTITUTE(C11474," ",""),3))&amp;"-"&amp;TEXT(B11474,"AAMMDD")&amp;"-1")</f>
        <v/>
      </c>
    </row>
    <row r="11475" spans="20:20">
      <c r="T11475" t="str">
        <f>IF(C11475="","",UPPER(LEFT(SUBSTITUTE(C11475," ",""),3))&amp;"-"&amp;TEXT(B11475,"AAMMDD")&amp;"-1")</f>
        <v/>
      </c>
    </row>
    <row r="11476" spans="20:20">
      <c r="T11476" t="str">
        <f>IF(C11476="","",UPPER(LEFT(SUBSTITUTE(C11476," ",""),3))&amp;"-"&amp;TEXT(B11476,"AAMMDD")&amp;"-1")</f>
        <v/>
      </c>
    </row>
    <row r="11477" spans="20:20">
      <c r="T11477" t="str">
        <f>IF(C11477="","",UPPER(LEFT(SUBSTITUTE(C11477," ",""),3))&amp;"-"&amp;TEXT(B11477,"AAMMDD")&amp;"-1")</f>
        <v/>
      </c>
    </row>
    <row r="11478" spans="20:20">
      <c r="T11478" t="str">
        <f>IF(C11478="","",UPPER(LEFT(SUBSTITUTE(C11478," ",""),3))&amp;"-"&amp;TEXT(B11478,"AAMMDD")&amp;"-1")</f>
        <v/>
      </c>
    </row>
    <row r="11479" spans="20:20">
      <c r="T11479" t="str">
        <f>IF(C11479="","",UPPER(LEFT(SUBSTITUTE(C11479," ",""),3))&amp;"-"&amp;TEXT(B11479,"AAMMDD")&amp;"-1")</f>
        <v/>
      </c>
    </row>
    <row r="11480" spans="20:20">
      <c r="T11480" t="str">
        <f>IF(C11480="","",UPPER(LEFT(SUBSTITUTE(C11480," ",""),3))&amp;"-"&amp;TEXT(B11480,"AAMMDD")&amp;"-1")</f>
        <v/>
      </c>
    </row>
    <row r="11481" spans="20:20">
      <c r="T11481" t="str">
        <f>IF(C11481="","",UPPER(LEFT(SUBSTITUTE(C11481," ",""),3))&amp;"-"&amp;TEXT(B11481,"AAMMDD")&amp;"-1")</f>
        <v/>
      </c>
    </row>
    <row r="11482" spans="20:20">
      <c r="T11482" t="str">
        <f>IF(C11482="","",UPPER(LEFT(SUBSTITUTE(C11482," ",""),3))&amp;"-"&amp;TEXT(B11482,"AAMMDD")&amp;"-1")</f>
        <v/>
      </c>
    </row>
    <row r="11483" spans="20:20">
      <c r="T11483" t="str">
        <f>IF(C11483="","",UPPER(LEFT(SUBSTITUTE(C11483," ",""),3))&amp;"-"&amp;TEXT(B11483,"AAMMDD")&amp;"-1")</f>
        <v/>
      </c>
    </row>
    <row r="11484" spans="20:20">
      <c r="T11484" t="str">
        <f>IF(C11484="","",UPPER(LEFT(SUBSTITUTE(C11484," ",""),3))&amp;"-"&amp;TEXT(B11484,"AAMMDD")&amp;"-1")</f>
        <v/>
      </c>
    </row>
    <row r="11485" spans="20:20">
      <c r="T11485" t="str">
        <f>IF(C11485="","",UPPER(LEFT(SUBSTITUTE(C11485," ",""),3))&amp;"-"&amp;TEXT(B11485,"AAMMDD")&amp;"-1")</f>
        <v/>
      </c>
    </row>
    <row r="11486" spans="20:20">
      <c r="T11486" t="str">
        <f>IF(C11486="","",UPPER(LEFT(SUBSTITUTE(C11486," ",""),3))&amp;"-"&amp;TEXT(B11486,"AAMMDD")&amp;"-1")</f>
        <v/>
      </c>
    </row>
    <row r="11487" spans="20:20">
      <c r="T11487" t="str">
        <f>IF(C11487="","",UPPER(LEFT(SUBSTITUTE(C11487," ",""),3))&amp;"-"&amp;TEXT(B11487,"AAMMDD")&amp;"-1")</f>
        <v/>
      </c>
    </row>
    <row r="11488" spans="20:20">
      <c r="T11488" t="str">
        <f>IF(C11488="","",UPPER(LEFT(SUBSTITUTE(C11488," ",""),3))&amp;"-"&amp;TEXT(B11488,"AAMMDD")&amp;"-1")</f>
        <v/>
      </c>
    </row>
    <row r="11489" spans="20:20">
      <c r="T11489" t="str">
        <f>IF(C11489="","",UPPER(LEFT(SUBSTITUTE(C11489," ",""),3))&amp;"-"&amp;TEXT(B11489,"AAMMDD")&amp;"-1")</f>
        <v/>
      </c>
    </row>
    <row r="11490" spans="20:20">
      <c r="T11490" t="str">
        <f>IF(C11490="","",UPPER(LEFT(SUBSTITUTE(C11490," ",""),3))&amp;"-"&amp;TEXT(B11490,"AAMMDD")&amp;"-1")</f>
        <v/>
      </c>
    </row>
    <row r="11491" spans="20:20">
      <c r="T11491" t="str">
        <f>IF(C11491="","",UPPER(LEFT(SUBSTITUTE(C11491," ",""),3))&amp;"-"&amp;TEXT(B11491,"AAMMDD")&amp;"-1")</f>
        <v/>
      </c>
    </row>
    <row r="11492" spans="20:20">
      <c r="T11492" t="str">
        <f>IF(C11492="","",UPPER(LEFT(SUBSTITUTE(C11492," ",""),3))&amp;"-"&amp;TEXT(B11492,"AAMMDD")&amp;"-1")</f>
        <v/>
      </c>
    </row>
    <row r="11493" spans="20:20">
      <c r="T11493" t="str">
        <f>IF(C11493="","",UPPER(LEFT(SUBSTITUTE(C11493," ",""),3))&amp;"-"&amp;TEXT(B11493,"AAMMDD")&amp;"-1")</f>
        <v/>
      </c>
    </row>
    <row r="11494" spans="20:20">
      <c r="T11494" t="str">
        <f>IF(C11494="","",UPPER(LEFT(SUBSTITUTE(C11494," ",""),3))&amp;"-"&amp;TEXT(B11494,"AAMMDD")&amp;"-1")</f>
        <v/>
      </c>
    </row>
    <row r="11495" spans="20:20">
      <c r="T11495" t="str">
        <f>IF(C11495="","",UPPER(LEFT(SUBSTITUTE(C11495," ",""),3))&amp;"-"&amp;TEXT(B11495,"AAMMDD")&amp;"-1")</f>
        <v/>
      </c>
    </row>
    <row r="11496" spans="20:20">
      <c r="T11496" t="str">
        <f>IF(C11496="","",UPPER(LEFT(SUBSTITUTE(C11496," ",""),3))&amp;"-"&amp;TEXT(B11496,"AAMMDD")&amp;"-1")</f>
        <v/>
      </c>
    </row>
    <row r="11497" spans="20:20">
      <c r="T11497" t="str">
        <f>IF(C11497="","",UPPER(LEFT(SUBSTITUTE(C11497," ",""),3))&amp;"-"&amp;TEXT(B11497,"AAMMDD")&amp;"-1")</f>
        <v/>
      </c>
    </row>
    <row r="11498" spans="20:20">
      <c r="T11498" t="str">
        <f>IF(C11498="","",UPPER(LEFT(SUBSTITUTE(C11498," ",""),3))&amp;"-"&amp;TEXT(B11498,"AAMMDD")&amp;"-1")</f>
        <v/>
      </c>
    </row>
    <row r="11499" spans="20:20">
      <c r="T11499" t="str">
        <f>IF(C11499="","",UPPER(LEFT(SUBSTITUTE(C11499," ",""),3))&amp;"-"&amp;TEXT(B11499,"AAMMDD")&amp;"-1")</f>
        <v/>
      </c>
    </row>
    <row r="11500" spans="20:20">
      <c r="T11500" t="str">
        <f>IF(C11500="","",UPPER(LEFT(SUBSTITUTE(C11500," ",""),3))&amp;"-"&amp;TEXT(B11500,"AAMMDD")&amp;"-1")</f>
        <v/>
      </c>
    </row>
    <row r="11501" spans="20:20">
      <c r="T11501" t="str">
        <f>IF(C11501="","",UPPER(LEFT(SUBSTITUTE(C11501," ",""),3))&amp;"-"&amp;TEXT(B11501,"AAMMDD")&amp;"-1")</f>
        <v/>
      </c>
    </row>
    <row r="11502" spans="20:20">
      <c r="T11502" t="str">
        <f>IF(C11502="","",UPPER(LEFT(SUBSTITUTE(C11502," ",""),3))&amp;"-"&amp;TEXT(B11502,"AAMMDD")&amp;"-1")</f>
        <v/>
      </c>
    </row>
    <row r="11503" spans="20:20">
      <c r="T11503" t="str">
        <f>IF(C11503="","",UPPER(LEFT(SUBSTITUTE(C11503," ",""),3))&amp;"-"&amp;TEXT(B11503,"AAMMDD")&amp;"-1")</f>
        <v/>
      </c>
    </row>
    <row r="11504" spans="20:20">
      <c r="T11504" t="str">
        <f>IF(C11504="","",UPPER(LEFT(SUBSTITUTE(C11504," ",""),3))&amp;"-"&amp;TEXT(B11504,"AAMMDD")&amp;"-1")</f>
        <v/>
      </c>
    </row>
    <row r="11505" spans="20:20">
      <c r="T11505" t="str">
        <f>IF(C11505="","",UPPER(LEFT(SUBSTITUTE(C11505," ",""),3))&amp;"-"&amp;TEXT(B11505,"AAMMDD")&amp;"-1")</f>
        <v/>
      </c>
    </row>
    <row r="11506" spans="20:20">
      <c r="T11506" t="str">
        <f>IF(C11506="","",UPPER(LEFT(SUBSTITUTE(C11506," ",""),3))&amp;"-"&amp;TEXT(B11506,"AAMMDD")&amp;"-1")</f>
        <v/>
      </c>
    </row>
    <row r="11507" spans="20:20">
      <c r="T11507" t="str">
        <f>IF(C11507="","",UPPER(LEFT(SUBSTITUTE(C11507," ",""),3))&amp;"-"&amp;TEXT(B11507,"AAMMDD")&amp;"-1")</f>
        <v/>
      </c>
    </row>
    <row r="11508" spans="20:20">
      <c r="T11508" t="str">
        <f>IF(C11508="","",UPPER(LEFT(SUBSTITUTE(C11508," ",""),3))&amp;"-"&amp;TEXT(B11508,"AAMMDD")&amp;"-1")</f>
        <v/>
      </c>
    </row>
    <row r="11509" spans="20:20">
      <c r="T11509" t="str">
        <f>IF(C11509="","",UPPER(LEFT(SUBSTITUTE(C11509," ",""),3))&amp;"-"&amp;TEXT(B11509,"AAMMDD")&amp;"-1")</f>
        <v/>
      </c>
    </row>
    <row r="11510" spans="20:20">
      <c r="T11510" t="str">
        <f>IF(C11510="","",UPPER(LEFT(SUBSTITUTE(C11510," ",""),3))&amp;"-"&amp;TEXT(B11510,"AAMMDD")&amp;"-1")</f>
        <v/>
      </c>
    </row>
    <row r="11511" spans="20:20">
      <c r="T11511" t="str">
        <f>IF(C11511="","",UPPER(LEFT(SUBSTITUTE(C11511," ",""),3))&amp;"-"&amp;TEXT(B11511,"AAMMDD")&amp;"-1")</f>
        <v/>
      </c>
    </row>
    <row r="11512" spans="20:20">
      <c r="T11512" t="str">
        <f>IF(C11512="","",UPPER(LEFT(SUBSTITUTE(C11512," ",""),3))&amp;"-"&amp;TEXT(B11512,"AAMMDD")&amp;"-1")</f>
        <v/>
      </c>
    </row>
    <row r="11513" spans="20:20">
      <c r="T11513" t="str">
        <f>IF(C11513="","",UPPER(LEFT(SUBSTITUTE(C11513," ",""),3))&amp;"-"&amp;TEXT(B11513,"AAMMDD")&amp;"-1")</f>
        <v/>
      </c>
    </row>
    <row r="11514" spans="20:20">
      <c r="T11514" t="str">
        <f>IF(C11514="","",UPPER(LEFT(SUBSTITUTE(C11514," ",""),3))&amp;"-"&amp;TEXT(B11514,"AAMMDD")&amp;"-1")</f>
        <v/>
      </c>
    </row>
    <row r="11515" spans="20:20">
      <c r="T11515" t="str">
        <f>IF(C11515="","",UPPER(LEFT(SUBSTITUTE(C11515," ",""),3))&amp;"-"&amp;TEXT(B11515,"AAMMDD")&amp;"-1")</f>
        <v/>
      </c>
    </row>
    <row r="11516" spans="20:20">
      <c r="T11516" t="str">
        <f>IF(C11516="","",UPPER(LEFT(SUBSTITUTE(C11516," ",""),3))&amp;"-"&amp;TEXT(B11516,"AAMMDD")&amp;"-1")</f>
        <v/>
      </c>
    </row>
    <row r="11517" spans="20:20">
      <c r="T11517" t="str">
        <f>IF(C11517="","",UPPER(LEFT(SUBSTITUTE(C11517," ",""),3))&amp;"-"&amp;TEXT(B11517,"AAMMDD")&amp;"-1")</f>
        <v/>
      </c>
    </row>
    <row r="11518" spans="20:20">
      <c r="T11518" t="str">
        <f>IF(C11518="","",UPPER(LEFT(SUBSTITUTE(C11518," ",""),3))&amp;"-"&amp;TEXT(B11518,"AAMMDD")&amp;"-1")</f>
        <v/>
      </c>
    </row>
    <row r="11519" spans="20:20">
      <c r="T11519" t="str">
        <f>IF(C11519="","",UPPER(LEFT(SUBSTITUTE(C11519," ",""),3))&amp;"-"&amp;TEXT(B11519,"AAMMDD")&amp;"-1")</f>
        <v/>
      </c>
    </row>
    <row r="11520" spans="20:20">
      <c r="T11520" t="str">
        <f>IF(C11520="","",UPPER(LEFT(SUBSTITUTE(C11520," ",""),3))&amp;"-"&amp;TEXT(B11520,"AAMMDD")&amp;"-1")</f>
        <v/>
      </c>
    </row>
    <row r="11521" spans="20:20">
      <c r="T11521" t="str">
        <f>IF(C11521="","",UPPER(LEFT(SUBSTITUTE(C11521," ",""),3))&amp;"-"&amp;TEXT(B11521,"AAMMDD")&amp;"-1")</f>
        <v/>
      </c>
    </row>
    <row r="11522" spans="20:20">
      <c r="T11522" t="str">
        <f>IF(C11522="","",UPPER(LEFT(SUBSTITUTE(C11522," ",""),3))&amp;"-"&amp;TEXT(B11522,"AAMMDD")&amp;"-1")</f>
        <v/>
      </c>
    </row>
    <row r="11523" spans="20:20">
      <c r="T11523" t="str">
        <f>IF(C11523="","",UPPER(LEFT(SUBSTITUTE(C11523," ",""),3))&amp;"-"&amp;TEXT(B11523,"AAMMDD")&amp;"-1")</f>
        <v/>
      </c>
    </row>
    <row r="11524" spans="20:20">
      <c r="T11524" t="str">
        <f>IF(C11524="","",UPPER(LEFT(SUBSTITUTE(C11524," ",""),3))&amp;"-"&amp;TEXT(B11524,"AAMMDD")&amp;"-1")</f>
        <v/>
      </c>
    </row>
    <row r="11525" spans="20:20">
      <c r="T11525" t="str">
        <f>IF(C11525="","",UPPER(LEFT(SUBSTITUTE(C11525," ",""),3))&amp;"-"&amp;TEXT(B11525,"AAMMDD")&amp;"-1")</f>
        <v/>
      </c>
    </row>
    <row r="11526" spans="20:20">
      <c r="T11526" t="str">
        <f>IF(C11526="","",UPPER(LEFT(SUBSTITUTE(C11526," ",""),3))&amp;"-"&amp;TEXT(B11526,"AAMMDD")&amp;"-1")</f>
        <v/>
      </c>
    </row>
    <row r="11527" spans="20:20">
      <c r="T11527" t="str">
        <f>IF(C11527="","",UPPER(LEFT(SUBSTITUTE(C11527," ",""),3))&amp;"-"&amp;TEXT(B11527,"AAMMDD")&amp;"-1")</f>
        <v/>
      </c>
    </row>
    <row r="11528" spans="20:20">
      <c r="T11528" t="str">
        <f>IF(C11528="","",UPPER(LEFT(SUBSTITUTE(C11528," ",""),3))&amp;"-"&amp;TEXT(B11528,"AAMMDD")&amp;"-1")</f>
        <v/>
      </c>
    </row>
    <row r="11529" spans="20:20">
      <c r="T11529" t="str">
        <f>IF(C11529="","",UPPER(LEFT(SUBSTITUTE(C11529," ",""),3))&amp;"-"&amp;TEXT(B11529,"AAMMDD")&amp;"-1")</f>
        <v/>
      </c>
    </row>
    <row r="11530" spans="20:20">
      <c r="T11530" t="str">
        <f>IF(C11530="","",UPPER(LEFT(SUBSTITUTE(C11530," ",""),3))&amp;"-"&amp;TEXT(B11530,"AAMMDD")&amp;"-1")</f>
        <v/>
      </c>
    </row>
    <row r="11531" spans="20:20">
      <c r="T11531" t="str">
        <f>IF(C11531="","",UPPER(LEFT(SUBSTITUTE(C11531," ",""),3))&amp;"-"&amp;TEXT(B11531,"AAMMDD")&amp;"-1")</f>
        <v/>
      </c>
    </row>
    <row r="11532" spans="20:20">
      <c r="T11532" t="str">
        <f>IF(C11532="","",UPPER(LEFT(SUBSTITUTE(C11532," ",""),3))&amp;"-"&amp;TEXT(B11532,"AAMMDD")&amp;"-1")</f>
        <v/>
      </c>
    </row>
    <row r="11533" spans="20:20">
      <c r="T11533" t="str">
        <f>IF(C11533="","",UPPER(LEFT(SUBSTITUTE(C11533," ",""),3))&amp;"-"&amp;TEXT(B11533,"AAMMDD")&amp;"-1")</f>
        <v/>
      </c>
    </row>
    <row r="11534" spans="20:20">
      <c r="T11534" t="str">
        <f>IF(C11534="","",UPPER(LEFT(SUBSTITUTE(C11534," ",""),3))&amp;"-"&amp;TEXT(B11534,"AAMMDD")&amp;"-1")</f>
        <v/>
      </c>
    </row>
    <row r="11535" spans="20:20">
      <c r="T11535" t="str">
        <f>IF(C11535="","",UPPER(LEFT(SUBSTITUTE(C11535," ",""),3))&amp;"-"&amp;TEXT(B11535,"AAMMDD")&amp;"-1")</f>
        <v/>
      </c>
    </row>
    <row r="11536" spans="20:20">
      <c r="T11536" t="str">
        <f>IF(C11536="","",UPPER(LEFT(SUBSTITUTE(C11536," ",""),3))&amp;"-"&amp;TEXT(B11536,"AAMMDD")&amp;"-1")</f>
        <v/>
      </c>
    </row>
    <row r="11537" spans="20:20">
      <c r="T11537" t="str">
        <f>IF(C11537="","",UPPER(LEFT(SUBSTITUTE(C11537," ",""),3))&amp;"-"&amp;TEXT(B11537,"AAMMDD")&amp;"-1")</f>
        <v/>
      </c>
    </row>
    <row r="11538" spans="20:20">
      <c r="T11538" t="str">
        <f>IF(C11538="","",UPPER(LEFT(SUBSTITUTE(C11538," ",""),3))&amp;"-"&amp;TEXT(B11538,"AAMMDD")&amp;"-1")</f>
        <v/>
      </c>
    </row>
    <row r="11539" spans="20:20">
      <c r="T11539" t="str">
        <f>IF(C11539="","",UPPER(LEFT(SUBSTITUTE(C11539," ",""),3))&amp;"-"&amp;TEXT(B11539,"AAMMDD")&amp;"-1")</f>
        <v/>
      </c>
    </row>
    <row r="11540" spans="20:20">
      <c r="T11540" t="str">
        <f>IF(C11540="","",UPPER(LEFT(SUBSTITUTE(C11540," ",""),3))&amp;"-"&amp;TEXT(B11540,"AAMMDD")&amp;"-1")</f>
        <v/>
      </c>
    </row>
    <row r="11541" spans="20:20">
      <c r="T11541" t="str">
        <f>IF(C11541="","",UPPER(LEFT(SUBSTITUTE(C11541," ",""),3))&amp;"-"&amp;TEXT(B11541,"AAMMDD")&amp;"-1")</f>
        <v/>
      </c>
    </row>
    <row r="11542" spans="20:20">
      <c r="T11542" t="str">
        <f>IF(C11542="","",UPPER(LEFT(SUBSTITUTE(C11542," ",""),3))&amp;"-"&amp;TEXT(B11542,"AAMMDD")&amp;"-1")</f>
        <v/>
      </c>
    </row>
    <row r="11543" spans="20:20">
      <c r="T11543" t="str">
        <f>IF(C11543="","",UPPER(LEFT(SUBSTITUTE(C11543," ",""),3))&amp;"-"&amp;TEXT(B11543,"AAMMDD")&amp;"-1")</f>
        <v/>
      </c>
    </row>
    <row r="11544" spans="20:20">
      <c r="T11544" t="str">
        <f>IF(C11544="","",UPPER(LEFT(SUBSTITUTE(C11544," ",""),3))&amp;"-"&amp;TEXT(B11544,"AAMMDD")&amp;"-1")</f>
        <v/>
      </c>
    </row>
    <row r="11545" spans="20:20">
      <c r="T11545" t="str">
        <f>IF(C11545="","",UPPER(LEFT(SUBSTITUTE(C11545," ",""),3))&amp;"-"&amp;TEXT(B11545,"AAMMDD")&amp;"-1")</f>
        <v/>
      </c>
    </row>
    <row r="11546" spans="20:20">
      <c r="T11546" t="str">
        <f>IF(C11546="","",UPPER(LEFT(SUBSTITUTE(C11546," ",""),3))&amp;"-"&amp;TEXT(B11546,"AAMMDD")&amp;"-1")</f>
        <v/>
      </c>
    </row>
    <row r="11547" spans="20:20">
      <c r="T11547" t="str">
        <f>IF(C11547="","",UPPER(LEFT(SUBSTITUTE(C11547," ",""),3))&amp;"-"&amp;TEXT(B11547,"AAMMDD")&amp;"-1")</f>
        <v/>
      </c>
    </row>
    <row r="11548" spans="20:20">
      <c r="T11548" t="str">
        <f>IF(C11548="","",UPPER(LEFT(SUBSTITUTE(C11548," ",""),3))&amp;"-"&amp;TEXT(B11548,"AAMMDD")&amp;"-1")</f>
        <v/>
      </c>
    </row>
    <row r="11549" spans="20:20">
      <c r="T11549" t="str">
        <f>IF(C11549="","",UPPER(LEFT(SUBSTITUTE(C11549," ",""),3))&amp;"-"&amp;TEXT(B11549,"AAMMDD")&amp;"-1")</f>
        <v/>
      </c>
    </row>
    <row r="11550" spans="20:20">
      <c r="T11550" t="str">
        <f>IF(C11550="","",UPPER(LEFT(SUBSTITUTE(C11550," ",""),3))&amp;"-"&amp;TEXT(B11550,"AAMMDD")&amp;"-1")</f>
        <v/>
      </c>
    </row>
    <row r="11551" spans="20:20">
      <c r="T11551" t="str">
        <f>IF(C11551="","",UPPER(LEFT(SUBSTITUTE(C11551," ",""),3))&amp;"-"&amp;TEXT(B11551,"AAMMDD")&amp;"-1")</f>
        <v/>
      </c>
    </row>
    <row r="11552" spans="20:20">
      <c r="T11552" t="str">
        <f>IF(C11552="","",UPPER(LEFT(SUBSTITUTE(C11552," ",""),3))&amp;"-"&amp;TEXT(B11552,"AAMMDD")&amp;"-1")</f>
        <v/>
      </c>
    </row>
    <row r="11553" spans="20:20">
      <c r="T11553" t="str">
        <f>IF(C11553="","",UPPER(LEFT(SUBSTITUTE(C11553," ",""),3))&amp;"-"&amp;TEXT(B11553,"AAMMDD")&amp;"-1")</f>
        <v/>
      </c>
    </row>
    <row r="11554" spans="20:20">
      <c r="T11554" t="str">
        <f>IF(C11554="","",UPPER(LEFT(SUBSTITUTE(C11554," ",""),3))&amp;"-"&amp;TEXT(B11554,"AAMMDD")&amp;"-1")</f>
        <v/>
      </c>
    </row>
    <row r="11555" spans="20:20">
      <c r="T11555" t="str">
        <f>IF(C11555="","",UPPER(LEFT(SUBSTITUTE(C11555," ",""),3))&amp;"-"&amp;TEXT(B11555,"AAMMDD")&amp;"-1")</f>
        <v/>
      </c>
    </row>
    <row r="11556" spans="20:20">
      <c r="T11556" t="str">
        <f>IF(C11556="","",UPPER(LEFT(SUBSTITUTE(C11556," ",""),3))&amp;"-"&amp;TEXT(B11556,"AAMMDD")&amp;"-1")</f>
        <v/>
      </c>
    </row>
    <row r="11557" spans="20:20">
      <c r="T11557" t="str">
        <f>IF(C11557="","",UPPER(LEFT(SUBSTITUTE(C11557," ",""),3))&amp;"-"&amp;TEXT(B11557,"AAMMDD")&amp;"-1")</f>
        <v/>
      </c>
    </row>
    <row r="11558" spans="20:20">
      <c r="T11558" t="str">
        <f>IF(C11558="","",UPPER(LEFT(SUBSTITUTE(C11558," ",""),3))&amp;"-"&amp;TEXT(B11558,"AAMMDD")&amp;"-1")</f>
        <v/>
      </c>
    </row>
    <row r="11559" spans="20:20">
      <c r="T11559" t="str">
        <f>IF(C11559="","",UPPER(LEFT(SUBSTITUTE(C11559," ",""),3))&amp;"-"&amp;TEXT(B11559,"AAMMDD")&amp;"-1")</f>
        <v/>
      </c>
    </row>
    <row r="11560" spans="20:20">
      <c r="T11560" t="str">
        <f>IF(C11560="","",UPPER(LEFT(SUBSTITUTE(C11560," ",""),3))&amp;"-"&amp;TEXT(B11560,"AAMMDD")&amp;"-1")</f>
        <v/>
      </c>
    </row>
    <row r="11561" spans="20:20">
      <c r="T11561" t="str">
        <f>IF(C11561="","",UPPER(LEFT(SUBSTITUTE(C11561," ",""),3))&amp;"-"&amp;TEXT(B11561,"AAMMDD")&amp;"-1")</f>
        <v/>
      </c>
    </row>
    <row r="11562" spans="20:20">
      <c r="T11562" t="str">
        <f>IF(C11562="","",UPPER(LEFT(SUBSTITUTE(C11562," ",""),3))&amp;"-"&amp;TEXT(B11562,"AAMMDD")&amp;"-1")</f>
        <v/>
      </c>
    </row>
    <row r="11563" spans="20:20">
      <c r="T11563" t="str">
        <f>IF(C11563="","",UPPER(LEFT(SUBSTITUTE(C11563," ",""),3))&amp;"-"&amp;TEXT(B11563,"AAMMDD")&amp;"-1")</f>
        <v/>
      </c>
    </row>
    <row r="11564" spans="20:20">
      <c r="T11564" t="str">
        <f>IF(C11564="","",UPPER(LEFT(SUBSTITUTE(C11564," ",""),3))&amp;"-"&amp;TEXT(B11564,"AAMMDD")&amp;"-1")</f>
        <v/>
      </c>
    </row>
    <row r="11565" spans="20:20">
      <c r="T11565" t="str">
        <f>IF(C11565="","",UPPER(LEFT(SUBSTITUTE(C11565," ",""),3))&amp;"-"&amp;TEXT(B11565,"AAMMDD")&amp;"-1")</f>
        <v/>
      </c>
    </row>
    <row r="11566" spans="20:20">
      <c r="T11566" t="str">
        <f>IF(C11566="","",UPPER(LEFT(SUBSTITUTE(C11566," ",""),3))&amp;"-"&amp;TEXT(B11566,"AAMMDD")&amp;"-1")</f>
        <v/>
      </c>
    </row>
    <row r="11567" spans="20:20">
      <c r="T11567" t="str">
        <f>IF(C11567="","",UPPER(LEFT(SUBSTITUTE(C11567," ",""),3))&amp;"-"&amp;TEXT(B11567,"AAMMDD")&amp;"-1")</f>
        <v/>
      </c>
    </row>
    <row r="11568" spans="20:20">
      <c r="T11568" t="str">
        <f>IF(C11568="","",UPPER(LEFT(SUBSTITUTE(C11568," ",""),3))&amp;"-"&amp;TEXT(B11568,"AAMMDD")&amp;"-1")</f>
        <v/>
      </c>
    </row>
    <row r="11569" spans="20:20">
      <c r="T11569" t="str">
        <f>IF(C11569="","",UPPER(LEFT(SUBSTITUTE(C11569," ",""),3))&amp;"-"&amp;TEXT(B11569,"AAMMDD")&amp;"-1")</f>
        <v/>
      </c>
    </row>
    <row r="11570" spans="20:20">
      <c r="T11570" t="str">
        <f>IF(C11570="","",UPPER(LEFT(SUBSTITUTE(C11570," ",""),3))&amp;"-"&amp;TEXT(B11570,"AAMMDD")&amp;"-1")</f>
        <v/>
      </c>
    </row>
    <row r="11571" spans="20:20">
      <c r="T11571" t="str">
        <f>IF(C11571="","",UPPER(LEFT(SUBSTITUTE(C11571," ",""),3))&amp;"-"&amp;TEXT(B11571,"AAMMDD")&amp;"-1")</f>
        <v/>
      </c>
    </row>
    <row r="11572" spans="20:20">
      <c r="T11572" t="str">
        <f>IF(C11572="","",UPPER(LEFT(SUBSTITUTE(C11572," ",""),3))&amp;"-"&amp;TEXT(B11572,"AAMMDD")&amp;"-1")</f>
        <v/>
      </c>
    </row>
    <row r="11573" spans="20:20">
      <c r="T11573" t="str">
        <f>IF(C11573="","",UPPER(LEFT(SUBSTITUTE(C11573," ",""),3))&amp;"-"&amp;TEXT(B11573,"AAMMDD")&amp;"-1")</f>
        <v/>
      </c>
    </row>
    <row r="11574" spans="20:20">
      <c r="T11574" t="str">
        <f>IF(C11574="","",UPPER(LEFT(SUBSTITUTE(C11574," ",""),3))&amp;"-"&amp;TEXT(B11574,"AAMMDD")&amp;"-1")</f>
        <v/>
      </c>
    </row>
    <row r="11575" spans="20:20">
      <c r="T11575" t="str">
        <f>IF(C11575="","",UPPER(LEFT(SUBSTITUTE(C11575," ",""),3))&amp;"-"&amp;TEXT(B11575,"AAMMDD")&amp;"-1")</f>
        <v/>
      </c>
    </row>
    <row r="11576" spans="20:20">
      <c r="T11576" t="str">
        <f>IF(C11576="","",UPPER(LEFT(SUBSTITUTE(C11576," ",""),3))&amp;"-"&amp;TEXT(B11576,"AAMMDD")&amp;"-1")</f>
        <v/>
      </c>
    </row>
    <row r="11577" spans="20:20">
      <c r="T11577" t="str">
        <f>IF(C11577="","",UPPER(LEFT(SUBSTITUTE(C11577," ",""),3))&amp;"-"&amp;TEXT(B11577,"AAMMDD")&amp;"-1")</f>
        <v/>
      </c>
    </row>
    <row r="11578" spans="20:20">
      <c r="T11578" t="str">
        <f>IF(C11578="","",UPPER(LEFT(SUBSTITUTE(C11578," ",""),3))&amp;"-"&amp;TEXT(B11578,"AAMMDD")&amp;"-1")</f>
        <v/>
      </c>
    </row>
    <row r="11579" spans="20:20">
      <c r="T11579" t="str">
        <f>IF(C11579="","",UPPER(LEFT(SUBSTITUTE(C11579," ",""),3))&amp;"-"&amp;TEXT(B11579,"AAMMDD")&amp;"-1")</f>
        <v/>
      </c>
    </row>
    <row r="11580" spans="20:20">
      <c r="T11580" t="str">
        <f>IF(C11580="","",UPPER(LEFT(SUBSTITUTE(C11580," ",""),3))&amp;"-"&amp;TEXT(B11580,"AAMMDD")&amp;"-1")</f>
        <v/>
      </c>
    </row>
    <row r="11581" spans="20:20">
      <c r="T11581" t="str">
        <f>IF(C11581="","",UPPER(LEFT(SUBSTITUTE(C11581," ",""),3))&amp;"-"&amp;TEXT(B11581,"AAMMDD")&amp;"-1")</f>
        <v/>
      </c>
    </row>
    <row r="11582" spans="20:20">
      <c r="T11582" t="str">
        <f>IF(C11582="","",UPPER(LEFT(SUBSTITUTE(C11582," ",""),3))&amp;"-"&amp;TEXT(B11582,"AAMMDD")&amp;"-1")</f>
        <v/>
      </c>
    </row>
    <row r="11583" spans="20:20">
      <c r="T11583" t="str">
        <f>IF(C11583="","",UPPER(LEFT(SUBSTITUTE(C11583," ",""),3))&amp;"-"&amp;TEXT(B11583,"AAMMDD")&amp;"-1")</f>
        <v/>
      </c>
    </row>
    <row r="11584" spans="20:20">
      <c r="T11584" t="str">
        <f>IF(C11584="","",UPPER(LEFT(SUBSTITUTE(C11584," ",""),3))&amp;"-"&amp;TEXT(B11584,"AAMMDD")&amp;"-1")</f>
        <v/>
      </c>
    </row>
    <row r="11585" spans="20:20">
      <c r="T11585" t="str">
        <f>IF(C11585="","",UPPER(LEFT(SUBSTITUTE(C11585," ",""),3))&amp;"-"&amp;TEXT(B11585,"AAMMDD")&amp;"-1")</f>
        <v/>
      </c>
    </row>
    <row r="11586" spans="20:20">
      <c r="T11586" t="str">
        <f>IF(C11586="","",UPPER(LEFT(SUBSTITUTE(C11586," ",""),3))&amp;"-"&amp;TEXT(B11586,"AAMMDD")&amp;"-1")</f>
        <v/>
      </c>
    </row>
    <row r="11587" spans="20:20">
      <c r="T11587" t="str">
        <f>IF(C11587="","",UPPER(LEFT(SUBSTITUTE(C11587," ",""),3))&amp;"-"&amp;TEXT(B11587,"AAMMDD")&amp;"-1")</f>
        <v/>
      </c>
    </row>
    <row r="11588" spans="20:20">
      <c r="T11588" t="str">
        <f>IF(C11588="","",UPPER(LEFT(SUBSTITUTE(C11588," ",""),3))&amp;"-"&amp;TEXT(B11588,"AAMMDD")&amp;"-1")</f>
        <v/>
      </c>
    </row>
    <row r="11589" spans="20:20">
      <c r="T11589" t="str">
        <f>IF(C11589="","",UPPER(LEFT(SUBSTITUTE(C11589," ",""),3))&amp;"-"&amp;TEXT(B11589,"AAMMDD")&amp;"-1")</f>
        <v/>
      </c>
    </row>
    <row r="11590" spans="20:20">
      <c r="T11590" t="str">
        <f>IF(C11590="","",UPPER(LEFT(SUBSTITUTE(C11590," ",""),3))&amp;"-"&amp;TEXT(B11590,"AAMMDD")&amp;"-1")</f>
        <v/>
      </c>
    </row>
    <row r="11591" spans="20:20">
      <c r="T11591" t="str">
        <f>IF(C11591="","",UPPER(LEFT(SUBSTITUTE(C11591," ",""),3))&amp;"-"&amp;TEXT(B11591,"AAMMDD")&amp;"-1")</f>
        <v/>
      </c>
    </row>
    <row r="11592" spans="20:20">
      <c r="T11592" t="str">
        <f>IF(C11592="","",UPPER(LEFT(SUBSTITUTE(C11592," ",""),3))&amp;"-"&amp;TEXT(B11592,"AAMMDD")&amp;"-1")</f>
        <v/>
      </c>
    </row>
    <row r="11593" spans="20:20">
      <c r="T11593" t="str">
        <f>IF(C11593="","",UPPER(LEFT(SUBSTITUTE(C11593," ",""),3))&amp;"-"&amp;TEXT(B11593,"AAMMDD")&amp;"-1")</f>
        <v/>
      </c>
    </row>
    <row r="11594" spans="20:20">
      <c r="T11594" t="str">
        <f>IF(C11594="","",UPPER(LEFT(SUBSTITUTE(C11594," ",""),3))&amp;"-"&amp;TEXT(B11594,"AAMMDD")&amp;"-1")</f>
        <v/>
      </c>
    </row>
    <row r="11595" spans="20:20">
      <c r="T11595" t="str">
        <f>IF(C11595="","",UPPER(LEFT(SUBSTITUTE(C11595," ",""),3))&amp;"-"&amp;TEXT(B11595,"AAMMDD")&amp;"-1")</f>
        <v/>
      </c>
    </row>
    <row r="11596" spans="20:20">
      <c r="T11596" t="str">
        <f>IF(C11596="","",UPPER(LEFT(SUBSTITUTE(C11596," ",""),3))&amp;"-"&amp;TEXT(B11596,"AAMMDD")&amp;"-1")</f>
        <v/>
      </c>
    </row>
    <row r="11597" spans="20:20">
      <c r="T11597" t="str">
        <f>IF(C11597="","",UPPER(LEFT(SUBSTITUTE(C11597," ",""),3))&amp;"-"&amp;TEXT(B11597,"AAMMDD")&amp;"-1")</f>
        <v/>
      </c>
    </row>
    <row r="11598" spans="20:20">
      <c r="T11598" t="str">
        <f>IF(C11598="","",UPPER(LEFT(SUBSTITUTE(C11598," ",""),3))&amp;"-"&amp;TEXT(B11598,"AAMMDD")&amp;"-1")</f>
        <v/>
      </c>
    </row>
    <row r="11599" spans="20:20">
      <c r="T11599" t="str">
        <f>IF(C11599="","",UPPER(LEFT(SUBSTITUTE(C11599," ",""),3))&amp;"-"&amp;TEXT(B11599,"AAMMDD")&amp;"-1")</f>
        <v/>
      </c>
    </row>
    <row r="11600" spans="20:20">
      <c r="T11600" t="str">
        <f>IF(C11600="","",UPPER(LEFT(SUBSTITUTE(C11600," ",""),3))&amp;"-"&amp;TEXT(B11600,"AAMMDD")&amp;"-1")</f>
        <v/>
      </c>
    </row>
    <row r="11601" spans="20:20">
      <c r="T11601" t="str">
        <f>IF(C11601="","",UPPER(LEFT(SUBSTITUTE(C11601," ",""),3))&amp;"-"&amp;TEXT(B11601,"AAMMDD")&amp;"-1")</f>
        <v/>
      </c>
    </row>
    <row r="11602" spans="20:20">
      <c r="T11602" t="str">
        <f>IF(C11602="","",UPPER(LEFT(SUBSTITUTE(C11602," ",""),3))&amp;"-"&amp;TEXT(B11602,"AAMMDD")&amp;"-1")</f>
        <v/>
      </c>
    </row>
    <row r="11603" spans="20:20">
      <c r="T11603" t="str">
        <f>IF(C11603="","",UPPER(LEFT(SUBSTITUTE(C11603," ",""),3))&amp;"-"&amp;TEXT(B11603,"AAMMDD")&amp;"-1")</f>
        <v/>
      </c>
    </row>
    <row r="11604" spans="20:20">
      <c r="T11604" t="str">
        <f>IF(C11604="","",UPPER(LEFT(SUBSTITUTE(C11604," ",""),3))&amp;"-"&amp;TEXT(B11604,"AAMMDD")&amp;"-1")</f>
        <v/>
      </c>
    </row>
    <row r="11605" spans="20:20">
      <c r="T11605" t="str">
        <f>IF(C11605="","",UPPER(LEFT(SUBSTITUTE(C11605," ",""),3))&amp;"-"&amp;TEXT(B11605,"AAMMDD")&amp;"-1")</f>
        <v/>
      </c>
    </row>
    <row r="11606" spans="20:20">
      <c r="T11606" t="str">
        <f>IF(C11606="","",UPPER(LEFT(SUBSTITUTE(C11606," ",""),3))&amp;"-"&amp;TEXT(B11606,"AAMMDD")&amp;"-1")</f>
        <v/>
      </c>
    </row>
    <row r="11607" spans="20:20">
      <c r="T11607" t="str">
        <f>IF(C11607="","",UPPER(LEFT(SUBSTITUTE(C11607," ",""),3))&amp;"-"&amp;TEXT(B11607,"AAMMDD")&amp;"-1")</f>
        <v/>
      </c>
    </row>
    <row r="11608" spans="20:20">
      <c r="T11608" t="str">
        <f>IF(C11608="","",UPPER(LEFT(SUBSTITUTE(C11608," ",""),3))&amp;"-"&amp;TEXT(B11608,"AAMMDD")&amp;"-1")</f>
        <v/>
      </c>
    </row>
    <row r="11609" spans="20:20">
      <c r="T11609" t="str">
        <f>IF(C11609="","",UPPER(LEFT(SUBSTITUTE(C11609," ",""),3))&amp;"-"&amp;TEXT(B11609,"AAMMDD")&amp;"-1")</f>
        <v/>
      </c>
    </row>
    <row r="11610" spans="20:20">
      <c r="T11610" t="str">
        <f>IF(C11610="","",UPPER(LEFT(SUBSTITUTE(C11610," ",""),3))&amp;"-"&amp;TEXT(B11610,"AAMMDD")&amp;"-1")</f>
        <v/>
      </c>
    </row>
    <row r="11611" spans="20:20">
      <c r="T11611" t="str">
        <f>IF(C11611="","",UPPER(LEFT(SUBSTITUTE(C11611," ",""),3))&amp;"-"&amp;TEXT(B11611,"AAMMDD")&amp;"-1")</f>
        <v/>
      </c>
    </row>
    <row r="11612" spans="20:20">
      <c r="T11612" t="str">
        <f>IF(C11612="","",UPPER(LEFT(SUBSTITUTE(C11612," ",""),3))&amp;"-"&amp;TEXT(B11612,"AAMMDD")&amp;"-1")</f>
        <v/>
      </c>
    </row>
    <row r="11613" spans="20:20">
      <c r="T11613" t="str">
        <f>IF(C11613="","",UPPER(LEFT(SUBSTITUTE(C11613," ",""),3))&amp;"-"&amp;TEXT(B11613,"AAMMDD")&amp;"-1")</f>
        <v/>
      </c>
    </row>
    <row r="11614" spans="20:20">
      <c r="T11614" t="str">
        <f>IF(C11614="","",UPPER(LEFT(SUBSTITUTE(C11614," ",""),3))&amp;"-"&amp;TEXT(B11614,"AAMMDD")&amp;"-1")</f>
        <v/>
      </c>
    </row>
    <row r="11615" spans="20:20">
      <c r="T11615" t="str">
        <f>IF(C11615="","",UPPER(LEFT(SUBSTITUTE(C11615," ",""),3))&amp;"-"&amp;TEXT(B11615,"AAMMDD")&amp;"-1")</f>
        <v/>
      </c>
    </row>
    <row r="11616" spans="20:20">
      <c r="T11616" t="str">
        <f>IF(C11616="","",UPPER(LEFT(SUBSTITUTE(C11616," ",""),3))&amp;"-"&amp;TEXT(B11616,"AAMMDD")&amp;"-1")</f>
        <v/>
      </c>
    </row>
    <row r="11617" spans="20:20">
      <c r="T11617" t="str">
        <f>IF(C11617="","",UPPER(LEFT(SUBSTITUTE(C11617," ",""),3))&amp;"-"&amp;TEXT(B11617,"AAMMDD")&amp;"-1")</f>
        <v/>
      </c>
    </row>
    <row r="11618" spans="20:20">
      <c r="T11618" t="str">
        <f>IF(C11618="","",UPPER(LEFT(SUBSTITUTE(C11618," ",""),3))&amp;"-"&amp;TEXT(B11618,"AAMMDD")&amp;"-1")</f>
        <v/>
      </c>
    </row>
    <row r="11619" spans="20:20">
      <c r="T11619" t="str">
        <f>IF(C11619="","",UPPER(LEFT(SUBSTITUTE(C11619," ",""),3))&amp;"-"&amp;TEXT(B11619,"AAMMDD")&amp;"-1")</f>
        <v/>
      </c>
    </row>
    <row r="11620" spans="20:20">
      <c r="T11620" t="str">
        <f>IF(C11620="","",UPPER(LEFT(SUBSTITUTE(C11620," ",""),3))&amp;"-"&amp;TEXT(B11620,"AAMMDD")&amp;"-1")</f>
        <v/>
      </c>
    </row>
    <row r="11621" spans="20:20">
      <c r="T11621" t="str">
        <f>IF(C11621="","",UPPER(LEFT(SUBSTITUTE(C11621," ",""),3))&amp;"-"&amp;TEXT(B11621,"AAMMDD")&amp;"-1")</f>
        <v/>
      </c>
    </row>
    <row r="11622" spans="20:20">
      <c r="T11622" t="str">
        <f>IF(C11622="","",UPPER(LEFT(SUBSTITUTE(C11622," ",""),3))&amp;"-"&amp;TEXT(B11622,"AAMMDD")&amp;"-1")</f>
        <v/>
      </c>
    </row>
    <row r="11623" spans="20:20">
      <c r="T11623" t="str">
        <f>IF(C11623="","",UPPER(LEFT(SUBSTITUTE(C11623," ",""),3))&amp;"-"&amp;TEXT(B11623,"AAMMDD")&amp;"-1")</f>
        <v/>
      </c>
    </row>
    <row r="11624" spans="20:20">
      <c r="T11624" t="str">
        <f>IF(C11624="","",UPPER(LEFT(SUBSTITUTE(C11624," ",""),3))&amp;"-"&amp;TEXT(B11624,"AAMMDD")&amp;"-1")</f>
        <v/>
      </c>
    </row>
    <row r="11625" spans="20:20">
      <c r="T11625" t="str">
        <f>IF(C11625="","",UPPER(LEFT(SUBSTITUTE(C11625," ",""),3))&amp;"-"&amp;TEXT(B11625,"AAMMDD")&amp;"-1")</f>
        <v/>
      </c>
    </row>
    <row r="11626" spans="20:20">
      <c r="T11626" t="str">
        <f>IF(C11626="","",UPPER(LEFT(SUBSTITUTE(C11626," ",""),3))&amp;"-"&amp;TEXT(B11626,"AAMMDD")&amp;"-1")</f>
        <v/>
      </c>
    </row>
    <row r="11627" spans="20:20">
      <c r="T11627" t="str">
        <f>IF(C11627="","",UPPER(LEFT(SUBSTITUTE(C11627," ",""),3))&amp;"-"&amp;TEXT(B11627,"AAMMDD")&amp;"-1")</f>
        <v/>
      </c>
    </row>
    <row r="11628" spans="20:20">
      <c r="T11628" t="str">
        <f>IF(C11628="","",UPPER(LEFT(SUBSTITUTE(C11628," ",""),3))&amp;"-"&amp;TEXT(B11628,"AAMMDD")&amp;"-1")</f>
        <v/>
      </c>
    </row>
    <row r="11629" spans="20:20">
      <c r="T11629" t="str">
        <f>IF(C11629="","",UPPER(LEFT(SUBSTITUTE(C11629," ",""),3))&amp;"-"&amp;TEXT(B11629,"AAMMDD")&amp;"-1")</f>
        <v/>
      </c>
    </row>
    <row r="11630" spans="20:20">
      <c r="T11630" t="str">
        <f>IF(C11630="","",UPPER(LEFT(SUBSTITUTE(C11630," ",""),3))&amp;"-"&amp;TEXT(B11630,"AAMMDD")&amp;"-1")</f>
        <v/>
      </c>
    </row>
    <row r="11631" spans="20:20">
      <c r="T11631" t="str">
        <f>IF(C11631="","",UPPER(LEFT(SUBSTITUTE(C11631," ",""),3))&amp;"-"&amp;TEXT(B11631,"AAMMDD")&amp;"-1")</f>
        <v/>
      </c>
    </row>
    <row r="11632" spans="20:20">
      <c r="T11632" t="str">
        <f>IF(C11632="","",UPPER(LEFT(SUBSTITUTE(C11632," ",""),3))&amp;"-"&amp;TEXT(B11632,"AAMMDD")&amp;"-1")</f>
        <v/>
      </c>
    </row>
    <row r="11633" spans="20:20">
      <c r="T11633" t="str">
        <f>IF(C11633="","",UPPER(LEFT(SUBSTITUTE(C11633," ",""),3))&amp;"-"&amp;TEXT(B11633,"AAMMDD")&amp;"-1")</f>
        <v/>
      </c>
    </row>
    <row r="11634" spans="20:20">
      <c r="T11634" t="str">
        <f>IF(C11634="","",UPPER(LEFT(SUBSTITUTE(C11634," ",""),3))&amp;"-"&amp;TEXT(B11634,"AAMMDD")&amp;"-1")</f>
        <v/>
      </c>
    </row>
    <row r="11635" spans="20:20">
      <c r="T11635" t="str">
        <f>IF(C11635="","",UPPER(LEFT(SUBSTITUTE(C11635," ",""),3))&amp;"-"&amp;TEXT(B11635,"AAMMDD")&amp;"-1")</f>
        <v/>
      </c>
    </row>
    <row r="11636" spans="20:20">
      <c r="T11636" t="str">
        <f>IF(C11636="","",UPPER(LEFT(SUBSTITUTE(C11636," ",""),3))&amp;"-"&amp;TEXT(B11636,"AAMMDD")&amp;"-1")</f>
        <v/>
      </c>
    </row>
    <row r="11637" spans="20:20">
      <c r="T11637" t="str">
        <f>IF(C11637="","",UPPER(LEFT(SUBSTITUTE(C11637," ",""),3))&amp;"-"&amp;TEXT(B11637,"AAMMDD")&amp;"-1")</f>
        <v/>
      </c>
    </row>
    <row r="11638" spans="20:20">
      <c r="T11638" t="str">
        <f>IF(C11638="","",UPPER(LEFT(SUBSTITUTE(C11638," ",""),3))&amp;"-"&amp;TEXT(B11638,"AAMMDD")&amp;"-1")</f>
        <v/>
      </c>
    </row>
    <row r="11639" spans="20:20">
      <c r="T11639" t="str">
        <f>IF(C11639="","",UPPER(LEFT(SUBSTITUTE(C11639," ",""),3))&amp;"-"&amp;TEXT(B11639,"AAMMDD")&amp;"-1")</f>
        <v/>
      </c>
    </row>
    <row r="11640" spans="20:20">
      <c r="T11640" t="str">
        <f>IF(C11640="","",UPPER(LEFT(SUBSTITUTE(C11640," ",""),3))&amp;"-"&amp;TEXT(B11640,"AAMMDD")&amp;"-1")</f>
        <v/>
      </c>
    </row>
    <row r="11641" spans="20:20">
      <c r="T11641" t="str">
        <f>IF(C11641="","",UPPER(LEFT(SUBSTITUTE(C11641," ",""),3))&amp;"-"&amp;TEXT(B11641,"AAMMDD")&amp;"-1")</f>
        <v/>
      </c>
    </row>
    <row r="11642" spans="20:20">
      <c r="T11642" t="str">
        <f>IF(C11642="","",UPPER(LEFT(SUBSTITUTE(C11642," ",""),3))&amp;"-"&amp;TEXT(B11642,"AAMMDD")&amp;"-1")</f>
        <v/>
      </c>
    </row>
    <row r="11643" spans="20:20">
      <c r="T11643" t="str">
        <f>IF(C11643="","",UPPER(LEFT(SUBSTITUTE(C11643," ",""),3))&amp;"-"&amp;TEXT(B11643,"AAMMDD")&amp;"-1")</f>
        <v/>
      </c>
    </row>
    <row r="11644" spans="20:20">
      <c r="T11644" t="str">
        <f>IF(C11644="","",UPPER(LEFT(SUBSTITUTE(C11644," ",""),3))&amp;"-"&amp;TEXT(B11644,"AAMMDD")&amp;"-1")</f>
        <v/>
      </c>
    </row>
    <row r="11645" spans="20:20">
      <c r="T11645" t="str">
        <f>IF(C11645="","",UPPER(LEFT(SUBSTITUTE(C11645," ",""),3))&amp;"-"&amp;TEXT(B11645,"AAMMDD")&amp;"-1")</f>
        <v/>
      </c>
    </row>
    <row r="11646" spans="20:20">
      <c r="T11646" t="str">
        <f>IF(C11646="","",UPPER(LEFT(SUBSTITUTE(C11646," ",""),3))&amp;"-"&amp;TEXT(B11646,"AAMMDD")&amp;"-1")</f>
        <v/>
      </c>
    </row>
    <row r="11647" spans="20:20">
      <c r="T11647" t="str">
        <f>IF(C11647="","",UPPER(LEFT(SUBSTITUTE(C11647," ",""),3))&amp;"-"&amp;TEXT(B11647,"AAMMDD")&amp;"-1")</f>
        <v/>
      </c>
    </row>
    <row r="11648" spans="20:20">
      <c r="T11648" t="str">
        <f>IF(C11648="","",UPPER(LEFT(SUBSTITUTE(C11648," ",""),3))&amp;"-"&amp;TEXT(B11648,"AAMMDD")&amp;"-1")</f>
        <v/>
      </c>
    </row>
    <row r="11649" spans="20:20">
      <c r="T11649" t="str">
        <f>IF(C11649="","",UPPER(LEFT(SUBSTITUTE(C11649," ",""),3))&amp;"-"&amp;TEXT(B11649,"AAMMDD")&amp;"-1")</f>
        <v/>
      </c>
    </row>
    <row r="11650" spans="20:20">
      <c r="T11650" t="str">
        <f>IF(C11650="","",UPPER(LEFT(SUBSTITUTE(C11650," ",""),3))&amp;"-"&amp;TEXT(B11650,"AAMMDD")&amp;"-1")</f>
        <v/>
      </c>
    </row>
    <row r="11651" spans="20:20">
      <c r="T11651" t="str">
        <f>IF(C11651="","",UPPER(LEFT(SUBSTITUTE(C11651," ",""),3))&amp;"-"&amp;TEXT(B11651,"AAMMDD")&amp;"-1")</f>
        <v/>
      </c>
    </row>
    <row r="11652" spans="20:20">
      <c r="T11652" t="str">
        <f>IF(C11652="","",UPPER(LEFT(SUBSTITUTE(C11652," ",""),3))&amp;"-"&amp;TEXT(B11652,"AAMMDD")&amp;"-1")</f>
        <v/>
      </c>
    </row>
    <row r="11653" spans="20:20">
      <c r="T11653" t="str">
        <f>IF(C11653="","",UPPER(LEFT(SUBSTITUTE(C11653," ",""),3))&amp;"-"&amp;TEXT(B11653,"AAMMDD")&amp;"-1")</f>
        <v/>
      </c>
    </row>
    <row r="11654" spans="20:20">
      <c r="T11654" t="str">
        <f>IF(C11654="","",UPPER(LEFT(SUBSTITUTE(C11654," ",""),3))&amp;"-"&amp;TEXT(B11654,"AAMMDD")&amp;"-1")</f>
        <v/>
      </c>
    </row>
    <row r="11655" spans="20:20">
      <c r="T11655" t="str">
        <f>IF(C11655="","",UPPER(LEFT(SUBSTITUTE(C11655," ",""),3))&amp;"-"&amp;TEXT(B11655,"AAMMDD")&amp;"-1")</f>
        <v/>
      </c>
    </row>
    <row r="11656" spans="20:20">
      <c r="T11656" t="str">
        <f>IF(C11656="","",UPPER(LEFT(SUBSTITUTE(C11656," ",""),3))&amp;"-"&amp;TEXT(B11656,"AAMMDD")&amp;"-1")</f>
        <v/>
      </c>
    </row>
    <row r="11657" spans="20:20">
      <c r="T11657" t="str">
        <f>IF(C11657="","",UPPER(LEFT(SUBSTITUTE(C11657," ",""),3))&amp;"-"&amp;TEXT(B11657,"AAMMDD")&amp;"-1")</f>
        <v/>
      </c>
    </row>
    <row r="11658" spans="20:20">
      <c r="T11658" t="str">
        <f>IF(C11658="","",UPPER(LEFT(SUBSTITUTE(C11658," ",""),3))&amp;"-"&amp;TEXT(B11658,"AAMMDD")&amp;"-1")</f>
        <v/>
      </c>
    </row>
    <row r="11659" spans="20:20">
      <c r="T11659" t="str">
        <f>IF(C11659="","",UPPER(LEFT(SUBSTITUTE(C11659," ",""),3))&amp;"-"&amp;TEXT(B11659,"AAMMDD")&amp;"-1")</f>
        <v/>
      </c>
    </row>
    <row r="11660" spans="20:20">
      <c r="T11660" t="str">
        <f>IF(C11660="","",UPPER(LEFT(SUBSTITUTE(C11660," ",""),3))&amp;"-"&amp;TEXT(B11660,"AAMMDD")&amp;"-1")</f>
        <v/>
      </c>
    </row>
    <row r="11661" spans="20:20">
      <c r="T11661" t="str">
        <f>IF(C11661="","",UPPER(LEFT(SUBSTITUTE(C11661," ",""),3))&amp;"-"&amp;TEXT(B11661,"AAMMDD")&amp;"-1")</f>
        <v/>
      </c>
    </row>
    <row r="11662" spans="20:20">
      <c r="T11662" t="str">
        <f>IF(C11662="","",UPPER(LEFT(SUBSTITUTE(C11662," ",""),3))&amp;"-"&amp;TEXT(B11662,"AAMMDD")&amp;"-1")</f>
        <v/>
      </c>
    </row>
    <row r="11663" spans="20:20">
      <c r="T11663" t="str">
        <f>IF(C11663="","",UPPER(LEFT(SUBSTITUTE(C11663," ",""),3))&amp;"-"&amp;TEXT(B11663,"AAMMDD")&amp;"-1")</f>
        <v/>
      </c>
    </row>
    <row r="11664" spans="20:20">
      <c r="T11664" t="str">
        <f>IF(C11664="","",UPPER(LEFT(SUBSTITUTE(C11664," ",""),3))&amp;"-"&amp;TEXT(B11664,"AAMMDD")&amp;"-1")</f>
        <v/>
      </c>
    </row>
    <row r="11665" spans="20:20">
      <c r="T11665" t="str">
        <f>IF(C11665="","",UPPER(LEFT(SUBSTITUTE(C11665," ",""),3))&amp;"-"&amp;TEXT(B11665,"AAMMDD")&amp;"-1")</f>
        <v/>
      </c>
    </row>
    <row r="11666" spans="20:20">
      <c r="T11666" t="str">
        <f>IF(C11666="","",UPPER(LEFT(SUBSTITUTE(C11666," ",""),3))&amp;"-"&amp;TEXT(B11666,"AAMMDD")&amp;"-1")</f>
        <v/>
      </c>
    </row>
    <row r="11667" spans="20:20">
      <c r="T11667" t="str">
        <f>IF(C11667="","",UPPER(LEFT(SUBSTITUTE(C11667," ",""),3))&amp;"-"&amp;TEXT(B11667,"AAMMDD")&amp;"-1")</f>
        <v/>
      </c>
    </row>
    <row r="11668" spans="20:20">
      <c r="T11668" t="str">
        <f>IF(C11668="","",UPPER(LEFT(SUBSTITUTE(C11668," ",""),3))&amp;"-"&amp;TEXT(B11668,"AAMMDD")&amp;"-1")</f>
        <v/>
      </c>
    </row>
    <row r="11669" spans="20:20">
      <c r="T11669" t="str">
        <f>IF(C11669="","",UPPER(LEFT(SUBSTITUTE(C11669," ",""),3))&amp;"-"&amp;TEXT(B11669,"AAMMDD")&amp;"-1")</f>
        <v/>
      </c>
    </row>
    <row r="11670" spans="20:20">
      <c r="T11670" t="str">
        <f>IF(C11670="","",UPPER(LEFT(SUBSTITUTE(C11670," ",""),3))&amp;"-"&amp;TEXT(B11670,"AAMMDD")&amp;"-1")</f>
        <v/>
      </c>
    </row>
    <row r="11671" spans="20:20">
      <c r="T11671" t="str">
        <f>IF(C11671="","",UPPER(LEFT(SUBSTITUTE(C11671," ",""),3))&amp;"-"&amp;TEXT(B11671,"AAMMDD")&amp;"-1")</f>
        <v/>
      </c>
    </row>
    <row r="11672" spans="20:20">
      <c r="T11672" t="str">
        <f>IF(C11672="","",UPPER(LEFT(SUBSTITUTE(C11672," ",""),3))&amp;"-"&amp;TEXT(B11672,"AAMMDD")&amp;"-1")</f>
        <v/>
      </c>
    </row>
    <row r="11673" spans="20:20">
      <c r="T11673" t="str">
        <f>IF(C11673="","",UPPER(LEFT(SUBSTITUTE(C11673," ",""),3))&amp;"-"&amp;TEXT(B11673,"AAMMDD")&amp;"-1")</f>
        <v/>
      </c>
    </row>
    <row r="11674" spans="20:20">
      <c r="T11674" t="str">
        <f>IF(C11674="","",UPPER(LEFT(SUBSTITUTE(C11674," ",""),3))&amp;"-"&amp;TEXT(B11674,"AAMMDD")&amp;"-1")</f>
        <v/>
      </c>
    </row>
    <row r="11675" spans="20:20">
      <c r="T11675" t="str">
        <f>IF(C11675="","",UPPER(LEFT(SUBSTITUTE(C11675," ",""),3))&amp;"-"&amp;TEXT(B11675,"AAMMDD")&amp;"-1")</f>
        <v/>
      </c>
    </row>
    <row r="11676" spans="20:20">
      <c r="T11676" t="str">
        <f>IF(C11676="","",UPPER(LEFT(SUBSTITUTE(C11676," ",""),3))&amp;"-"&amp;TEXT(B11676,"AAMMDD")&amp;"-1")</f>
        <v/>
      </c>
    </row>
    <row r="11677" spans="20:20">
      <c r="T11677" t="str">
        <f>IF(C11677="","",UPPER(LEFT(SUBSTITUTE(C11677," ",""),3))&amp;"-"&amp;TEXT(B11677,"AAMMDD")&amp;"-1")</f>
        <v/>
      </c>
    </row>
    <row r="11678" spans="20:20">
      <c r="T11678" t="str">
        <f>IF(C11678="","",UPPER(LEFT(SUBSTITUTE(C11678," ",""),3))&amp;"-"&amp;TEXT(B11678,"AAMMDD")&amp;"-1")</f>
        <v/>
      </c>
    </row>
    <row r="11679" spans="20:20">
      <c r="T11679" t="str">
        <f>IF(C11679="","",UPPER(LEFT(SUBSTITUTE(C11679," ",""),3))&amp;"-"&amp;TEXT(B11679,"AAMMDD")&amp;"-1")</f>
        <v/>
      </c>
    </row>
    <row r="11680" spans="20:20">
      <c r="T11680" t="str">
        <f>IF(C11680="","",UPPER(LEFT(SUBSTITUTE(C11680," ",""),3))&amp;"-"&amp;TEXT(B11680,"AAMMDD")&amp;"-1")</f>
        <v/>
      </c>
    </row>
    <row r="11681" spans="20:20">
      <c r="T11681" t="str">
        <f>IF(C11681="","",UPPER(LEFT(SUBSTITUTE(C11681," ",""),3))&amp;"-"&amp;TEXT(B11681,"AAMMDD")&amp;"-1")</f>
        <v/>
      </c>
    </row>
    <row r="11682" spans="20:20">
      <c r="T11682" t="str">
        <f>IF(C11682="","",UPPER(LEFT(SUBSTITUTE(C11682," ",""),3))&amp;"-"&amp;TEXT(B11682,"AAMMDD")&amp;"-1")</f>
        <v/>
      </c>
    </row>
    <row r="11683" spans="20:20">
      <c r="T11683" t="str">
        <f>IF(C11683="","",UPPER(LEFT(SUBSTITUTE(C11683," ",""),3))&amp;"-"&amp;TEXT(B11683,"AAMMDD")&amp;"-1")</f>
        <v/>
      </c>
    </row>
    <row r="11684" spans="20:20">
      <c r="T11684" t="str">
        <f>IF(C11684="","",UPPER(LEFT(SUBSTITUTE(C11684," ",""),3))&amp;"-"&amp;TEXT(B11684,"AAMMDD")&amp;"-1")</f>
        <v/>
      </c>
    </row>
    <row r="11685" spans="20:20">
      <c r="T11685" t="str">
        <f>IF(C11685="","",UPPER(LEFT(SUBSTITUTE(C11685," ",""),3))&amp;"-"&amp;TEXT(B11685,"AAMMDD")&amp;"-1")</f>
        <v/>
      </c>
    </row>
    <row r="11686" spans="20:20">
      <c r="T11686" t="str">
        <f>IF(C11686="","",UPPER(LEFT(SUBSTITUTE(C11686," ",""),3))&amp;"-"&amp;TEXT(B11686,"AAMMDD")&amp;"-1")</f>
        <v/>
      </c>
    </row>
    <row r="11687" spans="20:20">
      <c r="T11687" t="str">
        <f>IF(C11687="","",UPPER(LEFT(SUBSTITUTE(C11687," ",""),3))&amp;"-"&amp;TEXT(B11687,"AAMMDD")&amp;"-1")</f>
        <v/>
      </c>
    </row>
    <row r="11688" spans="20:20">
      <c r="T11688" t="str">
        <f>IF(C11688="","",UPPER(LEFT(SUBSTITUTE(C11688," ",""),3))&amp;"-"&amp;TEXT(B11688,"AAMMDD")&amp;"-1")</f>
        <v/>
      </c>
    </row>
    <row r="11689" spans="20:20">
      <c r="T11689" t="str">
        <f>IF(C11689="","",UPPER(LEFT(SUBSTITUTE(C11689," ",""),3))&amp;"-"&amp;TEXT(B11689,"AAMMDD")&amp;"-1")</f>
        <v/>
      </c>
    </row>
    <row r="11690" spans="20:20">
      <c r="T11690" t="str">
        <f>IF(C11690="","",UPPER(LEFT(SUBSTITUTE(C11690," ",""),3))&amp;"-"&amp;TEXT(B11690,"AAMMDD")&amp;"-1")</f>
        <v/>
      </c>
    </row>
    <row r="11691" spans="20:20">
      <c r="T11691" t="str">
        <f>IF(C11691="","",UPPER(LEFT(SUBSTITUTE(C11691," ",""),3))&amp;"-"&amp;TEXT(B11691,"AAMMDD")&amp;"-1")</f>
        <v/>
      </c>
    </row>
    <row r="11692" spans="20:20">
      <c r="T11692" t="str">
        <f>IF(C11692="","",UPPER(LEFT(SUBSTITUTE(C11692," ",""),3))&amp;"-"&amp;TEXT(B11692,"AAMMDD")&amp;"-1")</f>
        <v/>
      </c>
    </row>
    <row r="11693" spans="20:20">
      <c r="T11693" t="str">
        <f>IF(C11693="","",UPPER(LEFT(SUBSTITUTE(C11693," ",""),3))&amp;"-"&amp;TEXT(B11693,"AAMMDD")&amp;"-1")</f>
        <v/>
      </c>
    </row>
    <row r="11694" spans="20:20">
      <c r="T11694" t="str">
        <f>IF(C11694="","",UPPER(LEFT(SUBSTITUTE(C11694," ",""),3))&amp;"-"&amp;TEXT(B11694,"AAMMDD")&amp;"-1")</f>
        <v/>
      </c>
    </row>
    <row r="11695" spans="20:20">
      <c r="T11695" t="str">
        <f>IF(C11695="","",UPPER(LEFT(SUBSTITUTE(C11695," ",""),3))&amp;"-"&amp;TEXT(B11695,"AAMMDD")&amp;"-1")</f>
        <v/>
      </c>
    </row>
    <row r="11696" spans="20:20">
      <c r="T11696" t="str">
        <f>IF(C11696="","",UPPER(LEFT(SUBSTITUTE(C11696," ",""),3))&amp;"-"&amp;TEXT(B11696,"AAMMDD")&amp;"-1")</f>
        <v/>
      </c>
    </row>
    <row r="11697" spans="20:20">
      <c r="T11697" t="str">
        <f>IF(C11697="","",UPPER(LEFT(SUBSTITUTE(C11697," ",""),3))&amp;"-"&amp;TEXT(B11697,"AAMMDD")&amp;"-1")</f>
        <v/>
      </c>
    </row>
    <row r="11698" spans="20:20">
      <c r="T11698" t="str">
        <f>IF(C11698="","",UPPER(LEFT(SUBSTITUTE(C11698," ",""),3))&amp;"-"&amp;TEXT(B11698,"AAMMDD")&amp;"-1")</f>
        <v/>
      </c>
    </row>
    <row r="11699" spans="20:20">
      <c r="T11699" t="str">
        <f>IF(C11699="","",UPPER(LEFT(SUBSTITUTE(C11699," ",""),3))&amp;"-"&amp;TEXT(B11699,"AAMMDD")&amp;"-1")</f>
        <v/>
      </c>
    </row>
    <row r="11700" spans="20:20">
      <c r="T11700" t="str">
        <f>IF(C11700="","",UPPER(LEFT(SUBSTITUTE(C11700," ",""),3))&amp;"-"&amp;TEXT(B11700,"AAMMDD")&amp;"-1")</f>
        <v/>
      </c>
    </row>
    <row r="11701" spans="20:20">
      <c r="T11701" t="str">
        <f>IF(C11701="","",UPPER(LEFT(SUBSTITUTE(C11701," ",""),3))&amp;"-"&amp;TEXT(B11701,"AAMMDD")&amp;"-1")</f>
        <v/>
      </c>
    </row>
    <row r="11702" spans="20:20">
      <c r="T11702" t="str">
        <f>IF(C11702="","",UPPER(LEFT(SUBSTITUTE(C11702," ",""),3))&amp;"-"&amp;TEXT(B11702,"AAMMDD")&amp;"-1")</f>
        <v/>
      </c>
    </row>
    <row r="11703" spans="20:20">
      <c r="T11703" t="str">
        <f>IF(C11703="","",UPPER(LEFT(SUBSTITUTE(C11703," ",""),3))&amp;"-"&amp;TEXT(B11703,"AAMMDD")&amp;"-1")</f>
        <v/>
      </c>
    </row>
    <row r="11704" spans="20:20">
      <c r="T11704" t="str">
        <f>IF(C11704="","",UPPER(LEFT(SUBSTITUTE(C11704," ",""),3))&amp;"-"&amp;TEXT(B11704,"AAMMDD")&amp;"-1")</f>
        <v/>
      </c>
    </row>
    <row r="11705" spans="20:20">
      <c r="T11705" t="str">
        <f>IF(C11705="","",UPPER(LEFT(SUBSTITUTE(C11705," ",""),3))&amp;"-"&amp;TEXT(B11705,"AAMMDD")&amp;"-1")</f>
        <v/>
      </c>
    </row>
    <row r="11706" spans="20:20">
      <c r="T11706" t="str">
        <f>IF(C11706="","",UPPER(LEFT(SUBSTITUTE(C11706," ",""),3))&amp;"-"&amp;TEXT(B11706,"AAMMDD")&amp;"-1")</f>
        <v/>
      </c>
    </row>
    <row r="11707" spans="20:20">
      <c r="T11707" t="str">
        <f>IF(C11707="","",UPPER(LEFT(SUBSTITUTE(C11707," ",""),3))&amp;"-"&amp;TEXT(B11707,"AAMMDD")&amp;"-1")</f>
        <v/>
      </c>
    </row>
    <row r="11708" spans="20:20">
      <c r="T11708" t="str">
        <f>IF(C11708="","",UPPER(LEFT(SUBSTITUTE(C11708," ",""),3))&amp;"-"&amp;TEXT(B11708,"AAMMDD")&amp;"-1")</f>
        <v/>
      </c>
    </row>
    <row r="11709" spans="20:20">
      <c r="T11709" t="str">
        <f>IF(C11709="","",UPPER(LEFT(SUBSTITUTE(C11709," ",""),3))&amp;"-"&amp;TEXT(B11709,"AAMMDD")&amp;"-1")</f>
        <v/>
      </c>
    </row>
    <row r="11710" spans="20:20">
      <c r="T11710" t="str">
        <f>IF(C11710="","",UPPER(LEFT(SUBSTITUTE(C11710," ",""),3))&amp;"-"&amp;TEXT(B11710,"AAMMDD")&amp;"-1")</f>
        <v/>
      </c>
    </row>
    <row r="11711" spans="20:20">
      <c r="T11711" t="str">
        <f>IF(C11711="","",UPPER(LEFT(SUBSTITUTE(C11711," ",""),3))&amp;"-"&amp;TEXT(B11711,"AAMMDD")&amp;"-1")</f>
        <v/>
      </c>
    </row>
    <row r="11712" spans="20:20">
      <c r="T11712" t="str">
        <f>IF(C11712="","",UPPER(LEFT(SUBSTITUTE(C11712," ",""),3))&amp;"-"&amp;TEXT(B11712,"AAMMDD")&amp;"-1")</f>
        <v/>
      </c>
    </row>
    <row r="11713" spans="20:20">
      <c r="T11713" t="str">
        <f>IF(C11713="","",UPPER(LEFT(SUBSTITUTE(C11713," ",""),3))&amp;"-"&amp;TEXT(B11713,"AAMMDD")&amp;"-1")</f>
        <v/>
      </c>
    </row>
    <row r="11714" spans="20:20">
      <c r="T11714" t="str">
        <f>IF(C11714="","",UPPER(LEFT(SUBSTITUTE(C11714," ",""),3))&amp;"-"&amp;TEXT(B11714,"AAMMDD")&amp;"-1")</f>
        <v/>
      </c>
    </row>
    <row r="11715" spans="20:20">
      <c r="T11715" t="str">
        <f>IF(C11715="","",UPPER(LEFT(SUBSTITUTE(C11715," ",""),3))&amp;"-"&amp;TEXT(B11715,"AAMMDD")&amp;"-1")</f>
        <v/>
      </c>
    </row>
    <row r="11716" spans="20:20">
      <c r="T11716" t="str">
        <f>IF(C11716="","",UPPER(LEFT(SUBSTITUTE(C11716," ",""),3))&amp;"-"&amp;TEXT(B11716,"AAMMDD")&amp;"-1")</f>
        <v/>
      </c>
    </row>
    <row r="11717" spans="20:20">
      <c r="T11717" t="str">
        <f>IF(C11717="","",UPPER(LEFT(SUBSTITUTE(C11717," ",""),3))&amp;"-"&amp;TEXT(B11717,"AAMMDD")&amp;"-1")</f>
        <v/>
      </c>
    </row>
    <row r="11718" spans="20:20">
      <c r="T11718" t="str">
        <f>IF(C11718="","",UPPER(LEFT(SUBSTITUTE(C11718," ",""),3))&amp;"-"&amp;TEXT(B11718,"AAMMDD")&amp;"-1")</f>
        <v/>
      </c>
    </row>
    <row r="11719" spans="20:20">
      <c r="T11719" t="str">
        <f>IF(C11719="","",UPPER(LEFT(SUBSTITUTE(C11719," ",""),3))&amp;"-"&amp;TEXT(B11719,"AAMMDD")&amp;"-1")</f>
        <v/>
      </c>
    </row>
    <row r="11720" spans="20:20">
      <c r="T11720" t="str">
        <f>IF(C11720="","",UPPER(LEFT(SUBSTITUTE(C11720," ",""),3))&amp;"-"&amp;TEXT(B11720,"AAMMDD")&amp;"-1")</f>
        <v/>
      </c>
    </row>
    <row r="11721" spans="20:20">
      <c r="T11721" t="str">
        <f>IF(C11721="","",UPPER(LEFT(SUBSTITUTE(C11721," ",""),3))&amp;"-"&amp;TEXT(B11721,"AAMMDD")&amp;"-1")</f>
        <v/>
      </c>
    </row>
    <row r="11722" spans="20:20">
      <c r="T11722" t="str">
        <f>IF(C11722="","",UPPER(LEFT(SUBSTITUTE(C11722," ",""),3))&amp;"-"&amp;TEXT(B11722,"AAMMDD")&amp;"-1")</f>
        <v/>
      </c>
    </row>
    <row r="11723" spans="20:20">
      <c r="T11723" t="str">
        <f>IF(C11723="","",UPPER(LEFT(SUBSTITUTE(C11723," ",""),3))&amp;"-"&amp;TEXT(B11723,"AAMMDD")&amp;"-1")</f>
        <v/>
      </c>
    </row>
    <row r="11724" spans="20:20">
      <c r="T11724" t="str">
        <f>IF(C11724="","",UPPER(LEFT(SUBSTITUTE(C11724," ",""),3))&amp;"-"&amp;TEXT(B11724,"AAMMDD")&amp;"-1")</f>
        <v/>
      </c>
    </row>
    <row r="11725" spans="20:20">
      <c r="T11725" t="str">
        <f>IF(C11725="","",UPPER(LEFT(SUBSTITUTE(C11725," ",""),3))&amp;"-"&amp;TEXT(B11725,"AAMMDD")&amp;"-1")</f>
        <v/>
      </c>
    </row>
    <row r="11726" spans="20:20">
      <c r="T11726" t="str">
        <f>IF(C11726="","",UPPER(LEFT(SUBSTITUTE(C11726," ",""),3))&amp;"-"&amp;TEXT(B11726,"AAMMDD")&amp;"-1")</f>
        <v/>
      </c>
    </row>
    <row r="11727" spans="20:20">
      <c r="T11727" t="str">
        <f>IF(C11727="","",UPPER(LEFT(SUBSTITUTE(C11727," ",""),3))&amp;"-"&amp;TEXT(B11727,"AAMMDD")&amp;"-1")</f>
        <v/>
      </c>
    </row>
    <row r="11728" spans="20:20">
      <c r="T11728" t="str">
        <f>IF(C11728="","",UPPER(LEFT(SUBSTITUTE(C11728," ",""),3))&amp;"-"&amp;TEXT(B11728,"AAMMDD")&amp;"-1")</f>
        <v/>
      </c>
    </row>
    <row r="11729" spans="20:20">
      <c r="T11729" t="str">
        <f>IF(C11729="","",UPPER(LEFT(SUBSTITUTE(C11729," ",""),3))&amp;"-"&amp;TEXT(B11729,"AAMMDD")&amp;"-1")</f>
        <v/>
      </c>
    </row>
    <row r="11730" spans="20:20">
      <c r="T11730" t="str">
        <f>IF(C11730="","",UPPER(LEFT(SUBSTITUTE(C11730," ",""),3))&amp;"-"&amp;TEXT(B11730,"AAMMDD")&amp;"-1")</f>
        <v/>
      </c>
    </row>
    <row r="11731" spans="20:20">
      <c r="T11731" t="str">
        <f>IF(C11731="","",UPPER(LEFT(SUBSTITUTE(C11731," ",""),3))&amp;"-"&amp;TEXT(B11731,"AAMMDD")&amp;"-1")</f>
        <v/>
      </c>
    </row>
    <row r="11732" spans="20:20">
      <c r="T11732" t="str">
        <f>IF(C11732="","",UPPER(LEFT(SUBSTITUTE(C11732," ",""),3))&amp;"-"&amp;TEXT(B11732,"AAMMDD")&amp;"-1")</f>
        <v/>
      </c>
    </row>
    <row r="11733" spans="20:20">
      <c r="T11733" t="str">
        <f>IF(C11733="","",UPPER(LEFT(SUBSTITUTE(C11733," ",""),3))&amp;"-"&amp;TEXT(B11733,"AAMMDD")&amp;"-1")</f>
        <v/>
      </c>
    </row>
    <row r="11734" spans="20:20">
      <c r="T11734" t="str">
        <f>IF(C11734="","",UPPER(LEFT(SUBSTITUTE(C11734," ",""),3))&amp;"-"&amp;TEXT(B11734,"AAMMDD")&amp;"-1")</f>
        <v/>
      </c>
    </row>
    <row r="11735" spans="20:20">
      <c r="T11735" t="str">
        <f>IF(C11735="","",UPPER(LEFT(SUBSTITUTE(C11735," ",""),3))&amp;"-"&amp;TEXT(B11735,"AAMMDD")&amp;"-1")</f>
        <v/>
      </c>
    </row>
    <row r="11736" spans="20:20">
      <c r="T11736" t="str">
        <f>IF(C11736="","",UPPER(LEFT(SUBSTITUTE(C11736," ",""),3))&amp;"-"&amp;TEXT(B11736,"AAMMDD")&amp;"-1")</f>
        <v/>
      </c>
    </row>
    <row r="11737" spans="20:20">
      <c r="T11737" t="str">
        <f>IF(C11737="","",UPPER(LEFT(SUBSTITUTE(C11737," ",""),3))&amp;"-"&amp;TEXT(B11737,"AAMMDD")&amp;"-1")</f>
        <v/>
      </c>
    </row>
    <row r="11738" spans="20:20">
      <c r="T11738" t="str">
        <f>IF(C11738="","",UPPER(LEFT(SUBSTITUTE(C11738," ",""),3))&amp;"-"&amp;TEXT(B11738,"AAMMDD")&amp;"-1")</f>
        <v/>
      </c>
    </row>
    <row r="11739" spans="20:20">
      <c r="T11739" t="str">
        <f>IF(C11739="","",UPPER(LEFT(SUBSTITUTE(C11739," ",""),3))&amp;"-"&amp;TEXT(B11739,"AAMMDD")&amp;"-1")</f>
        <v/>
      </c>
    </row>
    <row r="11740" spans="20:20">
      <c r="T11740" t="str">
        <f>IF(C11740="","",UPPER(LEFT(SUBSTITUTE(C11740," ",""),3))&amp;"-"&amp;TEXT(B11740,"AAMMDD")&amp;"-1")</f>
        <v/>
      </c>
    </row>
    <row r="11741" spans="20:20">
      <c r="T11741" t="str">
        <f>IF(C11741="","",UPPER(LEFT(SUBSTITUTE(C11741," ",""),3))&amp;"-"&amp;TEXT(B11741,"AAMMDD")&amp;"-1")</f>
        <v/>
      </c>
    </row>
    <row r="11742" spans="20:20">
      <c r="T11742" t="str">
        <f>IF(C11742="","",UPPER(LEFT(SUBSTITUTE(C11742," ",""),3))&amp;"-"&amp;TEXT(B11742,"AAMMDD")&amp;"-1")</f>
        <v/>
      </c>
    </row>
    <row r="11743" spans="20:20">
      <c r="T11743" t="str">
        <f>IF(C11743="","",UPPER(LEFT(SUBSTITUTE(C11743," ",""),3))&amp;"-"&amp;TEXT(B11743,"AAMMDD")&amp;"-1")</f>
        <v/>
      </c>
    </row>
    <row r="11744" spans="20:20">
      <c r="T11744" t="str">
        <f>IF(C11744="","",UPPER(LEFT(SUBSTITUTE(C11744," ",""),3))&amp;"-"&amp;TEXT(B11744,"AAMMDD")&amp;"-1")</f>
        <v/>
      </c>
    </row>
    <row r="11745" spans="20:20">
      <c r="T11745" t="str">
        <f>IF(C11745="","",UPPER(LEFT(SUBSTITUTE(C11745," ",""),3))&amp;"-"&amp;TEXT(B11745,"AAMMDD")&amp;"-1")</f>
        <v/>
      </c>
    </row>
    <row r="11746" spans="20:20">
      <c r="T11746" t="str">
        <f>IF(C11746="","",UPPER(LEFT(SUBSTITUTE(C11746," ",""),3))&amp;"-"&amp;TEXT(B11746,"AAMMDD")&amp;"-1")</f>
        <v/>
      </c>
    </row>
    <row r="11747" spans="20:20">
      <c r="T11747" t="str">
        <f>IF(C11747="","",UPPER(LEFT(SUBSTITUTE(C11747," ",""),3))&amp;"-"&amp;TEXT(B11747,"AAMMDD")&amp;"-1")</f>
        <v/>
      </c>
    </row>
    <row r="11748" spans="20:20">
      <c r="T11748" t="str">
        <f>IF(C11748="","",UPPER(LEFT(SUBSTITUTE(C11748," ",""),3))&amp;"-"&amp;TEXT(B11748,"AAMMDD")&amp;"-1")</f>
        <v/>
      </c>
    </row>
    <row r="11749" spans="20:20">
      <c r="T11749" t="str">
        <f>IF(C11749="","",UPPER(LEFT(SUBSTITUTE(C11749," ",""),3))&amp;"-"&amp;TEXT(B11749,"AAMMDD")&amp;"-1")</f>
        <v/>
      </c>
    </row>
    <row r="11750" spans="20:20">
      <c r="T11750" t="str">
        <f>IF(C11750="","",UPPER(LEFT(SUBSTITUTE(C11750," ",""),3))&amp;"-"&amp;TEXT(B11750,"AAMMDD")&amp;"-1")</f>
        <v/>
      </c>
    </row>
    <row r="11751" spans="20:20">
      <c r="T11751" t="str">
        <f>IF(C11751="","",UPPER(LEFT(SUBSTITUTE(C11751," ",""),3))&amp;"-"&amp;TEXT(B11751,"AAMMDD")&amp;"-1")</f>
        <v/>
      </c>
    </row>
    <row r="11752" spans="20:20">
      <c r="T11752" t="str">
        <f>IF(C11752="","",UPPER(LEFT(SUBSTITUTE(C11752," ",""),3))&amp;"-"&amp;TEXT(B11752,"AAMMDD")&amp;"-1")</f>
        <v/>
      </c>
    </row>
    <row r="11753" spans="20:20">
      <c r="T11753" t="str">
        <f>IF(C11753="","",UPPER(LEFT(SUBSTITUTE(C11753," ",""),3))&amp;"-"&amp;TEXT(B11753,"AAMMDD")&amp;"-1")</f>
        <v/>
      </c>
    </row>
    <row r="11754" spans="20:20">
      <c r="T11754" t="str">
        <f>IF(C11754="","",UPPER(LEFT(SUBSTITUTE(C11754," ",""),3))&amp;"-"&amp;TEXT(B11754,"AAMMDD")&amp;"-1")</f>
        <v/>
      </c>
    </row>
    <row r="11755" spans="20:20">
      <c r="T11755" t="str">
        <f>IF(C11755="","",UPPER(LEFT(SUBSTITUTE(C11755," ",""),3))&amp;"-"&amp;TEXT(B11755,"AAMMDD")&amp;"-1")</f>
        <v/>
      </c>
    </row>
    <row r="11756" spans="20:20">
      <c r="T11756" t="str">
        <f>IF(C11756="","",UPPER(LEFT(SUBSTITUTE(C11756," ",""),3))&amp;"-"&amp;TEXT(B11756,"AAMMDD")&amp;"-1")</f>
        <v/>
      </c>
    </row>
    <row r="11757" spans="20:20">
      <c r="T11757" t="str">
        <f>IF(C11757="","",UPPER(LEFT(SUBSTITUTE(C11757," ",""),3))&amp;"-"&amp;TEXT(B11757,"AAMMDD")&amp;"-1")</f>
        <v/>
      </c>
    </row>
    <row r="11758" spans="20:20">
      <c r="T11758" t="str">
        <f>IF(C11758="","",UPPER(LEFT(SUBSTITUTE(C11758," ",""),3))&amp;"-"&amp;TEXT(B11758,"AAMMDD")&amp;"-1")</f>
        <v/>
      </c>
    </row>
    <row r="11759" spans="20:20">
      <c r="T11759" t="str">
        <f>IF(C11759="","",UPPER(LEFT(SUBSTITUTE(C11759," ",""),3))&amp;"-"&amp;TEXT(B11759,"AAMMDD")&amp;"-1")</f>
        <v/>
      </c>
    </row>
    <row r="11760" spans="20:20">
      <c r="T11760" t="str">
        <f>IF(C11760="","",UPPER(LEFT(SUBSTITUTE(C11760," ",""),3))&amp;"-"&amp;TEXT(B11760,"AAMMDD")&amp;"-1")</f>
        <v/>
      </c>
    </row>
    <row r="11761" spans="20:20">
      <c r="T11761" t="str">
        <f>IF(C11761="","",UPPER(LEFT(SUBSTITUTE(C11761," ",""),3))&amp;"-"&amp;TEXT(B11761,"AAMMDD")&amp;"-1")</f>
        <v/>
      </c>
    </row>
    <row r="11762" spans="20:20">
      <c r="T11762" t="str">
        <f>IF(C11762="","",UPPER(LEFT(SUBSTITUTE(C11762," ",""),3))&amp;"-"&amp;TEXT(B11762,"AAMMDD")&amp;"-1")</f>
        <v/>
      </c>
    </row>
    <row r="11763" spans="20:20">
      <c r="T11763" t="str">
        <f>IF(C11763="","",UPPER(LEFT(SUBSTITUTE(C11763," ",""),3))&amp;"-"&amp;TEXT(B11763,"AAMMDD")&amp;"-1")</f>
        <v/>
      </c>
    </row>
    <row r="11764" spans="20:20">
      <c r="T11764" t="str">
        <f>IF(C11764="","",UPPER(LEFT(SUBSTITUTE(C11764," ",""),3))&amp;"-"&amp;TEXT(B11764,"AAMMDD")&amp;"-1")</f>
        <v/>
      </c>
    </row>
    <row r="11765" spans="20:20">
      <c r="T11765" t="str">
        <f>IF(C11765="","",UPPER(LEFT(SUBSTITUTE(C11765," ",""),3))&amp;"-"&amp;TEXT(B11765,"AAMMDD")&amp;"-1")</f>
        <v/>
      </c>
    </row>
    <row r="11766" spans="20:20">
      <c r="T11766" t="str">
        <f>IF(C11766="","",UPPER(LEFT(SUBSTITUTE(C11766," ",""),3))&amp;"-"&amp;TEXT(B11766,"AAMMDD")&amp;"-1")</f>
        <v/>
      </c>
    </row>
    <row r="11767" spans="20:20">
      <c r="T11767" t="str">
        <f>IF(C11767="","",UPPER(LEFT(SUBSTITUTE(C11767," ",""),3))&amp;"-"&amp;TEXT(B11767,"AAMMDD")&amp;"-1")</f>
        <v/>
      </c>
    </row>
    <row r="11768" spans="20:20">
      <c r="T11768" t="str">
        <f>IF(C11768="","",UPPER(LEFT(SUBSTITUTE(C11768," ",""),3))&amp;"-"&amp;TEXT(B11768,"AAMMDD")&amp;"-1")</f>
        <v/>
      </c>
    </row>
    <row r="11769" spans="20:20">
      <c r="T11769" t="str">
        <f>IF(C11769="","",UPPER(LEFT(SUBSTITUTE(C11769," ",""),3))&amp;"-"&amp;TEXT(B11769,"AAMMDD")&amp;"-1")</f>
        <v/>
      </c>
    </row>
    <row r="11770" spans="20:20">
      <c r="T11770" t="str">
        <f>IF(C11770="","",UPPER(LEFT(SUBSTITUTE(C11770," ",""),3))&amp;"-"&amp;TEXT(B11770,"AAMMDD")&amp;"-1")</f>
        <v/>
      </c>
    </row>
    <row r="11771" spans="20:20">
      <c r="T11771" t="str">
        <f>IF(C11771="","",UPPER(LEFT(SUBSTITUTE(C11771," ",""),3))&amp;"-"&amp;TEXT(B11771,"AAMMDD")&amp;"-1")</f>
        <v/>
      </c>
    </row>
    <row r="11772" spans="20:20">
      <c r="T11772" t="str">
        <f>IF(C11772="","",UPPER(LEFT(SUBSTITUTE(C11772," ",""),3))&amp;"-"&amp;TEXT(B11772,"AAMMDD")&amp;"-1")</f>
        <v/>
      </c>
    </row>
    <row r="11773" spans="20:20">
      <c r="T11773" t="str">
        <f>IF(C11773="","",UPPER(LEFT(SUBSTITUTE(C11773," ",""),3))&amp;"-"&amp;TEXT(B11773,"AAMMDD")&amp;"-1")</f>
        <v/>
      </c>
    </row>
    <row r="11774" spans="20:20">
      <c r="T11774" t="str">
        <f>IF(C11774="","",UPPER(LEFT(SUBSTITUTE(C11774," ",""),3))&amp;"-"&amp;TEXT(B11774,"AAMMDD")&amp;"-1")</f>
        <v/>
      </c>
    </row>
    <row r="11775" spans="20:20">
      <c r="T11775" t="str">
        <f>IF(C11775="","",UPPER(LEFT(SUBSTITUTE(C11775," ",""),3))&amp;"-"&amp;TEXT(B11775,"AAMMDD")&amp;"-1")</f>
        <v/>
      </c>
    </row>
    <row r="11776" spans="20:20">
      <c r="T11776" t="str">
        <f>IF(C11776="","",UPPER(LEFT(SUBSTITUTE(C11776," ",""),3))&amp;"-"&amp;TEXT(B11776,"AAMMDD")&amp;"-1")</f>
        <v/>
      </c>
    </row>
    <row r="11777" spans="20:20">
      <c r="T11777" t="str">
        <f>IF(C11777="","",UPPER(LEFT(SUBSTITUTE(C11777," ",""),3))&amp;"-"&amp;TEXT(B11777,"AAMMDD")&amp;"-1")</f>
        <v/>
      </c>
    </row>
    <row r="11778" spans="20:20">
      <c r="T11778" t="str">
        <f>IF(C11778="","",UPPER(LEFT(SUBSTITUTE(C11778," ",""),3))&amp;"-"&amp;TEXT(B11778,"AAMMDD")&amp;"-1")</f>
        <v/>
      </c>
    </row>
    <row r="11779" spans="20:20">
      <c r="T11779" t="str">
        <f>IF(C11779="","",UPPER(LEFT(SUBSTITUTE(C11779," ",""),3))&amp;"-"&amp;TEXT(B11779,"AAMMDD")&amp;"-1")</f>
        <v/>
      </c>
    </row>
    <row r="11780" spans="20:20">
      <c r="T11780" t="str">
        <f>IF(C11780="","",UPPER(LEFT(SUBSTITUTE(C11780," ",""),3))&amp;"-"&amp;TEXT(B11780,"AAMMDD")&amp;"-1")</f>
        <v/>
      </c>
    </row>
    <row r="11781" spans="20:20">
      <c r="T11781" t="str">
        <f>IF(C11781="","",UPPER(LEFT(SUBSTITUTE(C11781," ",""),3))&amp;"-"&amp;TEXT(B11781,"AAMMDD")&amp;"-1")</f>
        <v/>
      </c>
    </row>
    <row r="11782" spans="20:20">
      <c r="T11782" t="str">
        <f>IF(C11782="","",UPPER(LEFT(SUBSTITUTE(C11782," ",""),3))&amp;"-"&amp;TEXT(B11782,"AAMMDD")&amp;"-1")</f>
        <v/>
      </c>
    </row>
    <row r="11783" spans="20:20">
      <c r="T11783" t="str">
        <f>IF(C11783="","",UPPER(LEFT(SUBSTITUTE(C11783," ",""),3))&amp;"-"&amp;TEXT(B11783,"AAMMDD")&amp;"-1")</f>
        <v/>
      </c>
    </row>
    <row r="11784" spans="20:20">
      <c r="T11784" t="str">
        <f>IF(C11784="","",UPPER(LEFT(SUBSTITUTE(C11784," ",""),3))&amp;"-"&amp;TEXT(B11784,"AAMMDD")&amp;"-1")</f>
        <v/>
      </c>
    </row>
    <row r="11785" spans="20:20">
      <c r="T11785" t="str">
        <f>IF(C11785="","",UPPER(LEFT(SUBSTITUTE(C11785," ",""),3))&amp;"-"&amp;TEXT(B11785,"AAMMDD")&amp;"-1")</f>
        <v/>
      </c>
    </row>
    <row r="11786" spans="20:20">
      <c r="T11786" t="str">
        <f>IF(C11786="","",UPPER(LEFT(SUBSTITUTE(C11786," ",""),3))&amp;"-"&amp;TEXT(B11786,"AAMMDD")&amp;"-1")</f>
        <v/>
      </c>
    </row>
    <row r="11787" spans="20:20">
      <c r="T11787" t="str">
        <f>IF(C11787="","",UPPER(LEFT(SUBSTITUTE(C11787," ",""),3))&amp;"-"&amp;TEXT(B11787,"AAMMDD")&amp;"-1")</f>
        <v/>
      </c>
    </row>
    <row r="11788" spans="20:20">
      <c r="T11788" t="str">
        <f>IF(C11788="","",UPPER(LEFT(SUBSTITUTE(C11788," ",""),3))&amp;"-"&amp;TEXT(B11788,"AAMMDD")&amp;"-1")</f>
        <v/>
      </c>
    </row>
    <row r="11789" spans="20:20">
      <c r="T11789" t="str">
        <f>IF(C11789="","",UPPER(LEFT(SUBSTITUTE(C11789," ",""),3))&amp;"-"&amp;TEXT(B11789,"AAMMDD")&amp;"-1")</f>
        <v/>
      </c>
    </row>
    <row r="11790" spans="20:20">
      <c r="T11790" t="str">
        <f>IF(C11790="","",UPPER(LEFT(SUBSTITUTE(C11790," ",""),3))&amp;"-"&amp;TEXT(B11790,"AAMMDD")&amp;"-1")</f>
        <v/>
      </c>
    </row>
    <row r="11791" spans="20:20">
      <c r="T11791" t="str">
        <f>IF(C11791="","",UPPER(LEFT(SUBSTITUTE(C11791," ",""),3))&amp;"-"&amp;TEXT(B11791,"AAMMDD")&amp;"-1")</f>
        <v/>
      </c>
    </row>
    <row r="11792" spans="20:20">
      <c r="T11792" t="str">
        <f>IF(C11792="","",UPPER(LEFT(SUBSTITUTE(C11792," ",""),3))&amp;"-"&amp;TEXT(B11792,"AAMMDD")&amp;"-1")</f>
        <v/>
      </c>
    </row>
    <row r="11793" spans="20:20">
      <c r="T11793" t="str">
        <f>IF(C11793="","",UPPER(LEFT(SUBSTITUTE(C11793," ",""),3))&amp;"-"&amp;TEXT(B11793,"AAMMDD")&amp;"-1")</f>
        <v/>
      </c>
    </row>
    <row r="11794" spans="20:20">
      <c r="T11794" t="str">
        <f>IF(C11794="","",UPPER(LEFT(SUBSTITUTE(C11794," ",""),3))&amp;"-"&amp;TEXT(B11794,"AAMMDD")&amp;"-1")</f>
        <v/>
      </c>
    </row>
    <row r="11795" spans="20:20">
      <c r="T11795" t="str">
        <f>IF(C11795="","",UPPER(LEFT(SUBSTITUTE(C11795," ",""),3))&amp;"-"&amp;TEXT(B11795,"AAMMDD")&amp;"-1")</f>
        <v/>
      </c>
    </row>
    <row r="11796" spans="20:20">
      <c r="T11796" t="str">
        <f>IF(C11796="","",UPPER(LEFT(SUBSTITUTE(C11796," ",""),3))&amp;"-"&amp;TEXT(B11796,"AAMMDD")&amp;"-1")</f>
        <v/>
      </c>
    </row>
    <row r="11797" spans="20:20">
      <c r="T11797" t="str">
        <f>IF(C11797="","",UPPER(LEFT(SUBSTITUTE(C11797," ",""),3))&amp;"-"&amp;TEXT(B11797,"AAMMDD")&amp;"-1")</f>
        <v/>
      </c>
    </row>
    <row r="11798" spans="20:20">
      <c r="T11798" t="str">
        <f>IF(C11798="","",UPPER(LEFT(SUBSTITUTE(C11798," ",""),3))&amp;"-"&amp;TEXT(B11798,"AAMMDD")&amp;"-1")</f>
        <v/>
      </c>
    </row>
    <row r="11799" spans="20:20">
      <c r="T11799" t="str">
        <f>IF(C11799="","",UPPER(LEFT(SUBSTITUTE(C11799," ",""),3))&amp;"-"&amp;TEXT(B11799,"AAMMDD")&amp;"-1")</f>
        <v/>
      </c>
    </row>
    <row r="11800" spans="20:20">
      <c r="T11800" t="str">
        <f>IF(C11800="","",UPPER(LEFT(SUBSTITUTE(C11800," ",""),3))&amp;"-"&amp;TEXT(B11800,"AAMMDD")&amp;"-1")</f>
        <v/>
      </c>
    </row>
    <row r="11801" spans="20:20">
      <c r="T11801" t="str">
        <f>IF(C11801="","",UPPER(LEFT(SUBSTITUTE(C11801," ",""),3))&amp;"-"&amp;TEXT(B11801,"AAMMDD")&amp;"-1")</f>
        <v/>
      </c>
    </row>
    <row r="11802" spans="20:20">
      <c r="T11802" t="str">
        <f>IF(C11802="","",UPPER(LEFT(SUBSTITUTE(C11802," ",""),3))&amp;"-"&amp;TEXT(B11802,"AAMMDD")&amp;"-1")</f>
        <v/>
      </c>
    </row>
    <row r="11803" spans="20:20">
      <c r="T11803" t="str">
        <f>IF(C11803="","",UPPER(LEFT(SUBSTITUTE(C11803," ",""),3))&amp;"-"&amp;TEXT(B11803,"AAMMDD")&amp;"-1")</f>
        <v/>
      </c>
    </row>
    <row r="11804" spans="20:20">
      <c r="T11804" t="str">
        <f>IF(C11804="","",UPPER(LEFT(SUBSTITUTE(C11804," ",""),3))&amp;"-"&amp;TEXT(B11804,"AAMMDD")&amp;"-1")</f>
        <v/>
      </c>
    </row>
    <row r="11805" spans="20:20">
      <c r="T11805" t="str">
        <f>IF(C11805="","",UPPER(LEFT(SUBSTITUTE(C11805," ",""),3))&amp;"-"&amp;TEXT(B11805,"AAMMDD")&amp;"-1")</f>
        <v/>
      </c>
    </row>
    <row r="11806" spans="20:20">
      <c r="T11806" t="str">
        <f>IF(C11806="","",UPPER(LEFT(SUBSTITUTE(C11806," ",""),3))&amp;"-"&amp;TEXT(B11806,"AAMMDD")&amp;"-1")</f>
        <v/>
      </c>
    </row>
    <row r="11807" spans="20:20">
      <c r="T11807" t="str">
        <f>IF(C11807="","",UPPER(LEFT(SUBSTITUTE(C11807," ",""),3))&amp;"-"&amp;TEXT(B11807,"AAMMDD")&amp;"-1")</f>
        <v/>
      </c>
    </row>
    <row r="11808" spans="20:20">
      <c r="T11808" t="str">
        <f>IF(C11808="","",UPPER(LEFT(SUBSTITUTE(C11808," ",""),3))&amp;"-"&amp;TEXT(B11808,"AAMMDD")&amp;"-1")</f>
        <v/>
      </c>
    </row>
    <row r="11809" spans="20:20">
      <c r="T11809" t="str">
        <f>IF(C11809="","",UPPER(LEFT(SUBSTITUTE(C11809," ",""),3))&amp;"-"&amp;TEXT(B11809,"AAMMDD")&amp;"-1")</f>
        <v/>
      </c>
    </row>
    <row r="11810" spans="20:20">
      <c r="T11810" t="str">
        <f>IF(C11810="","",UPPER(LEFT(SUBSTITUTE(C11810," ",""),3))&amp;"-"&amp;TEXT(B11810,"AAMMDD")&amp;"-1")</f>
        <v/>
      </c>
    </row>
    <row r="11811" spans="20:20">
      <c r="T11811" t="str">
        <f>IF(C11811="","",UPPER(LEFT(SUBSTITUTE(C11811," ",""),3))&amp;"-"&amp;TEXT(B11811,"AAMMDD")&amp;"-1")</f>
        <v/>
      </c>
    </row>
    <row r="11812" spans="20:20">
      <c r="T11812" t="str">
        <f>IF(C11812="","",UPPER(LEFT(SUBSTITUTE(C11812," ",""),3))&amp;"-"&amp;TEXT(B11812,"AAMMDD")&amp;"-1")</f>
        <v/>
      </c>
    </row>
    <row r="11813" spans="20:20">
      <c r="T11813" t="str">
        <f>IF(C11813="","",UPPER(LEFT(SUBSTITUTE(C11813," ",""),3))&amp;"-"&amp;TEXT(B11813,"AAMMDD")&amp;"-1")</f>
        <v/>
      </c>
    </row>
    <row r="11814" spans="20:20">
      <c r="T11814" t="str">
        <f>IF(C11814="","",UPPER(LEFT(SUBSTITUTE(C11814," ",""),3))&amp;"-"&amp;TEXT(B11814,"AAMMDD")&amp;"-1")</f>
        <v/>
      </c>
    </row>
    <row r="11815" spans="20:20">
      <c r="T11815" t="str">
        <f>IF(C11815="","",UPPER(LEFT(SUBSTITUTE(C11815," ",""),3))&amp;"-"&amp;TEXT(B11815,"AAMMDD")&amp;"-1")</f>
        <v/>
      </c>
    </row>
    <row r="11816" spans="20:20">
      <c r="T11816" t="str">
        <f>IF(C11816="","",UPPER(LEFT(SUBSTITUTE(C11816," ",""),3))&amp;"-"&amp;TEXT(B11816,"AAMMDD")&amp;"-1")</f>
        <v/>
      </c>
    </row>
    <row r="11817" spans="20:20">
      <c r="T11817" t="str">
        <f>IF(C11817="","",UPPER(LEFT(SUBSTITUTE(C11817," ",""),3))&amp;"-"&amp;TEXT(B11817,"AAMMDD")&amp;"-1")</f>
        <v/>
      </c>
    </row>
    <row r="11818" spans="20:20">
      <c r="T11818" t="str">
        <f>IF(C11818="","",UPPER(LEFT(SUBSTITUTE(C11818," ",""),3))&amp;"-"&amp;TEXT(B11818,"AAMMDD")&amp;"-1")</f>
        <v/>
      </c>
    </row>
    <row r="11819" spans="20:20">
      <c r="T11819" t="str">
        <f>IF(C11819="","",UPPER(LEFT(SUBSTITUTE(C11819," ",""),3))&amp;"-"&amp;TEXT(B11819,"AAMMDD")&amp;"-1")</f>
        <v/>
      </c>
    </row>
    <row r="11820" spans="20:20">
      <c r="T11820" t="str">
        <f>IF(C11820="","",UPPER(LEFT(SUBSTITUTE(C11820," ",""),3))&amp;"-"&amp;TEXT(B11820,"AAMMDD")&amp;"-1")</f>
        <v/>
      </c>
    </row>
    <row r="11821" spans="20:20">
      <c r="T11821" t="str">
        <f>IF(C11821="","",UPPER(LEFT(SUBSTITUTE(C11821," ",""),3))&amp;"-"&amp;TEXT(B11821,"AAMMDD")&amp;"-1")</f>
        <v/>
      </c>
    </row>
    <row r="11822" spans="20:20">
      <c r="T11822" t="str">
        <f>IF(C11822="","",UPPER(LEFT(SUBSTITUTE(C11822," ",""),3))&amp;"-"&amp;TEXT(B11822,"AAMMDD")&amp;"-1")</f>
        <v/>
      </c>
    </row>
    <row r="11823" spans="20:20">
      <c r="T11823" t="str">
        <f>IF(C11823="","",UPPER(LEFT(SUBSTITUTE(C11823," ",""),3))&amp;"-"&amp;TEXT(B11823,"AAMMDD")&amp;"-1")</f>
        <v/>
      </c>
    </row>
    <row r="11824" spans="20:20">
      <c r="T11824" t="str">
        <f>IF(C11824="","",UPPER(LEFT(SUBSTITUTE(C11824," ",""),3))&amp;"-"&amp;TEXT(B11824,"AAMMDD")&amp;"-1")</f>
        <v/>
      </c>
    </row>
    <row r="11825" spans="20:20">
      <c r="T11825" t="str">
        <f>IF(C11825="","",UPPER(LEFT(SUBSTITUTE(C11825," ",""),3))&amp;"-"&amp;TEXT(B11825,"AAMMDD")&amp;"-1")</f>
        <v/>
      </c>
    </row>
    <row r="11826" spans="20:20">
      <c r="T11826" t="str">
        <f>IF(C11826="","",UPPER(LEFT(SUBSTITUTE(C11826," ",""),3))&amp;"-"&amp;TEXT(B11826,"AAMMDD")&amp;"-1")</f>
        <v/>
      </c>
    </row>
    <row r="11827" spans="20:20">
      <c r="T11827" t="str">
        <f>IF(C11827="","",UPPER(LEFT(SUBSTITUTE(C11827," ",""),3))&amp;"-"&amp;TEXT(B11827,"AAMMDD")&amp;"-1")</f>
        <v/>
      </c>
    </row>
    <row r="11828" spans="20:20">
      <c r="T11828" t="str">
        <f>IF(C11828="","",UPPER(LEFT(SUBSTITUTE(C11828," ",""),3))&amp;"-"&amp;TEXT(B11828,"AAMMDD")&amp;"-1")</f>
        <v/>
      </c>
    </row>
    <row r="11829" spans="20:20">
      <c r="T11829" t="str">
        <f>IF(C11829="","",UPPER(LEFT(SUBSTITUTE(C11829," ",""),3))&amp;"-"&amp;TEXT(B11829,"AAMMDD")&amp;"-1")</f>
        <v/>
      </c>
    </row>
    <row r="11830" spans="20:20">
      <c r="T11830" t="str">
        <f>IF(C11830="","",UPPER(LEFT(SUBSTITUTE(C11830," ",""),3))&amp;"-"&amp;TEXT(B11830,"AAMMDD")&amp;"-1")</f>
        <v/>
      </c>
    </row>
    <row r="11831" spans="20:20">
      <c r="T11831" t="str">
        <f>IF(C11831="","",UPPER(LEFT(SUBSTITUTE(C11831," ",""),3))&amp;"-"&amp;TEXT(B11831,"AAMMDD")&amp;"-1")</f>
        <v/>
      </c>
    </row>
    <row r="11832" spans="20:20">
      <c r="T11832" t="str">
        <f>IF(C11832="","",UPPER(LEFT(SUBSTITUTE(C11832," ",""),3))&amp;"-"&amp;TEXT(B11832,"AAMMDD")&amp;"-1")</f>
        <v/>
      </c>
    </row>
    <row r="11833" spans="20:20">
      <c r="T11833" t="str">
        <f>IF(C11833="","",UPPER(LEFT(SUBSTITUTE(C11833," ",""),3))&amp;"-"&amp;TEXT(B11833,"AAMMDD")&amp;"-1")</f>
        <v/>
      </c>
    </row>
    <row r="11834" spans="20:20">
      <c r="T11834" t="str">
        <f>IF(C11834="","",UPPER(LEFT(SUBSTITUTE(C11834," ",""),3))&amp;"-"&amp;TEXT(B11834,"AAMMDD")&amp;"-1")</f>
        <v/>
      </c>
    </row>
    <row r="11835" spans="20:20">
      <c r="T11835" t="str">
        <f>IF(C11835="","",UPPER(LEFT(SUBSTITUTE(C11835," ",""),3))&amp;"-"&amp;TEXT(B11835,"AAMMDD")&amp;"-1")</f>
        <v/>
      </c>
    </row>
    <row r="11836" spans="20:20">
      <c r="T11836" t="str">
        <f>IF(C11836="","",UPPER(LEFT(SUBSTITUTE(C11836," ",""),3))&amp;"-"&amp;TEXT(B11836,"AAMMDD")&amp;"-1")</f>
        <v/>
      </c>
    </row>
    <row r="11837" spans="20:20">
      <c r="T11837" t="str">
        <f>IF(C11837="","",UPPER(LEFT(SUBSTITUTE(C11837," ",""),3))&amp;"-"&amp;TEXT(B11837,"AAMMDD")&amp;"-1")</f>
        <v/>
      </c>
    </row>
    <row r="11838" spans="20:20">
      <c r="T11838" t="str">
        <f>IF(C11838="","",UPPER(LEFT(SUBSTITUTE(C11838," ",""),3))&amp;"-"&amp;TEXT(B11838,"AAMMDD")&amp;"-1")</f>
        <v/>
      </c>
    </row>
    <row r="11839" spans="20:20">
      <c r="T11839" t="str">
        <f>IF(C11839="","",UPPER(LEFT(SUBSTITUTE(C11839," ",""),3))&amp;"-"&amp;TEXT(B11839,"AAMMDD")&amp;"-1")</f>
        <v/>
      </c>
    </row>
    <row r="11840" spans="20:20">
      <c r="T11840" t="str">
        <f>IF(C11840="","",UPPER(LEFT(SUBSTITUTE(C11840," ",""),3))&amp;"-"&amp;TEXT(B11840,"AAMMDD")&amp;"-1")</f>
        <v/>
      </c>
    </row>
    <row r="11841" spans="20:20">
      <c r="T11841" t="str">
        <f>IF(C11841="","",UPPER(LEFT(SUBSTITUTE(C11841," ",""),3))&amp;"-"&amp;TEXT(B11841,"AAMMDD")&amp;"-1")</f>
        <v/>
      </c>
    </row>
    <row r="11842" spans="20:20">
      <c r="T11842" t="str">
        <f>IF(C11842="","",UPPER(LEFT(SUBSTITUTE(C11842," ",""),3))&amp;"-"&amp;TEXT(B11842,"AAMMDD")&amp;"-1")</f>
        <v/>
      </c>
    </row>
    <row r="11843" spans="20:20">
      <c r="T11843" t="str">
        <f>IF(C11843="","",UPPER(LEFT(SUBSTITUTE(C11843," ",""),3))&amp;"-"&amp;TEXT(B11843,"AAMMDD")&amp;"-1")</f>
        <v/>
      </c>
    </row>
    <row r="11844" spans="20:20">
      <c r="T11844" t="str">
        <f>IF(C11844="","",UPPER(LEFT(SUBSTITUTE(C11844," ",""),3))&amp;"-"&amp;TEXT(B11844,"AAMMDD")&amp;"-1")</f>
        <v/>
      </c>
    </row>
    <row r="11845" spans="20:20">
      <c r="T11845" t="str">
        <f>IF(C11845="","",UPPER(LEFT(SUBSTITUTE(C11845," ",""),3))&amp;"-"&amp;TEXT(B11845,"AAMMDD")&amp;"-1")</f>
        <v/>
      </c>
    </row>
    <row r="11846" spans="20:20">
      <c r="T11846" t="str">
        <f>IF(C11846="","",UPPER(LEFT(SUBSTITUTE(C11846," ",""),3))&amp;"-"&amp;TEXT(B11846,"AAMMDD")&amp;"-1")</f>
        <v/>
      </c>
    </row>
    <row r="11847" spans="20:20">
      <c r="T11847" t="str">
        <f>IF(C11847="","",UPPER(LEFT(SUBSTITUTE(C11847," ",""),3))&amp;"-"&amp;TEXT(B11847,"AAMMDD")&amp;"-1")</f>
        <v/>
      </c>
    </row>
    <row r="11848" spans="20:20">
      <c r="T11848" t="str">
        <f>IF(C11848="","",UPPER(LEFT(SUBSTITUTE(C11848," ",""),3))&amp;"-"&amp;TEXT(B11848,"AAMMDD")&amp;"-1")</f>
        <v/>
      </c>
    </row>
    <row r="11849" spans="20:20">
      <c r="T11849" t="str">
        <f>IF(C11849="","",UPPER(LEFT(SUBSTITUTE(C11849," ",""),3))&amp;"-"&amp;TEXT(B11849,"AAMMDD")&amp;"-1")</f>
        <v/>
      </c>
    </row>
    <row r="11850" spans="20:20">
      <c r="T11850" t="str">
        <f>IF(C11850="","",UPPER(LEFT(SUBSTITUTE(C11850," ",""),3))&amp;"-"&amp;TEXT(B11850,"AAMMDD")&amp;"-1")</f>
        <v/>
      </c>
    </row>
    <row r="11851" spans="20:20">
      <c r="T11851" t="str">
        <f>IF(C11851="","",UPPER(LEFT(SUBSTITUTE(C11851," ",""),3))&amp;"-"&amp;TEXT(B11851,"AAMMDD")&amp;"-1")</f>
        <v/>
      </c>
    </row>
    <row r="11852" spans="20:20">
      <c r="T11852" t="str">
        <f>IF(C11852="","",UPPER(LEFT(SUBSTITUTE(C11852," ",""),3))&amp;"-"&amp;TEXT(B11852,"AAMMDD")&amp;"-1")</f>
        <v/>
      </c>
    </row>
    <row r="11853" spans="20:20">
      <c r="T11853" t="str">
        <f>IF(C11853="","",UPPER(LEFT(SUBSTITUTE(C11853," ",""),3))&amp;"-"&amp;TEXT(B11853,"AAMMDD")&amp;"-1")</f>
        <v/>
      </c>
    </row>
    <row r="11854" spans="20:20">
      <c r="T11854" t="str">
        <f>IF(C11854="","",UPPER(LEFT(SUBSTITUTE(C11854," ",""),3))&amp;"-"&amp;TEXT(B11854,"AAMMDD")&amp;"-1")</f>
        <v/>
      </c>
    </row>
    <row r="11855" spans="20:20">
      <c r="T11855" t="str">
        <f>IF(C11855="","",UPPER(LEFT(SUBSTITUTE(C11855," ",""),3))&amp;"-"&amp;TEXT(B11855,"AAMMDD")&amp;"-1")</f>
        <v/>
      </c>
    </row>
    <row r="11856" spans="20:20">
      <c r="T11856" t="str">
        <f>IF(C11856="","",UPPER(LEFT(SUBSTITUTE(C11856," ",""),3))&amp;"-"&amp;TEXT(B11856,"AAMMDD")&amp;"-1")</f>
        <v/>
      </c>
    </row>
    <row r="11857" spans="20:20">
      <c r="T11857" t="str">
        <f>IF(C11857="","",UPPER(LEFT(SUBSTITUTE(C11857," ",""),3))&amp;"-"&amp;TEXT(B11857,"AAMMDD")&amp;"-1")</f>
        <v/>
      </c>
    </row>
    <row r="11858" spans="20:20">
      <c r="T11858" t="str">
        <f>IF(C11858="","",UPPER(LEFT(SUBSTITUTE(C11858," ",""),3))&amp;"-"&amp;TEXT(B11858,"AAMMDD")&amp;"-1")</f>
        <v/>
      </c>
    </row>
    <row r="11859" spans="20:20">
      <c r="T11859" t="str">
        <f>IF(C11859="","",UPPER(LEFT(SUBSTITUTE(C11859," ",""),3))&amp;"-"&amp;TEXT(B11859,"AAMMDD")&amp;"-1")</f>
        <v/>
      </c>
    </row>
    <row r="11860" spans="20:20">
      <c r="T11860" t="str">
        <f>IF(C11860="","",UPPER(LEFT(SUBSTITUTE(C11860," ",""),3))&amp;"-"&amp;TEXT(B11860,"AAMMDD")&amp;"-1")</f>
        <v/>
      </c>
    </row>
    <row r="11861" spans="20:20">
      <c r="T11861" t="str">
        <f>IF(C11861="","",UPPER(LEFT(SUBSTITUTE(C11861," ",""),3))&amp;"-"&amp;TEXT(B11861,"AAMMDD")&amp;"-1")</f>
        <v/>
      </c>
    </row>
    <row r="11862" spans="20:20">
      <c r="T11862" t="str">
        <f>IF(C11862="","",UPPER(LEFT(SUBSTITUTE(C11862," ",""),3))&amp;"-"&amp;TEXT(B11862,"AAMMDD")&amp;"-1")</f>
        <v/>
      </c>
    </row>
    <row r="11863" spans="20:20">
      <c r="T11863" t="str">
        <f>IF(C11863="","",UPPER(LEFT(SUBSTITUTE(C11863," ",""),3))&amp;"-"&amp;TEXT(B11863,"AAMMDD")&amp;"-1")</f>
        <v/>
      </c>
    </row>
    <row r="11864" spans="20:20">
      <c r="T11864" t="str">
        <f>IF(C11864="","",UPPER(LEFT(SUBSTITUTE(C11864," ",""),3))&amp;"-"&amp;TEXT(B11864,"AAMMDD")&amp;"-1")</f>
        <v/>
      </c>
    </row>
    <row r="11865" spans="20:20">
      <c r="T11865" t="str">
        <f>IF(C11865="","",UPPER(LEFT(SUBSTITUTE(C11865," ",""),3))&amp;"-"&amp;TEXT(B11865,"AAMMDD")&amp;"-1")</f>
        <v/>
      </c>
    </row>
    <row r="11866" spans="20:20">
      <c r="T11866" t="str">
        <f>IF(C11866="","",UPPER(LEFT(SUBSTITUTE(C11866," ",""),3))&amp;"-"&amp;TEXT(B11866,"AAMMDD")&amp;"-1")</f>
        <v/>
      </c>
    </row>
    <row r="11867" spans="20:20">
      <c r="T11867" t="str">
        <f>IF(C11867="","",UPPER(LEFT(SUBSTITUTE(C11867," ",""),3))&amp;"-"&amp;TEXT(B11867,"AAMMDD")&amp;"-1")</f>
        <v/>
      </c>
    </row>
    <row r="11868" spans="20:20">
      <c r="T11868" t="str">
        <f>IF(C11868="","",UPPER(LEFT(SUBSTITUTE(C11868," ",""),3))&amp;"-"&amp;TEXT(B11868,"AAMMDD")&amp;"-1")</f>
        <v/>
      </c>
    </row>
    <row r="11869" spans="20:20">
      <c r="T11869" t="str">
        <f>IF(C11869="","",UPPER(LEFT(SUBSTITUTE(C11869," ",""),3))&amp;"-"&amp;TEXT(B11869,"AAMMDD")&amp;"-1")</f>
        <v/>
      </c>
    </row>
    <row r="11870" spans="20:20">
      <c r="T11870" t="str">
        <f>IF(C11870="","",UPPER(LEFT(SUBSTITUTE(C11870," ",""),3))&amp;"-"&amp;TEXT(B11870,"AAMMDD")&amp;"-1")</f>
        <v/>
      </c>
    </row>
    <row r="11871" spans="20:20">
      <c r="T11871" t="str">
        <f>IF(C11871="","",UPPER(LEFT(SUBSTITUTE(C11871," ",""),3))&amp;"-"&amp;TEXT(B11871,"AAMMDD")&amp;"-1")</f>
        <v/>
      </c>
    </row>
    <row r="11872" spans="20:20">
      <c r="T11872" t="str">
        <f>IF(C11872="","",UPPER(LEFT(SUBSTITUTE(C11872," ",""),3))&amp;"-"&amp;TEXT(B11872,"AAMMDD")&amp;"-1")</f>
        <v/>
      </c>
    </row>
    <row r="11873" spans="20:20">
      <c r="T11873" t="str">
        <f>IF(C11873="","",UPPER(LEFT(SUBSTITUTE(C11873," ",""),3))&amp;"-"&amp;TEXT(B11873,"AAMMDD")&amp;"-1")</f>
        <v/>
      </c>
    </row>
    <row r="11874" spans="20:20">
      <c r="T11874" t="str">
        <f>IF(C11874="","",UPPER(LEFT(SUBSTITUTE(C11874," ",""),3))&amp;"-"&amp;TEXT(B11874,"AAMMDD")&amp;"-1")</f>
        <v/>
      </c>
    </row>
    <row r="11875" spans="20:20">
      <c r="T11875" t="str">
        <f>IF(C11875="","",UPPER(LEFT(SUBSTITUTE(C11875," ",""),3))&amp;"-"&amp;TEXT(B11875,"AAMMDD")&amp;"-1")</f>
        <v/>
      </c>
    </row>
    <row r="11876" spans="20:20">
      <c r="T11876" t="str">
        <f>IF(C11876="","",UPPER(LEFT(SUBSTITUTE(C11876," ",""),3))&amp;"-"&amp;TEXT(B11876,"AAMMDD")&amp;"-1")</f>
        <v/>
      </c>
    </row>
    <row r="11877" spans="20:20">
      <c r="T11877" t="str">
        <f>IF(C11877="","",UPPER(LEFT(SUBSTITUTE(C11877," ",""),3))&amp;"-"&amp;TEXT(B11877,"AAMMDD")&amp;"-1")</f>
        <v/>
      </c>
    </row>
    <row r="11878" spans="20:20">
      <c r="T11878" t="str">
        <f>IF(C11878="","",UPPER(LEFT(SUBSTITUTE(C11878," ",""),3))&amp;"-"&amp;TEXT(B11878,"AAMMDD")&amp;"-1")</f>
        <v/>
      </c>
    </row>
    <row r="11879" spans="20:20">
      <c r="T11879" t="str">
        <f>IF(C11879="","",UPPER(LEFT(SUBSTITUTE(C11879," ",""),3))&amp;"-"&amp;TEXT(B11879,"AAMMDD")&amp;"-1")</f>
        <v/>
      </c>
    </row>
    <row r="11880" spans="20:20">
      <c r="T11880" t="str">
        <f>IF(C11880="","",UPPER(LEFT(SUBSTITUTE(C11880," ",""),3))&amp;"-"&amp;TEXT(B11880,"AAMMDD")&amp;"-1")</f>
        <v/>
      </c>
    </row>
    <row r="11881" spans="20:20">
      <c r="T11881" t="str">
        <f>IF(C11881="","",UPPER(LEFT(SUBSTITUTE(C11881," ",""),3))&amp;"-"&amp;TEXT(B11881,"AAMMDD")&amp;"-1")</f>
        <v/>
      </c>
    </row>
    <row r="11882" spans="20:20">
      <c r="T11882" t="str">
        <f>IF(C11882="","",UPPER(LEFT(SUBSTITUTE(C11882," ",""),3))&amp;"-"&amp;TEXT(B11882,"AAMMDD")&amp;"-1")</f>
        <v/>
      </c>
    </row>
    <row r="11883" spans="20:20">
      <c r="T11883" t="str">
        <f>IF(C11883="","",UPPER(LEFT(SUBSTITUTE(C11883," ",""),3))&amp;"-"&amp;TEXT(B11883,"AAMMDD")&amp;"-1")</f>
        <v/>
      </c>
    </row>
    <row r="11884" spans="20:20">
      <c r="T11884" t="str">
        <f>IF(C11884="","",UPPER(LEFT(SUBSTITUTE(C11884," ",""),3))&amp;"-"&amp;TEXT(B11884,"AAMMDD")&amp;"-1")</f>
        <v/>
      </c>
    </row>
    <row r="11885" spans="20:20">
      <c r="T11885" t="str">
        <f>IF(C11885="","",UPPER(LEFT(SUBSTITUTE(C11885," ",""),3))&amp;"-"&amp;TEXT(B11885,"AAMMDD")&amp;"-1")</f>
        <v/>
      </c>
    </row>
    <row r="11886" spans="20:20">
      <c r="T11886" t="str">
        <f>IF(C11886="","",UPPER(LEFT(SUBSTITUTE(C11886," ",""),3))&amp;"-"&amp;TEXT(B11886,"AAMMDD")&amp;"-1")</f>
        <v/>
      </c>
    </row>
    <row r="11887" spans="20:20">
      <c r="T11887" t="str">
        <f>IF(C11887="","",UPPER(LEFT(SUBSTITUTE(C11887," ",""),3))&amp;"-"&amp;TEXT(B11887,"AAMMDD")&amp;"-1")</f>
        <v/>
      </c>
    </row>
    <row r="11888" spans="20:20">
      <c r="T11888" t="str">
        <f>IF(C11888="","",UPPER(LEFT(SUBSTITUTE(C11888," ",""),3))&amp;"-"&amp;TEXT(B11888,"AAMMDD")&amp;"-1")</f>
        <v/>
      </c>
    </row>
    <row r="11889" spans="20:20">
      <c r="T11889" t="str">
        <f>IF(C11889="","",UPPER(LEFT(SUBSTITUTE(C11889," ",""),3))&amp;"-"&amp;TEXT(B11889,"AAMMDD")&amp;"-1")</f>
        <v/>
      </c>
    </row>
    <row r="11890" spans="20:20">
      <c r="T11890" t="str">
        <f>IF(C11890="","",UPPER(LEFT(SUBSTITUTE(C11890," ",""),3))&amp;"-"&amp;TEXT(B11890,"AAMMDD")&amp;"-1")</f>
        <v/>
      </c>
    </row>
    <row r="11891" spans="20:20">
      <c r="T11891" t="str">
        <f>IF(C11891="","",UPPER(LEFT(SUBSTITUTE(C11891," ",""),3))&amp;"-"&amp;TEXT(B11891,"AAMMDD")&amp;"-1")</f>
        <v/>
      </c>
    </row>
    <row r="11892" spans="20:20">
      <c r="T11892" t="str">
        <f>IF(C11892="","",UPPER(LEFT(SUBSTITUTE(C11892," ",""),3))&amp;"-"&amp;TEXT(B11892,"AAMMDD")&amp;"-1")</f>
        <v/>
      </c>
    </row>
    <row r="11893" spans="20:20">
      <c r="T11893" t="str">
        <f>IF(C11893="","",UPPER(LEFT(SUBSTITUTE(C11893," ",""),3))&amp;"-"&amp;TEXT(B11893,"AAMMDD")&amp;"-1")</f>
        <v/>
      </c>
    </row>
    <row r="11894" spans="20:20">
      <c r="T11894" t="str">
        <f>IF(C11894="","",UPPER(LEFT(SUBSTITUTE(C11894," ",""),3))&amp;"-"&amp;TEXT(B11894,"AAMMDD")&amp;"-1")</f>
        <v/>
      </c>
    </row>
    <row r="11895" spans="20:20">
      <c r="T11895" t="str">
        <f>IF(C11895="","",UPPER(LEFT(SUBSTITUTE(C11895," ",""),3))&amp;"-"&amp;TEXT(B11895,"AAMMDD")&amp;"-1")</f>
        <v/>
      </c>
    </row>
    <row r="11896" spans="20:20">
      <c r="T11896" t="str">
        <f>IF(C11896="","",UPPER(LEFT(SUBSTITUTE(C11896," ",""),3))&amp;"-"&amp;TEXT(B11896,"AAMMDD")&amp;"-1")</f>
        <v/>
      </c>
    </row>
    <row r="11897" spans="20:20">
      <c r="T11897" t="str">
        <f>IF(C11897="","",UPPER(LEFT(SUBSTITUTE(C11897," ",""),3))&amp;"-"&amp;TEXT(B11897,"AAMMDD")&amp;"-1")</f>
        <v/>
      </c>
    </row>
    <row r="11898" spans="20:20">
      <c r="T11898" t="str">
        <f>IF(C11898="","",UPPER(LEFT(SUBSTITUTE(C11898," ",""),3))&amp;"-"&amp;TEXT(B11898,"AAMMDD")&amp;"-1")</f>
        <v/>
      </c>
    </row>
    <row r="11899" spans="20:20">
      <c r="T11899" t="str">
        <f>IF(C11899="","",UPPER(LEFT(SUBSTITUTE(C11899," ",""),3))&amp;"-"&amp;TEXT(B11899,"AAMMDD")&amp;"-1")</f>
        <v/>
      </c>
    </row>
    <row r="11900" spans="20:20">
      <c r="T11900" t="str">
        <f>IF(C11900="","",UPPER(LEFT(SUBSTITUTE(C11900," ",""),3))&amp;"-"&amp;TEXT(B11900,"AAMMDD")&amp;"-1")</f>
        <v/>
      </c>
    </row>
    <row r="11901" spans="20:20">
      <c r="T11901" t="str">
        <f>IF(C11901="","",UPPER(LEFT(SUBSTITUTE(C11901," ",""),3))&amp;"-"&amp;TEXT(B11901,"AAMMDD")&amp;"-1")</f>
        <v/>
      </c>
    </row>
    <row r="11902" spans="20:20">
      <c r="T11902" t="str">
        <f>IF(C11902="","",UPPER(LEFT(SUBSTITUTE(C11902," ",""),3))&amp;"-"&amp;TEXT(B11902,"AAMMDD")&amp;"-1")</f>
        <v/>
      </c>
    </row>
    <row r="11903" spans="20:20">
      <c r="T11903" t="str">
        <f>IF(C11903="","",UPPER(LEFT(SUBSTITUTE(C11903," ",""),3))&amp;"-"&amp;TEXT(B11903,"AAMMDD")&amp;"-1")</f>
        <v/>
      </c>
    </row>
    <row r="11904" spans="20:20">
      <c r="T11904" t="str">
        <f>IF(C11904="","",UPPER(LEFT(SUBSTITUTE(C11904," ",""),3))&amp;"-"&amp;TEXT(B11904,"AAMMDD")&amp;"-1")</f>
        <v/>
      </c>
    </row>
    <row r="11905" spans="20:20">
      <c r="T11905" t="str">
        <f>IF(C11905="","",UPPER(LEFT(SUBSTITUTE(C11905," ",""),3))&amp;"-"&amp;TEXT(B11905,"AAMMDD")&amp;"-1")</f>
        <v/>
      </c>
    </row>
    <row r="11906" spans="20:20">
      <c r="T11906" t="str">
        <f>IF(C11906="","",UPPER(LEFT(SUBSTITUTE(C11906," ",""),3))&amp;"-"&amp;TEXT(B11906,"AAMMDD")&amp;"-1")</f>
        <v/>
      </c>
    </row>
    <row r="11907" spans="20:20">
      <c r="T11907" t="str">
        <f>IF(C11907="","",UPPER(LEFT(SUBSTITUTE(C11907," ",""),3))&amp;"-"&amp;TEXT(B11907,"AAMMDD")&amp;"-1")</f>
        <v/>
      </c>
    </row>
    <row r="11908" spans="20:20">
      <c r="T11908" t="str">
        <f>IF(C11908="","",UPPER(LEFT(SUBSTITUTE(C11908," ",""),3))&amp;"-"&amp;TEXT(B11908,"AAMMDD")&amp;"-1")</f>
        <v/>
      </c>
    </row>
    <row r="11909" spans="20:20">
      <c r="T11909" t="str">
        <f>IF(C11909="","",UPPER(LEFT(SUBSTITUTE(C11909," ",""),3))&amp;"-"&amp;TEXT(B11909,"AAMMDD")&amp;"-1")</f>
        <v/>
      </c>
    </row>
    <row r="11910" spans="20:20">
      <c r="T11910" t="str">
        <f>IF(C11910="","",UPPER(LEFT(SUBSTITUTE(C11910," ",""),3))&amp;"-"&amp;TEXT(B11910,"AAMMDD")&amp;"-1")</f>
        <v/>
      </c>
    </row>
    <row r="11911" spans="20:20">
      <c r="T11911" t="str">
        <f>IF(C11911="","",UPPER(LEFT(SUBSTITUTE(C11911," ",""),3))&amp;"-"&amp;TEXT(B11911,"AAMMDD")&amp;"-1")</f>
        <v/>
      </c>
    </row>
    <row r="11912" spans="20:20">
      <c r="T11912" t="str">
        <f>IF(C11912="","",UPPER(LEFT(SUBSTITUTE(C11912," ",""),3))&amp;"-"&amp;TEXT(B11912,"AAMMDD")&amp;"-1")</f>
        <v/>
      </c>
    </row>
    <row r="11913" spans="20:20">
      <c r="T11913" t="str">
        <f>IF(C11913="","",UPPER(LEFT(SUBSTITUTE(C11913," ",""),3))&amp;"-"&amp;TEXT(B11913,"AAMMDD")&amp;"-1")</f>
        <v/>
      </c>
    </row>
    <row r="11914" spans="20:20">
      <c r="T11914" t="str">
        <f>IF(C11914="","",UPPER(LEFT(SUBSTITUTE(C11914," ",""),3))&amp;"-"&amp;TEXT(B11914,"AAMMDD")&amp;"-1")</f>
        <v/>
      </c>
    </row>
    <row r="11915" spans="20:20">
      <c r="T11915" t="str">
        <f>IF(C11915="","",UPPER(LEFT(SUBSTITUTE(C11915," ",""),3))&amp;"-"&amp;TEXT(B11915,"AAMMDD")&amp;"-1")</f>
        <v/>
      </c>
    </row>
    <row r="11916" spans="20:20">
      <c r="T11916" t="str">
        <f>IF(C11916="","",UPPER(LEFT(SUBSTITUTE(C11916," ",""),3))&amp;"-"&amp;TEXT(B11916,"AAMMDD")&amp;"-1")</f>
        <v/>
      </c>
    </row>
    <row r="11917" spans="20:20">
      <c r="T11917" t="str">
        <f>IF(C11917="","",UPPER(LEFT(SUBSTITUTE(C11917," ",""),3))&amp;"-"&amp;TEXT(B11917,"AAMMDD")&amp;"-1")</f>
        <v/>
      </c>
    </row>
    <row r="11918" spans="20:20">
      <c r="T11918" t="str">
        <f>IF(C11918="","",UPPER(LEFT(SUBSTITUTE(C11918," ",""),3))&amp;"-"&amp;TEXT(B11918,"AAMMDD")&amp;"-1")</f>
        <v/>
      </c>
    </row>
    <row r="11919" spans="20:20">
      <c r="T11919" t="str">
        <f>IF(C11919="","",UPPER(LEFT(SUBSTITUTE(C11919," ",""),3))&amp;"-"&amp;TEXT(B11919,"AAMMDD")&amp;"-1")</f>
        <v/>
      </c>
    </row>
    <row r="11920" spans="20:20">
      <c r="T11920" t="str">
        <f>IF(C11920="","",UPPER(LEFT(SUBSTITUTE(C11920," ",""),3))&amp;"-"&amp;TEXT(B11920,"AAMMDD")&amp;"-1")</f>
        <v/>
      </c>
    </row>
    <row r="11921" spans="20:20">
      <c r="T11921" t="str">
        <f>IF(C11921="","",UPPER(LEFT(SUBSTITUTE(C11921," ",""),3))&amp;"-"&amp;TEXT(B11921,"AAMMDD")&amp;"-1")</f>
        <v/>
      </c>
    </row>
    <row r="11922" spans="20:20">
      <c r="T11922" t="str">
        <f>IF(C11922="","",UPPER(LEFT(SUBSTITUTE(C11922," ",""),3))&amp;"-"&amp;TEXT(B11922,"AAMMDD")&amp;"-1")</f>
        <v/>
      </c>
    </row>
    <row r="11923" spans="20:20">
      <c r="T11923" t="str">
        <f>IF(C11923="","",UPPER(LEFT(SUBSTITUTE(C11923," ",""),3))&amp;"-"&amp;TEXT(B11923,"AAMMDD")&amp;"-1")</f>
        <v/>
      </c>
    </row>
    <row r="11924" spans="20:20">
      <c r="T11924" t="str">
        <f>IF(C11924="","",UPPER(LEFT(SUBSTITUTE(C11924," ",""),3))&amp;"-"&amp;TEXT(B11924,"AAMMDD")&amp;"-1")</f>
        <v/>
      </c>
    </row>
    <row r="11925" spans="20:20">
      <c r="T11925" t="str">
        <f>IF(C11925="","",UPPER(LEFT(SUBSTITUTE(C11925," ",""),3))&amp;"-"&amp;TEXT(B11925,"AAMMDD")&amp;"-1")</f>
        <v/>
      </c>
    </row>
    <row r="11926" spans="20:20">
      <c r="T11926" t="str">
        <f>IF(C11926="","",UPPER(LEFT(SUBSTITUTE(C11926," ",""),3))&amp;"-"&amp;TEXT(B11926,"AAMMDD")&amp;"-1")</f>
        <v/>
      </c>
    </row>
    <row r="11927" spans="20:20">
      <c r="T11927" t="str">
        <f>IF(C11927="","",UPPER(LEFT(SUBSTITUTE(C11927," ",""),3))&amp;"-"&amp;TEXT(B11927,"AAMMDD")&amp;"-1")</f>
        <v/>
      </c>
    </row>
    <row r="11928" spans="20:20">
      <c r="T11928" t="str">
        <f>IF(C11928="","",UPPER(LEFT(SUBSTITUTE(C11928," ",""),3))&amp;"-"&amp;TEXT(B11928,"AAMMDD")&amp;"-1")</f>
        <v/>
      </c>
    </row>
    <row r="11929" spans="20:20">
      <c r="T11929" t="str">
        <f>IF(C11929="","",UPPER(LEFT(SUBSTITUTE(C11929," ",""),3))&amp;"-"&amp;TEXT(B11929,"AAMMDD")&amp;"-1")</f>
        <v/>
      </c>
    </row>
    <row r="11930" spans="20:20">
      <c r="T11930" t="str">
        <f>IF(C11930="","",UPPER(LEFT(SUBSTITUTE(C11930," ",""),3))&amp;"-"&amp;TEXT(B11930,"AAMMDD")&amp;"-1")</f>
        <v/>
      </c>
    </row>
    <row r="11931" spans="20:20">
      <c r="T11931" t="str">
        <f>IF(C11931="","",UPPER(LEFT(SUBSTITUTE(C11931," ",""),3))&amp;"-"&amp;TEXT(B11931,"AAMMDD")&amp;"-1")</f>
        <v/>
      </c>
    </row>
    <row r="11932" spans="20:20">
      <c r="T11932" t="str">
        <f>IF(C11932="","",UPPER(LEFT(SUBSTITUTE(C11932," ",""),3))&amp;"-"&amp;TEXT(B11932,"AAMMDD")&amp;"-1")</f>
        <v/>
      </c>
    </row>
    <row r="11933" spans="20:20">
      <c r="T11933" t="str">
        <f>IF(C11933="","",UPPER(LEFT(SUBSTITUTE(C11933," ",""),3))&amp;"-"&amp;TEXT(B11933,"AAMMDD")&amp;"-1")</f>
        <v/>
      </c>
    </row>
    <row r="11934" spans="20:20">
      <c r="T11934" t="str">
        <f>IF(C11934="","",UPPER(LEFT(SUBSTITUTE(C11934," ",""),3))&amp;"-"&amp;TEXT(B11934,"AAMMDD")&amp;"-1")</f>
        <v/>
      </c>
    </row>
    <row r="11935" spans="20:20">
      <c r="T11935" t="str">
        <f>IF(C11935="","",UPPER(LEFT(SUBSTITUTE(C11935," ",""),3))&amp;"-"&amp;TEXT(B11935,"AAMMDD")&amp;"-1")</f>
        <v/>
      </c>
    </row>
    <row r="11936" spans="20:20">
      <c r="T11936" t="str">
        <f>IF(C11936="","",UPPER(LEFT(SUBSTITUTE(C11936," ",""),3))&amp;"-"&amp;TEXT(B11936,"AAMMDD")&amp;"-1")</f>
        <v/>
      </c>
    </row>
    <row r="11937" spans="20:20">
      <c r="T11937" t="str">
        <f>IF(C11937="","",UPPER(LEFT(SUBSTITUTE(C11937," ",""),3))&amp;"-"&amp;TEXT(B11937,"AAMMDD")&amp;"-1")</f>
        <v/>
      </c>
    </row>
    <row r="11938" spans="20:20">
      <c r="T11938" t="str">
        <f>IF(C11938="","",UPPER(LEFT(SUBSTITUTE(C11938," ",""),3))&amp;"-"&amp;TEXT(B11938,"AAMMDD")&amp;"-1")</f>
        <v/>
      </c>
    </row>
    <row r="11939" spans="20:20">
      <c r="T11939" t="str">
        <f>IF(C11939="","",UPPER(LEFT(SUBSTITUTE(C11939," ",""),3))&amp;"-"&amp;TEXT(B11939,"AAMMDD")&amp;"-1")</f>
        <v/>
      </c>
    </row>
    <row r="11940" spans="20:20">
      <c r="T11940" t="str">
        <f>IF(C11940="","",UPPER(LEFT(SUBSTITUTE(C11940," ",""),3))&amp;"-"&amp;TEXT(B11940,"AAMMDD")&amp;"-1")</f>
        <v/>
      </c>
    </row>
    <row r="11941" spans="20:20">
      <c r="T11941" t="str">
        <f>IF(C11941="","",UPPER(LEFT(SUBSTITUTE(C11941," ",""),3))&amp;"-"&amp;TEXT(B11941,"AAMMDD")&amp;"-1")</f>
        <v/>
      </c>
    </row>
    <row r="11942" spans="20:20">
      <c r="T11942" t="str">
        <f>IF(C11942="","",UPPER(LEFT(SUBSTITUTE(C11942," ",""),3))&amp;"-"&amp;TEXT(B11942,"AAMMDD")&amp;"-1")</f>
        <v/>
      </c>
    </row>
    <row r="11943" spans="20:20">
      <c r="T11943" t="str">
        <f>IF(C11943="","",UPPER(LEFT(SUBSTITUTE(C11943," ",""),3))&amp;"-"&amp;TEXT(B11943,"AAMMDD")&amp;"-1")</f>
        <v/>
      </c>
    </row>
    <row r="11944" spans="20:20">
      <c r="T11944" t="str">
        <f>IF(C11944="","",UPPER(LEFT(SUBSTITUTE(C11944," ",""),3))&amp;"-"&amp;TEXT(B11944,"AAMMDD")&amp;"-1")</f>
        <v/>
      </c>
    </row>
    <row r="11945" spans="20:20">
      <c r="T11945" t="str">
        <f>IF(C11945="","",UPPER(LEFT(SUBSTITUTE(C11945," ",""),3))&amp;"-"&amp;TEXT(B11945,"AAMMDD")&amp;"-1")</f>
        <v/>
      </c>
    </row>
    <row r="11946" spans="20:20">
      <c r="T11946" t="str">
        <f>IF(C11946="","",UPPER(LEFT(SUBSTITUTE(C11946," ",""),3))&amp;"-"&amp;TEXT(B11946,"AAMMDD")&amp;"-1")</f>
        <v/>
      </c>
    </row>
    <row r="11947" spans="20:20">
      <c r="T11947" t="str">
        <f>IF(C11947="","",UPPER(LEFT(SUBSTITUTE(C11947," ",""),3))&amp;"-"&amp;TEXT(B11947,"AAMMDD")&amp;"-1")</f>
        <v/>
      </c>
    </row>
    <row r="11948" spans="20:20">
      <c r="T11948" t="str">
        <f>IF(C11948="","",UPPER(LEFT(SUBSTITUTE(C11948," ",""),3))&amp;"-"&amp;TEXT(B11948,"AAMMDD")&amp;"-1")</f>
        <v/>
      </c>
    </row>
    <row r="11949" spans="20:20">
      <c r="T11949" t="str">
        <f>IF(C11949="","",UPPER(LEFT(SUBSTITUTE(C11949," ",""),3))&amp;"-"&amp;TEXT(B11949,"AAMMDD")&amp;"-1")</f>
        <v/>
      </c>
    </row>
    <row r="11950" spans="20:20">
      <c r="T11950" t="str">
        <f>IF(C11950="","",UPPER(LEFT(SUBSTITUTE(C11950," ",""),3))&amp;"-"&amp;TEXT(B11950,"AAMMDD")&amp;"-1")</f>
        <v/>
      </c>
    </row>
    <row r="11951" spans="20:20">
      <c r="T11951" t="str">
        <f>IF(C11951="","",UPPER(LEFT(SUBSTITUTE(C11951," ",""),3))&amp;"-"&amp;TEXT(B11951,"AAMMDD")&amp;"-1")</f>
        <v/>
      </c>
    </row>
    <row r="11952" spans="20:20">
      <c r="T11952" t="str">
        <f>IF(C11952="","",UPPER(LEFT(SUBSTITUTE(C11952," ",""),3))&amp;"-"&amp;TEXT(B11952,"AAMMDD")&amp;"-1")</f>
        <v/>
      </c>
    </row>
    <row r="11953" spans="20:20">
      <c r="T11953" t="str">
        <f>IF(C11953="","",UPPER(LEFT(SUBSTITUTE(C11953," ",""),3))&amp;"-"&amp;TEXT(B11953,"AAMMDD")&amp;"-1")</f>
        <v/>
      </c>
    </row>
    <row r="11954" spans="20:20">
      <c r="T11954" t="str">
        <f>IF(C11954="","",UPPER(LEFT(SUBSTITUTE(C11954," ",""),3))&amp;"-"&amp;TEXT(B11954,"AAMMDD")&amp;"-1")</f>
        <v/>
      </c>
    </row>
    <row r="11955" spans="20:20">
      <c r="T11955" t="str">
        <f>IF(C11955="","",UPPER(LEFT(SUBSTITUTE(C11955," ",""),3))&amp;"-"&amp;TEXT(B11955,"AAMMDD")&amp;"-1")</f>
        <v/>
      </c>
    </row>
    <row r="11956" spans="20:20">
      <c r="T11956" t="str">
        <f>IF(C11956="","",UPPER(LEFT(SUBSTITUTE(C11956," ",""),3))&amp;"-"&amp;TEXT(B11956,"AAMMDD")&amp;"-1")</f>
        <v/>
      </c>
    </row>
    <row r="11957" spans="20:20">
      <c r="T11957" t="str">
        <f>IF(C11957="","",UPPER(LEFT(SUBSTITUTE(C11957," ",""),3))&amp;"-"&amp;TEXT(B11957,"AAMMDD")&amp;"-1")</f>
        <v/>
      </c>
    </row>
    <row r="11958" spans="20:20">
      <c r="T11958" t="str">
        <f>IF(C11958="","",UPPER(LEFT(SUBSTITUTE(C11958," ",""),3))&amp;"-"&amp;TEXT(B11958,"AAMMDD")&amp;"-1")</f>
        <v/>
      </c>
    </row>
    <row r="11959" spans="20:20">
      <c r="T11959" t="str">
        <f>IF(C11959="","",UPPER(LEFT(SUBSTITUTE(C11959," ",""),3))&amp;"-"&amp;TEXT(B11959,"AAMMDD")&amp;"-1")</f>
        <v/>
      </c>
    </row>
    <row r="11960" spans="20:20">
      <c r="T11960" t="str">
        <f>IF(C11960="","",UPPER(LEFT(SUBSTITUTE(C11960," ",""),3))&amp;"-"&amp;TEXT(B11960,"AAMMDD")&amp;"-1")</f>
        <v/>
      </c>
    </row>
    <row r="11961" spans="20:20">
      <c r="T11961" t="str">
        <f>IF(C11961="","",UPPER(LEFT(SUBSTITUTE(C11961," ",""),3))&amp;"-"&amp;TEXT(B11961,"AAMMDD")&amp;"-1")</f>
        <v/>
      </c>
    </row>
    <row r="11962" spans="20:20">
      <c r="T11962" t="str">
        <f>IF(C11962="","",UPPER(LEFT(SUBSTITUTE(C11962," ",""),3))&amp;"-"&amp;TEXT(B11962,"AAMMDD")&amp;"-1")</f>
        <v/>
      </c>
    </row>
    <row r="11963" spans="20:20">
      <c r="T11963" t="str">
        <f>IF(C11963="","",UPPER(LEFT(SUBSTITUTE(C11963," ",""),3))&amp;"-"&amp;TEXT(B11963,"AAMMDD")&amp;"-1")</f>
        <v/>
      </c>
    </row>
    <row r="11964" spans="20:20">
      <c r="T11964" t="str">
        <f>IF(C11964="","",UPPER(LEFT(SUBSTITUTE(C11964," ",""),3))&amp;"-"&amp;TEXT(B11964,"AAMMDD")&amp;"-1")</f>
        <v/>
      </c>
    </row>
    <row r="11965" spans="20:20">
      <c r="T11965" t="str">
        <f>IF(C11965="","",UPPER(LEFT(SUBSTITUTE(C11965," ",""),3))&amp;"-"&amp;TEXT(B11965,"AAMMDD")&amp;"-1")</f>
        <v/>
      </c>
    </row>
    <row r="11966" spans="20:20">
      <c r="T11966" t="str">
        <f>IF(C11966="","",UPPER(LEFT(SUBSTITUTE(C11966," ",""),3))&amp;"-"&amp;TEXT(B11966,"AAMMDD")&amp;"-1")</f>
        <v/>
      </c>
    </row>
    <row r="11967" spans="20:20">
      <c r="T11967" t="str">
        <f>IF(C11967="","",UPPER(LEFT(SUBSTITUTE(C11967," ",""),3))&amp;"-"&amp;TEXT(B11967,"AAMMDD")&amp;"-1")</f>
        <v/>
      </c>
    </row>
    <row r="11968" spans="20:20">
      <c r="T11968" t="str">
        <f>IF(C11968="","",UPPER(LEFT(SUBSTITUTE(C11968," ",""),3))&amp;"-"&amp;TEXT(B11968,"AAMMDD")&amp;"-1")</f>
        <v/>
      </c>
    </row>
    <row r="11969" spans="20:20">
      <c r="T11969" t="str">
        <f>IF(C11969="","",UPPER(LEFT(SUBSTITUTE(C11969," ",""),3))&amp;"-"&amp;TEXT(B11969,"AAMMDD")&amp;"-1")</f>
        <v/>
      </c>
    </row>
    <row r="11970" spans="20:20">
      <c r="T11970" t="str">
        <f>IF(C11970="","",UPPER(LEFT(SUBSTITUTE(C11970," ",""),3))&amp;"-"&amp;TEXT(B11970,"AAMMDD")&amp;"-1")</f>
        <v/>
      </c>
    </row>
    <row r="11971" spans="20:20">
      <c r="T11971" t="str">
        <f>IF(C11971="","",UPPER(LEFT(SUBSTITUTE(C11971," ",""),3))&amp;"-"&amp;TEXT(B11971,"AAMMDD")&amp;"-1")</f>
        <v/>
      </c>
    </row>
    <row r="11972" spans="20:20">
      <c r="T11972" t="str">
        <f>IF(C11972="","",UPPER(LEFT(SUBSTITUTE(C11972," ",""),3))&amp;"-"&amp;TEXT(B11972,"AAMMDD")&amp;"-1")</f>
        <v/>
      </c>
    </row>
    <row r="11973" spans="20:20">
      <c r="T11973" t="str">
        <f>IF(C11973="","",UPPER(LEFT(SUBSTITUTE(C11973," ",""),3))&amp;"-"&amp;TEXT(B11973,"AAMMDD")&amp;"-1")</f>
        <v/>
      </c>
    </row>
    <row r="11974" spans="20:20">
      <c r="T11974" t="str">
        <f>IF(C11974="","",UPPER(LEFT(SUBSTITUTE(C11974," ",""),3))&amp;"-"&amp;TEXT(B11974,"AAMMDD")&amp;"-1")</f>
        <v/>
      </c>
    </row>
    <row r="11975" spans="20:20">
      <c r="T11975" t="str">
        <f>IF(C11975="","",UPPER(LEFT(SUBSTITUTE(C11975," ",""),3))&amp;"-"&amp;TEXT(B11975,"AAMMDD")&amp;"-1")</f>
        <v/>
      </c>
    </row>
    <row r="11976" spans="20:20">
      <c r="T11976" t="str">
        <f>IF(C11976="","",UPPER(LEFT(SUBSTITUTE(C11976," ",""),3))&amp;"-"&amp;TEXT(B11976,"AAMMDD")&amp;"-1")</f>
        <v/>
      </c>
    </row>
    <row r="11977" spans="20:20">
      <c r="T11977" t="str">
        <f>IF(C11977="","",UPPER(LEFT(SUBSTITUTE(C11977," ",""),3))&amp;"-"&amp;TEXT(B11977,"AAMMDD")&amp;"-1")</f>
        <v/>
      </c>
    </row>
    <row r="11978" spans="20:20">
      <c r="T11978" t="str">
        <f>IF(C11978="","",UPPER(LEFT(SUBSTITUTE(C11978," ",""),3))&amp;"-"&amp;TEXT(B11978,"AAMMDD")&amp;"-1")</f>
        <v/>
      </c>
    </row>
    <row r="11979" spans="20:20">
      <c r="T11979" t="str">
        <f>IF(C11979="","",UPPER(LEFT(SUBSTITUTE(C11979," ",""),3))&amp;"-"&amp;TEXT(B11979,"AAMMDD")&amp;"-1")</f>
        <v/>
      </c>
    </row>
    <row r="11980" spans="20:20">
      <c r="T11980" t="str">
        <f>IF(C11980="","",UPPER(LEFT(SUBSTITUTE(C11980," ",""),3))&amp;"-"&amp;TEXT(B11980,"AAMMDD")&amp;"-1")</f>
        <v/>
      </c>
    </row>
    <row r="11981" spans="20:20">
      <c r="T11981" t="str">
        <f>IF(C11981="","",UPPER(LEFT(SUBSTITUTE(C11981," ",""),3))&amp;"-"&amp;TEXT(B11981,"AAMMDD")&amp;"-1")</f>
        <v/>
      </c>
    </row>
    <row r="11982" spans="20:20">
      <c r="T11982" t="str">
        <f>IF(C11982="","",UPPER(LEFT(SUBSTITUTE(C11982," ",""),3))&amp;"-"&amp;TEXT(B11982,"AAMMDD")&amp;"-1")</f>
        <v/>
      </c>
    </row>
    <row r="11983" spans="20:20">
      <c r="T11983" t="str">
        <f>IF(C11983="","",UPPER(LEFT(SUBSTITUTE(C11983," ",""),3))&amp;"-"&amp;TEXT(B11983,"AAMMDD")&amp;"-1")</f>
        <v/>
      </c>
    </row>
    <row r="11984" spans="20:20">
      <c r="T11984" t="str">
        <f>IF(C11984="","",UPPER(LEFT(SUBSTITUTE(C11984," ",""),3))&amp;"-"&amp;TEXT(B11984,"AAMMDD")&amp;"-1")</f>
        <v/>
      </c>
    </row>
    <row r="11985" spans="2:20">
      <c r="T11985" t="str">
        <f>IF(C11985="","",UPPER(LEFT(SUBSTITUTE(C11985," ",""),3))&amp;"-"&amp;TEXT(B11985,"AAMMDD")&amp;"-1")</f>
        <v/>
      </c>
    </row>
    <row r="11986" spans="2:20">
      <c r="T11986" t="str">
        <f>IF(C11986="","",UPPER(LEFT(SUBSTITUTE(C11986," ",""),3))&amp;"-"&amp;TEXT(B11986,"AAMMDD")&amp;"-1")</f>
        <v/>
      </c>
    </row>
    <row r="11987" spans="2:20">
      <c r="T11987" t="str">
        <f>IF(C11987="","",UPPER(LEFT(SUBSTITUTE(C11987," ",""),3))&amp;"-"&amp;TEXT(B11987,"AAMMDD")&amp;"-1")</f>
        <v/>
      </c>
    </row>
    <row r="11988" spans="2:20">
      <c r="T11988" t="str">
        <f>IF(C11988="","",UPPER(LEFT(SUBSTITUTE(C11988," ",""),3))&amp;"-"&amp;TEXT(B11988,"AAMMDD")&amp;"-1")</f>
        <v/>
      </c>
    </row>
    <row r="11989" spans="2:20">
      <c r="T11989" t="str">
        <f>IF(C11989="","",UPPER(LEFT(SUBSTITUTE(C11989," ",""),3))&amp;"-"&amp;TEXT(B11989,"AAMMDD")&amp;"-1")</f>
        <v/>
      </c>
    </row>
    <row r="11990" spans="2:20">
      <c r="T11990" t="str">
        <f>IF(C11990="","",UPPER(LEFT(SUBSTITUTE(C11990," ",""),3))&amp;"-"&amp;TEXT(B11990,"AAMMDD")&amp;"-1")</f>
        <v/>
      </c>
    </row>
    <row r="11991" spans="2:20">
      <c r="T11991" t="str">
        <f>IF(C11991="","",UPPER(LEFT(SUBSTITUTE(C11991," ",""),3))&amp;"-"&amp;TEXT(B11991,"AAMMDD")&amp;"-1")</f>
        <v/>
      </c>
    </row>
    <row r="11992" spans="2:20">
      <c r="T11992" t="str">
        <f>IF(C11992="","",UPPER(LEFT(SUBSTITUTE(C11992," ",""),3))&amp;"-"&amp;TEXT(B11992,"AAMMDD")&amp;"-1")</f>
        <v/>
      </c>
    </row>
    <row r="11993" spans="2:20">
      <c r="T11993" t="str">
        <f>IF(C11993="","",UPPER(LEFT(SUBSTITUTE(C11993," ",""),3))&amp;"-"&amp;TEXT(B11993,"AAMMDD")&amp;"-1")</f>
        <v/>
      </c>
    </row>
    <row r="11994" spans="2:20">
      <c r="B11994" s="47"/>
      <c r="T11994" t="str">
        <f>IF(C11994="","",UPPER(LEFT(SUBSTITUTE(C11994," ",""),3))&amp;"-"&amp;TEXT(B11994,"AAMMDD")&amp;"-1")</f>
        <v/>
      </c>
    </row>
    <row r="11995" spans="2:20">
      <c r="B11995" s="47"/>
      <c r="T11995" t="str">
        <f>IF(C11995="","",UPPER(LEFT(SUBSTITUTE(C11995," ",""),3))&amp;"-"&amp;TEXT(B11995,"AAMMDD")&amp;"-1")</f>
        <v/>
      </c>
    </row>
    <row r="11996" spans="2:20">
      <c r="B11996" s="47"/>
      <c r="T11996" t="str">
        <f>IF(C11996="","",UPPER(LEFT(SUBSTITUTE(C11996," ",""),3))&amp;"-"&amp;TEXT(B11996,"AAMMDD")&amp;"-1")</f>
        <v/>
      </c>
    </row>
    <row r="11997" spans="2:20">
      <c r="B11997" s="47"/>
      <c r="T11997" t="str">
        <f>IF(C11997="","",UPPER(LEFT(SUBSTITUTE(C11997," ",""),3))&amp;"-"&amp;TEXT(B11997,"AAMMDD")&amp;"-1")</f>
        <v/>
      </c>
    </row>
  </sheetData>
  <autoFilter ref="C12003" xr:uid="{00000000-0001-0000-0000-000000000000}"/>
  <phoneticPr fontId="9" type="noConversion"/>
  <conditionalFormatting sqref="A2:Q2 A3:P11 N11994:N11995 B12:P12 Q3:Q500 B11994:B11997 D662:J663 B662:B663 L219:P500 B14:P218 B13:O13 K219:K2018 A12:A1998 B219:J661 J658:J672 N353:N744 L501:Q1993 B664:J1993">
    <cfRule type="expression" dxfId="20" priority="3">
      <formula>$I2="ENTRADA"</formula>
    </cfRule>
    <cfRule type="expression" dxfId="19" priority="4">
      <formula>$I2="SALIDA"</formula>
    </cfRule>
  </conditionalFormatting>
  <conditionalFormatting sqref="Q5788">
    <cfRule type="expression" dxfId="18" priority="1">
      <formula>$I5788="ENTRADA"</formula>
    </cfRule>
    <cfRule type="expression" dxfId="17" priority="2">
      <formula>$I5788="SALIDA"</formula>
    </cfRule>
  </conditionalFormatting>
  <conditionalFormatting sqref="C663">
    <cfRule type="expression" dxfId="16" priority="11">
      <formula>$I662="ENTRADA"</formula>
    </cfRule>
    <cfRule type="expression" dxfId="15" priority="12">
      <formula>$I662="SALIDA"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0000000}">
          <x14:formula1>
            <xm:f>Listas!$A$2:$A$199</xm:f>
          </x14:formula1>
          <xm:sqref>C2:C295 C663:C1993 C297:C661</xm:sqref>
        </x14:dataValidation>
        <x14:dataValidation type="list" allowBlank="1" xr:uid="{00000000-0002-0000-0000-000002000000}">
          <x14:formula1>
            <xm:f>Listas!$C$2:$C$199</xm:f>
          </x14:formula1>
          <xm:sqref>E2:E1993</xm:sqref>
        </x14:dataValidation>
        <x14:dataValidation type="list" allowBlank="1" xr:uid="{00000000-0002-0000-0000-000005000000}">
          <x14:formula1>
            <xm:f>Listas!$F$2:$F$199</xm:f>
          </x14:formula1>
          <xm:sqref>I2:I1993</xm:sqref>
        </x14:dataValidation>
        <x14:dataValidation type="list" allowBlank="1" xr:uid="{00000000-0002-0000-0000-000006000000}">
          <x14:formula1>
            <xm:f>Listas!$G$2:$G$199</xm:f>
          </x14:formula1>
          <xm:sqref>L2:L1993</xm:sqref>
        </x14:dataValidation>
        <x14:dataValidation type="list" allowBlank="1" xr:uid="{00000000-0002-0000-0000-000007000000}">
          <x14:formula1>
            <xm:f>Listas!$H$2:$H$199</xm:f>
          </x14:formula1>
          <xm:sqref>O2:O1993</xm:sqref>
        </x14:dataValidation>
        <x14:dataValidation type="list" allowBlank="1" xr:uid="{00000000-0002-0000-0000-000001000000}">
          <x14:formula1>
            <xm:f>Listas!$B$2:$B$199</xm:f>
          </x14:formula1>
          <xm:sqref>D2:D1993</xm:sqref>
        </x14:dataValidation>
        <x14:dataValidation type="list" allowBlank="1" xr:uid="{00000000-0002-0000-0000-000004000000}">
          <x14:formula1>
            <xm:f>Listas!$E$2:$E$199</xm:f>
          </x14:formula1>
          <xm:sqref>G2:G1993</xm:sqref>
        </x14:dataValidation>
        <x14:dataValidation type="list" allowBlank="1" xr:uid="{00000000-0002-0000-0000-000003000000}">
          <x14:formula1>
            <xm:f>Listas!$D$2:$D$199</xm:f>
          </x14:formula1>
          <xm:sqref>F2:F1993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112"/>
  <sheetViews>
    <sheetView showGridLines="0" workbookViewId="0">
      <pane ySplit="1" topLeftCell="A38" activePane="bottomLeft" state="frozen"/>
      <selection pane="bottomLeft" activeCell="G40" sqref="G40"/>
    </sheetView>
  </sheetViews>
  <sheetFormatPr defaultColWidth="9.140625" defaultRowHeight="15"/>
  <cols>
    <col min="1" max="1" width="26" customWidth="1"/>
    <col min="2" max="2" width="24" customWidth="1"/>
    <col min="3" max="3" width="14" customWidth="1"/>
    <col min="4" max="4" width="16" customWidth="1"/>
    <col min="5" max="5" width="8" customWidth="1"/>
    <col min="6" max="6" width="10" customWidth="1"/>
    <col min="7" max="7" width="12" customWidth="1"/>
    <col min="8" max="8" width="18" customWidth="1"/>
  </cols>
  <sheetData>
    <row r="1" spans="1:8" ht="24.75">
      <c r="A1" s="18" t="s">
        <v>2358</v>
      </c>
      <c r="B1" s="18" t="s">
        <v>2359</v>
      </c>
      <c r="C1" s="18" t="s">
        <v>4</v>
      </c>
      <c r="D1" s="18" t="s">
        <v>5</v>
      </c>
      <c r="E1" s="18" t="s">
        <v>11</v>
      </c>
      <c r="F1" s="18" t="s">
        <v>2360</v>
      </c>
      <c r="G1" s="18" t="s">
        <v>2361</v>
      </c>
      <c r="H1" s="18" t="s">
        <v>2362</v>
      </c>
    </row>
    <row r="2" spans="1:8">
      <c r="A2" s="7" t="s">
        <v>23</v>
      </c>
      <c r="B2" s="3" t="str">
        <f>IF(A2="","",IFERROR(INDEX(Movimientos!$D$2:$D$1993,MATCH(A2&amp;"ENTRADA",Movimientos!$S$2:$S$1993,0)),"-"))</f>
        <v>CURRY CL</v>
      </c>
      <c r="C2" s="3" t="str">
        <f>IF(A2="","",IFERROR(INDEX(Movimientos!$E$2:$E$1993,MATCH(A2&amp;"ENTRADA",Movimientos!$S$2:$S$1993,0)),"-"))</f>
        <v>Semilla</v>
      </c>
      <c r="D2" s="3" t="str">
        <f>IF(A2="","",IFERROR(INDEX(Movimientos!$F$2:$F$1993,MATCH(A2&amp;"ENTRADA",Movimientos!$S$2:$S$1993,0)),"-"))</f>
        <v>Colza</v>
      </c>
      <c r="E2" s="3" t="str">
        <f>IF(A2="","",IFERROR(INDEX(Movimientos!$L$2:$L$1993,MATCH(A2&amp;"ENTRADA",Movimientos!$S$2:$S$1993,0)),"-"))</f>
        <v>kg</v>
      </c>
      <c r="F2" s="8">
        <f>IF(A2="","",COUNTIFS(Stock_por_Lote!$B:$B,A2,Stock_por_Lote!$J:$J,"&gt;0"))</f>
        <v>0</v>
      </c>
      <c r="G2" s="9">
        <f>IF(A2="","",SUMIFS(Movimientos!$K:$K,Movimientos!$C:$C,A2))</f>
        <v>0</v>
      </c>
      <c r="H2" s="14" t="str">
        <f>IF(A2="","",IFERROR(IF(_xlfn.MINIFS(Stock_por_Lote!$H:$H,Stock_por_Lote!$B:$B,A2,Stock_por_Lote!$J:$J,"&gt;0")=0,"S/D",_xlfn.MINIFS(Stock_por_Lote!$H:$H,Stock_por_Lote!$B:$B,A2,Stock_por_Lote!$J:$J,"&gt;0")),"S/D"))</f>
        <v>S/D</v>
      </c>
    </row>
    <row r="3" spans="1:8">
      <c r="A3" s="6" t="s">
        <v>32</v>
      </c>
      <c r="B3" s="3" t="str">
        <f>IF(A3="","",IFERROR(INDEX(Movimientos!$D$2:$D$1993,MATCH(A3&amp;"ENTRADA",Movimientos!$S$2:$S$1993,0)),"-"))</f>
        <v xml:space="preserve">Clopyralid 12% + Halauxyfen methyl 0,51% </v>
      </c>
      <c r="C3" s="3" t="str">
        <f>IF(A3="","",IFERROR(INDEX(Movimientos!$E$2:$E$1993,MATCH(A3&amp;"ENTRADA",Movimientos!$S$2:$S$1993,0)),"-"))</f>
        <v>Herbicida</v>
      </c>
      <c r="D3" s="3" t="str">
        <f>IF(A3="","",IFERROR(INDEX(Movimientos!$F$2:$F$1993,MATCH(A3&amp;"ENTRADA",Movimientos!$S$2:$S$1993,0)),"-"))</f>
        <v>Postemergente</v>
      </c>
      <c r="E3" s="3" t="str">
        <f>IF(A3="","",IFERROR(INDEX(Movimientos!$L$2:$L$1993,MATCH(A3&amp;"ENTRADA",Movimientos!$S$2:$S$1993,0)),"-"))</f>
        <v>L</v>
      </c>
      <c r="F3" s="8">
        <f>IF(A3="","",COUNTIFS(Stock_por_Lote!$B:$B,A3,Stock_por_Lote!$J:$J,"&gt;0"))</f>
        <v>1</v>
      </c>
      <c r="G3" s="9">
        <f>IF(A3="","",SUMIFS(Movimientos!$K:$K,Movimientos!$C:$C,A3))</f>
        <v>10</v>
      </c>
      <c r="H3" s="14">
        <f>IF(A3="","",IFERROR(IF(_xlfn.MINIFS(Stock_por_Lote!$H:$H,Stock_por_Lote!$B:$B,A3,Stock_por_Lote!$J:$J,"&gt;0")=0,"S/D",_xlfn.MINIFS(Stock_por_Lote!$H:$H,Stock_por_Lote!$B:$B,A3,Stock_por_Lote!$J:$J,"&gt;0")),"S/D"))</f>
        <v>46710</v>
      </c>
    </row>
    <row r="4" spans="1:8">
      <c r="A4" s="7" t="s">
        <v>40</v>
      </c>
      <c r="B4" s="3" t="str">
        <f>IF(A4="","",IFERROR(INDEX(Movimientos!$D$2:$D$1993,MATCH(A4&amp;"ENTRADA",Movimientos!$S$2:$S$1993,0)),"-"))</f>
        <v>Clopyralid sal monoetanolamina 40.9%</v>
      </c>
      <c r="C4" s="3" t="str">
        <f>IF(A4="","",IFERROR(INDEX(Movimientos!$E$2:$E$1993,MATCH(A4&amp;"ENTRADA",Movimientos!$S$2:$S$1993,0)),"-"))</f>
        <v>Herbicida</v>
      </c>
      <c r="D4" s="3" t="str">
        <f>IF(A4="","",IFERROR(INDEX(Movimientos!$F$2:$F$1993,MATCH(A4&amp;"ENTRADA",Movimientos!$S$2:$S$1993,0)),"-"))</f>
        <v>Postemergente</v>
      </c>
      <c r="E4" s="3" t="str">
        <f>IF(A4="","",IFERROR(INDEX(Movimientos!$L$2:$L$1993,MATCH(A4&amp;"ENTRADA",Movimientos!$S$2:$S$1993,0)),"-"))</f>
        <v>L</v>
      </c>
      <c r="F4" s="8">
        <f>IF(A4="","",COUNTIFS(Stock_por_Lote!$B:$B,A4,Stock_por_Lote!$J:$J,"&gt;0"))</f>
        <v>1</v>
      </c>
      <c r="G4" s="9">
        <f>IF(A4="","",SUMIFS(Movimientos!$K:$K,Movimientos!$C:$C,A4))</f>
        <v>255</v>
      </c>
      <c r="H4" s="14">
        <f>IF(A4="","",IFERROR(IF(_xlfn.MINIFS(Stock_por_Lote!$H:$H,Stock_por_Lote!$B:$B,A4,Stock_por_Lote!$J:$J,"&gt;0")=0,"S/D",_xlfn.MINIFS(Stock_por_Lote!$H:$H,Stock_por_Lote!$B:$B,A4,Stock_por_Lote!$J:$J,"&gt;0")),"S/D"))</f>
        <v>46500</v>
      </c>
    </row>
    <row r="5" spans="1:8">
      <c r="A5" s="6" t="s">
        <v>44</v>
      </c>
      <c r="B5" s="3" t="str">
        <f>IF(A5="","",IFERROR(INDEX(Movimientos!$D$2:$D$1993,MATCH(A5&amp;"ENTRADA",Movimientos!$S$2:$S$1993,0)),"-"))</f>
        <v>Flumetsulam 11,35%</v>
      </c>
      <c r="C5" s="3" t="str">
        <f>IF(A5="","",IFERROR(INDEX(Movimientos!$E$2:$E$1993,MATCH(A5&amp;"ENTRADA",Movimientos!$S$2:$S$1993,0)),"-"))</f>
        <v>Herbicida</v>
      </c>
      <c r="D5" s="3" t="str">
        <f>IF(A5="","",IFERROR(INDEX(Movimientos!$F$2:$F$1993,MATCH(A5&amp;"ENTRADA",Movimientos!$S$2:$S$1993,0)),"-"))</f>
        <v>Preemergente</v>
      </c>
      <c r="E5" s="3" t="str">
        <f>IF(A5="","",IFERROR(INDEX(Movimientos!$L$2:$L$1993,MATCH(A5&amp;"ENTRADA",Movimientos!$S$2:$S$1993,0)),"-"))</f>
        <v>L</v>
      </c>
      <c r="F5" s="8">
        <f>IF(A5="","",COUNTIFS(Stock_por_Lote!$B:$B,A5,Stock_por_Lote!$J:$J,"&gt;0"))</f>
        <v>2</v>
      </c>
      <c r="G5" s="9">
        <f>IF(A5="","",SUMIFS(Movimientos!$K:$K,Movimientos!$C:$C,A5))</f>
        <v>1920</v>
      </c>
      <c r="H5" s="14">
        <f>IF(A5="","",IFERROR(IF(_xlfn.MINIFS(Stock_por_Lote!$H:$H,Stock_por_Lote!$B:$B,A5,Stock_por_Lote!$J:$J,"&gt;0")=0,"S/D",_xlfn.MINIFS(Stock_por_Lote!$H:$H,Stock_por_Lote!$B:$B,A5,Stock_por_Lote!$J:$J,"&gt;0")),"S/D"))</f>
        <v>46528</v>
      </c>
    </row>
    <row r="6" spans="1:8">
      <c r="A6" s="7" t="s">
        <v>50</v>
      </c>
      <c r="B6" s="3" t="str">
        <f>IF(A6="","",IFERROR(INDEX(Movimientos!$D$2:$D$1993,MATCH(A6&amp;"ENTRADA",Movimientos!$S$2:$S$1993,0)),"-"))</f>
        <v>Picloram 24,9%</v>
      </c>
      <c r="C6" s="3" t="str">
        <f>IF(A6="","",IFERROR(INDEX(Movimientos!$E$2:$E$1993,MATCH(A6&amp;"ENTRADA",Movimientos!$S$2:$S$1993,0)),"-"))</f>
        <v>Herbicida</v>
      </c>
      <c r="D6" s="3" t="str">
        <f>IF(A6="","",IFERROR(INDEX(Movimientos!$F$2:$F$1993,MATCH(A6&amp;"ENTRADA",Movimientos!$S$2:$S$1993,0)),"-"))</f>
        <v>Postemergente</v>
      </c>
      <c r="E6" s="3" t="str">
        <f>IF(A6="","",IFERROR(INDEX(Movimientos!$L$2:$L$1993,MATCH(A6&amp;"ENTRADA",Movimientos!$S$2:$S$1993,0)),"-"))</f>
        <v>L</v>
      </c>
      <c r="F6" s="8">
        <f>IF(A6="","",COUNTIFS(Stock_por_Lote!$B:$B,A6,Stock_por_Lote!$J:$J,"&gt;0"))</f>
        <v>1</v>
      </c>
      <c r="G6" s="9">
        <f>IF(A6="","",SUMIFS(Movimientos!$K:$K,Movimientos!$C:$C,A6))</f>
        <v>70</v>
      </c>
      <c r="H6" s="14">
        <f>IF(A6="","",IFERROR(IF(_xlfn.MINIFS(Stock_por_Lote!$H:$H,Stock_por_Lote!$B:$B,A6,Stock_por_Lote!$J:$J,"&gt;0")=0,"S/D",_xlfn.MINIFS(Stock_por_Lote!$H:$H,Stock_por_Lote!$B:$B,A6,Stock_por_Lote!$J:$J,"&gt;0")),"S/D"))</f>
        <v>46517</v>
      </c>
    </row>
    <row r="7" spans="1:8">
      <c r="A7" s="6" t="s">
        <v>54</v>
      </c>
      <c r="B7" s="3" t="str">
        <f>IF(A7="","",IFERROR(INDEX(Movimientos!$D$2:$D$1993,MATCH(A7&amp;"ENTRADA",Movimientos!$S$2:$S$1993,0)),"-"))</f>
        <v>Halauxifen metil 3.3% + Aminopyralid 2.7% + Metsulfuron metil 20%</v>
      </c>
      <c r="C7" s="3" t="str">
        <f>IF(A7="","",IFERROR(INDEX(Movimientos!$E$2:$E$1993,MATCH(A7&amp;"ENTRADA",Movimientos!$S$2:$S$1993,0)),"-"))</f>
        <v>Herbicida</v>
      </c>
      <c r="D7" s="3" t="str">
        <f>IF(A7="","",IFERROR(INDEX(Movimientos!$F$2:$F$1993,MATCH(A7&amp;"ENTRADA",Movimientos!$S$2:$S$1993,0)),"-"))</f>
        <v>Postemergente</v>
      </c>
      <c r="E7" s="3" t="str">
        <f>IF(A7="","",IFERROR(INDEX(Movimientos!$L$2:$L$1993,MATCH(A7&amp;"ENTRADA",Movimientos!$S$2:$S$1993,0)),"-"))</f>
        <v>Pack</v>
      </c>
      <c r="F7" s="8">
        <f>IF(A7="","",COUNTIFS(Stock_por_Lote!$B:$B,A7,Stock_por_Lote!$J:$J,"&gt;0"))</f>
        <v>0</v>
      </c>
      <c r="G7" s="9">
        <f>IF(A7="","",SUMIFS(Movimientos!$K:$K,Movimientos!$C:$C,A7))</f>
        <v>0</v>
      </c>
      <c r="H7" s="14" t="str">
        <f>IF(A7="","",IFERROR(IF(_xlfn.MINIFS(Stock_por_Lote!$H:$H,Stock_por_Lote!$B:$B,A7,Stock_por_Lote!$J:$J,"&gt;0")=0,"S/D",_xlfn.MINIFS(Stock_por_Lote!$H:$H,Stock_por_Lote!$B:$B,A7,Stock_por_Lote!$J:$J,"&gt;0")),"S/D"))</f>
        <v>S/D</v>
      </c>
    </row>
    <row r="8" spans="1:8">
      <c r="A8" s="7" t="s">
        <v>59</v>
      </c>
      <c r="B8" s="3" t="str">
        <f>IF(A8="","",IFERROR(INDEX(Movimientos!$D$2:$D$1993,MATCH(A8&amp;"ENTRADA",Movimientos!$S$2:$S$1993,0)),"-"))</f>
        <v>2,4-Db-Butilo 93.1%</v>
      </c>
      <c r="C8" s="3" t="str">
        <f>IF(A8="","",IFERROR(INDEX(Movimientos!$E$2:$E$1993,MATCH(A8&amp;"ENTRADA",Movimientos!$S$2:$S$1993,0)),"-"))</f>
        <v>Herbicida</v>
      </c>
      <c r="D8" s="3" t="str">
        <f>IF(A8="","",IFERROR(INDEX(Movimientos!$F$2:$F$1993,MATCH(A8&amp;"ENTRADA",Movimientos!$S$2:$S$1993,0)),"-"))</f>
        <v>Postemergente</v>
      </c>
      <c r="E8" s="3" t="str">
        <f>IF(A8="","",IFERROR(INDEX(Movimientos!$L$2:$L$1993,MATCH(A8&amp;"ENTRADA",Movimientos!$S$2:$S$1993,0)),"-"))</f>
        <v>L</v>
      </c>
      <c r="F8" s="8">
        <f>IF(A8="","",COUNTIFS(Stock_por_Lote!$B:$B,A8,Stock_por_Lote!$J:$J,"&gt;0"))</f>
        <v>1</v>
      </c>
      <c r="G8" s="9">
        <f>IF(A8="","",SUMIFS(Movimientos!$K:$K,Movimientos!$C:$C,A8))</f>
        <v>1700</v>
      </c>
      <c r="H8" s="14">
        <f>IF(A8="","",IFERROR(IF(_xlfn.MINIFS(Stock_por_Lote!$H:$H,Stock_por_Lote!$B:$B,A8,Stock_por_Lote!$J:$J,"&gt;0")=0,"S/D",_xlfn.MINIFS(Stock_por_Lote!$H:$H,Stock_por_Lote!$B:$B,A8,Stock_por_Lote!$J:$J,"&gt;0")),"S/D"))</f>
        <v>46737</v>
      </c>
    </row>
    <row r="9" spans="1:8">
      <c r="A9" t="s">
        <v>75</v>
      </c>
      <c r="B9" s="3" t="str">
        <f>IF(A9="","",IFERROR(INDEX(Movimientos!$D$2:$D$1993,MATCH(A9&amp;"ENTRADA",Movimientos!$S$2:$S$1993,0)),"-"))</f>
        <v>2,4 D Acido 27.2%</v>
      </c>
      <c r="C9" s="3" t="str">
        <f>IF(A9="","",IFERROR(INDEX(Movimientos!$E$2:$E$1993,MATCH(A9&amp;"ENTRADA",Movimientos!$S$2:$S$1993,0)),"-"))</f>
        <v>Herbicida</v>
      </c>
      <c r="D9" s="3" t="str">
        <f>IF(A9="","",IFERROR(INDEX(Movimientos!$F$2:$F$1993,MATCH(A9&amp;"ENTRADA",Movimientos!$S$2:$S$1993,0)),"-"))</f>
        <v>Postemergente</v>
      </c>
      <c r="E9" s="3" t="str">
        <f>IF(A9="","",IFERROR(INDEX(Movimientos!$L$2:$L$1993,MATCH(A9&amp;"ENTRADA",Movimientos!$S$2:$S$1993,0)),"-"))</f>
        <v>L</v>
      </c>
      <c r="F9" s="8">
        <f>IF(A9="","",COUNTIFS(Stock_por_Lote!$B:$B,A9,Stock_por_Lote!$J:$J,"&gt;0"))</f>
        <v>1</v>
      </c>
      <c r="G9" s="9">
        <f>IF(A9="","",SUMIFS(Movimientos!$K:$K,Movimientos!$C:$C,A9))</f>
        <v>5960</v>
      </c>
      <c r="H9" s="14">
        <f>IF(A9="","",IFERROR(IF(_xlfn.MINIFS(Stock_por_Lote!$H:$H,Stock_por_Lote!$B:$B,A9,Stock_por_Lote!$J:$J,"&gt;0")=0,"S/D",_xlfn.MINIFS(Stock_por_Lote!$H:$H,Stock_por_Lote!$B:$B,A9,Stock_por_Lote!$J:$J,"&gt;0")),"S/D"))</f>
        <v>46725</v>
      </c>
    </row>
    <row r="10" spans="1:8">
      <c r="A10" t="s">
        <v>70</v>
      </c>
      <c r="B10" s="3" t="str">
        <f>IF(A10="","",IFERROR(INDEX(Movimientos!$D$2:$D$1993,MATCH(A10&amp;"ENTRADA",Movimientos!$S$2:$S$1993,0)),"-"))</f>
        <v>Silobolsa 9 pies</v>
      </c>
      <c r="C10" s="3" t="str">
        <f>IF(A10="","",IFERROR(INDEX(Movimientos!$E$2:$E$1993,MATCH(A10&amp;"ENTRADA",Movimientos!$S$2:$S$1993,0)),"-"))</f>
        <v>Silobolsa</v>
      </c>
      <c r="D10" s="3">
        <f>IF(A10="","",IFERROR(INDEX(Movimientos!$F$2:$F$1993,MATCH(A10&amp;"ENTRADA",Movimientos!$S$2:$S$1993,0)),"-"))</f>
        <v>0</v>
      </c>
      <c r="E10" s="3" t="str">
        <f>IF(A10="","",IFERROR(INDEX(Movimientos!$L$2:$L$1993,MATCH(A10&amp;"ENTRADA",Movimientos!$S$2:$S$1993,0)),"-"))</f>
        <v>unidad</v>
      </c>
      <c r="F10" s="8">
        <f>IF(A10="","",COUNTIFS(Stock_por_Lote!$B:$B,A10,Stock_por_Lote!$J:$J,"&gt;0"))</f>
        <v>0</v>
      </c>
      <c r="G10" s="9">
        <f>IF(A10="","",SUMIFS(Movimientos!$K:$K,Movimientos!$C:$C,A10))</f>
        <v>0</v>
      </c>
      <c r="H10" s="14" t="str">
        <f>IF(A10="","",IFERROR(IF(_xlfn.MINIFS(Stock_por_Lote!$H:$H,Stock_por_Lote!$B:$B,A10,Stock_por_Lote!$J:$J,"&gt;0")=0,"S/D",_xlfn.MINIFS(Stock_por_Lote!$H:$H,Stock_por_Lote!$B:$B,A10,Stock_por_Lote!$J:$J,"&gt;0")),"S/D"))</f>
        <v>S/D</v>
      </c>
    </row>
    <row r="11" spans="1:8">
      <c r="A11" t="s">
        <v>80</v>
      </c>
      <c r="B11" s="3" t="str">
        <f>IF(A11="","",IFERROR(INDEX(Movimientos!$D$2:$D$1993,MATCH(A11&amp;"ENTRADA",Movimientos!$S$2:$S$1993,0)),"-"))</f>
        <v>Estanzuela 284</v>
      </c>
      <c r="C11" s="3" t="str">
        <f>IF(A11="","",IFERROR(INDEX(Movimientos!$E$2:$E$1993,MATCH(A11&amp;"ENTRADA",Movimientos!$S$2:$S$1993,0)),"-"))</f>
        <v>Semilla</v>
      </c>
      <c r="D11" s="3" t="str">
        <f>IF(A11="","",IFERROR(INDEX(Movimientos!$F$2:$F$1993,MATCH(A11&amp;"ENTRADA",Movimientos!$S$2:$S$1993,0)),"-"))</f>
        <v>Raigrás</v>
      </c>
      <c r="E11" s="3" t="str">
        <f>IF(A11="","",IFERROR(INDEX(Movimientos!$L$2:$L$1993,MATCH(A11&amp;"ENTRADA",Movimientos!$S$2:$S$1993,0)),"-"))</f>
        <v>kg</v>
      </c>
      <c r="F11" s="8">
        <f>IF(A11="","",COUNTIFS(Stock_por_Lote!$B:$B,A11,Stock_por_Lote!$J:$J,"&gt;0"))</f>
        <v>0</v>
      </c>
      <c r="G11" s="9">
        <f>IF(A11="","",SUMIFS(Movimientos!$K:$K,Movimientos!$C:$C,A11))</f>
        <v>0</v>
      </c>
      <c r="H11" s="14" t="str">
        <f>IF(A11="","",IFERROR(IF(_xlfn.MINIFS(Stock_por_Lote!$H:$H,Stock_por_Lote!$B:$B,A11,Stock_por_Lote!$J:$J,"&gt;0")=0,"S/D",_xlfn.MINIFS(Stock_por_Lote!$H:$H,Stock_por_Lote!$B:$B,A11,Stock_por_Lote!$J:$J,"&gt;0")),"S/D"))</f>
        <v>S/D</v>
      </c>
    </row>
    <row r="12" spans="1:8">
      <c r="A12" t="s">
        <v>86</v>
      </c>
      <c r="B12" s="3" t="str">
        <f>IF(A12="","",IFERROR(INDEX(Movimientos!$D$2:$D$1993,MATCH(A12&amp;"ENTRADA",Movimientos!$S$2:$S$1993,0)),"-"))</f>
        <v>Fluroxypyr Meptil 45,52%</v>
      </c>
      <c r="C12" s="3" t="str">
        <f>IF(A12="","",IFERROR(INDEX(Movimientos!$E$2:$E$1993,MATCH(A12&amp;"ENTRADA",Movimientos!$S$2:$S$1993,0)),"-"))</f>
        <v>Herbicida</v>
      </c>
      <c r="D12" s="3" t="str">
        <f>IF(A12="","",IFERROR(INDEX(Movimientos!$F$2:$F$1993,MATCH(A12&amp;"ENTRADA",Movimientos!$S$2:$S$1993,0)),"-"))</f>
        <v>Postemergente</v>
      </c>
      <c r="E12" s="3" t="str">
        <f>IF(A12="","",IFERROR(INDEX(Movimientos!$L$2:$L$1993,MATCH(A12&amp;"ENTRADA",Movimientos!$S$2:$S$1993,0)),"-"))</f>
        <v>L</v>
      </c>
      <c r="F12" s="8">
        <f>IF(A12="","",COUNTIFS(Stock_por_Lote!$B:$B,A12,Stock_por_Lote!$J:$J,"&gt;0"))</f>
        <v>0</v>
      </c>
      <c r="G12" s="9">
        <f>IF(A12="","",SUMIFS(Movimientos!$K:$K,Movimientos!$C:$C,A12))</f>
        <v>0</v>
      </c>
      <c r="H12" s="14" t="str">
        <f>IF(A12="","",IFERROR(IF(_xlfn.MINIFS(Stock_por_Lote!$H:$H,Stock_por_Lote!$B:$B,A12,Stock_por_Lote!$J:$J,"&gt;0")=0,"S/D",_xlfn.MINIFS(Stock_por_Lote!$H:$H,Stock_por_Lote!$B:$B,A12,Stock_por_Lote!$J:$J,"&gt;0")),"S/D"))</f>
        <v>S/D</v>
      </c>
    </row>
    <row r="13" spans="1:8">
      <c r="A13" t="s">
        <v>90</v>
      </c>
      <c r="B13" s="3" t="str">
        <f>IF(A13="","",IFERROR(INDEX(Movimientos!$D$2:$D$1993,MATCH(A13&amp;"ENTRADA",Movimientos!$S$2:$S$1993,0)),"-"))</f>
        <v>Fluroxypyr meptyl 34,91% + Halauxyfen methyl 1.64% + Cloquintocet mexyl 1.57%</v>
      </c>
      <c r="C13" s="3" t="str">
        <f>IF(A13="","",IFERROR(INDEX(Movimientos!$E$2:$E$1993,MATCH(A13&amp;"ENTRADA",Movimientos!$S$2:$S$1993,0)),"-"))</f>
        <v>Herbicida</v>
      </c>
      <c r="D13" s="3" t="str">
        <f>IF(A13="","",IFERROR(INDEX(Movimientos!$F$2:$F$1993,MATCH(A13&amp;"ENTRADA",Movimientos!$S$2:$S$1993,0)),"-"))</f>
        <v>Postemergente</v>
      </c>
      <c r="E13" s="3" t="str">
        <f>IF(A13="","",IFERROR(INDEX(Movimientos!$L$2:$L$1993,MATCH(A13&amp;"ENTRADA",Movimientos!$S$2:$S$1993,0)),"-"))</f>
        <v>L</v>
      </c>
      <c r="F13" s="8">
        <f>IF(A13="","",COUNTIFS(Stock_por_Lote!$B:$B,A13,Stock_por_Lote!$J:$J,"&gt;0"))</f>
        <v>1</v>
      </c>
      <c r="G13" s="9">
        <f>IF(A13="","",SUMIFS(Movimientos!$K:$K,Movimientos!$C:$C,A13))</f>
        <v>5460</v>
      </c>
      <c r="H13" s="14">
        <f>IF(A13="","",IFERROR(IF(_xlfn.MINIFS(Stock_por_Lote!$H:$H,Stock_por_Lote!$B:$B,A13,Stock_por_Lote!$J:$J,"&gt;0")=0,"S/D",_xlfn.MINIFS(Stock_por_Lote!$H:$H,Stock_por_Lote!$B:$B,A13,Stock_por_Lote!$J:$J,"&gt;0")),"S/D"))</f>
        <v>46801</v>
      </c>
    </row>
    <row r="14" spans="1:8">
      <c r="A14" t="s">
        <v>112</v>
      </c>
      <c r="B14" s="3" t="str">
        <f>IF(A14="","",IFERROR(INDEX(Movimientos!$D$2:$D$1993,MATCH(A14&amp;"ENTRADA",Movimientos!$S$2:$S$1993,0)),"-"))</f>
        <v>APOLO CL</v>
      </c>
      <c r="C14" s="3" t="str">
        <f>IF(A14="","",IFERROR(INDEX(Movimientos!$E$2:$E$1993,MATCH(A14&amp;"ENTRADA",Movimientos!$S$2:$S$1993,0)),"-"))</f>
        <v>Semilla</v>
      </c>
      <c r="D14" s="3" t="str">
        <f>IF(A14="","",IFERROR(INDEX(Movimientos!$F$2:$F$1993,MATCH(A14&amp;"ENTRADA",Movimientos!$S$2:$S$1993,0)),"-"))</f>
        <v>Colza</v>
      </c>
      <c r="E14" s="3" t="str">
        <f>IF(A14="","",IFERROR(INDEX(Movimientos!$L$2:$L$1993,MATCH(A14&amp;"ENTRADA",Movimientos!$S$2:$S$1993,0)),"-"))</f>
        <v>kg</v>
      </c>
      <c r="F14" s="8">
        <f>IF(A14="","",COUNTIFS(Stock_por_Lote!$B:$B,A14,Stock_por_Lote!$J:$J,"&gt;0"))</f>
        <v>0</v>
      </c>
      <c r="G14" s="9">
        <f>IF(A14="","",SUMIFS(Movimientos!$K:$K,Movimientos!$C:$C,A14))</f>
        <v>0</v>
      </c>
      <c r="H14" s="14" t="str">
        <f>IF(A14="","",IFERROR(IF(_xlfn.MINIFS(Stock_por_Lote!$H:$H,Stock_por_Lote!$B:$B,A14,Stock_por_Lote!$J:$J,"&gt;0")=0,"S/D",_xlfn.MINIFS(Stock_por_Lote!$H:$H,Stock_por_Lote!$B:$B,A14,Stock_por_Lote!$J:$J,"&gt;0")),"S/D"))</f>
        <v>S/D</v>
      </c>
    </row>
    <row r="15" spans="1:8">
      <c r="A15" t="s">
        <v>108</v>
      </c>
      <c r="B15" s="3" t="str">
        <f>IF(A15="","",IFERROR(INDEX(Movimientos!$D$2:$D$1993,MATCH(A15&amp;"ENTRADA",Movimientos!$S$2:$S$1993,0)),"-"))</f>
        <v>HYOLA 575 CL</v>
      </c>
      <c r="C15" s="3" t="str">
        <f>IF(A15="","",IFERROR(INDEX(Movimientos!$E$2:$E$1993,MATCH(A15&amp;"ENTRADA",Movimientos!$S$2:$S$1993,0)),"-"))</f>
        <v>Semilla</v>
      </c>
      <c r="D15" s="3" t="str">
        <f>IF(A15="","",IFERROR(INDEX(Movimientos!$F$2:$F$1993,MATCH(A15&amp;"ENTRADA",Movimientos!$S$2:$S$1993,0)),"-"))</f>
        <v>Colza</v>
      </c>
      <c r="E15" s="3" t="str">
        <f>IF(A15="","",IFERROR(INDEX(Movimientos!$L$2:$L$1993,MATCH(A15&amp;"ENTRADA",Movimientos!$S$2:$S$1993,0)),"-"))</f>
        <v>kg</v>
      </c>
      <c r="F15" s="8">
        <f>IF(A15="","",COUNTIFS(Stock_por_Lote!$B:$B,A15,Stock_por_Lote!$J:$J,"&gt;0"))</f>
        <v>0</v>
      </c>
      <c r="G15" s="9">
        <f>IF(A15="","",SUMIFS(Movimientos!$K:$K,Movimientos!$C:$C,A15))</f>
        <v>0</v>
      </c>
      <c r="H15" s="14" t="str">
        <f>IF(A15="","",IFERROR(IF(_xlfn.MINIFS(Stock_por_Lote!$H:$H,Stock_por_Lote!$B:$B,A15,Stock_por_Lote!$J:$J,"&gt;0")=0,"S/D",_xlfn.MINIFS(Stock_por_Lote!$H:$H,Stock_por_Lote!$B:$B,A15,Stock_por_Lote!$J:$J,"&gt;0")),"S/D"))</f>
        <v>S/D</v>
      </c>
    </row>
    <row r="16" spans="1:8">
      <c r="A16" t="s">
        <v>115</v>
      </c>
      <c r="B16" s="3" t="str">
        <f>IF(A16="","",IFERROR(INDEX(Movimientos!$D$2:$D$1993,MATCH(A16&amp;"ENTRADA",Movimientos!$S$2:$S$1993,0)),"-"))</f>
        <v>Glifosato Sal DMA 608 g/L. Equivalente en glifosato 480 g/L</v>
      </c>
      <c r="C16" s="3" t="str">
        <f>IF(A16="","",IFERROR(INDEX(Movimientos!$E$2:$E$1993,MATCH(A16&amp;"ENTRADA",Movimientos!$S$2:$S$1993,0)),"-"))</f>
        <v>Herbicida</v>
      </c>
      <c r="D16" s="3" t="str">
        <f>IF(A16="","",IFERROR(INDEX(Movimientos!$F$2:$F$1993,MATCH(A16&amp;"ENTRADA",Movimientos!$S$2:$S$1993,0)),"-"))</f>
        <v>Postemergente</v>
      </c>
      <c r="E16" s="3" t="str">
        <f>IF(A16="","",IFERROR(INDEX(Movimientos!$L$2:$L$1993,MATCH(A16&amp;"ENTRADA",Movimientos!$S$2:$S$1993,0)),"-"))</f>
        <v>L</v>
      </c>
      <c r="F16" s="8">
        <f>IF(A16="","",COUNTIFS(Stock_por_Lote!$B:$B,A16,Stock_por_Lote!$J:$J,"&gt;0"))</f>
        <v>2</v>
      </c>
      <c r="G16" s="9">
        <f>IF(A16="","",SUMIFS(Movimientos!$K:$K,Movimientos!$C:$C,A16))</f>
        <v>45480</v>
      </c>
      <c r="H16" s="14">
        <f>IF(A16="","",IFERROR(IF(_xlfn.MINIFS(Stock_por_Lote!$H:$H,Stock_por_Lote!$B:$B,A16,Stock_por_Lote!$J:$J,"&gt;0")=0,"S/D",_xlfn.MINIFS(Stock_por_Lote!$H:$H,Stock_por_Lote!$B:$B,A16,Stock_por_Lote!$J:$J,"&gt;0")),"S/D"))</f>
        <v>46692</v>
      </c>
    </row>
    <row r="17" spans="1:8">
      <c r="A17" t="s">
        <v>122</v>
      </c>
      <c r="B17" s="3" t="str">
        <f>IF(A17="","",IFERROR(INDEX(Movimientos!$D$2:$D$1993,MATCH(A17&amp;"ENTRADA",Movimientos!$S$2:$S$1993,0)),"-"))</f>
        <v>Clethodim 240 g/L</v>
      </c>
      <c r="C17" s="3" t="str">
        <f>IF(A17="","",IFERROR(INDEX(Movimientos!$E$2:$E$1993,MATCH(A17&amp;"ENTRADA",Movimientos!$S$2:$S$1993,0)),"-"))</f>
        <v>Herbicida</v>
      </c>
      <c r="D17" s="3" t="str">
        <f>IF(A17="","",IFERROR(INDEX(Movimientos!$F$2:$F$1993,MATCH(A17&amp;"ENTRADA",Movimientos!$S$2:$S$1993,0)),"-"))</f>
        <v>Postemergente</v>
      </c>
      <c r="E17" s="3" t="str">
        <f>IF(A17="","",IFERROR(INDEX(Movimientos!$L$2:$L$1993,MATCH(A17&amp;"ENTRADA",Movimientos!$S$2:$S$1993,0)),"-"))</f>
        <v>L</v>
      </c>
      <c r="F17" s="8">
        <f>IF(A17="","",COUNTIFS(Stock_por_Lote!$B:$B,A17,Stock_por_Lote!$J:$J,"&gt;0"))</f>
        <v>2</v>
      </c>
      <c r="G17" s="9">
        <f>IF(A17="","",SUMIFS(Movimientos!$K:$K,Movimientos!$C:$C,A17))</f>
        <v>4170</v>
      </c>
      <c r="H17" s="14">
        <f>IF(A17="","",IFERROR(IF(_xlfn.MINIFS(Stock_por_Lote!$H:$H,Stock_por_Lote!$B:$B,A17,Stock_por_Lote!$J:$J,"&gt;0")=0,"S/D",_xlfn.MINIFS(Stock_por_Lote!$H:$H,Stock_por_Lote!$B:$B,A17,Stock_por_Lote!$J:$J,"&gt;0")),"S/D"))</f>
        <v>46753</v>
      </c>
    </row>
    <row r="18" spans="1:8">
      <c r="A18" t="s">
        <v>130</v>
      </c>
      <c r="B18" s="3" t="str">
        <f>IF(A18="","",IFERROR(INDEX(Movimientos!$D$2:$D$1993,MATCH(A18&amp;"ENTRADA",Movimientos!$S$2:$S$1993,0)),"-"))</f>
        <v>ALCOHOL LINEAL ETOXILADO 32.7%</v>
      </c>
      <c r="C18" s="3" t="str">
        <f>IF(A18="","",IFERROR(INDEX(Movimientos!$E$2:$E$1993,MATCH(A18&amp;"ENTRADA",Movimientos!$S$2:$S$1993,0)),"-"))</f>
        <v>Coadyuvante</v>
      </c>
      <c r="D18" s="3">
        <f>IF(A18="","",IFERROR(INDEX(Movimientos!$F$2:$F$1993,MATCH(A18&amp;"ENTRADA",Movimientos!$S$2:$S$1993,0)),"-"))</f>
        <v>0</v>
      </c>
      <c r="E18" s="3" t="str">
        <f>IF(A18="","",IFERROR(INDEX(Movimientos!$L$2:$L$1993,MATCH(A18&amp;"ENTRADA",Movimientos!$S$2:$S$1993,0)),"-"))</f>
        <v>L</v>
      </c>
      <c r="F18" s="8">
        <f>IF(A18="","",COUNTIFS(Stock_por_Lote!$B:$B,A18,Stock_por_Lote!$J:$J,"&gt;0"))</f>
        <v>2</v>
      </c>
      <c r="G18" s="9">
        <f>IF(A18="","",SUMIFS(Movimientos!$K:$K,Movimientos!$C:$C,A18))</f>
        <v>8700</v>
      </c>
      <c r="H18" s="14">
        <f>IF(A18="","",IFERROR(IF(_xlfn.MINIFS(Stock_por_Lote!$H:$H,Stock_por_Lote!$B:$B,A18,Stock_por_Lote!$J:$J,"&gt;0")=0,"S/D",_xlfn.MINIFS(Stock_por_Lote!$H:$H,Stock_por_Lote!$B:$B,A18,Stock_por_Lote!$J:$J,"&gt;0")),"S/D"))</f>
        <v>46661</v>
      </c>
    </row>
    <row r="19" spans="1:8">
      <c r="A19" t="s">
        <v>137</v>
      </c>
      <c r="B19" s="3" t="str">
        <f>IF(A19="","",IFERROR(INDEX(Movimientos!$D$2:$D$1993,MATCH(A19&amp;"ENTRADA",Movimientos!$S$2:$S$1993,0)),"-"))</f>
        <v>ACIDO FOSFORICO 23 g</v>
      </c>
      <c r="C19" s="3" t="str">
        <f>IF(A19="","",IFERROR(INDEX(Movimientos!$E$2:$E$1993,MATCH(A19&amp;"ENTRADA",Movimientos!$S$2:$S$1993,0)),"-"))</f>
        <v>Coadyuvante</v>
      </c>
      <c r="D19" s="3">
        <f>IF(A19="","",IFERROR(INDEX(Movimientos!$F$2:$F$1993,MATCH(A19&amp;"ENTRADA",Movimientos!$S$2:$S$1993,0)),"-"))</f>
        <v>0</v>
      </c>
      <c r="E19" s="3" t="str">
        <f>IF(A19="","",IFERROR(INDEX(Movimientos!$L$2:$L$1993,MATCH(A19&amp;"ENTRADA",Movimientos!$S$2:$S$1993,0)),"-"))</f>
        <v>L</v>
      </c>
      <c r="F19" s="8">
        <f>IF(A19="","",COUNTIFS(Stock_por_Lote!$B:$B,A19,Stock_por_Lote!$J:$J,"&gt;0"))</f>
        <v>1</v>
      </c>
      <c r="G19" s="9">
        <f>IF(A19="","",SUMIFS(Movimientos!$K:$K,Movimientos!$C:$C,A19))</f>
        <v>1927</v>
      </c>
      <c r="H19" s="14">
        <f>IF(A19="","",IFERROR(IF(_xlfn.MINIFS(Stock_por_Lote!$H:$H,Stock_por_Lote!$B:$B,A19,Stock_por_Lote!$J:$J,"&gt;0")=0,"S/D",_xlfn.MINIFS(Stock_por_Lote!$H:$H,Stock_por_Lote!$B:$B,A19,Stock_por_Lote!$J:$J,"&gt;0")),"S/D"))</f>
        <v>46661</v>
      </c>
    </row>
    <row r="20" spans="1:8">
      <c r="A20" t="s">
        <v>141</v>
      </c>
      <c r="B20" s="3" t="str">
        <f>IF(A20="","",IFERROR(INDEX(Movimientos!$D$2:$D$1993,MATCH(A20&amp;"ENTRADA",Movimientos!$S$2:$S$1993,0)),"-"))</f>
        <v>ACEITE DE SOJA 48 g</v>
      </c>
      <c r="C20" s="3" t="str">
        <f>IF(A20="","",IFERROR(INDEX(Movimientos!$E$2:$E$1993,MATCH(A20&amp;"ENTRADA",Movimientos!$S$2:$S$1993,0)),"-"))</f>
        <v>Coadyuvante</v>
      </c>
      <c r="D20" s="3">
        <f>IF(A20="","",IFERROR(INDEX(Movimientos!$F$2:$F$1993,MATCH(A20&amp;"ENTRADA",Movimientos!$S$2:$S$1993,0)),"-"))</f>
        <v>0</v>
      </c>
      <c r="E20" s="3" t="str">
        <f>IF(A20="","",IFERROR(INDEX(Movimientos!$L$2:$L$1993,MATCH(A20&amp;"ENTRADA",Movimientos!$S$2:$S$1993,0)),"-"))</f>
        <v>L</v>
      </c>
      <c r="F20" s="8">
        <f>IF(A20="","",COUNTIFS(Stock_por_Lote!$B:$B,A20,Stock_por_Lote!$J:$J,"&gt;0"))</f>
        <v>1</v>
      </c>
      <c r="G20" s="9">
        <f>IF(A20="","",SUMIFS(Movimientos!$K:$K,Movimientos!$C:$C,A20))</f>
        <v>375</v>
      </c>
      <c r="H20" s="14">
        <f>IF(A20="","",IFERROR(IF(_xlfn.MINIFS(Stock_por_Lote!$H:$H,Stock_por_Lote!$B:$B,A20,Stock_por_Lote!$J:$J,"&gt;0")=0,"S/D",_xlfn.MINIFS(Stock_por_Lote!$H:$H,Stock_por_Lote!$B:$B,A20,Stock_por_Lote!$J:$J,"&gt;0")),"S/D"))</f>
        <v>46388</v>
      </c>
    </row>
    <row r="21" spans="1:8">
      <c r="A21" t="s">
        <v>147</v>
      </c>
      <c r="B21" s="3" t="str">
        <f>IF(A21="","",IFERROR(INDEX(Movimientos!$D$2:$D$1993,MATCH(A21&amp;"ENTRADA",Movimientos!$S$2:$S$1993,0)),"-"))</f>
        <v>PINOXADEN 5 GR + CLOQUINTOCET-MEXIL 1.25 GR</v>
      </c>
      <c r="C21" s="3" t="str">
        <f>IF(A21="","",IFERROR(INDEX(Movimientos!$E$2:$E$1993,MATCH(A21&amp;"ENTRADA",Movimientos!$S$2:$S$1993,0)),"-"))</f>
        <v>Herbicida</v>
      </c>
      <c r="D21" s="3" t="str">
        <f>IF(A21="","",IFERROR(INDEX(Movimientos!$F$2:$F$1993,MATCH(A21&amp;"ENTRADA",Movimientos!$S$2:$S$1993,0)),"-"))</f>
        <v>Postemergente</v>
      </c>
      <c r="E21" s="3" t="str">
        <f>IF(A21="","",IFERROR(INDEX(Movimientos!$L$2:$L$1993,MATCH(A21&amp;"ENTRADA",Movimientos!$S$2:$S$1993,0)),"-"))</f>
        <v>L</v>
      </c>
      <c r="F21" s="8">
        <f>IF(A21="","",COUNTIFS(Stock_por_Lote!$B:$B,A21,Stock_por_Lote!$J:$J,"&gt;0"))</f>
        <v>0</v>
      </c>
      <c r="G21" s="9">
        <f>IF(A21="","",SUMIFS(Movimientos!$K:$K,Movimientos!$C:$C,A21))</f>
        <v>0</v>
      </c>
      <c r="H21" s="14" t="str">
        <f>IF(A21="","",IFERROR(IF(_xlfn.MINIFS(Stock_por_Lote!$H:$H,Stock_por_Lote!$B:$B,A21,Stock_por_Lote!$J:$J,"&gt;0")=0,"S/D",_xlfn.MINIFS(Stock_por_Lote!$H:$H,Stock_por_Lote!$B:$B,A21,Stock_por_Lote!$J:$J,"&gt;0")),"S/D"))</f>
        <v>S/D</v>
      </c>
    </row>
    <row r="22" spans="1:8">
      <c r="A22" t="s">
        <v>156</v>
      </c>
      <c r="B22" s="3" t="str">
        <f>IF(A22="","",IFERROR(INDEX(Movimientos!$D$2:$D$1993,MATCH(A22&amp;"ENTRADA",Movimientos!$S$2:$S$1993,0)),"-"))</f>
        <v>Nuola 300</v>
      </c>
      <c r="C22" s="3" t="str">
        <f>IF(A22="","",IFERROR(INDEX(Movimientos!$E$2:$E$1993,MATCH(A22&amp;"ENTRADA",Movimientos!$S$2:$S$1993,0)),"-"))</f>
        <v>Semilla</v>
      </c>
      <c r="D22" s="3" t="str">
        <f>IF(A22="","",IFERROR(INDEX(Movimientos!$F$2:$F$1993,MATCH(A22&amp;"ENTRADA",Movimientos!$S$2:$S$1993,0)),"-"))</f>
        <v>Colza</v>
      </c>
      <c r="E22" s="3" t="str">
        <f>IF(A22="","",IFERROR(INDEX(Movimientos!$L$2:$L$1993,MATCH(A22&amp;"ENTRADA",Movimientos!$S$2:$S$1993,0)),"-"))</f>
        <v>kg</v>
      </c>
      <c r="F22" s="8">
        <f>IF(A22="","",COUNTIFS(Stock_por_Lote!$B:$B,A22,Stock_por_Lote!$J:$J,"&gt;0"))</f>
        <v>0</v>
      </c>
      <c r="G22" s="9">
        <f>IF(A22="","",SUMIFS(Movimientos!$K:$K,Movimientos!$C:$C,A22))</f>
        <v>0</v>
      </c>
      <c r="H22" s="14" t="str">
        <f>IF(A22="","",IFERROR(IF(_xlfn.MINIFS(Stock_por_Lote!$H:$H,Stock_por_Lote!$B:$B,A22,Stock_por_Lote!$J:$J,"&gt;0")=0,"S/D",_xlfn.MINIFS(Stock_por_Lote!$H:$H,Stock_por_Lote!$B:$B,A22,Stock_por_Lote!$J:$J,"&gt;0")),"S/D"))</f>
        <v>S/D</v>
      </c>
    </row>
    <row r="23" spans="1:8">
      <c r="A23" t="s">
        <v>160</v>
      </c>
      <c r="B23" s="3" t="str">
        <f>IF(A23="","",IFERROR(INDEX(Movimientos!$D$2:$D$1993,MATCH(A23&amp;"ENTRADA",Movimientos!$S$2:$S$1993,0)),"-"))</f>
        <v>Ceres IMI</v>
      </c>
      <c r="C23" s="3" t="str">
        <f>IF(A23="","",IFERROR(INDEX(Movimientos!$E$2:$E$1993,MATCH(A23&amp;"ENTRADA",Movimientos!$S$2:$S$1993,0)),"-"))</f>
        <v>Semilla</v>
      </c>
      <c r="D23" s="3" t="str">
        <f>IF(A23="","",IFERROR(INDEX(Movimientos!$F$2:$F$1993,MATCH(A23&amp;"ENTRADA",Movimientos!$S$2:$S$1993,0)),"-"))</f>
        <v>Colza</v>
      </c>
      <c r="E23" s="3" t="str">
        <f>IF(A23="","",IFERROR(INDEX(Movimientos!$L$2:$L$1993,MATCH(A23&amp;"ENTRADA",Movimientos!$S$2:$S$1993,0)),"-"))</f>
        <v>kg</v>
      </c>
      <c r="F23" s="8">
        <f>IF(A23="","",COUNTIFS(Stock_por_Lote!$B:$B,A23,Stock_por_Lote!$J:$J,"&gt;0"))</f>
        <v>0</v>
      </c>
      <c r="G23" s="9">
        <f>IF(A23="","",SUMIFS(Movimientos!$K:$K,Movimientos!$C:$C,A23))</f>
        <v>0</v>
      </c>
      <c r="H23" s="14" t="str">
        <f>IF(A23="","",IFERROR(IF(_xlfn.MINIFS(Stock_por_Lote!$H:$H,Stock_por_Lote!$B:$B,A23,Stock_por_Lote!$J:$J,"&gt;0")=0,"S/D",_xlfn.MINIFS(Stock_por_Lote!$H:$H,Stock_por_Lote!$B:$B,A23,Stock_por_Lote!$J:$J,"&gt;0")),"S/D"))</f>
        <v>S/D</v>
      </c>
    </row>
    <row r="24" spans="1:8">
      <c r="A24" t="s">
        <v>164</v>
      </c>
      <c r="B24" s="3" t="str">
        <f>IF(A24="","",IFERROR(INDEX(Movimientos!$D$2:$D$1993,MATCH(A24&amp;"ENTRADA",Movimientos!$S$2:$S$1993,0)),"-"))</f>
        <v>Festuca Carape</v>
      </c>
      <c r="C24" s="3" t="str">
        <f>IF(A24="","",IFERROR(INDEX(Movimientos!$E$2:$E$1993,MATCH(A24&amp;"ENTRADA",Movimientos!$S$2:$S$1993,0)),"-"))</f>
        <v>Semilla</v>
      </c>
      <c r="D24" s="3" t="str">
        <f>IF(A24="","",IFERROR(INDEX(Movimientos!$F$2:$F$1993,MATCH(A24&amp;"ENTRADA",Movimientos!$S$2:$S$1993,0)),"-"))</f>
        <v>Festuca</v>
      </c>
      <c r="E24" s="3" t="str">
        <f>IF(A24="","",IFERROR(INDEX(Movimientos!$L$2:$L$1993,MATCH(A24&amp;"ENTRADA",Movimientos!$S$2:$S$1993,0)),"-"))</f>
        <v>kg</v>
      </c>
      <c r="F24" s="8">
        <f>IF(A24="","",COUNTIFS(Stock_por_Lote!$B:$B,A24,Stock_por_Lote!$J:$J,"&gt;0"))</f>
        <v>0</v>
      </c>
      <c r="G24" s="9">
        <f>IF(A24="","",SUMIFS(Movimientos!$K:$K,Movimientos!$C:$C,A24))</f>
        <v>0</v>
      </c>
      <c r="H24" s="14" t="str">
        <f>IF(A24="","",IFERROR(IF(_xlfn.MINIFS(Stock_por_Lote!$H:$H,Stock_por_Lote!$B:$B,A24,Stock_por_Lote!$J:$J,"&gt;0")=0,"S/D",_xlfn.MINIFS(Stock_por_Lote!$H:$H,Stock_por_Lote!$B:$B,A24,Stock_por_Lote!$J:$J,"&gt;0")),"S/D"))</f>
        <v>S/D</v>
      </c>
    </row>
    <row r="25" spans="1:8">
      <c r="A25" t="s">
        <v>168</v>
      </c>
      <c r="B25" s="3" t="str">
        <f>IF(A25="","",IFERROR(INDEX(Movimientos!$D$2:$D$1993,MATCH(A25&amp;"ENTRADA",Movimientos!$S$2:$S$1993,0)),"-"))</f>
        <v>Alfalfa Verdor momla 384-2n-04</v>
      </c>
      <c r="C25" s="3" t="str">
        <f>IF(A25="","",IFERROR(INDEX(Movimientos!$E$2:$E$1993,MATCH(A25&amp;"ENTRADA",Movimientos!$S$2:$S$1993,0)),"-"))</f>
        <v>Semilla</v>
      </c>
      <c r="D25" s="3" t="str">
        <f>IF(A25="","",IFERROR(INDEX(Movimientos!$F$2:$F$1993,MATCH(A25&amp;"ENTRADA",Movimientos!$S$2:$S$1993,0)),"-"))</f>
        <v>Alfalfa</v>
      </c>
      <c r="E25" s="3" t="str">
        <f>IF(A25="","",IFERROR(INDEX(Movimientos!$L$2:$L$1993,MATCH(A25&amp;"ENTRADA",Movimientos!$S$2:$S$1993,0)),"-"))</f>
        <v>kg</v>
      </c>
      <c r="F25" s="8">
        <f>IF(A25="","",COUNTIFS(Stock_por_Lote!$B:$B,A25,Stock_por_Lote!$J:$J,"&gt;0"))</f>
        <v>0</v>
      </c>
      <c r="G25" s="9">
        <f>IF(A25="","",SUMIFS(Movimientos!$K:$K,Movimientos!$C:$C,A25))</f>
        <v>0</v>
      </c>
      <c r="H25" s="14" t="str">
        <f>IF(A25="","",IFERROR(IF(_xlfn.MINIFS(Stock_por_Lote!$H:$H,Stock_por_Lote!$B:$B,A25,Stock_por_Lote!$J:$J,"&gt;0")=0,"S/D",_xlfn.MINIFS(Stock_por_Lote!$H:$H,Stock_por_Lote!$B:$B,A25,Stock_por_Lote!$J:$J,"&gt;0")),"S/D"))</f>
        <v>S/D</v>
      </c>
    </row>
    <row r="26" spans="1:8">
      <c r="A26" t="s">
        <v>172</v>
      </c>
      <c r="B26" s="3" t="str">
        <f>IF(A26="","",IFERROR(INDEX(Movimientos!$D$2:$D$1993,MATCH(A26&amp;"ENTRADA",Movimientos!$S$2:$S$1993,0)),"-"))</f>
        <v xml:space="preserve">Achicora inia nova </v>
      </c>
      <c r="C26" s="3" t="str">
        <f>IF(A26="","",IFERROR(INDEX(Movimientos!$E$2:$E$1993,MATCH(A26&amp;"ENTRADA",Movimientos!$S$2:$S$1993,0)),"-"))</f>
        <v>Semilla</v>
      </c>
      <c r="D26" s="3" t="str">
        <f>IF(A26="","",IFERROR(INDEX(Movimientos!$F$2:$F$1993,MATCH(A26&amp;"ENTRADA",Movimientos!$S$2:$S$1993,0)),"-"))</f>
        <v>Achicoria</v>
      </c>
      <c r="E26" s="3" t="str">
        <f>IF(A26="","",IFERROR(INDEX(Movimientos!$L$2:$L$1993,MATCH(A26&amp;"ENTRADA",Movimientos!$S$2:$S$1993,0)),"-"))</f>
        <v>kg</v>
      </c>
      <c r="F26" s="8">
        <f>IF(A26="","",COUNTIFS(Stock_por_Lote!$B:$B,A26,Stock_por_Lote!$J:$J,"&gt;0"))</f>
        <v>0</v>
      </c>
      <c r="G26" s="9">
        <f>IF(A26="","",SUMIFS(Movimientos!$K:$K,Movimientos!$C:$C,A26))</f>
        <v>0</v>
      </c>
      <c r="H26" s="14" t="str">
        <f>IF(A26="","",IFERROR(IF(_xlfn.MINIFS(Stock_por_Lote!$H:$H,Stock_por_Lote!$B:$B,A26,Stock_por_Lote!$J:$J,"&gt;0")=0,"S/D",_xlfn.MINIFS(Stock_por_Lote!$H:$H,Stock_por_Lote!$B:$B,A26,Stock_por_Lote!$J:$J,"&gt;0")),"S/D"))</f>
        <v>S/D</v>
      </c>
    </row>
    <row r="27" spans="1:8">
      <c r="A27" t="s">
        <v>178</v>
      </c>
      <c r="B27" s="3" t="str">
        <f>IF(A27="","",IFERROR(INDEX(Movimientos!$D$2:$D$1993,MATCH(A27&amp;"ENTRADA",Movimientos!$S$2:$S$1993,0)),"-"))</f>
        <v>Festuca Sortija C2</v>
      </c>
      <c r="C27" s="3" t="str">
        <f>IF(A27="","",IFERROR(INDEX(Movimientos!$E$2:$E$1993,MATCH(A27&amp;"ENTRADA",Movimientos!$S$2:$S$1993,0)),"-"))</f>
        <v>Semilla</v>
      </c>
      <c r="D27" s="3" t="str">
        <f>IF(A27="","",IFERROR(INDEX(Movimientos!$F$2:$F$1993,MATCH(A27&amp;"ENTRADA",Movimientos!$S$2:$S$1993,0)),"-"))</f>
        <v>Festuca</v>
      </c>
      <c r="E27" s="3" t="str">
        <f>IF(A27="","",IFERROR(INDEX(Movimientos!$L$2:$L$1993,MATCH(A27&amp;"ENTRADA",Movimientos!$S$2:$S$1993,0)),"-"))</f>
        <v>kg</v>
      </c>
      <c r="F27" s="8">
        <f>IF(A27="","",COUNTIFS(Stock_por_Lote!$B:$B,A27,Stock_por_Lote!$J:$J,"&gt;0"))</f>
        <v>0</v>
      </c>
      <c r="G27" s="9">
        <f>IF(A27="","",SUMIFS(Movimientos!$K:$K,Movimientos!$C:$C,A27))</f>
        <v>0</v>
      </c>
      <c r="H27" s="14" t="str">
        <f>IF(A27="","",IFERROR(IF(_xlfn.MINIFS(Stock_por_Lote!$H:$H,Stock_por_Lote!$B:$B,A27,Stock_por_Lote!$J:$J,"&gt;0")=0,"S/D",_xlfn.MINIFS(Stock_por_Lote!$H:$H,Stock_por_Lote!$B:$B,A27,Stock_por_Lote!$J:$J,"&gt;0")),"S/D"))</f>
        <v>S/D</v>
      </c>
    </row>
    <row r="28" spans="1:8">
      <c r="A28" t="s">
        <v>182</v>
      </c>
      <c r="B28" s="3" t="str">
        <f>IF(A28="","",IFERROR(INDEX(Movimientos!$D$2:$D$1993,MATCH(A28&amp;"ENTRADA",Movimientos!$S$2:$S$1993,0)),"-"))</f>
        <v>Dactylis Drover ecotec af gram c2</v>
      </c>
      <c r="C28" s="3" t="str">
        <f>IF(A28="","",IFERROR(INDEX(Movimientos!$E$2:$E$1993,MATCH(A28&amp;"ENTRADA",Movimientos!$S$2:$S$1993,0)),"-"))</f>
        <v>Semilla</v>
      </c>
      <c r="D28" s="3" t="str">
        <f>IF(A28="","",IFERROR(INDEX(Movimientos!$F$2:$F$1993,MATCH(A28&amp;"ENTRADA",Movimientos!$S$2:$S$1993,0)),"-"))</f>
        <v>Dactylis</v>
      </c>
      <c r="E28" s="3" t="str">
        <f>IF(A28="","",IFERROR(INDEX(Movimientos!$L$2:$L$1993,MATCH(A28&amp;"ENTRADA",Movimientos!$S$2:$S$1993,0)),"-"))</f>
        <v>kg</v>
      </c>
      <c r="F28" s="8">
        <f>IF(A28="","",COUNTIFS(Stock_por_Lote!$B:$B,A28,Stock_por_Lote!$J:$J,"&gt;0"))</f>
        <v>1</v>
      </c>
      <c r="G28" s="9">
        <f>IF(A28="","",SUMIFS(Movimientos!$K:$K,Movimientos!$C:$C,A28))</f>
        <v>50</v>
      </c>
      <c r="H28" s="14" t="str">
        <f>IF(A28="","",IFERROR(IF(_xlfn.MINIFS(Stock_por_Lote!$H:$H,Stock_por_Lote!$B:$B,A28,Stock_por_Lote!$J:$J,"&gt;0")=0,"S/D",_xlfn.MINIFS(Stock_por_Lote!$H:$H,Stock_por_Lote!$B:$B,A28,Stock_por_Lote!$J:$J,"&gt;0")),"S/D"))</f>
        <v>S/D</v>
      </c>
    </row>
    <row r="29" spans="1:8">
      <c r="A29" t="s">
        <v>186</v>
      </c>
      <c r="B29" s="3" t="str">
        <f>IF(A29="","",IFERROR(INDEX(Movimientos!$D$2:$D$1993,MATCH(A29&amp;"ENTRADA",Movimientos!$S$2:$S$1993,0)),"-"))</f>
        <v>Trebol Blanco E Zapican Ecotec AF</v>
      </c>
      <c r="C29" s="3" t="str">
        <f>IF(A29="","",IFERROR(INDEX(Movimientos!$E$2:$E$1993,MATCH(A29&amp;"ENTRADA",Movimientos!$S$2:$S$1993,0)),"-"))</f>
        <v>Semilla</v>
      </c>
      <c r="D29" s="3" t="str">
        <f>IF(A29="","",IFERROR(INDEX(Movimientos!$F$2:$F$1993,MATCH(A29&amp;"ENTRADA",Movimientos!$S$2:$S$1993,0)),"-"))</f>
        <v>Trebol Blanco</v>
      </c>
      <c r="E29" s="3" t="str">
        <f>IF(A29="","",IFERROR(INDEX(Movimientos!$L$2:$L$1993,MATCH(A29&amp;"ENTRADA",Movimientos!$S$2:$S$1993,0)),"-"))</f>
        <v>kg</v>
      </c>
      <c r="F29" s="8">
        <f>IF(A29="","",COUNTIFS(Stock_por_Lote!$B:$B,A29,Stock_por_Lote!$J:$J,"&gt;0"))</f>
        <v>0</v>
      </c>
      <c r="G29" s="9">
        <f>IF(A29="","",SUMIFS(Movimientos!$K:$K,Movimientos!$C:$C,A29))</f>
        <v>0</v>
      </c>
      <c r="H29" s="14" t="str">
        <f>IF(A29="","",IFERROR(IF(_xlfn.MINIFS(Stock_por_Lote!$H:$H,Stock_por_Lote!$B:$B,A29,Stock_por_Lote!$J:$J,"&gt;0")=0,"S/D",_xlfn.MINIFS(Stock_por_Lote!$H:$H,Stock_por_Lote!$B:$B,A29,Stock_por_Lote!$J:$J,"&gt;0")),"S/D"))</f>
        <v>S/D</v>
      </c>
    </row>
    <row r="30" spans="1:8">
      <c r="A30" t="s">
        <v>190</v>
      </c>
      <c r="B30" s="3" t="str">
        <f>IF(A30="","",IFERROR(INDEX(Movimientos!$D$2:$D$1993,MATCH(A30&amp;"ENTRADA",Movimientos!$S$2:$S$1993,0)),"-"))</f>
        <v>Trebol Rojo E116 Ecotec AF</v>
      </c>
      <c r="C30" s="3" t="str">
        <f>IF(A30="","",IFERROR(INDEX(Movimientos!$E$2:$E$1993,MATCH(A30&amp;"ENTRADA",Movimientos!$S$2:$S$1993,0)),"-"))</f>
        <v>Semilla</v>
      </c>
      <c r="D30" s="3" t="str">
        <f>IF(A30="","",IFERROR(INDEX(Movimientos!$F$2:$F$1993,MATCH(A30&amp;"ENTRADA",Movimientos!$S$2:$S$1993,0)),"-"))</f>
        <v xml:space="preserve">Trebol Rojo </v>
      </c>
      <c r="E30" s="3" t="str">
        <f>IF(A30="","",IFERROR(INDEX(Movimientos!$L$2:$L$1993,MATCH(A30&amp;"ENTRADA",Movimientos!$S$2:$S$1993,0)),"-"))</f>
        <v>kg</v>
      </c>
      <c r="F30" s="8">
        <f>IF(A30="","",COUNTIFS(Stock_por_Lote!$B:$B,A30,Stock_por_Lote!$J:$J,"&gt;0"))</f>
        <v>0</v>
      </c>
      <c r="G30" s="9">
        <f>IF(A30="","",SUMIFS(Movimientos!$K:$K,Movimientos!$C:$C,A30))</f>
        <v>0</v>
      </c>
      <c r="H30" s="14" t="str">
        <f>IF(A30="","",IFERROR(IF(_xlfn.MINIFS(Stock_por_Lote!$H:$H,Stock_por_Lote!$B:$B,A30,Stock_por_Lote!$J:$J,"&gt;0")=0,"S/D",_xlfn.MINIFS(Stock_por_Lote!$H:$H,Stock_por_Lote!$B:$B,A30,Stock_por_Lote!$J:$J,"&gt;0")),"S/D"))</f>
        <v>S/D</v>
      </c>
    </row>
    <row r="31" spans="1:8">
      <c r="A31" t="s">
        <v>194</v>
      </c>
      <c r="B31" s="3" t="str">
        <f>IF(A31="","",IFERROR(INDEX(Movimientos!$D$2:$D$1993,MATCH(A31&amp;"ENTRADA",Movimientos!$S$2:$S$1993,0)),"-"))</f>
        <v>Phalaris Stockman Comb</v>
      </c>
      <c r="C31" s="3" t="str">
        <f>IF(A31="","",IFERROR(INDEX(Movimientos!$E$2:$E$1993,MATCH(A31&amp;"ENTRADA",Movimientos!$S$2:$S$1993,0)),"-"))</f>
        <v>Semilla</v>
      </c>
      <c r="D31" s="3" t="str">
        <f>IF(A31="","",IFERROR(INDEX(Movimientos!$F$2:$F$1993,MATCH(A31&amp;"ENTRADA",Movimientos!$S$2:$S$1993,0)),"-"))</f>
        <v>Phalaris</v>
      </c>
      <c r="E31" s="3" t="str">
        <f>IF(A31="","",IFERROR(INDEX(Movimientos!$L$2:$L$1993,MATCH(A31&amp;"ENTRADA",Movimientos!$S$2:$S$1993,0)),"-"))</f>
        <v>kg</v>
      </c>
      <c r="F31" s="8">
        <f>IF(A31="","",COUNTIFS(Stock_por_Lote!$B:$B,A31,Stock_por_Lote!$J:$J,"&gt;0"))</f>
        <v>0</v>
      </c>
      <c r="G31" s="9">
        <f>IF(A31="","",SUMIFS(Movimientos!$K:$K,Movimientos!$C:$C,A31))</f>
        <v>0</v>
      </c>
      <c r="H31" s="14" t="str">
        <f>IF(A31="","",IFERROR(IF(_xlfn.MINIFS(Stock_por_Lote!$H:$H,Stock_por_Lote!$B:$B,A31,Stock_por_Lote!$J:$J,"&gt;0")=0,"S/D",_xlfn.MINIFS(Stock_por_Lote!$H:$H,Stock_por_Lote!$B:$B,A31,Stock_por_Lote!$J:$J,"&gt;0")),"S/D"))</f>
        <v>S/D</v>
      </c>
    </row>
    <row r="32" spans="1:8">
      <c r="A32" t="s">
        <v>228</v>
      </c>
      <c r="B32" s="3" t="str">
        <f>IF(A32="","",IFERROR(INDEX(Movimientos!$D$2:$D$1993,MATCH(A32&amp;"ENTRADA",Movimientos!$S$2:$S$1993,0)),"-"))</f>
        <v>Continuum CL</v>
      </c>
      <c r="C32" s="3" t="str">
        <f>IF(A32="","",IFERROR(INDEX(Movimientos!$E$2:$E$1993,MATCH(A32&amp;"ENTRADA",Movimientos!$S$2:$S$1993,0)),"-"))</f>
        <v>Semilla</v>
      </c>
      <c r="D32" s="3" t="str">
        <f>IF(A32="","",IFERROR(INDEX(Movimientos!$F$2:$F$1993,MATCH(A32&amp;"ENTRADA",Movimientos!$S$2:$S$1993,0)),"-"))</f>
        <v>Colza</v>
      </c>
      <c r="E32" s="3" t="str">
        <f>IF(A32="","",IFERROR(INDEX(Movimientos!$L$2:$L$1993,MATCH(A32&amp;"ENTRADA",Movimientos!$S$2:$S$1993,0)),"-"))</f>
        <v>kg</v>
      </c>
      <c r="F32" s="8">
        <f>IF(A32="","",COUNTIFS(Stock_por_Lote!$B:$B,A32,Stock_por_Lote!$J:$J,"&gt;0"))</f>
        <v>0</v>
      </c>
      <c r="G32" s="9">
        <f>IF(A32="","",SUMIFS(Movimientos!$K:$K,Movimientos!$C:$C,A32))</f>
        <v>0</v>
      </c>
      <c r="H32" s="14" t="str">
        <f>IF(A32="","",IFERROR(IF(_xlfn.MINIFS(Stock_por_Lote!$H:$H,Stock_por_Lote!$B:$B,A32,Stock_por_Lote!$J:$J,"&gt;0")=0,"S/D",_xlfn.MINIFS(Stock_por_Lote!$H:$H,Stock_por_Lote!$B:$B,A32,Stock_por_Lote!$J:$J,"&gt;0")),"S/D"))</f>
        <v>S/D</v>
      </c>
    </row>
    <row r="33" spans="1:8">
      <c r="A33" t="s">
        <v>231</v>
      </c>
      <c r="B33" s="3" t="str">
        <f>IF(A33="","",IFERROR(INDEX(Movimientos!$D$2:$D$1993,MATCH(A33&amp;"ENTRADA",Movimientos!$S$2:$S$1993,0)),"-"))</f>
        <v>Colza Hyola Solstice cl</v>
      </c>
      <c r="C33" s="3" t="str">
        <f>IF(A33="","",IFERROR(INDEX(Movimientos!$E$2:$E$1993,MATCH(A33&amp;"ENTRADA",Movimientos!$S$2:$S$1993,0)),"-"))</f>
        <v>Semilla</v>
      </c>
      <c r="D33" s="3" t="str">
        <f>IF(A33="","",IFERROR(INDEX(Movimientos!$F$2:$F$1993,MATCH(A33&amp;"ENTRADA",Movimientos!$S$2:$S$1993,0)),"-"))</f>
        <v>Colza</v>
      </c>
      <c r="E33" s="3" t="str">
        <f>IF(A33="","",IFERROR(INDEX(Movimientos!$L$2:$L$1993,MATCH(A33&amp;"ENTRADA",Movimientos!$S$2:$S$1993,0)),"-"))</f>
        <v>kg</v>
      </c>
      <c r="F33" s="8">
        <f>IF(A33="","",COUNTIFS(Stock_por_Lote!$B:$B,A33,Stock_por_Lote!$J:$J,"&gt;0"))</f>
        <v>0</v>
      </c>
      <c r="G33" s="9">
        <f>IF(A33="","",SUMIFS(Movimientos!$K:$K,Movimientos!$C:$C,A33))</f>
        <v>0</v>
      </c>
      <c r="H33" s="14" t="str">
        <f>IF(A33="","",IFERROR(IF(_xlfn.MINIFS(Stock_por_Lote!$H:$H,Stock_por_Lote!$B:$B,A33,Stock_por_Lote!$J:$J,"&gt;0")=0,"S/D",_xlfn.MINIFS(Stock_por_Lote!$H:$H,Stock_por_Lote!$B:$B,A33,Stock_por_Lote!$J:$J,"&gt;0")),"S/D"))</f>
        <v>S/D</v>
      </c>
    </row>
    <row r="34" spans="1:8">
      <c r="A34" t="s">
        <v>126</v>
      </c>
      <c r="B34" s="3" t="str">
        <f>IF(A34="","",IFERROR(INDEX(Movimientos!$D$2:$D$1993,MATCH(A34&amp;"ENTRADA",Movimientos!$S$2:$S$1993,0)),"-"))</f>
        <v xml:space="preserve">Avena propia </v>
      </c>
      <c r="C34" s="3" t="str">
        <f>IF(A34="","",IFERROR(INDEX(Movimientos!$E$2:$E$1993,MATCH(A34&amp;"ENTRADA",Movimientos!$S$2:$S$1993,0)),"-"))</f>
        <v>Semilla</v>
      </c>
      <c r="D34" s="3" t="str">
        <f>IF(A34="","",IFERROR(INDEX(Movimientos!$F$2:$F$1993,MATCH(A34&amp;"ENTRADA",Movimientos!$S$2:$S$1993,0)),"-"))</f>
        <v>Avena</v>
      </c>
      <c r="E34" s="3" t="str">
        <f>IF(A34="","",IFERROR(INDEX(Movimientos!$L$2:$L$1993,MATCH(A34&amp;"ENTRADA",Movimientos!$S$2:$S$1993,0)),"-"))</f>
        <v>kg</v>
      </c>
      <c r="F34" s="8">
        <f>IF(A34="","",COUNTIFS(Stock_por_Lote!$B:$B,A34,Stock_por_Lote!$J:$J,"&gt;0"))</f>
        <v>0</v>
      </c>
      <c r="G34" s="9">
        <f>IF(A34="","",SUMIFS(Movimientos!$K:$K,Movimientos!$C:$C,A34))</f>
        <v>0</v>
      </c>
      <c r="H34" s="14" t="str">
        <f>IF(A34="","",IFERROR(IF(_xlfn.MINIFS(Stock_por_Lote!$H:$H,Stock_por_Lote!$B:$B,A34,Stock_por_Lote!$J:$J,"&gt;0")=0,"S/D",_xlfn.MINIFS(Stock_por_Lote!$H:$H,Stock_por_Lote!$B:$B,A34,Stock_por_Lote!$J:$J,"&gt;0")),"S/D"))</f>
        <v>S/D</v>
      </c>
    </row>
    <row r="35" spans="1:8">
      <c r="A35" t="s">
        <v>245</v>
      </c>
      <c r="B35" s="3" t="str">
        <f>IF(A35="","",IFERROR(INDEX(Movimientos!$D$2:$D$1993,MATCH(A35&amp;"ENTRADA",Movimientos!$S$2:$S$1993,0)),"-"))</f>
        <v>Imazapir sal isopropilamina 24,2%</v>
      </c>
      <c r="C35" s="3" t="str">
        <f>IF(A35="","",IFERROR(INDEX(Movimientos!$E$2:$E$1993,MATCH(A35&amp;"ENTRADA",Movimientos!$S$2:$S$1993,0)),"-"))</f>
        <v>Herbicida</v>
      </c>
      <c r="D35" s="3" t="str">
        <f>IF(A35="","",IFERROR(INDEX(Movimientos!$F$2:$F$1993,MATCH(A35&amp;"ENTRADA",Movimientos!$S$2:$S$1993,0)),"-"))</f>
        <v>Postemergente</v>
      </c>
      <c r="E35" s="3" t="str">
        <f>IF(A35="","",IFERROR(INDEX(Movimientos!$L$2:$L$1993,MATCH(A35&amp;"ENTRADA",Movimientos!$S$2:$S$1993,0)),"-"))</f>
        <v>L</v>
      </c>
      <c r="F35" s="8">
        <f>IF(A35="","",COUNTIFS(Stock_por_Lote!$B:$B,A35,Stock_por_Lote!$J:$J,"&gt;0"))</f>
        <v>0</v>
      </c>
      <c r="G35" s="9">
        <f>IF(A35="","",SUMIFS(Movimientos!$K:$K,Movimientos!$C:$C,A35))</f>
        <v>0</v>
      </c>
      <c r="H35" s="14" t="str">
        <f>IF(A35="","",IFERROR(IF(_xlfn.MINIFS(Stock_por_Lote!$H:$H,Stock_por_Lote!$B:$B,A35,Stock_por_Lote!$J:$J,"&gt;0")=0,"S/D",_xlfn.MINIFS(Stock_por_Lote!$H:$H,Stock_por_Lote!$B:$B,A35,Stock_por_Lote!$J:$J,"&gt;0")),"S/D"))</f>
        <v>S/D</v>
      </c>
    </row>
    <row r="36" spans="1:8">
      <c r="A36" t="s">
        <v>249</v>
      </c>
      <c r="B36" s="3" t="str">
        <f>IF(A36="","",IFERROR(INDEX(Movimientos!$D$2:$D$1993,MATCH(A36&amp;"ENTRADA",Movimientos!$S$2:$S$1993,0)),"-"))</f>
        <v>Esteres metílicos de aceite vegetal 42,5%</v>
      </c>
      <c r="C36" s="3" t="str">
        <f>IF(A36="","",IFERROR(INDEX(Movimientos!$E$2:$E$1993,MATCH(A36&amp;"ENTRADA",Movimientos!$S$2:$S$1993,0)),"-"))</f>
        <v>Coadyuvante</v>
      </c>
      <c r="D36" s="3">
        <f>IF(A36="","",IFERROR(INDEX(Movimientos!$F$2:$F$1993,MATCH(A36&amp;"ENTRADA",Movimientos!$S$2:$S$1993,0)),"-"))</f>
        <v>0</v>
      </c>
      <c r="E36" s="3" t="str">
        <f>IF(A36="","",IFERROR(INDEX(Movimientos!$L$2:$L$1993,MATCH(A36&amp;"ENTRADA",Movimientos!$S$2:$S$1993,0)),"-"))</f>
        <v>L</v>
      </c>
      <c r="F36" s="8">
        <f>IF(A36="","",COUNTIFS(Stock_por_Lote!$B:$B,A36,Stock_por_Lote!$J:$J,"&gt;0"))</f>
        <v>1</v>
      </c>
      <c r="G36" s="9">
        <f>IF(A36="","",SUMIFS(Movimientos!$K:$K,Movimientos!$C:$C,A36))</f>
        <v>188</v>
      </c>
      <c r="H36" s="14">
        <f>IF(A36="","",IFERROR(IF(_xlfn.MINIFS(Stock_por_Lote!$H:$H,Stock_por_Lote!$B:$B,A36,Stock_por_Lote!$J:$J,"&gt;0")=0,"S/D",_xlfn.MINIFS(Stock_por_Lote!$H:$H,Stock_por_Lote!$B:$B,A36,Stock_por_Lote!$J:$J,"&gt;0")),"S/D"))</f>
        <v>47574</v>
      </c>
    </row>
    <row r="37" spans="1:8">
      <c r="A37" t="s">
        <v>264</v>
      </c>
      <c r="B37" s="3" t="str">
        <f>IF(A37="","",IFERROR(INDEX(Movimientos!$D$2:$D$1993,MATCH(A37&amp;"ENTRADA",Movimientos!$S$2:$S$1993,0)),"-"))</f>
        <v>Alfalfa latte 920 gen protect plus</v>
      </c>
      <c r="C37" s="3" t="str">
        <f>IF(A37="","",IFERROR(INDEX(Movimientos!$E$2:$E$1993,MATCH(A37&amp;"ENTRADA",Movimientos!$S$2:$S$1993,0)),"-"))</f>
        <v>Semilla</v>
      </c>
      <c r="D37" s="3" t="str">
        <f>IF(A37="","",IFERROR(INDEX(Movimientos!$F$2:$F$1993,MATCH(A37&amp;"ENTRADA",Movimientos!$S$2:$S$1993,0)),"-"))</f>
        <v>Alfalfa</v>
      </c>
      <c r="E37" s="3" t="str">
        <f>IF(A37="","",IFERROR(INDEX(Movimientos!$L$2:$L$1993,MATCH(A37&amp;"ENTRADA",Movimientos!$S$2:$S$1993,0)),"-"))</f>
        <v>kg</v>
      </c>
      <c r="F37" s="8">
        <f>IF(A37="","",COUNTIFS(Stock_por_Lote!$B:$B,A37,Stock_por_Lote!$J:$J,"&gt;0"))</f>
        <v>0</v>
      </c>
      <c r="G37" s="9">
        <f>IF(A37="","",SUMIFS(Movimientos!$K:$K,Movimientos!$C:$C,A37))</f>
        <v>0</v>
      </c>
      <c r="H37" s="14" t="str">
        <f>IF(A37="","",IFERROR(IF(_xlfn.MINIFS(Stock_por_Lote!$H:$H,Stock_por_Lote!$B:$B,A37,Stock_por_Lote!$J:$J,"&gt;0")=0,"S/D",_xlfn.MINIFS(Stock_por_Lote!$H:$H,Stock_por_Lote!$B:$B,A37,Stock_por_Lote!$J:$J,"&gt;0")),"S/D"))</f>
        <v>S/D</v>
      </c>
    </row>
    <row r="38" spans="1:8">
      <c r="A38" t="s">
        <v>527</v>
      </c>
      <c r="B38" s="3" t="str">
        <f>IF(A38="","",IFERROR(INDEX(Movimientos!$D$2:$D$1993,MATCH(A38&amp;"ENTRADA",Movimientos!$S$2:$S$1993,0)),"-"))</f>
        <v xml:space="preserve">fertilizante foliar </v>
      </c>
      <c r="C38" s="3" t="str">
        <f>IF(A38="","",IFERROR(INDEX(Movimientos!$E$2:$E$1993,MATCH(A38&amp;"ENTRADA",Movimientos!$S$2:$S$1993,0)),"-"))</f>
        <v>Fertilizante</v>
      </c>
      <c r="D38" s="3">
        <f>IF(A38="","",IFERROR(INDEX(Movimientos!$F$2:$F$1993,MATCH(A38&amp;"ENTRADA",Movimientos!$S$2:$S$1993,0)),"-"))</f>
        <v>0</v>
      </c>
      <c r="E38" s="3" t="str">
        <f>IF(A38="","",IFERROR(INDEX(Movimientos!$L$2:$L$1993,MATCH(A38&amp;"ENTRADA",Movimientos!$S$2:$S$1993,0)),"-"))</f>
        <v>kg</v>
      </c>
      <c r="F38" s="8">
        <f>IF(A38="","",COUNTIFS(Stock_por_Lote!$B:$B,A38,Stock_por_Lote!$J:$J,"&gt;0"))</f>
        <v>0</v>
      </c>
      <c r="G38" s="9">
        <f>IF(A38="","",SUMIFS(Movimientos!$K:$K,Movimientos!$C:$C,A38))</f>
        <v>0</v>
      </c>
      <c r="H38" s="14" t="str">
        <f>IF(A38="","",IFERROR(IF(_xlfn.MINIFS(Stock_por_Lote!$H:$H,Stock_por_Lote!$B:$B,A38,Stock_por_Lote!$J:$J,"&gt;0")=0,"S/D",_xlfn.MINIFS(Stock_por_Lote!$H:$H,Stock_por_Lote!$B:$B,A38,Stock_por_Lote!$J:$J,"&gt;0")),"S/D"))</f>
        <v>S/D</v>
      </c>
    </row>
    <row r="39" spans="1:8" ht="14.25">
      <c r="A39" t="s">
        <v>267</v>
      </c>
      <c r="B39" s="3" t="str">
        <f>IF(A39="","",IFERROR(INDEX(Movimientos!$D$2:$D$1993,MATCH(A39&amp;"ENTRADA",Movimientos!$S$2:$S$1993,0)),"-"))</f>
        <v>Colza 45y95cl</v>
      </c>
      <c r="C39" s="3" t="str">
        <f>IF(A39="","",IFERROR(INDEX(Movimientos!$E$2:$E$1993,MATCH(A39&amp;"ENTRADA",Movimientos!$S$2:$S$1993,0)),"-"))</f>
        <v>Semilla</v>
      </c>
      <c r="D39" s="3" t="str">
        <f>IF(A39="","",IFERROR(INDEX(Movimientos!$F$2:$F$1993,MATCH(A39&amp;"ENTRADA",Movimientos!$S$2:$S$1993,0)),"-"))</f>
        <v>Colza</v>
      </c>
      <c r="E39" s="3" t="str">
        <f>IF(A39="","",IFERROR(INDEX(Movimientos!$L$2:$L$1993,MATCH(A39&amp;"ENTRADA",Movimientos!$S$2:$S$1993,0)),"-"))</f>
        <v>kg</v>
      </c>
      <c r="F39" s="8">
        <f>IF(A39="","",COUNTIFS(Stock_por_Lote!$B:$B,A39,Stock_por_Lote!$J:$J,"&gt;0"))</f>
        <v>0</v>
      </c>
      <c r="G39" s="9">
        <f>IF(A39="","",SUMIFS(Movimientos!$K:$K,Movimientos!$C:$C,A39))</f>
        <v>0</v>
      </c>
      <c r="H39" s="14" t="str">
        <f>IF(A39="","",IFERROR(IF(_xlfn.MINIFS(Stock_por_Lote!$H:$H,Stock_por_Lote!$B:$B,A39,Stock_por_Lote!$J:$J,"&gt;0")=0,"S/D",_xlfn.MINIFS(Stock_por_Lote!$H:$H,Stock_por_Lote!$B:$B,A39,Stock_por_Lote!$J:$J,"&gt;0")),"S/D"))</f>
        <v>S/D</v>
      </c>
    </row>
    <row r="40" spans="1:8" ht="14.25">
      <c r="A40" t="s">
        <v>283</v>
      </c>
      <c r="B40" s="3" t="str">
        <f>IF(A40="","",IFERROR(INDEX(Movimientos!$D$2:$D$1993,MATCH(A40&amp;"ENTRADA",Movimientos!$S$2:$S$1993,0)),"-"))</f>
        <v xml:space="preserve">Hydra hume </v>
      </c>
      <c r="C40" s="3" t="str">
        <f>IF(A40="","",IFERROR(INDEX(Movimientos!$E$2:$E$1993,MATCH(A40&amp;"ENTRADA",Movimientos!$S$2:$S$1993,0)),"-"))</f>
        <v>Biológico</v>
      </c>
      <c r="D40" s="3" t="str">
        <f>IF(A40="","",IFERROR(INDEX(Movimientos!$F$2:$F$1993,MATCH(A40&amp;"ENTRADA",Movimientos!$S$2:$S$1993,0)),"-"))</f>
        <v>Acidos Humicos</v>
      </c>
      <c r="E40" s="3" t="str">
        <f>IF(A40="","",IFERROR(INDEX(Movimientos!$L$2:$L$1993,MATCH(A40&amp;"ENTRADA",Movimientos!$S$2:$S$1993,0)),"-"))</f>
        <v>L</v>
      </c>
      <c r="F40" s="8">
        <f>IF(A40="","",COUNTIFS(Stock_por_Lote!$B:$B,A40,Stock_por_Lote!$J:$J,"&gt;0"))</f>
        <v>1</v>
      </c>
      <c r="G40" s="9">
        <f>IF(A40="","",SUMIFS(Movimientos!$K:$K,Movimientos!$C:$C,A40))</f>
        <v>21480</v>
      </c>
      <c r="H40" s="14" t="str">
        <f>IF(A40="","",IFERROR(IF(_xlfn.MINIFS(Stock_por_Lote!$H:$H,Stock_por_Lote!$B:$B,A40,Stock_por_Lote!$J:$J,"&gt;0")=0,"S/D",_xlfn.MINIFS(Stock_por_Lote!$H:$H,Stock_por_Lote!$B:$B,A40,Stock_por_Lote!$J:$J,"&gt;0")),"S/D"))</f>
        <v>S/D</v>
      </c>
    </row>
    <row r="41" spans="1:8" ht="14.25">
      <c r="A41" t="s">
        <v>70</v>
      </c>
      <c r="B41" s="3" t="str">
        <f>IF(A41="","",IFERROR(INDEX(Movimientos!$D$2:$D$1993,MATCH(A41&amp;"ENTRADA",Movimientos!$S$2:$S$1993,0)),"-"))</f>
        <v>Silobolsa 9 pies</v>
      </c>
      <c r="C41" s="3" t="str">
        <f>IF(A41="","",IFERROR(INDEX(Movimientos!$E$2:$E$1993,MATCH(A41&amp;"ENTRADA",Movimientos!$S$2:$S$1993,0)),"-"))</f>
        <v>Silobolsa</v>
      </c>
      <c r="D41" s="3">
        <f>IF(A41="","",IFERROR(INDEX(Movimientos!$F$2:$F$1993,MATCH(A41&amp;"ENTRADA",Movimientos!$S$2:$S$1993,0)),"-"))</f>
        <v>0</v>
      </c>
      <c r="E41" s="3" t="str">
        <f>IF(A41="","",IFERROR(INDEX(Movimientos!$L$2:$L$1993,MATCH(A41&amp;"ENTRADA",Movimientos!$S$2:$S$1993,0)),"-"))</f>
        <v>unidad</v>
      </c>
      <c r="F41" s="8">
        <f>IF(A41="","",COUNTIFS(Stock_por_Lote!$B:$B,A41,Stock_por_Lote!$J:$J,"&gt;0"))</f>
        <v>0</v>
      </c>
      <c r="G41" s="9">
        <f>IF(A41="","",SUMIFS(Movimientos!$K:$K,Movimientos!$C:$C,A41))</f>
        <v>0</v>
      </c>
      <c r="H41" s="14" t="str">
        <f>IF(A41="","",IFERROR(IF(_xlfn.MINIFS(Stock_por_Lote!$H:$H,Stock_por_Lote!$B:$B,A41,Stock_por_Lote!$J:$J,"&gt;0")=0,"S/D",_xlfn.MINIFS(Stock_por_Lote!$H:$H,Stock_por_Lote!$B:$B,A41,Stock_por_Lote!$J:$J,"&gt;0")),"S/D"))</f>
        <v>S/D</v>
      </c>
    </row>
    <row r="42" spans="1:8">
      <c r="A42" t="s">
        <v>299</v>
      </c>
      <c r="B42" s="3" t="str">
        <f>IF(A42="","",IFERROR(INDEX(Movimientos!$D$2:$D$1993,MATCH(A42&amp;"ENTRADA",Movimientos!$S$2:$S$1993,0)),"-"))</f>
        <v xml:space="preserve">festuca elodie </v>
      </c>
      <c r="C42" s="3" t="str">
        <f>IF(A42="","",IFERROR(INDEX(Movimientos!$E$2:$E$1993,MATCH(A42&amp;"ENTRADA",Movimientos!$S$2:$S$1993,0)),"-"))</f>
        <v>Semilla</v>
      </c>
      <c r="D42" s="3" t="str">
        <f>IF(A42="","",IFERROR(INDEX(Movimientos!$F$2:$F$1993,MATCH(A42&amp;"ENTRADA",Movimientos!$S$2:$S$1993,0)),"-"))</f>
        <v>Festuca</v>
      </c>
      <c r="E42" s="3" t="str">
        <f>IF(A42="","",IFERROR(INDEX(Movimientos!$L$2:$L$1993,MATCH(A42&amp;"ENTRADA",Movimientos!$S$2:$S$1993,0)),"-"))</f>
        <v>kg</v>
      </c>
      <c r="F42" s="8">
        <f>IF(A42="","",COUNTIFS(Stock_por_Lote!$B:$B,A42,Stock_por_Lote!$J:$J,"&gt;0"))</f>
        <v>0</v>
      </c>
      <c r="G42" s="9">
        <f>IF(A42="","",SUMIFS(Movimientos!$K:$K,Movimientos!$C:$C,A42))</f>
        <v>0</v>
      </c>
      <c r="H42" s="14" t="str">
        <f>IF(A42="","",IFERROR(IF(_xlfn.MINIFS(Stock_por_Lote!$H:$H,Stock_por_Lote!$B:$B,A42,Stock_por_Lote!$J:$J,"&gt;0")=0,"S/D",_xlfn.MINIFS(Stock_por_Lote!$H:$H,Stock_por_Lote!$B:$B,A42,Stock_por_Lote!$J:$J,"&gt;0")),"S/D"))</f>
        <v>S/D</v>
      </c>
    </row>
    <row r="43" spans="1:8">
      <c r="A43" t="s">
        <v>304</v>
      </c>
      <c r="B43" s="3" t="str">
        <f>IF(A43="","",IFERROR(INDEX(Movimientos!$D$2:$D$1993,MATCH(A43&amp;"ENTRADA",Movimientos!$S$2:$S$1993,0)),"-"))</f>
        <v xml:space="preserve">trebol blanco zapican </v>
      </c>
      <c r="C43" s="3" t="str">
        <f>IF(A43="","",IFERROR(INDEX(Movimientos!$E$2:$E$1993,MATCH(A43&amp;"ENTRADA",Movimientos!$S$2:$S$1993,0)),"-"))</f>
        <v>Semilla</v>
      </c>
      <c r="D43" s="3" t="str">
        <f>IF(A43="","",IFERROR(INDEX(Movimientos!$F$2:$F$1993,MATCH(A43&amp;"ENTRADA",Movimientos!$S$2:$S$1993,0)),"-"))</f>
        <v>Trebol Blanco</v>
      </c>
      <c r="E43" s="3" t="str">
        <f>IF(A43="","",IFERROR(INDEX(Movimientos!$L$2:$L$1993,MATCH(A43&amp;"ENTRADA",Movimientos!$S$2:$S$1993,0)),"-"))</f>
        <v>kg</v>
      </c>
      <c r="F43" s="8">
        <f>IF(A43="","",COUNTIFS(Stock_por_Lote!$B:$B,A43,Stock_por_Lote!$J:$J,"&gt;0"))</f>
        <v>1</v>
      </c>
      <c r="G43" s="9">
        <f>IF(A43="","",SUMIFS(Movimientos!$K:$K,Movimientos!$C:$C,A43))</f>
        <v>100</v>
      </c>
      <c r="H43" s="14" t="str">
        <f>IF(A43="","",IFERROR(IF(_xlfn.MINIFS(Stock_por_Lote!$H:$H,Stock_por_Lote!$B:$B,A43,Stock_por_Lote!$J:$J,"&gt;0")=0,"S/D",_xlfn.MINIFS(Stock_por_Lote!$H:$H,Stock_por_Lote!$B:$B,A43,Stock_por_Lote!$J:$J,"&gt;0")),"S/D"))</f>
        <v>S/D</v>
      </c>
    </row>
    <row r="44" spans="1:8">
      <c r="A44" t="s">
        <v>90</v>
      </c>
      <c r="B44" s="3" t="str">
        <f>IF(A44="","",IFERROR(INDEX(Movimientos!$D$2:$D$1993,MATCH(A44&amp;"ENTRADA",Movimientos!$S$2:$S$1993,0)),"-"))</f>
        <v>Fluroxypyr meptyl 34,91% + Halauxyfen methyl 1.64% + Cloquintocet mexyl 1.57%</v>
      </c>
      <c r="C44" s="3" t="str">
        <f>IF(A44="","",IFERROR(INDEX(Movimientos!$E$2:$E$1993,MATCH(A44&amp;"ENTRADA",Movimientos!$S$2:$S$1993,0)),"-"))</f>
        <v>Herbicida</v>
      </c>
      <c r="D44" s="3" t="str">
        <f>IF(A44="","",IFERROR(INDEX(Movimientos!$F$2:$F$1993,MATCH(A44&amp;"ENTRADA",Movimientos!$S$2:$S$1993,0)),"-"))</f>
        <v>Postemergente</v>
      </c>
      <c r="E44" s="3" t="str">
        <f>IF(A44="","",IFERROR(INDEX(Movimientos!$L$2:$L$1993,MATCH(A44&amp;"ENTRADA",Movimientos!$S$2:$S$1993,0)),"-"))</f>
        <v>L</v>
      </c>
      <c r="F44" s="8">
        <f>IF(A44="","",COUNTIFS(Stock_por_Lote!$B:$B,A44,Stock_por_Lote!$J:$J,"&gt;0"))</f>
        <v>1</v>
      </c>
      <c r="G44" s="9">
        <f>IF(A44="","",SUMIFS(Movimientos!$K:$K,Movimientos!$C:$C,A44))</f>
        <v>5460</v>
      </c>
      <c r="H44" s="14">
        <f>IF(A44="","",IFERROR(IF(_xlfn.MINIFS(Stock_por_Lote!$H:$H,Stock_por_Lote!$B:$B,A44,Stock_por_Lote!$J:$J,"&gt;0")=0,"S/D",_xlfn.MINIFS(Stock_por_Lote!$H:$H,Stock_por_Lote!$B:$B,A44,Stock_por_Lote!$J:$J,"&gt;0")),"S/D"))</f>
        <v>46801</v>
      </c>
    </row>
    <row r="45" spans="1:8" ht="14.25">
      <c r="A45" t="s">
        <v>425</v>
      </c>
      <c r="B45" s="3" t="str">
        <f>IF(A45="","",IFERROR(INDEX(Movimientos!$D$2:$D$1993,MATCH(A45&amp;"ENTRADA",Movimientos!$S$2:$S$1993,0)),"-"))</f>
        <v>semilla trigo tipa</v>
      </c>
      <c r="C45" s="3" t="str">
        <f>IF(A45="","",IFERROR(INDEX(Movimientos!$E$2:$E$1993,MATCH(A45&amp;"ENTRADA",Movimientos!$S$2:$S$1993,0)),"-"))</f>
        <v>Semilla</v>
      </c>
      <c r="D45" s="3" t="str">
        <f>IF(A45="","",IFERROR(INDEX(Movimientos!$F$2:$F$1993,MATCH(A45&amp;"ENTRADA",Movimientos!$S$2:$S$1993,0)),"-"))</f>
        <v>Trigo</v>
      </c>
      <c r="E45" s="3" t="str">
        <f>IF(A45="","",IFERROR(INDEX(Movimientos!$L$2:$L$1993,MATCH(A45&amp;"ENTRADA",Movimientos!$S$2:$S$1993,0)),"-"))</f>
        <v>kg</v>
      </c>
      <c r="F45" s="8">
        <f>IF(A45="","",COUNTIFS(Stock_por_Lote!$B:$B,A45,Stock_por_Lote!$J:$J,"&gt;0"))</f>
        <v>0</v>
      </c>
      <c r="G45" s="9">
        <f>IF(A45="","",SUMIFS(Movimientos!$K:$K,Movimientos!$C:$C,A45))</f>
        <v>0</v>
      </c>
      <c r="H45" s="14" t="str">
        <f>IF(A45="","",IFERROR(IF(_xlfn.MINIFS(Stock_por_Lote!$H:$H,Stock_por_Lote!$B:$B,A45,Stock_por_Lote!$J:$J,"&gt;0")=0,"S/D",_xlfn.MINIFS(Stock_por_Lote!$H:$H,Stock_por_Lote!$B:$B,A45,Stock_por_Lote!$J:$J,"&gt;0")),"S/D"))</f>
        <v>S/D</v>
      </c>
    </row>
    <row r="46" spans="1:8">
      <c r="A46" t="s">
        <v>429</v>
      </c>
      <c r="B46" s="3" t="str">
        <f>IF(A46="","",IFERROR(INDEX(Movimientos!$D$2:$D$1993,MATCH(A46&amp;"ENTRADA",Movimientos!$S$2:$S$1993,0)),"-"))</f>
        <v>semillatrigo aromo</v>
      </c>
      <c r="C46" s="3" t="str">
        <f>IF(A46="","",IFERROR(INDEX(Movimientos!$E$2:$E$1993,MATCH(A46&amp;"ENTRADA",Movimientos!$S$2:$S$1993,0)),"-"))</f>
        <v>Semilla</v>
      </c>
      <c r="D46" s="3" t="str">
        <f>IF(A46="","",IFERROR(INDEX(Movimientos!$F$2:$F$1993,MATCH(A46&amp;"ENTRADA",Movimientos!$S$2:$S$1993,0)),"-"))</f>
        <v>Trigo</v>
      </c>
      <c r="E46" s="3" t="str">
        <f>IF(A46="","",IFERROR(INDEX(Movimientos!$L$2:$L$1993,MATCH(A46&amp;"ENTRADA",Movimientos!$S$2:$S$1993,0)),"-"))</f>
        <v>kg</v>
      </c>
      <c r="F46" s="8">
        <f>IF(A46="","",COUNTIFS(Stock_por_Lote!$B:$B,A46,Stock_por_Lote!$J:$J,"&gt;0"))</f>
        <v>0</v>
      </c>
      <c r="G46" s="9">
        <f>IF(A46="","",SUMIFS(Movimientos!$K:$K,Movimientos!$C:$C,A46))</f>
        <v>0</v>
      </c>
      <c r="H46" s="14" t="str">
        <f>IF(A46="","",IFERROR(IF(_xlfn.MINIFS(Stock_por_Lote!$H:$H,Stock_por_Lote!$B:$B,A46,Stock_por_Lote!$J:$J,"&gt;0")=0,"S/D",_xlfn.MINIFS(Stock_por_Lote!$H:$H,Stock_por_Lote!$B:$B,A46,Stock_por_Lote!$J:$J,"&gt;0")),"S/D"))</f>
        <v>S/D</v>
      </c>
    </row>
    <row r="47" spans="1:8">
      <c r="A47" t="s">
        <v>156</v>
      </c>
      <c r="B47" s="3" t="str">
        <f>IF(A47="","",IFERROR(INDEX(Movimientos!$D$2:$D$1993,MATCH(A47&amp;"ENTRADA",Movimientos!$S$2:$S$1993,0)),"-"))</f>
        <v>Nuola 300</v>
      </c>
      <c r="C47" s="3" t="str">
        <f>IF(A47="","",IFERROR(INDEX(Movimientos!$E$2:$E$1993,MATCH(A47&amp;"ENTRADA",Movimientos!$S$2:$S$1993,0)),"-"))</f>
        <v>Semilla</v>
      </c>
      <c r="D47" s="3" t="str">
        <f>IF(A47="","",IFERROR(INDEX(Movimientos!$F$2:$F$1993,MATCH(A47&amp;"ENTRADA",Movimientos!$S$2:$S$1993,0)),"-"))</f>
        <v>Colza</v>
      </c>
      <c r="E47" s="3" t="str">
        <f>IF(A47="","",IFERROR(INDEX(Movimientos!$L$2:$L$1993,MATCH(A47&amp;"ENTRADA",Movimientos!$S$2:$S$1993,0)),"-"))</f>
        <v>kg</v>
      </c>
      <c r="F47" s="8">
        <f>IF(A47="","",COUNTIFS(Stock_por_Lote!$B:$B,A47,Stock_por_Lote!$J:$J,"&gt;0"))</f>
        <v>0</v>
      </c>
      <c r="G47" s="9">
        <f>IF(A47="","",SUMIFS(Movimientos!$K:$K,Movimientos!$C:$C,A47))</f>
        <v>0</v>
      </c>
      <c r="H47" s="14" t="str">
        <f>IF(A47="","",IFERROR(IF(_xlfn.MINIFS(Stock_por_Lote!$H:$H,Stock_por_Lote!$B:$B,A47,Stock_por_Lote!$J:$J,"&gt;0")=0,"S/D",_xlfn.MINIFS(Stock_por_Lote!$H:$H,Stock_por_Lote!$B:$B,A47,Stock_por_Lote!$J:$J,"&gt;0")),"S/D"))</f>
        <v>S/D</v>
      </c>
    </row>
    <row r="48" spans="1:8" ht="14.25">
      <c r="A48" t="s">
        <v>491</v>
      </c>
      <c r="B48" s="3" t="str">
        <f>IF(A48="","",IFERROR(INDEX(Movimientos!$D$2:$D$1993,MATCH(A48&amp;"ENTRADA",Movimientos!$S$2:$S$1993,0)),"-"))</f>
        <v xml:space="preserve">Keylate Zinc Plus </v>
      </c>
      <c r="C48" s="3" t="str">
        <f>IF(A48="","",IFERROR(INDEX(Movimientos!$E$2:$E$1993,MATCH(A48&amp;"ENTRADA",Movimientos!$S$2:$S$1993,0)),"-"))</f>
        <v>Fertilizante</v>
      </c>
      <c r="D48" s="3">
        <f>IF(A48="","",IFERROR(INDEX(Movimientos!$F$2:$F$1993,MATCH(A48&amp;"ENTRADA",Movimientos!$S$2:$S$1993,0)),"-"))</f>
        <v>0</v>
      </c>
      <c r="E48" s="3" t="str">
        <f>IF(A48="","",IFERROR(INDEX(Movimientos!$L$2:$L$1993,MATCH(A48&amp;"ENTRADA",Movimientos!$S$2:$S$1993,0)),"-"))</f>
        <v>L</v>
      </c>
      <c r="F48" s="8">
        <f>IF(A48="","",COUNTIFS(Stock_por_Lote!$B:$B,A48,Stock_por_Lote!$J:$J,"&gt;0"))</f>
        <v>1</v>
      </c>
      <c r="G48" s="9">
        <f>IF(A48="","",SUMIFS(Movimientos!$K:$K,Movimientos!$C:$C,A48))</f>
        <v>12320</v>
      </c>
      <c r="H48" s="14" t="str">
        <f>IF(A48="","",IFERROR(IF(_xlfn.MINIFS(Stock_por_Lote!$H:$H,Stock_por_Lote!$B:$B,A48,Stock_por_Lote!$J:$J,"&gt;0")=0,"S/D",_xlfn.MINIFS(Stock_por_Lote!$H:$H,Stock_por_Lote!$B:$B,A48,Stock_por_Lote!$J:$J,"&gt;0")),"S/D"))</f>
        <v>S/D</v>
      </c>
    </row>
    <row r="49" spans="1:8">
      <c r="A49" t="s">
        <v>491</v>
      </c>
      <c r="B49" s="3" t="str">
        <f>IF(A49="","",IFERROR(INDEX(Movimientos!$D$2:$D$1993,MATCH(A49&amp;"ENTRADA",Movimientos!$S$2:$S$1993,0)),"-"))</f>
        <v xml:space="preserve">Keylate Zinc Plus </v>
      </c>
      <c r="C49" s="3" t="str">
        <f>IF(A49="","",IFERROR(INDEX(Movimientos!$E$2:$E$1993,MATCH(A49&amp;"ENTRADA",Movimientos!$S$2:$S$1993,0)),"-"))</f>
        <v>Fertilizante</v>
      </c>
      <c r="D49" s="3">
        <f>IF(A49="","",IFERROR(INDEX(Movimientos!$F$2:$F$1993,MATCH(A49&amp;"ENTRADA",Movimientos!$S$2:$S$1993,0)),"-"))</f>
        <v>0</v>
      </c>
      <c r="E49" s="3" t="str">
        <f>IF(A49="","",IFERROR(INDEX(Movimientos!$L$2:$L$1993,MATCH(A49&amp;"ENTRADA",Movimientos!$S$2:$S$1993,0)),"-"))</f>
        <v>L</v>
      </c>
      <c r="F49" s="8">
        <f>IF(A49="","",COUNTIFS(Stock_por_Lote!$B:$B,A49,Stock_por_Lote!$J:$J,"&gt;0"))</f>
        <v>1</v>
      </c>
      <c r="G49" s="9">
        <f>IF(A49="","",SUMIFS(Movimientos!$K:$K,Movimientos!$C:$C,A49))</f>
        <v>12320</v>
      </c>
      <c r="H49" s="14" t="str">
        <f>IF(A49="","",IFERROR(IF(_xlfn.MINIFS(Stock_por_Lote!$H:$H,Stock_por_Lote!$B:$B,A49,Stock_por_Lote!$J:$J,"&gt;0")=0,"S/D",_xlfn.MINIFS(Stock_por_Lote!$H:$H,Stock_por_Lote!$B:$B,A49,Stock_por_Lote!$J:$J,"&gt;0")),"S/D"))</f>
        <v>S/D</v>
      </c>
    </row>
    <row r="50" spans="1:8">
      <c r="A50" t="s">
        <v>514</v>
      </c>
      <c r="B50" s="3" t="str">
        <f>IF(A50="","",IFERROR(INDEX(Movimientos!$D$2:$D$1993,MATCH(A50&amp;"ENTRADA",Movimientos!$S$2:$S$1993,0)),"-"))</f>
        <v>(Protioconazol 175 g/L + Piraclostrobin 142 g/L + Bixafen 125 g/L – SC)</v>
      </c>
      <c r="C50" s="3" t="str">
        <f>IF(A50="","",IFERROR(INDEX(Movimientos!$E$2:$E$1993,MATCH(A50&amp;"ENTRADA",Movimientos!$S$2:$S$1993,0)),"-"))</f>
        <v>Fungicida</v>
      </c>
      <c r="D50" s="3">
        <f>IF(A50="","",IFERROR(INDEX(Movimientos!$F$2:$F$1993,MATCH(A50&amp;"ENTRADA",Movimientos!$S$2:$S$1993,0)),"-"))</f>
        <v>0</v>
      </c>
      <c r="E50" s="3" t="str">
        <f>IF(A50="","",IFERROR(INDEX(Movimientos!$L$2:$L$1993,MATCH(A50&amp;"ENTRADA",Movimientos!$S$2:$S$1993,0)),"-"))</f>
        <v>L</v>
      </c>
      <c r="F50" s="8">
        <f>IF(A50="","",COUNTIFS(Stock_por_Lote!$B:$B,A50,Stock_por_Lote!$J:$J,"&gt;0"))</f>
        <v>2</v>
      </c>
      <c r="G50" s="9">
        <f>IF(A50="","",SUMIFS(Movimientos!$K:$K,Movimientos!$C:$C,A50))</f>
        <v>575</v>
      </c>
      <c r="H50" s="14">
        <f>IF(A50="","",IFERROR(IF(_xlfn.MINIFS(Stock_por_Lote!$H:$H,Stock_por_Lote!$B:$B,A50,Stock_por_Lote!$J:$J,"&gt;0")=0,"S/D",_xlfn.MINIFS(Stock_por_Lote!$H:$H,Stock_por_Lote!$B:$B,A50,Stock_por_Lote!$J:$J,"&gt;0")),"S/D"))</f>
        <v>46569</v>
      </c>
    </row>
    <row r="51" spans="1:8" ht="14.25">
      <c r="A51" t="s">
        <v>524</v>
      </c>
      <c r="B51" s="3" t="str">
        <f>IF(A51="","",IFERROR(INDEX(Movimientos!$D$2:$D$1993,MATCH(A51&amp;"ENTRADA",Movimientos!$S$2:$S$1993,0)),"-"))</f>
        <v>Protioconazol 175g/l trifloxistrobin 150g/l bixafen 125g/l</v>
      </c>
      <c r="C51" s="3" t="str">
        <f>IF(A51="","",IFERROR(INDEX(Movimientos!$E$2:$E$1993,MATCH(A51&amp;"ENTRADA",Movimientos!$S$2:$S$1993,0)),"-"))</f>
        <v>Fungicida</v>
      </c>
      <c r="D51" s="3">
        <f>IF(A51="","",IFERROR(INDEX(Movimientos!$F$2:$F$1993,MATCH(A51&amp;"ENTRADA",Movimientos!$S$2:$S$1993,0)),"-"))</f>
        <v>0</v>
      </c>
      <c r="E51" s="3" t="str">
        <f>IF(A51="","",IFERROR(INDEX(Movimientos!$L$2:$L$1993,MATCH(A51&amp;"ENTRADA",Movimientos!$S$2:$S$1993,0)),"-"))</f>
        <v>L</v>
      </c>
      <c r="F51" s="8">
        <f>IF(A51="","",COUNTIFS(Stock_por_Lote!$B:$B,A51,Stock_por_Lote!$J:$J,"&gt;0"))</f>
        <v>1</v>
      </c>
      <c r="G51" s="9">
        <f>IF(A51="","",SUMIFS(Movimientos!$K:$K,Movimientos!$C:$C,A51))</f>
        <v>0</v>
      </c>
      <c r="H51" s="14">
        <f>IF(A51="","",IFERROR(IF(_xlfn.MINIFS(Stock_por_Lote!$H:$H,Stock_por_Lote!$B:$B,A51,Stock_por_Lote!$J:$J,"&gt;0")=0,"S/D",_xlfn.MINIFS(Stock_por_Lote!$H:$H,Stock_por_Lote!$B:$B,A51,Stock_por_Lote!$J:$J,"&gt;0")),"S/D"))</f>
        <v>46584</v>
      </c>
    </row>
    <row r="52" spans="1:8" ht="14.25">
      <c r="A52" t="s">
        <v>534</v>
      </c>
      <c r="B52" s="3" t="str">
        <f>IF(A52="","",IFERROR(INDEX(Movimientos!$D$2:$D$1993,MATCH(A52&amp;"ENTRADA",Movimientos!$S$2:$S$1993,0)),"-"))</f>
        <v>Florasulam 20,0% Halauxyfen metil 20,85% Equivalente ácido Halauxyfen metil 20,0%</v>
      </c>
      <c r="C52" s="3" t="str">
        <f>IF(A52="","",IFERROR(INDEX(Movimientos!$E$2:$E$1993,MATCH(A52&amp;"ENTRADA",Movimientos!$S$2:$S$1993,0)),"-"))</f>
        <v>Herbicida</v>
      </c>
      <c r="D52" s="3" t="str">
        <f>IF(A52="","",IFERROR(INDEX(Movimientos!$F$2:$F$1993,MATCH(A52&amp;"ENTRADA",Movimientos!$S$2:$S$1993,0)),"-"))</f>
        <v>Postemergente</v>
      </c>
      <c r="E52" s="3" t="str">
        <f>IF(A52="","",IFERROR(INDEX(Movimientos!$L$2:$L$1993,MATCH(A52&amp;"ENTRADA",Movimientos!$S$2:$S$1993,0)),"-"))</f>
        <v>kg</v>
      </c>
      <c r="F52" s="8">
        <f>IF(A52="","",COUNTIFS(Stock_por_Lote!$B:$B,A52,Stock_por_Lote!$J:$J,"&gt;0"))</f>
        <v>0</v>
      </c>
      <c r="G52" s="9">
        <f>IF(A52="","",SUMIFS(Movimientos!$K:$K,Movimientos!$C:$C,A52))</f>
        <v>0</v>
      </c>
      <c r="H52" s="14" t="str">
        <f>IF(A52="","",IFERROR(IF(_xlfn.MINIFS(Stock_por_Lote!$H:$H,Stock_por_Lote!$B:$B,A52,Stock_por_Lote!$J:$J,"&gt;0")=0,"S/D",_xlfn.MINIFS(Stock_por_Lote!$H:$H,Stock_por_Lote!$B:$B,A52,Stock_por_Lote!$J:$J,"&gt;0")),"S/D"))</f>
        <v>S/D</v>
      </c>
    </row>
    <row r="53" spans="1:8" ht="14.25">
      <c r="A53" t="s">
        <v>556</v>
      </c>
      <c r="B53" s="3" t="str">
        <f>IF(A53="","",IFERROR(INDEX(Movimientos!$D$2:$D$1993,MATCH(A53&amp;"ENTRADA",Movimientos!$S$2:$S$1993,0)),"-"))</f>
        <v>cebada osiris</v>
      </c>
      <c r="C53" s="3" t="str">
        <f>IF(A53="","",IFERROR(INDEX(Movimientos!$E$2:$E$1993,MATCH(A53&amp;"ENTRADA",Movimientos!$S$2:$S$1993,0)),"-"))</f>
        <v>Semilla</v>
      </c>
      <c r="D53" s="3" t="str">
        <f>IF(A53="","",IFERROR(INDEX(Movimientos!$F$2:$F$1993,MATCH(A53&amp;"ENTRADA",Movimientos!$S$2:$S$1993,0)),"-"))</f>
        <v>Cebada</v>
      </c>
      <c r="E53" s="3" t="str">
        <f>IF(A53="","",IFERROR(INDEX(Movimientos!$L$2:$L$1993,MATCH(A53&amp;"ENTRADA",Movimientos!$S$2:$S$1993,0)),"-"))</f>
        <v>kg</v>
      </c>
      <c r="F53" s="8">
        <f>IF(A53="","",COUNTIFS(Stock_por_Lote!$B:$B,A53,Stock_por_Lote!$J:$J,"&gt;0"))</f>
        <v>1</v>
      </c>
      <c r="G53" s="9">
        <f>IF(A53="","",SUMIFS(Movimientos!$K:$K,Movimientos!$C:$C,A53))</f>
        <v>1700</v>
      </c>
      <c r="H53" s="14" t="str">
        <f>IF(A53="","",IFERROR(IF(_xlfn.MINIFS(Stock_por_Lote!$H:$H,Stock_por_Lote!$B:$B,A53,Stock_por_Lote!$J:$J,"&gt;0")=0,"S/D",_xlfn.MINIFS(Stock_por_Lote!$H:$H,Stock_por_Lote!$B:$B,A53,Stock_por_Lote!$J:$J,"&gt;0")),"S/D"))</f>
        <v>S/D</v>
      </c>
    </row>
    <row r="54" spans="1:8" ht="14.25">
      <c r="A54" t="s">
        <v>576</v>
      </c>
      <c r="B54" s="3" t="str">
        <f>IF(A54="","",IFERROR(INDEX(Movimientos!$D$2:$D$1993,MATCH(A54&amp;"ENTRADA",Movimientos!$S$2:$S$1993,0)),"-"))</f>
        <v>Ácidos Húmicos / L-Triptofano puro / L- Metionina pura / Acreciactiv</v>
      </c>
      <c r="C54" s="3" t="str">
        <f>IF(A54="","",IFERROR(INDEX(Movimientos!$E$2:$E$1993,MATCH(A54&amp;"ENTRADA",Movimientos!$S$2:$S$1993,0)),"-"))</f>
        <v xml:space="preserve">Bioestimulante </v>
      </c>
      <c r="D54" s="3">
        <f>IF(A54="","",IFERROR(INDEX(Movimientos!$F$2:$F$1993,MATCH(A54&amp;"ENTRADA",Movimientos!$S$2:$S$1993,0)),"-"))</f>
        <v>0</v>
      </c>
      <c r="E54" s="3" t="str">
        <f>IF(A54="","",IFERROR(INDEX(Movimientos!$L$2:$L$1993,MATCH(A54&amp;"ENTRADA",Movimientos!$S$2:$S$1993,0)),"-"))</f>
        <v>L</v>
      </c>
      <c r="F54" s="8">
        <f>IF(A54="","",COUNTIFS(Stock_por_Lote!$B:$B,A54,Stock_por_Lote!$J:$J,"&gt;0"))</f>
        <v>0</v>
      </c>
      <c r="G54" s="9">
        <f>IF(A54="","",SUMIFS(Movimientos!$K:$K,Movimientos!$C:$C,A54))</f>
        <v>0</v>
      </c>
      <c r="H54" s="14" t="str">
        <f>IF(A54="","",IFERROR(IF(_xlfn.MINIFS(Stock_por_Lote!$H:$H,Stock_por_Lote!$B:$B,A54,Stock_por_Lote!$J:$J,"&gt;0")=0,"S/D",_xlfn.MINIFS(Stock_por_Lote!$H:$H,Stock_por_Lote!$B:$B,A54,Stock_por_Lote!$J:$J,"&gt;0")),"S/D"))</f>
        <v>S/D</v>
      </c>
    </row>
    <row r="55" spans="1:8" ht="14.25">
      <c r="A55" t="s">
        <v>580</v>
      </c>
      <c r="B55" s="3">
        <f>IF(A55="","",IFERROR(INDEX(Movimientos!$D$2:$D$1993,MATCH(A55&amp;"ENTRADA",Movimientos!$S$2:$S$1993,0)),"-"))</f>
        <v>0</v>
      </c>
      <c r="C55" s="3">
        <f>IF(A55="","",IFERROR(INDEX(Movimientos!$E$2:$E$1993,MATCH(A55&amp;"ENTRADA",Movimientos!$S$2:$S$1993,0)),"-"))</f>
        <v>0</v>
      </c>
      <c r="D55" s="3">
        <f>IF(A55="","",IFERROR(INDEX(Movimientos!$F$2:$F$1993,MATCH(A55&amp;"ENTRADA",Movimientos!$S$2:$S$1993,0)),"-"))</f>
        <v>0</v>
      </c>
      <c r="E55" s="3" t="str">
        <f>IF(A55="","",IFERROR(INDEX(Movimientos!$L$2:$L$1993,MATCH(A55&amp;"ENTRADA",Movimientos!$S$2:$S$1993,0)),"-"))</f>
        <v>L</v>
      </c>
      <c r="F55" s="8">
        <f>IF(A55="","",COUNTIFS(Stock_por_Lote!$B:$B,A55,Stock_por_Lote!$J:$J,"&gt;0"))</f>
        <v>0</v>
      </c>
      <c r="G55" s="9">
        <f>IF(A55="","",SUMIFS(Movimientos!$K:$K,Movimientos!$C:$C,A55))</f>
        <v>0</v>
      </c>
      <c r="H55" s="14" t="str">
        <f>IF(A55="","",IFERROR(IF(_xlfn.MINIFS(Stock_por_Lote!$H:$H,Stock_por_Lote!$B:$B,A55,Stock_por_Lote!$J:$J,"&gt;0")=0,"S/D",_xlfn.MINIFS(Stock_por_Lote!$H:$H,Stock_por_Lote!$B:$B,A55,Stock_por_Lote!$J:$J,"&gt;0")),"S/D"))</f>
        <v>S/D</v>
      </c>
    </row>
    <row r="56" spans="1:8" ht="14.25">
      <c r="A56" t="s">
        <v>527</v>
      </c>
      <c r="B56" s="3" t="str">
        <f>IF(A56="","",IFERROR(INDEX(Movimientos!$D$2:$D$1993,MATCH(A56&amp;"ENTRADA",Movimientos!$S$2:$S$1993,0)),"-"))</f>
        <v xml:space="preserve">fertilizante foliar </v>
      </c>
      <c r="C56" s="3" t="str">
        <f>IF(A56="","",IFERROR(INDEX(Movimientos!$E$2:$E$1993,MATCH(A56&amp;"ENTRADA",Movimientos!$S$2:$S$1993,0)),"-"))</f>
        <v>Fertilizante</v>
      </c>
      <c r="D56" s="3">
        <f>IF(A56="","",IFERROR(INDEX(Movimientos!$F$2:$F$1993,MATCH(A56&amp;"ENTRADA",Movimientos!$S$2:$S$1993,0)),"-"))</f>
        <v>0</v>
      </c>
      <c r="E56" s="3" t="str">
        <f>IF(A56="","",IFERROR(INDEX(Movimientos!$L$2:$L$1993,MATCH(A56&amp;"ENTRADA",Movimientos!$S$2:$S$1993,0)),"-"))</f>
        <v>kg</v>
      </c>
      <c r="F56" s="8">
        <f>IF(A56="","",COUNTIFS(Stock_por_Lote!$B:$B,A56,Stock_por_Lote!$J:$J,"&gt;0"))</f>
        <v>0</v>
      </c>
      <c r="G56" s="9">
        <f>IF(A56="","",SUMIFS(Movimientos!$K:$K,Movimientos!$C:$C,A56))</f>
        <v>0</v>
      </c>
      <c r="H56" s="14" t="str">
        <f>IF(A56="","",IFERROR(IF(_xlfn.MINIFS(Stock_por_Lote!$H:$H,Stock_por_Lote!$B:$B,A56,Stock_por_Lote!$J:$J,"&gt;0")=0,"S/D",_xlfn.MINIFS(Stock_por_Lote!$H:$H,Stock_por_Lote!$B:$B,A56,Stock_por_Lote!$J:$J,"&gt;0")),"S/D"))</f>
        <v>S/D</v>
      </c>
    </row>
    <row r="57" spans="1:8" ht="14.25">
      <c r="A57" t="s">
        <v>775</v>
      </c>
      <c r="B57" s="3" t="str">
        <f>IF(A57="","",IFERROR(INDEX(Movimientos!$D$2:$D$1993,MATCH(A57&amp;"ENTRADA",Movimientos!$S$2:$S$1993,0)),"-"))</f>
        <v>Biciclopirona</v>
      </c>
      <c r="C57" s="3" t="str">
        <f>IF(A57="","",IFERROR(INDEX(Movimientos!$E$2:$E$1993,MATCH(A57&amp;"ENTRADA",Movimientos!$S$2:$S$1993,0)),"-"))</f>
        <v>Herbicida</v>
      </c>
      <c r="D57" s="3" t="str">
        <f>IF(A57="","",IFERROR(INDEX(Movimientos!$F$2:$F$1993,MATCH(A57&amp;"ENTRADA",Movimientos!$S$2:$S$1993,0)),"-"))</f>
        <v>Preemergente</v>
      </c>
      <c r="E57" s="3" t="str">
        <f>IF(A57="","",IFERROR(INDEX(Movimientos!$L$2:$L$1993,MATCH(A57&amp;"ENTRADA",Movimientos!$S$2:$S$1993,0)),"-"))</f>
        <v>L</v>
      </c>
      <c r="F57" s="8">
        <f>IF(A57="","",COUNTIFS(Stock_por_Lote!$B:$B,A57,Stock_por_Lote!$J:$J,"&gt;0"))</f>
        <v>1</v>
      </c>
      <c r="G57" s="9">
        <f>IF(A57="","",SUMIFS(Movimientos!$K:$K,Movimientos!$C:$C,A57))</f>
        <v>1500</v>
      </c>
      <c r="H57" s="14">
        <f>IF(A57="","",IFERROR(IF(_xlfn.MINIFS(Stock_por_Lote!$H:$H,Stock_por_Lote!$B:$B,A57,Stock_por_Lote!$J:$J,"&gt;0")=0,"S/D",_xlfn.MINIFS(Stock_por_Lote!$H:$H,Stock_por_Lote!$B:$B,A57,Stock_por_Lote!$J:$J,"&gt;0")),"S/D"))</f>
        <v>46865</v>
      </c>
    </row>
    <row r="58" spans="1:8" ht="14.25">
      <c r="A58" t="s">
        <v>2363</v>
      </c>
      <c r="B58" s="3" t="str">
        <f>IF(A58="","",IFERROR(INDEX(Movimientos!$D$2:$D$1993,MATCH(A58&amp;"ENTRADA",Movimientos!$S$2:$S$1993,0)),"-"))</f>
        <v>-</v>
      </c>
      <c r="C58" s="3" t="str">
        <f>IF(A58="","",IFERROR(INDEX(Movimientos!$E$2:$E$1993,MATCH(A58&amp;"ENTRADA",Movimientos!$S$2:$S$1993,0)),"-"))</f>
        <v>-</v>
      </c>
      <c r="D58" s="3" t="str">
        <f>IF(A58="","",IFERROR(INDEX(Movimientos!$F$2:$F$1993,MATCH(A58&amp;"ENTRADA",Movimientos!$S$2:$S$1993,0)),"-"))</f>
        <v>-</v>
      </c>
      <c r="E58" s="3" t="str">
        <f>IF(A58="","",IFERROR(INDEX(Movimientos!$L$2:$L$1993,MATCH(A58&amp;"ENTRADA",Movimientos!$S$2:$S$1993,0)),"-"))</f>
        <v>-</v>
      </c>
      <c r="F58" s="8">
        <f>IF(A58="","",COUNTIFS(Stock_por_Lote!$B:$B,A58,Stock_por_Lote!$J:$J,"&gt;0"))</f>
        <v>0</v>
      </c>
      <c r="G58" s="9">
        <f>IF(A58="","",SUMIFS(Movimientos!$K:$K,Movimientos!$C:$C,A58))</f>
        <v>0</v>
      </c>
      <c r="H58" s="14" t="str">
        <f>IF(A58="","",IFERROR(IF(_xlfn.MINIFS(Stock_por_Lote!$H:$H,Stock_por_Lote!$B:$B,A58,Stock_por_Lote!$J:$J,"&gt;0")=0,"S/D",_xlfn.MINIFS(Stock_por_Lote!$H:$H,Stock_por_Lote!$B:$B,A58,Stock_por_Lote!$J:$J,"&gt;0")),"S/D"))</f>
        <v>S/D</v>
      </c>
    </row>
    <row r="59" spans="1:8" ht="14.25">
      <c r="A59" t="s">
        <v>261</v>
      </c>
      <c r="B59" s="3" t="str">
        <f>IF(A59="","",IFERROR(INDEX(Movimientos!$D$2:$D$1993,MATCH(A59&amp;"ENTRADA",Movimientos!$S$2:$S$1993,0)),"-"))</f>
        <v>Dactylis inia perseo cert +ins</v>
      </c>
      <c r="C59" s="3" t="str">
        <f>IF(A59="","",IFERROR(INDEX(Movimientos!$E$2:$E$1993,MATCH(A59&amp;"ENTRADA",Movimientos!$S$2:$S$1993,0)),"-"))</f>
        <v>Semilla</v>
      </c>
      <c r="D59" s="3" t="str">
        <f>IF(A59="","",IFERROR(INDEX(Movimientos!$F$2:$F$1993,MATCH(A59&amp;"ENTRADA",Movimientos!$S$2:$S$1993,0)),"-"))</f>
        <v>Dactylis</v>
      </c>
      <c r="E59" s="3" t="str">
        <f>IF(A59="","",IFERROR(INDEX(Movimientos!$L$2:$L$1993,MATCH(A59&amp;"ENTRADA",Movimientos!$S$2:$S$1993,0)),"-"))</f>
        <v>kg</v>
      </c>
      <c r="F59" s="8">
        <f>IF(A59="","",COUNTIFS(Stock_por_Lote!$B:$B,A59,Stock_por_Lote!$J:$J,"&gt;0"))</f>
        <v>0</v>
      </c>
      <c r="G59" s="9">
        <f>IF(A59="","",SUMIFS(Movimientos!$K:$K,Movimientos!$C:$C,A59))</f>
        <v>0</v>
      </c>
      <c r="H59" s="14" t="str">
        <f>IF(A59="","",IFERROR(IF(_xlfn.MINIFS(Stock_por_Lote!$H:$H,Stock_por_Lote!$B:$B,A59,Stock_por_Lote!$J:$J,"&gt;0")=0,"S/D",_xlfn.MINIFS(Stock_por_Lote!$H:$H,Stock_por_Lote!$B:$B,A59,Stock_por_Lote!$J:$J,"&gt;0")),"S/D"))</f>
        <v>S/D</v>
      </c>
    </row>
    <row r="60" spans="1:8" ht="14.25">
      <c r="A60" t="s">
        <v>750</v>
      </c>
      <c r="B60" s="3" t="str">
        <f>IF(A60="","",IFERROR(INDEX(Movimientos!$D$2:$D$1993,MATCH(A60&amp;"ENTRADA",Movimientos!$S$2:$S$1993,0)),"-"))</f>
        <v>Fluroxipir-Meptil 480g/l</v>
      </c>
      <c r="C60" s="3" t="str">
        <f>IF(A60="","",IFERROR(INDEX(Movimientos!$E$2:$E$1993,MATCH(A60&amp;"ENTRADA",Movimientos!$S$2:$S$1993,0)),"-"))</f>
        <v>Herbicida</v>
      </c>
      <c r="D60" s="3">
        <f>IF(A60="","",IFERROR(INDEX(Movimientos!$F$2:$F$1993,MATCH(A60&amp;"ENTRADA",Movimientos!$S$2:$S$1993,0)),"-"))</f>
        <v>0</v>
      </c>
      <c r="E60" s="3" t="str">
        <f>IF(A60="","",IFERROR(INDEX(Movimientos!$L$2:$L$1993,MATCH(A60&amp;"ENTRADA",Movimientos!$S$2:$S$1993,0)),"-"))</f>
        <v>L</v>
      </c>
      <c r="F60" s="8">
        <f>IF(A60="","",COUNTIFS(Stock_por_Lote!$B:$B,A60,Stock_por_Lote!$J:$J,"&gt;0"))</f>
        <v>0</v>
      </c>
      <c r="G60" s="9">
        <f>IF(A60="","",SUMIFS(Movimientos!$K:$K,Movimientos!$C:$C,A60))</f>
        <v>130</v>
      </c>
      <c r="H60" s="14" t="str">
        <f>IF(A60="","",IFERROR(IF(_xlfn.MINIFS(Stock_por_Lote!$H:$H,Stock_por_Lote!$B:$B,A60,Stock_por_Lote!$J:$J,"&gt;0")=0,"S/D",_xlfn.MINIFS(Stock_por_Lote!$H:$H,Stock_por_Lote!$B:$B,A60,Stock_por_Lote!$J:$J,"&gt;0")),"S/D"))</f>
        <v>S/D</v>
      </c>
    </row>
    <row r="61" spans="1:8" ht="14.25">
      <c r="A61" s="62" t="s">
        <v>656</v>
      </c>
      <c r="B61" s="3" t="str">
        <f>IF(A61="","",IFERROR(INDEX(Movimientos!$D$2:$D$1993,MATCH(A61&amp;"ENTRADA",Movimientos!$S$2:$S$1993,0)),"-"))</f>
        <v>alcohol láurico etixolado 32.7 %</v>
      </c>
      <c r="C61" s="3" t="str">
        <f>IF(A61="","",IFERROR(INDEX(Movimientos!$E$2:$E$1993,MATCH(A61&amp;"ENTRADA",Movimientos!$S$2:$S$1993,0)),"-"))</f>
        <v>Coadyuvante</v>
      </c>
      <c r="D61" s="3">
        <f>IF(A61="","",IFERROR(INDEX(Movimientos!$F$2:$F$1993,MATCH(A61&amp;"ENTRADA",Movimientos!$S$2:$S$1993,0)),"-"))</f>
        <v>0</v>
      </c>
      <c r="E61" s="3" t="str">
        <f>IF(A61="","",IFERROR(INDEX(Movimientos!$L$2:$L$1993,MATCH(A61&amp;"ENTRADA",Movimientos!$S$2:$S$1993,0)),"-"))</f>
        <v>L</v>
      </c>
      <c r="F61" s="8">
        <f>IF(A61="","",COUNTIFS(Stock_por_Lote!$B:$B,A61,Stock_por_Lote!$J:$J,"&gt;0"))</f>
        <v>1</v>
      </c>
      <c r="G61" s="9">
        <f>IF(A61="","",SUMIFS(Movimientos!$K:$K,Movimientos!$C:$C,A61))</f>
        <v>525</v>
      </c>
      <c r="H61" s="14" t="str">
        <f>IF(A61="","",IFERROR(IF(_xlfn.MINIFS(Stock_por_Lote!$H:$H,Stock_por_Lote!$B:$B,A61,Stock_por_Lote!$J:$J,"&gt;0")=0,"S/D",_xlfn.MINIFS(Stock_por_Lote!$H:$H,Stock_por_Lote!$B:$B,A61,Stock_por_Lote!$J:$J,"&gt;0")),"S/D"))</f>
        <v>S/D</v>
      </c>
    </row>
    <row r="62" spans="1:8" ht="14.25">
      <c r="A62" t="s">
        <v>256</v>
      </c>
      <c r="B62" s="3" t="str">
        <f>IF(A62="","",IFERROR(INDEX(Movimientos!$D$2:$D$1993,MATCH(A62&amp;"ENTRADA",Movimientos!$S$2:$S$1993,0)),"-"))</f>
        <v>Lotus Nilo Ht Gen Protect Plus</v>
      </c>
      <c r="C62" s="3" t="str">
        <f>IF(A62="","",IFERROR(INDEX(Movimientos!$E$2:$E$1993,MATCH(A62&amp;"ENTRADA",Movimientos!$S$2:$S$1993,0)),"-"))</f>
        <v>Semilla</v>
      </c>
      <c r="D62" s="3" t="str">
        <f>IF(A62="","",IFERROR(INDEX(Movimientos!$F$2:$F$1993,MATCH(A62&amp;"ENTRADA",Movimientos!$S$2:$S$1993,0)),"-"))</f>
        <v>Lotus</v>
      </c>
      <c r="E62" s="3" t="str">
        <f>IF(A62="","",IFERROR(INDEX(Movimientos!$L$2:$L$1993,MATCH(A62&amp;"ENTRADA",Movimientos!$S$2:$S$1993,0)),"-"))</f>
        <v>kg</v>
      </c>
      <c r="F62" s="8">
        <f>IF(A62="","",COUNTIFS(Stock_por_Lote!$B:$B,A62,Stock_por_Lote!$J:$J,"&gt;0"))</f>
        <v>0</v>
      </c>
      <c r="G62" s="9">
        <f>IF(A62="","",SUMIFS(Movimientos!$K:$K,Movimientos!$C:$C,A62))</f>
        <v>0</v>
      </c>
      <c r="H62" s="14" t="str">
        <f>IF(A62="","",IFERROR(IF(_xlfn.MINIFS(Stock_por_Lote!$H:$H,Stock_por_Lote!$B:$B,A62,Stock_por_Lote!$J:$J,"&gt;0")=0,"S/D",_xlfn.MINIFS(Stock_por_Lote!$H:$H,Stock_por_Lote!$B:$B,A62,Stock_por_Lote!$J:$J,"&gt;0")),"S/D"))</f>
        <v>S/D</v>
      </c>
    </row>
    <row r="63" spans="1:8" ht="14.25">
      <c r="A63" t="s">
        <v>2364</v>
      </c>
      <c r="B63" s="3" t="str">
        <f>IF(A63="","",IFERROR(INDEX(Movimientos!$D$2:$D$1993,MATCH(A63&amp;"ENTRADA",Movimientos!$S$2:$S$1993,0)),"-"))</f>
        <v>-</v>
      </c>
      <c r="C63" s="3" t="str">
        <f>IF(A63="","",IFERROR(INDEX(Movimientos!$E$2:$E$1993,MATCH(A63&amp;"ENTRADA",Movimientos!$S$2:$S$1993,0)),"-"))</f>
        <v>-</v>
      </c>
      <c r="D63" s="3" t="str">
        <f>IF(A63="","",IFERROR(INDEX(Movimientos!$F$2:$F$1993,MATCH(A63&amp;"ENTRADA",Movimientos!$S$2:$S$1993,0)),"-"))</f>
        <v>-</v>
      </c>
      <c r="E63" s="3" t="str">
        <f>IF(A63="","",IFERROR(INDEX(Movimientos!$L$2:$L$1993,MATCH(A63&amp;"ENTRADA",Movimientos!$S$2:$S$1993,0)),"-"))</f>
        <v>-</v>
      </c>
      <c r="F63" s="8">
        <f>IF(A63="","",COUNTIFS(Stock_por_Lote!$B:$B,A63,Stock_por_Lote!$J:$J,"&gt;0"))</f>
        <v>0</v>
      </c>
      <c r="G63" s="9">
        <f>IF(A63="","",SUMIFS(Movimientos!$K:$K,Movimientos!$C:$C,A63))</f>
        <v>0</v>
      </c>
      <c r="H63" s="14" t="str">
        <f>IF(A63="","",IFERROR(IF(_xlfn.MINIFS(Stock_por_Lote!$H:$H,Stock_por_Lote!$B:$B,A63,Stock_por_Lote!$J:$J,"&gt;0")=0,"S/D",_xlfn.MINIFS(Stock_por_Lote!$H:$H,Stock_por_Lote!$B:$B,A63,Stock_por_Lote!$J:$J,"&gt;0")),"S/D"))</f>
        <v>S/D</v>
      </c>
    </row>
    <row r="64" spans="1:8" ht="14.25">
      <c r="A64" t="s">
        <v>943</v>
      </c>
      <c r="B64" s="3" t="str">
        <f>IF(A64="","",IFERROR(INDEX(Movimientos!$D$2:$D$1993,MATCH(A64&amp;"ENTRADA",Movimientos!$S$2:$S$1993,0)),"-"))</f>
        <v>Adepidyn 75 g/l — Solatenol 50 g/l — Propiconazole 250 g/l</v>
      </c>
      <c r="C64" s="3" t="str">
        <f>IF(A64="","",IFERROR(INDEX(Movimientos!$E$2:$E$1993,MATCH(A64&amp;"ENTRADA",Movimientos!$S$2:$S$1993,0)),"-"))</f>
        <v>Fungicida</v>
      </c>
      <c r="D64" s="3">
        <f>IF(A64="","",IFERROR(INDEX(Movimientos!$F$2:$F$1993,MATCH(A64&amp;"ENTRADA",Movimientos!$S$2:$S$1993,0)),"-"))</f>
        <v>0</v>
      </c>
      <c r="E64" s="3" t="str">
        <f>IF(A64="","",IFERROR(INDEX(Movimientos!$L$2:$L$1993,MATCH(A64&amp;"ENTRADA",Movimientos!$S$2:$S$1993,0)),"-"))</f>
        <v>Pack</v>
      </c>
      <c r="F64" s="8">
        <f>IF(A64="","",COUNTIFS(Stock_por_Lote!$B:$B,A64,Stock_por_Lote!$J:$J,"&gt;0"))</f>
        <v>0</v>
      </c>
      <c r="G64" s="9">
        <f>IF(A64="","",SUMIFS(Movimientos!$K:$K,Movimientos!$C:$C,A64))</f>
        <v>154</v>
      </c>
      <c r="H64" s="14" t="str">
        <f>IF(A64="","",IFERROR(IF(_xlfn.MINIFS(Stock_por_Lote!$H:$H,Stock_por_Lote!$B:$B,A64,Stock_por_Lote!$J:$J,"&gt;0")=0,"S/D",_xlfn.MINIFS(Stock_por_Lote!$H:$H,Stock_por_Lote!$B:$B,A64,Stock_por_Lote!$J:$J,"&gt;0")),"S/D"))</f>
        <v>S/D</v>
      </c>
    </row>
    <row r="65" spans="1:8" ht="14.25">
      <c r="A65" t="s">
        <v>782</v>
      </c>
      <c r="B65" s="3" t="str">
        <f>IF(A65="","",IFERROR(INDEX(Movimientos!$D$2:$D$1993,MATCH(A65&amp;"ENTRADA",Movimientos!$S$2:$S$1993,0)),"-"))</f>
        <v>pyroxasulfone 85%</v>
      </c>
      <c r="C65" s="3" t="str">
        <f>IF(A65="","",IFERROR(INDEX(Movimientos!$E$2:$E$1993,MATCH(A65&amp;"ENTRADA",Movimientos!$S$2:$S$1993,0)),"-"))</f>
        <v>Herbicida</v>
      </c>
      <c r="D65" s="3" t="str">
        <f>IF(A65="","",IFERROR(INDEX(Movimientos!$F$2:$F$1993,MATCH(A65&amp;"ENTRADA",Movimientos!$S$2:$S$1993,0)),"-"))</f>
        <v>Preemergente</v>
      </c>
      <c r="E65" s="3" t="str">
        <f>IF(A65="","",IFERROR(INDEX(Movimientos!$L$2:$L$1993,MATCH(A65&amp;"ENTRADA",Movimientos!$S$2:$S$1993,0)),"-"))</f>
        <v>kg</v>
      </c>
      <c r="F65" s="8">
        <f>IF(A65="","",COUNTIFS(Stock_por_Lote!$B:$B,A65,Stock_por_Lote!$J:$J,"&gt;0"))</f>
        <v>0</v>
      </c>
      <c r="G65" s="9">
        <f>IF(A65="","",SUMIFS(Movimientos!$K:$K,Movimientos!$C:$C,A65))</f>
        <v>2496</v>
      </c>
      <c r="H65" s="14" t="str">
        <f>IF(A65="","",IFERROR(IF(_xlfn.MINIFS(Stock_por_Lote!$H:$H,Stock_por_Lote!$B:$B,A65,Stock_por_Lote!$J:$J,"&gt;0")=0,"S/D",_xlfn.MINIFS(Stock_por_Lote!$H:$H,Stock_por_Lote!$B:$B,A65,Stock_por_Lote!$J:$J,"&gt;0")),"S/D"))</f>
        <v>S/D</v>
      </c>
    </row>
    <row r="66" spans="1:8" ht="14.25">
      <c r="A66" t="s">
        <v>2365</v>
      </c>
      <c r="B66" s="3" t="str">
        <f>IF(A66="","",IFERROR(INDEX(Movimientos!$D$2:$D$1993,MATCH(A66&amp;"ENTRADA",Movimientos!$S$2:$S$1993,0)),"-"))</f>
        <v>-</v>
      </c>
      <c r="C66" s="3" t="str">
        <f>IF(A66="","",IFERROR(INDEX(Movimientos!$E$2:$E$1993,MATCH(A66&amp;"ENTRADA",Movimientos!$S$2:$S$1993,0)),"-"))</f>
        <v>-</v>
      </c>
      <c r="D66" s="3" t="str">
        <f>IF(A66="","",IFERROR(INDEX(Movimientos!$F$2:$F$1993,MATCH(A66&amp;"ENTRADA",Movimientos!$S$2:$S$1993,0)),"-"))</f>
        <v>-</v>
      </c>
      <c r="E66" s="3" t="str">
        <f>IF(A66="","",IFERROR(INDEX(Movimientos!$L$2:$L$1993,MATCH(A66&amp;"ENTRADA",Movimientos!$S$2:$S$1993,0)),"-"))</f>
        <v>-</v>
      </c>
      <c r="F66" s="8">
        <f>IF(A66="","",COUNTIFS(Stock_por_Lote!$B:$B,A66,Stock_por_Lote!$J:$J,"&gt;0"))</f>
        <v>0</v>
      </c>
      <c r="G66" s="9">
        <f>IF(A66="","",SUMIFS(Movimientos!$K:$K,Movimientos!$C:$C,A66))</f>
        <v>0</v>
      </c>
      <c r="H66" s="14" t="str">
        <f>IF(A66="","",IFERROR(IF(_xlfn.MINIFS(Stock_por_Lote!$H:$H,Stock_por_Lote!$B:$B,A66,Stock_por_Lote!$J:$J,"&gt;0")=0,"S/D",_xlfn.MINIFS(Stock_por_Lote!$H:$H,Stock_por_Lote!$B:$B,A66,Stock_por_Lote!$J:$J,"&gt;0")),"S/D"))</f>
        <v>S/D</v>
      </c>
    </row>
    <row r="67" spans="1:8" ht="14.25">
      <c r="A67" t="s">
        <v>785</v>
      </c>
      <c r="B67" s="3" t="str">
        <f>IF(A67="","",IFERROR(INDEX(Movimientos!$D$2:$D$1993,MATCH(A67&amp;"ENTRADA",Movimientos!$S$2:$S$1993,0)),"-"))</f>
        <v>urea 11.33 % acido fosforico 27.13%</v>
      </c>
      <c r="C67" s="3" t="str">
        <f>IF(A67="","",IFERROR(INDEX(Movimientos!$E$2:$E$1993,MATCH(A67&amp;"ENTRADA",Movimientos!$S$2:$S$1993,0)),"-"))</f>
        <v>Coadyuvante</v>
      </c>
      <c r="D67" s="3">
        <f>IF(A67="","",IFERROR(INDEX(Movimientos!$F$2:$F$1993,MATCH(A67&amp;"ENTRADA",Movimientos!$S$2:$S$1993,0)),"-"))</f>
        <v>0</v>
      </c>
      <c r="E67" s="3" t="str">
        <f>IF(A67="","",IFERROR(INDEX(Movimientos!$L$2:$L$1993,MATCH(A67&amp;"ENTRADA",Movimientos!$S$2:$S$1993,0)),"-"))</f>
        <v>L</v>
      </c>
      <c r="F67" s="8">
        <f>IF(A67="","",COUNTIFS(Stock_por_Lote!$B:$B,A67,Stock_por_Lote!$J:$J,"&gt;0"))</f>
        <v>0</v>
      </c>
      <c r="G67" s="9">
        <f>IF(A67="","",SUMIFS(Movimientos!$K:$K,Movimientos!$C:$C,A67))</f>
        <v>1000</v>
      </c>
      <c r="H67" s="14" t="str">
        <f>IF(A67="","",IFERROR(IF(_xlfn.MINIFS(Stock_por_Lote!$H:$H,Stock_por_Lote!$B:$B,A67,Stock_por_Lote!$J:$J,"&gt;0")=0,"S/D",_xlfn.MINIFS(Stock_por_Lote!$H:$H,Stock_por_Lote!$B:$B,A67,Stock_por_Lote!$J:$J,"&gt;0")),"S/D"))</f>
        <v>S/D</v>
      </c>
    </row>
    <row r="68" spans="1:8" ht="14.25">
      <c r="A68" t="s">
        <v>779</v>
      </c>
      <c r="B68" s="3" t="str">
        <f>IF(A68="","",IFERROR(INDEX(Movimientos!$D$2:$D$1993,MATCH(A68&amp;"ENTRADA",Movimientos!$S$2:$S$1993,0)),"-"))</f>
        <v xml:space="preserve">safuflenacil + trifludimoxazin </v>
      </c>
      <c r="C68" s="3" t="str">
        <f>IF(A68="","",IFERROR(INDEX(Movimientos!$E$2:$E$1993,MATCH(A68&amp;"ENTRADA",Movimientos!$S$2:$S$1993,0)),"-"))</f>
        <v>Herbicida</v>
      </c>
      <c r="D68" s="3">
        <f>IF(A68="","",IFERROR(INDEX(Movimientos!$F$2:$F$1993,MATCH(A68&amp;"ENTRADA",Movimientos!$S$2:$S$1993,0)),"-"))</f>
        <v>0</v>
      </c>
      <c r="E68" s="3" t="str">
        <f>IF(A68="","",IFERROR(INDEX(Movimientos!$L$2:$L$1993,MATCH(A68&amp;"ENTRADA",Movimientos!$S$2:$S$1993,0)),"-"))</f>
        <v>L</v>
      </c>
      <c r="F68" s="8">
        <f>IF(A68="","",COUNTIFS(Stock_por_Lote!$B:$B,A68,Stock_por_Lote!$J:$J,"&gt;0"))</f>
        <v>0</v>
      </c>
      <c r="G68" s="9">
        <f>IF(A68="","",SUMIFS(Movimientos!$K:$K,Movimientos!$C:$C,A68))</f>
        <v>900</v>
      </c>
      <c r="H68" s="14" t="str">
        <f>IF(A68="","",IFERROR(IF(_xlfn.MINIFS(Stock_por_Lote!$H:$H,Stock_por_Lote!$B:$B,A68,Stock_por_Lote!$J:$J,"&gt;0")=0,"S/D",_xlfn.MINIFS(Stock_por_Lote!$H:$H,Stock_por_Lote!$B:$B,A68,Stock_por_Lote!$J:$J,"&gt;0")),"S/D"))</f>
        <v>S/D</v>
      </c>
    </row>
    <row r="69" spans="1:8" ht="14.25">
      <c r="A69" t="s">
        <v>2366</v>
      </c>
      <c r="B69" s="3" t="str">
        <f>IF(A69="","",IFERROR(INDEX(Movimientos!$D$2:$D$1993,MATCH(A69&amp;"ENTRADA",Movimientos!$S$2:$S$1993,0)),"-"))</f>
        <v>-</v>
      </c>
      <c r="C69" s="3" t="str">
        <f>IF(A69="","",IFERROR(INDEX(Movimientos!$E$2:$E$1993,MATCH(A69&amp;"ENTRADA",Movimientos!$S$2:$S$1993,0)),"-"))</f>
        <v>-</v>
      </c>
      <c r="D69" s="3" t="str">
        <f>IF(A69="","",IFERROR(INDEX(Movimientos!$F$2:$F$1993,MATCH(A69&amp;"ENTRADA",Movimientos!$S$2:$S$1993,0)),"-"))</f>
        <v>-</v>
      </c>
      <c r="E69" s="3" t="str">
        <f>IF(A69="","",IFERROR(INDEX(Movimientos!$L$2:$L$1993,MATCH(A69&amp;"ENTRADA",Movimientos!$S$2:$S$1993,0)),"-"))</f>
        <v>-</v>
      </c>
      <c r="F69" s="8">
        <f>IF(A69="","",COUNTIFS(Stock_por_Lote!$B:$B,A69,Stock_por_Lote!$J:$J,"&gt;0"))</f>
        <v>0</v>
      </c>
      <c r="G69" s="9">
        <f>IF(A69="","",SUMIFS(Movimientos!$K:$K,Movimientos!$C:$C,A69))</f>
        <v>0</v>
      </c>
      <c r="H69" s="14" t="str">
        <f>IF(A69="","",IFERROR(IF(_xlfn.MINIFS(Stock_por_Lote!$H:$H,Stock_por_Lote!$B:$B,A69,Stock_por_Lote!$J:$J,"&gt;0")=0,"S/D",_xlfn.MINIFS(Stock_por_Lote!$H:$H,Stock_por_Lote!$B:$B,A69,Stock_por_Lote!$J:$J,"&gt;0")),"S/D"))</f>
        <v>S/D</v>
      </c>
    </row>
    <row r="70" spans="1:8" ht="14.25">
      <c r="A70" t="s">
        <v>910</v>
      </c>
      <c r="B70" s="3" t="str">
        <f>IF(A70="","",IFERROR(INDEX(Movimientos!$D$2:$D$1993,MATCH(A70&amp;"ENTRADA",Movimientos!$S$2:$S$1993,0)),"-"))</f>
        <v xml:space="preserve">semilla comprada maíz </v>
      </c>
      <c r="C70" s="3" t="str">
        <f>IF(A70="","",IFERROR(INDEX(Movimientos!$E$2:$E$1993,MATCH(A70&amp;"ENTRADA",Movimientos!$S$2:$S$1993,0)),"-"))</f>
        <v>Semilla</v>
      </c>
      <c r="D70" s="3" t="str">
        <f>IF(A70="","",IFERROR(INDEX(Movimientos!$F$2:$F$1993,MATCH(A70&amp;"ENTRADA",Movimientos!$S$2:$S$1993,0)),"-"))</f>
        <v>Maíz</v>
      </c>
      <c r="E70" s="3" t="str">
        <f>IF(A70="","",IFERROR(INDEX(Movimientos!$L$2:$L$1993,MATCH(A70&amp;"ENTRADA",Movimientos!$S$2:$S$1993,0)),"-"))</f>
        <v>bolsa</v>
      </c>
      <c r="F70" s="8">
        <f>IF(A70="","",COUNTIFS(Stock_por_Lote!$B:$B,A70,Stock_por_Lote!$J:$J,"&gt;0"))</f>
        <v>0</v>
      </c>
      <c r="G70" s="9">
        <f>IF(A70="","",SUMIFS(Movimientos!$K:$K,Movimientos!$C:$C,A70))</f>
        <v>26</v>
      </c>
      <c r="H70" s="14" t="str">
        <f>IF(A70="","",IFERROR(IF(_xlfn.MINIFS(Stock_por_Lote!$H:$H,Stock_por_Lote!$B:$B,A70,Stock_por_Lote!$J:$J,"&gt;0")=0,"S/D",_xlfn.MINIFS(Stock_por_Lote!$H:$H,Stock_por_Lote!$B:$B,A70,Stock_por_Lote!$J:$J,"&gt;0")),"S/D"))</f>
        <v>S/D</v>
      </c>
    </row>
    <row r="71" spans="1:8" ht="14.25">
      <c r="A71" t="s">
        <v>950</v>
      </c>
      <c r="B71" s="3" t="str">
        <f>IF(A71="","",IFERROR(INDEX(Movimientos!$D$2:$D$1993,MATCH(A71&amp;"ENTRADA",Movimientos!$S$2:$S$1993,0)),"-"))</f>
        <v>refugio Dk 72-72 RR2</v>
      </c>
      <c r="C71" s="3" t="str">
        <f>IF(A71="","",IFERROR(INDEX(Movimientos!$E$2:$E$1993,MATCH(A71&amp;"ENTRADA",Movimientos!$S$2:$S$1993,0)),"-"))</f>
        <v>Semilla</v>
      </c>
      <c r="D71" s="3" t="str">
        <f>IF(A71="","",IFERROR(INDEX(Movimientos!$F$2:$F$1993,MATCH(A71&amp;"ENTRADA",Movimientos!$S$2:$S$1993,0)),"-"))</f>
        <v>Maíz</v>
      </c>
      <c r="E71" s="3" t="str">
        <f>IF(A71="","",IFERROR(INDEX(Movimientos!$L$2:$L$1993,MATCH(A71&amp;"ENTRADA",Movimientos!$S$2:$S$1993,0)),"-"))</f>
        <v>bolsa</v>
      </c>
      <c r="F71" s="8">
        <f>IF(A71="","",COUNTIFS(Stock_por_Lote!$B:$B,A71,Stock_por_Lote!$J:$J,"&gt;0"))</f>
        <v>0</v>
      </c>
      <c r="G71" s="9">
        <f>IF(A71="","",SUMIFS(Movimientos!$K:$K,Movimientos!$C:$C,A71))</f>
        <v>11</v>
      </c>
      <c r="H71" s="14" t="str">
        <f>IF(A71="","",IFERROR(IF(_xlfn.MINIFS(Stock_por_Lote!$H:$H,Stock_por_Lote!$B:$B,A71,Stock_por_Lote!$J:$J,"&gt;0")=0,"S/D",_xlfn.MINIFS(Stock_por_Lote!$H:$H,Stock_por_Lote!$B:$B,A71,Stock_por_Lote!$J:$J,"&gt;0")),"S/D"))</f>
        <v>S/D</v>
      </c>
    </row>
    <row r="72" spans="1:8" ht="14.25">
      <c r="A72" t="s">
        <v>2367</v>
      </c>
      <c r="B72" s="3" t="str">
        <f>IF(A72="","",IFERROR(INDEX(Movimientos!$D$2:$D$1993,MATCH(A72&amp;"ENTRADA",Movimientos!$S$2:$S$1993,0)),"-"))</f>
        <v>-</v>
      </c>
      <c r="C72" s="3" t="str">
        <f>IF(A72="","",IFERROR(INDEX(Movimientos!$E$2:$E$1993,MATCH(A72&amp;"ENTRADA",Movimientos!$S$2:$S$1993,0)),"-"))</f>
        <v>-</v>
      </c>
      <c r="D72" s="3" t="str">
        <f>IF(A72="","",IFERROR(INDEX(Movimientos!$F$2:$F$1993,MATCH(A72&amp;"ENTRADA",Movimientos!$S$2:$S$1993,0)),"-"))</f>
        <v>-</v>
      </c>
      <c r="E72" s="3" t="str">
        <f>IF(A72="","",IFERROR(INDEX(Movimientos!$L$2:$L$1993,MATCH(A72&amp;"ENTRADA",Movimientos!$S$2:$S$1993,0)),"-"))</f>
        <v>-</v>
      </c>
      <c r="F72" s="8">
        <f>IF(A72="","",COUNTIFS(Stock_por_Lote!$B:$B,A72,Stock_por_Lote!$J:$J,"&gt;0"))</f>
        <v>0</v>
      </c>
      <c r="G72" s="9">
        <f>IF(A72="","",SUMIFS(Movimientos!$K:$K,Movimientos!$C:$C,A72))</f>
        <v>0</v>
      </c>
      <c r="H72" s="14" t="str">
        <f>IF(A72="","",IFERROR(IF(_xlfn.MINIFS(Stock_por_Lote!$H:$H,Stock_por_Lote!$B:$B,A72,Stock_por_Lote!$J:$J,"&gt;0")=0,"S/D",_xlfn.MINIFS(Stock_por_Lote!$H:$H,Stock_por_Lote!$B:$B,A72,Stock_por_Lote!$J:$J,"&gt;0")),"S/D"))</f>
        <v>S/D</v>
      </c>
    </row>
    <row r="73" spans="1:8" ht="14.25">
      <c r="A73" t="s">
        <v>990</v>
      </c>
      <c r="B73" s="3" t="str">
        <f>IF(A73="","",IFERROR(INDEX(Movimientos!$D$2:$D$1993,MATCH(A73&amp;"ENTRADA",Movimientos!$S$2:$S$1993,0)),"-"))</f>
        <v>maiz p2123 paioner</v>
      </c>
      <c r="C73" s="3" t="str">
        <f>IF(A73="","",IFERROR(INDEX(Movimientos!$E$2:$E$1993,MATCH(A73&amp;"ENTRADA",Movimientos!$S$2:$S$1993,0)),"-"))</f>
        <v>Semilla</v>
      </c>
      <c r="D73" s="3" t="str">
        <f>IF(A73="","",IFERROR(INDEX(Movimientos!$F$2:$F$1993,MATCH(A73&amp;"ENTRADA",Movimientos!$S$2:$S$1993,0)),"-"))</f>
        <v>Maíz</v>
      </c>
      <c r="E73" s="3" t="str">
        <f>IF(A73="","",IFERROR(INDEX(Movimientos!$L$2:$L$1993,MATCH(A73&amp;"ENTRADA",Movimientos!$S$2:$S$1993,0)),"-"))</f>
        <v>bolsa</v>
      </c>
      <c r="F73" s="8">
        <f>IF(A73="","",COUNTIFS(Stock_por_Lote!$B:$B,A73,Stock_por_Lote!$J:$J,"&gt;0"))</f>
        <v>0</v>
      </c>
      <c r="G73" s="9">
        <f>IF(A73="","",SUMIFS(Movimientos!$K:$K,Movimientos!$C:$C,A73))</f>
        <v>12</v>
      </c>
      <c r="H73" s="14" t="str">
        <f>IF(A73="","",IFERROR(IF(_xlfn.MINIFS(Stock_por_Lote!$H:$H,Stock_por_Lote!$B:$B,A73,Stock_por_Lote!$J:$J,"&gt;0")=0,"S/D",_xlfn.MINIFS(Stock_por_Lote!$H:$H,Stock_por_Lote!$B:$B,A73,Stock_por_Lote!$J:$J,"&gt;0")),"S/D"))</f>
        <v>S/D</v>
      </c>
    </row>
    <row r="74" spans="1:8" ht="14.25">
      <c r="A74" t="s">
        <v>757</v>
      </c>
      <c r="B74" s="3" t="str">
        <f>IF(A74="","",IFERROR(INDEX(Movimientos!$D$2:$D$1993,MATCH(A74&amp;"ENTRADA",Movimientos!$S$2:$S$1993,0)),"-"))</f>
        <v xml:space="preserve">sem maiz illinois 2773 trecepta Maiz 1era </v>
      </c>
      <c r="C74" s="3" t="str">
        <f>IF(A74="","",IFERROR(INDEX(Movimientos!$E$2:$E$1993,MATCH(A74&amp;"ENTRADA",Movimientos!$S$2:$S$1993,0)),"-"))</f>
        <v>Semilla</v>
      </c>
      <c r="D74" s="3" t="str">
        <f>IF(A74="","",IFERROR(INDEX(Movimientos!$F$2:$F$1993,MATCH(A74&amp;"ENTRADA",Movimientos!$S$2:$S$1993,0)),"-"))</f>
        <v>Maíz</v>
      </c>
      <c r="E74" s="3" t="str">
        <f>IF(A74="","",IFERROR(INDEX(Movimientos!$L$2:$L$1993,MATCH(A74&amp;"ENTRADA",Movimientos!$S$2:$S$1993,0)),"-"))</f>
        <v>bolsa</v>
      </c>
      <c r="F74" s="8">
        <f>IF(A74="","",COUNTIFS(Stock_por_Lote!$B:$B,A74,Stock_por_Lote!$J:$J,"&gt;0"))</f>
        <v>0</v>
      </c>
      <c r="G74" s="9">
        <f>IF(A74="","",SUMIFS(Movimientos!$K:$K,Movimientos!$C:$C,A74))</f>
        <v>0</v>
      </c>
      <c r="H74" s="14" t="str">
        <f>IF(A74="","",IFERROR(IF(_xlfn.MINIFS(Stock_por_Lote!$H:$H,Stock_por_Lote!$B:$B,A74,Stock_por_Lote!$J:$J,"&gt;0")=0,"S/D",_xlfn.MINIFS(Stock_por_Lote!$H:$H,Stock_por_Lote!$B:$B,A74,Stock_por_Lote!$J:$J,"&gt;0")),"S/D"))</f>
        <v>S/D</v>
      </c>
    </row>
    <row r="75" spans="1:8" ht="14.25">
      <c r="A75" t="s">
        <v>2368</v>
      </c>
      <c r="B75" s="3" t="str">
        <f>IF(A75="","",IFERROR(INDEX(Movimientos!$D$2:$D$1993,MATCH(A75&amp;"ENTRADA",Movimientos!$S$2:$S$1993,0)),"-"))</f>
        <v>-</v>
      </c>
      <c r="C75" s="3" t="str">
        <f>IF(A75="","",IFERROR(INDEX(Movimientos!$E$2:$E$1993,MATCH(A75&amp;"ENTRADA",Movimientos!$S$2:$S$1993,0)),"-"))</f>
        <v>-</v>
      </c>
      <c r="D75" s="3" t="str">
        <f>IF(A75="","",IFERROR(INDEX(Movimientos!$F$2:$F$1993,MATCH(A75&amp;"ENTRADA",Movimientos!$S$2:$S$1993,0)),"-"))</f>
        <v>-</v>
      </c>
      <c r="E75" s="3" t="str">
        <f>IF(A75="","",IFERROR(INDEX(Movimientos!$L$2:$L$1993,MATCH(A75&amp;"ENTRADA",Movimientos!$S$2:$S$1993,0)),"-"))</f>
        <v>-</v>
      </c>
      <c r="F75" s="8">
        <f>IF(A75="","",COUNTIFS(Stock_por_Lote!$B:$B,A75,Stock_por_Lote!$J:$J,"&gt;0"))</f>
        <v>0</v>
      </c>
      <c r="G75" s="9">
        <f>IF(A75="","",SUMIFS(Movimientos!$K:$K,Movimientos!$C:$C,A75))</f>
        <v>0</v>
      </c>
      <c r="H75" s="14" t="str">
        <f>IF(A75="","",IFERROR(IF(_xlfn.MINIFS(Stock_por_Lote!$H:$H,Stock_por_Lote!$B:$B,A75,Stock_por_Lote!$J:$J,"&gt;0")=0,"S/D",_xlfn.MINIFS(Stock_por_Lote!$H:$H,Stock_por_Lote!$B:$B,A75,Stock_por_Lote!$J:$J,"&gt;0")),"S/D"))</f>
        <v>S/D</v>
      </c>
    </row>
    <row r="76" spans="1:8" ht="14.25">
      <c r="A76" t="s">
        <v>634</v>
      </c>
      <c r="B76" s="3" t="str">
        <f>IF(A76="","",IFERROR(INDEX(Movimientos!$D$2:$D$1993,MATCH(A76&amp;"ENTRADA",Movimientos!$S$2:$S$1993,0)),"-"))</f>
        <v xml:space="preserve">semilla comprada maíz </v>
      </c>
      <c r="C76" s="3" t="str">
        <f>IF(A76="","",IFERROR(INDEX(Movimientos!$E$2:$E$1993,MATCH(A76&amp;"ENTRADA",Movimientos!$S$2:$S$1993,0)),"-"))</f>
        <v>Semilla</v>
      </c>
      <c r="D76" s="3" t="str">
        <f>IF(A76="","",IFERROR(INDEX(Movimientos!$F$2:$F$1993,MATCH(A76&amp;"ENTRADA",Movimientos!$S$2:$S$1993,0)),"-"))</f>
        <v>Maíz</v>
      </c>
      <c r="E76" s="3" t="str">
        <f>IF(A76="","",IFERROR(INDEX(Movimientos!$L$2:$L$1993,MATCH(A76&amp;"ENTRADA",Movimientos!$S$2:$S$1993,0)),"-"))</f>
        <v>bolsa</v>
      </c>
      <c r="F76" s="8">
        <f>IF(A76="","",COUNTIFS(Stock_por_Lote!$B:$B,A76,Stock_por_Lote!$J:$J,"&gt;0"))</f>
        <v>1</v>
      </c>
      <c r="G76" s="9">
        <f>IF(A76="","",SUMIFS(Movimientos!$K:$K,Movimientos!$C:$C,A76))</f>
        <v>5</v>
      </c>
      <c r="H76" s="14" t="str">
        <f>IF(A76="","",IFERROR(IF(_xlfn.MINIFS(Stock_por_Lote!$H:$H,Stock_por_Lote!$B:$B,A76,Stock_por_Lote!$J:$J,"&gt;0")=0,"S/D",_xlfn.MINIFS(Stock_por_Lote!$H:$H,Stock_por_Lote!$B:$B,A76,Stock_por_Lote!$J:$J,"&gt;0")),"S/D"))</f>
        <v>S/D</v>
      </c>
    </row>
    <row r="77" spans="1:8" ht="14.25">
      <c r="A77" t="s">
        <v>636</v>
      </c>
      <c r="B77" s="3" t="str">
        <f>IF(A77="","",IFERROR(INDEX(Movimientos!$D$2:$D$1993,MATCH(A77&amp;"ENTRADA",Movimientos!$S$2:$S$1993,0)),"-"))</f>
        <v xml:space="preserve">semilla comprada maíz </v>
      </c>
      <c r="C77" s="3" t="str">
        <f>IF(A77="","",IFERROR(INDEX(Movimientos!$E$2:$E$1993,MATCH(A77&amp;"ENTRADA",Movimientos!$S$2:$S$1993,0)),"-"))</f>
        <v>Semilla</v>
      </c>
      <c r="D77" s="3" t="str">
        <f>IF(A77="","",IFERROR(INDEX(Movimientos!$F$2:$F$1993,MATCH(A77&amp;"ENTRADA",Movimientos!$S$2:$S$1993,0)),"-"))</f>
        <v>Maíz</v>
      </c>
      <c r="E77" s="3" t="str">
        <f>IF(A77="","",IFERROR(INDEX(Movimientos!$L$2:$L$1993,MATCH(A77&amp;"ENTRADA",Movimientos!$S$2:$S$1993,0)),"-"))</f>
        <v>bolsa</v>
      </c>
      <c r="F77" s="8">
        <f>IF(A77="","",COUNTIFS(Stock_por_Lote!$B:$B,A77,Stock_por_Lote!$J:$J,"&gt;0"))</f>
        <v>1</v>
      </c>
      <c r="G77" s="9">
        <f>IF(A77="","",SUMIFS(Movimientos!$K:$K,Movimientos!$C:$C,A77))</f>
        <v>380</v>
      </c>
      <c r="H77" s="14" t="str">
        <f>IF(A77="","",IFERROR(IF(_xlfn.MINIFS(Stock_por_Lote!$H:$H,Stock_por_Lote!$B:$B,A77,Stock_por_Lote!$J:$J,"&gt;0")=0,"S/D",_xlfn.MINIFS(Stock_por_Lote!$H:$H,Stock_por_Lote!$B:$B,A77,Stock_por_Lote!$J:$J,"&gt;0")),"S/D"))</f>
        <v>S/D</v>
      </c>
    </row>
    <row r="78" spans="1:8" ht="14.25">
      <c r="A78" t="s">
        <v>766</v>
      </c>
      <c r="B78" s="3" t="str">
        <f>IF(A78="","",IFERROR(INDEX(Movimientos!$D$2:$D$1993,MATCH(A78&amp;"ENTRADA",Movimientos!$S$2:$S$1993,0)),"-"))</f>
        <v xml:space="preserve">semilla maiz nk 842 viptera Maiz 1era </v>
      </c>
      <c r="C78" s="3" t="str">
        <f>IF(A78="","",IFERROR(INDEX(Movimientos!$E$2:$E$1993,MATCH(A78&amp;"ENTRADA",Movimientos!$S$2:$S$1993,0)),"-"))</f>
        <v>Semilla</v>
      </c>
      <c r="D78" s="3" t="str">
        <f>IF(A78="","",IFERROR(INDEX(Movimientos!$F$2:$F$1993,MATCH(A78&amp;"ENTRADA",Movimientos!$S$2:$S$1993,0)),"-"))</f>
        <v>Maíz</v>
      </c>
      <c r="E78" s="3" t="str">
        <f>IF(A78="","",IFERROR(INDEX(Movimientos!$L$2:$L$1993,MATCH(A78&amp;"ENTRADA",Movimientos!$S$2:$S$1993,0)),"-"))</f>
        <v>bolsa</v>
      </c>
      <c r="F78" s="8">
        <f>IF(A78="","",COUNTIFS(Stock_por_Lote!$B:$B,A78,Stock_por_Lote!$J:$J,"&gt;0"))</f>
        <v>1</v>
      </c>
      <c r="G78" s="9">
        <f>IF(A78="","",SUMIFS(Movimientos!$K:$K,Movimientos!$C:$C,A78))</f>
        <v>446</v>
      </c>
      <c r="H78" s="14" t="str">
        <f>IF(A78="","",IFERROR(IF(_xlfn.MINIFS(Stock_por_Lote!$H:$H,Stock_por_Lote!$B:$B,A78,Stock_por_Lote!$J:$J,"&gt;0")=0,"S/D",_xlfn.MINIFS(Stock_por_Lote!$H:$H,Stock_por_Lote!$B:$B,A78,Stock_por_Lote!$J:$J,"&gt;0")),"S/D"))</f>
        <v>S/D</v>
      </c>
    </row>
    <row r="79" spans="1:8" ht="14.25">
      <c r="A79" t="s">
        <v>629</v>
      </c>
      <c r="B79" s="3" t="str">
        <f>IF(A79="","",IFERROR(INDEX(Movimientos!$D$2:$D$1993,MATCH(A79&amp;"ENTRADA",Movimientos!$S$2:$S$1993,0)),"-"))</f>
        <v xml:space="preserve">semilla comprada maíz </v>
      </c>
      <c r="C79" s="3" t="str">
        <f>IF(A79="","",IFERROR(INDEX(Movimientos!$E$2:$E$1993,MATCH(A79&amp;"ENTRADA",Movimientos!$S$2:$S$1993,0)),"-"))</f>
        <v>Semilla</v>
      </c>
      <c r="D79" s="3" t="str">
        <f>IF(A79="","",IFERROR(INDEX(Movimientos!$F$2:$F$1993,MATCH(A79&amp;"ENTRADA",Movimientos!$S$2:$S$1993,0)),"-"))</f>
        <v>Maíz</v>
      </c>
      <c r="E79" s="3" t="str">
        <f>IF(A79="","",IFERROR(INDEX(Movimientos!$L$2:$L$1993,MATCH(A79&amp;"ENTRADA",Movimientos!$S$2:$S$1993,0)),"-"))</f>
        <v>bolsa</v>
      </c>
      <c r="F79" s="8">
        <f>IF(A79="","",COUNTIFS(Stock_por_Lote!$B:$B,A79,Stock_por_Lote!$J:$J,"&gt;0"))</f>
        <v>0</v>
      </c>
      <c r="G79" s="9">
        <f>IF(A79="","",SUMIFS(Movimientos!$K:$K,Movimientos!$C:$C,A79))</f>
        <v>632</v>
      </c>
      <c r="H79" s="14" t="str">
        <f>IF(A79="","",IFERROR(IF(_xlfn.MINIFS(Stock_por_Lote!$H:$H,Stock_por_Lote!$B:$B,A79,Stock_por_Lote!$J:$J,"&gt;0")=0,"S/D",_xlfn.MINIFS(Stock_por_Lote!$H:$H,Stock_por_Lote!$B:$B,A79,Stock_por_Lote!$J:$J,"&gt;0")),"S/D"))</f>
        <v>S/D</v>
      </c>
    </row>
    <row r="80" spans="1:8" ht="14.25">
      <c r="A80" t="s">
        <v>933</v>
      </c>
      <c r="B80" s="3" t="str">
        <f>IF(A80="","",IFERROR(INDEX(Movimientos!$D$2:$D$1993,MATCH(A80&amp;"ENTRADA",Movimientos!$S$2:$S$1993,0)),"-"))</f>
        <v>epoxiconazol 37.5g/l metconazol 27.5g/l</v>
      </c>
      <c r="C80" s="3" t="str">
        <f>IF(A80="","",IFERROR(INDEX(Movimientos!$E$2:$E$1993,MATCH(A80&amp;"ENTRADA",Movimientos!$S$2:$S$1993,0)),"-"))</f>
        <v>Fungicida</v>
      </c>
      <c r="D80" s="3">
        <f>IF(A80="","",IFERROR(INDEX(Movimientos!$F$2:$F$1993,MATCH(A80&amp;"ENTRADA",Movimientos!$S$2:$S$1993,0)),"-"))</f>
        <v>0</v>
      </c>
      <c r="E80" s="3" t="str">
        <f>IF(A80="","",IFERROR(INDEX(Movimientos!$L$2:$L$1993,MATCH(A80&amp;"ENTRADA",Movimientos!$S$2:$S$1993,0)),"-"))</f>
        <v>L</v>
      </c>
      <c r="F80" s="8">
        <f>IF(A80="","",COUNTIFS(Stock_por_Lote!$B:$B,A80,Stock_por_Lote!$J:$J,"&gt;0"))</f>
        <v>0</v>
      </c>
      <c r="G80" s="9">
        <f>IF(A80="","",SUMIFS(Movimientos!$K:$K,Movimientos!$C:$C,A80))</f>
        <v>0</v>
      </c>
      <c r="H80" s="14" t="str">
        <f>IF(A80="","",IFERROR(IF(_xlfn.MINIFS(Stock_por_Lote!$H:$H,Stock_por_Lote!$B:$B,A80,Stock_por_Lote!$J:$J,"&gt;0")=0,"S/D",_xlfn.MINIFS(Stock_por_Lote!$H:$H,Stock_por_Lote!$B:$B,A80,Stock_por_Lote!$J:$J,"&gt;0")),"S/D"))</f>
        <v>S/D</v>
      </c>
    </row>
    <row r="81" spans="1:8" ht="14.25">
      <c r="A81" t="s">
        <v>940</v>
      </c>
      <c r="B81" s="3" t="str">
        <f>IF(A81="","",IFERROR(INDEX(Movimientos!$D$2:$D$1993,MATCH(A81&amp;"ENTRADA",Movimientos!$S$2:$S$1993,0)),"-"))</f>
        <v>Dibromuro de diquat</v>
      </c>
      <c r="C81" s="3" t="str">
        <f>IF(A81="","",IFERROR(INDEX(Movimientos!$E$2:$E$1993,MATCH(A81&amp;"ENTRADA",Movimientos!$S$2:$S$1993,0)),"-"))</f>
        <v>Herbicida</v>
      </c>
      <c r="D81" s="3" t="str">
        <f>IF(A81="","",IFERROR(INDEX(Movimientos!$F$2:$F$1993,MATCH(A81&amp;"ENTRADA",Movimientos!$S$2:$S$1993,0)),"-"))</f>
        <v>Postemergente</v>
      </c>
      <c r="E81" s="3" t="str">
        <f>IF(A81="","",IFERROR(INDEX(Movimientos!$L$2:$L$1993,MATCH(A81&amp;"ENTRADA",Movimientos!$S$2:$S$1993,0)),"-"))</f>
        <v>L</v>
      </c>
      <c r="F81" s="8">
        <f>IF(A81="","",COUNTIFS(Stock_por_Lote!$B:$B,A81,Stock_por_Lote!$J:$J,"&gt;0"))</f>
        <v>0</v>
      </c>
      <c r="G81" s="9">
        <f>IF(A81="","",SUMIFS(Movimientos!$K:$K,Movimientos!$C:$C,A81))</f>
        <v>0</v>
      </c>
      <c r="H81" s="14" t="str">
        <f>IF(A81="","",IFERROR(IF(_xlfn.MINIFS(Stock_por_Lote!$H:$H,Stock_por_Lote!$B:$B,A81,Stock_por_Lote!$J:$J,"&gt;0")=0,"S/D",_xlfn.MINIFS(Stock_por_Lote!$H:$H,Stock_por_Lote!$B:$B,A81,Stock_por_Lote!$J:$J,"&gt;0")),"S/D"))</f>
        <v>S/D</v>
      </c>
    </row>
    <row r="82" spans="1:8" ht="14.25">
      <c r="A82" t="s">
        <v>788</v>
      </c>
      <c r="B82" s="3" t="str">
        <f>IF(A82="","",IFERROR(INDEX(Movimientos!$D$2:$D$1993,MATCH(A82&amp;"ENTRADA",Movimientos!$S$2:$S$1993,0)),"-"))</f>
        <v>flumioxazim 480g/l</v>
      </c>
      <c r="C82" s="3" t="str">
        <f>IF(A82="","",IFERROR(INDEX(Movimientos!$E$2:$E$1993,MATCH(A82&amp;"ENTRADA",Movimientos!$S$2:$S$1993,0)),"-"))</f>
        <v>Herbicida</v>
      </c>
      <c r="D82" s="3" t="str">
        <f>IF(A82="","",IFERROR(INDEX(Movimientos!$F$2:$F$1993,MATCH(A82&amp;"ENTRADA",Movimientos!$S$2:$S$1993,0)),"-"))</f>
        <v>Preemergente</v>
      </c>
      <c r="E82" s="3" t="str">
        <f>IF(A82="","",IFERROR(INDEX(Movimientos!$L$2:$L$1993,MATCH(A82&amp;"ENTRADA",Movimientos!$S$2:$S$1993,0)),"-"))</f>
        <v>L</v>
      </c>
      <c r="F82" s="8">
        <f>IF(A82="","",COUNTIFS(Stock_por_Lote!$B:$B,A82,Stock_por_Lote!$J:$J,"&gt;0"))</f>
        <v>0</v>
      </c>
      <c r="G82" s="9">
        <f>IF(A82="","",SUMIFS(Movimientos!$K:$K,Movimientos!$C:$C,A82))</f>
        <v>1100</v>
      </c>
      <c r="H82" s="14" t="str">
        <f>IF(A82="","",IFERROR(IF(_xlfn.MINIFS(Stock_por_Lote!$H:$H,Stock_por_Lote!$B:$B,A82,Stock_por_Lote!$J:$J,"&gt;0")=0,"S/D",_xlfn.MINIFS(Stock_por_Lote!$H:$H,Stock_por_Lote!$B:$B,A82,Stock_por_Lote!$J:$J,"&gt;0")),"S/D"))</f>
        <v>S/D</v>
      </c>
    </row>
    <row r="83" spans="1:8" ht="14.25">
      <c r="A83" s="63"/>
      <c r="B83" s="3" t="str">
        <f>IF(A83="","",IFERROR(INDEX(Movimientos!$D$2:$D$1993,MATCH(A83&amp;"ENTRADA",Movimientos!$S$2:$S$1993,0)),"-"))</f>
        <v/>
      </c>
      <c r="C83" s="3" t="str">
        <f>IF(A83="","",IFERROR(INDEX(Movimientos!$E$2:$E$1993,MATCH(A83&amp;"ENTRADA",Movimientos!$S$2:$S$1993,0)),"-"))</f>
        <v/>
      </c>
      <c r="D83" s="3" t="str">
        <f>IF(A83="","",IFERROR(INDEX(Movimientos!$F$2:$F$1993,MATCH(A83&amp;"ENTRADA",Movimientos!$S$2:$S$1993,0)),"-"))</f>
        <v/>
      </c>
      <c r="E83" s="3" t="str">
        <f>IF(A83="","",IFERROR(INDEX(Movimientos!$L$2:$L$1993,MATCH(A83&amp;"ENTRADA",Movimientos!$S$2:$S$1993,0)),"-"))</f>
        <v/>
      </c>
      <c r="F83" s="8" t="str">
        <f>IF(A83="","",COUNTIFS(Stock_por_Lote!$B:$B,A83,Stock_por_Lote!$J:$J,"&gt;0"))</f>
        <v/>
      </c>
      <c r="G83" s="9" t="str">
        <f>IF(A83="","",SUMIFS(Movimientos!$K:$K,Movimientos!$C:$C,A83))</f>
        <v/>
      </c>
      <c r="H83" s="14" t="str">
        <f>IF(A83="","",IFERROR(IF(_xlfn.MINIFS(Stock_por_Lote!$H:$H,Stock_por_Lote!$B:$B,A83,Stock_por_Lote!$J:$J,"&gt;0")=0,"S/D",_xlfn.MINIFS(Stock_por_Lote!$H:$H,Stock_por_Lote!$B:$B,A83,Stock_por_Lote!$J:$J,"&gt;0")),"S/D"))</f>
        <v/>
      </c>
    </row>
    <row r="84" spans="1:8" ht="14.25">
      <c r="B84" s="3" t="str">
        <f>IF(A84="","",IFERROR(INDEX(Movimientos!$D$2:$D$1993,MATCH(A84&amp;"ENTRADA",Movimientos!$S$2:$S$1993,0)),"-"))</f>
        <v/>
      </c>
      <c r="C84" s="3" t="str">
        <f>IF(A84="","",IFERROR(INDEX(Movimientos!$E$2:$E$1993,MATCH(A84&amp;"ENTRADA",Movimientos!$S$2:$S$1993,0)),"-"))</f>
        <v/>
      </c>
      <c r="D84" s="3" t="str">
        <f>IF(A84="","",IFERROR(INDEX(Movimientos!$F$2:$F$1993,MATCH(A84&amp;"ENTRADA",Movimientos!$S$2:$S$1993,0)),"-"))</f>
        <v/>
      </c>
      <c r="E84" s="3" t="str">
        <f>IF(A84="","",IFERROR(INDEX(Movimientos!$L$2:$L$1993,MATCH(A84&amp;"ENTRADA",Movimientos!$S$2:$S$1993,0)),"-"))</f>
        <v/>
      </c>
      <c r="F84" s="8" t="str">
        <f>IF(A84="","",COUNTIFS(Stock_por_Lote!$B:$B,A84,Stock_por_Lote!$J:$J,"&gt;0"))</f>
        <v/>
      </c>
      <c r="G84" s="9" t="str">
        <f>IF(A84="","",SUMIFS(Movimientos!$K:$K,Movimientos!$C:$C,A84))</f>
        <v/>
      </c>
      <c r="H84" s="14" t="str">
        <f>IF(A84="","",IFERROR(IF(_xlfn.MINIFS(Stock_por_Lote!$H:$H,Stock_por_Lote!$B:$B,A84,Stock_por_Lote!$J:$J,"&gt;0")=0,"S/D",_xlfn.MINIFS(Stock_por_Lote!$H:$H,Stock_por_Lote!$B:$B,A84,Stock_por_Lote!$J:$J,"&gt;0")),"S/D"))</f>
        <v/>
      </c>
    </row>
    <row r="85" spans="1:8" ht="14.25">
      <c r="B85" s="3" t="str">
        <f>IF(A85="","",IFERROR(INDEX(Movimientos!$D$2:$D$1993,MATCH(A85&amp;"ENTRADA",Movimientos!$S$2:$S$1993,0)),"-"))</f>
        <v/>
      </c>
      <c r="C85" s="3" t="str">
        <f>IF(A85="","",IFERROR(INDEX(Movimientos!$E$2:$E$1993,MATCH(A85&amp;"ENTRADA",Movimientos!$S$2:$S$1993,0)),"-"))</f>
        <v/>
      </c>
      <c r="D85" s="3" t="str">
        <f>IF(A85="","",IFERROR(INDEX(Movimientos!$F$2:$F$1993,MATCH(A85&amp;"ENTRADA",Movimientos!$S$2:$S$1993,0)),"-"))</f>
        <v/>
      </c>
      <c r="E85" s="3" t="str">
        <f>IF(A85="","",IFERROR(INDEX(Movimientos!$L$2:$L$1993,MATCH(A85&amp;"ENTRADA",Movimientos!$S$2:$S$1993,0)),"-"))</f>
        <v/>
      </c>
      <c r="F85" s="8" t="str">
        <f>IF(A85="","",COUNTIFS(Stock_por_Lote!$B:$B,A85,Stock_por_Lote!$J:$J,"&gt;0"))</f>
        <v/>
      </c>
      <c r="G85" s="9" t="str">
        <f>IF(A85="","",SUMIFS(Movimientos!$K:$K,Movimientos!$C:$C,A85))</f>
        <v/>
      </c>
      <c r="H85" s="14" t="str">
        <f>IF(A85="","",IFERROR(IF(_xlfn.MINIFS(Stock_por_Lote!$H:$H,Stock_por_Lote!$B:$B,A85,Stock_por_Lote!$J:$J,"&gt;0")=0,"S/D",_xlfn.MINIFS(Stock_por_Lote!$H:$H,Stock_por_Lote!$B:$B,A85,Stock_por_Lote!$J:$J,"&gt;0")),"S/D"))</f>
        <v/>
      </c>
    </row>
    <row r="86" spans="1:8" ht="14.25">
      <c r="B86" s="3" t="str">
        <f>IF(A86="","",IFERROR(INDEX(Movimientos!$D$2:$D$1993,MATCH(A86&amp;"ENTRADA",Movimientos!$S$2:$S$1993,0)),"-"))</f>
        <v/>
      </c>
      <c r="C86" s="3" t="str">
        <f>IF(A86="","",IFERROR(INDEX(Movimientos!$E$2:$E$1993,MATCH(A86&amp;"ENTRADA",Movimientos!$S$2:$S$1993,0)),"-"))</f>
        <v/>
      </c>
      <c r="D86" s="3" t="str">
        <f>IF(A86="","",IFERROR(INDEX(Movimientos!$F$2:$F$1993,MATCH(A86&amp;"ENTRADA",Movimientos!$S$2:$S$1993,0)),"-"))</f>
        <v/>
      </c>
      <c r="E86" s="3" t="str">
        <f>IF(A86="","",IFERROR(INDEX(Movimientos!$L$2:$L$1993,MATCH(A86&amp;"ENTRADA",Movimientos!$S$2:$S$1993,0)),"-"))</f>
        <v/>
      </c>
      <c r="F86" s="8" t="str">
        <f>IF(A86="","",COUNTIFS(Stock_por_Lote!$B:$B,A86,Stock_por_Lote!$J:$J,"&gt;0"))</f>
        <v/>
      </c>
      <c r="G86" s="9" t="str">
        <f>IF(A86="","",SUMIFS(Movimientos!$K:$K,Movimientos!$C:$C,A86))</f>
        <v/>
      </c>
      <c r="H86" s="14" t="str">
        <f>IF(A86="","",IFERROR(IF(_xlfn.MINIFS(Stock_por_Lote!$H:$H,Stock_por_Lote!$B:$B,A86,Stock_por_Lote!$J:$J,"&gt;0")=0,"S/D",_xlfn.MINIFS(Stock_por_Lote!$H:$H,Stock_por_Lote!$B:$B,A86,Stock_por_Lote!$J:$J,"&gt;0")),"S/D"))</f>
        <v/>
      </c>
    </row>
    <row r="87" spans="1:8" ht="14.25">
      <c r="B87" s="3" t="str">
        <f>IF(A87="","",IFERROR(INDEX(Movimientos!$D$2:$D$1993,MATCH(A87&amp;"ENTRADA",Movimientos!$S$2:$S$1993,0)),"-"))</f>
        <v/>
      </c>
      <c r="C87" s="3" t="str">
        <f>IF(A87="","",IFERROR(INDEX(Movimientos!$E$2:$E$1993,MATCH(A87&amp;"ENTRADA",Movimientos!$S$2:$S$1993,0)),"-"))</f>
        <v/>
      </c>
      <c r="D87" s="3" t="str">
        <f>IF(A87="","",IFERROR(INDEX(Movimientos!$F$2:$F$1993,MATCH(A87&amp;"ENTRADA",Movimientos!$S$2:$S$1993,0)),"-"))</f>
        <v/>
      </c>
      <c r="E87" s="3" t="str">
        <f>IF(A87="","",IFERROR(INDEX(Movimientos!$L$2:$L$1993,MATCH(A87&amp;"ENTRADA",Movimientos!$S$2:$S$1993,0)),"-"))</f>
        <v/>
      </c>
      <c r="F87" s="8" t="str">
        <f>IF(A87="","",COUNTIFS(Stock_por_Lote!$B:$B,A87,Stock_por_Lote!$J:$J,"&gt;0"))</f>
        <v/>
      </c>
      <c r="G87" s="9" t="str">
        <f>IF(A87="","",SUMIFS(Movimientos!$K:$K,Movimientos!$C:$C,A87))</f>
        <v/>
      </c>
      <c r="H87" s="14" t="str">
        <f>IF(A87="","",IFERROR(IF(_xlfn.MINIFS(Stock_por_Lote!$H:$H,Stock_por_Lote!$B:$B,A87,Stock_por_Lote!$J:$J,"&gt;0")=0,"S/D",_xlfn.MINIFS(Stock_por_Lote!$H:$H,Stock_por_Lote!$B:$B,A87,Stock_por_Lote!$J:$J,"&gt;0")),"S/D"))</f>
        <v/>
      </c>
    </row>
    <row r="88" spans="1:8" ht="14.25">
      <c r="B88" s="3" t="str">
        <f>IF(A88="","",IFERROR(INDEX(Movimientos!$D$2:$D$1993,MATCH(A88&amp;"ENTRADA",Movimientos!$S$2:$S$1993,0)),"-"))</f>
        <v/>
      </c>
      <c r="C88" s="3" t="str">
        <f>IF(A88="","",IFERROR(INDEX(Movimientos!$E$2:$E$1993,MATCH(A88&amp;"ENTRADA",Movimientos!$S$2:$S$1993,0)),"-"))</f>
        <v/>
      </c>
      <c r="D88" s="3" t="str">
        <f>IF(A88="","",IFERROR(INDEX(Movimientos!$F$2:$F$1993,MATCH(A88&amp;"ENTRADA",Movimientos!$S$2:$S$1993,0)),"-"))</f>
        <v/>
      </c>
      <c r="E88" s="3" t="str">
        <f>IF(A88="","",IFERROR(INDEX(Movimientos!$L$2:$L$1993,MATCH(A88&amp;"ENTRADA",Movimientos!$S$2:$S$1993,0)),"-"))</f>
        <v/>
      </c>
      <c r="F88" s="8" t="str">
        <f>IF(A88="","",COUNTIFS(Stock_por_Lote!$B:$B,A88,Stock_por_Lote!$J:$J,"&gt;0"))</f>
        <v/>
      </c>
      <c r="G88" s="9" t="str">
        <f>IF(A88="","",SUMIFS(Movimientos!$K:$K,Movimientos!$C:$C,A88))</f>
        <v/>
      </c>
      <c r="H88" s="14" t="str">
        <f>IF(A88="","",IFERROR(IF(_xlfn.MINIFS(Stock_por_Lote!$H:$H,Stock_por_Lote!$B:$B,A88,Stock_por_Lote!$J:$J,"&gt;0")=0,"S/D",_xlfn.MINIFS(Stock_por_Lote!$H:$H,Stock_por_Lote!$B:$B,A88,Stock_por_Lote!$J:$J,"&gt;0")),"S/D"))</f>
        <v/>
      </c>
    </row>
    <row r="89" spans="1:8" ht="14.25">
      <c r="B89" s="3" t="str">
        <f>IF(A89="","",IFERROR(INDEX(Movimientos!$D$2:$D$1993,MATCH(A89&amp;"ENTRADA",Movimientos!$S$2:$S$1993,0)),"-"))</f>
        <v/>
      </c>
      <c r="C89" s="3" t="str">
        <f>IF(A89="","",IFERROR(INDEX(Movimientos!$E$2:$E$1993,MATCH(A89&amp;"ENTRADA",Movimientos!$S$2:$S$1993,0)),"-"))</f>
        <v/>
      </c>
      <c r="D89" s="3" t="str">
        <f>IF(A89="","",IFERROR(INDEX(Movimientos!$F$2:$F$1993,MATCH(A89&amp;"ENTRADA",Movimientos!$S$2:$S$1993,0)),"-"))</f>
        <v/>
      </c>
      <c r="E89" s="3" t="str">
        <f>IF(A89="","",IFERROR(INDEX(Movimientos!$L$2:$L$1993,MATCH(A89&amp;"ENTRADA",Movimientos!$S$2:$S$1993,0)),"-"))</f>
        <v/>
      </c>
      <c r="F89" s="8" t="str">
        <f>IF(A89="","",COUNTIFS(Stock_por_Lote!$B:$B,A89,Stock_por_Lote!$J:$J,"&gt;0"))</f>
        <v/>
      </c>
      <c r="G89" s="9" t="str">
        <f>IF(A89="","",SUMIFS(Movimientos!$K:$K,Movimientos!$C:$C,A89))</f>
        <v/>
      </c>
      <c r="H89" s="14" t="str">
        <f>IF(A89="","",IFERROR(IF(_xlfn.MINIFS(Stock_por_Lote!$H:$H,Stock_por_Lote!$B:$B,A89,Stock_por_Lote!$J:$J,"&gt;0")=0,"S/D",_xlfn.MINIFS(Stock_por_Lote!$H:$H,Stock_por_Lote!$B:$B,A89,Stock_por_Lote!$J:$J,"&gt;0")),"S/D"))</f>
        <v/>
      </c>
    </row>
    <row r="90" spans="1:8" ht="14.25">
      <c r="B90" s="3" t="str">
        <f>IF(A90="","",IFERROR(INDEX(Movimientos!$D$2:$D$1993,MATCH(A90&amp;"ENTRADA",Movimientos!$S$2:$S$1993,0)),"-"))</f>
        <v/>
      </c>
      <c r="C90" s="3" t="str">
        <f>IF(A90="","",IFERROR(INDEX(Movimientos!$E$2:$E$1993,MATCH(A90&amp;"ENTRADA",Movimientos!$S$2:$S$1993,0)),"-"))</f>
        <v/>
      </c>
      <c r="D90" s="3" t="str">
        <f>IF(A90="","",IFERROR(INDEX(Movimientos!$F$2:$F$1993,MATCH(A90&amp;"ENTRADA",Movimientos!$S$2:$S$1993,0)),"-"))</f>
        <v/>
      </c>
      <c r="E90" s="3" t="str">
        <f>IF(A90="","",IFERROR(INDEX(Movimientos!$L$2:$L$1993,MATCH(A90&amp;"ENTRADA",Movimientos!$S$2:$S$1993,0)),"-"))</f>
        <v/>
      </c>
      <c r="F90" s="8" t="str">
        <f>IF(A90="","",COUNTIFS(Stock_por_Lote!$B:$B,A90,Stock_por_Lote!$J:$J,"&gt;0"))</f>
        <v/>
      </c>
      <c r="G90" s="9" t="str">
        <f>IF(A90="","",SUMIFS(Movimientos!$K:$K,Movimientos!$C:$C,A90))</f>
        <v/>
      </c>
      <c r="H90" s="14" t="str">
        <f>IF(A90="","",IFERROR(IF(_xlfn.MINIFS(Stock_por_Lote!$H:$H,Stock_por_Lote!$B:$B,A90,Stock_por_Lote!$J:$J,"&gt;0")=0,"S/D",_xlfn.MINIFS(Stock_por_Lote!$H:$H,Stock_por_Lote!$B:$B,A90,Stock_por_Lote!$J:$J,"&gt;0")),"S/D"))</f>
        <v/>
      </c>
    </row>
    <row r="91" spans="1:8" ht="14.25">
      <c r="B91" s="3" t="str">
        <f>IF(A91="","",IFERROR(INDEX(Movimientos!$D$2:$D$1993,MATCH(A91&amp;"ENTRADA",Movimientos!$S$2:$S$1993,0)),"-"))</f>
        <v/>
      </c>
      <c r="C91" s="3" t="str">
        <f>IF(A91="","",IFERROR(INDEX(Movimientos!$E$2:$E$1993,MATCH(A91&amp;"ENTRADA",Movimientos!$S$2:$S$1993,0)),"-"))</f>
        <v/>
      </c>
      <c r="D91" s="3" t="str">
        <f>IF(A91="","",IFERROR(INDEX(Movimientos!$F$2:$F$1993,MATCH(A91&amp;"ENTRADA",Movimientos!$S$2:$S$1993,0)),"-"))</f>
        <v/>
      </c>
      <c r="E91" s="3" t="str">
        <f>IF(A91="","",IFERROR(INDEX(Movimientos!$L$2:$L$1993,MATCH(A91&amp;"ENTRADA",Movimientos!$S$2:$S$1993,0)),"-"))</f>
        <v/>
      </c>
      <c r="F91" s="8" t="str">
        <f>IF(A91="","",COUNTIFS(Stock_por_Lote!$B:$B,A91,Stock_por_Lote!$J:$J,"&gt;0"))</f>
        <v/>
      </c>
      <c r="G91" s="9" t="str">
        <f>IF(A91="","",SUMIFS(Movimientos!$K:$K,Movimientos!$C:$C,A91))</f>
        <v/>
      </c>
      <c r="H91" s="14" t="str">
        <f>IF(A91="","",IFERROR(IF(_xlfn.MINIFS(Stock_por_Lote!$H:$H,Stock_por_Lote!$B:$B,A91,Stock_por_Lote!$J:$J,"&gt;0")=0,"S/D",_xlfn.MINIFS(Stock_por_Lote!$H:$H,Stock_por_Lote!$B:$B,A91,Stock_por_Lote!$J:$J,"&gt;0")),"S/D"))</f>
        <v/>
      </c>
    </row>
    <row r="92" spans="1:8" ht="14.25">
      <c r="B92" s="3" t="str">
        <f>IF(A92="","",IFERROR(INDEX(Movimientos!$D$2:$D$1993,MATCH(A92&amp;"ENTRADA",Movimientos!$S$2:$S$1993,0)),"-"))</f>
        <v/>
      </c>
      <c r="C92" s="3" t="str">
        <f>IF(A92="","",IFERROR(INDEX(Movimientos!$E$2:$E$1993,MATCH(A92&amp;"ENTRADA",Movimientos!$S$2:$S$1993,0)),"-"))</f>
        <v/>
      </c>
      <c r="D92" s="3" t="str">
        <f>IF(A92="","",IFERROR(INDEX(Movimientos!$F$2:$F$1993,MATCH(A92&amp;"ENTRADA",Movimientos!$S$2:$S$1993,0)),"-"))</f>
        <v/>
      </c>
      <c r="E92" s="3" t="str">
        <f>IF(A92="","",IFERROR(INDEX(Movimientos!$L$2:$L$1993,MATCH(A92&amp;"ENTRADA",Movimientos!$S$2:$S$1993,0)),"-"))</f>
        <v/>
      </c>
      <c r="F92" s="8" t="str">
        <f>IF(A92="","",COUNTIFS(Stock_por_Lote!$B:$B,A92,Stock_por_Lote!$J:$J,"&gt;0"))</f>
        <v/>
      </c>
      <c r="G92" s="9" t="str">
        <f>IF(A92="","",SUMIFS(Movimientos!$K:$K,Movimientos!$C:$C,A92))</f>
        <v/>
      </c>
      <c r="H92" s="14" t="str">
        <f>IF(A92="","",IFERROR(IF(_xlfn.MINIFS(Stock_por_Lote!$H:$H,Stock_por_Lote!$B:$B,A92,Stock_por_Lote!$J:$J,"&gt;0")=0,"S/D",_xlfn.MINIFS(Stock_por_Lote!$H:$H,Stock_por_Lote!$B:$B,A92,Stock_por_Lote!$J:$J,"&gt;0")),"S/D"))</f>
        <v/>
      </c>
    </row>
    <row r="93" spans="1:8" ht="14.25">
      <c r="B93" s="3" t="str">
        <f>IF(A93="","",IFERROR(INDEX(Movimientos!$D$2:$D$1993,MATCH(A93&amp;"ENTRADA",Movimientos!$S$2:$S$1993,0)),"-"))</f>
        <v/>
      </c>
      <c r="C93" s="3" t="str">
        <f>IF(A93="","",IFERROR(INDEX(Movimientos!$E$2:$E$1993,MATCH(A93&amp;"ENTRADA",Movimientos!$S$2:$S$1993,0)),"-"))</f>
        <v/>
      </c>
      <c r="D93" s="3" t="str">
        <f>IF(A93="","",IFERROR(INDEX(Movimientos!$F$2:$F$1993,MATCH(A93&amp;"ENTRADA",Movimientos!$S$2:$S$1993,0)),"-"))</f>
        <v/>
      </c>
      <c r="E93" s="3" t="str">
        <f>IF(A93="","",IFERROR(INDEX(Movimientos!$L$2:$L$1993,MATCH(A93&amp;"ENTRADA",Movimientos!$S$2:$S$1993,0)),"-"))</f>
        <v/>
      </c>
      <c r="F93" s="8" t="str">
        <f>IF(A93="","",COUNTIFS(Stock_por_Lote!$B:$B,A93,Stock_por_Lote!$J:$J,"&gt;0"))</f>
        <v/>
      </c>
      <c r="G93" s="9" t="str">
        <f>IF(A93="","",SUMIFS(Movimientos!$K:$K,Movimientos!$C:$C,A93))</f>
        <v/>
      </c>
      <c r="H93" s="14" t="str">
        <f>IF(A93="","",IFERROR(IF(_xlfn.MINIFS(Stock_por_Lote!$H:$H,Stock_por_Lote!$B:$B,A93,Stock_por_Lote!$J:$J,"&gt;0")=0,"S/D",_xlfn.MINIFS(Stock_por_Lote!$H:$H,Stock_por_Lote!$B:$B,A93,Stock_por_Lote!$J:$J,"&gt;0")),"S/D"))</f>
        <v/>
      </c>
    </row>
    <row r="94" spans="1:8" ht="14.25">
      <c r="B94" s="3" t="str">
        <f>IF(A94="","",IFERROR(INDEX(Movimientos!$D$2:$D$1993,MATCH(A94&amp;"ENTRADA",Movimientos!$S$2:$S$1993,0)),"-"))</f>
        <v/>
      </c>
      <c r="C94" s="3" t="str">
        <f>IF(A94="","",IFERROR(INDEX(Movimientos!$E$2:$E$1993,MATCH(A94&amp;"ENTRADA",Movimientos!$S$2:$S$1993,0)),"-"))</f>
        <v/>
      </c>
      <c r="D94" s="3" t="str">
        <f>IF(A94="","",IFERROR(INDEX(Movimientos!$F$2:$F$1993,MATCH(A94&amp;"ENTRADA",Movimientos!$S$2:$S$1993,0)),"-"))</f>
        <v/>
      </c>
      <c r="E94" s="3" t="str">
        <f>IF(A94="","",IFERROR(INDEX(Movimientos!$L$2:$L$1993,MATCH(A94&amp;"ENTRADA",Movimientos!$S$2:$S$1993,0)),"-"))</f>
        <v/>
      </c>
      <c r="F94" s="8" t="str">
        <f>IF(A94="","",COUNTIFS(Stock_por_Lote!$B:$B,A94,Stock_por_Lote!$J:$J,"&gt;0"))</f>
        <v/>
      </c>
      <c r="G94" s="9" t="str">
        <f>IF(A94="","",SUMIFS(Movimientos!$K:$K,Movimientos!$C:$C,A94))</f>
        <v/>
      </c>
      <c r="H94" s="14" t="str">
        <f>IF(A94="","",IFERROR(IF(_xlfn.MINIFS(Stock_por_Lote!$H:$H,Stock_por_Lote!$B:$B,A94,Stock_por_Lote!$J:$J,"&gt;0")=0,"S/D",_xlfn.MINIFS(Stock_por_Lote!$H:$H,Stock_por_Lote!$B:$B,A94,Stock_por_Lote!$J:$J,"&gt;0")),"S/D"))</f>
        <v/>
      </c>
    </row>
    <row r="95" spans="1:8" ht="14.25">
      <c r="B95" s="3" t="str">
        <f>IF(A95="","",IFERROR(INDEX(Movimientos!$D$2:$D$1993,MATCH(A95&amp;"ENTRADA",Movimientos!$S$2:$S$1993,0)),"-"))</f>
        <v/>
      </c>
      <c r="C95" s="3" t="str">
        <f>IF(A95="","",IFERROR(INDEX(Movimientos!$E$2:$E$1993,MATCH(A95&amp;"ENTRADA",Movimientos!$S$2:$S$1993,0)),"-"))</f>
        <v/>
      </c>
      <c r="D95" s="3" t="str">
        <f>IF(A95="","",IFERROR(INDEX(Movimientos!$F$2:$F$1993,MATCH(A95&amp;"ENTRADA",Movimientos!$S$2:$S$1993,0)),"-"))</f>
        <v/>
      </c>
      <c r="E95" s="3" t="str">
        <f>IF(A95="","",IFERROR(INDEX(Movimientos!$L$2:$L$1993,MATCH(A95&amp;"ENTRADA",Movimientos!$S$2:$S$1993,0)),"-"))</f>
        <v/>
      </c>
      <c r="F95" s="8" t="str">
        <f>IF(A95="","",COUNTIFS(Stock_por_Lote!$B:$B,A95,Stock_por_Lote!$J:$J,"&gt;0"))</f>
        <v/>
      </c>
      <c r="G95" s="9" t="str">
        <f>IF(A95="","",SUMIFS(Movimientos!$K:$K,Movimientos!$C:$C,A95))</f>
        <v/>
      </c>
      <c r="H95" s="14" t="str">
        <f>IF(A95="","",IFERROR(IF(_xlfn.MINIFS(Stock_por_Lote!$H:$H,Stock_por_Lote!$B:$B,A95,Stock_por_Lote!$J:$J,"&gt;0")=0,"S/D",_xlfn.MINIFS(Stock_por_Lote!$H:$H,Stock_por_Lote!$B:$B,A95,Stock_por_Lote!$J:$J,"&gt;0")),"S/D"))</f>
        <v/>
      </c>
    </row>
    <row r="96" spans="1:8" ht="14.25">
      <c r="B96" s="3" t="str">
        <f>IF(A96="","",IFERROR(INDEX(Movimientos!$D$2:$D$1993,MATCH(A96&amp;"ENTRADA",Movimientos!$S$2:$S$1993,0)),"-"))</f>
        <v/>
      </c>
      <c r="C96" s="3" t="str">
        <f>IF(A96="","",IFERROR(INDEX(Movimientos!$E$2:$E$1993,MATCH(A96&amp;"ENTRADA",Movimientos!$S$2:$S$1993,0)),"-"))</f>
        <v/>
      </c>
      <c r="D96" s="3" t="str">
        <f>IF(A96="","",IFERROR(INDEX(Movimientos!$F$2:$F$1993,MATCH(A96&amp;"ENTRADA",Movimientos!$S$2:$S$1993,0)),"-"))</f>
        <v/>
      </c>
      <c r="E96" s="3" t="str">
        <f>IF(A96="","",IFERROR(INDEX(Movimientos!$L$2:$L$1993,MATCH(A96&amp;"ENTRADA",Movimientos!$S$2:$S$1993,0)),"-"))</f>
        <v/>
      </c>
      <c r="F96" s="8" t="str">
        <f>IF(A96="","",COUNTIFS(Stock_por_Lote!$B:$B,A96,Stock_por_Lote!$J:$J,"&gt;0"))</f>
        <v/>
      </c>
      <c r="G96" s="9" t="str">
        <f>IF(A96="","",SUMIFS(Movimientos!$K:$K,Movimientos!$C:$C,A96))</f>
        <v/>
      </c>
      <c r="H96" s="14" t="str">
        <f>IF(A96="","",IFERROR(IF(_xlfn.MINIFS(Stock_por_Lote!$H:$H,Stock_por_Lote!$B:$B,A96,Stock_por_Lote!$J:$J,"&gt;0")=0,"S/D",_xlfn.MINIFS(Stock_por_Lote!$H:$H,Stock_por_Lote!$B:$B,A96,Stock_por_Lote!$J:$J,"&gt;0")),"S/D"))</f>
        <v/>
      </c>
    </row>
    <row r="97" spans="2:8" ht="14.25">
      <c r="B97" s="3" t="str">
        <f>IF(A97="","",IFERROR(INDEX(Movimientos!$D$2:$D$1993,MATCH(A97&amp;"ENTRADA",Movimientos!$S$2:$S$1993,0)),"-"))</f>
        <v/>
      </c>
      <c r="C97" s="3" t="str">
        <f>IF(A97="","",IFERROR(INDEX(Movimientos!$E$2:$E$1993,MATCH(A97&amp;"ENTRADA",Movimientos!$S$2:$S$1993,0)),"-"))</f>
        <v/>
      </c>
      <c r="D97" s="3" t="str">
        <f>IF(A97="","",IFERROR(INDEX(Movimientos!$F$2:$F$1993,MATCH(A97&amp;"ENTRADA",Movimientos!$S$2:$S$1993,0)),"-"))</f>
        <v/>
      </c>
      <c r="E97" s="3" t="str">
        <f>IF(A97="","",IFERROR(INDEX(Movimientos!$L$2:$L$1993,MATCH(A97&amp;"ENTRADA",Movimientos!$S$2:$S$1993,0)),"-"))</f>
        <v/>
      </c>
      <c r="F97" s="8" t="str">
        <f>IF(A97="","",COUNTIFS(Stock_por_Lote!$B:$B,A97,Stock_por_Lote!$J:$J,"&gt;0"))</f>
        <v/>
      </c>
      <c r="G97" s="9" t="str">
        <f>IF(A97="","",SUMIFS(Movimientos!$K:$K,Movimientos!$C:$C,A97))</f>
        <v/>
      </c>
      <c r="H97" s="14" t="str">
        <f>IF(A97="","",IFERROR(IF(_xlfn.MINIFS(Stock_por_Lote!$H:$H,Stock_por_Lote!$B:$B,A97,Stock_por_Lote!$J:$J,"&gt;0")=0,"S/D",_xlfn.MINIFS(Stock_por_Lote!$H:$H,Stock_por_Lote!$B:$B,A97,Stock_por_Lote!$J:$J,"&gt;0")),"S/D"))</f>
        <v/>
      </c>
    </row>
    <row r="98" spans="2:8" ht="14.25">
      <c r="B98" s="3" t="str">
        <f>IF(A98="","",IFERROR(INDEX(Movimientos!$D$2:$D$1993,MATCH(A98&amp;"ENTRADA",Movimientos!$S$2:$S$1993,0)),"-"))</f>
        <v/>
      </c>
      <c r="C98" s="3" t="str">
        <f>IF(A98="","",IFERROR(INDEX(Movimientos!$E$2:$E$1993,MATCH(A98&amp;"ENTRADA",Movimientos!$S$2:$S$1993,0)),"-"))</f>
        <v/>
      </c>
      <c r="D98" s="3" t="str">
        <f>IF(A98="","",IFERROR(INDEX(Movimientos!$F$2:$F$1993,MATCH(A98&amp;"ENTRADA",Movimientos!$S$2:$S$1993,0)),"-"))</f>
        <v/>
      </c>
      <c r="E98" s="3" t="str">
        <f>IF(A98="","",IFERROR(INDEX(Movimientos!$L$2:$L$1993,MATCH(A98&amp;"ENTRADA",Movimientos!$S$2:$S$1993,0)),"-"))</f>
        <v/>
      </c>
      <c r="F98" s="8" t="str">
        <f>IF(A98="","",COUNTIFS(Stock_por_Lote!$B:$B,A98,Stock_por_Lote!$J:$J,"&gt;0"))</f>
        <v/>
      </c>
      <c r="G98" s="9" t="str">
        <f>IF(A98="","",SUMIFS(Movimientos!$K:$K,Movimientos!$C:$C,A98))</f>
        <v/>
      </c>
      <c r="H98" s="14" t="str">
        <f>IF(A98="","",IFERROR(IF(_xlfn.MINIFS(Stock_por_Lote!$H:$H,Stock_por_Lote!$B:$B,A98,Stock_por_Lote!$J:$J,"&gt;0")=0,"S/D",_xlfn.MINIFS(Stock_por_Lote!$H:$H,Stock_por_Lote!$B:$B,A98,Stock_por_Lote!$J:$J,"&gt;0")),"S/D"))</f>
        <v/>
      </c>
    </row>
    <row r="99" spans="2:8" ht="14.25">
      <c r="B99" s="3" t="str">
        <f>IF(A99="","",IFERROR(INDEX(Movimientos!$D$2:$D$1993,MATCH(A99&amp;"ENTRADA",Movimientos!$S$2:$S$1993,0)),"-"))</f>
        <v/>
      </c>
      <c r="C99" s="3" t="str">
        <f>IF(A99="","",IFERROR(INDEX(Movimientos!$E$2:$E$1993,MATCH(A99&amp;"ENTRADA",Movimientos!$S$2:$S$1993,0)),"-"))</f>
        <v/>
      </c>
      <c r="D99" s="3" t="str">
        <f>IF(A99="","",IFERROR(INDEX(Movimientos!$F$2:$F$1993,MATCH(A99&amp;"ENTRADA",Movimientos!$S$2:$S$1993,0)),"-"))</f>
        <v/>
      </c>
      <c r="E99" s="3" t="str">
        <f>IF(A99="","",IFERROR(INDEX(Movimientos!$L$2:$L$1993,MATCH(A99&amp;"ENTRADA",Movimientos!$S$2:$S$1993,0)),"-"))</f>
        <v/>
      </c>
      <c r="F99" s="8" t="str">
        <f>IF(A99="","",COUNTIFS(Stock_por_Lote!$B:$B,A99,Stock_por_Lote!$J:$J,"&gt;0"))</f>
        <v/>
      </c>
      <c r="G99" s="9" t="str">
        <f>IF(A99="","",SUMIFS(Movimientos!$K:$K,Movimientos!$C:$C,A99))</f>
        <v/>
      </c>
      <c r="H99" s="14" t="str">
        <f>IF(A99="","",IFERROR(IF(_xlfn.MINIFS(Stock_por_Lote!$H:$H,Stock_por_Lote!$B:$B,A99,Stock_por_Lote!$J:$J,"&gt;0")=0,"S/D",_xlfn.MINIFS(Stock_por_Lote!$H:$H,Stock_por_Lote!$B:$B,A99,Stock_por_Lote!$J:$J,"&gt;0")),"S/D"))</f>
        <v/>
      </c>
    </row>
    <row r="100" spans="2:8" ht="14.25">
      <c r="B100" s="3" t="str">
        <f>IF(A100="","",IFERROR(INDEX(Movimientos!$D$2:$D$1993,MATCH(A100&amp;"ENTRADA",Movimientos!$S$2:$S$1993,0)),"-"))</f>
        <v/>
      </c>
      <c r="C100" s="3" t="str">
        <f>IF(A100="","",IFERROR(INDEX(Movimientos!$E$2:$E$1993,MATCH(A100&amp;"ENTRADA",Movimientos!$S$2:$S$1993,0)),"-"))</f>
        <v/>
      </c>
      <c r="D100" s="3" t="str">
        <f>IF(A100="","",IFERROR(INDEX(Movimientos!$F$2:$F$1993,MATCH(A100&amp;"ENTRADA",Movimientos!$S$2:$S$1993,0)),"-"))</f>
        <v/>
      </c>
      <c r="E100" s="3" t="str">
        <f>IF(A100="","",IFERROR(INDEX(Movimientos!$L$2:$L$1993,MATCH(A100&amp;"ENTRADA",Movimientos!$S$2:$S$1993,0)),"-"))</f>
        <v/>
      </c>
      <c r="F100" s="8" t="str">
        <f>IF(A100="","",COUNTIFS(Stock_por_Lote!$B:$B,A100,Stock_por_Lote!$J:$J,"&gt;0"))</f>
        <v/>
      </c>
      <c r="G100" s="9" t="str">
        <f>IF(A100="","",SUMIFS(Movimientos!$K:$K,Movimientos!$C:$C,A100))</f>
        <v/>
      </c>
      <c r="H100" s="14" t="str">
        <f>IF(A100="","",IFERROR(IF(_xlfn.MINIFS(Stock_por_Lote!$H:$H,Stock_por_Lote!$B:$B,A100,Stock_por_Lote!$J:$J,"&gt;0")=0,"S/D",_xlfn.MINIFS(Stock_por_Lote!$H:$H,Stock_por_Lote!$B:$B,A100,Stock_por_Lote!$J:$J,"&gt;0")),"S/D"))</f>
        <v/>
      </c>
    </row>
    <row r="101" spans="2:8" ht="14.25">
      <c r="B101" s="3" t="str">
        <f>IF(A101="","",IFERROR(INDEX(Movimientos!$D$2:$D$1993,MATCH(A101&amp;"ENTRADA",Movimientos!$S$2:$S$1993,0)),"-"))</f>
        <v/>
      </c>
      <c r="C101" s="3" t="str">
        <f>IF(A101="","",IFERROR(INDEX(Movimientos!$E$2:$E$1993,MATCH(A101&amp;"ENTRADA",Movimientos!$S$2:$S$1993,0)),"-"))</f>
        <v/>
      </c>
      <c r="D101" s="3" t="str">
        <f>IF(A101="","",IFERROR(INDEX(Movimientos!$F$2:$F$1993,MATCH(A101&amp;"ENTRADA",Movimientos!$S$2:$S$1993,0)),"-"))</f>
        <v/>
      </c>
      <c r="E101" s="3" t="str">
        <f>IF(A101="","",IFERROR(INDEX(Movimientos!$L$2:$L$1993,MATCH(A101&amp;"ENTRADA",Movimientos!$S$2:$S$1993,0)),"-"))</f>
        <v/>
      </c>
      <c r="F101" s="8" t="str">
        <f>IF(A101="","",COUNTIFS(Stock_por_Lote!$B:$B,A101,Stock_por_Lote!$J:$J,"&gt;0"))</f>
        <v/>
      </c>
      <c r="G101" s="9" t="str">
        <f>IF(A101="","",SUMIFS(Movimientos!$K:$K,Movimientos!$C:$C,A101))</f>
        <v/>
      </c>
      <c r="H101" s="14" t="str">
        <f>IF(A101="","",IFERROR(IF(_xlfn.MINIFS(Stock_por_Lote!$H:$H,Stock_por_Lote!$B:$B,A101,Stock_por_Lote!$J:$J,"&gt;0")=0,"S/D",_xlfn.MINIFS(Stock_por_Lote!$H:$H,Stock_por_Lote!$B:$B,A101,Stock_por_Lote!$J:$J,"&gt;0")),"S/D"))</f>
        <v/>
      </c>
    </row>
    <row r="102" spans="2:8" ht="14.25">
      <c r="B102" s="3" t="str">
        <f>IF(A102="","",IFERROR(INDEX(Movimientos!$D$2:$D$1993,MATCH(A102&amp;"ENTRADA",Movimientos!$S$2:$S$1993,0)),"-"))</f>
        <v/>
      </c>
      <c r="C102" s="3" t="str">
        <f>IF(A102="","",IFERROR(INDEX(Movimientos!$E$2:$E$1993,MATCH(A102&amp;"ENTRADA",Movimientos!$S$2:$S$1993,0)),"-"))</f>
        <v/>
      </c>
      <c r="D102" s="3" t="str">
        <f>IF(A102="","",IFERROR(INDEX(Movimientos!$F$2:$F$1993,MATCH(A102&amp;"ENTRADA",Movimientos!$S$2:$S$1993,0)),"-"))</f>
        <v/>
      </c>
      <c r="E102" s="3" t="str">
        <f>IF(A102="","",IFERROR(INDEX(Movimientos!$L$2:$L$1993,MATCH(A102&amp;"ENTRADA",Movimientos!$S$2:$S$1993,0)),"-"))</f>
        <v/>
      </c>
      <c r="F102" s="8" t="str">
        <f>IF(A102="","",COUNTIFS(Stock_por_Lote!$B:$B,A102,Stock_por_Lote!$J:$J,"&gt;0"))</f>
        <v/>
      </c>
      <c r="G102" s="9" t="str">
        <f>IF(A102="","",SUMIFS(Movimientos!$K:$K,Movimientos!$C:$C,A102))</f>
        <v/>
      </c>
      <c r="H102" s="14" t="str">
        <f>IF(A102="","",IFERROR(IF(_xlfn.MINIFS(Stock_por_Lote!$H:$H,Stock_por_Lote!$B:$B,A102,Stock_por_Lote!$J:$J,"&gt;0")=0,"S/D",_xlfn.MINIFS(Stock_por_Lote!$H:$H,Stock_por_Lote!$B:$B,A102,Stock_por_Lote!$J:$J,"&gt;0")),"S/D"))</f>
        <v/>
      </c>
    </row>
    <row r="103" spans="2:8" ht="14.25">
      <c r="B103" s="3" t="str">
        <f>IF(A103="","",IFERROR(INDEX(Movimientos!$D$2:$D$1993,MATCH(A103&amp;"ENTRADA",Movimientos!$S$2:$S$1993,0)),"-"))</f>
        <v/>
      </c>
      <c r="C103" s="3" t="str">
        <f>IF(A103="","",IFERROR(INDEX(Movimientos!$E$2:$E$1993,MATCH(A103&amp;"ENTRADA",Movimientos!$S$2:$S$1993,0)),"-"))</f>
        <v/>
      </c>
      <c r="D103" s="3" t="str">
        <f>IF(A103="","",IFERROR(INDEX(Movimientos!$F$2:$F$1993,MATCH(A103&amp;"ENTRADA",Movimientos!$S$2:$S$1993,0)),"-"))</f>
        <v/>
      </c>
      <c r="E103" s="3" t="str">
        <f>IF(A103="","",IFERROR(INDEX(Movimientos!$L$2:$L$1993,MATCH(A103&amp;"ENTRADA",Movimientos!$S$2:$S$1993,0)),"-"))</f>
        <v/>
      </c>
      <c r="F103" s="8" t="str">
        <f>IF(A103="","",COUNTIFS(Stock_por_Lote!$B:$B,A103,Stock_por_Lote!$J:$J,"&gt;0"))</f>
        <v/>
      </c>
      <c r="G103" s="9" t="str">
        <f>IF(A103="","",SUMIFS(Movimientos!$K:$K,Movimientos!$C:$C,A103))</f>
        <v/>
      </c>
      <c r="H103" s="14" t="str">
        <f>IF(A103="","",IFERROR(IF(_xlfn.MINIFS(Stock_por_Lote!$H:$H,Stock_por_Lote!$B:$B,A103,Stock_por_Lote!$J:$J,"&gt;0")=0,"S/D",_xlfn.MINIFS(Stock_por_Lote!$H:$H,Stock_por_Lote!$B:$B,A103,Stock_por_Lote!$J:$J,"&gt;0")),"S/D"))</f>
        <v/>
      </c>
    </row>
    <row r="104" spans="2:8" ht="14.25">
      <c r="B104" s="3" t="str">
        <f>IF(A104="","",IFERROR(INDEX(Movimientos!$D$2:$D$1993,MATCH(A104&amp;"ENTRADA",Movimientos!$S$2:$S$1993,0)),"-"))</f>
        <v/>
      </c>
      <c r="C104" s="3" t="str">
        <f>IF(A104="","",IFERROR(INDEX(Movimientos!$E$2:$E$1993,MATCH(A104&amp;"ENTRADA",Movimientos!$S$2:$S$1993,0)),"-"))</f>
        <v/>
      </c>
      <c r="D104" s="3" t="str">
        <f>IF(A104="","",IFERROR(INDEX(Movimientos!$F$2:$F$1993,MATCH(A104&amp;"ENTRADA",Movimientos!$S$2:$S$1993,0)),"-"))</f>
        <v/>
      </c>
      <c r="E104" s="3" t="str">
        <f>IF(A104="","",IFERROR(INDEX(Movimientos!$L$2:$L$1993,MATCH(A104&amp;"ENTRADA",Movimientos!$S$2:$S$1993,0)),"-"))</f>
        <v/>
      </c>
      <c r="F104" s="8" t="str">
        <f>IF(A104="","",COUNTIFS(Stock_por_Lote!$B:$B,A104,Stock_por_Lote!$J:$J,"&gt;0"))</f>
        <v/>
      </c>
      <c r="G104" s="9" t="str">
        <f>IF(A104="","",SUMIFS(Movimientos!$K:$K,Movimientos!$C:$C,A104))</f>
        <v/>
      </c>
      <c r="H104" s="14" t="str">
        <f>IF(A104="","",IFERROR(IF(_xlfn.MINIFS(Stock_por_Lote!$H:$H,Stock_por_Lote!$B:$B,A104,Stock_por_Lote!$J:$J,"&gt;0")=0,"S/D",_xlfn.MINIFS(Stock_por_Lote!$H:$H,Stock_por_Lote!$B:$B,A104,Stock_por_Lote!$J:$J,"&gt;0")),"S/D"))</f>
        <v/>
      </c>
    </row>
    <row r="105" spans="2:8" ht="14.25">
      <c r="B105" s="3" t="str">
        <f>IF(A105="","",IFERROR(INDEX(Movimientos!$D$2:$D$1993,MATCH(A105&amp;"ENTRADA",Movimientos!$S$2:$S$1993,0)),"-"))</f>
        <v/>
      </c>
      <c r="C105" s="3" t="str">
        <f>IF(A105="","",IFERROR(INDEX(Movimientos!$E$2:$E$1993,MATCH(A105&amp;"ENTRADA",Movimientos!$S$2:$S$1993,0)),"-"))</f>
        <v/>
      </c>
      <c r="D105" s="3" t="str">
        <f>IF(A105="","",IFERROR(INDEX(Movimientos!$F$2:$F$1993,MATCH(A105&amp;"ENTRADA",Movimientos!$S$2:$S$1993,0)),"-"))</f>
        <v/>
      </c>
      <c r="E105" s="3" t="str">
        <f>IF(A105="","",IFERROR(INDEX(Movimientos!$L$2:$L$1993,MATCH(A105&amp;"ENTRADA",Movimientos!$S$2:$S$1993,0)),"-"))</f>
        <v/>
      </c>
      <c r="F105" s="8" t="str">
        <f>IF(A105="","",COUNTIFS(Stock_por_Lote!$B:$B,A105,Stock_por_Lote!$J:$J,"&gt;0"))</f>
        <v/>
      </c>
      <c r="G105" s="9" t="str">
        <f>IF(A105="","",SUMIFS(Movimientos!$K:$K,Movimientos!$C:$C,A105))</f>
        <v/>
      </c>
      <c r="H105" s="14" t="str">
        <f>IF(A105="","",IFERROR(IF(_xlfn.MINIFS(Stock_por_Lote!$H:$H,Stock_por_Lote!$B:$B,A105,Stock_por_Lote!$J:$J,"&gt;0")=0,"S/D",_xlfn.MINIFS(Stock_por_Lote!$H:$H,Stock_por_Lote!$B:$B,A105,Stock_por_Lote!$J:$J,"&gt;0")),"S/D"))</f>
        <v/>
      </c>
    </row>
    <row r="106" spans="2:8" ht="14.25">
      <c r="B106" s="3" t="str">
        <f>IF(A106="","",IFERROR(INDEX(Movimientos!$D$2:$D$1993,MATCH(A106&amp;"ENTRADA",Movimientos!$S$2:$S$1993,0)),"-"))</f>
        <v/>
      </c>
      <c r="C106" s="3" t="str">
        <f>IF(A106="","",IFERROR(INDEX(Movimientos!$E$2:$E$1993,MATCH(A106&amp;"ENTRADA",Movimientos!$S$2:$S$1993,0)),"-"))</f>
        <v/>
      </c>
      <c r="D106" s="3" t="str">
        <f>IF(A106="","",IFERROR(INDEX(Movimientos!$F$2:$F$1993,MATCH(A106&amp;"ENTRADA",Movimientos!$S$2:$S$1993,0)),"-"))</f>
        <v/>
      </c>
      <c r="E106" s="3" t="str">
        <f>IF(A106="","",IFERROR(INDEX(Movimientos!$L$2:$L$1993,MATCH(A106&amp;"ENTRADA",Movimientos!$S$2:$S$1993,0)),"-"))</f>
        <v/>
      </c>
      <c r="F106" s="8" t="str">
        <f>IF(A106="","",COUNTIFS(Stock_por_Lote!$B:$B,A106,Stock_por_Lote!$J:$J,"&gt;0"))</f>
        <v/>
      </c>
      <c r="G106" s="9" t="str">
        <f>IF(A106="","",SUMIFS(Movimientos!$K:$K,Movimientos!$C:$C,A106))</f>
        <v/>
      </c>
      <c r="H106" s="14" t="str">
        <f>IF(A106="","",IFERROR(IF(_xlfn.MINIFS(Stock_por_Lote!$H:$H,Stock_por_Lote!$B:$B,A106,Stock_por_Lote!$J:$J,"&gt;0")=0,"S/D",_xlfn.MINIFS(Stock_por_Lote!$H:$H,Stock_por_Lote!$B:$B,A106,Stock_por_Lote!$J:$J,"&gt;0")),"S/D"))</f>
        <v/>
      </c>
    </row>
    <row r="107" spans="2:8" ht="14.25">
      <c r="B107" s="3" t="str">
        <f>IF(A107="","",IFERROR(INDEX(Movimientos!$D$2:$D$1993,MATCH(A107&amp;"ENTRADA",Movimientos!$S$2:$S$1993,0)),"-"))</f>
        <v/>
      </c>
      <c r="C107" s="3" t="str">
        <f>IF(A107="","",IFERROR(INDEX(Movimientos!$E$2:$E$1993,MATCH(A107&amp;"ENTRADA",Movimientos!$S$2:$S$1993,0)),"-"))</f>
        <v/>
      </c>
      <c r="D107" s="3" t="str">
        <f>IF(A107="","",IFERROR(INDEX(Movimientos!$F$2:$F$1993,MATCH(A107&amp;"ENTRADA",Movimientos!$S$2:$S$1993,0)),"-"))</f>
        <v/>
      </c>
      <c r="E107" s="3" t="str">
        <f>IF(A107="","",IFERROR(INDEX(Movimientos!$L$2:$L$1993,MATCH(A107&amp;"ENTRADA",Movimientos!$S$2:$S$1993,0)),"-"))</f>
        <v/>
      </c>
      <c r="F107" s="8" t="str">
        <f>IF(A107="","",COUNTIFS(Stock_por_Lote!$B:$B,A107,Stock_por_Lote!$J:$J,"&gt;0"))</f>
        <v/>
      </c>
      <c r="G107" s="9" t="str">
        <f>IF(A107="","",SUMIFS(Movimientos!$K:$K,Movimientos!$C:$C,A107))</f>
        <v/>
      </c>
      <c r="H107" s="14" t="str">
        <f>IF(A107="","",IFERROR(IF(_xlfn.MINIFS(Stock_por_Lote!$H:$H,Stock_por_Lote!$B:$B,A107,Stock_por_Lote!$J:$J,"&gt;0")=0,"S/D",_xlfn.MINIFS(Stock_por_Lote!$H:$H,Stock_por_Lote!$B:$B,A107,Stock_por_Lote!$J:$J,"&gt;0")),"S/D"))</f>
        <v/>
      </c>
    </row>
    <row r="108" spans="2:8" ht="14.25">
      <c r="B108" s="3" t="str">
        <f>IF(A108="","",IFERROR(INDEX(Movimientos!$D$2:$D$1993,MATCH(A108&amp;"ENTRADA",Movimientos!$S$2:$S$1993,0)),"-"))</f>
        <v/>
      </c>
      <c r="C108" s="3" t="str">
        <f>IF(A108="","",IFERROR(INDEX(Movimientos!$E$2:$E$1993,MATCH(A108&amp;"ENTRADA",Movimientos!$S$2:$S$1993,0)),"-"))</f>
        <v/>
      </c>
      <c r="D108" s="3" t="str">
        <f>IF(A108="","",IFERROR(INDEX(Movimientos!$F$2:$F$1993,MATCH(A108&amp;"ENTRADA",Movimientos!$S$2:$S$1993,0)),"-"))</f>
        <v/>
      </c>
      <c r="E108" s="3" t="str">
        <f>IF(A108="","",IFERROR(INDEX(Movimientos!$L$2:$L$1993,MATCH(A108&amp;"ENTRADA",Movimientos!$S$2:$S$1993,0)),"-"))</f>
        <v/>
      </c>
      <c r="F108" s="8" t="str">
        <f>IF(A108="","",COUNTIFS(Stock_por_Lote!$B:$B,A108,Stock_por_Lote!$J:$J,"&gt;0"))</f>
        <v/>
      </c>
      <c r="G108" s="9" t="str">
        <f>IF(A108="","",SUMIFS(Movimientos!$K:$K,Movimientos!$C:$C,A108))</f>
        <v/>
      </c>
      <c r="H108" s="14" t="str">
        <f>IF(A108="","",IFERROR(IF(_xlfn.MINIFS(Stock_por_Lote!$H:$H,Stock_por_Lote!$B:$B,A108,Stock_por_Lote!$J:$J,"&gt;0")=0,"S/D",_xlfn.MINIFS(Stock_por_Lote!$H:$H,Stock_por_Lote!$B:$B,A108,Stock_por_Lote!$J:$J,"&gt;0")),"S/D"))</f>
        <v/>
      </c>
    </row>
    <row r="109" spans="2:8" ht="14.25">
      <c r="B109" s="3" t="str">
        <f>IF(A109="","",IFERROR(INDEX(Movimientos!$D$2:$D$1993,MATCH(A109&amp;"ENTRADA",Movimientos!$S$2:$S$1993,0)),"-"))</f>
        <v/>
      </c>
      <c r="C109" s="3" t="str">
        <f>IF(A109="","",IFERROR(INDEX(Movimientos!$E$2:$E$1993,MATCH(A109&amp;"ENTRADA",Movimientos!$S$2:$S$1993,0)),"-"))</f>
        <v/>
      </c>
      <c r="D109" s="3" t="str">
        <f>IF(A109="","",IFERROR(INDEX(Movimientos!$F$2:$F$1993,MATCH(A109&amp;"ENTRADA",Movimientos!$S$2:$S$1993,0)),"-"))</f>
        <v/>
      </c>
      <c r="E109" s="3" t="str">
        <f>IF(A109="","",IFERROR(INDEX(Movimientos!$L$2:$L$1993,MATCH(A109&amp;"ENTRADA",Movimientos!$S$2:$S$1993,0)),"-"))</f>
        <v/>
      </c>
      <c r="F109" s="8" t="str">
        <f>IF(A109="","",COUNTIFS(Stock_por_Lote!$B:$B,A109,Stock_por_Lote!$J:$J,"&gt;0"))</f>
        <v/>
      </c>
      <c r="G109" s="9" t="str">
        <f>IF(A109="","",SUMIFS(Movimientos!$K:$K,Movimientos!$C:$C,A109))</f>
        <v/>
      </c>
      <c r="H109" s="14" t="str">
        <f>IF(A109="","",IFERROR(IF(_xlfn.MINIFS(Stock_por_Lote!$H:$H,Stock_por_Lote!$B:$B,A109,Stock_por_Lote!$J:$J,"&gt;0")=0,"S/D",_xlfn.MINIFS(Stock_por_Lote!$H:$H,Stock_por_Lote!$B:$B,A109,Stock_por_Lote!$J:$J,"&gt;0")),"S/D"))</f>
        <v/>
      </c>
    </row>
    <row r="110" spans="2:8" ht="14.25">
      <c r="B110" s="3" t="str">
        <f>IF(A110="","",IFERROR(INDEX(Movimientos!$D$2:$D$1993,MATCH(A110&amp;"ENTRADA",Movimientos!$S$2:$S$1993,0)),"-"))</f>
        <v/>
      </c>
      <c r="C110" s="3" t="str">
        <f>IF(A110="","",IFERROR(INDEX(Movimientos!$E$2:$E$1993,MATCH(A110&amp;"ENTRADA",Movimientos!$S$2:$S$1993,0)),"-"))</f>
        <v/>
      </c>
      <c r="D110" s="3" t="str">
        <f>IF(A110="","",IFERROR(INDEX(Movimientos!$F$2:$F$1993,MATCH(A110&amp;"ENTRADA",Movimientos!$S$2:$S$1993,0)),"-"))</f>
        <v/>
      </c>
      <c r="E110" s="3" t="str">
        <f>IF(A110="","",IFERROR(INDEX(Movimientos!$L$2:$L$1993,MATCH(A110&amp;"ENTRADA",Movimientos!$S$2:$S$1993,0)),"-"))</f>
        <v/>
      </c>
      <c r="F110" s="8" t="str">
        <f>IF(A110="","",COUNTIFS(Stock_por_Lote!$B:$B,A110,Stock_por_Lote!$J:$J,"&gt;0"))</f>
        <v/>
      </c>
      <c r="G110" s="9" t="str">
        <f>IF(A110="","",SUMIFS(Movimientos!$K:$K,Movimientos!$C:$C,A110))</f>
        <v/>
      </c>
      <c r="H110" s="14" t="str">
        <f>IF(A110="","",IFERROR(IF(_xlfn.MINIFS(Stock_por_Lote!$H:$H,Stock_por_Lote!$B:$B,A110,Stock_por_Lote!$J:$J,"&gt;0")=0,"S/D",_xlfn.MINIFS(Stock_por_Lote!$H:$H,Stock_por_Lote!$B:$B,A110,Stock_por_Lote!$J:$J,"&gt;0")),"S/D"))</f>
        <v/>
      </c>
    </row>
    <row r="111" spans="2:8" ht="14.25">
      <c r="B111" s="3" t="str">
        <f>IF(A111="","",IFERROR(INDEX(Movimientos!$D$2:$D$1993,MATCH(A111&amp;"ENTRADA",Movimientos!$S$2:$S$1993,0)),"-"))</f>
        <v/>
      </c>
      <c r="C111" s="3" t="str">
        <f>IF(A111="","",IFERROR(INDEX(Movimientos!$E$2:$E$1993,MATCH(A111&amp;"ENTRADA",Movimientos!$S$2:$S$1993,0)),"-"))</f>
        <v/>
      </c>
      <c r="D111" s="3" t="str">
        <f>IF(A111="","",IFERROR(INDEX(Movimientos!$F$2:$F$1993,MATCH(A111&amp;"ENTRADA",Movimientos!$S$2:$S$1993,0)),"-"))</f>
        <v/>
      </c>
      <c r="E111" s="3" t="str">
        <f>IF(A111="","",IFERROR(INDEX(Movimientos!$L$2:$L$1993,MATCH(A111&amp;"ENTRADA",Movimientos!$S$2:$S$1993,0)),"-"))</f>
        <v/>
      </c>
      <c r="F111" s="8" t="str">
        <f>IF(A111="","",COUNTIFS(Stock_por_Lote!$B:$B,A111,Stock_por_Lote!$J:$J,"&gt;0"))</f>
        <v/>
      </c>
      <c r="G111" s="9" t="str">
        <f>IF(A111="","",SUMIFS(Movimientos!$K:$K,Movimientos!$C:$C,A111))</f>
        <v/>
      </c>
      <c r="H111" s="14" t="str">
        <f>IF(A111="","",IFERROR(IF(_xlfn.MINIFS(Stock_por_Lote!$H:$H,Stock_por_Lote!$B:$B,A111,Stock_por_Lote!$J:$J,"&gt;0")=0,"S/D",_xlfn.MINIFS(Stock_por_Lote!$H:$H,Stock_por_Lote!$B:$B,A111,Stock_por_Lote!$J:$J,"&gt;0")),"S/D"))</f>
        <v/>
      </c>
    </row>
    <row r="112" spans="2:8" ht="14.25">
      <c r="B112" s="3" t="str">
        <f>IF(A112="","",IFERROR(INDEX(Movimientos!$D$2:$D$1993,MATCH(A112&amp;"ENTRADA",Movimientos!$S$2:$S$1993,0)),"-"))</f>
        <v/>
      </c>
      <c r="C112" s="3" t="str">
        <f>IF(A112="","",IFERROR(INDEX(Movimientos!$E$2:$E$1993,MATCH(A112&amp;"ENTRADA",Movimientos!$S$2:$S$1993,0)),"-"))</f>
        <v/>
      </c>
      <c r="D112" s="3" t="str">
        <f>IF(A112="","",IFERROR(INDEX(Movimientos!$F$2:$F$1993,MATCH(A112&amp;"ENTRADA",Movimientos!$S$2:$S$1993,0)),"-"))</f>
        <v/>
      </c>
      <c r="E112" s="3" t="str">
        <f>IF(A112="","",IFERROR(INDEX(Movimientos!$L$2:$L$1993,MATCH(A112&amp;"ENTRADA",Movimientos!$S$2:$S$1993,0)),"-"))</f>
        <v/>
      </c>
      <c r="F112" s="8" t="str">
        <f>IF(A112="","",COUNTIFS(Stock_por_Lote!$B:$B,A112,Stock_por_Lote!$J:$J,"&gt;0"))</f>
        <v/>
      </c>
      <c r="G112" s="9" t="str">
        <f>IF(A112="","",SUMIFS(Movimientos!$K:$K,Movimientos!$C:$C,A112))</f>
        <v/>
      </c>
      <c r="H112" s="14" t="str">
        <f>IF(A112="","",IFERROR(IF(_xlfn.MINIFS(Stock_por_Lote!$H:$H,Stock_por_Lote!$B:$B,A112,Stock_por_Lote!$J:$J,"&gt;0")=0,"S/D",_xlfn.MINIFS(Stock_por_Lote!$H:$H,Stock_por_Lote!$B:$B,A112,Stock_por_Lote!$J:$J,"&gt;0")),"S/D"))</f>
        <v/>
      </c>
    </row>
  </sheetData>
  <autoFilter ref="A1:H112" xr:uid="{00000000-0001-0000-0200-000000000000}"/>
  <conditionalFormatting sqref="A9">
    <cfRule type="expression" dxfId="13" priority="7">
      <formula>$I9="ENTRADA"</formula>
    </cfRule>
    <cfRule type="expression" dxfId="12" priority="8">
      <formula>$I9="SALIDA"</formula>
    </cfRule>
  </conditionalFormatting>
  <conditionalFormatting sqref="A61">
    <cfRule type="expression" dxfId="11" priority="3">
      <formula>$I61="ENTRADA"</formula>
    </cfRule>
    <cfRule type="expression" dxfId="10" priority="4">
      <formula>$I61="SALIDA"</formula>
    </cfRule>
  </conditionalFormatting>
  <conditionalFormatting sqref="A83">
    <cfRule type="expression" dxfId="9" priority="1">
      <formula>$I83="ENTRADA"</formula>
    </cfRule>
    <cfRule type="expression" dxfId="8" priority="2">
      <formula>$I83="SALIDA"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6AC2C7AF-152F-4BC0-BF0D-9B82F824496E}">
          <x14:formula1>
            <xm:f>Listas!$A$2:$A$199</xm:f>
          </x14:formula1>
          <xm:sqref>A9 A39:A55 A61 A83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1003"/>
  <sheetViews>
    <sheetView showGridLines="0" workbookViewId="0">
      <pane ySplit="1" topLeftCell="A17" activePane="bottomLeft" state="frozen"/>
      <selection pane="bottomLeft" activeCell="A66" sqref="A66"/>
    </sheetView>
  </sheetViews>
  <sheetFormatPr defaultColWidth="9.140625" defaultRowHeight="15"/>
  <cols>
    <col min="1" max="1" width="14" style="15" customWidth="1"/>
    <col min="2" max="2" width="24" style="15" customWidth="1"/>
    <col min="3" max="3" width="36.42578125" style="15" bestFit="1" customWidth="1"/>
    <col min="4" max="4" width="14" style="15" customWidth="1"/>
    <col min="5" max="5" width="16" style="15" customWidth="1"/>
    <col min="6" max="6" width="18" style="15" customWidth="1"/>
    <col min="7" max="7" width="8" style="15" customWidth="1"/>
    <col min="8" max="8" width="12.85546875" style="15" customWidth="1"/>
    <col min="9" max="9" width="12.140625" style="15" bestFit="1" customWidth="1"/>
    <col min="10" max="10" width="12" style="15" customWidth="1"/>
    <col min="11" max="11" width="23.5703125" style="15" customWidth="1"/>
    <col min="12" max="16384" width="9.140625" style="15"/>
  </cols>
  <sheetData>
    <row r="1" spans="1:11" ht="36">
      <c r="A1" s="18" t="s">
        <v>2369</v>
      </c>
      <c r="B1" s="23" t="s">
        <v>2358</v>
      </c>
      <c r="C1" s="23" t="s">
        <v>2370</v>
      </c>
      <c r="D1" s="23" t="s">
        <v>4</v>
      </c>
      <c r="E1" s="23" t="s">
        <v>5</v>
      </c>
      <c r="F1" s="23" t="s">
        <v>6</v>
      </c>
      <c r="G1" s="23" t="s">
        <v>11</v>
      </c>
      <c r="H1" s="23" t="s">
        <v>2371</v>
      </c>
      <c r="I1" s="18" t="s">
        <v>2372</v>
      </c>
      <c r="J1" s="18" t="s">
        <v>2373</v>
      </c>
      <c r="K1" s="18" t="s">
        <v>2374</v>
      </c>
    </row>
    <row r="2" spans="1:11">
      <c r="A2" s="16" t="s">
        <v>198</v>
      </c>
      <c r="B2" s="2" t="str">
        <f>IFERROR(INDEX(Movimientos!$C$2:$C$1993,MATCH(A2&amp;"ENTRADA",Movimientos!$R$2:$R$1993,0)),"-")</f>
        <v>Colza Curry CL</v>
      </c>
      <c r="C2" s="2" t="str">
        <f>IFERROR(INDEX(Movimientos!$D$2:$D$1993,MATCH(A2&amp;"ENTRADA",Movimientos!$R$2:$R$1993,0)),"-")</f>
        <v>CURRY CL</v>
      </c>
      <c r="D2" s="2" t="str">
        <f>IFERROR(INDEX(Movimientos!$E$2:$E$1993,MATCH(A2&amp;"ENTRADA",Movimientos!$R$2:$R$1993,0)),"-")</f>
        <v>Semilla</v>
      </c>
      <c r="E2" s="2" t="str">
        <f>IFERROR(INDEX(Movimientos!$F$2:$F$1993,MATCH(A2&amp;"ENTRADA",Movimientos!$R$2:$R$1993,0)),"-")</f>
        <v>Colza</v>
      </c>
      <c r="F2" s="2" t="str">
        <f>IFERROR(INDEX(Movimientos!$G$2:$G$1993,MATCH(A2&amp;"ENTRADA",Movimientos!$R$2:$R$1993,0)),"-")</f>
        <v>ERRO</v>
      </c>
      <c r="G2" s="2" t="str">
        <f>IFERROR(INDEX(Movimientos!$L$2:$L$1993,MATCH(A2&amp;"ENTRADA",Movimientos!$R$2:$R$1993,0)),"-")</f>
        <v>kg</v>
      </c>
      <c r="H2" s="17" t="str">
        <f>IFERROR(IF(INDEX(Movimientos!$M$2:$M$1993,MATCH(A2&amp;"ENTRADA",Movimientos!$R$2:$R$1993,0))=0,"S/D",INDEX(Movimientos!$M$2:$M$1993,MATCH(A2&amp;"ENTRADA",Movimientos!$R$2:$R$1993,0))),"S/D")</f>
        <v>S/D</v>
      </c>
      <c r="I2" s="15" t="str">
        <f t="shared" ref="I2:I8" ca="1" si="0">IF(OR(A2="",H2="S/D"),"S/D",H2-TODAY())</f>
        <v>S/D</v>
      </c>
      <c r="J2" s="5">
        <f>IF(A2="","",SUMIFS(Movimientos!$K:$K,Movimientos!$H:$H,A2))</f>
        <v>0</v>
      </c>
      <c r="K2" s="13" t="str">
        <f t="shared" ref="K2:K61" ca="1" si="1">IF(A2="","",IF(J2&lt;0.01,"SIN STOCK",IF(H2="S/D","OK",IF(H2&lt;TODAY(),"VENCIDO",IF(I2&gt;=180,"OK","PRÓXIMO A VENCER")))))</f>
        <v>SIN STOCK</v>
      </c>
    </row>
    <row r="3" spans="1:11">
      <c r="A3" s="16" t="s">
        <v>106</v>
      </c>
      <c r="B3" s="2" t="str">
        <f>IFERROR(INDEX(Movimientos!$C$2:$C$1993,MATCH(A3&amp;"ENTRADA",Movimientos!$R$2:$R$1993,0)),"-")</f>
        <v>Korvetto</v>
      </c>
      <c r="C3" s="2" t="str">
        <f>IFERROR(INDEX(Movimientos!$D$2:$D$1993,MATCH(A3&amp;"ENTRADA",Movimientos!$R$2:$R$1993,0)),"-")</f>
        <v xml:space="preserve">Clopyralid 12% + Halauxyfen methyl 0,51% </v>
      </c>
      <c r="D3" s="2" t="str">
        <f>IFERROR(INDEX(Movimientos!$E$2:$E$1993,MATCH(A3&amp;"ENTRADA",Movimientos!$R$2:$R$1993,0)),"-")</f>
        <v>Herbicida</v>
      </c>
      <c r="E3" s="2" t="str">
        <f>IFERROR(INDEX(Movimientos!$F$2:$F$1993,MATCH(A3&amp;"ENTRADA",Movimientos!$R$2:$R$1993,0)),"-")</f>
        <v>Postemergente</v>
      </c>
      <c r="F3" s="2" t="str">
        <f>IFERROR(INDEX(Movimientos!$G$2:$G$1993,MATCH(A3&amp;"ENTRADA",Movimientos!$R$2:$R$1993,0)),"-")</f>
        <v>GS Agro</v>
      </c>
      <c r="G3" s="2" t="str">
        <f>IFERROR(INDEX(Movimientos!$L$2:$L$1993,MATCH(A3&amp;"ENTRADA",Movimientos!$R$2:$R$1993,0)),"-")</f>
        <v>L</v>
      </c>
      <c r="H3" s="17">
        <f>IFERROR(IF(INDEX(Movimientos!$M$2:$M$1993,MATCH(A3&amp;"ENTRADA",Movimientos!$R$2:$R$1993,0))=0,"S/D",INDEX(Movimientos!$M$2:$M$1993,MATCH(A3&amp;"ENTRADA",Movimientos!$R$2:$R$1993,0))),"S/D")</f>
        <v>46710</v>
      </c>
      <c r="I3" s="15">
        <f t="shared" ca="1" si="0"/>
        <v>401</v>
      </c>
      <c r="J3" s="5">
        <f>IF(A3="","",SUMIFS(Movimientos!$K:$K,Movimientos!$H:$H,A3))</f>
        <v>10</v>
      </c>
      <c r="K3" s="13" t="str">
        <f t="shared" ca="1" si="1"/>
        <v>OK</v>
      </c>
    </row>
    <row r="4" spans="1:11">
      <c r="A4" s="16" t="s">
        <v>471</v>
      </c>
      <c r="B4" s="2" t="str">
        <f>IFERROR(INDEX(Movimientos!$C$2:$C$1993,MATCH(A4&amp;"ENTRADA",Movimientos!$R$2:$R$1993,0)),"-")</f>
        <v>Lontrel</v>
      </c>
      <c r="C4" s="2" t="str">
        <f>IFERROR(INDEX(Movimientos!$D$2:$D$1993,MATCH(A4&amp;"ENTRADA",Movimientos!$R$2:$R$1993,0)),"-")</f>
        <v>Clopyralid sal monoetanolamina 40.9%</v>
      </c>
      <c r="D4" s="2" t="str">
        <f>IFERROR(INDEX(Movimientos!$E$2:$E$1993,MATCH(A4&amp;"ENTRADA",Movimientos!$R$2:$R$1993,0)),"-")</f>
        <v>Herbicida</v>
      </c>
      <c r="E4" s="2" t="str">
        <f>IFERROR(INDEX(Movimientos!$F$2:$F$1993,MATCH(A4&amp;"ENTRADA",Movimientos!$R$2:$R$1993,0)),"-")</f>
        <v>Postemergente</v>
      </c>
      <c r="F4" s="2" t="str">
        <f>IFERROR(INDEX(Movimientos!$G$2:$G$1993,MATCH(A4&amp;"ENTRADA",Movimientos!$R$2:$R$1993,0)),"-")</f>
        <v>GS Agro</v>
      </c>
      <c r="G4" s="2" t="str">
        <f>IFERROR(INDEX(Movimientos!$L$2:$L$1993,MATCH(A4&amp;"ENTRADA",Movimientos!$R$2:$R$1993,0)),"-")</f>
        <v>L</v>
      </c>
      <c r="H4" s="17">
        <f>IFERROR(IF(INDEX(Movimientos!$M$2:$M$1993,MATCH(A4&amp;"ENTRADA",Movimientos!$R$2:$R$1993,0))=0,"S/D",INDEX(Movimientos!$M$2:$M$1993,MATCH(A4&amp;"ENTRADA",Movimientos!$R$2:$R$1993,0))),"S/D")</f>
        <v>46500</v>
      </c>
      <c r="I4" s="15">
        <f t="shared" ca="1" si="0"/>
        <v>191</v>
      </c>
      <c r="J4" s="5">
        <f>IF(A4="","",SUMIFS(Movimientos!$K:$K,Movimientos!$H:$H,A4))</f>
        <v>255</v>
      </c>
      <c r="K4" s="13" t="str">
        <f t="shared" ca="1" si="1"/>
        <v>OK</v>
      </c>
    </row>
    <row r="5" spans="1:11">
      <c r="A5" s="16" t="s">
        <v>64</v>
      </c>
      <c r="B5" s="2" t="str">
        <f>IFERROR(INDEX(Movimientos!$C$2:$C$1993,MATCH(A5&amp;"ENTRADA",Movimientos!$R$2:$R$1993,0)),"-")</f>
        <v>Preside</v>
      </c>
      <c r="C5" s="2" t="str">
        <f>IFERROR(INDEX(Movimientos!$D$2:$D$1993,MATCH(A5&amp;"ENTRADA",Movimientos!$R$2:$R$1993,0)),"-")</f>
        <v>Flumetsulam 11,35%</v>
      </c>
      <c r="D5" s="2" t="str">
        <f>IFERROR(INDEX(Movimientos!$E$2:$E$1993,MATCH(A5&amp;"ENTRADA",Movimientos!$R$2:$R$1993,0)),"-")</f>
        <v>Herbicida</v>
      </c>
      <c r="E5" s="2" t="str">
        <f>IFERROR(INDEX(Movimientos!$F$2:$F$1993,MATCH(A5&amp;"ENTRADA",Movimientos!$R$2:$R$1993,0)),"-")</f>
        <v>Preemergente</v>
      </c>
      <c r="F5" s="2" t="str">
        <f>IFERROR(INDEX(Movimientos!$G$2:$G$1993,MATCH(A5&amp;"ENTRADA",Movimientos!$R$2:$R$1993,0)),"-")</f>
        <v>GS Agro</v>
      </c>
      <c r="G5" s="2" t="str">
        <f>IFERROR(INDEX(Movimientos!$L$2:$L$1993,MATCH(A5&amp;"ENTRADA",Movimientos!$R$2:$R$1993,0)),"-")</f>
        <v>L</v>
      </c>
      <c r="H5" s="17">
        <f>IFERROR(IF(INDEX(Movimientos!$M$2:$M$1993,MATCH(A5&amp;"ENTRADA",Movimientos!$R$2:$R$1993,0))=0,"S/D",INDEX(Movimientos!$M$2:$M$1993,MATCH(A5&amp;"ENTRADA",Movimientos!$R$2:$R$1993,0))),"S/D")</f>
        <v>46528</v>
      </c>
      <c r="I5" s="15">
        <f t="shared" ca="1" si="0"/>
        <v>219</v>
      </c>
      <c r="J5" s="5">
        <f>IF(A5="","",SUMIFS(Movimientos!$K:$K,Movimientos!$H:$H,A5))</f>
        <v>1820</v>
      </c>
      <c r="K5" s="13" t="str">
        <f t="shared" ca="1" si="1"/>
        <v>OK</v>
      </c>
    </row>
    <row r="6" spans="1:11">
      <c r="A6" s="16" t="s">
        <v>2375</v>
      </c>
      <c r="B6" s="2" t="str">
        <f>IFERROR(INDEX(Movimientos!$C$2:$C$1993,MATCH(A6&amp;"ENTRADA",Movimientos!$R$2:$R$1993,0)),"-")</f>
        <v>Preside</v>
      </c>
      <c r="C6" s="2" t="str">
        <f>IFERROR(INDEX(Movimientos!$D$2:$D$1993,MATCH(A6&amp;"ENTRADA",Movimientos!$R$2:$R$1993,0)),"-")</f>
        <v>Flumetsulam 11,35%</v>
      </c>
      <c r="D6" s="2" t="str">
        <f>IFERROR(INDEX(Movimientos!$E$2:$E$1993,MATCH(A6&amp;"ENTRADA",Movimientos!$R$2:$R$1993,0)),"-")</f>
        <v>Herbicida</v>
      </c>
      <c r="E6" s="2" t="str">
        <f>IFERROR(INDEX(Movimientos!$F$2:$F$1993,MATCH(A6&amp;"ENTRADA",Movimientos!$R$2:$R$1993,0)),"-")</f>
        <v>Preemergente</v>
      </c>
      <c r="F6" s="2" t="str">
        <f>IFERROR(INDEX(Movimientos!$G$2:$G$1993,MATCH(A6&amp;"ENTRADA",Movimientos!$R$2:$R$1993,0)),"-")</f>
        <v>GS Agro</v>
      </c>
      <c r="G6" s="2" t="str">
        <f>IFERROR(INDEX(Movimientos!$L$2:$L$1993,MATCH(A6&amp;"ENTRADA",Movimientos!$R$2:$R$1993,0)),"-")</f>
        <v>L</v>
      </c>
      <c r="H6" s="17">
        <f>IFERROR(IF(INDEX(Movimientos!$M$2:$M$1993,MATCH(A6&amp;"ENTRADA",Movimientos!$R$2:$R$1993,0))=0,"S/D",INDEX(Movimientos!$M$2:$M$1993,MATCH(A6&amp;"ENTRADA",Movimientos!$R$2:$R$1993,0))),"S/D")</f>
        <v>46761</v>
      </c>
      <c r="I6" s="15">
        <f t="shared" ca="1" si="0"/>
        <v>452</v>
      </c>
      <c r="J6" s="5">
        <f>IF(A6="","",SUMIFS(Movimientos!$K:$K,Movimientos!$H:$H,A6))</f>
        <v>100</v>
      </c>
      <c r="K6" s="13" t="str">
        <f t="shared" ca="1" si="1"/>
        <v>OK</v>
      </c>
    </row>
    <row r="7" spans="1:11">
      <c r="A7" s="16" t="s">
        <v>281</v>
      </c>
      <c r="B7" s="2" t="str">
        <f>IFERROR(INDEX(Movimientos!$C$2:$C$1993,MATCH(A7&amp;"ENTRADA",Movimientos!$R$2:$R$1993,0)),"-")</f>
        <v>Tordon 24K</v>
      </c>
      <c r="C7" s="2" t="str">
        <f>IFERROR(INDEX(Movimientos!$D$2:$D$1993,MATCH(A7&amp;"ENTRADA",Movimientos!$R$2:$R$1993,0)),"-")</f>
        <v>Picloram 24,9%</v>
      </c>
      <c r="D7" s="2" t="str">
        <f>IFERROR(INDEX(Movimientos!$E$2:$E$1993,MATCH(A7&amp;"ENTRADA",Movimientos!$R$2:$R$1993,0)),"-")</f>
        <v>Herbicida</v>
      </c>
      <c r="E7" s="2" t="str">
        <f>IFERROR(INDEX(Movimientos!$F$2:$F$1993,MATCH(A7&amp;"ENTRADA",Movimientos!$R$2:$R$1993,0)),"-")</f>
        <v>Postemergente</v>
      </c>
      <c r="F7" s="2" t="str">
        <f>IFERROR(INDEX(Movimientos!$G$2:$G$1993,MATCH(A7&amp;"ENTRADA",Movimientos!$R$2:$R$1993,0)),"-")</f>
        <v>GS Agro</v>
      </c>
      <c r="G7" s="2" t="str">
        <f>IFERROR(INDEX(Movimientos!$L$2:$L$1993,MATCH(A7&amp;"ENTRADA",Movimientos!$R$2:$R$1993,0)),"-")</f>
        <v>L</v>
      </c>
      <c r="H7" s="17">
        <f>IFERROR(IF(INDEX(Movimientos!$M$2:$M$1993,MATCH(A7&amp;"ENTRADA",Movimientos!$R$2:$R$1993,0))=0,"S/D",INDEX(Movimientos!$M$2:$M$1993,MATCH(A7&amp;"ENTRADA",Movimientos!$R$2:$R$1993,0))),"S/D")</f>
        <v>46517</v>
      </c>
      <c r="I7" s="15">
        <f t="shared" ca="1" si="0"/>
        <v>208</v>
      </c>
      <c r="J7" s="5">
        <f>IF(A7="","",SUMIFS(Movimientos!$K:$K,Movimientos!$H:$H,A7))</f>
        <v>70</v>
      </c>
      <c r="K7" s="13" t="str">
        <f t="shared" ca="1" si="1"/>
        <v>OK</v>
      </c>
    </row>
    <row r="8" spans="1:11">
      <c r="A8" s="16" t="s">
        <v>97</v>
      </c>
      <c r="B8" s="2" t="str">
        <f>IFERROR(INDEX(Movimientos!$C$2:$C$1993,MATCH(A8&amp;"ENTRADA",Movimientos!$R$2:$R$1993,0)),"-")</f>
        <v>Tronador</v>
      </c>
      <c r="C8" s="2" t="str">
        <f>IFERROR(INDEX(Movimientos!$D$2:$D$1993,MATCH(A8&amp;"ENTRADA",Movimientos!$R$2:$R$1993,0)),"-")</f>
        <v>Halauxifen metil 3.3% + Aminopyralid 2.7% + Metsulfuron metil 20%</v>
      </c>
      <c r="D8" s="2" t="str">
        <f>IFERROR(INDEX(Movimientos!$E$2:$E$1993,MATCH(A8&amp;"ENTRADA",Movimientos!$R$2:$R$1993,0)),"-")</f>
        <v>Herbicida</v>
      </c>
      <c r="E8" s="2" t="str">
        <f>IFERROR(INDEX(Movimientos!$F$2:$F$1993,MATCH(A8&amp;"ENTRADA",Movimientos!$R$2:$R$1993,0)),"-")</f>
        <v>Postemergente</v>
      </c>
      <c r="F8" s="2" t="str">
        <f>IFERROR(INDEX(Movimientos!$G$2:$G$1993,MATCH(A8&amp;"ENTRADA",Movimientos!$R$2:$R$1993,0)),"-")</f>
        <v>GS Agro</v>
      </c>
      <c r="G8" s="2" t="str">
        <f>IFERROR(INDEX(Movimientos!$L$2:$L$1993,MATCH(A8&amp;"ENTRADA",Movimientos!$R$2:$R$1993,0)),"-")</f>
        <v>Pack</v>
      </c>
      <c r="H8" s="17">
        <f>IFERROR(IF(INDEX(Movimientos!$M$2:$M$1993,MATCH(A8&amp;"ENTRADA",Movimientos!$R$2:$R$1993,0))=0,"S/D",INDEX(Movimientos!$M$2:$M$1993,MATCH(A8&amp;"ENTRADA",Movimientos!$R$2:$R$1993,0))),"S/D")</f>
        <v>46443</v>
      </c>
      <c r="I8" s="15">
        <f t="shared" ca="1" si="0"/>
        <v>134</v>
      </c>
      <c r="J8" s="5">
        <f>IF(A8="","",SUMIFS(Movimientos!$K:$K,Movimientos!$H:$H,A8))</f>
        <v>0</v>
      </c>
      <c r="K8" s="13" t="str">
        <f t="shared" ca="1" si="1"/>
        <v>SIN STOCK</v>
      </c>
    </row>
    <row r="9" spans="1:11">
      <c r="A9" s="16" t="s">
        <v>68</v>
      </c>
      <c r="B9" s="2" t="str">
        <f>IFERROR(INDEX(Movimientos!$C$2:$C$1993,MATCH(A9&amp;"ENTRADA",Movimientos!$R$2:$R$1993,0)),"-")</f>
        <v>Venceweed extra</v>
      </c>
      <c r="C9" s="2" t="str">
        <f>IFERROR(INDEX(Movimientos!$D$2:$D$1993,MATCH(A9&amp;"ENTRADA",Movimientos!$R$2:$R$1993,0)),"-")</f>
        <v>2,4-Db-Butilo 93.1%</v>
      </c>
      <c r="D9" s="2" t="str">
        <f>IFERROR(INDEX(Movimientos!$E$2:$E$1993,MATCH(A9&amp;"ENTRADA",Movimientos!$R$2:$R$1993,0)),"-")</f>
        <v>Herbicida</v>
      </c>
      <c r="E9" s="2" t="str">
        <f>IFERROR(INDEX(Movimientos!$F$2:$F$1993,MATCH(A9&amp;"ENTRADA",Movimientos!$R$2:$R$1993,0)),"-")</f>
        <v>Postemergente</v>
      </c>
      <c r="F9" s="2" t="str">
        <f>IFERROR(INDEX(Movimientos!$G$2:$G$1993,MATCH(A9&amp;"ENTRADA",Movimientos!$R$2:$R$1993,0)),"-")</f>
        <v>GS Agro</v>
      </c>
      <c r="G9" s="2" t="str">
        <f>IFERROR(INDEX(Movimientos!$L$2:$L$1993,MATCH(A9&amp;"ENTRADA",Movimientos!$R$2:$R$1993,0)),"-")</f>
        <v>L</v>
      </c>
      <c r="H9" s="17">
        <f>IFERROR(IF(INDEX(Movimientos!$M$2:$M$1993,MATCH(A9&amp;"ENTRADA",Movimientos!$R$2:$R$1993,0))=0,"S/D",INDEX(Movimientos!$M$2:$M$1993,MATCH(A9&amp;"ENTRADA",Movimientos!$R$2:$R$1993,0))),"S/D")</f>
        <v>46737</v>
      </c>
      <c r="I9" s="15">
        <f t="shared" ref="I9:I68" ca="1" si="2">IF(OR(A9="",H9="S/D"),"S/D",H9-TODAY())</f>
        <v>428</v>
      </c>
      <c r="J9" s="5">
        <f>IF(A9="","",SUMIFS(Movimientos!$K:$K,Movimientos!$H:$H,A9))</f>
        <v>1700</v>
      </c>
      <c r="K9" s="13" t="str">
        <f t="shared" ca="1" si="1"/>
        <v>OK</v>
      </c>
    </row>
    <row r="10" spans="1:11">
      <c r="A10" s="16" t="s">
        <v>154</v>
      </c>
      <c r="B10" s="2" t="str">
        <f>IFERROR(INDEX(Movimientos!$C$2:$C$1993,MATCH(A10&amp;"ENTRADA",Movimientos!$R$2:$R$1993,0)),"-")</f>
        <v>Silobolsa</v>
      </c>
      <c r="C10" s="2" t="str">
        <f>IFERROR(INDEX(Movimientos!$D$2:$D$1993,MATCH(A10&amp;"ENTRADA",Movimientos!$R$2:$R$1993,0)),"-")</f>
        <v>Silobolsa 9 pies</v>
      </c>
      <c r="D10" s="2" t="str">
        <f>IFERROR(INDEX(Movimientos!$E$2:$E$1993,MATCH(A10&amp;"ENTRADA",Movimientos!$R$2:$R$1993,0)),"-")</f>
        <v>Silobolsa</v>
      </c>
      <c r="E10" s="2">
        <f>IFERROR(INDEX(Movimientos!$F$2:$F$1993,MATCH(A10&amp;"ENTRADA",Movimientos!$R$2:$R$1993,0)),"-")</f>
        <v>0</v>
      </c>
      <c r="F10" s="2" t="str">
        <f>IFERROR(INDEX(Movimientos!$G$2:$G$1993,MATCH(A10&amp;"ENTRADA",Movimientos!$R$2:$R$1993,0)),"-")</f>
        <v>AYP Agrogestiones</v>
      </c>
      <c r="G10" s="2" t="str">
        <f>IFERROR(INDEX(Movimientos!$L$2:$L$1993,MATCH(A10&amp;"ENTRADA",Movimientos!$R$2:$R$1993,0)),"-")</f>
        <v>unidad</v>
      </c>
      <c r="H10" s="17" t="str">
        <f>IFERROR(IF(INDEX(Movimientos!$M$2:$M$1993,MATCH(A10&amp;"ENTRADA",Movimientos!$R$2:$R$1993,0))=0,"S/D",INDEX(Movimientos!$M$2:$M$1993,MATCH(A10&amp;"ENTRADA",Movimientos!$R$2:$R$1993,0))),"S/D")</f>
        <v>S/D</v>
      </c>
      <c r="I10" s="15" t="str">
        <f t="shared" ca="1" si="2"/>
        <v>S/D</v>
      </c>
      <c r="J10" s="5">
        <f>IF(A10="","",SUMIFS(Movimientos!$K:$K,Movimientos!$H:$H,A10))</f>
        <v>0</v>
      </c>
      <c r="K10" s="13" t="str">
        <f t="shared" ca="1" si="1"/>
        <v>SIN STOCK</v>
      </c>
    </row>
    <row r="11" spans="1:11">
      <c r="A11" s="16" t="s">
        <v>94</v>
      </c>
      <c r="B11" s="2" t="str">
        <f>IFERROR(INDEX(Movimientos!$C$2:$C$1993,MATCH(A11&amp;"ENTRADA",Movimientos!$R$2:$R$1993,0)),"-")</f>
        <v>Dedalo elite</v>
      </c>
      <c r="C11" s="2" t="str">
        <f>IFERROR(INDEX(Movimientos!$D$2:$D$1993,MATCH(A11&amp;"ENTRADA",Movimientos!$R$2:$R$1993,0)),"-")</f>
        <v>2,4 D Acido 27.2%</v>
      </c>
      <c r="D11" s="2" t="str">
        <f>IFERROR(INDEX(Movimientos!$E$2:$E$1993,MATCH(A11&amp;"ENTRADA",Movimientos!$R$2:$R$1993,0)),"-")</f>
        <v>Herbicida</v>
      </c>
      <c r="E11" s="2" t="str">
        <f>IFERROR(INDEX(Movimientos!$F$2:$F$1993,MATCH(A11&amp;"ENTRADA",Movimientos!$R$2:$R$1993,0)),"-")</f>
        <v>Postemergente</v>
      </c>
      <c r="F11" s="2" t="str">
        <f>IFERROR(INDEX(Movimientos!$G$2:$G$1993,MATCH(A11&amp;"ENTRADA",Movimientos!$R$2:$R$1993,0)),"-")</f>
        <v>Agromil</v>
      </c>
      <c r="G11" s="2" t="str">
        <f>IFERROR(INDEX(Movimientos!$L$2:$L$1993,MATCH(A11&amp;"ENTRADA",Movimientos!$R$2:$R$1993,0)),"-")</f>
        <v>L</v>
      </c>
      <c r="H11" s="17">
        <f>IFERROR(IF(INDEX(Movimientos!$M$2:$M$1993,MATCH(A11&amp;"ENTRADA",Movimientos!$R$2:$R$1993,0))=0,"S/D",INDEX(Movimientos!$M$2:$M$1993,MATCH(A11&amp;"ENTRADA",Movimientos!$R$2:$R$1993,0))),"S/D")</f>
        <v>46725</v>
      </c>
      <c r="I11" s="15">
        <f t="shared" ca="1" si="2"/>
        <v>416</v>
      </c>
      <c r="J11" s="5">
        <f>IF(A11="","",SUMIFS(Movimientos!$K:$K,Movimientos!$H:$H,A11))</f>
        <v>5960</v>
      </c>
      <c r="K11" s="13" t="str">
        <f t="shared" ca="1" si="1"/>
        <v>OK</v>
      </c>
    </row>
    <row r="12" spans="1:11">
      <c r="A12" s="16" t="s">
        <v>151</v>
      </c>
      <c r="B12" s="2" t="str">
        <f>IFERROR(INDEX(Movimientos!$C$2:$C$1993,MATCH(A12&amp;"ENTRADA",Movimientos!$R$2:$R$1993,0)),"-")</f>
        <v>Raigrás E284</v>
      </c>
      <c r="C12" s="2" t="str">
        <f>IFERROR(INDEX(Movimientos!$D$2:$D$1993,MATCH(A12&amp;"ENTRADA",Movimientos!$R$2:$R$1993,0)),"-")</f>
        <v>Estanzuela 284</v>
      </c>
      <c r="D12" s="2" t="str">
        <f>IFERROR(INDEX(Movimientos!$E$2:$E$1993,MATCH(A12&amp;"ENTRADA",Movimientos!$R$2:$R$1993,0)),"-")</f>
        <v>Semilla</v>
      </c>
      <c r="E12" s="2" t="str">
        <f>IFERROR(INDEX(Movimientos!$F$2:$F$1993,MATCH(A12&amp;"ENTRADA",Movimientos!$R$2:$R$1993,0)),"-")</f>
        <v>Raigrás</v>
      </c>
      <c r="F12" s="2" t="str">
        <f>IFERROR(INDEX(Movimientos!$G$2:$G$1993,MATCH(A12&amp;"ENTRADA",Movimientos!$R$2:$R$1993,0)),"-")</f>
        <v>Granicor</v>
      </c>
      <c r="G12" s="2" t="str">
        <f>IFERROR(INDEX(Movimientos!$L$2:$L$1993,MATCH(A12&amp;"ENTRADA",Movimientos!$R$2:$R$1993,0)),"-")</f>
        <v>kg</v>
      </c>
      <c r="H12" s="17" t="str">
        <f>IFERROR(IF(INDEX(Movimientos!$M$2:$M$1993,MATCH(A12&amp;"ENTRADA",Movimientos!$R$2:$R$1993,0))=0,"S/D",INDEX(Movimientos!$M$2:$M$1993,MATCH(A12&amp;"ENTRADA",Movimientos!$R$2:$R$1993,0))),"S/D")</f>
        <v>S/D</v>
      </c>
      <c r="I12" s="15" t="str">
        <f t="shared" ca="1" si="2"/>
        <v>S/D</v>
      </c>
      <c r="J12" s="5">
        <f>IF(A12="","",SUMIFS(Movimientos!$K:$K,Movimientos!$H:$H,A12))</f>
        <v>0</v>
      </c>
      <c r="K12" s="13" t="str">
        <f t="shared" ca="1" si="1"/>
        <v>SIN STOCK</v>
      </c>
    </row>
    <row r="13" spans="1:11">
      <c r="A13" s="16" t="s">
        <v>100</v>
      </c>
      <c r="B13" s="2" t="str">
        <f>IFERROR(INDEX(Movimientos!$C$2:$C$1993,MATCH(A13&amp;"ENTRADA",Movimientos!$R$2:$R$1993,0)),"-")</f>
        <v>Starane Xtra</v>
      </c>
      <c r="C13" s="2" t="str">
        <f>IFERROR(INDEX(Movimientos!$D$2:$D$1993,MATCH(A13&amp;"ENTRADA",Movimientos!$R$2:$R$1993,0)),"-")</f>
        <v>Fluroxypyr Meptil 45,52%</v>
      </c>
      <c r="D13" s="2" t="str">
        <f>IFERROR(INDEX(Movimientos!$E$2:$E$1993,MATCH(A13&amp;"ENTRADA",Movimientos!$R$2:$R$1993,0)),"-")</f>
        <v>Herbicida</v>
      </c>
      <c r="E13" s="2" t="str">
        <f>IFERROR(INDEX(Movimientos!$F$2:$F$1993,MATCH(A13&amp;"ENTRADA",Movimientos!$R$2:$R$1993,0)),"-")</f>
        <v>Postemergente</v>
      </c>
      <c r="F13" s="2" t="str">
        <f>IFERROR(INDEX(Movimientos!$G$2:$G$1993,MATCH(A13&amp;"ENTRADA",Movimientos!$R$2:$R$1993,0)),"-")</f>
        <v>GS Agro</v>
      </c>
      <c r="G13" s="2" t="str">
        <f>IFERROR(INDEX(Movimientos!$L$2:$L$1993,MATCH(A13&amp;"ENTRADA",Movimientos!$R$2:$R$1993,0)),"-")</f>
        <v>L</v>
      </c>
      <c r="H13" s="17">
        <f>IFERROR(IF(INDEX(Movimientos!$M$2:$M$1993,MATCH(A13&amp;"ENTRADA",Movimientos!$R$2:$R$1993,0))=0,"S/D",INDEX(Movimientos!$M$2:$M$1993,MATCH(A13&amp;"ENTRADA",Movimientos!$R$2:$R$1993,0))),"S/D")</f>
        <v>46509</v>
      </c>
      <c r="I13" s="15">
        <f t="shared" ca="1" si="2"/>
        <v>200</v>
      </c>
      <c r="J13" s="5">
        <f>IF(A13="","",SUMIFS(Movimientos!$K:$K,Movimientos!$H:$H,A13))</f>
        <v>0</v>
      </c>
      <c r="K13" s="13" t="str">
        <f t="shared" ca="1" si="1"/>
        <v>SIN STOCK</v>
      </c>
    </row>
    <row r="14" spans="1:11">
      <c r="A14" s="16" t="s">
        <v>103</v>
      </c>
      <c r="B14" s="2" t="str">
        <f>IFERROR(INDEX(Movimientos!$C$2:$C$1993,MATCH(A14&amp;"ENTRADA",Movimientos!$R$2:$R$1993,0)),"-")</f>
        <v>Pixxaro</v>
      </c>
      <c r="C14" s="2" t="str">
        <f>IFERROR(INDEX(Movimientos!$D$2:$D$1993,MATCH(A14&amp;"ENTRADA",Movimientos!$R$2:$R$1993,0)),"-")</f>
        <v>Fluroxypyr meptyl 34,91% + Halauxyfen methyl 1.64% + Cloquintocet mexyl 1.57%</v>
      </c>
      <c r="D14" s="2" t="str">
        <f>IFERROR(INDEX(Movimientos!$E$2:$E$1993,MATCH(A14&amp;"ENTRADA",Movimientos!$R$2:$R$1993,0)),"-")</f>
        <v>Herbicida</v>
      </c>
      <c r="E14" s="2" t="str">
        <f>IFERROR(INDEX(Movimientos!$F$2:$F$1993,MATCH(A14&amp;"ENTRADA",Movimientos!$R$2:$R$1993,0)),"-")</f>
        <v>Postemergente</v>
      </c>
      <c r="F14" s="2" t="str">
        <f>IFERROR(INDEX(Movimientos!$G$2:$G$1993,MATCH(A14&amp;"ENTRADA",Movimientos!$R$2:$R$1993,0)),"-")</f>
        <v>GS Agro</v>
      </c>
      <c r="G14" s="2" t="str">
        <f>IFERROR(INDEX(Movimientos!$L$2:$L$1993,MATCH(A14&amp;"ENTRADA",Movimientos!$R$2:$R$1993,0)),"-")</f>
        <v>L</v>
      </c>
      <c r="H14" s="17">
        <f>IFERROR(IF(INDEX(Movimientos!$M$2:$M$1993,MATCH(A14&amp;"ENTRADA",Movimientos!$R$2:$R$1993,0))=0,"S/D",INDEX(Movimientos!$M$2:$M$1993,MATCH(A14&amp;"ENTRADA",Movimientos!$R$2:$R$1993,0))),"S/D")</f>
        <v>46397</v>
      </c>
      <c r="I14" s="15">
        <f t="shared" ca="1" si="2"/>
        <v>88</v>
      </c>
      <c r="J14" s="5">
        <f>IF(A14="","",SUMIFS(Movimientos!$K:$K,Movimientos!$H:$H,A14))</f>
        <v>0</v>
      </c>
      <c r="K14" s="13" t="str">
        <f t="shared" ca="1" si="1"/>
        <v>SIN STOCK</v>
      </c>
    </row>
    <row r="15" spans="1:11">
      <c r="A15" s="16" t="s">
        <v>278</v>
      </c>
      <c r="B15" s="2" t="str">
        <f>IFERROR(INDEX(Movimientos!$C$2:$C$1993,MATCH(A15&amp;"ENTRADA",Movimientos!$R$2:$R$1993,0)),"-")</f>
        <v>Colza Hyola 575 CL</v>
      </c>
      <c r="C15" s="2" t="str">
        <f>IFERROR(INDEX(Movimientos!$D$2:$D$1993,MATCH(A15&amp;"ENTRADA",Movimientos!$R$2:$R$1993,0)),"-")</f>
        <v>HYOLA 575 CL</v>
      </c>
      <c r="D15" s="2" t="str">
        <f>IFERROR(INDEX(Movimientos!$E$2:$E$1993,MATCH(A15&amp;"ENTRADA",Movimientos!$R$2:$R$1993,0)),"-")</f>
        <v>Semilla</v>
      </c>
      <c r="E15" s="2" t="str">
        <f>IFERROR(INDEX(Movimientos!$F$2:$F$1993,MATCH(A15&amp;"ENTRADA",Movimientos!$R$2:$R$1993,0)),"-")</f>
        <v>Colza</v>
      </c>
      <c r="F15" s="2" t="str">
        <f>IFERROR(INDEX(Movimientos!$G$2:$G$1993,MATCH(A15&amp;"ENTRADA",Movimientos!$R$2:$R$1993,0)),"-")</f>
        <v>ERRO</v>
      </c>
      <c r="G15" s="2" t="str">
        <f>IFERROR(INDEX(Movimientos!$L$2:$L$1993,MATCH(A15&amp;"ENTRADA",Movimientos!$R$2:$R$1993,0)),"-")</f>
        <v>kg</v>
      </c>
      <c r="H15" s="17" t="str">
        <f>IFERROR(IF(INDEX(Movimientos!$M$2:$M$1993,MATCH(A15&amp;"ENTRADA",Movimientos!$R$2:$R$1993,0))=0,"S/D",INDEX(Movimientos!$M$2:$M$1993,MATCH(A15&amp;"ENTRADA",Movimientos!$R$2:$R$1993,0))),"S/D")</f>
        <v>S/D</v>
      </c>
      <c r="I15" s="15" t="str">
        <f t="shared" ca="1" si="2"/>
        <v>S/D</v>
      </c>
      <c r="J15" s="5">
        <f>IF(A15="","",SUMIFS(Movimientos!$K:$K,Movimientos!$H:$H,A15))</f>
        <v>0</v>
      </c>
      <c r="K15" s="13" t="str">
        <f t="shared" ca="1" si="1"/>
        <v>SIN STOCK</v>
      </c>
    </row>
    <row r="16" spans="1:11">
      <c r="A16" s="16" t="s">
        <v>215</v>
      </c>
      <c r="B16" s="2" t="str">
        <f>IFERROR(INDEX(Movimientos!$C$2:$C$1993,MATCH(A16&amp;"ENTRADA",Movimientos!$R$2:$R$1993,0)),"-")</f>
        <v>Colza Apolo CL</v>
      </c>
      <c r="C16" s="2" t="str">
        <f>IFERROR(INDEX(Movimientos!$D$2:$D$1993,MATCH(A16&amp;"ENTRADA",Movimientos!$R$2:$R$1993,0)),"-")</f>
        <v>APOLO CL</v>
      </c>
      <c r="D16" s="2" t="str">
        <f>IFERROR(INDEX(Movimientos!$E$2:$E$1993,MATCH(A16&amp;"ENTRADA",Movimientos!$R$2:$R$1993,0)),"-")</f>
        <v>Semilla</v>
      </c>
      <c r="E16" s="2" t="str">
        <f>IFERROR(INDEX(Movimientos!$F$2:$F$1993,MATCH(A16&amp;"ENTRADA",Movimientos!$R$2:$R$1993,0)),"-")</f>
        <v>Colza</v>
      </c>
      <c r="F16" s="2" t="str">
        <f>IFERROR(INDEX(Movimientos!$G$2:$G$1993,MATCH(A16&amp;"ENTRADA",Movimientos!$R$2:$R$1993,0)),"-")</f>
        <v>ERRO</v>
      </c>
      <c r="G16" s="2" t="str">
        <f>IFERROR(INDEX(Movimientos!$L$2:$L$1993,MATCH(A16&amp;"ENTRADA",Movimientos!$R$2:$R$1993,0)),"-")</f>
        <v>kg</v>
      </c>
      <c r="H16" s="17" t="str">
        <f>IFERROR(IF(INDEX(Movimientos!$M$2:$M$1993,MATCH(A16&amp;"ENTRADA",Movimientos!$R$2:$R$1993,0))=0,"S/D",INDEX(Movimientos!$M$2:$M$1993,MATCH(A16&amp;"ENTRADA",Movimientos!$R$2:$R$1993,0))),"S/D")</f>
        <v>S/D</v>
      </c>
      <c r="I16" s="15" t="str">
        <f t="shared" ca="1" si="2"/>
        <v>S/D</v>
      </c>
      <c r="J16" s="5">
        <f>IF(A16="","",SUMIFS(Movimientos!$K:$K,Movimientos!$H:$H,A16))</f>
        <v>0</v>
      </c>
      <c r="K16" s="13" t="str">
        <f ca="1">IF(A16="","",IF(J16&lt;0.01,"SIN STOCK",IF(H16="S/D","OK",IF(H16&lt;TODAY(),"VENCIDO",IF(I16&gt;=180,"OK","PRÓXIMO A VENCER")))))</f>
        <v>SIN STOCK</v>
      </c>
    </row>
    <row r="17" spans="1:11">
      <c r="A17" s="16" t="s">
        <v>120</v>
      </c>
      <c r="B17" s="2" t="str">
        <f>IFERROR(INDEX(Movimientos!$C$2:$C$1993,MATCH(A17&amp;"ENTRADA",Movimientos!$R$2:$R$1993,0)),"-")</f>
        <v>Azuka</v>
      </c>
      <c r="C17" s="2" t="str">
        <f>IFERROR(INDEX(Movimientos!$D$2:$D$1993,MATCH(A17&amp;"ENTRADA",Movimientos!$R$2:$R$1993,0)),"-")</f>
        <v>Glifosato Sal DMA 608 g/L. Equivalente en glifosato 480 g/L</v>
      </c>
      <c r="D17" s="2" t="str">
        <f>IFERROR(INDEX(Movimientos!$E$2:$E$1993,MATCH(A17&amp;"ENTRADA",Movimientos!$R$2:$R$1993,0)),"-")</f>
        <v>Herbicida</v>
      </c>
      <c r="E17" s="2" t="str">
        <f>IFERROR(INDEX(Movimientos!$F$2:$F$1993,MATCH(A17&amp;"ENTRADA",Movimientos!$R$2:$R$1993,0)),"-")</f>
        <v>Postemergente</v>
      </c>
      <c r="F17" s="2" t="str">
        <f>IFERROR(INDEX(Movimientos!$G$2:$G$1993,MATCH(A17&amp;"ENTRADA",Movimientos!$R$2:$R$1993,0)),"-")</f>
        <v>Proquimur</v>
      </c>
      <c r="G17" s="2" t="str">
        <f>IFERROR(INDEX(Movimientos!$L$2:$L$1993,MATCH(A17&amp;"ENTRADA",Movimientos!$R$2:$R$1993,0)),"-")</f>
        <v>L</v>
      </c>
      <c r="H17" s="17">
        <f>IFERROR(IF(INDEX(Movimientos!$M$2:$M$1993,MATCH(A17&amp;"ENTRADA",Movimientos!$R$2:$R$1993,0))=0,"S/D",INDEX(Movimientos!$M$2:$M$1993,MATCH(A17&amp;"ENTRADA",Movimientos!$R$2:$R$1993,0))),"S/D")</f>
        <v>46692</v>
      </c>
      <c r="I17" s="15">
        <f t="shared" ca="1" si="2"/>
        <v>383</v>
      </c>
      <c r="J17" s="5">
        <f>IF(A17="","",SUMIFS(Movimientos!$K:$K,Movimientos!$H:$H,A17))</f>
        <v>27740</v>
      </c>
      <c r="K17" s="13" t="str">
        <f t="shared" ca="1" si="1"/>
        <v>OK</v>
      </c>
    </row>
    <row r="18" spans="1:11">
      <c r="A18" s="16" t="s">
        <v>203</v>
      </c>
      <c r="B18" s="2" t="str">
        <f>IFERROR(INDEX(Movimientos!$C$2:$C$1993,MATCH(A18&amp;"ENTRADA",Movimientos!$R$2:$R$1993,0)),"-")</f>
        <v>Pardo</v>
      </c>
      <c r="C18" s="2" t="str">
        <f>IFERROR(INDEX(Movimientos!$D$2:$D$1993,MATCH(A18&amp;"ENTRADA",Movimientos!$R$2:$R$1993,0)),"-")</f>
        <v>Clethodim 240 g/L</v>
      </c>
      <c r="D18" s="2" t="str">
        <f>IFERROR(INDEX(Movimientos!$E$2:$E$1993,MATCH(A18&amp;"ENTRADA",Movimientos!$R$2:$R$1993,0)),"-")</f>
        <v>Herbicida</v>
      </c>
      <c r="E18" s="2" t="str">
        <f>IFERROR(INDEX(Movimientos!$F$2:$F$1993,MATCH(A18&amp;"ENTRADA",Movimientos!$R$2:$R$1993,0)),"-")</f>
        <v>Postemergente</v>
      </c>
      <c r="F18" s="2" t="str">
        <f>IFERROR(INDEX(Movimientos!$G$2:$G$1993,MATCH(A18&amp;"ENTRADA",Movimientos!$R$2:$R$1993,0)),"-")</f>
        <v>Proquimur</v>
      </c>
      <c r="G18" s="2" t="str">
        <f>IFERROR(INDEX(Movimientos!$L$2:$L$1993,MATCH(A18&amp;"ENTRADA",Movimientos!$R$2:$R$1993,0)),"-")</f>
        <v>L</v>
      </c>
      <c r="H18" s="17">
        <f>IFERROR(IF(INDEX(Movimientos!$M$2:$M$1993,MATCH(A18&amp;"ENTRADA",Movimientos!$R$2:$R$1993,0))=0,"S/D",INDEX(Movimientos!$M$2:$M$1993,MATCH(A18&amp;"ENTRADA",Movimientos!$R$2:$R$1993,0))),"S/D")</f>
        <v>46753</v>
      </c>
      <c r="I18" s="15">
        <f t="shared" ca="1" si="2"/>
        <v>444</v>
      </c>
      <c r="J18" s="5">
        <f>IF(A18="","",SUMIFS(Movimientos!$K:$K,Movimientos!$H:$H,A18))</f>
        <v>2850</v>
      </c>
      <c r="K18" s="13" t="str">
        <f t="shared" ca="1" si="1"/>
        <v>OK</v>
      </c>
    </row>
    <row r="19" spans="1:11">
      <c r="A19" s="16" t="s">
        <v>209</v>
      </c>
      <c r="B19" s="2" t="str">
        <f>IFERROR(INDEX(Movimientos!$C$2:$C$1993,MATCH(A19&amp;"ENTRADA",Movimientos!$R$2:$R$1993,0)),"-")</f>
        <v>Harrier</v>
      </c>
      <c r="C19" s="2" t="str">
        <f>IFERROR(INDEX(Movimientos!$D$2:$D$1993,MATCH(A19&amp;"ENTRADA",Movimientos!$R$2:$R$1993,0)),"-")</f>
        <v>ALCOHOL LINEAL ETOXILADO 32.7%</v>
      </c>
      <c r="D19" s="2" t="str">
        <f>IFERROR(INDEX(Movimientos!$E$2:$E$1993,MATCH(A19&amp;"ENTRADA",Movimientos!$R$2:$R$1993,0)),"-")</f>
        <v>Coadyuvante</v>
      </c>
      <c r="E19" s="2">
        <f>IFERROR(INDEX(Movimientos!$F$2:$F$1993,MATCH(A19&amp;"ENTRADA",Movimientos!$R$2:$R$1993,0)),"-")</f>
        <v>0</v>
      </c>
      <c r="F19" s="2" t="str">
        <f>IFERROR(INDEX(Movimientos!$G$2:$G$1993,MATCH(A19&amp;"ENTRADA",Movimientos!$R$2:$R$1993,0)),"-")</f>
        <v>Don asdrual</v>
      </c>
      <c r="G19" s="2" t="str">
        <f>IFERROR(INDEX(Movimientos!$L$2:$L$1993,MATCH(A19&amp;"ENTRADA",Movimientos!$R$2:$R$1993,0)),"-")</f>
        <v>L</v>
      </c>
      <c r="H19" s="17">
        <f>IFERROR(IF(INDEX(Movimientos!$M$2:$M$1993,MATCH(A19&amp;"ENTRADA",Movimientos!$R$2:$R$1993,0))=0,"S/D",INDEX(Movimientos!$M$2:$M$1993,MATCH(A19&amp;"ENTRADA",Movimientos!$R$2:$R$1993,0))),"S/D")</f>
        <v>46661</v>
      </c>
      <c r="I19" s="15">
        <f t="shared" ca="1" si="2"/>
        <v>352</v>
      </c>
      <c r="J19" s="5">
        <f>IF(A19="","",SUMIFS(Movimientos!$K:$K,Movimientos!$H:$H,A19))</f>
        <v>680</v>
      </c>
      <c r="K19" s="13" t="str">
        <f t="shared" ca="1" si="1"/>
        <v>OK</v>
      </c>
    </row>
    <row r="20" spans="1:11">
      <c r="A20" s="16" t="s">
        <v>221</v>
      </c>
      <c r="B20" s="2" t="str">
        <f>IFERROR(INDEX(Movimientos!$C$2:$C$1993,MATCH(A20&amp;"ENTRADA",Movimientos!$R$2:$R$1993,0)),"-")</f>
        <v>Harrier</v>
      </c>
      <c r="C20" s="2" t="str">
        <f>IFERROR(INDEX(Movimientos!$D$2:$D$1993,MATCH(A20&amp;"ENTRADA",Movimientos!$R$2:$R$1993,0)),"-")</f>
        <v>ALCOHOL LINEAL ETOXILADO 32.7%</v>
      </c>
      <c r="D20" s="2" t="str">
        <f>IFERROR(INDEX(Movimientos!$E$2:$E$1993,MATCH(A20&amp;"ENTRADA",Movimientos!$R$2:$R$1993,0)),"-")</f>
        <v>Coadyuvante</v>
      </c>
      <c r="E20" s="2">
        <f>IFERROR(INDEX(Movimientos!$F$2:$F$1993,MATCH(A20&amp;"ENTRADA",Movimientos!$R$2:$R$1993,0)),"-")</f>
        <v>0</v>
      </c>
      <c r="F20" s="2" t="str">
        <f>IFERROR(INDEX(Movimientos!$G$2:$G$1993,MATCH(A20&amp;"ENTRADA",Movimientos!$R$2:$R$1993,0)),"-")</f>
        <v>Don asdrual</v>
      </c>
      <c r="G20" s="2" t="str">
        <f>IFERROR(INDEX(Movimientos!$L$2:$L$1993,MATCH(A20&amp;"ENTRADA",Movimientos!$R$2:$R$1993,0)),"-")</f>
        <v>L</v>
      </c>
      <c r="H20" s="17">
        <f>IFERROR(IF(INDEX(Movimientos!$M$2:$M$1993,MATCH(A20&amp;"ENTRADA",Movimientos!$R$2:$R$1993,0))=0,"S/D",INDEX(Movimientos!$M$2:$M$1993,MATCH(A20&amp;"ENTRADA",Movimientos!$R$2:$R$1993,0))),"S/D")</f>
        <v>46813</v>
      </c>
      <c r="I20" s="15">
        <f t="shared" ca="1" si="2"/>
        <v>504</v>
      </c>
      <c r="J20" s="5">
        <f>IF(A20="","",SUMIFS(Movimientos!$K:$K,Movimientos!$H:$H,A20))</f>
        <v>8020</v>
      </c>
      <c r="K20" s="13" t="str">
        <f t="shared" ca="1" si="1"/>
        <v>OK</v>
      </c>
    </row>
    <row r="21" spans="1:11">
      <c r="A21" s="16" t="s">
        <v>211</v>
      </c>
      <c r="B21" s="2" t="str">
        <f>IFERROR(INDEX(Movimientos!$C$2:$C$1993,MATCH(A21&amp;"ENTRADA",Movimientos!$R$2:$R$1993,0)),"-")</f>
        <v>Full control</v>
      </c>
      <c r="C21" s="2" t="str">
        <f>IFERROR(INDEX(Movimientos!$D$2:$D$1993,MATCH(A21&amp;"ENTRADA",Movimientos!$R$2:$R$1993,0)),"-")</f>
        <v>ACIDO FOSFORICO 23 g</v>
      </c>
      <c r="D21" s="2" t="str">
        <f>IFERROR(INDEX(Movimientos!$E$2:$E$1993,MATCH(A21&amp;"ENTRADA",Movimientos!$R$2:$R$1993,0)),"-")</f>
        <v>Coadyuvante</v>
      </c>
      <c r="E21" s="2">
        <f>IFERROR(INDEX(Movimientos!$F$2:$F$1993,MATCH(A21&amp;"ENTRADA",Movimientos!$R$2:$R$1993,0)),"-")</f>
        <v>0</v>
      </c>
      <c r="F21" s="2" t="str">
        <f>IFERROR(INDEX(Movimientos!$G$2:$G$1993,MATCH(A21&amp;"ENTRADA",Movimientos!$R$2:$R$1993,0)),"-")</f>
        <v>Don asdrual</v>
      </c>
      <c r="G21" s="2" t="str">
        <f>IFERROR(INDEX(Movimientos!$L$2:$L$1993,MATCH(A21&amp;"ENTRADA",Movimientos!$R$2:$R$1993,0)),"-")</f>
        <v>L</v>
      </c>
      <c r="H21" s="17">
        <f>IFERROR(IF(INDEX(Movimientos!$M$2:$M$1993,MATCH(A21&amp;"ENTRADA",Movimientos!$R$2:$R$1993,0))=0,"S/D",INDEX(Movimientos!$M$2:$M$1993,MATCH(A21&amp;"ENTRADA",Movimientos!$R$2:$R$1993,0))),"S/D")</f>
        <v>46661</v>
      </c>
      <c r="I21" s="15">
        <f t="shared" ca="1" si="2"/>
        <v>352</v>
      </c>
      <c r="J21" s="5">
        <f>IF(A21="","",SUMIFS(Movimientos!$K:$K,Movimientos!$H:$H,A21))</f>
        <v>101</v>
      </c>
      <c r="K21" s="13" t="str">
        <f t="shared" ca="1" si="1"/>
        <v>OK</v>
      </c>
    </row>
    <row r="22" spans="1:11">
      <c r="A22" s="16" t="s">
        <v>469</v>
      </c>
      <c r="B22" s="2" t="str">
        <f>IFERROR(INDEX(Movimientos!$C$2:$C$1993,MATCH(A22&amp;"ENTRADA",Movimientos!$R$2:$R$1993,0)),"-")</f>
        <v>Maxi Drop</v>
      </c>
      <c r="C22" s="2" t="str">
        <f>IFERROR(INDEX(Movimientos!$D$2:$D$1993,MATCH(A22&amp;"ENTRADA",Movimientos!$R$2:$R$1993,0)),"-")</f>
        <v>ACEITE DE SOJA 48 g</v>
      </c>
      <c r="D22" s="2" t="str">
        <f>IFERROR(INDEX(Movimientos!$E$2:$E$1993,MATCH(A22&amp;"ENTRADA",Movimientos!$R$2:$R$1993,0)),"-")</f>
        <v>Coadyuvante</v>
      </c>
      <c r="E22" s="2">
        <f>IFERROR(INDEX(Movimientos!$F$2:$F$1993,MATCH(A22&amp;"ENTRADA",Movimientos!$R$2:$R$1993,0)),"-")</f>
        <v>0</v>
      </c>
      <c r="F22" s="2" t="str">
        <f>IFERROR(INDEX(Movimientos!$G$2:$G$1993,MATCH(A22&amp;"ENTRADA",Movimientos!$R$2:$R$1993,0)),"-")</f>
        <v>Don asdrual</v>
      </c>
      <c r="G22" s="2" t="str">
        <f>IFERROR(INDEX(Movimientos!$L$2:$L$1993,MATCH(A22&amp;"ENTRADA",Movimientos!$R$2:$R$1993,0)),"-")</f>
        <v>L</v>
      </c>
      <c r="H22" s="17">
        <f>IFERROR(IF(INDEX(Movimientos!$M$2:$M$1993,MATCH(A22&amp;"ENTRADA",Movimientos!$R$2:$R$1993,0))=0,"S/D",INDEX(Movimientos!$M$2:$M$1993,MATCH(A22&amp;"ENTRADA",Movimientos!$R$2:$R$1993,0))),"S/D")</f>
        <v>46388</v>
      </c>
      <c r="I22" s="15">
        <f t="shared" ca="1" si="2"/>
        <v>79</v>
      </c>
      <c r="J22" s="5">
        <f>IF(A22="","",SUMIFS(Movimientos!$K:$K,Movimientos!$H:$H,A22))</f>
        <v>120</v>
      </c>
      <c r="K22" s="13" t="str">
        <f t="shared" ca="1" si="1"/>
        <v>PRÓXIMO A VENCER</v>
      </c>
    </row>
    <row r="23" spans="1:11">
      <c r="A23" s="16" t="s">
        <v>563</v>
      </c>
      <c r="B23" s="2" t="str">
        <f>IFERROR(INDEX(Movimientos!$C$2:$C$1993,MATCH(A23&amp;"ENTRADA",Movimientos!$R$2:$R$1993,0)),"-")</f>
        <v>Axial</v>
      </c>
      <c r="C23" s="2" t="str">
        <f>IFERROR(INDEX(Movimientos!$D$2:$D$1993,MATCH(A23&amp;"ENTRADA",Movimientos!$R$2:$R$1993,0)),"-")</f>
        <v>PINOXADEN 5 GR + CLOQUINTOCET-MEXIL 1.25 GR</v>
      </c>
      <c r="D23" s="2" t="str">
        <f>IFERROR(INDEX(Movimientos!$E$2:$E$1993,MATCH(A23&amp;"ENTRADA",Movimientos!$R$2:$R$1993,0)),"-")</f>
        <v>Herbicida</v>
      </c>
      <c r="E23" s="2" t="str">
        <f>IFERROR(INDEX(Movimientos!$F$2:$F$1993,MATCH(A23&amp;"ENTRADA",Movimientos!$R$2:$R$1993,0)),"-")</f>
        <v>Postemergente</v>
      </c>
      <c r="F23" s="2" t="str">
        <f>IFERROR(INDEX(Movimientos!$G$2:$G$1993,MATCH(A23&amp;"ENTRADA",Movimientos!$R$2:$R$1993,0)),"-")</f>
        <v>GS Agro</v>
      </c>
      <c r="G23" s="2" t="str">
        <f>IFERROR(INDEX(Movimientos!$L$2:$L$1993,MATCH(A23&amp;"ENTRADA",Movimientos!$R$2:$R$1993,0)),"-")</f>
        <v>L</v>
      </c>
      <c r="H23" s="17">
        <f>IFERROR(IF(INDEX(Movimientos!$M$2:$M$1993,MATCH(A23&amp;"ENTRADA",Movimientos!$R$2:$R$1993,0))=0,"S/D",INDEX(Movimientos!$M$2:$M$1993,MATCH(A23&amp;"ENTRADA",Movimientos!$R$2:$R$1993,0))),"S/D")</f>
        <v>46419</v>
      </c>
      <c r="I23" s="15">
        <f t="shared" ca="1" si="2"/>
        <v>110</v>
      </c>
      <c r="J23" s="5">
        <f>IF(A23="","",SUMIFS(Movimientos!$K:$K,Movimientos!$H:$H,A23))</f>
        <v>0</v>
      </c>
      <c r="K23" s="13" t="str">
        <f t="shared" ca="1" si="1"/>
        <v>SIN STOCK</v>
      </c>
    </row>
    <row r="24" spans="1:11">
      <c r="A24" s="16" t="s">
        <v>295</v>
      </c>
      <c r="B24" s="2" t="str">
        <f>IFERROR(INDEX(Movimientos!$C$2:$C$1993,MATCH(A24&amp;"ENTRADA",Movimientos!$R$2:$R$1993,0)),"-")</f>
        <v>Colza Nuola 300</v>
      </c>
      <c r="C24" s="2" t="str">
        <f>IFERROR(INDEX(Movimientos!$D$2:$D$1993,MATCH(A24&amp;"ENTRADA",Movimientos!$R$2:$R$1993,0)),"-")</f>
        <v>Nuola 300</v>
      </c>
      <c r="D24" s="2" t="str">
        <f>IFERROR(INDEX(Movimientos!$E$2:$E$1993,MATCH(A24&amp;"ENTRADA",Movimientos!$R$2:$R$1993,0)),"-")</f>
        <v>Semilla</v>
      </c>
      <c r="E24" s="2" t="str">
        <f>IFERROR(INDEX(Movimientos!$F$2:$F$1993,MATCH(A24&amp;"ENTRADA",Movimientos!$R$2:$R$1993,0)),"-")</f>
        <v>Colza</v>
      </c>
      <c r="F24" s="2" t="str">
        <f>IFERROR(INDEX(Movimientos!$G$2:$G$1993,MATCH(A24&amp;"ENTRADA",Movimientos!$R$2:$R$1993,0)),"-")</f>
        <v>Agroterra</v>
      </c>
      <c r="G24" s="2" t="str">
        <f>IFERROR(INDEX(Movimientos!$L$2:$L$1993,MATCH(A24&amp;"ENTRADA",Movimientos!$R$2:$R$1993,0)),"-")</f>
        <v>kg</v>
      </c>
      <c r="H24" s="17" t="str">
        <f>IFERROR(IF(INDEX(Movimientos!$M$2:$M$1993,MATCH(A24&amp;"ENTRADA",Movimientos!$R$2:$R$1993,0))=0,"S/D",INDEX(Movimientos!$M$2:$M$1993,MATCH(A24&amp;"ENTRADA",Movimientos!$R$2:$R$1993,0))),"S/D")</f>
        <v>S/D</v>
      </c>
      <c r="I24" s="15" t="str">
        <f t="shared" ca="1" si="2"/>
        <v>S/D</v>
      </c>
      <c r="J24" s="5">
        <f>IF(A24="","",SUMIFS(Movimientos!$K:$K,Movimientos!$H:$H,A24))</f>
        <v>0</v>
      </c>
      <c r="K24" s="13" t="str">
        <f t="shared" ca="1" si="1"/>
        <v>SIN STOCK</v>
      </c>
    </row>
    <row r="25" spans="1:11">
      <c r="A25" s="16" t="s">
        <v>239</v>
      </c>
      <c r="B25" s="2" t="str">
        <f>IFERROR(INDEX(Movimientos!$C$2:$C$1993,MATCH(A25&amp;"ENTRADA",Movimientos!$R$2:$R$1993,0)),"-")</f>
        <v>Colza Ceres IMI</v>
      </c>
      <c r="C25" s="2" t="str">
        <f>IFERROR(INDEX(Movimientos!$D$2:$D$1993,MATCH(A25&amp;"ENTRADA",Movimientos!$R$2:$R$1993,0)),"-")</f>
        <v>Ceres IMI</v>
      </c>
      <c r="D25" s="2" t="str">
        <f>IFERROR(INDEX(Movimientos!$E$2:$E$1993,MATCH(A25&amp;"ENTRADA",Movimientos!$R$2:$R$1993,0)),"-")</f>
        <v>Semilla</v>
      </c>
      <c r="E25" s="2" t="str">
        <f>IFERROR(INDEX(Movimientos!$F$2:$F$1993,MATCH(A25&amp;"ENTRADA",Movimientos!$R$2:$R$1993,0)),"-")</f>
        <v>Colza</v>
      </c>
      <c r="F25" s="2" t="str">
        <f>IFERROR(INDEX(Movimientos!$G$2:$G$1993,MATCH(A25&amp;"ENTRADA",Movimientos!$R$2:$R$1993,0)),"-")</f>
        <v>Agroterra</v>
      </c>
      <c r="G25" s="2" t="str">
        <f>IFERROR(INDEX(Movimientos!$L$2:$L$1993,MATCH(A25&amp;"ENTRADA",Movimientos!$R$2:$R$1993,0)),"-")</f>
        <v>kg</v>
      </c>
      <c r="H25" s="17" t="str">
        <f>IFERROR(IF(INDEX(Movimientos!$M$2:$M$1993,MATCH(A25&amp;"ENTRADA",Movimientos!$R$2:$R$1993,0))=0,"S/D",INDEX(Movimientos!$M$2:$M$1993,MATCH(A25&amp;"ENTRADA",Movimientos!$R$2:$R$1993,0))),"S/D")</f>
        <v>S/D</v>
      </c>
      <c r="I25" s="15" t="str">
        <f t="shared" ca="1" si="2"/>
        <v>S/D</v>
      </c>
      <c r="J25" s="5">
        <f>IF(A25="","",SUMIFS(Movimientos!$K:$K,Movimientos!$H:$H,A25))</f>
        <v>0</v>
      </c>
      <c r="K25" s="13" t="str">
        <f t="shared" ca="1" si="1"/>
        <v>SIN STOCK</v>
      </c>
    </row>
    <row r="26" spans="1:11">
      <c r="A26" s="16" t="s">
        <v>317</v>
      </c>
      <c r="B26" s="2" t="str">
        <f>IFERROR(INDEX(Movimientos!$C$2:$C$1993,MATCH(A26&amp;"ENTRADA",Movimientos!$R$2:$R$1993,0)),"-")</f>
        <v>Festuca Carape</v>
      </c>
      <c r="C26" s="2" t="str">
        <f>IFERROR(INDEX(Movimientos!$D$2:$D$1993,MATCH(A26&amp;"ENTRADA",Movimientos!$R$2:$R$1993,0)),"-")</f>
        <v>Festuca Carape</v>
      </c>
      <c r="D26" s="2" t="str">
        <f>IFERROR(INDEX(Movimientos!$E$2:$E$1993,MATCH(A26&amp;"ENTRADA",Movimientos!$R$2:$R$1993,0)),"-")</f>
        <v>Semilla</v>
      </c>
      <c r="E26" s="2" t="str">
        <f>IFERROR(INDEX(Movimientos!$F$2:$F$1993,MATCH(A26&amp;"ENTRADA",Movimientos!$R$2:$R$1993,0)),"-")</f>
        <v>Festuca</v>
      </c>
      <c r="F26" s="2" t="str">
        <f>IFERROR(INDEX(Movimientos!$G$2:$G$1993,MATCH(A26&amp;"ENTRADA",Movimientos!$R$2:$R$1993,0)),"-")</f>
        <v>Megaagro</v>
      </c>
      <c r="G26" s="2" t="str">
        <f>IFERROR(INDEX(Movimientos!$L$2:$L$1993,MATCH(A26&amp;"ENTRADA",Movimientos!$R$2:$R$1993,0)),"-")</f>
        <v>kg</v>
      </c>
      <c r="H26" s="17" t="str">
        <f>IFERROR(IF(INDEX(Movimientos!$M$2:$M$1993,MATCH(A26&amp;"ENTRADA",Movimientos!$R$2:$R$1993,0))=0,"S/D",INDEX(Movimientos!$M$2:$M$1993,MATCH(A26&amp;"ENTRADA",Movimientos!$R$2:$R$1993,0))),"S/D")</f>
        <v>S/D</v>
      </c>
      <c r="I26" s="15" t="str">
        <f t="shared" ca="1" si="2"/>
        <v>S/D</v>
      </c>
      <c r="J26" s="5">
        <f>IF(A26="","",SUMIFS(Movimientos!$K:$K,Movimientos!$H:$H,A26))</f>
        <v>0</v>
      </c>
      <c r="K26" s="13" t="str">
        <f t="shared" ca="1" si="1"/>
        <v>SIN STOCK</v>
      </c>
    </row>
    <row r="27" spans="1:11">
      <c r="A27" s="16" t="s">
        <v>347</v>
      </c>
      <c r="B27" s="2" t="str">
        <f>IFERROR(INDEX(Movimientos!$C$2:$C$1993,MATCH(A27&amp;"ENTRADA",Movimientos!$R$2:$R$1993,0)),"-")</f>
        <v>Alfalfa Verdor</v>
      </c>
      <c r="C27" s="2" t="str">
        <f>IFERROR(INDEX(Movimientos!$D$2:$D$1993,MATCH(A27&amp;"ENTRADA",Movimientos!$R$2:$R$1993,0)),"-")</f>
        <v>Alfalfa Verdor momla 384-2n-04</v>
      </c>
      <c r="D27" s="2" t="str">
        <f>IFERROR(INDEX(Movimientos!$E$2:$E$1993,MATCH(A27&amp;"ENTRADA",Movimientos!$R$2:$R$1993,0)),"-")</f>
        <v>Semilla</v>
      </c>
      <c r="E27" s="2" t="str">
        <f>IFERROR(INDEX(Movimientos!$F$2:$F$1993,MATCH(A27&amp;"ENTRADA",Movimientos!$R$2:$R$1993,0)),"-")</f>
        <v>Alfalfa</v>
      </c>
      <c r="F27" s="2" t="str">
        <f>IFERROR(INDEX(Movimientos!$G$2:$G$1993,MATCH(A27&amp;"ENTRADA",Movimientos!$R$2:$R$1993,0)),"-")</f>
        <v>Megaagro</v>
      </c>
      <c r="G27" s="2" t="str">
        <f>IFERROR(INDEX(Movimientos!$L$2:$L$1993,MATCH(A27&amp;"ENTRADA",Movimientos!$R$2:$R$1993,0)),"-")</f>
        <v>kg</v>
      </c>
      <c r="H27" s="17" t="str">
        <f>IFERROR(IF(INDEX(Movimientos!$M$2:$M$1993,MATCH(A27&amp;"ENTRADA",Movimientos!$R$2:$R$1993,0))=0,"S/D",INDEX(Movimientos!$M$2:$M$1993,MATCH(A27&amp;"ENTRADA",Movimientos!$R$2:$R$1993,0))),"S/D")</f>
        <v>S/D</v>
      </c>
      <c r="I27" s="15" t="str">
        <f t="shared" ca="1" si="2"/>
        <v>S/D</v>
      </c>
      <c r="J27" s="5">
        <f>IF(A27="","",SUMIFS(Movimientos!$K:$K,Movimientos!$H:$H,A27))</f>
        <v>0</v>
      </c>
      <c r="K27" s="13" t="str">
        <f t="shared" ca="1" si="1"/>
        <v>SIN STOCK</v>
      </c>
    </row>
    <row r="28" spans="1:11">
      <c r="A28" s="16" t="s">
        <v>315</v>
      </c>
      <c r="B28" s="2" t="str">
        <f>IFERROR(INDEX(Movimientos!$C$2:$C$1993,MATCH(A28&amp;"ENTRADA",Movimientos!$R$2:$R$1993,0)),"-")</f>
        <v>Achicora Inia Nova</v>
      </c>
      <c r="C28" s="2" t="str">
        <f>IFERROR(INDEX(Movimientos!$D$2:$D$1993,MATCH(A28&amp;"ENTRADA",Movimientos!$R$2:$R$1993,0)),"-")</f>
        <v xml:space="preserve">Achicora inia nova </v>
      </c>
      <c r="D28" s="2" t="str">
        <f>IFERROR(INDEX(Movimientos!$E$2:$E$1993,MATCH(A28&amp;"ENTRADA",Movimientos!$R$2:$R$1993,0)),"-")</f>
        <v>Semilla</v>
      </c>
      <c r="E28" s="2" t="str">
        <f>IFERROR(INDEX(Movimientos!$F$2:$F$1993,MATCH(A28&amp;"ENTRADA",Movimientos!$R$2:$R$1993,0)),"-")</f>
        <v>Achicoria</v>
      </c>
      <c r="F28" s="2" t="str">
        <f>IFERROR(INDEX(Movimientos!$G$2:$G$1993,MATCH(A28&amp;"ENTRADA",Movimientos!$R$2:$R$1993,0)),"-")</f>
        <v>Megaagro</v>
      </c>
      <c r="G28" s="2" t="str">
        <f>IFERROR(INDEX(Movimientos!$L$2:$L$1993,MATCH(A28&amp;"ENTRADA",Movimientos!$R$2:$R$1993,0)),"-")</f>
        <v>kg</v>
      </c>
      <c r="H28" s="17" t="str">
        <f>IFERROR(IF(INDEX(Movimientos!$M$2:$M$1993,MATCH(A28&amp;"ENTRADA",Movimientos!$R$2:$R$1993,0))=0,"S/D",INDEX(Movimientos!$M$2:$M$1993,MATCH(A28&amp;"ENTRADA",Movimientos!$R$2:$R$1993,0))),"S/D")</f>
        <v>S/D</v>
      </c>
      <c r="I28" s="15" t="str">
        <f t="shared" ca="1" si="2"/>
        <v>S/D</v>
      </c>
      <c r="J28" s="5">
        <f>IF(A28="","",SUMIFS(Movimientos!$K:$K,Movimientos!$H:$H,A28))</f>
        <v>0</v>
      </c>
      <c r="K28" s="13" t="str">
        <f t="shared" ca="1" si="1"/>
        <v>SIN STOCK</v>
      </c>
    </row>
    <row r="29" spans="1:11">
      <c r="A29" s="16" t="s">
        <v>367</v>
      </c>
      <c r="B29" s="2" t="str">
        <f>IFERROR(INDEX(Movimientos!$C$2:$C$1993,MATCH(A29&amp;"ENTRADA",Movimientos!$R$2:$R$1993,0)),"-")</f>
        <v>Colza Nuola 300</v>
      </c>
      <c r="C29" s="2" t="str">
        <f>IFERROR(INDEX(Movimientos!$D$2:$D$1993,MATCH(A29&amp;"ENTRADA",Movimientos!$R$2:$R$1993,0)),"-")</f>
        <v>Nuola 300</v>
      </c>
      <c r="D29" s="2" t="str">
        <f>IFERROR(INDEX(Movimientos!$E$2:$E$1993,MATCH(A29&amp;"ENTRADA",Movimientos!$R$2:$R$1993,0)),"-")</f>
        <v>Semilla</v>
      </c>
      <c r="E29" s="2" t="str">
        <f>IFERROR(INDEX(Movimientos!$F$2:$F$1993,MATCH(A29&amp;"ENTRADA",Movimientos!$R$2:$R$1993,0)),"-")</f>
        <v>Colza</v>
      </c>
      <c r="F29" s="2" t="str">
        <f>IFERROR(INDEX(Movimientos!$G$2:$G$1993,MATCH(A29&amp;"ENTRADA",Movimientos!$R$2:$R$1993,0)),"-")</f>
        <v>Cargil</v>
      </c>
      <c r="G29" s="2" t="str">
        <f>IFERROR(INDEX(Movimientos!$L$2:$L$1993,MATCH(A29&amp;"ENTRADA",Movimientos!$R$2:$R$1993,0)),"-")</f>
        <v>kg</v>
      </c>
      <c r="H29" s="17" t="str">
        <f>IFERROR(IF(INDEX(Movimientos!$M$2:$M$1993,MATCH(A29&amp;"ENTRADA",Movimientos!$R$2:$R$1993,0))=0,"S/D",INDEX(Movimientos!$M$2:$M$1993,MATCH(A29&amp;"ENTRADA",Movimientos!$R$2:$R$1993,0))),"S/D")</f>
        <v>S/D</v>
      </c>
      <c r="I29" s="15" t="str">
        <f t="shared" ca="1" si="2"/>
        <v>S/D</v>
      </c>
      <c r="J29" s="5">
        <f>IF(A29="","",SUMIFS(Movimientos!$K:$K,Movimientos!$H:$H,A29))</f>
        <v>0</v>
      </c>
      <c r="K29" s="13" t="str">
        <f t="shared" ca="1" si="1"/>
        <v>SIN STOCK</v>
      </c>
    </row>
    <row r="30" spans="1:11">
      <c r="A30" s="16" t="s">
        <v>308</v>
      </c>
      <c r="B30" s="2" t="str">
        <f>IFERROR(INDEX(Movimientos!$C$2:$C$1993,MATCH(A30&amp;"ENTRADA",Movimientos!$R$2:$R$1993,0)),"-")</f>
        <v xml:space="preserve">Festuca Sortija C2 </v>
      </c>
      <c r="C30" s="2" t="str">
        <f>IFERROR(INDEX(Movimientos!$D$2:$D$1993,MATCH(A30&amp;"ENTRADA",Movimientos!$R$2:$R$1993,0)),"-")</f>
        <v>Festuca Sortija C2</v>
      </c>
      <c r="D30" s="2" t="str">
        <f>IFERROR(INDEX(Movimientos!$E$2:$E$1993,MATCH(A30&amp;"ENTRADA",Movimientos!$R$2:$R$1993,0)),"-")</f>
        <v>Semilla</v>
      </c>
      <c r="E30" s="2" t="str">
        <f>IFERROR(INDEX(Movimientos!$F$2:$F$1993,MATCH(A30&amp;"ENTRADA",Movimientos!$R$2:$R$1993,0)),"-")</f>
        <v>Festuca</v>
      </c>
      <c r="F30" s="2" t="str">
        <f>IFERROR(INDEX(Movimientos!$G$2:$G$1993,MATCH(A30&amp;"ENTRADA",Movimientos!$R$2:$R$1993,0)),"-")</f>
        <v>Agrofuturo</v>
      </c>
      <c r="G30" s="2" t="str">
        <f>IFERROR(INDEX(Movimientos!$L$2:$L$1993,MATCH(A30&amp;"ENTRADA",Movimientos!$R$2:$R$1993,0)),"-")</f>
        <v>kg</v>
      </c>
      <c r="H30" s="17" t="str">
        <f>IFERROR(IF(INDEX(Movimientos!$M$2:$M$1993,MATCH(A30&amp;"ENTRADA",Movimientos!$R$2:$R$1993,0))=0,"S/D",INDEX(Movimientos!$M$2:$M$1993,MATCH(A30&amp;"ENTRADA",Movimientos!$R$2:$R$1993,0))),"S/D")</f>
        <v>S/D</v>
      </c>
      <c r="I30" s="15" t="str">
        <f t="shared" ca="1" si="2"/>
        <v>S/D</v>
      </c>
      <c r="J30" s="5">
        <f>IF(A30="","",SUMIFS(Movimientos!$K:$K,Movimientos!$H:$H,A30))</f>
        <v>0</v>
      </c>
      <c r="K30" s="13" t="str">
        <f t="shared" ca="1" si="1"/>
        <v>SIN STOCK</v>
      </c>
    </row>
    <row r="31" spans="1:11">
      <c r="A31" s="16" t="s">
        <v>351</v>
      </c>
      <c r="B31" s="2" t="str">
        <f>IFERROR(INDEX(Movimientos!$C$2:$C$1993,MATCH(A31&amp;"ENTRADA",Movimientos!$R$2:$R$1993,0)),"-")</f>
        <v>Dactylis Drover</v>
      </c>
      <c r="C31" s="2" t="str">
        <f>IFERROR(INDEX(Movimientos!$D$2:$D$1993,MATCH(A31&amp;"ENTRADA",Movimientos!$R$2:$R$1993,0)),"-")</f>
        <v>Dactylis Drover ecotec af gram c2</v>
      </c>
      <c r="D31" s="2" t="str">
        <f>IFERROR(INDEX(Movimientos!$E$2:$E$1993,MATCH(A31&amp;"ENTRADA",Movimientos!$R$2:$R$1993,0)),"-")</f>
        <v>Semilla</v>
      </c>
      <c r="E31" s="2" t="str">
        <f>IFERROR(INDEX(Movimientos!$F$2:$F$1993,MATCH(A31&amp;"ENTRADA",Movimientos!$R$2:$R$1993,0)),"-")</f>
        <v>Dactylis</v>
      </c>
      <c r="F31" s="2" t="str">
        <f>IFERROR(INDEX(Movimientos!$G$2:$G$1993,MATCH(A31&amp;"ENTRADA",Movimientos!$R$2:$R$1993,0)),"-")</f>
        <v>Agrofuturo</v>
      </c>
      <c r="G31" s="2" t="str">
        <f>IFERROR(INDEX(Movimientos!$L$2:$L$1993,MATCH(A31&amp;"ENTRADA",Movimientos!$R$2:$R$1993,0)),"-")</f>
        <v>kg</v>
      </c>
      <c r="H31" s="17" t="str">
        <f>IFERROR(IF(INDEX(Movimientos!$M$2:$M$1993,MATCH(A31&amp;"ENTRADA",Movimientos!$R$2:$R$1993,0))=0,"S/D",INDEX(Movimientos!$M$2:$M$1993,MATCH(A31&amp;"ENTRADA",Movimientos!$R$2:$R$1993,0))),"S/D")</f>
        <v>S/D</v>
      </c>
      <c r="I31" s="15" t="str">
        <f t="shared" ca="1" si="2"/>
        <v>S/D</v>
      </c>
      <c r="J31" s="5">
        <f>IF(A31="","",SUMIFS(Movimientos!$K:$K,Movimientos!$H:$H,A31))</f>
        <v>50</v>
      </c>
      <c r="K31" s="13" t="str">
        <f t="shared" ca="1" si="1"/>
        <v>OK</v>
      </c>
    </row>
    <row r="32" spans="1:11">
      <c r="A32" s="16" t="s">
        <v>319</v>
      </c>
      <c r="B32" s="2" t="str">
        <f>IFERROR(INDEX(Movimientos!$C$2:$C$1993,MATCH(A32&amp;"ENTRADA",Movimientos!$R$2:$R$1993,0)),"-")</f>
        <v>Trebol Blanco E Zapican</v>
      </c>
      <c r="C32" s="2" t="str">
        <f>IFERROR(INDEX(Movimientos!$D$2:$D$1993,MATCH(A32&amp;"ENTRADA",Movimientos!$R$2:$R$1993,0)),"-")</f>
        <v>Trebol Blanco E Zapican Ecotec AF</v>
      </c>
      <c r="D32" s="2" t="str">
        <f>IFERROR(INDEX(Movimientos!$E$2:$E$1993,MATCH(A32&amp;"ENTRADA",Movimientos!$R$2:$R$1993,0)),"-")</f>
        <v>Semilla</v>
      </c>
      <c r="E32" s="2" t="str">
        <f>IFERROR(INDEX(Movimientos!$F$2:$F$1993,MATCH(A32&amp;"ENTRADA",Movimientos!$R$2:$R$1993,0)),"-")</f>
        <v>Trebol Blanco</v>
      </c>
      <c r="F32" s="2" t="str">
        <f>IFERROR(INDEX(Movimientos!$G$2:$G$1993,MATCH(A32&amp;"ENTRADA",Movimientos!$R$2:$R$1993,0)),"-")</f>
        <v>Agrofuturo</v>
      </c>
      <c r="G32" s="2" t="str">
        <f>IFERROR(INDEX(Movimientos!$L$2:$L$1993,MATCH(A32&amp;"ENTRADA",Movimientos!$R$2:$R$1993,0)),"-")</f>
        <v>kg</v>
      </c>
      <c r="H32" s="17" t="str">
        <f>IFERROR(IF(INDEX(Movimientos!$M$2:$M$1993,MATCH(A32&amp;"ENTRADA",Movimientos!$R$2:$R$1993,0))=0,"S/D",INDEX(Movimientos!$M$2:$M$1993,MATCH(A32&amp;"ENTRADA",Movimientos!$R$2:$R$1993,0))),"S/D")</f>
        <v>S/D</v>
      </c>
      <c r="I32" s="15" t="str">
        <f t="shared" ca="1" si="2"/>
        <v>S/D</v>
      </c>
      <c r="J32" s="5">
        <f>IF(A32="","",SUMIFS(Movimientos!$K:$K,Movimientos!$H:$H,A32))</f>
        <v>0</v>
      </c>
      <c r="K32" s="13" t="str">
        <f t="shared" ca="1" si="1"/>
        <v>SIN STOCK</v>
      </c>
    </row>
    <row r="33" spans="1:11">
      <c r="A33" s="16" t="s">
        <v>321</v>
      </c>
      <c r="B33" s="2" t="str">
        <f>IFERROR(INDEX(Movimientos!$C$2:$C$1993,MATCH(A33&amp;"ENTRADA",Movimientos!$R$2:$R$1993,0)),"-")</f>
        <v>Trebol Rojo E116</v>
      </c>
      <c r="C33" s="2" t="str">
        <f>IFERROR(INDEX(Movimientos!$D$2:$D$1993,MATCH(A33&amp;"ENTRADA",Movimientos!$R$2:$R$1993,0)),"-")</f>
        <v>Trebol Rojo E116 Ecotec AF</v>
      </c>
      <c r="D33" s="2" t="str">
        <f>IFERROR(INDEX(Movimientos!$E$2:$E$1993,MATCH(A33&amp;"ENTRADA",Movimientos!$R$2:$R$1993,0)),"-")</f>
        <v>Semilla</v>
      </c>
      <c r="E33" s="2" t="str">
        <f>IFERROR(INDEX(Movimientos!$F$2:$F$1993,MATCH(A33&amp;"ENTRADA",Movimientos!$R$2:$R$1993,0)),"-")</f>
        <v xml:space="preserve">Trebol Rojo </v>
      </c>
      <c r="F33" s="2" t="str">
        <f>IFERROR(INDEX(Movimientos!$G$2:$G$1993,MATCH(A33&amp;"ENTRADA",Movimientos!$R$2:$R$1993,0)),"-")</f>
        <v>Agrofuturo</v>
      </c>
      <c r="G33" s="2" t="str">
        <f>IFERROR(INDEX(Movimientos!$L$2:$L$1993,MATCH(A33&amp;"ENTRADA",Movimientos!$R$2:$R$1993,0)),"-")</f>
        <v>kg</v>
      </c>
      <c r="H33" s="17" t="str">
        <f>IFERROR(IF(INDEX(Movimientos!$M$2:$M$1993,MATCH(A33&amp;"ENTRADA",Movimientos!$R$2:$R$1993,0))=0,"S/D",INDEX(Movimientos!$M$2:$M$1993,MATCH(A33&amp;"ENTRADA",Movimientos!$R$2:$R$1993,0))),"S/D")</f>
        <v>S/D</v>
      </c>
      <c r="I33" s="15" t="str">
        <f t="shared" ca="1" si="2"/>
        <v>S/D</v>
      </c>
      <c r="J33" s="5">
        <f>IF(A33="","",SUMIFS(Movimientos!$K:$K,Movimientos!$H:$H,A33))</f>
        <v>0</v>
      </c>
      <c r="K33" s="13" t="str">
        <f t="shared" ca="1" si="1"/>
        <v>SIN STOCK</v>
      </c>
    </row>
    <row r="34" spans="1:11">
      <c r="A34" s="16" t="s">
        <v>325</v>
      </c>
      <c r="B34" s="2" t="str">
        <f>IFERROR(INDEX(Movimientos!$C$2:$C$1993,MATCH(A34&amp;"ENTRADA",Movimientos!$R$2:$R$1993,0)),"-")</f>
        <v>Phalaris Stockman Comb</v>
      </c>
      <c r="C34" s="2" t="str">
        <f>IFERROR(INDEX(Movimientos!$D$2:$D$1993,MATCH(A34&amp;"ENTRADA",Movimientos!$R$2:$R$1993,0)),"-")</f>
        <v>Phalaris Stockman Comb</v>
      </c>
      <c r="D34" s="2" t="str">
        <f>IFERROR(INDEX(Movimientos!$E$2:$E$1993,MATCH(A34&amp;"ENTRADA",Movimientos!$R$2:$R$1993,0)),"-")</f>
        <v>Semilla</v>
      </c>
      <c r="E34" s="2" t="str">
        <f>IFERROR(INDEX(Movimientos!$F$2:$F$1993,MATCH(A34&amp;"ENTRADA",Movimientos!$R$2:$R$1993,0)),"-")</f>
        <v>Phalaris</v>
      </c>
      <c r="F34" s="2" t="str">
        <f>IFERROR(INDEX(Movimientos!$G$2:$G$1993,MATCH(A34&amp;"ENTRADA",Movimientos!$R$2:$R$1993,0)),"-")</f>
        <v>Agrofuturo</v>
      </c>
      <c r="G34" s="2" t="str">
        <f>IFERROR(INDEX(Movimientos!$L$2:$L$1993,MATCH(A34&amp;"ENTRADA",Movimientos!$R$2:$R$1993,0)),"-")</f>
        <v>kg</v>
      </c>
      <c r="H34" s="17" t="str">
        <f>IFERROR(IF(INDEX(Movimientos!$M$2:$M$1993,MATCH(A34&amp;"ENTRADA",Movimientos!$R$2:$R$1993,0))=0,"S/D",INDEX(Movimientos!$M$2:$M$1993,MATCH(A34&amp;"ENTRADA",Movimientos!$R$2:$R$1993,0))),"S/D")</f>
        <v>S/D</v>
      </c>
      <c r="I34" s="15" t="str">
        <f t="shared" ca="1" si="2"/>
        <v>S/D</v>
      </c>
      <c r="J34" s="5">
        <f>IF(A34="","",SUMIFS(Movimientos!$K:$K,Movimientos!$H:$H,A34))</f>
        <v>0</v>
      </c>
      <c r="K34" s="13" t="str">
        <f t="shared" ca="1" si="1"/>
        <v>SIN STOCK</v>
      </c>
    </row>
    <row r="35" spans="1:11">
      <c r="A35" s="16" t="s">
        <v>327</v>
      </c>
      <c r="B35" s="2" t="str">
        <f>IFERROR(INDEX(Movimientos!$C$2:$C$1993,MATCH(A35&amp;"ENTRADA",Movimientos!$R$2:$R$1993,0)),"-")</f>
        <v>Colza continuum Cl</v>
      </c>
      <c r="C35" s="2" t="str">
        <f>IFERROR(INDEX(Movimientos!$D$2:$D$1993,MATCH(A35&amp;"ENTRADA",Movimientos!$R$2:$R$1993,0)),"-")</f>
        <v>Continuum CL</v>
      </c>
      <c r="D35" s="2" t="str">
        <f>IFERROR(INDEX(Movimientos!$E$2:$E$1993,MATCH(A35&amp;"ENTRADA",Movimientos!$R$2:$R$1993,0)),"-")</f>
        <v>Semilla</v>
      </c>
      <c r="E35" s="2" t="str">
        <f>IFERROR(INDEX(Movimientos!$F$2:$F$1993,MATCH(A35&amp;"ENTRADA",Movimientos!$R$2:$R$1993,0)),"-")</f>
        <v>Colza</v>
      </c>
      <c r="F35" s="2" t="str">
        <f>IFERROR(INDEX(Movimientos!$G$2:$G$1993,MATCH(A35&amp;"ENTRADA",Movimientos!$R$2:$R$1993,0)),"-")</f>
        <v>ERRO</v>
      </c>
      <c r="G35" s="2" t="str">
        <f>IFERROR(INDEX(Movimientos!$L$2:$L$1993,MATCH(A35&amp;"ENTRADA",Movimientos!$R$2:$R$1993,0)),"-")</f>
        <v>kg</v>
      </c>
      <c r="H35" s="17" t="str">
        <f>IFERROR(IF(INDEX(Movimientos!$M$2:$M$1993,MATCH(A35&amp;"ENTRADA",Movimientos!$R$2:$R$1993,0))=0,"S/D",INDEX(Movimientos!$M$2:$M$1993,MATCH(A35&amp;"ENTRADA",Movimientos!$R$2:$R$1993,0))),"S/D")</f>
        <v>S/D</v>
      </c>
      <c r="I35" s="15" t="str">
        <f t="shared" ca="1" si="2"/>
        <v>S/D</v>
      </c>
      <c r="J35" s="5">
        <f>IF(A35="","",SUMIFS(Movimientos!$K:$K,Movimientos!$H:$H,A35))</f>
        <v>0</v>
      </c>
      <c r="K35" s="13" t="str">
        <f t="shared" ca="1" si="1"/>
        <v>SIN STOCK</v>
      </c>
    </row>
    <row r="36" spans="1:11">
      <c r="A36" s="16" t="s">
        <v>329</v>
      </c>
      <c r="B36" s="2" t="str">
        <f>IFERROR(INDEX(Movimientos!$C$2:$C$1993,MATCH(A36&amp;"ENTRADA",Movimientos!$R$2:$R$1993,0)),"-")</f>
        <v>Colza Hyola Solstice cl</v>
      </c>
      <c r="C36" s="2" t="str">
        <f>IFERROR(INDEX(Movimientos!$D$2:$D$1993,MATCH(A36&amp;"ENTRADA",Movimientos!$R$2:$R$1993,0)),"-")</f>
        <v>Colza Hyola Solstice cl</v>
      </c>
      <c r="D36" s="2" t="str">
        <f>IFERROR(INDEX(Movimientos!$E$2:$E$1993,MATCH(A36&amp;"ENTRADA",Movimientos!$R$2:$R$1993,0)),"-")</f>
        <v>Semilla</v>
      </c>
      <c r="E36" s="2" t="str">
        <f>IFERROR(INDEX(Movimientos!$F$2:$F$1993,MATCH(A36&amp;"ENTRADA",Movimientos!$R$2:$R$1993,0)),"-")</f>
        <v>Colza</v>
      </c>
      <c r="F36" s="2" t="str">
        <f>IFERROR(INDEX(Movimientos!$G$2:$G$1993,MATCH(A36&amp;"ENTRADA",Movimientos!$R$2:$R$1993,0)),"-")</f>
        <v>ERRO</v>
      </c>
      <c r="G36" s="2" t="str">
        <f>IFERROR(INDEX(Movimientos!$L$2:$L$1993,MATCH(A36&amp;"ENTRADA",Movimientos!$R$2:$R$1993,0)),"-")</f>
        <v>kg</v>
      </c>
      <c r="H36" s="17" t="str">
        <f>IFERROR(IF(INDEX(Movimientos!$M$2:$M$1993,MATCH(A36&amp;"ENTRADA",Movimientos!$R$2:$R$1993,0))=0,"S/D",INDEX(Movimientos!$M$2:$M$1993,MATCH(A36&amp;"ENTRADA",Movimientos!$R$2:$R$1993,0))),"S/D")</f>
        <v>S/D</v>
      </c>
      <c r="I36" s="15" t="str">
        <f t="shared" ca="1" si="2"/>
        <v>S/D</v>
      </c>
      <c r="J36" s="5">
        <f>IF(A36="","",SUMIFS(Movimientos!$K:$K,Movimientos!$H:$H,A36))</f>
        <v>0</v>
      </c>
      <c r="K36" s="13" t="str">
        <f t="shared" ca="1" si="1"/>
        <v>SIN STOCK</v>
      </c>
    </row>
    <row r="37" spans="1:11">
      <c r="A37" s="16" t="s">
        <v>145</v>
      </c>
      <c r="B37" s="2" t="str">
        <f>IFERROR(INDEX(Movimientos!$C$2:$C$1993,MATCH(A37&amp;"ENTRADA",Movimientos!$R$2:$R$1993,0)),"-")</f>
        <v xml:space="preserve">Avena </v>
      </c>
      <c r="C37" s="2" t="str">
        <f>IFERROR(INDEX(Movimientos!$D$2:$D$1993,MATCH(A37&amp;"ENTRADA",Movimientos!$R$2:$R$1993,0)),"-")</f>
        <v xml:space="preserve">Avena propia </v>
      </c>
      <c r="D37" s="2" t="str">
        <f>IFERROR(INDEX(Movimientos!$E$2:$E$1993,MATCH(A37&amp;"ENTRADA",Movimientos!$R$2:$R$1993,0)),"-")</f>
        <v>Semilla</v>
      </c>
      <c r="E37" s="2" t="str">
        <f>IFERROR(INDEX(Movimientos!$F$2:$F$1993,MATCH(A37&amp;"ENTRADA",Movimientos!$R$2:$R$1993,0)),"-")</f>
        <v>Avena</v>
      </c>
      <c r="F37" s="2">
        <f>IFERROR(INDEX(Movimientos!$G$2:$G$1993,MATCH(A37&amp;"ENTRADA",Movimientos!$R$2:$R$1993,0)),"-")</f>
        <v>0</v>
      </c>
      <c r="G37" s="2" t="str">
        <f>IFERROR(INDEX(Movimientos!$L$2:$L$1993,MATCH(A37&amp;"ENTRADA",Movimientos!$R$2:$R$1993,0)),"-")</f>
        <v>kg</v>
      </c>
      <c r="H37" s="17" t="str">
        <f>IFERROR(IF(INDEX(Movimientos!$M$2:$M$1993,MATCH(A37&amp;"ENTRADA",Movimientos!$R$2:$R$1993,0))=0,"S/D",INDEX(Movimientos!$M$2:$M$1993,MATCH(A37&amp;"ENTRADA",Movimientos!$R$2:$R$1993,0))),"S/D")</f>
        <v>S/D</v>
      </c>
      <c r="I37" s="15" t="str">
        <f t="shared" ca="1" si="2"/>
        <v>S/D</v>
      </c>
      <c r="J37" s="5">
        <f>IF(A37="","",SUMIFS(Movimientos!$K:$K,Movimientos!$H:$H,A37))</f>
        <v>0</v>
      </c>
      <c r="K37" s="13" t="str">
        <f t="shared" ca="1" si="1"/>
        <v>SIN STOCK</v>
      </c>
    </row>
    <row r="38" spans="1:11">
      <c r="A38" s="16" t="s">
        <v>463</v>
      </c>
      <c r="B38" s="2" t="str">
        <f>IFERROR(INDEX(Movimientos!$C$2:$C$1993,MATCH(A38&amp;"ENTRADA",Movimientos!$R$2:$R$1993,0)),"-")</f>
        <v>Arsenal</v>
      </c>
      <c r="C38" s="2" t="str">
        <f>IFERROR(INDEX(Movimientos!$D$2:$D$1993,MATCH(A38&amp;"ENTRADA",Movimientos!$R$2:$R$1993,0)),"-")</f>
        <v>Imazapir sal isopropilamina 24,2%</v>
      </c>
      <c r="D38" s="2" t="str">
        <f>IFERROR(INDEX(Movimientos!$E$2:$E$1993,MATCH(A38&amp;"ENTRADA",Movimientos!$R$2:$R$1993,0)),"-")</f>
        <v>Herbicida</v>
      </c>
      <c r="E38" s="2" t="str">
        <f>IFERROR(INDEX(Movimientos!$F$2:$F$1993,MATCH(A38&amp;"ENTRADA",Movimientos!$R$2:$R$1993,0)),"-")</f>
        <v>Postemergente</v>
      </c>
      <c r="F38" s="2" t="str">
        <f>IFERROR(INDEX(Movimientos!$G$2:$G$1993,MATCH(A38&amp;"ENTRADA",Movimientos!$R$2:$R$1993,0)),"-")</f>
        <v>ERRO</v>
      </c>
      <c r="G38" s="2" t="str">
        <f>IFERROR(INDEX(Movimientos!$L$2:$L$1993,MATCH(A38&amp;"ENTRADA",Movimientos!$R$2:$R$1993,0)),"-")</f>
        <v>L</v>
      </c>
      <c r="H38" s="17">
        <f>IFERROR(IF(INDEX(Movimientos!$M$2:$M$1993,MATCH(A38&amp;"ENTRADA",Movimientos!$R$2:$R$1993,0))=0,"S/D",INDEX(Movimientos!$M$2:$M$1993,MATCH(A38&amp;"ENTRADA",Movimientos!$R$2:$R$1993,0))),"S/D")</f>
        <v>46174</v>
      </c>
      <c r="I38" s="15">
        <f t="shared" ca="1" si="2"/>
        <v>-135</v>
      </c>
      <c r="J38" s="5">
        <f>IF(A38="","",SUMIFS(Movimientos!$K:$K,Movimientos!$H:$H,A38))</f>
        <v>0</v>
      </c>
      <c r="K38" s="13" t="str">
        <f t="shared" ca="1" si="1"/>
        <v>SIN STOCK</v>
      </c>
    </row>
    <row r="39" spans="1:11">
      <c r="A39" s="16" t="s">
        <v>2376</v>
      </c>
      <c r="B39" s="2" t="str">
        <f>IFERROR(INDEX(Movimientos!$C$2:$C$1993,MATCH(A39&amp;"ENTRADA",Movimientos!$R$2:$R$1993,0)),"-")</f>
        <v>Dash HC</v>
      </c>
      <c r="C39" s="2" t="str">
        <f>IFERROR(INDEX(Movimientos!$D$2:$D$1993,MATCH(A39&amp;"ENTRADA",Movimientos!$R$2:$R$1993,0)),"-")</f>
        <v>Esteres metílicos de aceite vegetal 42,5%</v>
      </c>
      <c r="D39" s="2" t="str">
        <f>IFERROR(INDEX(Movimientos!$E$2:$E$1993,MATCH(A39&amp;"ENTRADA",Movimientos!$R$2:$R$1993,0)),"-")</f>
        <v>Coadyuvante</v>
      </c>
      <c r="E39" s="2">
        <f>IFERROR(INDEX(Movimientos!$F$2:$F$1993,MATCH(A39&amp;"ENTRADA",Movimientos!$R$2:$R$1993,0)),"-")</f>
        <v>0</v>
      </c>
      <c r="F39" s="2" t="str">
        <f>IFERROR(INDEX(Movimientos!$G$2:$G$1993,MATCH(A39&amp;"ENTRADA",Movimientos!$R$2:$R$1993,0)),"-")</f>
        <v>ERRO</v>
      </c>
      <c r="G39" s="2" t="str">
        <f>IFERROR(INDEX(Movimientos!$L$2:$L$1993,MATCH(A39&amp;"ENTRADA",Movimientos!$R$2:$R$1993,0)),"-")</f>
        <v>L</v>
      </c>
      <c r="H39" s="17">
        <f>IFERROR(IF(INDEX(Movimientos!$M$2:$M$1993,MATCH(A39&amp;"ENTRADA",Movimientos!$R$2:$R$1993,0))=0,"S/D",INDEX(Movimientos!$M$2:$M$1993,MATCH(A39&amp;"ENTRADA",Movimientos!$R$2:$R$1993,0))),"S/D")</f>
        <v>47574</v>
      </c>
      <c r="I39" s="15">
        <f t="shared" ca="1" si="2"/>
        <v>1265</v>
      </c>
      <c r="J39" s="5">
        <f>IF(A39="","",SUMIFS(Movimientos!$K:$K,Movimientos!$H:$H,A39))</f>
        <v>188</v>
      </c>
      <c r="K39" s="13" t="str">
        <f t="shared" ca="1" si="1"/>
        <v>OK</v>
      </c>
    </row>
    <row r="40" spans="1:11">
      <c r="A40" s="16" t="s">
        <v>375</v>
      </c>
      <c r="B40" s="2" t="str">
        <f>IFERROR(INDEX(Movimientos!$C$2:$C$1993,MATCH(A40&amp;"ENTRADA",Movimientos!$R$2:$R$1993,0)),"-")</f>
        <v>Pixxaro</v>
      </c>
      <c r="C40" s="2" t="str">
        <f>IFERROR(INDEX(Movimientos!$D$2:$D$1993,MATCH(A40&amp;"ENTRADA",Movimientos!$R$2:$R$1993,0)),"-")</f>
        <v>Fluroxypyr meptyl 34,91% + Halauxyfen methyl 1.64% + Cloquintocet mexyl 1.57%</v>
      </c>
      <c r="D40" s="2" t="str">
        <f>IFERROR(INDEX(Movimientos!$E$2:$E$1993,MATCH(A40&amp;"ENTRADA",Movimientos!$R$2:$R$1993,0)),"-")</f>
        <v>Herbicida</v>
      </c>
      <c r="E40" s="2" t="str">
        <f>IFERROR(INDEX(Movimientos!$F$2:$F$1993,MATCH(A40&amp;"ENTRADA",Movimientos!$R$2:$R$1993,0)),"-")</f>
        <v>Postemergente</v>
      </c>
      <c r="F40" s="2" t="str">
        <f>IFERROR(INDEX(Movimientos!$G$2:$G$1993,MATCH(A40&amp;"ENTRADA",Movimientos!$R$2:$R$1993,0)),"-")</f>
        <v>GS Agro</v>
      </c>
      <c r="G40" s="2" t="str">
        <f>IFERROR(INDEX(Movimientos!$L$2:$L$1993,MATCH(A40&amp;"ENTRADA",Movimientos!$R$2:$R$1993,0)),"-")</f>
        <v>L</v>
      </c>
      <c r="H40" s="17">
        <f>IFERROR(IF(INDEX(Movimientos!$M$2:$M$1993,MATCH(A40&amp;"ENTRADA",Movimientos!$R$2:$R$1993,0))=0,"S/D",INDEX(Movimientos!$M$2:$M$1993,MATCH(A40&amp;"ENTRADA",Movimientos!$R$2:$R$1993,0))),"S/D")</f>
        <v>46801</v>
      </c>
      <c r="I40" s="15">
        <f t="shared" ca="1" si="2"/>
        <v>492</v>
      </c>
      <c r="J40" s="5">
        <f>IF(A40="","",SUMIFS(Movimientos!$K:$K,Movimientos!$H:$H,A40))</f>
        <v>460</v>
      </c>
      <c r="K40" s="13" t="str">
        <f t="shared" ca="1" si="1"/>
        <v>OK</v>
      </c>
    </row>
    <row r="41" spans="1:11">
      <c r="A41" s="16" t="s">
        <v>349</v>
      </c>
      <c r="B41" s="2" t="str">
        <f>IFERROR(INDEX(Movimientos!$C$2:$C$1993,MATCH(A41&amp;"ENTRADA",Movimientos!$R$2:$R$1993,0)),"-")</f>
        <v>Alfalfa Latte 920</v>
      </c>
      <c r="C41" s="2" t="str">
        <f>IFERROR(INDEX(Movimientos!$D$2:$D$1993,MATCH(A41&amp;"ENTRADA",Movimientos!$R$2:$R$1993,0)),"-")</f>
        <v>Alfalfa latte 920 gen protect plus</v>
      </c>
      <c r="D41" s="2" t="str">
        <f>IFERROR(INDEX(Movimientos!$E$2:$E$1993,MATCH(A41&amp;"ENTRADA",Movimientos!$R$2:$R$1993,0)),"-")</f>
        <v>Semilla</v>
      </c>
      <c r="E41" s="2" t="str">
        <f>IFERROR(INDEX(Movimientos!$F$2:$F$1993,MATCH(A41&amp;"ENTRADA",Movimientos!$R$2:$R$1993,0)),"-")</f>
        <v>Alfalfa</v>
      </c>
      <c r="F41" s="2" t="str">
        <f>IFERROR(INDEX(Movimientos!$G$2:$G$1993,MATCH(A41&amp;"ENTRADA",Movimientos!$R$2:$R$1993,0)),"-")</f>
        <v xml:space="preserve">Irmacor </v>
      </c>
      <c r="G41" s="2" t="str">
        <f>IFERROR(INDEX(Movimientos!$L$2:$L$1993,MATCH(A41&amp;"ENTRADA",Movimientos!$R$2:$R$1993,0)),"-")</f>
        <v>kg</v>
      </c>
      <c r="H41" s="17" t="str">
        <f>IFERROR(IF(INDEX(Movimientos!$M$2:$M$1993,MATCH(A41&amp;"ENTRADA",Movimientos!$R$2:$R$1993,0))=0,"S/D",INDEX(Movimientos!$M$2:$M$1993,MATCH(A41&amp;"ENTRADA",Movimientos!$R$2:$R$1993,0))),"S/D")</f>
        <v>S/D</v>
      </c>
      <c r="I41" s="15" t="str">
        <f t="shared" ca="1" si="2"/>
        <v>S/D</v>
      </c>
      <c r="J41" s="5">
        <f>IF(A41="","",SUMIFS(Movimientos!$K:$K,Movimientos!$H:$H,A41))</f>
        <v>0</v>
      </c>
      <c r="K41" s="13" t="str">
        <f t="shared" ca="1" si="1"/>
        <v>SIN STOCK</v>
      </c>
    </row>
    <row r="42" spans="1:11">
      <c r="A42" s="16" t="s">
        <v>313</v>
      </c>
      <c r="B42" s="2" t="str">
        <f>IFERROR(INDEX(Movimientos!$C$2:$C$1993,MATCH(A42&amp;"ENTRADA",Movimientos!$R$2:$R$1993,0)),"-")</f>
        <v>Lotus Nilo ht</v>
      </c>
      <c r="C42" s="2" t="str">
        <f>IFERROR(INDEX(Movimientos!$D$2:$D$1993,MATCH(A42&amp;"ENTRADA",Movimientos!$R$2:$R$1993,0)),"-")</f>
        <v>Lotus Nilo Ht Gen Protect Plus</v>
      </c>
      <c r="D42" s="2" t="str">
        <f>IFERROR(INDEX(Movimientos!$E$2:$E$1993,MATCH(A42&amp;"ENTRADA",Movimientos!$R$2:$R$1993,0)),"-")</f>
        <v>Semilla</v>
      </c>
      <c r="E42" s="2" t="str">
        <f>IFERROR(INDEX(Movimientos!$F$2:$F$1993,MATCH(A42&amp;"ENTRADA",Movimientos!$R$2:$R$1993,0)),"-")</f>
        <v>Lotus</v>
      </c>
      <c r="F42" s="2" t="str">
        <f>IFERROR(INDEX(Movimientos!$G$2:$G$1993,MATCH(A42&amp;"ENTRADA",Movimientos!$R$2:$R$1993,0)),"-")</f>
        <v xml:space="preserve">Irmacor </v>
      </c>
      <c r="G42" s="2" t="str">
        <f>IFERROR(INDEX(Movimientos!$L$2:$L$1993,MATCH(A42&amp;"ENTRADA",Movimientos!$R$2:$R$1993,0)),"-")</f>
        <v>kg</v>
      </c>
      <c r="H42" s="17" t="str">
        <f>IFERROR(IF(INDEX(Movimientos!$M$2:$M$1993,MATCH(A42&amp;"ENTRADA",Movimientos!$R$2:$R$1993,0))=0,"S/D",INDEX(Movimientos!$M$2:$M$1993,MATCH(A42&amp;"ENTRADA",Movimientos!$R$2:$R$1993,0))),"S/D")</f>
        <v>S/D</v>
      </c>
      <c r="I42" s="15" t="str">
        <f t="shared" ca="1" si="2"/>
        <v>S/D</v>
      </c>
      <c r="J42" s="5">
        <f>IF(A42="","",SUMIFS(Movimientos!$K:$K,Movimientos!$H:$H,A42))</f>
        <v>0</v>
      </c>
      <c r="K42" s="13" t="str">
        <f t="shared" ca="1" si="1"/>
        <v>SIN STOCK</v>
      </c>
    </row>
    <row r="43" spans="1:11">
      <c r="A43" s="16" t="s">
        <v>323</v>
      </c>
      <c r="B43" s="2" t="str">
        <f>IFERROR(INDEX(Movimientos!$C$2:$C$1993,MATCH(A43&amp;"ENTRADA",Movimientos!$R$2:$R$1993,0)),"-")</f>
        <v>Dactylis inia perseo</v>
      </c>
      <c r="C43" s="2" t="str">
        <f>IFERROR(INDEX(Movimientos!$D$2:$D$1993,MATCH(A43&amp;"ENTRADA",Movimientos!$R$2:$R$1993,0)),"-")</f>
        <v>Dactylis inia perseo cert +ins</v>
      </c>
      <c r="D43" s="2" t="str">
        <f>IFERROR(INDEX(Movimientos!$E$2:$E$1993,MATCH(A43&amp;"ENTRADA",Movimientos!$R$2:$R$1993,0)),"-")</f>
        <v>Semilla</v>
      </c>
      <c r="E43" s="2" t="str">
        <f>IFERROR(INDEX(Movimientos!$F$2:$F$1993,MATCH(A43&amp;"ENTRADA",Movimientos!$R$2:$R$1993,0)),"-")</f>
        <v>Dactylis</v>
      </c>
      <c r="F43" s="2" t="str">
        <f>IFERROR(INDEX(Movimientos!$G$2:$G$1993,MATCH(A43&amp;"ENTRADA",Movimientos!$R$2:$R$1993,0)),"-")</f>
        <v xml:space="preserve">Irmacor </v>
      </c>
      <c r="G43" s="2" t="str">
        <f>IFERROR(INDEX(Movimientos!$L$2:$L$1993,MATCH(A43&amp;"ENTRADA",Movimientos!$R$2:$R$1993,0)),"-")</f>
        <v>kg</v>
      </c>
      <c r="H43" s="17" t="str">
        <f>IFERROR(IF(INDEX(Movimientos!$M$2:$M$1993,MATCH(A43&amp;"ENTRADA",Movimientos!$R$2:$R$1993,0))=0,"S/D",INDEX(Movimientos!$M$2:$M$1993,MATCH(A43&amp;"ENTRADA",Movimientos!$R$2:$R$1993,0))),"S/D")</f>
        <v>S/D</v>
      </c>
      <c r="I43" s="15" t="str">
        <f t="shared" ca="1" si="2"/>
        <v>S/D</v>
      </c>
      <c r="J43" s="5">
        <f>IF(A43="","",SUMIFS(Movimientos!$K:$K,Movimientos!$H:$H,A43))</f>
        <v>0</v>
      </c>
      <c r="K43" s="13" t="str">
        <f t="shared" ca="1" si="1"/>
        <v>SIN STOCK</v>
      </c>
    </row>
    <row r="44" spans="1:11">
      <c r="A44" s="16" t="s">
        <v>448</v>
      </c>
      <c r="B44" s="2" t="str">
        <f>IFERROR(INDEX(Movimientos!$C$2:$C$1993,MATCH(A44&amp;"ENTRADA",Movimientos!$R$2:$R$1993,0)),"-")</f>
        <v>Colza 45y95cl</v>
      </c>
      <c r="C44" s="2" t="str">
        <f>IFERROR(INDEX(Movimientos!$D$2:$D$1993,MATCH(A44&amp;"ENTRADA",Movimientos!$R$2:$R$1993,0)),"-")</f>
        <v>Colza 45y95cl</v>
      </c>
      <c r="D44" s="2" t="str">
        <f>IFERROR(INDEX(Movimientos!$E$2:$E$1993,MATCH(A44&amp;"ENTRADA",Movimientos!$R$2:$R$1993,0)),"-")</f>
        <v>Semilla</v>
      </c>
      <c r="E44" s="2" t="str">
        <f>IFERROR(INDEX(Movimientos!$F$2:$F$1993,MATCH(A44&amp;"ENTRADA",Movimientos!$R$2:$R$1993,0)),"-")</f>
        <v>Colza</v>
      </c>
      <c r="F44" s="2" t="str">
        <f>IFERROR(INDEX(Movimientos!$G$2:$G$1993,MATCH(A44&amp;"ENTRADA",Movimientos!$R$2:$R$1993,0)),"-")</f>
        <v>GS Agro</v>
      </c>
      <c r="G44" s="2" t="str">
        <f>IFERROR(INDEX(Movimientos!$L$2:$L$1993,MATCH(A44&amp;"ENTRADA",Movimientos!$R$2:$R$1993,0)),"-")</f>
        <v>kg</v>
      </c>
      <c r="H44" s="17" t="str">
        <f>IFERROR(IF(INDEX(Movimientos!$M$2:$M$1993,MATCH(A44&amp;"ENTRADA",Movimientos!$R$2:$R$1993,0))=0,"S/D",INDEX(Movimientos!$M$2:$M$1993,MATCH(A44&amp;"ENTRADA",Movimientos!$R$2:$R$1993,0))),"S/D")</f>
        <v>S/D</v>
      </c>
      <c r="I44" s="15" t="str">
        <f t="shared" ca="1" si="2"/>
        <v>S/D</v>
      </c>
      <c r="J44" s="5">
        <f>IF(A44="","",SUMIFS(Movimientos!$K:$K,Movimientos!$H:$H,A44))</f>
        <v>0</v>
      </c>
      <c r="K44" s="13" t="str">
        <f t="shared" ca="1" si="1"/>
        <v>SIN STOCK</v>
      </c>
    </row>
    <row r="45" spans="1:11">
      <c r="A45" s="16" t="s">
        <v>365</v>
      </c>
      <c r="B45" s="2" t="str">
        <f>IFERROR(INDEX(Movimientos!$C$2:$C$1993,MATCH(A45&amp;"ENTRADA",Movimientos!$R$2:$R$1993,0)),"-")</f>
        <v>Festuca elodie curada</v>
      </c>
      <c r="C45" s="2" t="str">
        <f>IFERROR(INDEX(Movimientos!$D$2:$D$1993,MATCH(A45&amp;"ENTRADA",Movimientos!$R$2:$R$1993,0)),"-")</f>
        <v xml:space="preserve">festuca elodie </v>
      </c>
      <c r="D45" s="2" t="str">
        <f>IFERROR(INDEX(Movimientos!$E$2:$E$1993,MATCH(A45&amp;"ENTRADA",Movimientos!$R$2:$R$1993,0)),"-")</f>
        <v>Semilla</v>
      </c>
      <c r="E45" s="2" t="str">
        <f>IFERROR(INDEX(Movimientos!$F$2:$F$1993,MATCH(A45&amp;"ENTRADA",Movimientos!$R$2:$R$1993,0)),"-")</f>
        <v>Festuca</v>
      </c>
      <c r="F45" s="2" t="str">
        <f>IFERROR(INDEX(Movimientos!$G$2:$G$1993,MATCH(A45&amp;"ENTRADA",Movimientos!$R$2:$R$1993,0)),"-")</f>
        <v xml:space="preserve">Biosfer </v>
      </c>
      <c r="G45" s="2" t="str">
        <f>IFERROR(INDEX(Movimientos!$L$2:$L$1993,MATCH(A45&amp;"ENTRADA",Movimientos!$R$2:$R$1993,0)),"-")</f>
        <v>kg</v>
      </c>
      <c r="H45" s="17" t="str">
        <f>IFERROR(IF(INDEX(Movimientos!$M$2:$M$1993,MATCH(A45&amp;"ENTRADA",Movimientos!$R$2:$R$1993,0))=0,"S/D",INDEX(Movimientos!$M$2:$M$1993,MATCH(A45&amp;"ENTRADA",Movimientos!$R$2:$R$1993,0))),"S/D")</f>
        <v>S/D</v>
      </c>
      <c r="I45" s="15" t="str">
        <f t="shared" ca="1" si="2"/>
        <v>S/D</v>
      </c>
      <c r="J45" s="5">
        <f>IF(A45="","",SUMIFS(Movimientos!$K:$K,Movimientos!$H:$H,A45))</f>
        <v>0</v>
      </c>
      <c r="K45" s="13" t="str">
        <f t="shared" ca="1" si="1"/>
        <v>SIN STOCK</v>
      </c>
    </row>
    <row r="46" spans="1:11">
      <c r="A46" s="16" t="s">
        <v>409</v>
      </c>
      <c r="B46" s="2" t="str">
        <f>IFERROR(INDEX(Movimientos!$C$2:$C$1993,MATCH(A46&amp;"ENTRADA",Movimientos!$R$2:$R$1993,0)),"-")</f>
        <v xml:space="preserve">Trebol blanco Zapican inoculado </v>
      </c>
      <c r="C46" s="2" t="str">
        <f>IFERROR(INDEX(Movimientos!$D$2:$D$1993,MATCH(A46&amp;"ENTRADA",Movimientos!$R$2:$R$1993,0)),"-")</f>
        <v xml:space="preserve">trebol blanco zapican </v>
      </c>
      <c r="D46" s="2" t="str">
        <f>IFERROR(INDEX(Movimientos!$E$2:$E$1993,MATCH(A46&amp;"ENTRADA",Movimientos!$R$2:$R$1993,0)),"-")</f>
        <v>Semilla</v>
      </c>
      <c r="E46" s="2" t="str">
        <f>IFERROR(INDEX(Movimientos!$F$2:$F$1993,MATCH(A46&amp;"ENTRADA",Movimientos!$R$2:$R$1993,0)),"-")</f>
        <v>Trebol Blanco</v>
      </c>
      <c r="F46" s="2" t="str">
        <f>IFERROR(INDEX(Movimientos!$G$2:$G$1993,MATCH(A46&amp;"ENTRADA",Movimientos!$R$2:$R$1993,0)),"-")</f>
        <v xml:space="preserve">Biosfer </v>
      </c>
      <c r="G46" s="2" t="str">
        <f>IFERROR(INDEX(Movimientos!$L$2:$L$1993,MATCH(A46&amp;"ENTRADA",Movimientos!$R$2:$R$1993,0)),"-")</f>
        <v>kg</v>
      </c>
      <c r="H46" s="17" t="str">
        <f>IFERROR(IF(INDEX(Movimientos!$M$2:$M$1993,MATCH(A46&amp;"ENTRADA",Movimientos!$R$2:$R$1993,0))=0,"S/D",INDEX(Movimientos!$M$2:$M$1993,MATCH(A46&amp;"ENTRADA",Movimientos!$R$2:$R$1993,0))),"S/D")</f>
        <v>S/D</v>
      </c>
      <c r="I46" s="15" t="str">
        <f t="shared" ca="1" si="2"/>
        <v>S/D</v>
      </c>
      <c r="J46" s="5">
        <f>IF(A46="","",SUMIFS(Movimientos!$K:$K,Movimientos!$H:$H,A46))</f>
        <v>100</v>
      </c>
      <c r="K46" s="13" t="str">
        <f t="shared" ca="1" si="1"/>
        <v>OK</v>
      </c>
    </row>
    <row r="47" spans="1:11">
      <c r="A47" s="16" t="s">
        <v>2377</v>
      </c>
      <c r="B47" s="2" t="str">
        <f>IFERROR(INDEX(Movimientos!$C$2:$C$1993,MATCH(A47&amp;"ENTRADA",Movimientos!$R$2:$R$1993,0)),"-")</f>
        <v>-</v>
      </c>
      <c r="C47" s="2" t="str">
        <f>IFERROR(INDEX(Movimientos!$D$2:$D$1993,MATCH(A47&amp;"ENTRADA",Movimientos!$R$2:$R$1993,0)),"-")</f>
        <v>-</v>
      </c>
      <c r="D47" s="2" t="str">
        <f>IFERROR(INDEX(Movimientos!$E$2:$E$1993,MATCH(A47&amp;"ENTRADA",Movimientos!$R$2:$R$1993,0)),"-")</f>
        <v>-</v>
      </c>
      <c r="E47" s="2" t="str">
        <f>IFERROR(INDEX(Movimientos!$F$2:$F$1993,MATCH(A47&amp;"ENTRADA",Movimientos!$R$2:$R$1993,0)),"-")</f>
        <v>-</v>
      </c>
      <c r="F47" s="2" t="str">
        <f>IFERROR(INDEX(Movimientos!$G$2:$G$1993,MATCH(A47&amp;"ENTRADA",Movimientos!$R$2:$R$1993,0)),"-")</f>
        <v>-</v>
      </c>
      <c r="G47" s="2" t="str">
        <f>IFERROR(INDEX(Movimientos!$L$2:$L$1993,MATCH(A47&amp;"ENTRADA",Movimientos!$R$2:$R$1993,0)),"-")</f>
        <v>-</v>
      </c>
      <c r="H47" s="17" t="str">
        <f>IFERROR(IF(INDEX(Movimientos!$M$2:$M$1993,MATCH(A47&amp;"ENTRADA",Movimientos!$R$2:$R$1993,0))=0,"S/D",INDEX(Movimientos!$M$2:$M$1993,MATCH(A47&amp;"ENTRADA",Movimientos!$R$2:$R$1993,0))),"S/D")</f>
        <v>S/D</v>
      </c>
      <c r="I47" s="15" t="str">
        <f t="shared" ca="1" si="2"/>
        <v>S/D</v>
      </c>
      <c r="J47" s="5">
        <f>IF(A47="","",SUMIFS(Movimientos!$K:$K,Movimientos!$H:$H,A47))</f>
        <v>0</v>
      </c>
      <c r="K47" s="13" t="str">
        <f t="shared" ca="1" si="1"/>
        <v>SIN STOCK</v>
      </c>
    </row>
    <row r="48" spans="1:11">
      <c r="A48" s="16" t="s">
        <v>446</v>
      </c>
      <c r="B48" s="2" t="str">
        <f>IFERROR(INDEX(Movimientos!$C$2:$C$1993,MATCH(A48&amp;"ENTRADA",Movimientos!$R$2:$R$1993,0)),"-")</f>
        <v>Colza Nuola 300</v>
      </c>
      <c r="C48" s="2" t="str">
        <f>IFERROR(INDEX(Movimientos!$D$2:$D$1993,MATCH(A48&amp;"ENTRADA",Movimientos!$R$2:$R$1993,0)),"-")</f>
        <v>Nuola 300</v>
      </c>
      <c r="D48" s="2" t="str">
        <f>IFERROR(INDEX(Movimientos!$E$2:$E$1993,MATCH(A48&amp;"ENTRADA",Movimientos!$R$2:$R$1993,0)),"-")</f>
        <v>Semilla</v>
      </c>
      <c r="E48" s="2" t="str">
        <f>IFERROR(INDEX(Movimientos!$F$2:$F$1993,MATCH(A48&amp;"ENTRADA",Movimientos!$R$2:$R$1993,0)),"-")</f>
        <v>Colza</v>
      </c>
      <c r="F48" s="2" t="str">
        <f>IFERROR(INDEX(Movimientos!$G$2:$G$1993,MATCH(A48&amp;"ENTRADA",Movimientos!$R$2:$R$1993,0)),"-")</f>
        <v xml:space="preserve">Biosfer </v>
      </c>
      <c r="G48" s="2" t="str">
        <f>IFERROR(INDEX(Movimientos!$L$2:$L$1993,MATCH(A48&amp;"ENTRADA",Movimientos!$R$2:$R$1993,0)),"-")</f>
        <v>kg</v>
      </c>
      <c r="H48" s="17" t="str">
        <f>IFERROR(IF(INDEX(Movimientos!$M$2:$M$1993,MATCH(A48&amp;"ENTRADA",Movimientos!$R$2:$R$1993,0))=0,"S/D",INDEX(Movimientos!$M$2:$M$1993,MATCH(A48&amp;"ENTRADA",Movimientos!$R$2:$R$1993,0))),"S/D")</f>
        <v>S/D</v>
      </c>
      <c r="I48" s="15" t="str">
        <f t="shared" ca="1" si="2"/>
        <v>S/D</v>
      </c>
      <c r="J48" s="5">
        <f>IF(A48="","",SUMIFS(Movimientos!$K:$K,Movimientos!$H:$H,A48))</f>
        <v>0</v>
      </c>
      <c r="K48" s="13" t="str">
        <f t="shared" ca="1" si="1"/>
        <v>SIN STOCK</v>
      </c>
    </row>
    <row r="49" spans="1:11">
      <c r="A49" s="16" t="s">
        <v>495</v>
      </c>
      <c r="B49" s="2" t="str">
        <f>IFERROR(INDEX(Movimientos!$C$2:$C$1993,MATCH(A49&amp;"ENTRADA",Movimientos!$R$2:$R$1993,0)),"-")</f>
        <v xml:space="preserve">Zinc Plus </v>
      </c>
      <c r="C49" s="2" t="str">
        <f>IFERROR(INDEX(Movimientos!$D$2:$D$1993,MATCH(A49&amp;"ENTRADA",Movimientos!$R$2:$R$1993,0)),"-")</f>
        <v xml:space="preserve">Keylate Zinc Plus </v>
      </c>
      <c r="D49" s="2" t="str">
        <f>IFERROR(INDEX(Movimientos!$E$2:$E$1993,MATCH(A49&amp;"ENTRADA",Movimientos!$R$2:$R$1993,0)),"-")</f>
        <v>Fertilizante</v>
      </c>
      <c r="E49" s="2">
        <f>IFERROR(INDEX(Movimientos!$F$2:$F$1993,MATCH(A49&amp;"ENTRADA",Movimientos!$R$2:$R$1993,0)),"-")</f>
        <v>0</v>
      </c>
      <c r="F49" s="2" t="str">
        <f>IFERROR(INDEX(Movimientos!$G$2:$G$1993,MATCH(A49&amp;"ENTRADA",Movimientos!$R$2:$R$1993,0)),"-")</f>
        <v>GS Agro</v>
      </c>
      <c r="G49" s="2" t="str">
        <f>IFERROR(INDEX(Movimientos!$L$2:$L$1993,MATCH(A49&amp;"ENTRADA",Movimientos!$R$2:$R$1993,0)),"-")</f>
        <v>L</v>
      </c>
      <c r="H49" s="17" t="str">
        <f>IFERROR(IF(INDEX(Movimientos!$M$2:$M$1993,MATCH(A49&amp;"ENTRADA",Movimientos!$R$2:$R$1993,0))=0,"S/D",INDEX(Movimientos!$M$2:$M$1993,MATCH(A49&amp;"ENTRADA",Movimientos!$R$2:$R$1993,0))),"S/D")</f>
        <v>S/D</v>
      </c>
      <c r="I49" s="15" t="str">
        <f t="shared" ca="1" si="2"/>
        <v>S/D</v>
      </c>
      <c r="J49" s="5">
        <f>IF(A49="","",SUMIFS(Movimientos!$K:$K,Movimientos!$H:$H,A49))</f>
        <v>12320</v>
      </c>
      <c r="K49" s="13" t="str">
        <f t="shared" ca="1" si="1"/>
        <v>OK</v>
      </c>
    </row>
    <row r="50" spans="1:11">
      <c r="A50" s="16" t="s">
        <v>497</v>
      </c>
      <c r="B50" s="2" t="str">
        <f>IFERROR(INDEX(Movimientos!$C$2:$C$1993,MATCH(A50&amp;"ENTRADA",Movimientos!$R$2:$R$1993,0)),"-")</f>
        <v>Hydra Hume</v>
      </c>
      <c r="C50" s="2" t="str">
        <f>IFERROR(INDEX(Movimientos!$D$2:$D$1993,MATCH(A50&amp;"ENTRADA",Movimientos!$R$2:$R$1993,0)),"-")</f>
        <v xml:space="preserve">Hydra hume </v>
      </c>
      <c r="D50" s="2" t="str">
        <f>IFERROR(INDEX(Movimientos!$E$2:$E$1993,MATCH(A50&amp;"ENTRADA",Movimientos!$R$2:$R$1993,0)),"-")</f>
        <v>Biológico</v>
      </c>
      <c r="E50" s="2" t="str">
        <f>IFERROR(INDEX(Movimientos!$F$2:$F$1993,MATCH(A50&amp;"ENTRADA",Movimientos!$R$2:$R$1993,0)),"-")</f>
        <v>Acidos Humicos</v>
      </c>
      <c r="F50" s="2" t="str">
        <f>IFERROR(INDEX(Movimientos!$G$2:$G$1993,MATCH(A50&amp;"ENTRADA",Movimientos!$R$2:$R$1993,0)),"-")</f>
        <v>Granicor</v>
      </c>
      <c r="G50" s="2" t="str">
        <f>IFERROR(INDEX(Movimientos!$L$2:$L$1993,MATCH(A50&amp;"ENTRADA",Movimientos!$R$2:$R$1993,0)),"-")</f>
        <v>L</v>
      </c>
      <c r="H50" s="17">
        <f>IFERROR(IF(INDEX(Movimientos!$M$2:$M$1993,MATCH(A50&amp;"ENTRADA",Movimientos!$R$2:$R$1993,0))=0,"S/D",INDEX(Movimientos!$M$2:$M$1993,MATCH(A50&amp;"ENTRADA",Movimientos!$R$2:$R$1993,0))),"S/D")</f>
        <v>46634</v>
      </c>
      <c r="I50" s="15">
        <f t="shared" ca="1" si="2"/>
        <v>325</v>
      </c>
      <c r="J50" s="5">
        <f>IF(A50="","",SUMIFS(Movimientos!$K:$K,Movimientos!$H:$H,A50))</f>
        <v>0</v>
      </c>
      <c r="K50" s="13" t="str">
        <f t="shared" ca="1" si="1"/>
        <v>SIN STOCK</v>
      </c>
    </row>
    <row r="51" spans="1:11">
      <c r="A51" s="16" t="s">
        <v>553</v>
      </c>
      <c r="B51" s="2" t="str">
        <f>IFERROR(INDEX(Movimientos!$C$2:$C$1993,MATCH(A51&amp;"ENTRADA",Movimientos!$R$2:$R$1993,0)),"-")</f>
        <v xml:space="preserve">cripton xpro </v>
      </c>
      <c r="C51" s="2" t="str">
        <f>IFERROR(INDEX(Movimientos!$D$2:$D$1993,MATCH(A51&amp;"ENTRADA",Movimientos!$R$2:$R$1993,0)),"-")</f>
        <v>Protioconazol 175g/l trifloxistrobin 150g/l bixafen 125g/l</v>
      </c>
      <c r="D51" s="2" t="str">
        <f>IFERROR(INDEX(Movimientos!$E$2:$E$1993,MATCH(A51&amp;"ENTRADA",Movimientos!$R$2:$R$1993,0)),"-")</f>
        <v>Fungicida</v>
      </c>
      <c r="E51" s="2">
        <f>IFERROR(INDEX(Movimientos!$F$2:$F$1993,MATCH(A51&amp;"ENTRADA",Movimientos!$R$2:$R$1993,0)),"-")</f>
        <v>0</v>
      </c>
      <c r="F51" s="2" t="str">
        <f>IFERROR(INDEX(Movimientos!$G$2:$G$1993,MATCH(A51&amp;"ENTRADA",Movimientos!$R$2:$R$1993,0)),"-")</f>
        <v>Agromil</v>
      </c>
      <c r="G51" s="2" t="str">
        <f>IFERROR(INDEX(Movimientos!$L$2:$L$1993,MATCH(A51&amp;"ENTRADA",Movimientos!$R$2:$R$1993,0)),"-")</f>
        <v>L</v>
      </c>
      <c r="H51" s="17">
        <f>IFERROR(IF(INDEX(Movimientos!$M$2:$M$1993,MATCH(A51&amp;"ENTRADA",Movimientos!$R$2:$R$1993,0))=0,"S/D",INDEX(Movimientos!$M$2:$M$1993,MATCH(A51&amp;"ENTRADA",Movimientos!$R$2:$R$1993,0))),"S/D")</f>
        <v>46476</v>
      </c>
      <c r="I51" s="15">
        <f t="shared" ca="1" si="2"/>
        <v>167</v>
      </c>
      <c r="J51" s="5">
        <f>IF(A51="","",SUMIFS(Movimientos!$K:$K,Movimientos!$H:$H,A51))</f>
        <v>-565</v>
      </c>
      <c r="K51" s="13" t="str">
        <f t="shared" ca="1" si="1"/>
        <v>SIN STOCK</v>
      </c>
    </row>
    <row r="52" spans="1:11">
      <c r="A52" s="16" t="s">
        <v>551</v>
      </c>
      <c r="B52" s="2" t="str">
        <f>IFERROR(INDEX(Movimientos!$C$2:$C$1993,MATCH(A52&amp;"ENTRADA",Movimientos!$R$2:$R$1993,0)),"-")</f>
        <v>vitagrow</v>
      </c>
      <c r="C52" s="2" t="str">
        <f>IFERROR(INDEX(Movimientos!$D$2:$D$1993,MATCH(A52&amp;"ENTRADA",Movimientos!$R$2:$R$1993,0)),"-")</f>
        <v xml:space="preserve">fertilizante foliar </v>
      </c>
      <c r="D52" s="2" t="str">
        <f>IFERROR(INDEX(Movimientos!$E$2:$E$1993,MATCH(A52&amp;"ENTRADA",Movimientos!$R$2:$R$1993,0)),"-")</f>
        <v>Fertilizante</v>
      </c>
      <c r="E52" s="2">
        <f>IFERROR(INDEX(Movimientos!$F$2:$F$1993,MATCH(A52&amp;"ENTRADA",Movimientos!$R$2:$R$1993,0)),"-")</f>
        <v>0</v>
      </c>
      <c r="F52" s="2" t="str">
        <f>IFERROR(INDEX(Movimientos!$G$2:$G$1993,MATCH(A52&amp;"ENTRADA",Movimientos!$R$2:$R$1993,0)),"-")</f>
        <v>Agromil</v>
      </c>
      <c r="G52" s="2" t="str">
        <f>IFERROR(INDEX(Movimientos!$L$2:$L$1993,MATCH(A52&amp;"ENTRADA",Movimientos!$R$2:$R$1993,0)),"-")</f>
        <v>kg</v>
      </c>
      <c r="H52" s="17">
        <f>IFERROR(IF(INDEX(Movimientos!$M$2:$M$1993,MATCH(A52&amp;"ENTRADA",Movimientos!$R$2:$R$1993,0))=0,"S/D",INDEX(Movimientos!$M$2:$M$1993,MATCH(A52&amp;"ENTRADA",Movimientos!$R$2:$R$1993,0))),"S/D")</f>
        <v>47098</v>
      </c>
      <c r="I52" s="15">
        <f t="shared" ca="1" si="2"/>
        <v>789</v>
      </c>
      <c r="J52" s="5">
        <f>IF(A52="","",SUMIFS(Movimientos!$K:$K,Movimientos!$H:$H,A52))</f>
        <v>0</v>
      </c>
      <c r="K52" s="13" t="str">
        <f t="shared" ca="1" si="1"/>
        <v>SIN STOCK</v>
      </c>
    </row>
    <row r="53" spans="1:11">
      <c r="A53" s="16" t="s">
        <v>2378</v>
      </c>
      <c r="B53" s="2" t="str">
        <f>IFERROR(INDEX(Movimientos!$C$2:$C$1993,MATCH(A53&amp;"ENTRADA",Movimientos!$R$2:$R$1993,0)),"-")</f>
        <v xml:space="preserve">semilla comprada cebada </v>
      </c>
      <c r="C53" s="2" t="str">
        <f>IFERROR(INDEX(Movimientos!$D$2:$D$1993,MATCH(A53&amp;"ENTRADA",Movimientos!$R$2:$R$1993,0)),"-")</f>
        <v>cebada osiris</v>
      </c>
      <c r="D53" s="2" t="str">
        <f>IFERROR(INDEX(Movimientos!$E$2:$E$1993,MATCH(A53&amp;"ENTRADA",Movimientos!$R$2:$R$1993,0)),"-")</f>
        <v>Semilla</v>
      </c>
      <c r="E53" s="2" t="str">
        <f>IFERROR(INDEX(Movimientos!$F$2:$F$1993,MATCH(A53&amp;"ENTRADA",Movimientos!$R$2:$R$1993,0)),"-")</f>
        <v>Cebada</v>
      </c>
      <c r="F53" s="2">
        <f>IFERROR(INDEX(Movimientos!$G$2:$G$1993,MATCH(A53&amp;"ENTRADA",Movimientos!$R$2:$R$1993,0)),"-")</f>
        <v>0</v>
      </c>
      <c r="G53" s="2" t="str">
        <f>IFERROR(INDEX(Movimientos!$L$2:$L$1993,MATCH(A53&amp;"ENTRADA",Movimientos!$R$2:$R$1993,0)),"-")</f>
        <v>kg</v>
      </c>
      <c r="H53" s="17" t="str">
        <f>IFERROR(IF(INDEX(Movimientos!$M$2:$M$1993,MATCH(A53&amp;"ENTRADA",Movimientos!$R$2:$R$1993,0))=0,"S/D",INDEX(Movimientos!$M$2:$M$1993,MATCH(A53&amp;"ENTRADA",Movimientos!$R$2:$R$1993,0))),"S/D")</f>
        <v>S/D</v>
      </c>
      <c r="I53" s="15" t="str">
        <f t="shared" ca="1" si="2"/>
        <v>S/D</v>
      </c>
      <c r="J53" s="5">
        <f>IF(A53="","",SUMIFS(Movimientos!$K:$K,Movimientos!$H:$H,A53))</f>
        <v>1700</v>
      </c>
      <c r="K53" s="13" t="str">
        <f t="shared" ca="1" si="1"/>
        <v>OK</v>
      </c>
    </row>
    <row r="54" spans="1:11">
      <c r="A54" s="16" t="s">
        <v>560</v>
      </c>
      <c r="B54" s="2" t="str">
        <f>IFERROR(INDEX(Movimientos!$C$2:$C$1993,MATCH(A54&amp;"ENTRADA",Movimientos!$R$2:$R$1993,0)),"-")</f>
        <v>Paradigm</v>
      </c>
      <c r="C54" s="2" t="str">
        <f>IFERROR(INDEX(Movimientos!$D$2:$D$1993,MATCH(A54&amp;"ENTRADA",Movimientos!$R$2:$R$1993,0)),"-")</f>
        <v>Florasulam 20,0% Halauxyfen metil 20,85% Equivalente ácido Halauxyfen metil 20,0%</v>
      </c>
      <c r="D54" s="2" t="str">
        <f>IFERROR(INDEX(Movimientos!$E$2:$E$1993,MATCH(A54&amp;"ENTRADA",Movimientos!$R$2:$R$1993,0)),"-")</f>
        <v>Herbicida</v>
      </c>
      <c r="E54" s="2" t="str">
        <f>IFERROR(INDEX(Movimientos!$F$2:$F$1993,MATCH(A54&amp;"ENTRADA",Movimientos!$R$2:$R$1993,0)),"-")</f>
        <v>Postemergente</v>
      </c>
      <c r="F54" s="2" t="str">
        <f>IFERROR(INDEX(Movimientos!$G$2:$G$1993,MATCH(A54&amp;"ENTRADA",Movimientos!$R$2:$R$1993,0)),"-")</f>
        <v>GS Agro</v>
      </c>
      <c r="G54" s="2" t="str">
        <f>IFERROR(INDEX(Movimientos!$L$2:$L$1993,MATCH(A54&amp;"ENTRADA",Movimientos!$R$2:$R$1993,0)),"-")</f>
        <v>kg</v>
      </c>
      <c r="H54" s="17" t="str">
        <f>IFERROR(IF(INDEX(Movimientos!$M$2:$M$1993,MATCH(A54&amp;"ENTRADA",Movimientos!$R$2:$R$1993,0))=0,"S/D",INDEX(Movimientos!$M$2:$M$1993,MATCH(A54&amp;"ENTRADA",Movimientos!$R$2:$R$1993,0))),"S/D")</f>
        <v>S/D</v>
      </c>
      <c r="I54" s="15" t="str">
        <f t="shared" ca="1" si="2"/>
        <v>S/D</v>
      </c>
      <c r="J54" s="5">
        <f>IF(A54="","",SUMIFS(Movimientos!$K:$K,Movimientos!$H:$H,A54))</f>
        <v>0</v>
      </c>
      <c r="K54" s="13" t="str">
        <f t="shared" ca="1" si="1"/>
        <v>SIN STOCK</v>
      </c>
    </row>
    <row r="55" spans="1:11">
      <c r="A55" s="16" t="s">
        <v>587</v>
      </c>
      <c r="B55" s="2" t="str">
        <f>IFERROR(INDEX(Movimientos!$C$2:$C$1993,MATCH(A55&amp;"ENTRADA",Movimientos!$R$2:$R$1993,0)),"-")</f>
        <v>Unico Max</v>
      </c>
      <c r="C55" s="2" t="str">
        <f>IFERROR(INDEX(Movimientos!$D$2:$D$1993,MATCH(A55&amp;"ENTRADA",Movimientos!$R$2:$R$1993,0)),"-")</f>
        <v>(Protioconazol 175 g/L + Piraclostrobin 142 g/L + Bixafen 125 g/L – SC)</v>
      </c>
      <c r="D55" s="2" t="str">
        <f>IFERROR(INDEX(Movimientos!$E$2:$E$1993,MATCH(A55&amp;"ENTRADA",Movimientos!$R$2:$R$1993,0)),"-")</f>
        <v>Fungicida</v>
      </c>
      <c r="E55" s="2">
        <f>IFERROR(INDEX(Movimientos!$F$2:$F$1993,MATCH(A55&amp;"ENTRADA",Movimientos!$R$2:$R$1993,0)),"-")</f>
        <v>0</v>
      </c>
      <c r="F55" s="2" t="str">
        <f>IFERROR(INDEX(Movimientos!$G$2:$G$1993,MATCH(A55&amp;"ENTRADA",Movimientos!$R$2:$R$1993,0)),"-")</f>
        <v>Proquimur</v>
      </c>
      <c r="G55" s="2" t="str">
        <f>IFERROR(INDEX(Movimientos!$L$2:$L$1993,MATCH(A55&amp;"ENTRADA",Movimientos!$R$2:$R$1993,0)),"-")</f>
        <v>L</v>
      </c>
      <c r="H55" s="17">
        <f>IFERROR(IF(INDEX(Movimientos!$M$2:$M$1993,MATCH(A55&amp;"ENTRADA",Movimientos!$R$2:$R$1993,0))=0,"S/D",INDEX(Movimientos!$M$2:$M$1993,MATCH(A55&amp;"ENTRADA",Movimientos!$R$2:$R$1993,0))),"S/D")</f>
        <v>46569</v>
      </c>
      <c r="I55" s="15">
        <f t="shared" ca="1" si="2"/>
        <v>260</v>
      </c>
      <c r="J55" s="5">
        <f>IF(A55="","",SUMIFS(Movimientos!$K:$K,Movimientos!$H:$H,A55))</f>
        <v>65</v>
      </c>
      <c r="K55" s="13" t="str">
        <f t="shared" ca="1" si="1"/>
        <v>OK</v>
      </c>
    </row>
    <row r="56" spans="1:11">
      <c r="A56" s="16" t="s">
        <v>799</v>
      </c>
      <c r="B56" s="2" t="str">
        <f>IFERROR(INDEX(Movimientos!$C$2:$C$1993,MATCH(A56&amp;"ENTRADA",Movimientos!$R$2:$R$1993,0)),"-")</f>
        <v xml:space="preserve">cripton xpro </v>
      </c>
      <c r="C56" s="2" t="str">
        <f>IFERROR(INDEX(Movimientos!$D$2:$D$1993,MATCH(A56&amp;"ENTRADA",Movimientos!$R$2:$R$1993,0)),"-")</f>
        <v>Protioconazol 175g/l trifloxistrobin 150g/l bixafen 125g/l</v>
      </c>
      <c r="D56" s="2" t="str">
        <f>IFERROR(INDEX(Movimientos!$E$2:$E$1993,MATCH(A56&amp;"ENTRADA",Movimientos!$R$2:$R$1993,0)),"-")</f>
        <v>Fungicida</v>
      </c>
      <c r="E56" s="2">
        <f>IFERROR(INDEX(Movimientos!$F$2:$F$1993,MATCH(A56&amp;"ENTRADA",Movimientos!$R$2:$R$1993,0)),"-")</f>
        <v>0</v>
      </c>
      <c r="F56" s="2" t="str">
        <f>IFERROR(INDEX(Movimientos!$G$2:$G$1993,MATCH(A56&amp;"ENTRADA",Movimientos!$R$2:$R$1993,0)),"-")</f>
        <v>Agroterra</v>
      </c>
      <c r="G56" s="2" t="str">
        <f>IFERROR(INDEX(Movimientos!$L$2:$L$1993,MATCH(A56&amp;"ENTRADA",Movimientos!$R$2:$R$1993,0)),"-")</f>
        <v>L</v>
      </c>
      <c r="H56" s="17">
        <f>IFERROR(IF(INDEX(Movimientos!$M$2:$M$1993,MATCH(A56&amp;"ENTRADA",Movimientos!$R$2:$R$1993,0))=0,"S/D",INDEX(Movimientos!$M$2:$M$1993,MATCH(A56&amp;"ENTRADA",Movimientos!$R$2:$R$1993,0))),"S/D")</f>
        <v>46584</v>
      </c>
      <c r="I56" s="15">
        <f t="shared" ca="1" si="2"/>
        <v>275</v>
      </c>
      <c r="J56" s="5">
        <f>IF(A56="","",SUMIFS(Movimientos!$K:$K,Movimientos!$H:$H,A56))</f>
        <v>565</v>
      </c>
      <c r="K56" s="13" t="str">
        <f t="shared" ca="1" si="1"/>
        <v>OK</v>
      </c>
    </row>
    <row r="57" spans="1:11">
      <c r="A57" s="16" t="s">
        <v>297</v>
      </c>
      <c r="B57" s="2" t="str">
        <f>IFERROR(INDEX(Movimientos!$C$2:$C$1993,MATCH(A57&amp;"ENTRADA",Movimientos!$R$2:$R$1993,0)),"-")</f>
        <v>Silobolsa</v>
      </c>
      <c r="C57" s="2" t="str">
        <f>IFERROR(INDEX(Movimientos!$D$2:$D$1993,MATCH(A57&amp;"ENTRADA",Movimientos!$R$2:$R$1993,0)),"-")</f>
        <v>Silobolsa 9 pies</v>
      </c>
      <c r="D57" s="2" t="str">
        <f>IFERROR(INDEX(Movimientos!$E$2:$E$1993,MATCH(A57&amp;"ENTRADA",Movimientos!$R$2:$R$1993,0)),"-")</f>
        <v>Silobolsa</v>
      </c>
      <c r="E57" s="2">
        <f>IFERROR(INDEX(Movimientos!$F$2:$F$1993,MATCH(A57&amp;"ENTRADA",Movimientos!$R$2:$R$1993,0)),"-")</f>
        <v>0</v>
      </c>
      <c r="F57" s="2" t="str">
        <f>IFERROR(INDEX(Movimientos!$G$2:$G$1993,MATCH(A57&amp;"ENTRADA",Movimientos!$R$2:$R$1993,0)),"-")</f>
        <v>AYP Agrogestiones</v>
      </c>
      <c r="G57" s="2" t="str">
        <f>IFERROR(INDEX(Movimientos!$L$2:$L$1993,MATCH(A57&amp;"ENTRADA",Movimientos!$R$2:$R$1993,0)),"-")</f>
        <v>unidad</v>
      </c>
      <c r="H57" s="17" t="str">
        <f>IFERROR(IF(INDEX(Movimientos!$M$2:$M$1993,MATCH(A57&amp;"ENTRADA",Movimientos!$R$2:$R$1993,0))=0,"S/D",INDEX(Movimientos!$M$2:$M$1993,MATCH(A57&amp;"ENTRADA",Movimientos!$R$2:$R$1993,0))),"S/D")</f>
        <v>S/D</v>
      </c>
      <c r="I57" s="15" t="str">
        <f t="shared" ca="1" si="2"/>
        <v>S/D</v>
      </c>
      <c r="J57" s="5">
        <f>IF(A57="","",SUMIFS(Movimientos!$K:$K,Movimientos!$H:$H,A57))</f>
        <v>0</v>
      </c>
      <c r="K57" s="13" t="str">
        <f t="shared" ca="1" si="1"/>
        <v>SIN STOCK</v>
      </c>
    </row>
    <row r="58" spans="1:11" ht="14.25">
      <c r="A58" s="16"/>
      <c r="B58" s="2" t="str">
        <f>IFERROR(INDEX(Movimientos!$C$2:$C$1993,MATCH(A58&amp;"ENTRADA",Movimientos!$R$2:$R$1993,0)),"-")</f>
        <v>-</v>
      </c>
      <c r="C58" s="2" t="str">
        <f>IFERROR(INDEX(Movimientos!$D$2:$D$1993,MATCH(A58&amp;"ENTRADA",Movimientos!$R$2:$R$1993,0)),"-")</f>
        <v>-</v>
      </c>
      <c r="D58" s="2" t="str">
        <f>IFERROR(INDEX(Movimientos!$E$2:$E$1993,MATCH(A58&amp;"ENTRADA",Movimientos!$R$2:$R$1993,0)),"-")</f>
        <v>-</v>
      </c>
      <c r="E58" s="2" t="str">
        <f>IFERROR(INDEX(Movimientos!$F$2:$F$1993,MATCH(A58&amp;"ENTRADA",Movimientos!$R$2:$R$1993,0)),"-")</f>
        <v>-</v>
      </c>
      <c r="F58" s="2" t="str">
        <f>IFERROR(INDEX(Movimientos!$G$2:$G$1993,MATCH(A58&amp;"ENTRADA",Movimientos!$R$2:$R$1993,0)),"-")</f>
        <v>-</v>
      </c>
      <c r="G58" s="2" t="str">
        <f>IFERROR(INDEX(Movimientos!$L$2:$L$1993,MATCH(A58&amp;"ENTRADA",Movimientos!$R$2:$R$1993,0)),"-")</f>
        <v>-</v>
      </c>
      <c r="H58" s="17" t="str">
        <f>IFERROR(IF(INDEX(Movimientos!$M$2:$M$1993,MATCH(A58&amp;"ENTRADA",Movimientos!$R$2:$R$1993,0))=0,"S/D",INDEX(Movimientos!$M$2:$M$1993,MATCH(A58&amp;"ENTRADA",Movimientos!$R$2:$R$1993,0))),"S/D")</f>
        <v>S/D</v>
      </c>
      <c r="I58" s="15" t="str">
        <f t="shared" ca="1" si="2"/>
        <v>S/D</v>
      </c>
      <c r="J58" s="5" t="str">
        <f>IF(A58="","",SUMIFS(Movimientos!$K:$K,Movimientos!$H:$H,A58))</f>
        <v/>
      </c>
      <c r="K58" s="13" t="str">
        <f t="shared" ca="1" si="1"/>
        <v/>
      </c>
    </row>
    <row r="59" spans="1:11" ht="14.25">
      <c r="A59" s="55" t="s">
        <v>822</v>
      </c>
      <c r="B59" s="2" t="str">
        <f>IFERROR(INDEX(Movimientos!$C$2:$C$1993,MATCH(A59&amp;"ENTRADA",Movimientos!$R$2:$R$1993,0)),"-")</f>
        <v>semilla maiz DK 69-62 TRE</v>
      </c>
      <c r="C59" s="2" t="str">
        <f>IFERROR(INDEX(Movimientos!$D$2:$D$1993,MATCH(A59&amp;"ENTRADA",Movimientos!$R$2:$R$1993,0)),"-")</f>
        <v xml:space="preserve">semilla comprada maíz </v>
      </c>
      <c r="D59" s="2" t="str">
        <f>IFERROR(INDEX(Movimientos!$E$2:$E$1993,MATCH(A59&amp;"ENTRADA",Movimientos!$R$2:$R$1993,0)),"-")</f>
        <v>Semilla</v>
      </c>
      <c r="E59" s="2" t="str">
        <f>IFERROR(INDEX(Movimientos!$F$2:$F$1993,MATCH(A59&amp;"ENTRADA",Movimientos!$R$2:$R$1993,0)),"-")</f>
        <v>Maíz</v>
      </c>
      <c r="F59" s="2" t="str">
        <f>IFERROR(INDEX(Movimientos!$G$2:$G$1993,MATCH(A59&amp;"ENTRADA",Movimientos!$R$2:$R$1993,0)),"-")</f>
        <v>Agroterra</v>
      </c>
      <c r="G59" s="2" t="str">
        <f>IFERROR(INDEX(Movimientos!$L$2:$L$1993,MATCH(A59&amp;"ENTRADA",Movimientos!$R$2:$R$1993,0)),"-")</f>
        <v>bolsa</v>
      </c>
      <c r="H59" s="17" t="str">
        <f>IFERROR(IF(INDEX(Movimientos!$M$2:$M$1993,MATCH(A59&amp;"ENTRADA",Movimientos!$R$2:$R$1993,0))=0,"S/D",INDEX(Movimientos!$M$2:$M$1993,MATCH(A59&amp;"ENTRADA",Movimientos!$R$2:$R$1993,0))),"S/D")</f>
        <v>S/D</v>
      </c>
      <c r="I59" s="15" t="str">
        <f t="shared" ca="1" si="2"/>
        <v>S/D</v>
      </c>
      <c r="J59" s="5">
        <f>IF(A59="","",SUMIFS(Movimientos!$K:$K,Movimientos!$H:$H,A59))</f>
        <v>0</v>
      </c>
      <c r="K59" s="13" t="str">
        <f t="shared" ca="1" si="1"/>
        <v>SIN STOCK</v>
      </c>
    </row>
    <row r="60" spans="1:11" ht="14.25">
      <c r="A60" t="s">
        <v>824</v>
      </c>
      <c r="B60" s="2" t="str">
        <f>IFERROR(INDEX(Movimientos!$C$2:$C$1993,MATCH(A60&amp;"ENTRADA",Movimientos!$R$2:$R$1993,0)),"-")</f>
        <v>semilla maiz DK 72-10 RR2C5 refugio</v>
      </c>
      <c r="C60" s="2" t="str">
        <f>IFERROR(INDEX(Movimientos!$D$2:$D$1993,MATCH(A60&amp;"ENTRADA",Movimientos!$R$2:$R$1993,0)),"-")</f>
        <v xml:space="preserve">semilla comprada maíz </v>
      </c>
      <c r="D60" s="2" t="str">
        <f>IFERROR(INDEX(Movimientos!$E$2:$E$1993,MATCH(A60&amp;"ENTRADA",Movimientos!$R$2:$R$1993,0)),"-")</f>
        <v>Semilla</v>
      </c>
      <c r="E60" s="2" t="str">
        <f>IFERROR(INDEX(Movimientos!$F$2:$F$1993,MATCH(A60&amp;"ENTRADA",Movimientos!$R$2:$R$1993,0)),"-")</f>
        <v>Maíz</v>
      </c>
      <c r="F60" s="2" t="str">
        <f>IFERROR(INDEX(Movimientos!$G$2:$G$1993,MATCH(A60&amp;"ENTRADA",Movimientos!$R$2:$R$1993,0)),"-")</f>
        <v>Agroterra</v>
      </c>
      <c r="G60" s="2" t="str">
        <f>IFERROR(INDEX(Movimientos!$L$2:$L$1993,MATCH(A60&amp;"ENTRADA",Movimientos!$R$2:$R$1993,0)),"-")</f>
        <v>bolsa</v>
      </c>
      <c r="H60" s="17" t="str">
        <f>IFERROR(IF(INDEX(Movimientos!$M$2:$M$1993,MATCH(A60&amp;"ENTRADA",Movimientos!$R$2:$R$1993,0))=0,"S/D",INDEX(Movimientos!$M$2:$M$1993,MATCH(A60&amp;"ENTRADA",Movimientos!$R$2:$R$1993,0))),"S/D")</f>
        <v>S/D</v>
      </c>
      <c r="I60" s="15" t="str">
        <f t="shared" ca="1" si="2"/>
        <v>S/D</v>
      </c>
      <c r="J60" s="5">
        <f>IF(A60="","",SUMIFS(Movimientos!$K:$K,Movimientos!$H:$H,A60))</f>
        <v>5</v>
      </c>
      <c r="K60" s="13" t="str">
        <f t="shared" ca="1" si="1"/>
        <v>OK</v>
      </c>
    </row>
    <row r="61" spans="1:11" ht="14.25">
      <c r="A61" t="s">
        <v>965</v>
      </c>
      <c r="B61" s="2" t="str">
        <f>IFERROR(INDEX(Movimientos!$C$2:$C$1993,MATCH(A61&amp;"ENTRADA",Movimientos!$R$2:$R$1993,0)),"-")</f>
        <v>semilla maiz DK 73-03 TRE</v>
      </c>
      <c r="C61" s="2" t="str">
        <f>IFERROR(INDEX(Movimientos!$D$2:$D$1993,MATCH(A61&amp;"ENTRADA",Movimientos!$R$2:$R$1993,0)),"-")</f>
        <v xml:space="preserve">semilla comprada maíz </v>
      </c>
      <c r="D61" s="2" t="str">
        <f>IFERROR(INDEX(Movimientos!$E$2:$E$1993,MATCH(A61&amp;"ENTRADA",Movimientos!$R$2:$R$1993,0)),"-")</f>
        <v>Semilla</v>
      </c>
      <c r="E61" s="2" t="str">
        <f>IFERROR(INDEX(Movimientos!$F$2:$F$1993,MATCH(A61&amp;"ENTRADA",Movimientos!$R$2:$R$1993,0)),"-")</f>
        <v>Maíz</v>
      </c>
      <c r="F61" s="2" t="str">
        <f>IFERROR(INDEX(Movimientos!$G$2:$G$1993,MATCH(A61&amp;"ENTRADA",Movimientos!$R$2:$R$1993,0)),"-")</f>
        <v>Agroterra</v>
      </c>
      <c r="G61" s="2" t="str">
        <f>IFERROR(INDEX(Movimientos!$L$2:$L$1993,MATCH(A61&amp;"ENTRADA",Movimientos!$R$2:$R$1993,0)),"-")</f>
        <v>bolsa</v>
      </c>
      <c r="H61" s="17" t="str">
        <f>IFERROR(IF(INDEX(Movimientos!$M$2:$M$1993,MATCH(A61&amp;"ENTRADA",Movimientos!$R$2:$R$1993,0))=0,"S/D",INDEX(Movimientos!$M$2:$M$1993,MATCH(A61&amp;"ENTRADA",Movimientos!$R$2:$R$1993,0))),"S/D")</f>
        <v>S/D</v>
      </c>
      <c r="I61" s="15" t="str">
        <f t="shared" ca="1" si="2"/>
        <v>S/D</v>
      </c>
      <c r="J61" s="5">
        <f>IF(A61="","",SUMIFS(Movimientos!$K:$K,Movimientos!$H:$H,A61))</f>
        <v>380</v>
      </c>
      <c r="K61" s="13" t="str">
        <f t="shared" ca="1" si="1"/>
        <v>OK</v>
      </c>
    </row>
    <row r="62" spans="1:11" ht="14.25">
      <c r="A62" t="s">
        <v>589</v>
      </c>
      <c r="B62" s="2" t="str">
        <f>IFERROR(INDEX(Movimientos!$C$2:$C$1993,MATCH(A62&amp;"ENTRADA",Movimientos!$R$2:$R$1993,0)),"-")</f>
        <v>Acrecio</v>
      </c>
      <c r="C62" s="2" t="str">
        <f>IFERROR(INDEX(Movimientos!$D$2:$D$1993,MATCH(A62&amp;"ENTRADA",Movimientos!$R$2:$R$1993,0)),"-")</f>
        <v>Ácidos Húmicos / L-Triptofano puro / L- Metionina pura / Acreciactiv</v>
      </c>
      <c r="D62" s="2" t="str">
        <f>IFERROR(INDEX(Movimientos!$E$2:$E$1993,MATCH(A62&amp;"ENTRADA",Movimientos!$R$2:$R$1993,0)),"-")</f>
        <v xml:space="preserve">Bioestimulante </v>
      </c>
      <c r="E62" s="2">
        <f>IFERROR(INDEX(Movimientos!$F$2:$F$1993,MATCH(A62&amp;"ENTRADA",Movimientos!$R$2:$R$1993,0)),"-")</f>
        <v>0</v>
      </c>
      <c r="F62" s="2" t="str">
        <f>IFERROR(INDEX(Movimientos!$G$2:$G$1993,MATCH(A62&amp;"ENTRADA",Movimientos!$R$2:$R$1993,0)),"-")</f>
        <v>Agroterra</v>
      </c>
      <c r="G62" s="2" t="str">
        <f>IFERROR(INDEX(Movimientos!$L$2:$L$1993,MATCH(A62&amp;"ENTRADA",Movimientos!$R$2:$R$1993,0)),"-")</f>
        <v>L</v>
      </c>
      <c r="H62" s="17">
        <f>IFERROR(IF(INDEX(Movimientos!$M$2:$M$1993,MATCH(A62&amp;"ENTRADA",Movimientos!$R$2:$R$1993,0))=0,"S/D",INDEX(Movimientos!$M$2:$M$1993,MATCH(A62&amp;"ENTRADA",Movimientos!$R$2:$R$1993,0))),"S/D")</f>
        <v>47119</v>
      </c>
      <c r="I62" s="15">
        <f t="shared" ca="1" si="2"/>
        <v>810</v>
      </c>
      <c r="J62" s="5">
        <f>IF(A62="","",SUMIFS(Movimientos!$K:$K,Movimientos!$H:$H,A62))</f>
        <v>0</v>
      </c>
      <c r="K62" s="13" t="str">
        <f t="shared" ref="K62:K125" ca="1" si="3">IF(A62="","",IF(J62&lt;0.01,"SIN STOCK",IF(H62="S/D","OK",IF(H62&lt;TODAY(),"VENCIDO",IF(I62&gt;=180,"OK","PRÓXIMO A VENCER")))))</f>
        <v>SIN STOCK</v>
      </c>
    </row>
    <row r="63" spans="1:11" ht="14.25">
      <c r="A63" t="s">
        <v>618</v>
      </c>
      <c r="B63" s="2" t="str">
        <f>IFERROR(INDEX(Movimientos!$C$2:$C$1993,MATCH(A63&amp;"ENTRADA",Movimientos!$R$2:$R$1993,0)),"-")</f>
        <v xml:space="preserve">Bioavanza plus </v>
      </c>
      <c r="C63" s="2">
        <f>IFERROR(INDEX(Movimientos!$D$2:$D$1993,MATCH(A63&amp;"ENTRADA",Movimientos!$R$2:$R$1993,0)),"-")</f>
        <v>0</v>
      </c>
      <c r="D63" s="2">
        <f>IFERROR(INDEX(Movimientos!$E$2:$E$1993,MATCH(A63&amp;"ENTRADA",Movimientos!$R$2:$R$1993,0)),"-")</f>
        <v>0</v>
      </c>
      <c r="E63" s="2">
        <f>IFERROR(INDEX(Movimientos!$F$2:$F$1993,MATCH(A63&amp;"ENTRADA",Movimientos!$R$2:$R$1993,0)),"-")</f>
        <v>0</v>
      </c>
      <c r="F63" s="2" t="str">
        <f>IFERROR(INDEX(Movimientos!$G$2:$G$1993,MATCH(A63&amp;"ENTRADA",Movimientos!$R$2:$R$1993,0)),"-")</f>
        <v>Agroterra</v>
      </c>
      <c r="G63" s="2" t="str">
        <f>IFERROR(INDEX(Movimientos!$L$2:$L$1993,MATCH(A63&amp;"ENTRADA",Movimientos!$R$2:$R$1993,0)),"-")</f>
        <v>L</v>
      </c>
      <c r="H63" s="17">
        <f>IFERROR(IF(INDEX(Movimientos!$M$2:$M$1993,MATCH(A63&amp;"ENTRADA",Movimientos!$R$2:$R$1993,0))=0,"S/D",INDEX(Movimientos!$M$2:$M$1993,MATCH(A63&amp;"ENTRADA",Movimientos!$R$2:$R$1993,0))),"S/D")</f>
        <v>47146</v>
      </c>
      <c r="I63" s="15">
        <f t="shared" ca="1" si="2"/>
        <v>837</v>
      </c>
      <c r="J63" s="5">
        <f>IF(A63="","",SUMIFS(Movimientos!$K:$K,Movimientos!$H:$H,A63))</f>
        <v>0</v>
      </c>
      <c r="K63" s="13" t="str">
        <f t="shared" ca="1" si="3"/>
        <v>SIN STOCK</v>
      </c>
    </row>
    <row r="64" spans="1:11" ht="14.25">
      <c r="A64" t="s">
        <v>938</v>
      </c>
      <c r="B64" s="2" t="str">
        <f>IFERROR(INDEX(Movimientos!$C$2:$C$1993,MATCH(A64&amp;"ENTRADA",Movimientos!$R$2:$R$1993,0)),"-")</f>
        <v>Pardo</v>
      </c>
      <c r="C64" s="2" t="str">
        <f>IFERROR(INDEX(Movimientos!$D$2:$D$1993,MATCH(A64&amp;"ENTRADA",Movimientos!$R$2:$R$1993,0)),"-")</f>
        <v>Clethodim 240 g/L</v>
      </c>
      <c r="D64" s="2" t="str">
        <f>IFERROR(INDEX(Movimientos!$E$2:$E$1993,MATCH(A64&amp;"ENTRADA",Movimientos!$R$2:$R$1993,0)),"-")</f>
        <v>Herbicida</v>
      </c>
      <c r="E64" s="2" t="str">
        <f>IFERROR(INDEX(Movimientos!$F$2:$F$1993,MATCH(A64&amp;"ENTRADA",Movimientos!$R$2:$R$1993,0)),"-")</f>
        <v>Postemergente</v>
      </c>
      <c r="F64" s="2" t="str">
        <f>IFERROR(INDEX(Movimientos!$G$2:$G$1993,MATCH(A64&amp;"ENTRADA",Movimientos!$R$2:$R$1993,0)),"-")</f>
        <v>Proquimur</v>
      </c>
      <c r="G64" s="2" t="str">
        <f>IFERROR(INDEX(Movimientos!$L$2:$L$1993,MATCH(A64&amp;"ENTRADA",Movimientos!$R$2:$R$1993,0)),"-")</f>
        <v>L</v>
      </c>
      <c r="H64" s="17">
        <f>IFERROR(IF(INDEX(Movimientos!$M$2:$M$1993,MATCH(A64&amp;"ENTRADA",Movimientos!$R$2:$R$1993,0))=0,"S/D",INDEX(Movimientos!$M$2:$M$1993,MATCH(A64&amp;"ENTRADA",Movimientos!$R$2:$R$1993,0))),"S/D")</f>
        <v>46813</v>
      </c>
      <c r="I64" s="15">
        <f t="shared" ca="1" si="2"/>
        <v>504</v>
      </c>
      <c r="J64" s="5">
        <f>IF(A64="","",SUMIFS(Movimientos!$K:$K,Movimientos!$H:$H,A64))</f>
        <v>1320</v>
      </c>
      <c r="K64" s="13" t="str">
        <f t="shared" ca="1" si="3"/>
        <v>OK</v>
      </c>
    </row>
    <row r="65" spans="1:11" ht="14.25">
      <c r="A65" t="s">
        <v>668</v>
      </c>
      <c r="B65" s="2" t="str">
        <f>IFERROR(INDEX(Movimientos!$C$2:$C$1993,MATCH(A65&amp;"ENTRADA",Movimientos!$R$2:$R$1993,0)),"-")</f>
        <v>Azuka</v>
      </c>
      <c r="C65" s="2" t="str">
        <f>IFERROR(INDEX(Movimientos!$D$2:$D$1993,MATCH(A65&amp;"ENTRADA",Movimientos!$R$2:$R$1993,0)),"-")</f>
        <v>Glifosato Sal DMA 608 g/L. Equivalente en glifosato 480 g/L</v>
      </c>
      <c r="D65" s="2" t="str">
        <f>IFERROR(INDEX(Movimientos!$E$2:$E$1993,MATCH(A65&amp;"ENTRADA",Movimientos!$R$2:$R$1993,0)),"-")</f>
        <v>Herbicida</v>
      </c>
      <c r="E65" s="2" t="str">
        <f>IFERROR(INDEX(Movimientos!$F$2:$F$1993,MATCH(A65&amp;"ENTRADA",Movimientos!$R$2:$R$1993,0)),"-")</f>
        <v>Postemergente</v>
      </c>
      <c r="F65" s="2" t="str">
        <f>IFERROR(INDEX(Movimientos!$G$2:$G$1993,MATCH(A65&amp;"ENTRADA",Movimientos!$R$2:$R$1993,0)),"-")</f>
        <v>Proquimur</v>
      </c>
      <c r="G65" s="2" t="str">
        <f>IFERROR(INDEX(Movimientos!$L$2:$L$1993,MATCH(A65&amp;"ENTRADA",Movimientos!$R$2:$R$1993,0)),"-")</f>
        <v>L</v>
      </c>
      <c r="H65" s="17">
        <f>IFERROR(IF(INDEX(Movimientos!$M$2:$M$1993,MATCH(A65&amp;"ENTRADA",Movimientos!$R$2:$R$1993,0))=0,"S/D",INDEX(Movimientos!$M$2:$M$1993,MATCH(A65&amp;"ENTRADA",Movimientos!$R$2:$R$1993,0))),"S/D")</f>
        <v>46863</v>
      </c>
      <c r="I65" s="15">
        <f t="shared" ca="1" si="2"/>
        <v>554</v>
      </c>
      <c r="J65" s="5">
        <f>IF(A65="","",SUMIFS(Movimientos!$K:$K,Movimientos!$H:$H,A65))</f>
        <v>-1620</v>
      </c>
      <c r="K65" s="13" t="str">
        <f t="shared" ca="1" si="3"/>
        <v>SIN STOCK</v>
      </c>
    </row>
    <row r="66" spans="1:11" ht="14.25">
      <c r="A66" t="s">
        <v>659</v>
      </c>
      <c r="B66" s="2" t="str">
        <f>IFERROR(INDEX(Movimientos!$C$2:$C$1993,MATCH(A66&amp;"ENTRADA",Movimientos!$R$2:$R$1993,0)),"-")</f>
        <v xml:space="preserve">Harrier Drone </v>
      </c>
      <c r="C66" s="2" t="str">
        <f>IFERROR(INDEX(Movimientos!$D$2:$D$1993,MATCH(A66&amp;"ENTRADA",Movimientos!$R$2:$R$1993,0)),"-")</f>
        <v>alcohol láurico etixolado 32.7 %</v>
      </c>
      <c r="D66" s="2" t="str">
        <f>IFERROR(INDEX(Movimientos!$E$2:$E$1993,MATCH(A66&amp;"ENTRADA",Movimientos!$R$2:$R$1993,0)),"-")</f>
        <v>Coadyuvante</v>
      </c>
      <c r="E66" s="2">
        <f>IFERROR(INDEX(Movimientos!$F$2:$F$1993,MATCH(A66&amp;"ENTRADA",Movimientos!$R$2:$R$1993,0)),"-")</f>
        <v>0</v>
      </c>
      <c r="F66" s="2" t="str">
        <f>IFERROR(INDEX(Movimientos!$G$2:$G$1993,MATCH(A66&amp;"ENTRADA",Movimientos!$R$2:$R$1993,0)),"-")</f>
        <v>Don asdrual</v>
      </c>
      <c r="G66" s="2" t="str">
        <f>IFERROR(INDEX(Movimientos!$L$2:$L$1993,MATCH(A66&amp;"ENTRADA",Movimientos!$R$2:$R$1993,0)),"-")</f>
        <v>L</v>
      </c>
      <c r="H66" s="17" t="str">
        <f>IFERROR(IF(INDEX(Movimientos!$M$2:$M$1993,MATCH(A66&amp;"ENTRADA",Movimientos!$R$2:$R$1993,0))=0,"S/D",INDEX(Movimientos!$M$2:$M$1993,MATCH(A66&amp;"ENTRADA",Movimientos!$R$2:$R$1993,0))),"S/D")</f>
        <v>S/D</v>
      </c>
      <c r="I66" s="15" t="str">
        <f t="shared" ca="1" si="2"/>
        <v>S/D</v>
      </c>
      <c r="J66" s="5">
        <f>IF(A66="","",SUMIFS(Movimientos!$K:$K,Movimientos!$H:$H,A66))</f>
        <v>525</v>
      </c>
      <c r="K66" s="13" t="str">
        <f t="shared" ca="1" si="3"/>
        <v>OK</v>
      </c>
    </row>
    <row r="67" spans="1:11" ht="14.25">
      <c r="A67" t="s">
        <v>664</v>
      </c>
      <c r="B67" s="2" t="str">
        <f>IFERROR(INDEX(Movimientos!$C$2:$C$1993,MATCH(A67&amp;"ENTRADA",Movimientos!$R$2:$R$1993,0)),"-")</f>
        <v>Unico Max</v>
      </c>
      <c r="C67" s="2" t="str">
        <f>IFERROR(INDEX(Movimientos!$D$2:$D$1993,MATCH(A67&amp;"ENTRADA",Movimientos!$R$2:$R$1993,0)),"-")</f>
        <v>(Protioconazol 175 g/L + Piraclostrobin 142 g/L + Bixafen 125 g/L – SC)</v>
      </c>
      <c r="D67" s="2" t="str">
        <f>IFERROR(INDEX(Movimientos!$E$2:$E$1993,MATCH(A67&amp;"ENTRADA",Movimientos!$R$2:$R$1993,0)),"-")</f>
        <v>Fungicida</v>
      </c>
      <c r="E67" s="2">
        <f>IFERROR(INDEX(Movimientos!$F$2:$F$1993,MATCH(A67&amp;"ENTRADA",Movimientos!$R$2:$R$1993,0)),"-")</f>
        <v>0</v>
      </c>
      <c r="F67" s="2" t="str">
        <f>IFERROR(INDEX(Movimientos!$G$2:$G$1993,MATCH(A67&amp;"ENTRADA",Movimientos!$R$2:$R$1993,0)),"-")</f>
        <v>Proquimur</v>
      </c>
      <c r="G67" s="2" t="str">
        <f>IFERROR(INDEX(Movimientos!$L$2:$L$1993,MATCH(A67&amp;"ENTRADA",Movimientos!$R$2:$R$1993,0)),"-")</f>
        <v>L</v>
      </c>
      <c r="H67" s="17" t="str">
        <f>IFERROR(IF(INDEX(Movimientos!$M$2:$M$1993,MATCH(A67&amp;"ENTRADA",Movimientos!$R$2:$R$1993,0))=0,"S/D",INDEX(Movimientos!$M$2:$M$1993,MATCH(A67&amp;"ENTRADA",Movimientos!$R$2:$R$1993,0))),"S/D")</f>
        <v>S/D</v>
      </c>
      <c r="I67" s="15" t="str">
        <f t="shared" ca="1" si="2"/>
        <v>S/D</v>
      </c>
      <c r="J67" s="5">
        <f>IF(A67="","",SUMIFS(Movimientos!$K:$K,Movimientos!$H:$H,A67))</f>
        <v>510</v>
      </c>
      <c r="K67" s="13" t="str">
        <f t="shared" ca="1" si="3"/>
        <v>OK</v>
      </c>
    </row>
    <row r="68" spans="1:11" ht="14.25">
      <c r="A68" t="s">
        <v>836</v>
      </c>
      <c r="B68" s="2" t="str">
        <f>IFERROR(INDEX(Movimientos!$C$2:$C$1993,MATCH(A68&amp;"ENTRADA",Movimientos!$R$2:$R$1993,0)),"-")</f>
        <v>Hydra Hume</v>
      </c>
      <c r="C68" s="2" t="str">
        <f>IFERROR(INDEX(Movimientos!$D$2:$D$1993,MATCH(A68&amp;"ENTRADA",Movimientos!$R$2:$R$1993,0)),"-")</f>
        <v xml:space="preserve">Hydra hume </v>
      </c>
      <c r="D68" s="2" t="str">
        <f>IFERROR(INDEX(Movimientos!$E$2:$E$1993,MATCH(A68&amp;"ENTRADA",Movimientos!$R$2:$R$1993,0)),"-")</f>
        <v>Biológico</v>
      </c>
      <c r="E68" s="2" t="str">
        <f>IFERROR(INDEX(Movimientos!$F$2:$F$1993,MATCH(A68&amp;"ENTRADA",Movimientos!$R$2:$R$1993,0)),"-")</f>
        <v>Acidos Humicos</v>
      </c>
      <c r="F68" s="2" t="str">
        <f>IFERROR(INDEX(Movimientos!$G$2:$G$1993,MATCH(A68&amp;"ENTRADA",Movimientos!$R$2:$R$1993,0)),"-")</f>
        <v>Granicor</v>
      </c>
      <c r="G68" s="2" t="str">
        <f>IFERROR(INDEX(Movimientos!$L$2:$L$1993,MATCH(A68&amp;"ENTRADA",Movimientos!$R$2:$R$1993,0)),"-")</f>
        <v>L</v>
      </c>
      <c r="H68" s="17" t="str">
        <f>IFERROR(IF(INDEX(Movimientos!$M$2:$M$1993,MATCH(A68&amp;"ENTRADA",Movimientos!$R$2:$R$1993,0))=0,"S/D",INDEX(Movimientos!$M$2:$M$1993,MATCH(A68&amp;"ENTRADA",Movimientos!$R$2:$R$1993,0))),"S/D")</f>
        <v>S/D</v>
      </c>
      <c r="I68" s="15" t="str">
        <f t="shared" ca="1" si="2"/>
        <v>S/D</v>
      </c>
      <c r="J68" s="5">
        <f>IF(A68="","",SUMIFS(Movimientos!$K:$K,Movimientos!$H:$H,A68))</f>
        <v>21480</v>
      </c>
      <c r="K68" s="13" t="str">
        <f t="shared" ca="1" si="3"/>
        <v>OK</v>
      </c>
    </row>
    <row r="69" spans="1:11">
      <c r="A69" s="16" t="s">
        <v>810</v>
      </c>
      <c r="B69" s="2" t="str">
        <f>IFERROR(INDEX(Movimientos!$C$2:$C$1993,MATCH(A69&amp;"ENTRADA",Movimientos!$R$2:$R$1993,0)),"-")</f>
        <v>semilla comprada maiz illinois 2773</v>
      </c>
      <c r="C69" s="2" t="str">
        <f>IFERROR(INDEX(Movimientos!$D$2:$D$1993,MATCH(A69&amp;"ENTRADA",Movimientos!$R$2:$R$1993,0)),"-")</f>
        <v xml:space="preserve">sem maiz illinois 2773 trecepta Maiz 1era </v>
      </c>
      <c r="D69" s="2" t="str">
        <f>IFERROR(INDEX(Movimientos!$E$2:$E$1993,MATCH(A69&amp;"ENTRADA",Movimientos!$R$2:$R$1993,0)),"-")</f>
        <v>Semilla</v>
      </c>
      <c r="E69" s="2" t="str">
        <f>IFERROR(INDEX(Movimientos!$F$2:$F$1993,MATCH(A69&amp;"ENTRADA",Movimientos!$R$2:$R$1993,0)),"-")</f>
        <v>Maíz</v>
      </c>
      <c r="F69" s="2" t="str">
        <f>IFERROR(INDEX(Movimientos!$G$2:$G$1993,MATCH(A69&amp;"ENTRADA",Movimientos!$R$2:$R$1993,0)),"-")</f>
        <v>ERRO</v>
      </c>
      <c r="G69" s="2" t="str">
        <f>IFERROR(INDEX(Movimientos!$L$2:$L$1993,MATCH(A69&amp;"ENTRADA",Movimientos!$R$2:$R$1993,0)),"-")</f>
        <v>bolsa</v>
      </c>
      <c r="H69" s="17" t="str">
        <f>IFERROR(IF(INDEX(Movimientos!$M$2:$M$1993,MATCH(A69&amp;"ENTRADA",Movimientos!$R$2:$R$1993,0))=0,"S/D",INDEX(Movimientos!$M$2:$M$1993,MATCH(A69&amp;"ENTRADA",Movimientos!$R$2:$R$1993,0))),"S/D")</f>
        <v>S/D</v>
      </c>
      <c r="I69" s="15" t="str">
        <f t="shared" ref="I69:I132" ca="1" si="4">IF(OR(A69="",H69="S/D"),"S/D",H69-TODAY())</f>
        <v>S/D</v>
      </c>
      <c r="J69" s="5">
        <f>IF(A69="","",SUMIFS(Movimientos!$K:$K,Movimientos!$H:$H,A69))</f>
        <v>0</v>
      </c>
      <c r="K69" s="13" t="str">
        <f t="shared" ca="1" si="3"/>
        <v>SIN STOCK</v>
      </c>
    </row>
    <row r="70" spans="1:11">
      <c r="A70" s="16" t="s">
        <v>806</v>
      </c>
      <c r="B70" s="2" t="str">
        <f>IFERROR(INDEX(Movimientos!$C$2:$C$1993,MATCH(A70&amp;"ENTRADA",Movimientos!$R$2:$R$1993,0)),"-")</f>
        <v xml:space="preserve">semilla comprada maiz illinois 7.24 </v>
      </c>
      <c r="C70" s="2" t="str">
        <f>IFERROR(INDEX(Movimientos!$D$2:$D$1993,MATCH(A70&amp;"ENTRADA",Movimientos!$R$2:$R$1993,0)),"-")</f>
        <v>sem maiz illinois 7.24 trecepta Maiz 1era</v>
      </c>
      <c r="D70" s="2" t="str">
        <f>IFERROR(INDEX(Movimientos!$E$2:$E$1993,MATCH(A70&amp;"ENTRADA",Movimientos!$R$2:$R$1993,0)),"-")</f>
        <v>Semilla</v>
      </c>
      <c r="E70" s="2" t="str">
        <f>IFERROR(INDEX(Movimientos!$F$2:$F$1993,MATCH(A70&amp;"ENTRADA",Movimientos!$R$2:$R$1993,0)),"-")</f>
        <v>Maíz</v>
      </c>
      <c r="F70" s="2" t="str">
        <f>IFERROR(INDEX(Movimientos!$G$2:$G$1993,MATCH(A70&amp;"ENTRADA",Movimientos!$R$2:$R$1993,0)),"-")</f>
        <v>ERRO</v>
      </c>
      <c r="G70" s="2" t="str">
        <f>IFERROR(INDEX(Movimientos!$L$2:$L$1993,MATCH(A70&amp;"ENTRADA",Movimientos!$R$2:$R$1993,0)),"-")</f>
        <v>bolsa</v>
      </c>
      <c r="H70" s="17" t="str">
        <f>IFERROR(IF(INDEX(Movimientos!$M$2:$M$1993,MATCH(A70&amp;"ENTRADA",Movimientos!$R$2:$R$1993,0))=0,"S/D",INDEX(Movimientos!$M$2:$M$1993,MATCH(A70&amp;"ENTRADA",Movimientos!$R$2:$R$1993,0))),"S/D")</f>
        <v>S/D</v>
      </c>
      <c r="I70" s="15" t="str">
        <f t="shared" ca="1" si="4"/>
        <v>S/D</v>
      </c>
      <c r="J70" s="5">
        <f>IF(A70="","",SUMIFS(Movimientos!$K:$K,Movimientos!$H:$H,A70))</f>
        <v>0</v>
      </c>
      <c r="K70" s="13" t="str">
        <f t="shared" ca="1" si="3"/>
        <v>SIN STOCK</v>
      </c>
    </row>
    <row r="71" spans="1:11">
      <c r="A71" s="16" t="s">
        <v>808</v>
      </c>
      <c r="B71" s="2" t="str">
        <f>IFERROR(INDEX(Movimientos!$C$2:$C$1993,MATCH(A71&amp;"ENTRADA",Movimientos!$R$2:$R$1993,0)),"-")</f>
        <v xml:space="preserve">refugio semilla maiz illinois </v>
      </c>
      <c r="C71" s="2" t="str">
        <f>IFERROR(INDEX(Movimientos!$D$2:$D$1993,MATCH(A71&amp;"ENTRADA",Movimientos!$R$2:$R$1993,0)),"-")</f>
        <v>refugio semi maiz illinoiz b2 z</v>
      </c>
      <c r="D71" s="2" t="str">
        <f>IFERROR(INDEX(Movimientos!$E$2:$E$1993,MATCH(A71&amp;"ENTRADA",Movimientos!$R$2:$R$1993,0)),"-")</f>
        <v>Semilla</v>
      </c>
      <c r="E71" s="2" t="str">
        <f>IFERROR(INDEX(Movimientos!$F$2:$F$1993,MATCH(A71&amp;"ENTRADA",Movimientos!$R$2:$R$1993,0)),"-")</f>
        <v>Maíz</v>
      </c>
      <c r="F71" s="2" t="str">
        <f>IFERROR(INDEX(Movimientos!$G$2:$G$1993,MATCH(A71&amp;"ENTRADA",Movimientos!$R$2:$R$1993,0)),"-")</f>
        <v>ERRO</v>
      </c>
      <c r="G71" s="2" t="str">
        <f>IFERROR(INDEX(Movimientos!$L$2:$L$1993,MATCH(A71&amp;"ENTRADA",Movimientos!$R$2:$R$1993,0)),"-")</f>
        <v>bolsa</v>
      </c>
      <c r="H71" s="17" t="str">
        <f>IFERROR(IF(INDEX(Movimientos!$M$2:$M$1993,MATCH(A71&amp;"ENTRADA",Movimientos!$R$2:$R$1993,0))=0,"S/D",INDEX(Movimientos!$M$2:$M$1993,MATCH(A71&amp;"ENTRADA",Movimientos!$R$2:$R$1993,0))),"S/D")</f>
        <v>S/D</v>
      </c>
      <c r="I71" s="15" t="str">
        <f t="shared" ca="1" si="4"/>
        <v>S/D</v>
      </c>
      <c r="J71" s="5">
        <f>IF(A71="","",SUMIFS(Movimientos!$K:$K,Movimientos!$H:$H,A71))</f>
        <v>13</v>
      </c>
      <c r="K71" s="13" t="str">
        <f t="shared" ca="1" si="3"/>
        <v>OK</v>
      </c>
    </row>
    <row r="72" spans="1:11">
      <c r="A72" s="16" t="s">
        <v>2379</v>
      </c>
      <c r="B72" s="2" t="str">
        <f>IFERROR(INDEX(Movimientos!$C$2:$C$1993,MATCH(A72&amp;"ENTRADA",Movimientos!$R$2:$R$1993,0)),"-")</f>
        <v>semilla maiz NK842</v>
      </c>
      <c r="C72" s="2" t="str">
        <f>IFERROR(INDEX(Movimientos!$D$2:$D$1993,MATCH(A72&amp;"ENTRADA",Movimientos!$R$2:$R$1993,0)),"-")</f>
        <v xml:space="preserve">semilla maiz nk 842 viptera Maiz 1era </v>
      </c>
      <c r="D72" s="2" t="str">
        <f>IFERROR(INDEX(Movimientos!$E$2:$E$1993,MATCH(A72&amp;"ENTRADA",Movimientos!$R$2:$R$1993,0)),"-")</f>
        <v>Semilla</v>
      </c>
      <c r="E72" s="2" t="str">
        <f>IFERROR(INDEX(Movimientos!$F$2:$F$1993,MATCH(A72&amp;"ENTRADA",Movimientos!$R$2:$R$1993,0)),"-")</f>
        <v>Maíz</v>
      </c>
      <c r="F72" s="2" t="str">
        <f>IFERROR(INDEX(Movimientos!$G$2:$G$1993,MATCH(A72&amp;"ENTRADA",Movimientos!$R$2:$R$1993,0)),"-")</f>
        <v xml:space="preserve">Biosfer </v>
      </c>
      <c r="G72" s="2" t="str">
        <f>IFERROR(INDEX(Movimientos!$L$2:$L$1993,MATCH(A72&amp;"ENTRADA",Movimientos!$R$2:$R$1993,0)),"-")</f>
        <v>bolsa</v>
      </c>
      <c r="H72" s="17" t="str">
        <f>IFERROR(IF(INDEX(Movimientos!$M$2:$M$1993,MATCH(A72&amp;"ENTRADA",Movimientos!$R$2:$R$1993,0))=0,"S/D",INDEX(Movimientos!$M$2:$M$1993,MATCH(A72&amp;"ENTRADA",Movimientos!$R$2:$R$1993,0))),"S/D")</f>
        <v>S/D</v>
      </c>
      <c r="I72" s="15" t="str">
        <f t="shared" ca="1" si="4"/>
        <v>S/D</v>
      </c>
      <c r="J72" s="5">
        <f>IF(A72="","",SUMIFS(Movimientos!$K:$K,Movimientos!$H:$H,A72))</f>
        <v>446</v>
      </c>
      <c r="K72" s="13" t="str">
        <f t="shared" ca="1" si="3"/>
        <v>OK</v>
      </c>
    </row>
    <row r="73" spans="1:11">
      <c r="A73" s="16" t="s">
        <v>854</v>
      </c>
      <c r="B73" s="2" t="str">
        <f>IFERROR(INDEX(Movimientos!$C$2:$C$1993,MATCH(A73&amp;"ENTRADA",Movimientos!$R$2:$R$1993,0)),"-")</f>
        <v>Acuron uno</v>
      </c>
      <c r="C73" s="2" t="str">
        <f>IFERROR(INDEX(Movimientos!$D$2:$D$1993,MATCH(A73&amp;"ENTRADA",Movimientos!$R$2:$R$1993,0)),"-")</f>
        <v>Biciclopirona</v>
      </c>
      <c r="D73" s="2" t="str">
        <f>IFERROR(INDEX(Movimientos!$E$2:$E$1993,MATCH(A73&amp;"ENTRADA",Movimientos!$R$2:$R$1993,0)),"-")</f>
        <v>Herbicida</v>
      </c>
      <c r="E73" s="2" t="str">
        <f>IFERROR(INDEX(Movimientos!$F$2:$F$1993,MATCH(A73&amp;"ENTRADA",Movimientos!$R$2:$R$1993,0)),"-")</f>
        <v>Preemergente</v>
      </c>
      <c r="F73" s="2" t="str">
        <f>IFERROR(INDEX(Movimientos!$G$2:$G$1993,MATCH(A73&amp;"ENTRADA",Movimientos!$R$2:$R$1993,0)),"-")</f>
        <v>Maccio</v>
      </c>
      <c r="G73" s="2" t="str">
        <f>IFERROR(INDEX(Movimientos!$L$2:$L$1993,MATCH(A73&amp;"ENTRADA",Movimientos!$R$2:$R$1993,0)),"-")</f>
        <v>L</v>
      </c>
      <c r="H73" s="17">
        <f>IFERROR(IF(INDEX(Movimientos!$M$2:$M$1993,MATCH(A73&amp;"ENTRADA",Movimientos!$R$2:$R$1993,0))=0,"S/D",INDEX(Movimientos!$M$2:$M$1993,MATCH(A73&amp;"ENTRADA",Movimientos!$R$2:$R$1993,0))),"S/D")</f>
        <v>46865</v>
      </c>
      <c r="I73" s="15">
        <f t="shared" ca="1" si="4"/>
        <v>556</v>
      </c>
      <c r="J73" s="5">
        <f>IF(A73="","",SUMIFS(Movimientos!$K:$K,Movimientos!$H:$H,A73))</f>
        <v>1500</v>
      </c>
      <c r="K73" s="13" t="str">
        <f t="shared" ca="1" si="3"/>
        <v>OK</v>
      </c>
    </row>
    <row r="74" spans="1:11">
      <c r="A74" s="16" t="s">
        <v>120</v>
      </c>
      <c r="B74" s="2" t="str">
        <f>IFERROR(INDEX(Movimientos!$C$2:$C$1993,MATCH(A74&amp;"ENTRADA",Movimientos!$R$2:$R$1993,0)),"-")</f>
        <v>Azuka</v>
      </c>
      <c r="C74" s="2" t="str">
        <f>IFERROR(INDEX(Movimientos!$D$2:$D$1993,MATCH(A74&amp;"ENTRADA",Movimientos!$R$2:$R$1993,0)),"-")</f>
        <v>Glifosato Sal DMA 608 g/L. Equivalente en glifosato 480 g/L</v>
      </c>
      <c r="D74" s="2" t="str">
        <f>IFERROR(INDEX(Movimientos!$E$2:$E$1993,MATCH(A74&amp;"ENTRADA",Movimientos!$R$2:$R$1993,0)),"-")</f>
        <v>Herbicida</v>
      </c>
      <c r="E74" s="2" t="str">
        <f>IFERROR(INDEX(Movimientos!$F$2:$F$1993,MATCH(A74&amp;"ENTRADA",Movimientos!$R$2:$R$1993,0)),"-")</f>
        <v>Postemergente</v>
      </c>
      <c r="F74" s="2" t="str">
        <f>IFERROR(INDEX(Movimientos!$G$2:$G$1993,MATCH(A74&amp;"ENTRADA",Movimientos!$R$2:$R$1993,0)),"-")</f>
        <v>Proquimur</v>
      </c>
      <c r="G74" s="2" t="str">
        <f>IFERROR(INDEX(Movimientos!$L$2:$L$1993,MATCH(A74&amp;"ENTRADA",Movimientos!$R$2:$R$1993,0)),"-")</f>
        <v>L</v>
      </c>
      <c r="H74" s="17">
        <f>IFERROR(IF(INDEX(Movimientos!$M$2:$M$1993,MATCH(A74&amp;"ENTRADA",Movimientos!$R$2:$R$1993,0))=0,"S/D",INDEX(Movimientos!$M$2:$M$1993,MATCH(A74&amp;"ENTRADA",Movimientos!$R$2:$R$1993,0))),"S/D")</f>
        <v>46692</v>
      </c>
      <c r="I74" s="15">
        <f t="shared" ca="1" si="4"/>
        <v>383</v>
      </c>
      <c r="J74" s="5">
        <f>IF(A74="","",SUMIFS(Movimientos!$K:$K,Movimientos!$H:$H,A74))</f>
        <v>27740</v>
      </c>
      <c r="K74" s="13" t="str">
        <f t="shared" ca="1" si="3"/>
        <v>OK</v>
      </c>
    </row>
    <row r="75" spans="1:11">
      <c r="A75" s="16" t="s">
        <v>2380</v>
      </c>
      <c r="B75" s="2" t="str">
        <f>IFERROR(INDEX(Movimientos!$C$2:$C$1993,MATCH(A75&amp;"ENTRADA",Movimientos!$R$2:$R$1993,0)),"-")</f>
        <v>-</v>
      </c>
      <c r="C75" s="2" t="str">
        <f>IFERROR(INDEX(Movimientos!$D$2:$D$1993,MATCH(A75&amp;"ENTRADA",Movimientos!$R$2:$R$1993,0)),"-")</f>
        <v>-</v>
      </c>
      <c r="D75" s="2" t="str">
        <f>IFERROR(INDEX(Movimientos!$E$2:$E$1993,MATCH(A75&amp;"ENTRADA",Movimientos!$R$2:$R$1993,0)),"-")</f>
        <v>-</v>
      </c>
      <c r="E75" s="2" t="str">
        <f>IFERROR(INDEX(Movimientos!$F$2:$F$1993,MATCH(A75&amp;"ENTRADA",Movimientos!$R$2:$R$1993,0)),"-")</f>
        <v>-</v>
      </c>
      <c r="F75" s="2" t="str">
        <f>IFERROR(INDEX(Movimientos!$G$2:$G$1993,MATCH(A75&amp;"ENTRADA",Movimientos!$R$2:$R$1993,0)),"-")</f>
        <v>-</v>
      </c>
      <c r="G75" s="2" t="str">
        <f>IFERROR(INDEX(Movimientos!$L$2:$L$1993,MATCH(A75&amp;"ENTRADA",Movimientos!$R$2:$R$1993,0)),"-")</f>
        <v>-</v>
      </c>
      <c r="H75" s="17" t="str">
        <f>IFERROR(IF(INDEX(Movimientos!$M$2:$M$1993,MATCH(A75&amp;"ENTRADA",Movimientos!$R$2:$R$1993,0))=0,"S/D",INDEX(Movimientos!$M$2:$M$1993,MATCH(A75&amp;"ENTRADA",Movimientos!$R$2:$R$1993,0))),"S/D")</f>
        <v>S/D</v>
      </c>
      <c r="I75" s="15" t="str">
        <f t="shared" ca="1" si="4"/>
        <v>S/D</v>
      </c>
      <c r="J75" s="5">
        <f>IF(A75="","",SUMIFS(Movimientos!$K:$K,Movimientos!$H:$H,A75))</f>
        <v>0</v>
      </c>
      <c r="K75" s="13" t="str">
        <f t="shared" ca="1" si="3"/>
        <v>SIN STOCK</v>
      </c>
    </row>
    <row r="76" spans="1:11">
      <c r="A76" s="16" t="s">
        <v>2381</v>
      </c>
      <c r="B76" s="2" t="str">
        <f>IFERROR(INDEX(Movimientos!$C$2:$C$1993,MATCH(A76&amp;"ENTRADA",Movimientos!$R$2:$R$1993,0)),"-")</f>
        <v>-</v>
      </c>
      <c r="C76" s="2" t="str">
        <f>IFERROR(INDEX(Movimientos!$D$2:$D$1993,MATCH(A76&amp;"ENTRADA",Movimientos!$R$2:$R$1993,0)),"-")</f>
        <v>-</v>
      </c>
      <c r="D76" s="2" t="str">
        <f>IFERROR(INDEX(Movimientos!$E$2:$E$1993,MATCH(A76&amp;"ENTRADA",Movimientos!$R$2:$R$1993,0)),"-")</f>
        <v>-</v>
      </c>
      <c r="E76" s="2" t="str">
        <f>IFERROR(INDEX(Movimientos!$F$2:$F$1993,MATCH(A76&amp;"ENTRADA",Movimientos!$R$2:$R$1993,0)),"-")</f>
        <v>-</v>
      </c>
      <c r="F76" s="2" t="str">
        <f>IFERROR(INDEX(Movimientos!$G$2:$G$1993,MATCH(A76&amp;"ENTRADA",Movimientos!$R$2:$R$1993,0)),"-")</f>
        <v>-</v>
      </c>
      <c r="G76" s="2" t="str">
        <f>IFERROR(INDEX(Movimientos!$L$2:$L$1993,MATCH(A76&amp;"ENTRADA",Movimientos!$R$2:$R$1993,0)),"-")</f>
        <v>-</v>
      </c>
      <c r="H76" s="17" t="str">
        <f>IFERROR(IF(INDEX(Movimientos!$M$2:$M$1993,MATCH(A76&amp;"ENTRADA",Movimientos!$R$2:$R$1993,0))=0,"S/D",INDEX(Movimientos!$M$2:$M$1993,MATCH(A76&amp;"ENTRADA",Movimientos!$R$2:$R$1993,0))),"S/D")</f>
        <v>S/D</v>
      </c>
      <c r="I76" s="15" t="str">
        <f t="shared" ca="1" si="4"/>
        <v>S/D</v>
      </c>
      <c r="J76" s="5">
        <f>IF(A76="","",SUMIFS(Movimientos!$K:$K,Movimientos!$H:$H,A76))</f>
        <v>0</v>
      </c>
      <c r="K76" s="13" t="str">
        <f t="shared" ca="1" si="3"/>
        <v>SIN STOCK</v>
      </c>
    </row>
    <row r="77" spans="1:11">
      <c r="A77" s="16" t="s">
        <v>2382</v>
      </c>
      <c r="B77" s="2" t="str">
        <f>IFERROR(INDEX(Movimientos!$C$2:$C$1993,MATCH(A77&amp;"ENTRADA",Movimientos!$R$2:$R$1993,0)),"-")</f>
        <v>-</v>
      </c>
      <c r="C77" s="2" t="str">
        <f>IFERROR(INDEX(Movimientos!$D$2:$D$1993,MATCH(A77&amp;"ENTRADA",Movimientos!$R$2:$R$1993,0)),"-")</f>
        <v>-</v>
      </c>
      <c r="D77" s="2" t="str">
        <f>IFERROR(INDEX(Movimientos!$E$2:$E$1993,MATCH(A77&amp;"ENTRADA",Movimientos!$R$2:$R$1993,0)),"-")</f>
        <v>-</v>
      </c>
      <c r="E77" s="2" t="str">
        <f>IFERROR(INDEX(Movimientos!$F$2:$F$1993,MATCH(A77&amp;"ENTRADA",Movimientos!$R$2:$R$1993,0)),"-")</f>
        <v>-</v>
      </c>
      <c r="F77" s="2" t="str">
        <f>IFERROR(INDEX(Movimientos!$G$2:$G$1993,MATCH(A77&amp;"ENTRADA",Movimientos!$R$2:$R$1993,0)),"-")</f>
        <v>-</v>
      </c>
      <c r="G77" s="2" t="str">
        <f>IFERROR(INDEX(Movimientos!$L$2:$L$1993,MATCH(A77&amp;"ENTRADA",Movimientos!$R$2:$R$1993,0)),"-")</f>
        <v>-</v>
      </c>
      <c r="H77" s="17" t="str">
        <f>IFERROR(IF(INDEX(Movimientos!$M$2:$M$1993,MATCH(A77&amp;"ENTRADA",Movimientos!$R$2:$R$1993,0))=0,"S/D",INDEX(Movimientos!$M$2:$M$1993,MATCH(A77&amp;"ENTRADA",Movimientos!$R$2:$R$1993,0))),"S/D")</f>
        <v>S/D</v>
      </c>
      <c r="I77" s="15" t="str">
        <f t="shared" ca="1" si="4"/>
        <v>S/D</v>
      </c>
      <c r="J77" s="5">
        <f>IF(A77="","",SUMIFS(Movimientos!$K:$K,Movimientos!$H:$H,A77))</f>
        <v>0</v>
      </c>
      <c r="K77" s="13" t="str">
        <f t="shared" ca="1" si="3"/>
        <v>SIN STOCK</v>
      </c>
    </row>
    <row r="78" spans="1:11">
      <c r="A78" s="16" t="s">
        <v>2383</v>
      </c>
      <c r="B78" s="2" t="str">
        <f>IFERROR(INDEX(Movimientos!$C$2:$C$1993,MATCH(A78&amp;"ENTRADA",Movimientos!$R$2:$R$1993,0)),"-")</f>
        <v>-</v>
      </c>
      <c r="C78" s="2" t="str">
        <f>IFERROR(INDEX(Movimientos!$D$2:$D$1993,MATCH(A78&amp;"ENTRADA",Movimientos!$R$2:$R$1993,0)),"-")</f>
        <v>-</v>
      </c>
      <c r="D78" s="2" t="str">
        <f>IFERROR(INDEX(Movimientos!$E$2:$E$1993,MATCH(A78&amp;"ENTRADA",Movimientos!$R$2:$R$1993,0)),"-")</f>
        <v>-</v>
      </c>
      <c r="E78" s="2" t="str">
        <f>IFERROR(INDEX(Movimientos!$F$2:$F$1993,MATCH(A78&amp;"ENTRADA",Movimientos!$R$2:$R$1993,0)),"-")</f>
        <v>-</v>
      </c>
      <c r="F78" s="2" t="str">
        <f>IFERROR(INDEX(Movimientos!$G$2:$G$1993,MATCH(A78&amp;"ENTRADA",Movimientos!$R$2:$R$1993,0)),"-")</f>
        <v>-</v>
      </c>
      <c r="G78" s="2" t="str">
        <f>IFERROR(INDEX(Movimientos!$L$2:$L$1993,MATCH(A78&amp;"ENTRADA",Movimientos!$R$2:$R$1993,0)),"-")</f>
        <v>-</v>
      </c>
      <c r="H78" s="17" t="str">
        <f>IFERROR(IF(INDEX(Movimientos!$M$2:$M$1993,MATCH(A78&amp;"ENTRADA",Movimientos!$R$2:$R$1993,0))=0,"S/D",INDEX(Movimientos!$M$2:$M$1993,MATCH(A78&amp;"ENTRADA",Movimientos!$R$2:$R$1993,0))),"S/D")</f>
        <v>S/D</v>
      </c>
      <c r="I78" s="15" t="str">
        <f t="shared" ca="1" si="4"/>
        <v>S/D</v>
      </c>
      <c r="J78" s="5">
        <f>IF(A78="","",SUMIFS(Movimientos!$K:$K,Movimientos!$H:$H,A78))</f>
        <v>0</v>
      </c>
      <c r="K78" s="13" t="str">
        <f t="shared" ca="1" si="3"/>
        <v>SIN STOCK</v>
      </c>
    </row>
    <row r="79" spans="1:11">
      <c r="A79" s="16" t="s">
        <v>2384</v>
      </c>
      <c r="B79" s="2" t="str">
        <f>IFERROR(INDEX(Movimientos!$C$2:$C$1993,MATCH(A79&amp;"ENTRADA",Movimientos!$R$2:$R$1993,0)),"-")</f>
        <v>-</v>
      </c>
      <c r="C79" s="2" t="str">
        <f>IFERROR(INDEX(Movimientos!$D$2:$D$1993,MATCH(A79&amp;"ENTRADA",Movimientos!$R$2:$R$1993,0)),"-")</f>
        <v>-</v>
      </c>
      <c r="D79" s="2" t="str">
        <f>IFERROR(INDEX(Movimientos!$E$2:$E$1993,MATCH(A79&amp;"ENTRADA",Movimientos!$R$2:$R$1993,0)),"-")</f>
        <v>-</v>
      </c>
      <c r="E79" s="2" t="str">
        <f>IFERROR(INDEX(Movimientos!$F$2:$F$1993,MATCH(A79&amp;"ENTRADA",Movimientos!$R$2:$R$1993,0)),"-")</f>
        <v>-</v>
      </c>
      <c r="F79" s="2" t="str">
        <f>IFERROR(INDEX(Movimientos!$G$2:$G$1993,MATCH(A79&amp;"ENTRADA",Movimientos!$R$2:$R$1993,0)),"-")</f>
        <v>-</v>
      </c>
      <c r="G79" s="2" t="str">
        <f>IFERROR(INDEX(Movimientos!$L$2:$L$1993,MATCH(A79&amp;"ENTRADA",Movimientos!$R$2:$R$1993,0)),"-")</f>
        <v>-</v>
      </c>
      <c r="H79" s="17" t="str">
        <f>IFERROR(IF(INDEX(Movimientos!$M$2:$M$1993,MATCH(A79&amp;"ENTRADA",Movimientos!$R$2:$R$1993,0))=0,"S/D",INDEX(Movimientos!$M$2:$M$1993,MATCH(A79&amp;"ENTRADA",Movimientos!$R$2:$R$1993,0))),"S/D")</f>
        <v>S/D</v>
      </c>
      <c r="I79" s="15" t="str">
        <f t="shared" ca="1" si="4"/>
        <v>S/D</v>
      </c>
      <c r="J79" s="5">
        <f>IF(A79="","",SUMIFS(Movimientos!$K:$K,Movimientos!$H:$H,A79))</f>
        <v>0</v>
      </c>
      <c r="K79" s="13" t="str">
        <f t="shared" ca="1" si="3"/>
        <v>SIN STOCK</v>
      </c>
    </row>
    <row r="80" spans="1:11">
      <c r="A80" s="16" t="s">
        <v>2385</v>
      </c>
      <c r="B80" s="2" t="str">
        <f>IFERROR(INDEX(Movimientos!$C$2:$C$1993,MATCH(A80&amp;"ENTRADA",Movimientos!$R$2:$R$1993,0)),"-")</f>
        <v>-</v>
      </c>
      <c r="C80" s="2" t="str">
        <f>IFERROR(INDEX(Movimientos!$D$2:$D$1993,MATCH(A80&amp;"ENTRADA",Movimientos!$R$2:$R$1993,0)),"-")</f>
        <v>-</v>
      </c>
      <c r="D80" s="2" t="str">
        <f>IFERROR(INDEX(Movimientos!$E$2:$E$1993,MATCH(A80&amp;"ENTRADA",Movimientos!$R$2:$R$1993,0)),"-")</f>
        <v>-</v>
      </c>
      <c r="E80" s="2" t="str">
        <f>IFERROR(INDEX(Movimientos!$F$2:$F$1993,MATCH(A80&amp;"ENTRADA",Movimientos!$R$2:$R$1993,0)),"-")</f>
        <v>-</v>
      </c>
      <c r="F80" s="2" t="str">
        <f>IFERROR(INDEX(Movimientos!$G$2:$G$1993,MATCH(A80&amp;"ENTRADA",Movimientos!$R$2:$R$1993,0)),"-")</f>
        <v>-</v>
      </c>
      <c r="G80" s="2" t="str">
        <f>IFERROR(INDEX(Movimientos!$L$2:$L$1993,MATCH(A80&amp;"ENTRADA",Movimientos!$R$2:$R$1993,0)),"-")</f>
        <v>-</v>
      </c>
      <c r="H80" s="17" t="str">
        <f>IFERROR(IF(INDEX(Movimientos!$M$2:$M$1993,MATCH(A80&amp;"ENTRADA",Movimientos!$R$2:$R$1993,0))=0,"S/D",INDEX(Movimientos!$M$2:$M$1993,MATCH(A80&amp;"ENTRADA",Movimientos!$R$2:$R$1993,0))),"S/D")</f>
        <v>S/D</v>
      </c>
      <c r="I80" s="15" t="str">
        <f t="shared" ca="1" si="4"/>
        <v>S/D</v>
      </c>
      <c r="J80" s="5">
        <f>IF(A80="","",SUMIFS(Movimientos!$K:$K,Movimientos!$H:$H,A80))</f>
        <v>0</v>
      </c>
      <c r="K80" s="13" t="str">
        <f t="shared" ca="1" si="3"/>
        <v>SIN STOCK</v>
      </c>
    </row>
    <row r="81" spans="1:11">
      <c r="A81" s="16" t="s">
        <v>2386</v>
      </c>
      <c r="B81" s="2" t="str">
        <f>IFERROR(INDEX(Movimientos!$C$2:$C$1993,MATCH(A81&amp;"ENTRADA",Movimientos!$R$2:$R$1993,0)),"-")</f>
        <v>-</v>
      </c>
      <c r="C81" s="2" t="str">
        <f>IFERROR(INDEX(Movimientos!$D$2:$D$1993,MATCH(A81&amp;"ENTRADA",Movimientos!$R$2:$R$1993,0)),"-")</f>
        <v>-</v>
      </c>
      <c r="D81" s="2" t="str">
        <f>IFERROR(INDEX(Movimientos!$E$2:$E$1993,MATCH(A81&amp;"ENTRADA",Movimientos!$R$2:$R$1993,0)),"-")</f>
        <v>-</v>
      </c>
      <c r="E81" s="2" t="str">
        <f>IFERROR(INDEX(Movimientos!$F$2:$F$1993,MATCH(A81&amp;"ENTRADA",Movimientos!$R$2:$R$1993,0)),"-")</f>
        <v>-</v>
      </c>
      <c r="F81" s="2" t="str">
        <f>IFERROR(INDEX(Movimientos!$G$2:$G$1993,MATCH(A81&amp;"ENTRADA",Movimientos!$R$2:$R$1993,0)),"-")</f>
        <v>-</v>
      </c>
      <c r="G81" s="2" t="str">
        <f>IFERROR(INDEX(Movimientos!$L$2:$L$1993,MATCH(A81&amp;"ENTRADA",Movimientos!$R$2:$R$1993,0)),"-")</f>
        <v>-</v>
      </c>
      <c r="H81" s="17" t="str">
        <f>IFERROR(IF(INDEX(Movimientos!$M$2:$M$1993,MATCH(A81&amp;"ENTRADA",Movimientos!$R$2:$R$1993,0))=0,"S/D",INDEX(Movimientos!$M$2:$M$1993,MATCH(A81&amp;"ENTRADA",Movimientos!$R$2:$R$1993,0))),"S/D")</f>
        <v>S/D</v>
      </c>
      <c r="I81" s="15" t="str">
        <f t="shared" ca="1" si="4"/>
        <v>S/D</v>
      </c>
      <c r="J81" s="5">
        <f>IF(A81="","",SUMIFS(Movimientos!$K:$K,Movimientos!$H:$H,A81))</f>
        <v>0</v>
      </c>
      <c r="K81" s="13" t="str">
        <f t="shared" ca="1" si="3"/>
        <v>SIN STOCK</v>
      </c>
    </row>
    <row r="82" spans="1:11">
      <c r="A82" s="16" t="s">
        <v>2387</v>
      </c>
      <c r="B82" s="2" t="str">
        <f>IFERROR(INDEX(Movimientos!$C$2:$C$1993,MATCH(A82&amp;"ENTRADA",Movimientos!$R$2:$R$1993,0)),"-")</f>
        <v>-</v>
      </c>
      <c r="C82" s="2" t="str">
        <f>IFERROR(INDEX(Movimientos!$D$2:$D$1993,MATCH(A82&amp;"ENTRADA",Movimientos!$R$2:$R$1993,0)),"-")</f>
        <v>-</v>
      </c>
      <c r="D82" s="2" t="str">
        <f>IFERROR(INDEX(Movimientos!$E$2:$E$1993,MATCH(A82&amp;"ENTRADA",Movimientos!$R$2:$R$1993,0)),"-")</f>
        <v>-</v>
      </c>
      <c r="E82" s="2" t="str">
        <f>IFERROR(INDEX(Movimientos!$F$2:$F$1993,MATCH(A82&amp;"ENTRADA",Movimientos!$R$2:$R$1993,0)),"-")</f>
        <v>-</v>
      </c>
      <c r="F82" s="2" t="str">
        <f>IFERROR(INDEX(Movimientos!$G$2:$G$1993,MATCH(A82&amp;"ENTRADA",Movimientos!$R$2:$R$1993,0)),"-")</f>
        <v>-</v>
      </c>
      <c r="G82" s="2" t="str">
        <f>IFERROR(INDEX(Movimientos!$L$2:$L$1993,MATCH(A82&amp;"ENTRADA",Movimientos!$R$2:$R$1993,0)),"-")</f>
        <v>-</v>
      </c>
      <c r="H82" s="17" t="str">
        <f>IFERROR(IF(INDEX(Movimientos!$M$2:$M$1993,MATCH(A82&amp;"ENTRADA",Movimientos!$R$2:$R$1993,0))=0,"S/D",INDEX(Movimientos!$M$2:$M$1993,MATCH(A82&amp;"ENTRADA",Movimientos!$R$2:$R$1993,0))),"S/D")</f>
        <v>S/D</v>
      </c>
      <c r="I82" s="15" t="str">
        <f t="shared" ca="1" si="4"/>
        <v>S/D</v>
      </c>
      <c r="J82" s="5">
        <f>IF(A82="","",SUMIFS(Movimientos!$K:$K,Movimientos!$H:$H,A82))</f>
        <v>0</v>
      </c>
      <c r="K82" s="13" t="str">
        <f t="shared" ca="1" si="3"/>
        <v>SIN STOCK</v>
      </c>
    </row>
    <row r="83" spans="1:11">
      <c r="A83" s="16" t="s">
        <v>2388</v>
      </c>
      <c r="B83" s="2" t="str">
        <f>IFERROR(INDEX(Movimientos!$C$2:$C$1993,MATCH(A83&amp;"ENTRADA",Movimientos!$R$2:$R$1993,0)),"-")</f>
        <v>-</v>
      </c>
      <c r="C83" s="2" t="str">
        <f>IFERROR(INDEX(Movimientos!$D$2:$D$1993,MATCH(A83&amp;"ENTRADA",Movimientos!$R$2:$R$1993,0)),"-")</f>
        <v>-</v>
      </c>
      <c r="D83" s="2" t="str">
        <f>IFERROR(INDEX(Movimientos!$E$2:$E$1993,MATCH(A83&amp;"ENTRADA",Movimientos!$R$2:$R$1993,0)),"-")</f>
        <v>-</v>
      </c>
      <c r="E83" s="2" t="str">
        <f>IFERROR(INDEX(Movimientos!$F$2:$F$1993,MATCH(A83&amp;"ENTRADA",Movimientos!$R$2:$R$1993,0)),"-")</f>
        <v>-</v>
      </c>
      <c r="F83" s="2" t="str">
        <f>IFERROR(INDEX(Movimientos!$G$2:$G$1993,MATCH(A83&amp;"ENTRADA",Movimientos!$R$2:$R$1993,0)),"-")</f>
        <v>-</v>
      </c>
      <c r="G83" s="2" t="str">
        <f>IFERROR(INDEX(Movimientos!$L$2:$L$1993,MATCH(A83&amp;"ENTRADA",Movimientos!$R$2:$R$1993,0)),"-")</f>
        <v>-</v>
      </c>
      <c r="H83" s="17" t="str">
        <f>IFERROR(IF(INDEX(Movimientos!$M$2:$M$1993,MATCH(A83&amp;"ENTRADA",Movimientos!$R$2:$R$1993,0))=0,"S/D",INDEX(Movimientos!$M$2:$M$1993,MATCH(A83&amp;"ENTRADA",Movimientos!$R$2:$R$1993,0))),"S/D")</f>
        <v>S/D</v>
      </c>
      <c r="I83" s="15" t="str">
        <f t="shared" ca="1" si="4"/>
        <v>S/D</v>
      </c>
      <c r="J83" s="5">
        <f>IF(A83="","",SUMIFS(Movimientos!$K:$K,Movimientos!$H:$H,A83))</f>
        <v>0</v>
      </c>
      <c r="K83" s="13" t="str">
        <f t="shared" ca="1" si="3"/>
        <v>SIN STOCK</v>
      </c>
    </row>
    <row r="84" spans="1:11">
      <c r="A84" s="16" t="s">
        <v>2389</v>
      </c>
      <c r="B84" s="2" t="str">
        <f>IFERROR(INDEX(Movimientos!$C$2:$C$1993,MATCH(A84&amp;"ENTRADA",Movimientos!$R$2:$R$1993,0)),"-")</f>
        <v>-</v>
      </c>
      <c r="C84" s="2" t="str">
        <f>IFERROR(INDEX(Movimientos!$D$2:$D$1993,MATCH(A84&amp;"ENTRADA",Movimientos!$R$2:$R$1993,0)),"-")</f>
        <v>-</v>
      </c>
      <c r="D84" s="2" t="str">
        <f>IFERROR(INDEX(Movimientos!$E$2:$E$1993,MATCH(A84&amp;"ENTRADA",Movimientos!$R$2:$R$1993,0)),"-")</f>
        <v>-</v>
      </c>
      <c r="E84" s="2" t="str">
        <f>IFERROR(INDEX(Movimientos!$F$2:$F$1993,MATCH(A84&amp;"ENTRADA",Movimientos!$R$2:$R$1993,0)),"-")</f>
        <v>-</v>
      </c>
      <c r="F84" s="2" t="str">
        <f>IFERROR(INDEX(Movimientos!$G$2:$G$1993,MATCH(A84&amp;"ENTRADA",Movimientos!$R$2:$R$1993,0)),"-")</f>
        <v>-</v>
      </c>
      <c r="G84" s="2" t="str">
        <f>IFERROR(INDEX(Movimientos!$L$2:$L$1993,MATCH(A84&amp;"ENTRADA",Movimientos!$R$2:$R$1993,0)),"-")</f>
        <v>-</v>
      </c>
      <c r="H84" s="17" t="str">
        <f>IFERROR(IF(INDEX(Movimientos!$M$2:$M$1993,MATCH(A84&amp;"ENTRADA",Movimientos!$R$2:$R$1993,0))=0,"S/D",INDEX(Movimientos!$M$2:$M$1993,MATCH(A84&amp;"ENTRADA",Movimientos!$R$2:$R$1993,0))),"S/D")</f>
        <v>S/D</v>
      </c>
      <c r="I84" s="15" t="str">
        <f t="shared" ca="1" si="4"/>
        <v>S/D</v>
      </c>
      <c r="J84" s="5">
        <f>IF(A84="","",SUMIFS(Movimientos!$K:$K,Movimientos!$H:$H,A84))</f>
        <v>0</v>
      </c>
      <c r="K84" s="13" t="str">
        <f t="shared" ca="1" si="3"/>
        <v>SIN STOCK</v>
      </c>
    </row>
    <row r="85" spans="1:11">
      <c r="A85" s="16" t="s">
        <v>2390</v>
      </c>
      <c r="B85" s="2" t="str">
        <f>IFERROR(INDEX(Movimientos!$C$2:$C$1993,MATCH(A85&amp;"ENTRADA",Movimientos!$R$2:$R$1993,0)),"-")</f>
        <v>-</v>
      </c>
      <c r="C85" s="2" t="str">
        <f>IFERROR(INDEX(Movimientos!$D$2:$D$1993,MATCH(A85&amp;"ENTRADA",Movimientos!$R$2:$R$1993,0)),"-")</f>
        <v>-</v>
      </c>
      <c r="D85" s="2" t="str">
        <f>IFERROR(INDEX(Movimientos!$E$2:$E$1993,MATCH(A85&amp;"ENTRADA",Movimientos!$R$2:$R$1993,0)),"-")</f>
        <v>-</v>
      </c>
      <c r="E85" s="2" t="str">
        <f>IFERROR(INDEX(Movimientos!$F$2:$F$1993,MATCH(A85&amp;"ENTRADA",Movimientos!$R$2:$R$1993,0)),"-")</f>
        <v>-</v>
      </c>
      <c r="F85" s="2" t="str">
        <f>IFERROR(INDEX(Movimientos!$G$2:$G$1993,MATCH(A85&amp;"ENTRADA",Movimientos!$R$2:$R$1993,0)),"-")</f>
        <v>-</v>
      </c>
      <c r="G85" s="2" t="str">
        <f>IFERROR(INDEX(Movimientos!$L$2:$L$1993,MATCH(A85&amp;"ENTRADA",Movimientos!$R$2:$R$1993,0)),"-")</f>
        <v>-</v>
      </c>
      <c r="H85" s="17" t="str">
        <f>IFERROR(IF(INDEX(Movimientos!$M$2:$M$1993,MATCH(A85&amp;"ENTRADA",Movimientos!$R$2:$R$1993,0))=0,"S/D",INDEX(Movimientos!$M$2:$M$1993,MATCH(A85&amp;"ENTRADA",Movimientos!$R$2:$R$1993,0))),"S/D")</f>
        <v>S/D</v>
      </c>
      <c r="I85" s="15" t="str">
        <f t="shared" ca="1" si="4"/>
        <v>S/D</v>
      </c>
      <c r="J85" s="5">
        <f>IF(A85="","",SUMIFS(Movimientos!$K:$K,Movimientos!$H:$H,A85))</f>
        <v>0</v>
      </c>
      <c r="K85" s="13" t="str">
        <f t="shared" ca="1" si="3"/>
        <v>SIN STOCK</v>
      </c>
    </row>
    <row r="86" spans="1:11">
      <c r="A86" s="16" t="s">
        <v>2391</v>
      </c>
      <c r="B86" s="2" t="str">
        <f>IFERROR(INDEX(Movimientos!$C$2:$C$1993,MATCH(A86&amp;"ENTRADA",Movimientos!$R$2:$R$1993,0)),"-")</f>
        <v>-</v>
      </c>
      <c r="C86" s="2" t="str">
        <f>IFERROR(INDEX(Movimientos!$D$2:$D$1993,MATCH(A86&amp;"ENTRADA",Movimientos!$R$2:$R$1993,0)),"-")</f>
        <v>-</v>
      </c>
      <c r="D86" s="2" t="str">
        <f>IFERROR(INDEX(Movimientos!$E$2:$E$1993,MATCH(A86&amp;"ENTRADA",Movimientos!$R$2:$R$1993,0)),"-")</f>
        <v>-</v>
      </c>
      <c r="E86" s="2" t="str">
        <f>IFERROR(INDEX(Movimientos!$F$2:$F$1993,MATCH(A86&amp;"ENTRADA",Movimientos!$R$2:$R$1993,0)),"-")</f>
        <v>-</v>
      </c>
      <c r="F86" s="2" t="str">
        <f>IFERROR(INDEX(Movimientos!$G$2:$G$1993,MATCH(A86&amp;"ENTRADA",Movimientos!$R$2:$R$1993,0)),"-")</f>
        <v>-</v>
      </c>
      <c r="G86" s="2" t="str">
        <f>IFERROR(INDEX(Movimientos!$L$2:$L$1993,MATCH(A86&amp;"ENTRADA",Movimientos!$R$2:$R$1993,0)),"-")</f>
        <v>-</v>
      </c>
      <c r="H86" s="17" t="str">
        <f>IFERROR(IF(INDEX(Movimientos!$M$2:$M$1993,MATCH(A86&amp;"ENTRADA",Movimientos!$R$2:$R$1993,0))=0,"S/D",INDEX(Movimientos!$M$2:$M$1993,MATCH(A86&amp;"ENTRADA",Movimientos!$R$2:$R$1993,0))),"S/D")</f>
        <v>S/D</v>
      </c>
      <c r="I86" s="15" t="str">
        <f t="shared" ca="1" si="4"/>
        <v>S/D</v>
      </c>
      <c r="J86" s="5">
        <f>IF(A86="","",SUMIFS(Movimientos!$K:$K,Movimientos!$H:$H,A86))</f>
        <v>0</v>
      </c>
      <c r="K86" s="13" t="str">
        <f t="shared" ca="1" si="3"/>
        <v>SIN STOCK</v>
      </c>
    </row>
    <row r="87" spans="1:11">
      <c r="A87" s="16" t="s">
        <v>2392</v>
      </c>
      <c r="B87" s="2" t="str">
        <f>IFERROR(INDEX(Movimientos!$C$2:$C$1993,MATCH(A87&amp;"ENTRADA",Movimientos!$R$2:$R$1993,0)),"-")</f>
        <v>-</v>
      </c>
      <c r="C87" s="2" t="str">
        <f>IFERROR(INDEX(Movimientos!$D$2:$D$1993,MATCH(A87&amp;"ENTRADA",Movimientos!$R$2:$R$1993,0)),"-")</f>
        <v>-</v>
      </c>
      <c r="D87" s="2" t="str">
        <f>IFERROR(INDEX(Movimientos!$E$2:$E$1993,MATCH(A87&amp;"ENTRADA",Movimientos!$R$2:$R$1993,0)),"-")</f>
        <v>-</v>
      </c>
      <c r="E87" s="2" t="str">
        <f>IFERROR(INDEX(Movimientos!$F$2:$F$1993,MATCH(A87&amp;"ENTRADA",Movimientos!$R$2:$R$1993,0)),"-")</f>
        <v>-</v>
      </c>
      <c r="F87" s="2" t="str">
        <f>IFERROR(INDEX(Movimientos!$G$2:$G$1993,MATCH(A87&amp;"ENTRADA",Movimientos!$R$2:$R$1993,0)),"-")</f>
        <v>-</v>
      </c>
      <c r="G87" s="2" t="str">
        <f>IFERROR(INDEX(Movimientos!$L$2:$L$1993,MATCH(A87&amp;"ENTRADA",Movimientos!$R$2:$R$1993,0)),"-")</f>
        <v>-</v>
      </c>
      <c r="H87" s="17" t="str">
        <f>IFERROR(IF(INDEX(Movimientos!$M$2:$M$1993,MATCH(A87&amp;"ENTRADA",Movimientos!$R$2:$R$1993,0))=0,"S/D",INDEX(Movimientos!$M$2:$M$1993,MATCH(A87&amp;"ENTRADA",Movimientos!$R$2:$R$1993,0))),"S/D")</f>
        <v>S/D</v>
      </c>
      <c r="I87" s="15" t="str">
        <f t="shared" ca="1" si="4"/>
        <v>S/D</v>
      </c>
      <c r="J87" s="5">
        <f>IF(A87="","",SUMIFS(Movimientos!$K:$K,Movimientos!$H:$H,A87))</f>
        <v>0</v>
      </c>
      <c r="K87" s="13" t="str">
        <f t="shared" ca="1" si="3"/>
        <v>SIN STOCK</v>
      </c>
    </row>
    <row r="88" spans="1:11">
      <c r="A88" s="16" t="s">
        <v>2393</v>
      </c>
      <c r="B88" s="2" t="str">
        <f>IFERROR(INDEX(Movimientos!$C$2:$C$1993,MATCH(A88&amp;"ENTRADA",Movimientos!$R$2:$R$1993,0)),"-")</f>
        <v>-</v>
      </c>
      <c r="C88" s="2" t="str">
        <f>IFERROR(INDEX(Movimientos!$D$2:$D$1993,MATCH(A88&amp;"ENTRADA",Movimientos!$R$2:$R$1993,0)),"-")</f>
        <v>-</v>
      </c>
      <c r="D88" s="2" t="str">
        <f>IFERROR(INDEX(Movimientos!$E$2:$E$1993,MATCH(A88&amp;"ENTRADA",Movimientos!$R$2:$R$1993,0)),"-")</f>
        <v>-</v>
      </c>
      <c r="E88" s="2" t="str">
        <f>IFERROR(INDEX(Movimientos!$F$2:$F$1993,MATCH(A88&amp;"ENTRADA",Movimientos!$R$2:$R$1993,0)),"-")</f>
        <v>-</v>
      </c>
      <c r="F88" s="2" t="str">
        <f>IFERROR(INDEX(Movimientos!$G$2:$G$1993,MATCH(A88&amp;"ENTRADA",Movimientos!$R$2:$R$1993,0)),"-")</f>
        <v>-</v>
      </c>
      <c r="G88" s="2" t="str">
        <f>IFERROR(INDEX(Movimientos!$L$2:$L$1993,MATCH(A88&amp;"ENTRADA",Movimientos!$R$2:$R$1993,0)),"-")</f>
        <v>-</v>
      </c>
      <c r="H88" s="17" t="str">
        <f>IFERROR(IF(INDEX(Movimientos!$M$2:$M$1993,MATCH(A88&amp;"ENTRADA",Movimientos!$R$2:$R$1993,0))=0,"S/D",INDEX(Movimientos!$M$2:$M$1993,MATCH(A88&amp;"ENTRADA",Movimientos!$R$2:$R$1993,0))),"S/D")</f>
        <v>S/D</v>
      </c>
      <c r="I88" s="15" t="str">
        <f t="shared" ca="1" si="4"/>
        <v>S/D</v>
      </c>
      <c r="J88" s="5">
        <f>IF(A88="","",SUMIFS(Movimientos!$K:$K,Movimientos!$H:$H,A88))</f>
        <v>0</v>
      </c>
      <c r="K88" s="13" t="str">
        <f t="shared" ca="1" si="3"/>
        <v>SIN STOCK</v>
      </c>
    </row>
    <row r="89" spans="1:11">
      <c r="A89" s="16" t="s">
        <v>2394</v>
      </c>
      <c r="B89" s="2" t="str">
        <f>IFERROR(INDEX(Movimientos!$C$2:$C$1993,MATCH(A89&amp;"ENTRADA",Movimientos!$R$2:$R$1993,0)),"-")</f>
        <v>-</v>
      </c>
      <c r="C89" s="2" t="str">
        <f>IFERROR(INDEX(Movimientos!$D$2:$D$1993,MATCH(A89&amp;"ENTRADA",Movimientos!$R$2:$R$1993,0)),"-")</f>
        <v>-</v>
      </c>
      <c r="D89" s="2" t="str">
        <f>IFERROR(INDEX(Movimientos!$E$2:$E$1993,MATCH(A89&amp;"ENTRADA",Movimientos!$R$2:$R$1993,0)),"-")</f>
        <v>-</v>
      </c>
      <c r="E89" s="2" t="str">
        <f>IFERROR(INDEX(Movimientos!$F$2:$F$1993,MATCH(A89&amp;"ENTRADA",Movimientos!$R$2:$R$1993,0)),"-")</f>
        <v>-</v>
      </c>
      <c r="F89" s="2" t="str">
        <f>IFERROR(INDEX(Movimientos!$G$2:$G$1993,MATCH(A89&amp;"ENTRADA",Movimientos!$R$2:$R$1993,0)),"-")</f>
        <v>-</v>
      </c>
      <c r="G89" s="2" t="str">
        <f>IFERROR(INDEX(Movimientos!$L$2:$L$1993,MATCH(A89&amp;"ENTRADA",Movimientos!$R$2:$R$1993,0)),"-")</f>
        <v>-</v>
      </c>
      <c r="H89" s="17" t="str">
        <f>IFERROR(IF(INDEX(Movimientos!$M$2:$M$1993,MATCH(A89&amp;"ENTRADA",Movimientos!$R$2:$R$1993,0))=0,"S/D",INDEX(Movimientos!$M$2:$M$1993,MATCH(A89&amp;"ENTRADA",Movimientos!$R$2:$R$1993,0))),"S/D")</f>
        <v>S/D</v>
      </c>
      <c r="I89" s="15" t="str">
        <f t="shared" ca="1" si="4"/>
        <v>S/D</v>
      </c>
      <c r="J89" s="5">
        <f>IF(A89="","",SUMIFS(Movimientos!$K:$K,Movimientos!$H:$H,A89))</f>
        <v>0</v>
      </c>
      <c r="K89" s="13" t="str">
        <f t="shared" ca="1" si="3"/>
        <v>SIN STOCK</v>
      </c>
    </row>
    <row r="90" spans="1:11">
      <c r="A90" s="16" t="s">
        <v>2395</v>
      </c>
      <c r="B90" s="2" t="str">
        <f>IFERROR(INDEX(Movimientos!$C$2:$C$1993,MATCH(A90&amp;"ENTRADA",Movimientos!$R$2:$R$1993,0)),"-")</f>
        <v>-</v>
      </c>
      <c r="C90" s="2" t="str">
        <f>IFERROR(INDEX(Movimientos!$D$2:$D$1993,MATCH(A90&amp;"ENTRADA",Movimientos!$R$2:$R$1993,0)),"-")</f>
        <v>-</v>
      </c>
      <c r="D90" s="2" t="str">
        <f>IFERROR(INDEX(Movimientos!$E$2:$E$1993,MATCH(A90&amp;"ENTRADA",Movimientos!$R$2:$R$1993,0)),"-")</f>
        <v>-</v>
      </c>
      <c r="E90" s="2" t="str">
        <f>IFERROR(INDEX(Movimientos!$F$2:$F$1993,MATCH(A90&amp;"ENTRADA",Movimientos!$R$2:$R$1993,0)),"-")</f>
        <v>-</v>
      </c>
      <c r="F90" s="2" t="str">
        <f>IFERROR(INDEX(Movimientos!$G$2:$G$1993,MATCH(A90&amp;"ENTRADA",Movimientos!$R$2:$R$1993,0)),"-")</f>
        <v>-</v>
      </c>
      <c r="G90" s="2" t="str">
        <f>IFERROR(INDEX(Movimientos!$L$2:$L$1993,MATCH(A90&amp;"ENTRADA",Movimientos!$R$2:$R$1993,0)),"-")</f>
        <v>-</v>
      </c>
      <c r="H90" s="17" t="str">
        <f>IFERROR(IF(INDEX(Movimientos!$M$2:$M$1993,MATCH(A90&amp;"ENTRADA",Movimientos!$R$2:$R$1993,0))=0,"S/D",INDEX(Movimientos!$M$2:$M$1993,MATCH(A90&amp;"ENTRADA",Movimientos!$R$2:$R$1993,0))),"S/D")</f>
        <v>S/D</v>
      </c>
      <c r="I90" s="15" t="str">
        <f t="shared" ca="1" si="4"/>
        <v>S/D</v>
      </c>
      <c r="J90" s="5">
        <f>IF(A90="","",SUMIFS(Movimientos!$K:$K,Movimientos!$H:$H,A90))</f>
        <v>0</v>
      </c>
      <c r="K90" s="13" t="str">
        <f t="shared" ca="1" si="3"/>
        <v>SIN STOCK</v>
      </c>
    </row>
    <row r="91" spans="1:11">
      <c r="A91" s="16" t="s">
        <v>2396</v>
      </c>
      <c r="B91" s="2" t="str">
        <f>IFERROR(INDEX(Movimientos!$C$2:$C$1993,MATCH(A91&amp;"ENTRADA",Movimientos!$R$2:$R$1993,0)),"-")</f>
        <v>-</v>
      </c>
      <c r="C91" s="2" t="str">
        <f>IFERROR(INDEX(Movimientos!$D$2:$D$1993,MATCH(A91&amp;"ENTRADA",Movimientos!$R$2:$R$1993,0)),"-")</f>
        <v>-</v>
      </c>
      <c r="D91" s="2" t="str">
        <f>IFERROR(INDEX(Movimientos!$E$2:$E$1993,MATCH(A91&amp;"ENTRADA",Movimientos!$R$2:$R$1993,0)),"-")</f>
        <v>-</v>
      </c>
      <c r="E91" s="2" t="str">
        <f>IFERROR(INDEX(Movimientos!$F$2:$F$1993,MATCH(A91&amp;"ENTRADA",Movimientos!$R$2:$R$1993,0)),"-")</f>
        <v>-</v>
      </c>
      <c r="F91" s="2" t="str">
        <f>IFERROR(INDEX(Movimientos!$G$2:$G$1993,MATCH(A91&amp;"ENTRADA",Movimientos!$R$2:$R$1993,0)),"-")</f>
        <v>-</v>
      </c>
      <c r="G91" s="2" t="str">
        <f>IFERROR(INDEX(Movimientos!$L$2:$L$1993,MATCH(A91&amp;"ENTRADA",Movimientos!$R$2:$R$1993,0)),"-")</f>
        <v>-</v>
      </c>
      <c r="H91" s="17" t="str">
        <f>IFERROR(IF(INDEX(Movimientos!$M$2:$M$1993,MATCH(A91&amp;"ENTRADA",Movimientos!$R$2:$R$1993,0))=0,"S/D",INDEX(Movimientos!$M$2:$M$1993,MATCH(A91&amp;"ENTRADA",Movimientos!$R$2:$R$1993,0))),"S/D")</f>
        <v>S/D</v>
      </c>
      <c r="I91" s="15" t="str">
        <f t="shared" ca="1" si="4"/>
        <v>S/D</v>
      </c>
      <c r="J91" s="5">
        <f>IF(A91="","",SUMIFS(Movimientos!$K:$K,Movimientos!$H:$H,A91))</f>
        <v>0</v>
      </c>
      <c r="K91" s="13" t="str">
        <f t="shared" ca="1" si="3"/>
        <v>SIN STOCK</v>
      </c>
    </row>
    <row r="92" spans="1:11">
      <c r="A92" s="16" t="s">
        <v>2397</v>
      </c>
      <c r="B92" s="2" t="str">
        <f>IFERROR(INDEX(Movimientos!$C$2:$C$1993,MATCH(A92&amp;"ENTRADA",Movimientos!$R$2:$R$1993,0)),"-")</f>
        <v>-</v>
      </c>
      <c r="C92" s="2" t="str">
        <f>IFERROR(INDEX(Movimientos!$D$2:$D$1993,MATCH(A92&amp;"ENTRADA",Movimientos!$R$2:$R$1993,0)),"-")</f>
        <v>-</v>
      </c>
      <c r="D92" s="2" t="str">
        <f>IFERROR(INDEX(Movimientos!$E$2:$E$1993,MATCH(A92&amp;"ENTRADA",Movimientos!$R$2:$R$1993,0)),"-")</f>
        <v>-</v>
      </c>
      <c r="E92" s="2" t="str">
        <f>IFERROR(INDEX(Movimientos!$F$2:$F$1993,MATCH(A92&amp;"ENTRADA",Movimientos!$R$2:$R$1993,0)),"-")</f>
        <v>-</v>
      </c>
      <c r="F92" s="2" t="str">
        <f>IFERROR(INDEX(Movimientos!$G$2:$G$1993,MATCH(A92&amp;"ENTRADA",Movimientos!$R$2:$R$1993,0)),"-")</f>
        <v>-</v>
      </c>
      <c r="G92" s="2" t="str">
        <f>IFERROR(INDEX(Movimientos!$L$2:$L$1993,MATCH(A92&amp;"ENTRADA",Movimientos!$R$2:$R$1993,0)),"-")</f>
        <v>-</v>
      </c>
      <c r="H92" s="17" t="str">
        <f>IFERROR(IF(INDEX(Movimientos!$M$2:$M$1993,MATCH(A92&amp;"ENTRADA",Movimientos!$R$2:$R$1993,0))=0,"S/D",INDEX(Movimientos!$M$2:$M$1993,MATCH(A92&amp;"ENTRADA",Movimientos!$R$2:$R$1993,0))),"S/D")</f>
        <v>S/D</v>
      </c>
      <c r="I92" s="15" t="str">
        <f t="shared" ca="1" si="4"/>
        <v>S/D</v>
      </c>
      <c r="J92" s="5">
        <f>IF(A92="","",SUMIFS(Movimientos!$K:$K,Movimientos!$H:$H,A92))</f>
        <v>0</v>
      </c>
      <c r="K92" s="13" t="str">
        <f t="shared" ca="1" si="3"/>
        <v>SIN STOCK</v>
      </c>
    </row>
    <row r="93" spans="1:11">
      <c r="A93" s="16" t="s">
        <v>2398</v>
      </c>
      <c r="B93" s="2" t="str">
        <f>IFERROR(INDEX(Movimientos!$C$2:$C$1993,MATCH(A93&amp;"ENTRADA",Movimientos!$R$2:$R$1993,0)),"-")</f>
        <v>-</v>
      </c>
      <c r="C93" s="2" t="str">
        <f>IFERROR(INDEX(Movimientos!$D$2:$D$1993,MATCH(A93&amp;"ENTRADA",Movimientos!$R$2:$R$1993,0)),"-")</f>
        <v>-</v>
      </c>
      <c r="D93" s="2" t="str">
        <f>IFERROR(INDEX(Movimientos!$E$2:$E$1993,MATCH(A93&amp;"ENTRADA",Movimientos!$R$2:$R$1993,0)),"-")</f>
        <v>-</v>
      </c>
      <c r="E93" s="2" t="str">
        <f>IFERROR(INDEX(Movimientos!$F$2:$F$1993,MATCH(A93&amp;"ENTRADA",Movimientos!$R$2:$R$1993,0)),"-")</f>
        <v>-</v>
      </c>
      <c r="F93" s="2" t="str">
        <f>IFERROR(INDEX(Movimientos!$G$2:$G$1993,MATCH(A93&amp;"ENTRADA",Movimientos!$R$2:$R$1993,0)),"-")</f>
        <v>-</v>
      </c>
      <c r="G93" s="2" t="str">
        <f>IFERROR(INDEX(Movimientos!$L$2:$L$1993,MATCH(A93&amp;"ENTRADA",Movimientos!$R$2:$R$1993,0)),"-")</f>
        <v>-</v>
      </c>
      <c r="H93" s="17" t="str">
        <f>IFERROR(IF(INDEX(Movimientos!$M$2:$M$1993,MATCH(A93&amp;"ENTRADA",Movimientos!$R$2:$R$1993,0))=0,"S/D",INDEX(Movimientos!$M$2:$M$1993,MATCH(A93&amp;"ENTRADA",Movimientos!$R$2:$R$1993,0))),"S/D")</f>
        <v>S/D</v>
      </c>
      <c r="I93" s="15" t="str">
        <f t="shared" ca="1" si="4"/>
        <v>S/D</v>
      </c>
      <c r="J93" s="5">
        <f>IF(A93="","",SUMIFS(Movimientos!$K:$K,Movimientos!$H:$H,A93))</f>
        <v>0</v>
      </c>
      <c r="K93" s="13" t="str">
        <f t="shared" ca="1" si="3"/>
        <v>SIN STOCK</v>
      </c>
    </row>
    <row r="94" spans="1:11">
      <c r="A94" s="16" t="s">
        <v>2399</v>
      </c>
      <c r="B94" s="2" t="str">
        <f>IFERROR(INDEX(Movimientos!$C$2:$C$1993,MATCH(A94&amp;"ENTRADA",Movimientos!$R$2:$R$1993,0)),"-")</f>
        <v>-</v>
      </c>
      <c r="C94" s="2" t="str">
        <f>IFERROR(INDEX(Movimientos!$D$2:$D$1993,MATCH(A94&amp;"ENTRADA",Movimientos!$R$2:$R$1993,0)),"-")</f>
        <v>-</v>
      </c>
      <c r="D94" s="2" t="str">
        <f>IFERROR(INDEX(Movimientos!$E$2:$E$1993,MATCH(A94&amp;"ENTRADA",Movimientos!$R$2:$R$1993,0)),"-")</f>
        <v>-</v>
      </c>
      <c r="E94" s="2" t="str">
        <f>IFERROR(INDEX(Movimientos!$F$2:$F$1993,MATCH(A94&amp;"ENTRADA",Movimientos!$R$2:$R$1993,0)),"-")</f>
        <v>-</v>
      </c>
      <c r="F94" s="2" t="str">
        <f>IFERROR(INDEX(Movimientos!$G$2:$G$1993,MATCH(A94&amp;"ENTRADA",Movimientos!$R$2:$R$1993,0)),"-")</f>
        <v>-</v>
      </c>
      <c r="G94" s="2" t="str">
        <f>IFERROR(INDEX(Movimientos!$L$2:$L$1993,MATCH(A94&amp;"ENTRADA",Movimientos!$R$2:$R$1993,0)),"-")</f>
        <v>-</v>
      </c>
      <c r="H94" s="17" t="str">
        <f>IFERROR(IF(INDEX(Movimientos!$M$2:$M$1993,MATCH(A94&amp;"ENTRADA",Movimientos!$R$2:$R$1993,0))=0,"S/D",INDEX(Movimientos!$M$2:$M$1993,MATCH(A94&amp;"ENTRADA",Movimientos!$R$2:$R$1993,0))),"S/D")</f>
        <v>S/D</v>
      </c>
      <c r="I94" s="15" t="str">
        <f t="shared" ca="1" si="4"/>
        <v>S/D</v>
      </c>
      <c r="J94" s="5">
        <f>IF(A94="","",SUMIFS(Movimientos!$K:$K,Movimientos!$H:$H,A94))</f>
        <v>0</v>
      </c>
      <c r="K94" s="13" t="str">
        <f t="shared" ca="1" si="3"/>
        <v>SIN STOCK</v>
      </c>
    </row>
    <row r="95" spans="1:11">
      <c r="A95" s="16" t="s">
        <v>2400</v>
      </c>
      <c r="B95" s="2" t="str">
        <f>IFERROR(INDEX(Movimientos!$C$2:$C$1993,MATCH(A95&amp;"ENTRADA",Movimientos!$R$2:$R$1993,0)),"-")</f>
        <v>-</v>
      </c>
      <c r="C95" s="2" t="str">
        <f>IFERROR(INDEX(Movimientos!$D$2:$D$1993,MATCH(A95&amp;"ENTRADA",Movimientos!$R$2:$R$1993,0)),"-")</f>
        <v>-</v>
      </c>
      <c r="D95" s="2" t="str">
        <f>IFERROR(INDEX(Movimientos!$E$2:$E$1993,MATCH(A95&amp;"ENTRADA",Movimientos!$R$2:$R$1993,0)),"-")</f>
        <v>-</v>
      </c>
      <c r="E95" s="2" t="str">
        <f>IFERROR(INDEX(Movimientos!$F$2:$F$1993,MATCH(A95&amp;"ENTRADA",Movimientos!$R$2:$R$1993,0)),"-")</f>
        <v>-</v>
      </c>
      <c r="F95" s="2" t="str">
        <f>IFERROR(INDEX(Movimientos!$G$2:$G$1993,MATCH(A95&amp;"ENTRADA",Movimientos!$R$2:$R$1993,0)),"-")</f>
        <v>-</v>
      </c>
      <c r="G95" s="2" t="str">
        <f>IFERROR(INDEX(Movimientos!$L$2:$L$1993,MATCH(A95&amp;"ENTRADA",Movimientos!$R$2:$R$1993,0)),"-")</f>
        <v>-</v>
      </c>
      <c r="H95" s="17" t="str">
        <f>IFERROR(IF(INDEX(Movimientos!$M$2:$M$1993,MATCH(A95&amp;"ENTRADA",Movimientos!$R$2:$R$1993,0))=0,"S/D",INDEX(Movimientos!$M$2:$M$1993,MATCH(A95&amp;"ENTRADA",Movimientos!$R$2:$R$1993,0))),"S/D")</f>
        <v>S/D</v>
      </c>
      <c r="I95" s="15" t="str">
        <f t="shared" ca="1" si="4"/>
        <v>S/D</v>
      </c>
      <c r="J95" s="5">
        <f>IF(A95="","",SUMIFS(Movimientos!$K:$K,Movimientos!$H:$H,A95))</f>
        <v>0</v>
      </c>
      <c r="K95" s="13" t="str">
        <f t="shared" ca="1" si="3"/>
        <v>SIN STOCK</v>
      </c>
    </row>
    <row r="96" spans="1:11">
      <c r="A96" s="16" t="s">
        <v>2401</v>
      </c>
      <c r="B96" s="2" t="str">
        <f>IFERROR(INDEX(Movimientos!$C$2:$C$1993,MATCH(A96&amp;"ENTRADA",Movimientos!$R$2:$R$1993,0)),"-")</f>
        <v>-</v>
      </c>
      <c r="C96" s="2" t="str">
        <f>IFERROR(INDEX(Movimientos!$D$2:$D$1993,MATCH(A96&amp;"ENTRADA",Movimientos!$R$2:$R$1993,0)),"-")</f>
        <v>-</v>
      </c>
      <c r="D96" s="2" t="str">
        <f>IFERROR(INDEX(Movimientos!$E$2:$E$1993,MATCH(A96&amp;"ENTRADA",Movimientos!$R$2:$R$1993,0)),"-")</f>
        <v>-</v>
      </c>
      <c r="E96" s="2" t="str">
        <f>IFERROR(INDEX(Movimientos!$F$2:$F$1993,MATCH(A96&amp;"ENTRADA",Movimientos!$R$2:$R$1993,0)),"-")</f>
        <v>-</v>
      </c>
      <c r="F96" s="2" t="str">
        <f>IFERROR(INDEX(Movimientos!$G$2:$G$1993,MATCH(A96&amp;"ENTRADA",Movimientos!$R$2:$R$1993,0)),"-")</f>
        <v>-</v>
      </c>
      <c r="G96" s="2" t="str">
        <f>IFERROR(INDEX(Movimientos!$L$2:$L$1993,MATCH(A96&amp;"ENTRADA",Movimientos!$R$2:$R$1993,0)),"-")</f>
        <v>-</v>
      </c>
      <c r="H96" s="17" t="str">
        <f>IFERROR(IF(INDEX(Movimientos!$M$2:$M$1993,MATCH(A96&amp;"ENTRADA",Movimientos!$R$2:$R$1993,0))=0,"S/D",INDEX(Movimientos!$M$2:$M$1993,MATCH(A96&amp;"ENTRADA",Movimientos!$R$2:$R$1993,0))),"S/D")</f>
        <v>S/D</v>
      </c>
      <c r="I96" s="15" t="str">
        <f t="shared" ca="1" si="4"/>
        <v>S/D</v>
      </c>
      <c r="J96" s="5">
        <f>IF(A96="","",SUMIFS(Movimientos!$K:$K,Movimientos!$H:$H,A96))</f>
        <v>0</v>
      </c>
      <c r="K96" s="13" t="str">
        <f t="shared" ca="1" si="3"/>
        <v>SIN STOCK</v>
      </c>
    </row>
    <row r="97" spans="1:11">
      <c r="A97" s="16" t="s">
        <v>2402</v>
      </c>
      <c r="B97" s="2" t="str">
        <f>IFERROR(INDEX(Movimientos!$C$2:$C$1993,MATCH(A97&amp;"ENTRADA",Movimientos!$R$2:$R$1993,0)),"-")</f>
        <v>-</v>
      </c>
      <c r="C97" s="2" t="str">
        <f>IFERROR(INDEX(Movimientos!$D$2:$D$1993,MATCH(A97&amp;"ENTRADA",Movimientos!$R$2:$R$1993,0)),"-")</f>
        <v>-</v>
      </c>
      <c r="D97" s="2" t="str">
        <f>IFERROR(INDEX(Movimientos!$E$2:$E$1993,MATCH(A97&amp;"ENTRADA",Movimientos!$R$2:$R$1993,0)),"-")</f>
        <v>-</v>
      </c>
      <c r="E97" s="2" t="str">
        <f>IFERROR(INDEX(Movimientos!$F$2:$F$1993,MATCH(A97&amp;"ENTRADA",Movimientos!$R$2:$R$1993,0)),"-")</f>
        <v>-</v>
      </c>
      <c r="F97" s="2" t="str">
        <f>IFERROR(INDEX(Movimientos!$G$2:$G$1993,MATCH(A97&amp;"ENTRADA",Movimientos!$R$2:$R$1993,0)),"-")</f>
        <v>-</v>
      </c>
      <c r="G97" s="2" t="str">
        <f>IFERROR(INDEX(Movimientos!$L$2:$L$1993,MATCH(A97&amp;"ENTRADA",Movimientos!$R$2:$R$1993,0)),"-")</f>
        <v>-</v>
      </c>
      <c r="H97" s="17" t="str">
        <f>IFERROR(IF(INDEX(Movimientos!$M$2:$M$1993,MATCH(A97&amp;"ENTRADA",Movimientos!$R$2:$R$1993,0))=0,"S/D",INDEX(Movimientos!$M$2:$M$1993,MATCH(A97&amp;"ENTRADA",Movimientos!$R$2:$R$1993,0))),"S/D")</f>
        <v>S/D</v>
      </c>
      <c r="I97" s="15" t="str">
        <f t="shared" ca="1" si="4"/>
        <v>S/D</v>
      </c>
      <c r="J97" s="5">
        <f>IF(A97="","",SUMIFS(Movimientos!$K:$K,Movimientos!$H:$H,A97))</f>
        <v>0</v>
      </c>
      <c r="K97" s="13" t="str">
        <f t="shared" ca="1" si="3"/>
        <v>SIN STOCK</v>
      </c>
    </row>
    <row r="98" spans="1:11">
      <c r="A98" s="16" t="s">
        <v>2403</v>
      </c>
      <c r="B98" s="2" t="str">
        <f>IFERROR(INDEX(Movimientos!$C$2:$C$1993,MATCH(A98&amp;"ENTRADA",Movimientos!$R$2:$R$1993,0)),"-")</f>
        <v>-</v>
      </c>
      <c r="C98" s="2" t="str">
        <f>IFERROR(INDEX(Movimientos!$D$2:$D$1993,MATCH(A98&amp;"ENTRADA",Movimientos!$R$2:$R$1993,0)),"-")</f>
        <v>-</v>
      </c>
      <c r="D98" s="2" t="str">
        <f>IFERROR(INDEX(Movimientos!$E$2:$E$1993,MATCH(A98&amp;"ENTRADA",Movimientos!$R$2:$R$1993,0)),"-")</f>
        <v>-</v>
      </c>
      <c r="E98" s="2" t="str">
        <f>IFERROR(INDEX(Movimientos!$F$2:$F$1993,MATCH(A98&amp;"ENTRADA",Movimientos!$R$2:$R$1993,0)),"-")</f>
        <v>-</v>
      </c>
      <c r="F98" s="2" t="str">
        <f>IFERROR(INDEX(Movimientos!$G$2:$G$1993,MATCH(A98&amp;"ENTRADA",Movimientos!$R$2:$R$1993,0)),"-")</f>
        <v>-</v>
      </c>
      <c r="G98" s="2" t="str">
        <f>IFERROR(INDEX(Movimientos!$L$2:$L$1993,MATCH(A98&amp;"ENTRADA",Movimientos!$R$2:$R$1993,0)),"-")</f>
        <v>-</v>
      </c>
      <c r="H98" s="17" t="str">
        <f>IFERROR(IF(INDEX(Movimientos!$M$2:$M$1993,MATCH(A98&amp;"ENTRADA",Movimientos!$R$2:$R$1993,0))=0,"S/D",INDEX(Movimientos!$M$2:$M$1993,MATCH(A98&amp;"ENTRADA",Movimientos!$R$2:$R$1993,0))),"S/D")</f>
        <v>S/D</v>
      </c>
      <c r="I98" s="15" t="str">
        <f t="shared" ca="1" si="4"/>
        <v>S/D</v>
      </c>
      <c r="J98" s="5">
        <f>IF(A98="","",SUMIFS(Movimientos!$K:$K,Movimientos!$H:$H,A98))</f>
        <v>0</v>
      </c>
      <c r="K98" s="13" t="str">
        <f t="shared" ca="1" si="3"/>
        <v>SIN STOCK</v>
      </c>
    </row>
    <row r="99" spans="1:11">
      <c r="A99" s="16" t="s">
        <v>2404</v>
      </c>
      <c r="B99" s="2" t="str">
        <f>IFERROR(INDEX(Movimientos!$C$2:$C$1993,MATCH(A99&amp;"ENTRADA",Movimientos!$R$2:$R$1993,0)),"-")</f>
        <v>-</v>
      </c>
      <c r="C99" s="2" t="str">
        <f>IFERROR(INDEX(Movimientos!$D$2:$D$1993,MATCH(A99&amp;"ENTRADA",Movimientos!$R$2:$R$1993,0)),"-")</f>
        <v>-</v>
      </c>
      <c r="D99" s="2" t="str">
        <f>IFERROR(INDEX(Movimientos!$E$2:$E$1993,MATCH(A99&amp;"ENTRADA",Movimientos!$R$2:$R$1993,0)),"-")</f>
        <v>-</v>
      </c>
      <c r="E99" s="2" t="str">
        <f>IFERROR(INDEX(Movimientos!$F$2:$F$1993,MATCH(A99&amp;"ENTRADA",Movimientos!$R$2:$R$1993,0)),"-")</f>
        <v>-</v>
      </c>
      <c r="F99" s="2" t="str">
        <f>IFERROR(INDEX(Movimientos!$G$2:$G$1993,MATCH(A99&amp;"ENTRADA",Movimientos!$R$2:$R$1993,0)),"-")</f>
        <v>-</v>
      </c>
      <c r="G99" s="2" t="str">
        <f>IFERROR(INDEX(Movimientos!$L$2:$L$1993,MATCH(A99&amp;"ENTRADA",Movimientos!$R$2:$R$1993,0)),"-")</f>
        <v>-</v>
      </c>
      <c r="H99" s="17" t="str">
        <f>IFERROR(IF(INDEX(Movimientos!$M$2:$M$1993,MATCH(A99&amp;"ENTRADA",Movimientos!$R$2:$R$1993,0))=0,"S/D",INDEX(Movimientos!$M$2:$M$1993,MATCH(A99&amp;"ENTRADA",Movimientos!$R$2:$R$1993,0))),"S/D")</f>
        <v>S/D</v>
      </c>
      <c r="I99" s="15" t="str">
        <f t="shared" ca="1" si="4"/>
        <v>S/D</v>
      </c>
      <c r="J99" s="5">
        <f>IF(A99="","",SUMIFS(Movimientos!$K:$K,Movimientos!$H:$H,A99))</f>
        <v>0</v>
      </c>
      <c r="K99" s="13" t="str">
        <f t="shared" ca="1" si="3"/>
        <v>SIN STOCK</v>
      </c>
    </row>
    <row r="100" spans="1:11">
      <c r="A100" s="16" t="s">
        <v>2405</v>
      </c>
      <c r="B100" s="2" t="str">
        <f>IFERROR(INDEX(Movimientos!$C$2:$C$1993,MATCH(A100&amp;"ENTRADA",Movimientos!$R$2:$R$1993,0)),"-")</f>
        <v>-</v>
      </c>
      <c r="C100" s="2" t="str">
        <f>IFERROR(INDEX(Movimientos!$D$2:$D$1993,MATCH(A100&amp;"ENTRADA",Movimientos!$R$2:$R$1993,0)),"-")</f>
        <v>-</v>
      </c>
      <c r="D100" s="2" t="str">
        <f>IFERROR(INDEX(Movimientos!$E$2:$E$1993,MATCH(A100&amp;"ENTRADA",Movimientos!$R$2:$R$1993,0)),"-")</f>
        <v>-</v>
      </c>
      <c r="E100" s="2" t="str">
        <f>IFERROR(INDEX(Movimientos!$F$2:$F$1993,MATCH(A100&amp;"ENTRADA",Movimientos!$R$2:$R$1993,0)),"-")</f>
        <v>-</v>
      </c>
      <c r="F100" s="2" t="str">
        <f>IFERROR(INDEX(Movimientos!$G$2:$G$1993,MATCH(A100&amp;"ENTRADA",Movimientos!$R$2:$R$1993,0)),"-")</f>
        <v>-</v>
      </c>
      <c r="G100" s="2" t="str">
        <f>IFERROR(INDEX(Movimientos!$L$2:$L$1993,MATCH(A100&amp;"ENTRADA",Movimientos!$R$2:$R$1993,0)),"-")</f>
        <v>-</v>
      </c>
      <c r="H100" s="17" t="str">
        <f>IFERROR(IF(INDEX(Movimientos!$M$2:$M$1993,MATCH(A100&amp;"ENTRADA",Movimientos!$R$2:$R$1993,0))=0,"S/D",INDEX(Movimientos!$M$2:$M$1993,MATCH(A100&amp;"ENTRADA",Movimientos!$R$2:$R$1993,0))),"S/D")</f>
        <v>S/D</v>
      </c>
      <c r="I100" s="15" t="str">
        <f t="shared" ca="1" si="4"/>
        <v>S/D</v>
      </c>
      <c r="J100" s="5">
        <f>IF(A100="","",SUMIFS(Movimientos!$K:$K,Movimientos!$H:$H,A100))</f>
        <v>0</v>
      </c>
      <c r="K100" s="13" t="str">
        <f t="shared" ca="1" si="3"/>
        <v>SIN STOCK</v>
      </c>
    </row>
    <row r="101" spans="1:11">
      <c r="A101" s="16" t="s">
        <v>2406</v>
      </c>
      <c r="B101" s="2" t="str">
        <f>IFERROR(INDEX(Movimientos!$C$2:$C$1993,MATCH(A101&amp;"ENTRADA",Movimientos!$R$2:$R$1993,0)),"-")</f>
        <v>-</v>
      </c>
      <c r="C101" s="2" t="str">
        <f>IFERROR(INDEX(Movimientos!$D$2:$D$1993,MATCH(A101&amp;"ENTRADA",Movimientos!$R$2:$R$1993,0)),"-")</f>
        <v>-</v>
      </c>
      <c r="D101" s="2" t="str">
        <f>IFERROR(INDEX(Movimientos!$E$2:$E$1993,MATCH(A101&amp;"ENTRADA",Movimientos!$R$2:$R$1993,0)),"-")</f>
        <v>-</v>
      </c>
      <c r="E101" s="2" t="str">
        <f>IFERROR(INDEX(Movimientos!$F$2:$F$1993,MATCH(A101&amp;"ENTRADA",Movimientos!$R$2:$R$1993,0)),"-")</f>
        <v>-</v>
      </c>
      <c r="F101" s="2" t="str">
        <f>IFERROR(INDEX(Movimientos!$G$2:$G$1993,MATCH(A101&amp;"ENTRADA",Movimientos!$R$2:$R$1993,0)),"-")</f>
        <v>-</v>
      </c>
      <c r="G101" s="2" t="str">
        <f>IFERROR(INDEX(Movimientos!$L$2:$L$1993,MATCH(A101&amp;"ENTRADA",Movimientos!$R$2:$R$1993,0)),"-")</f>
        <v>-</v>
      </c>
      <c r="H101" s="17" t="str">
        <f>IFERROR(IF(INDEX(Movimientos!$M$2:$M$1993,MATCH(A101&amp;"ENTRADA",Movimientos!$R$2:$R$1993,0))=0,"S/D",INDEX(Movimientos!$M$2:$M$1993,MATCH(A101&amp;"ENTRADA",Movimientos!$R$2:$R$1993,0))),"S/D")</f>
        <v>S/D</v>
      </c>
      <c r="I101" s="15" t="str">
        <f t="shared" ca="1" si="4"/>
        <v>S/D</v>
      </c>
      <c r="J101" s="5">
        <f>IF(A101="","",SUMIFS(Movimientos!$K:$K,Movimientos!$H:$H,A101))</f>
        <v>0</v>
      </c>
      <c r="K101" s="13" t="str">
        <f t="shared" ca="1" si="3"/>
        <v>SIN STOCK</v>
      </c>
    </row>
    <row r="102" spans="1:11">
      <c r="A102" s="16" t="s">
        <v>2407</v>
      </c>
      <c r="B102" s="2" t="str">
        <f>IFERROR(INDEX(Movimientos!$C$2:$C$1993,MATCH(A102&amp;"ENTRADA",Movimientos!$R$2:$R$1993,0)),"-")</f>
        <v>-</v>
      </c>
      <c r="C102" s="2" t="str">
        <f>IFERROR(INDEX(Movimientos!$D$2:$D$1993,MATCH(A102&amp;"ENTRADA",Movimientos!$R$2:$R$1993,0)),"-")</f>
        <v>-</v>
      </c>
      <c r="D102" s="2" t="str">
        <f>IFERROR(INDEX(Movimientos!$E$2:$E$1993,MATCH(A102&amp;"ENTRADA",Movimientos!$R$2:$R$1993,0)),"-")</f>
        <v>-</v>
      </c>
      <c r="E102" s="2" t="str">
        <f>IFERROR(INDEX(Movimientos!$F$2:$F$1993,MATCH(A102&amp;"ENTRADA",Movimientos!$R$2:$R$1993,0)),"-")</f>
        <v>-</v>
      </c>
      <c r="F102" s="2" t="str">
        <f>IFERROR(INDEX(Movimientos!$G$2:$G$1993,MATCH(A102&amp;"ENTRADA",Movimientos!$R$2:$R$1993,0)),"-")</f>
        <v>-</v>
      </c>
      <c r="G102" s="2" t="str">
        <f>IFERROR(INDEX(Movimientos!$L$2:$L$1993,MATCH(A102&amp;"ENTRADA",Movimientos!$R$2:$R$1993,0)),"-")</f>
        <v>-</v>
      </c>
      <c r="H102" s="17" t="str">
        <f>IFERROR(IF(INDEX(Movimientos!$M$2:$M$1993,MATCH(A102&amp;"ENTRADA",Movimientos!$R$2:$R$1993,0))=0,"S/D",INDEX(Movimientos!$M$2:$M$1993,MATCH(A102&amp;"ENTRADA",Movimientos!$R$2:$R$1993,0))),"S/D")</f>
        <v>S/D</v>
      </c>
      <c r="I102" s="15" t="str">
        <f t="shared" ca="1" si="4"/>
        <v>S/D</v>
      </c>
      <c r="J102" s="5">
        <f>IF(A102="","",SUMIFS(Movimientos!$K:$K,Movimientos!$H:$H,A102))</f>
        <v>0</v>
      </c>
      <c r="K102" s="13" t="str">
        <f t="shared" ca="1" si="3"/>
        <v>SIN STOCK</v>
      </c>
    </row>
    <row r="103" spans="1:11">
      <c r="A103" s="16" t="s">
        <v>2408</v>
      </c>
      <c r="B103" s="2" t="str">
        <f>IFERROR(INDEX(Movimientos!$C$2:$C$1993,MATCH(A103&amp;"ENTRADA",Movimientos!$R$2:$R$1993,0)),"-")</f>
        <v>-</v>
      </c>
      <c r="C103" s="2" t="str">
        <f>IFERROR(INDEX(Movimientos!$D$2:$D$1993,MATCH(A103&amp;"ENTRADA",Movimientos!$R$2:$R$1993,0)),"-")</f>
        <v>-</v>
      </c>
      <c r="D103" s="2" t="str">
        <f>IFERROR(INDEX(Movimientos!$E$2:$E$1993,MATCH(A103&amp;"ENTRADA",Movimientos!$R$2:$R$1993,0)),"-")</f>
        <v>-</v>
      </c>
      <c r="E103" s="2" t="str">
        <f>IFERROR(INDEX(Movimientos!$F$2:$F$1993,MATCH(A103&amp;"ENTRADA",Movimientos!$R$2:$R$1993,0)),"-")</f>
        <v>-</v>
      </c>
      <c r="F103" s="2" t="str">
        <f>IFERROR(INDEX(Movimientos!$G$2:$G$1993,MATCH(A103&amp;"ENTRADA",Movimientos!$R$2:$R$1993,0)),"-")</f>
        <v>-</v>
      </c>
      <c r="G103" s="2" t="str">
        <f>IFERROR(INDEX(Movimientos!$L$2:$L$1993,MATCH(A103&amp;"ENTRADA",Movimientos!$R$2:$R$1993,0)),"-")</f>
        <v>-</v>
      </c>
      <c r="H103" s="17" t="str">
        <f>IFERROR(IF(INDEX(Movimientos!$M$2:$M$1993,MATCH(A103&amp;"ENTRADA",Movimientos!$R$2:$R$1993,0))=0,"S/D",INDEX(Movimientos!$M$2:$M$1993,MATCH(A103&amp;"ENTRADA",Movimientos!$R$2:$R$1993,0))),"S/D")</f>
        <v>S/D</v>
      </c>
      <c r="I103" s="15" t="str">
        <f t="shared" ca="1" si="4"/>
        <v>S/D</v>
      </c>
      <c r="J103" s="5">
        <f>IF(A103="","",SUMIFS(Movimientos!$K:$K,Movimientos!$H:$H,A103))</f>
        <v>0</v>
      </c>
      <c r="K103" s="13" t="str">
        <f t="shared" ca="1" si="3"/>
        <v>SIN STOCK</v>
      </c>
    </row>
    <row r="104" spans="1:11">
      <c r="A104" s="16" t="s">
        <v>2409</v>
      </c>
      <c r="B104" s="2" t="str">
        <f>IFERROR(INDEX(Movimientos!$C$2:$C$1993,MATCH(A104&amp;"ENTRADA",Movimientos!$R$2:$R$1993,0)),"-")</f>
        <v>-</v>
      </c>
      <c r="C104" s="2" t="str">
        <f>IFERROR(INDEX(Movimientos!$D$2:$D$1993,MATCH(A104&amp;"ENTRADA",Movimientos!$R$2:$R$1993,0)),"-")</f>
        <v>-</v>
      </c>
      <c r="D104" s="2" t="str">
        <f>IFERROR(INDEX(Movimientos!$E$2:$E$1993,MATCH(A104&amp;"ENTRADA",Movimientos!$R$2:$R$1993,0)),"-")</f>
        <v>-</v>
      </c>
      <c r="E104" s="2" t="str">
        <f>IFERROR(INDEX(Movimientos!$F$2:$F$1993,MATCH(A104&amp;"ENTRADA",Movimientos!$R$2:$R$1993,0)),"-")</f>
        <v>-</v>
      </c>
      <c r="F104" s="2" t="str">
        <f>IFERROR(INDEX(Movimientos!$G$2:$G$1993,MATCH(A104&amp;"ENTRADA",Movimientos!$R$2:$R$1993,0)),"-")</f>
        <v>-</v>
      </c>
      <c r="G104" s="2" t="str">
        <f>IFERROR(INDEX(Movimientos!$L$2:$L$1993,MATCH(A104&amp;"ENTRADA",Movimientos!$R$2:$R$1993,0)),"-")</f>
        <v>-</v>
      </c>
      <c r="H104" s="17" t="str">
        <f>IFERROR(IF(INDEX(Movimientos!$M$2:$M$1993,MATCH(A104&amp;"ENTRADA",Movimientos!$R$2:$R$1993,0))=0,"S/D",INDEX(Movimientos!$M$2:$M$1993,MATCH(A104&amp;"ENTRADA",Movimientos!$R$2:$R$1993,0))),"S/D")</f>
        <v>S/D</v>
      </c>
      <c r="I104" s="15" t="str">
        <f t="shared" ca="1" si="4"/>
        <v>S/D</v>
      </c>
      <c r="J104" s="5">
        <f>IF(A104="","",SUMIFS(Movimientos!$K:$K,Movimientos!$H:$H,A104))</f>
        <v>0</v>
      </c>
      <c r="K104" s="13" t="str">
        <f t="shared" ca="1" si="3"/>
        <v>SIN STOCK</v>
      </c>
    </row>
    <row r="105" spans="1:11">
      <c r="A105" s="16" t="s">
        <v>2410</v>
      </c>
      <c r="B105" s="2" t="str">
        <f>IFERROR(INDEX(Movimientos!$C$2:$C$1993,MATCH(A105&amp;"ENTRADA",Movimientos!$R$2:$R$1993,0)),"-")</f>
        <v>-</v>
      </c>
      <c r="C105" s="2" t="str">
        <f>IFERROR(INDEX(Movimientos!$D$2:$D$1993,MATCH(A105&amp;"ENTRADA",Movimientos!$R$2:$R$1993,0)),"-")</f>
        <v>-</v>
      </c>
      <c r="D105" s="2" t="str">
        <f>IFERROR(INDEX(Movimientos!$E$2:$E$1993,MATCH(A105&amp;"ENTRADA",Movimientos!$R$2:$R$1993,0)),"-")</f>
        <v>-</v>
      </c>
      <c r="E105" s="2" t="str">
        <f>IFERROR(INDEX(Movimientos!$F$2:$F$1993,MATCH(A105&amp;"ENTRADA",Movimientos!$R$2:$R$1993,0)),"-")</f>
        <v>-</v>
      </c>
      <c r="F105" s="2" t="str">
        <f>IFERROR(INDEX(Movimientos!$G$2:$G$1993,MATCH(A105&amp;"ENTRADA",Movimientos!$R$2:$R$1993,0)),"-")</f>
        <v>-</v>
      </c>
      <c r="G105" s="2" t="str">
        <f>IFERROR(INDEX(Movimientos!$L$2:$L$1993,MATCH(A105&amp;"ENTRADA",Movimientos!$R$2:$R$1993,0)),"-")</f>
        <v>-</v>
      </c>
      <c r="H105" s="17" t="str">
        <f>IFERROR(IF(INDEX(Movimientos!$M$2:$M$1993,MATCH(A105&amp;"ENTRADA",Movimientos!$R$2:$R$1993,0))=0,"S/D",INDEX(Movimientos!$M$2:$M$1993,MATCH(A105&amp;"ENTRADA",Movimientos!$R$2:$R$1993,0))),"S/D")</f>
        <v>S/D</v>
      </c>
      <c r="I105" s="15" t="str">
        <f t="shared" ca="1" si="4"/>
        <v>S/D</v>
      </c>
      <c r="J105" s="5">
        <f>IF(A105="","",SUMIFS(Movimientos!$K:$K,Movimientos!$H:$H,A105))</f>
        <v>0</v>
      </c>
      <c r="K105" s="13" t="str">
        <f t="shared" ca="1" si="3"/>
        <v>SIN STOCK</v>
      </c>
    </row>
    <row r="106" spans="1:11">
      <c r="A106" s="16" t="s">
        <v>2411</v>
      </c>
      <c r="B106" s="2" t="str">
        <f>IFERROR(INDEX(Movimientos!$C$2:$C$1993,MATCH(A106&amp;"ENTRADA",Movimientos!$R$2:$R$1993,0)),"-")</f>
        <v>-</v>
      </c>
      <c r="C106" s="2" t="str">
        <f>IFERROR(INDEX(Movimientos!$D$2:$D$1993,MATCH(A106&amp;"ENTRADA",Movimientos!$R$2:$R$1993,0)),"-")</f>
        <v>-</v>
      </c>
      <c r="D106" s="2" t="str">
        <f>IFERROR(INDEX(Movimientos!$E$2:$E$1993,MATCH(A106&amp;"ENTRADA",Movimientos!$R$2:$R$1993,0)),"-")</f>
        <v>-</v>
      </c>
      <c r="E106" s="2" t="str">
        <f>IFERROR(INDEX(Movimientos!$F$2:$F$1993,MATCH(A106&amp;"ENTRADA",Movimientos!$R$2:$R$1993,0)),"-")</f>
        <v>-</v>
      </c>
      <c r="F106" s="2" t="str">
        <f>IFERROR(INDEX(Movimientos!$G$2:$G$1993,MATCH(A106&amp;"ENTRADA",Movimientos!$R$2:$R$1993,0)),"-")</f>
        <v>-</v>
      </c>
      <c r="G106" s="2" t="str">
        <f>IFERROR(INDEX(Movimientos!$L$2:$L$1993,MATCH(A106&amp;"ENTRADA",Movimientos!$R$2:$R$1993,0)),"-")</f>
        <v>-</v>
      </c>
      <c r="H106" s="17" t="str">
        <f>IFERROR(IF(INDEX(Movimientos!$M$2:$M$1993,MATCH(A106&amp;"ENTRADA",Movimientos!$R$2:$R$1993,0))=0,"S/D",INDEX(Movimientos!$M$2:$M$1993,MATCH(A106&amp;"ENTRADA",Movimientos!$R$2:$R$1993,0))),"S/D")</f>
        <v>S/D</v>
      </c>
      <c r="I106" s="15" t="str">
        <f t="shared" ca="1" si="4"/>
        <v>S/D</v>
      </c>
      <c r="J106" s="5">
        <f>IF(A106="","",SUMIFS(Movimientos!$K:$K,Movimientos!$H:$H,A106))</f>
        <v>0</v>
      </c>
      <c r="K106" s="13" t="str">
        <f t="shared" ca="1" si="3"/>
        <v>SIN STOCK</v>
      </c>
    </row>
    <row r="107" spans="1:11">
      <c r="A107" s="16" t="s">
        <v>2412</v>
      </c>
      <c r="B107" s="2" t="str">
        <f>IFERROR(INDEX(Movimientos!$C$2:$C$1993,MATCH(A107&amp;"ENTRADA",Movimientos!$R$2:$R$1993,0)),"-")</f>
        <v>-</v>
      </c>
      <c r="C107" s="2" t="str">
        <f>IFERROR(INDEX(Movimientos!$D$2:$D$1993,MATCH(A107&amp;"ENTRADA",Movimientos!$R$2:$R$1993,0)),"-")</f>
        <v>-</v>
      </c>
      <c r="D107" s="2" t="str">
        <f>IFERROR(INDEX(Movimientos!$E$2:$E$1993,MATCH(A107&amp;"ENTRADA",Movimientos!$R$2:$R$1993,0)),"-")</f>
        <v>-</v>
      </c>
      <c r="E107" s="2" t="str">
        <f>IFERROR(INDEX(Movimientos!$F$2:$F$1993,MATCH(A107&amp;"ENTRADA",Movimientos!$R$2:$R$1993,0)),"-")</f>
        <v>-</v>
      </c>
      <c r="F107" s="2" t="str">
        <f>IFERROR(INDEX(Movimientos!$G$2:$G$1993,MATCH(A107&amp;"ENTRADA",Movimientos!$R$2:$R$1993,0)),"-")</f>
        <v>-</v>
      </c>
      <c r="G107" s="2" t="str">
        <f>IFERROR(INDEX(Movimientos!$L$2:$L$1993,MATCH(A107&amp;"ENTRADA",Movimientos!$R$2:$R$1993,0)),"-")</f>
        <v>-</v>
      </c>
      <c r="H107" s="17" t="str">
        <f>IFERROR(IF(INDEX(Movimientos!$M$2:$M$1993,MATCH(A107&amp;"ENTRADA",Movimientos!$R$2:$R$1993,0))=0,"S/D",INDEX(Movimientos!$M$2:$M$1993,MATCH(A107&amp;"ENTRADA",Movimientos!$R$2:$R$1993,0))),"S/D")</f>
        <v>S/D</v>
      </c>
      <c r="I107" s="15" t="str">
        <f t="shared" ca="1" si="4"/>
        <v>S/D</v>
      </c>
      <c r="J107" s="5">
        <f>IF(A107="","",SUMIFS(Movimientos!$K:$K,Movimientos!$H:$H,A107))</f>
        <v>0</v>
      </c>
      <c r="K107" s="13" t="str">
        <f t="shared" ca="1" si="3"/>
        <v>SIN STOCK</v>
      </c>
    </row>
    <row r="108" spans="1:11">
      <c r="A108" s="16" t="s">
        <v>2413</v>
      </c>
      <c r="B108" s="2" t="str">
        <f>IFERROR(INDEX(Movimientos!$C$2:$C$1993,MATCH(A108&amp;"ENTRADA",Movimientos!$R$2:$R$1993,0)),"-")</f>
        <v>-</v>
      </c>
      <c r="C108" s="2" t="str">
        <f>IFERROR(INDEX(Movimientos!$D$2:$D$1993,MATCH(A108&amp;"ENTRADA",Movimientos!$R$2:$R$1993,0)),"-")</f>
        <v>-</v>
      </c>
      <c r="D108" s="2" t="str">
        <f>IFERROR(INDEX(Movimientos!$E$2:$E$1993,MATCH(A108&amp;"ENTRADA",Movimientos!$R$2:$R$1993,0)),"-")</f>
        <v>-</v>
      </c>
      <c r="E108" s="2" t="str">
        <f>IFERROR(INDEX(Movimientos!$F$2:$F$1993,MATCH(A108&amp;"ENTRADA",Movimientos!$R$2:$R$1993,0)),"-")</f>
        <v>-</v>
      </c>
      <c r="F108" s="2" t="str">
        <f>IFERROR(INDEX(Movimientos!$G$2:$G$1993,MATCH(A108&amp;"ENTRADA",Movimientos!$R$2:$R$1993,0)),"-")</f>
        <v>-</v>
      </c>
      <c r="G108" s="2" t="str">
        <f>IFERROR(INDEX(Movimientos!$L$2:$L$1993,MATCH(A108&amp;"ENTRADA",Movimientos!$R$2:$R$1993,0)),"-")</f>
        <v>-</v>
      </c>
      <c r="H108" s="17" t="str">
        <f>IFERROR(IF(INDEX(Movimientos!$M$2:$M$1993,MATCH(A108&amp;"ENTRADA",Movimientos!$R$2:$R$1993,0))=0,"S/D",INDEX(Movimientos!$M$2:$M$1993,MATCH(A108&amp;"ENTRADA",Movimientos!$R$2:$R$1993,0))),"S/D")</f>
        <v>S/D</v>
      </c>
      <c r="I108" s="15" t="str">
        <f t="shared" ca="1" si="4"/>
        <v>S/D</v>
      </c>
      <c r="J108" s="5">
        <f>IF(A108="","",SUMIFS(Movimientos!$K:$K,Movimientos!$H:$H,A108))</f>
        <v>0</v>
      </c>
      <c r="K108" s="13" t="str">
        <f t="shared" ca="1" si="3"/>
        <v>SIN STOCK</v>
      </c>
    </row>
    <row r="109" spans="1:11">
      <c r="A109" s="16" t="s">
        <v>2414</v>
      </c>
      <c r="B109" s="2" t="str">
        <f>IFERROR(INDEX(Movimientos!$C$2:$C$1993,MATCH(A109&amp;"ENTRADA",Movimientos!$R$2:$R$1993,0)),"-")</f>
        <v>-</v>
      </c>
      <c r="C109" s="2" t="str">
        <f>IFERROR(INDEX(Movimientos!$D$2:$D$1993,MATCH(A109&amp;"ENTRADA",Movimientos!$R$2:$R$1993,0)),"-")</f>
        <v>-</v>
      </c>
      <c r="D109" s="2" t="str">
        <f>IFERROR(INDEX(Movimientos!$E$2:$E$1993,MATCH(A109&amp;"ENTRADA",Movimientos!$R$2:$R$1993,0)),"-")</f>
        <v>-</v>
      </c>
      <c r="E109" s="2" t="str">
        <f>IFERROR(INDEX(Movimientos!$F$2:$F$1993,MATCH(A109&amp;"ENTRADA",Movimientos!$R$2:$R$1993,0)),"-")</f>
        <v>-</v>
      </c>
      <c r="F109" s="2" t="str">
        <f>IFERROR(INDEX(Movimientos!$G$2:$G$1993,MATCH(A109&amp;"ENTRADA",Movimientos!$R$2:$R$1993,0)),"-")</f>
        <v>-</v>
      </c>
      <c r="G109" s="2" t="str">
        <f>IFERROR(INDEX(Movimientos!$L$2:$L$1993,MATCH(A109&amp;"ENTRADA",Movimientos!$R$2:$R$1993,0)),"-")</f>
        <v>-</v>
      </c>
      <c r="H109" s="17" t="str">
        <f>IFERROR(IF(INDEX(Movimientos!$M$2:$M$1993,MATCH(A109&amp;"ENTRADA",Movimientos!$R$2:$R$1993,0))=0,"S/D",INDEX(Movimientos!$M$2:$M$1993,MATCH(A109&amp;"ENTRADA",Movimientos!$R$2:$R$1993,0))),"S/D")</f>
        <v>S/D</v>
      </c>
      <c r="I109" s="15" t="str">
        <f t="shared" ca="1" si="4"/>
        <v>S/D</v>
      </c>
      <c r="J109" s="5">
        <f>IF(A109="","",SUMIFS(Movimientos!$K:$K,Movimientos!$H:$H,A109))</f>
        <v>0</v>
      </c>
      <c r="K109" s="13" t="str">
        <f t="shared" ca="1" si="3"/>
        <v>SIN STOCK</v>
      </c>
    </row>
    <row r="110" spans="1:11">
      <c r="A110" s="16" t="s">
        <v>2415</v>
      </c>
      <c r="B110" s="2" t="str">
        <f>IFERROR(INDEX(Movimientos!$C$2:$C$1993,MATCH(A110&amp;"ENTRADA",Movimientos!$R$2:$R$1993,0)),"-")</f>
        <v>-</v>
      </c>
      <c r="C110" s="2" t="str">
        <f>IFERROR(INDEX(Movimientos!$D$2:$D$1993,MATCH(A110&amp;"ENTRADA",Movimientos!$R$2:$R$1993,0)),"-")</f>
        <v>-</v>
      </c>
      <c r="D110" s="2" t="str">
        <f>IFERROR(INDEX(Movimientos!$E$2:$E$1993,MATCH(A110&amp;"ENTRADA",Movimientos!$R$2:$R$1993,0)),"-")</f>
        <v>-</v>
      </c>
      <c r="E110" s="2" t="str">
        <f>IFERROR(INDEX(Movimientos!$F$2:$F$1993,MATCH(A110&amp;"ENTRADA",Movimientos!$R$2:$R$1993,0)),"-")</f>
        <v>-</v>
      </c>
      <c r="F110" s="2" t="str">
        <f>IFERROR(INDEX(Movimientos!$G$2:$G$1993,MATCH(A110&amp;"ENTRADA",Movimientos!$R$2:$R$1993,0)),"-")</f>
        <v>-</v>
      </c>
      <c r="G110" s="2" t="str">
        <f>IFERROR(INDEX(Movimientos!$L$2:$L$1993,MATCH(A110&amp;"ENTRADA",Movimientos!$R$2:$R$1993,0)),"-")</f>
        <v>-</v>
      </c>
      <c r="H110" s="17" t="str">
        <f>IFERROR(IF(INDEX(Movimientos!$M$2:$M$1993,MATCH(A110&amp;"ENTRADA",Movimientos!$R$2:$R$1993,0))=0,"S/D",INDEX(Movimientos!$M$2:$M$1993,MATCH(A110&amp;"ENTRADA",Movimientos!$R$2:$R$1993,0))),"S/D")</f>
        <v>S/D</v>
      </c>
      <c r="I110" s="15" t="str">
        <f t="shared" ca="1" si="4"/>
        <v>S/D</v>
      </c>
      <c r="J110" s="5">
        <f>IF(A110="","",SUMIFS(Movimientos!$K:$K,Movimientos!$H:$H,A110))</f>
        <v>0</v>
      </c>
      <c r="K110" s="13" t="str">
        <f t="shared" ca="1" si="3"/>
        <v>SIN STOCK</v>
      </c>
    </row>
    <row r="111" spans="1:11">
      <c r="A111" s="16" t="s">
        <v>2416</v>
      </c>
      <c r="B111" s="2" t="str">
        <f>IFERROR(INDEX(Movimientos!$C$2:$C$1993,MATCH(A111&amp;"ENTRADA",Movimientos!$R$2:$R$1993,0)),"-")</f>
        <v>-</v>
      </c>
      <c r="C111" s="2" t="str">
        <f>IFERROR(INDEX(Movimientos!$D$2:$D$1993,MATCH(A111&amp;"ENTRADA",Movimientos!$R$2:$R$1993,0)),"-")</f>
        <v>-</v>
      </c>
      <c r="D111" s="2" t="str">
        <f>IFERROR(INDEX(Movimientos!$E$2:$E$1993,MATCH(A111&amp;"ENTRADA",Movimientos!$R$2:$R$1993,0)),"-")</f>
        <v>-</v>
      </c>
      <c r="E111" s="2" t="str">
        <f>IFERROR(INDEX(Movimientos!$F$2:$F$1993,MATCH(A111&amp;"ENTRADA",Movimientos!$R$2:$R$1993,0)),"-")</f>
        <v>-</v>
      </c>
      <c r="F111" s="2" t="str">
        <f>IFERROR(INDEX(Movimientos!$G$2:$G$1993,MATCH(A111&amp;"ENTRADA",Movimientos!$R$2:$R$1993,0)),"-")</f>
        <v>-</v>
      </c>
      <c r="G111" s="2" t="str">
        <f>IFERROR(INDEX(Movimientos!$L$2:$L$1993,MATCH(A111&amp;"ENTRADA",Movimientos!$R$2:$R$1993,0)),"-")</f>
        <v>-</v>
      </c>
      <c r="H111" s="17" t="str">
        <f>IFERROR(IF(INDEX(Movimientos!$M$2:$M$1993,MATCH(A111&amp;"ENTRADA",Movimientos!$R$2:$R$1993,0))=0,"S/D",INDEX(Movimientos!$M$2:$M$1993,MATCH(A111&amp;"ENTRADA",Movimientos!$R$2:$R$1993,0))),"S/D")</f>
        <v>S/D</v>
      </c>
      <c r="I111" s="15" t="str">
        <f t="shared" ca="1" si="4"/>
        <v>S/D</v>
      </c>
      <c r="J111" s="5">
        <f>IF(A111="","",SUMIFS(Movimientos!$K:$K,Movimientos!$H:$H,A111))</f>
        <v>0</v>
      </c>
      <c r="K111" s="13" t="str">
        <f t="shared" ca="1" si="3"/>
        <v>SIN STOCK</v>
      </c>
    </row>
    <row r="112" spans="1:11">
      <c r="A112" s="16" t="s">
        <v>2417</v>
      </c>
      <c r="B112" s="2" t="str">
        <f>IFERROR(INDEX(Movimientos!$C$2:$C$1993,MATCH(A112&amp;"ENTRADA",Movimientos!$R$2:$R$1993,0)),"-")</f>
        <v>-</v>
      </c>
      <c r="C112" s="2" t="str">
        <f>IFERROR(INDEX(Movimientos!$D$2:$D$1993,MATCH(A112&amp;"ENTRADA",Movimientos!$R$2:$R$1993,0)),"-")</f>
        <v>-</v>
      </c>
      <c r="D112" s="2" t="str">
        <f>IFERROR(INDEX(Movimientos!$E$2:$E$1993,MATCH(A112&amp;"ENTRADA",Movimientos!$R$2:$R$1993,0)),"-")</f>
        <v>-</v>
      </c>
      <c r="E112" s="2" t="str">
        <f>IFERROR(INDEX(Movimientos!$F$2:$F$1993,MATCH(A112&amp;"ENTRADA",Movimientos!$R$2:$R$1993,0)),"-")</f>
        <v>-</v>
      </c>
      <c r="F112" s="2" t="str">
        <f>IFERROR(INDEX(Movimientos!$G$2:$G$1993,MATCH(A112&amp;"ENTRADA",Movimientos!$R$2:$R$1993,0)),"-")</f>
        <v>-</v>
      </c>
      <c r="G112" s="2" t="str">
        <f>IFERROR(INDEX(Movimientos!$L$2:$L$1993,MATCH(A112&amp;"ENTRADA",Movimientos!$R$2:$R$1993,0)),"-")</f>
        <v>-</v>
      </c>
      <c r="H112" s="17" t="str">
        <f>IFERROR(IF(INDEX(Movimientos!$M$2:$M$1993,MATCH(A112&amp;"ENTRADA",Movimientos!$R$2:$R$1993,0))=0,"S/D",INDEX(Movimientos!$M$2:$M$1993,MATCH(A112&amp;"ENTRADA",Movimientos!$R$2:$R$1993,0))),"S/D")</f>
        <v>S/D</v>
      </c>
      <c r="I112" s="15" t="str">
        <f t="shared" ca="1" si="4"/>
        <v>S/D</v>
      </c>
      <c r="J112" s="5">
        <f>IF(A112="","",SUMIFS(Movimientos!$K:$K,Movimientos!$H:$H,A112))</f>
        <v>0</v>
      </c>
      <c r="K112" s="13" t="str">
        <f t="shared" ca="1" si="3"/>
        <v>SIN STOCK</v>
      </c>
    </row>
    <row r="113" spans="1:11">
      <c r="A113" s="16" t="s">
        <v>2418</v>
      </c>
      <c r="B113" s="2" t="str">
        <f>IFERROR(INDEX(Movimientos!$C$2:$C$1993,MATCH(A113&amp;"ENTRADA",Movimientos!$R$2:$R$1993,0)),"-")</f>
        <v>-</v>
      </c>
      <c r="C113" s="2" t="str">
        <f>IFERROR(INDEX(Movimientos!$D$2:$D$1993,MATCH(A113&amp;"ENTRADA",Movimientos!$R$2:$R$1993,0)),"-")</f>
        <v>-</v>
      </c>
      <c r="D113" s="2" t="str">
        <f>IFERROR(INDEX(Movimientos!$E$2:$E$1993,MATCH(A113&amp;"ENTRADA",Movimientos!$R$2:$R$1993,0)),"-")</f>
        <v>-</v>
      </c>
      <c r="E113" s="2" t="str">
        <f>IFERROR(INDEX(Movimientos!$F$2:$F$1993,MATCH(A113&amp;"ENTRADA",Movimientos!$R$2:$R$1993,0)),"-")</f>
        <v>-</v>
      </c>
      <c r="F113" s="2" t="str">
        <f>IFERROR(INDEX(Movimientos!$G$2:$G$1993,MATCH(A113&amp;"ENTRADA",Movimientos!$R$2:$R$1993,0)),"-")</f>
        <v>-</v>
      </c>
      <c r="G113" s="2" t="str">
        <f>IFERROR(INDEX(Movimientos!$L$2:$L$1993,MATCH(A113&amp;"ENTRADA",Movimientos!$R$2:$R$1993,0)),"-")</f>
        <v>-</v>
      </c>
      <c r="H113" s="17" t="str">
        <f>IFERROR(IF(INDEX(Movimientos!$M$2:$M$1993,MATCH(A113&amp;"ENTRADA",Movimientos!$R$2:$R$1993,0))=0,"S/D",INDEX(Movimientos!$M$2:$M$1993,MATCH(A113&amp;"ENTRADA",Movimientos!$R$2:$R$1993,0))),"S/D")</f>
        <v>S/D</v>
      </c>
      <c r="I113" s="15" t="str">
        <f t="shared" ca="1" si="4"/>
        <v>S/D</v>
      </c>
      <c r="J113" s="5">
        <f>IF(A113="","",SUMIFS(Movimientos!$K:$K,Movimientos!$H:$H,A113))</f>
        <v>0</v>
      </c>
      <c r="K113" s="13" t="str">
        <f t="shared" ca="1" si="3"/>
        <v>SIN STOCK</v>
      </c>
    </row>
    <row r="114" spans="1:11">
      <c r="A114" s="16" t="s">
        <v>2419</v>
      </c>
      <c r="B114" s="2" t="str">
        <f>IFERROR(INDEX(Movimientos!$C$2:$C$1993,MATCH(A114&amp;"ENTRADA",Movimientos!$R$2:$R$1993,0)),"-")</f>
        <v>-</v>
      </c>
      <c r="C114" s="2" t="str">
        <f>IFERROR(INDEX(Movimientos!$D$2:$D$1993,MATCH(A114&amp;"ENTRADA",Movimientos!$R$2:$R$1993,0)),"-")</f>
        <v>-</v>
      </c>
      <c r="D114" s="2" t="str">
        <f>IFERROR(INDEX(Movimientos!$E$2:$E$1993,MATCH(A114&amp;"ENTRADA",Movimientos!$R$2:$R$1993,0)),"-")</f>
        <v>-</v>
      </c>
      <c r="E114" s="2" t="str">
        <f>IFERROR(INDEX(Movimientos!$F$2:$F$1993,MATCH(A114&amp;"ENTRADA",Movimientos!$R$2:$R$1993,0)),"-")</f>
        <v>-</v>
      </c>
      <c r="F114" s="2" t="str">
        <f>IFERROR(INDEX(Movimientos!$G$2:$G$1993,MATCH(A114&amp;"ENTRADA",Movimientos!$R$2:$R$1993,0)),"-")</f>
        <v>-</v>
      </c>
      <c r="G114" s="2" t="str">
        <f>IFERROR(INDEX(Movimientos!$L$2:$L$1993,MATCH(A114&amp;"ENTRADA",Movimientos!$R$2:$R$1993,0)),"-")</f>
        <v>-</v>
      </c>
      <c r="H114" s="17" t="str">
        <f>IFERROR(IF(INDEX(Movimientos!$M$2:$M$1993,MATCH(A114&amp;"ENTRADA",Movimientos!$R$2:$R$1993,0))=0,"S/D",INDEX(Movimientos!$M$2:$M$1993,MATCH(A114&amp;"ENTRADA",Movimientos!$R$2:$R$1993,0))),"S/D")</f>
        <v>S/D</v>
      </c>
      <c r="I114" s="15" t="str">
        <f t="shared" ca="1" si="4"/>
        <v>S/D</v>
      </c>
      <c r="J114" s="5">
        <f>IF(A114="","",SUMIFS(Movimientos!$K:$K,Movimientos!$H:$H,A114))</f>
        <v>0</v>
      </c>
      <c r="K114" s="13" t="str">
        <f t="shared" ca="1" si="3"/>
        <v>SIN STOCK</v>
      </c>
    </row>
    <row r="115" spans="1:11">
      <c r="A115" s="16" t="s">
        <v>2420</v>
      </c>
      <c r="B115" s="2" t="str">
        <f>IFERROR(INDEX(Movimientos!$C$2:$C$1993,MATCH(A115&amp;"ENTRADA",Movimientos!$R$2:$R$1993,0)),"-")</f>
        <v>-</v>
      </c>
      <c r="C115" s="2" t="str">
        <f>IFERROR(INDEX(Movimientos!$D$2:$D$1993,MATCH(A115&amp;"ENTRADA",Movimientos!$R$2:$R$1993,0)),"-")</f>
        <v>-</v>
      </c>
      <c r="D115" s="2" t="str">
        <f>IFERROR(INDEX(Movimientos!$E$2:$E$1993,MATCH(A115&amp;"ENTRADA",Movimientos!$R$2:$R$1993,0)),"-")</f>
        <v>-</v>
      </c>
      <c r="E115" s="2" t="str">
        <f>IFERROR(INDEX(Movimientos!$F$2:$F$1993,MATCH(A115&amp;"ENTRADA",Movimientos!$R$2:$R$1993,0)),"-")</f>
        <v>-</v>
      </c>
      <c r="F115" s="2" t="str">
        <f>IFERROR(INDEX(Movimientos!$G$2:$G$1993,MATCH(A115&amp;"ENTRADA",Movimientos!$R$2:$R$1993,0)),"-")</f>
        <v>-</v>
      </c>
      <c r="G115" s="2" t="str">
        <f>IFERROR(INDEX(Movimientos!$L$2:$L$1993,MATCH(A115&amp;"ENTRADA",Movimientos!$R$2:$R$1993,0)),"-")</f>
        <v>-</v>
      </c>
      <c r="H115" s="17" t="str">
        <f>IFERROR(IF(INDEX(Movimientos!$M$2:$M$1993,MATCH(A115&amp;"ENTRADA",Movimientos!$R$2:$R$1993,0))=0,"S/D",INDEX(Movimientos!$M$2:$M$1993,MATCH(A115&amp;"ENTRADA",Movimientos!$R$2:$R$1993,0))),"S/D")</f>
        <v>S/D</v>
      </c>
      <c r="I115" s="15" t="str">
        <f t="shared" ca="1" si="4"/>
        <v>S/D</v>
      </c>
      <c r="J115" s="5">
        <f>IF(A115="","",SUMIFS(Movimientos!$K:$K,Movimientos!$H:$H,A115))</f>
        <v>0</v>
      </c>
      <c r="K115" s="13" t="str">
        <f t="shared" ca="1" si="3"/>
        <v>SIN STOCK</v>
      </c>
    </row>
    <row r="116" spans="1:11">
      <c r="A116" s="16" t="s">
        <v>2421</v>
      </c>
      <c r="B116" s="2" t="str">
        <f>IFERROR(INDEX(Movimientos!$C$2:$C$1993,MATCH(A116&amp;"ENTRADA",Movimientos!$R$2:$R$1993,0)),"-")</f>
        <v>-</v>
      </c>
      <c r="C116" s="2" t="str">
        <f>IFERROR(INDEX(Movimientos!$D$2:$D$1993,MATCH(A116&amp;"ENTRADA",Movimientos!$R$2:$R$1993,0)),"-")</f>
        <v>-</v>
      </c>
      <c r="D116" s="2" t="str">
        <f>IFERROR(INDEX(Movimientos!$E$2:$E$1993,MATCH(A116&amp;"ENTRADA",Movimientos!$R$2:$R$1993,0)),"-")</f>
        <v>-</v>
      </c>
      <c r="E116" s="2" t="str">
        <f>IFERROR(INDEX(Movimientos!$F$2:$F$1993,MATCH(A116&amp;"ENTRADA",Movimientos!$R$2:$R$1993,0)),"-")</f>
        <v>-</v>
      </c>
      <c r="F116" s="2" t="str">
        <f>IFERROR(INDEX(Movimientos!$G$2:$G$1993,MATCH(A116&amp;"ENTRADA",Movimientos!$R$2:$R$1993,0)),"-")</f>
        <v>-</v>
      </c>
      <c r="G116" s="2" t="str">
        <f>IFERROR(INDEX(Movimientos!$L$2:$L$1993,MATCH(A116&amp;"ENTRADA",Movimientos!$R$2:$R$1993,0)),"-")</f>
        <v>-</v>
      </c>
      <c r="H116" s="17" t="str">
        <f>IFERROR(IF(INDEX(Movimientos!$M$2:$M$1993,MATCH(A116&amp;"ENTRADA",Movimientos!$R$2:$R$1993,0))=0,"S/D",INDEX(Movimientos!$M$2:$M$1993,MATCH(A116&amp;"ENTRADA",Movimientos!$R$2:$R$1993,0))),"S/D")</f>
        <v>S/D</v>
      </c>
      <c r="I116" s="15" t="str">
        <f t="shared" ca="1" si="4"/>
        <v>S/D</v>
      </c>
      <c r="J116" s="5">
        <f>IF(A116="","",SUMIFS(Movimientos!$K:$K,Movimientos!$H:$H,A116))</f>
        <v>0</v>
      </c>
      <c r="K116" s="13" t="str">
        <f t="shared" ca="1" si="3"/>
        <v>SIN STOCK</v>
      </c>
    </row>
    <row r="117" spans="1:11">
      <c r="A117" s="16" t="s">
        <v>2422</v>
      </c>
      <c r="B117" s="2" t="str">
        <f>IFERROR(INDEX(Movimientos!$C$2:$C$1993,MATCH(A117&amp;"ENTRADA",Movimientos!$R$2:$R$1993,0)),"-")</f>
        <v>-</v>
      </c>
      <c r="C117" s="2" t="str">
        <f>IFERROR(INDEX(Movimientos!$D$2:$D$1993,MATCH(A117&amp;"ENTRADA",Movimientos!$R$2:$R$1993,0)),"-")</f>
        <v>-</v>
      </c>
      <c r="D117" s="2" t="str">
        <f>IFERROR(INDEX(Movimientos!$E$2:$E$1993,MATCH(A117&amp;"ENTRADA",Movimientos!$R$2:$R$1993,0)),"-")</f>
        <v>-</v>
      </c>
      <c r="E117" s="2" t="str">
        <f>IFERROR(INDEX(Movimientos!$F$2:$F$1993,MATCH(A117&amp;"ENTRADA",Movimientos!$R$2:$R$1993,0)),"-")</f>
        <v>-</v>
      </c>
      <c r="F117" s="2" t="str">
        <f>IFERROR(INDEX(Movimientos!$G$2:$G$1993,MATCH(A117&amp;"ENTRADA",Movimientos!$R$2:$R$1993,0)),"-")</f>
        <v>-</v>
      </c>
      <c r="G117" s="2" t="str">
        <f>IFERROR(INDEX(Movimientos!$L$2:$L$1993,MATCH(A117&amp;"ENTRADA",Movimientos!$R$2:$R$1993,0)),"-")</f>
        <v>-</v>
      </c>
      <c r="H117" s="17" t="str">
        <f>IFERROR(IF(INDEX(Movimientos!$M$2:$M$1993,MATCH(A117&amp;"ENTRADA",Movimientos!$R$2:$R$1993,0))=0,"S/D",INDEX(Movimientos!$M$2:$M$1993,MATCH(A117&amp;"ENTRADA",Movimientos!$R$2:$R$1993,0))),"S/D")</f>
        <v>S/D</v>
      </c>
      <c r="I117" s="15" t="str">
        <f t="shared" ca="1" si="4"/>
        <v>S/D</v>
      </c>
      <c r="J117" s="5">
        <f>IF(A117="","",SUMIFS(Movimientos!$K:$K,Movimientos!$H:$H,A117))</f>
        <v>0</v>
      </c>
      <c r="K117" s="13" t="str">
        <f t="shared" ca="1" si="3"/>
        <v>SIN STOCK</v>
      </c>
    </row>
    <row r="118" spans="1:11">
      <c r="A118" s="16" t="s">
        <v>2423</v>
      </c>
      <c r="B118" s="2" t="str">
        <f>IFERROR(INDEX(Movimientos!$C$2:$C$1993,MATCH(A118&amp;"ENTRADA",Movimientos!$R$2:$R$1993,0)),"-")</f>
        <v>-</v>
      </c>
      <c r="C118" s="2" t="str">
        <f>IFERROR(INDEX(Movimientos!$D$2:$D$1993,MATCH(A118&amp;"ENTRADA",Movimientos!$R$2:$R$1993,0)),"-")</f>
        <v>-</v>
      </c>
      <c r="D118" s="2" t="str">
        <f>IFERROR(INDEX(Movimientos!$E$2:$E$1993,MATCH(A118&amp;"ENTRADA",Movimientos!$R$2:$R$1993,0)),"-")</f>
        <v>-</v>
      </c>
      <c r="E118" s="2" t="str">
        <f>IFERROR(INDEX(Movimientos!$F$2:$F$1993,MATCH(A118&amp;"ENTRADA",Movimientos!$R$2:$R$1993,0)),"-")</f>
        <v>-</v>
      </c>
      <c r="F118" s="2" t="str">
        <f>IFERROR(INDEX(Movimientos!$G$2:$G$1993,MATCH(A118&amp;"ENTRADA",Movimientos!$R$2:$R$1993,0)),"-")</f>
        <v>-</v>
      </c>
      <c r="G118" s="2" t="str">
        <f>IFERROR(INDEX(Movimientos!$L$2:$L$1993,MATCH(A118&amp;"ENTRADA",Movimientos!$R$2:$R$1993,0)),"-")</f>
        <v>-</v>
      </c>
      <c r="H118" s="17" t="str">
        <f>IFERROR(IF(INDEX(Movimientos!$M$2:$M$1993,MATCH(A118&amp;"ENTRADA",Movimientos!$R$2:$R$1993,0))=0,"S/D",INDEX(Movimientos!$M$2:$M$1993,MATCH(A118&amp;"ENTRADA",Movimientos!$R$2:$R$1993,0))),"S/D")</f>
        <v>S/D</v>
      </c>
      <c r="I118" s="15" t="str">
        <f t="shared" ca="1" si="4"/>
        <v>S/D</v>
      </c>
      <c r="J118" s="5">
        <f>IF(A118="","",SUMIFS(Movimientos!$K:$K,Movimientos!$H:$H,A118))</f>
        <v>0</v>
      </c>
      <c r="K118" s="13" t="str">
        <f t="shared" ca="1" si="3"/>
        <v>SIN STOCK</v>
      </c>
    </row>
    <row r="119" spans="1:11">
      <c r="A119" s="16" t="s">
        <v>2424</v>
      </c>
      <c r="B119" s="2" t="str">
        <f>IFERROR(INDEX(Movimientos!$C$2:$C$1993,MATCH(A119&amp;"ENTRADA",Movimientos!$R$2:$R$1993,0)),"-")</f>
        <v>-</v>
      </c>
      <c r="C119" s="2" t="str">
        <f>IFERROR(INDEX(Movimientos!$D$2:$D$1993,MATCH(A119&amp;"ENTRADA",Movimientos!$R$2:$R$1993,0)),"-")</f>
        <v>-</v>
      </c>
      <c r="D119" s="2" t="str">
        <f>IFERROR(INDEX(Movimientos!$E$2:$E$1993,MATCH(A119&amp;"ENTRADA",Movimientos!$R$2:$R$1993,0)),"-")</f>
        <v>-</v>
      </c>
      <c r="E119" s="2" t="str">
        <f>IFERROR(INDEX(Movimientos!$F$2:$F$1993,MATCH(A119&amp;"ENTRADA",Movimientos!$R$2:$R$1993,0)),"-")</f>
        <v>-</v>
      </c>
      <c r="F119" s="2" t="str">
        <f>IFERROR(INDEX(Movimientos!$G$2:$G$1993,MATCH(A119&amp;"ENTRADA",Movimientos!$R$2:$R$1993,0)),"-")</f>
        <v>-</v>
      </c>
      <c r="G119" s="2" t="str">
        <f>IFERROR(INDEX(Movimientos!$L$2:$L$1993,MATCH(A119&amp;"ENTRADA",Movimientos!$R$2:$R$1993,0)),"-")</f>
        <v>-</v>
      </c>
      <c r="H119" s="17" t="str">
        <f>IFERROR(IF(INDEX(Movimientos!$M$2:$M$1993,MATCH(A119&amp;"ENTRADA",Movimientos!$R$2:$R$1993,0))=0,"S/D",INDEX(Movimientos!$M$2:$M$1993,MATCH(A119&amp;"ENTRADA",Movimientos!$R$2:$R$1993,0))),"S/D")</f>
        <v>S/D</v>
      </c>
      <c r="I119" s="15" t="str">
        <f t="shared" ca="1" si="4"/>
        <v>S/D</v>
      </c>
      <c r="J119" s="5">
        <f>IF(A119="","",SUMIFS(Movimientos!$K:$K,Movimientos!$H:$H,A119))</f>
        <v>0</v>
      </c>
      <c r="K119" s="13" t="str">
        <f t="shared" ca="1" si="3"/>
        <v>SIN STOCK</v>
      </c>
    </row>
    <row r="120" spans="1:11">
      <c r="A120" s="16" t="s">
        <v>2425</v>
      </c>
      <c r="B120" s="2" t="str">
        <f>IFERROR(INDEX(Movimientos!$C$2:$C$1993,MATCH(A120&amp;"ENTRADA",Movimientos!$R$2:$R$1993,0)),"-")</f>
        <v>-</v>
      </c>
      <c r="C120" s="2" t="str">
        <f>IFERROR(INDEX(Movimientos!$D$2:$D$1993,MATCH(A120&amp;"ENTRADA",Movimientos!$R$2:$R$1993,0)),"-")</f>
        <v>-</v>
      </c>
      <c r="D120" s="2" t="str">
        <f>IFERROR(INDEX(Movimientos!$E$2:$E$1993,MATCH(A120&amp;"ENTRADA",Movimientos!$R$2:$R$1993,0)),"-")</f>
        <v>-</v>
      </c>
      <c r="E120" s="2" t="str">
        <f>IFERROR(INDEX(Movimientos!$F$2:$F$1993,MATCH(A120&amp;"ENTRADA",Movimientos!$R$2:$R$1993,0)),"-")</f>
        <v>-</v>
      </c>
      <c r="F120" s="2" t="str">
        <f>IFERROR(INDEX(Movimientos!$G$2:$G$1993,MATCH(A120&amp;"ENTRADA",Movimientos!$R$2:$R$1993,0)),"-")</f>
        <v>-</v>
      </c>
      <c r="G120" s="2" t="str">
        <f>IFERROR(INDEX(Movimientos!$L$2:$L$1993,MATCH(A120&amp;"ENTRADA",Movimientos!$R$2:$R$1993,0)),"-")</f>
        <v>-</v>
      </c>
      <c r="H120" s="17" t="str">
        <f>IFERROR(IF(INDEX(Movimientos!$M$2:$M$1993,MATCH(A120&amp;"ENTRADA",Movimientos!$R$2:$R$1993,0))=0,"S/D",INDEX(Movimientos!$M$2:$M$1993,MATCH(A120&amp;"ENTRADA",Movimientos!$R$2:$R$1993,0))),"S/D")</f>
        <v>S/D</v>
      </c>
      <c r="I120" s="15" t="str">
        <f t="shared" ca="1" si="4"/>
        <v>S/D</v>
      </c>
      <c r="J120" s="5">
        <f>IF(A120="","",SUMIFS(Movimientos!$K:$K,Movimientos!$H:$H,A120))</f>
        <v>0</v>
      </c>
      <c r="K120" s="13" t="str">
        <f t="shared" ca="1" si="3"/>
        <v>SIN STOCK</v>
      </c>
    </row>
    <row r="121" spans="1:11">
      <c r="A121" s="16" t="s">
        <v>2426</v>
      </c>
      <c r="B121" s="2" t="str">
        <f>IFERROR(INDEX(Movimientos!$C$2:$C$1993,MATCH(A121&amp;"ENTRADA",Movimientos!$R$2:$R$1993,0)),"-")</f>
        <v>-</v>
      </c>
      <c r="C121" s="2" t="str">
        <f>IFERROR(INDEX(Movimientos!$D$2:$D$1993,MATCH(A121&amp;"ENTRADA",Movimientos!$R$2:$R$1993,0)),"-")</f>
        <v>-</v>
      </c>
      <c r="D121" s="2" t="str">
        <f>IFERROR(INDEX(Movimientos!$E$2:$E$1993,MATCH(A121&amp;"ENTRADA",Movimientos!$R$2:$R$1993,0)),"-")</f>
        <v>-</v>
      </c>
      <c r="E121" s="2" t="str">
        <f>IFERROR(INDEX(Movimientos!$F$2:$F$1993,MATCH(A121&amp;"ENTRADA",Movimientos!$R$2:$R$1993,0)),"-")</f>
        <v>-</v>
      </c>
      <c r="F121" s="2" t="str">
        <f>IFERROR(INDEX(Movimientos!$G$2:$G$1993,MATCH(A121&amp;"ENTRADA",Movimientos!$R$2:$R$1993,0)),"-")</f>
        <v>-</v>
      </c>
      <c r="G121" s="2" t="str">
        <f>IFERROR(INDEX(Movimientos!$L$2:$L$1993,MATCH(A121&amp;"ENTRADA",Movimientos!$R$2:$R$1993,0)),"-")</f>
        <v>-</v>
      </c>
      <c r="H121" s="17" t="str">
        <f>IFERROR(IF(INDEX(Movimientos!$M$2:$M$1993,MATCH(A121&amp;"ENTRADA",Movimientos!$R$2:$R$1993,0))=0,"S/D",INDEX(Movimientos!$M$2:$M$1993,MATCH(A121&amp;"ENTRADA",Movimientos!$R$2:$R$1993,0))),"S/D")</f>
        <v>S/D</v>
      </c>
      <c r="I121" s="15" t="str">
        <f t="shared" ca="1" si="4"/>
        <v>S/D</v>
      </c>
      <c r="J121" s="5">
        <f>IF(A121="","",SUMIFS(Movimientos!$K:$K,Movimientos!$H:$H,A121))</f>
        <v>0</v>
      </c>
      <c r="K121" s="13" t="str">
        <f t="shared" ca="1" si="3"/>
        <v>SIN STOCK</v>
      </c>
    </row>
    <row r="122" spans="1:11">
      <c r="A122" s="16" t="s">
        <v>2427</v>
      </c>
      <c r="B122" s="2" t="str">
        <f>IFERROR(INDEX(Movimientos!$C$2:$C$1993,MATCH(A122&amp;"ENTRADA",Movimientos!$R$2:$R$1993,0)),"-")</f>
        <v>-</v>
      </c>
      <c r="C122" s="2" t="str">
        <f>IFERROR(INDEX(Movimientos!$D$2:$D$1993,MATCH(A122&amp;"ENTRADA",Movimientos!$R$2:$R$1993,0)),"-")</f>
        <v>-</v>
      </c>
      <c r="D122" s="2" t="str">
        <f>IFERROR(INDEX(Movimientos!$E$2:$E$1993,MATCH(A122&amp;"ENTRADA",Movimientos!$R$2:$R$1993,0)),"-")</f>
        <v>-</v>
      </c>
      <c r="E122" s="2" t="str">
        <f>IFERROR(INDEX(Movimientos!$F$2:$F$1993,MATCH(A122&amp;"ENTRADA",Movimientos!$R$2:$R$1993,0)),"-")</f>
        <v>-</v>
      </c>
      <c r="F122" s="2" t="str">
        <f>IFERROR(INDEX(Movimientos!$G$2:$G$1993,MATCH(A122&amp;"ENTRADA",Movimientos!$R$2:$R$1993,0)),"-")</f>
        <v>-</v>
      </c>
      <c r="G122" s="2" t="str">
        <f>IFERROR(INDEX(Movimientos!$L$2:$L$1993,MATCH(A122&amp;"ENTRADA",Movimientos!$R$2:$R$1993,0)),"-")</f>
        <v>-</v>
      </c>
      <c r="H122" s="17" t="str">
        <f>IFERROR(IF(INDEX(Movimientos!$M$2:$M$1993,MATCH(A122&amp;"ENTRADA",Movimientos!$R$2:$R$1993,0))=0,"S/D",INDEX(Movimientos!$M$2:$M$1993,MATCH(A122&amp;"ENTRADA",Movimientos!$R$2:$R$1993,0))),"S/D")</f>
        <v>S/D</v>
      </c>
      <c r="I122" s="15" t="str">
        <f t="shared" ca="1" si="4"/>
        <v>S/D</v>
      </c>
      <c r="J122" s="5">
        <f>IF(A122="","",SUMIFS(Movimientos!$K:$K,Movimientos!$H:$H,A122))</f>
        <v>0</v>
      </c>
      <c r="K122" s="13" t="str">
        <f t="shared" ca="1" si="3"/>
        <v>SIN STOCK</v>
      </c>
    </row>
    <row r="123" spans="1:11">
      <c r="A123" s="16" t="s">
        <v>2428</v>
      </c>
      <c r="B123" s="2" t="str">
        <f>IFERROR(INDEX(Movimientos!$C$2:$C$1993,MATCH(A123&amp;"ENTRADA",Movimientos!$R$2:$R$1993,0)),"-")</f>
        <v>-</v>
      </c>
      <c r="C123" s="2" t="str">
        <f>IFERROR(INDEX(Movimientos!$D$2:$D$1993,MATCH(A123&amp;"ENTRADA",Movimientos!$R$2:$R$1993,0)),"-")</f>
        <v>-</v>
      </c>
      <c r="D123" s="2" t="str">
        <f>IFERROR(INDEX(Movimientos!$E$2:$E$1993,MATCH(A123&amp;"ENTRADA",Movimientos!$R$2:$R$1993,0)),"-")</f>
        <v>-</v>
      </c>
      <c r="E123" s="2" t="str">
        <f>IFERROR(INDEX(Movimientos!$F$2:$F$1993,MATCH(A123&amp;"ENTRADA",Movimientos!$R$2:$R$1993,0)),"-")</f>
        <v>-</v>
      </c>
      <c r="F123" s="2" t="str">
        <f>IFERROR(INDEX(Movimientos!$G$2:$G$1993,MATCH(A123&amp;"ENTRADA",Movimientos!$R$2:$R$1993,0)),"-")</f>
        <v>-</v>
      </c>
      <c r="G123" s="2" t="str">
        <f>IFERROR(INDEX(Movimientos!$L$2:$L$1993,MATCH(A123&amp;"ENTRADA",Movimientos!$R$2:$R$1993,0)),"-")</f>
        <v>-</v>
      </c>
      <c r="H123" s="17" t="str">
        <f>IFERROR(IF(INDEX(Movimientos!$M$2:$M$1993,MATCH(A123&amp;"ENTRADA",Movimientos!$R$2:$R$1993,0))=0,"S/D",INDEX(Movimientos!$M$2:$M$1993,MATCH(A123&amp;"ENTRADA",Movimientos!$R$2:$R$1993,0))),"S/D")</f>
        <v>S/D</v>
      </c>
      <c r="I123" s="15" t="str">
        <f t="shared" ca="1" si="4"/>
        <v>S/D</v>
      </c>
      <c r="J123" s="5">
        <f>IF(A123="","",SUMIFS(Movimientos!$K:$K,Movimientos!$H:$H,A123))</f>
        <v>0</v>
      </c>
      <c r="K123" s="13" t="str">
        <f t="shared" ca="1" si="3"/>
        <v>SIN STOCK</v>
      </c>
    </row>
    <row r="124" spans="1:11">
      <c r="A124" s="16" t="s">
        <v>2429</v>
      </c>
      <c r="B124" s="2" t="str">
        <f>IFERROR(INDEX(Movimientos!$C$2:$C$1993,MATCH(A124&amp;"ENTRADA",Movimientos!$R$2:$R$1993,0)),"-")</f>
        <v>-</v>
      </c>
      <c r="C124" s="2" t="str">
        <f>IFERROR(INDEX(Movimientos!$D$2:$D$1993,MATCH(A124&amp;"ENTRADA",Movimientos!$R$2:$R$1993,0)),"-")</f>
        <v>-</v>
      </c>
      <c r="D124" s="2" t="str">
        <f>IFERROR(INDEX(Movimientos!$E$2:$E$1993,MATCH(A124&amp;"ENTRADA",Movimientos!$R$2:$R$1993,0)),"-")</f>
        <v>-</v>
      </c>
      <c r="E124" s="2" t="str">
        <f>IFERROR(INDEX(Movimientos!$F$2:$F$1993,MATCH(A124&amp;"ENTRADA",Movimientos!$R$2:$R$1993,0)),"-")</f>
        <v>-</v>
      </c>
      <c r="F124" s="2" t="str">
        <f>IFERROR(INDEX(Movimientos!$G$2:$G$1993,MATCH(A124&amp;"ENTRADA",Movimientos!$R$2:$R$1993,0)),"-")</f>
        <v>-</v>
      </c>
      <c r="G124" s="2" t="str">
        <f>IFERROR(INDEX(Movimientos!$L$2:$L$1993,MATCH(A124&amp;"ENTRADA",Movimientos!$R$2:$R$1993,0)),"-")</f>
        <v>-</v>
      </c>
      <c r="H124" s="17" t="str">
        <f>IFERROR(IF(INDEX(Movimientos!$M$2:$M$1993,MATCH(A124&amp;"ENTRADA",Movimientos!$R$2:$R$1993,0))=0,"S/D",INDEX(Movimientos!$M$2:$M$1993,MATCH(A124&amp;"ENTRADA",Movimientos!$R$2:$R$1993,0))),"S/D")</f>
        <v>S/D</v>
      </c>
      <c r="I124" s="15" t="str">
        <f t="shared" ca="1" si="4"/>
        <v>S/D</v>
      </c>
      <c r="J124" s="5">
        <f>IF(A124="","",SUMIFS(Movimientos!$K:$K,Movimientos!$H:$H,A124))</f>
        <v>0</v>
      </c>
      <c r="K124" s="13" t="str">
        <f t="shared" ca="1" si="3"/>
        <v>SIN STOCK</v>
      </c>
    </row>
    <row r="125" spans="1:11">
      <c r="A125" s="16" t="s">
        <v>2430</v>
      </c>
      <c r="B125" s="2" t="str">
        <f>IFERROR(INDEX(Movimientos!$C$2:$C$1993,MATCH(A125&amp;"ENTRADA",Movimientos!$R$2:$R$1993,0)),"-")</f>
        <v>-</v>
      </c>
      <c r="C125" s="2" t="str">
        <f>IFERROR(INDEX(Movimientos!$D$2:$D$1993,MATCH(A125&amp;"ENTRADA",Movimientos!$R$2:$R$1993,0)),"-")</f>
        <v>-</v>
      </c>
      <c r="D125" s="2" t="str">
        <f>IFERROR(INDEX(Movimientos!$E$2:$E$1993,MATCH(A125&amp;"ENTRADA",Movimientos!$R$2:$R$1993,0)),"-")</f>
        <v>-</v>
      </c>
      <c r="E125" s="2" t="str">
        <f>IFERROR(INDEX(Movimientos!$F$2:$F$1993,MATCH(A125&amp;"ENTRADA",Movimientos!$R$2:$R$1993,0)),"-")</f>
        <v>-</v>
      </c>
      <c r="F125" s="2" t="str">
        <f>IFERROR(INDEX(Movimientos!$G$2:$G$1993,MATCH(A125&amp;"ENTRADA",Movimientos!$R$2:$R$1993,0)),"-")</f>
        <v>-</v>
      </c>
      <c r="G125" s="2" t="str">
        <f>IFERROR(INDEX(Movimientos!$L$2:$L$1993,MATCH(A125&amp;"ENTRADA",Movimientos!$R$2:$R$1993,0)),"-")</f>
        <v>-</v>
      </c>
      <c r="H125" s="17" t="str">
        <f>IFERROR(IF(INDEX(Movimientos!$M$2:$M$1993,MATCH(A125&amp;"ENTRADA",Movimientos!$R$2:$R$1993,0))=0,"S/D",INDEX(Movimientos!$M$2:$M$1993,MATCH(A125&amp;"ENTRADA",Movimientos!$R$2:$R$1993,0))),"S/D")</f>
        <v>S/D</v>
      </c>
      <c r="I125" s="15" t="str">
        <f t="shared" ca="1" si="4"/>
        <v>S/D</v>
      </c>
      <c r="J125" s="5">
        <f>IF(A125="","",SUMIFS(Movimientos!$K:$K,Movimientos!$H:$H,A125))</f>
        <v>0</v>
      </c>
      <c r="K125" s="13" t="str">
        <f t="shared" ca="1" si="3"/>
        <v>SIN STOCK</v>
      </c>
    </row>
    <row r="126" spans="1:11">
      <c r="A126" s="16" t="s">
        <v>2431</v>
      </c>
      <c r="B126" s="2" t="str">
        <f>IFERROR(INDEX(Movimientos!$C$2:$C$1993,MATCH(A126&amp;"ENTRADA",Movimientos!$R$2:$R$1993,0)),"-")</f>
        <v>-</v>
      </c>
      <c r="C126" s="2" t="str">
        <f>IFERROR(INDEX(Movimientos!$D$2:$D$1993,MATCH(A126&amp;"ENTRADA",Movimientos!$R$2:$R$1993,0)),"-")</f>
        <v>-</v>
      </c>
      <c r="D126" s="2" t="str">
        <f>IFERROR(INDEX(Movimientos!$E$2:$E$1993,MATCH(A126&amp;"ENTRADA",Movimientos!$R$2:$R$1993,0)),"-")</f>
        <v>-</v>
      </c>
      <c r="E126" s="2" t="str">
        <f>IFERROR(INDEX(Movimientos!$F$2:$F$1993,MATCH(A126&amp;"ENTRADA",Movimientos!$R$2:$R$1993,0)),"-")</f>
        <v>-</v>
      </c>
      <c r="F126" s="2" t="str">
        <f>IFERROR(INDEX(Movimientos!$G$2:$G$1993,MATCH(A126&amp;"ENTRADA",Movimientos!$R$2:$R$1993,0)),"-")</f>
        <v>-</v>
      </c>
      <c r="G126" s="2" t="str">
        <f>IFERROR(INDEX(Movimientos!$L$2:$L$1993,MATCH(A126&amp;"ENTRADA",Movimientos!$R$2:$R$1993,0)),"-")</f>
        <v>-</v>
      </c>
      <c r="H126" s="17" t="str">
        <f>IFERROR(IF(INDEX(Movimientos!$M$2:$M$1993,MATCH(A126&amp;"ENTRADA",Movimientos!$R$2:$R$1993,0))=0,"S/D",INDEX(Movimientos!$M$2:$M$1993,MATCH(A126&amp;"ENTRADA",Movimientos!$R$2:$R$1993,0))),"S/D")</f>
        <v>S/D</v>
      </c>
      <c r="I126" s="15" t="str">
        <f t="shared" ca="1" si="4"/>
        <v>S/D</v>
      </c>
      <c r="J126" s="5">
        <f>IF(A126="","",SUMIFS(Movimientos!$K:$K,Movimientos!$H:$H,A126))</f>
        <v>0</v>
      </c>
      <c r="K126" s="13" t="str">
        <f t="shared" ref="K126:K189" ca="1" si="5">IF(A126="","",IF(J126&lt;0.01,"SIN STOCK",IF(H126="S/D","OK",IF(H126&lt;TODAY(),"VENCIDO",IF(I126&gt;=180,"OK","PRÓXIMO A VENCER")))))</f>
        <v>SIN STOCK</v>
      </c>
    </row>
    <row r="127" spans="1:11">
      <c r="A127" s="16" t="s">
        <v>2432</v>
      </c>
      <c r="B127" s="2" t="str">
        <f>IFERROR(INDEX(Movimientos!$C$2:$C$1993,MATCH(A127&amp;"ENTRADA",Movimientos!$R$2:$R$1993,0)),"-")</f>
        <v>-</v>
      </c>
      <c r="C127" s="2" t="str">
        <f>IFERROR(INDEX(Movimientos!$D$2:$D$1993,MATCH(A127&amp;"ENTRADA",Movimientos!$R$2:$R$1993,0)),"-")</f>
        <v>-</v>
      </c>
      <c r="D127" s="2" t="str">
        <f>IFERROR(INDEX(Movimientos!$E$2:$E$1993,MATCH(A127&amp;"ENTRADA",Movimientos!$R$2:$R$1993,0)),"-")</f>
        <v>-</v>
      </c>
      <c r="E127" s="2" t="str">
        <f>IFERROR(INDEX(Movimientos!$F$2:$F$1993,MATCH(A127&amp;"ENTRADA",Movimientos!$R$2:$R$1993,0)),"-")</f>
        <v>-</v>
      </c>
      <c r="F127" s="2" t="str">
        <f>IFERROR(INDEX(Movimientos!$G$2:$G$1993,MATCH(A127&amp;"ENTRADA",Movimientos!$R$2:$R$1993,0)),"-")</f>
        <v>-</v>
      </c>
      <c r="G127" s="2" t="str">
        <f>IFERROR(INDEX(Movimientos!$L$2:$L$1993,MATCH(A127&amp;"ENTRADA",Movimientos!$R$2:$R$1993,0)),"-")</f>
        <v>-</v>
      </c>
      <c r="H127" s="17" t="str">
        <f>IFERROR(IF(INDEX(Movimientos!$M$2:$M$1993,MATCH(A127&amp;"ENTRADA",Movimientos!$R$2:$R$1993,0))=0,"S/D",INDEX(Movimientos!$M$2:$M$1993,MATCH(A127&amp;"ENTRADA",Movimientos!$R$2:$R$1993,0))),"S/D")</f>
        <v>S/D</v>
      </c>
      <c r="I127" s="15" t="str">
        <f t="shared" ca="1" si="4"/>
        <v>S/D</v>
      </c>
      <c r="J127" s="5">
        <f>IF(A127="","",SUMIFS(Movimientos!$K:$K,Movimientos!$H:$H,A127))</f>
        <v>0</v>
      </c>
      <c r="K127" s="13" t="str">
        <f t="shared" ca="1" si="5"/>
        <v>SIN STOCK</v>
      </c>
    </row>
    <row r="128" spans="1:11">
      <c r="A128" s="16" t="s">
        <v>2433</v>
      </c>
      <c r="B128" s="2" t="str">
        <f>IFERROR(INDEX(Movimientos!$C$2:$C$1993,MATCH(A128&amp;"ENTRADA",Movimientos!$R$2:$R$1993,0)),"-")</f>
        <v>-</v>
      </c>
      <c r="C128" s="2" t="str">
        <f>IFERROR(INDEX(Movimientos!$D$2:$D$1993,MATCH(A128&amp;"ENTRADA",Movimientos!$R$2:$R$1993,0)),"-")</f>
        <v>-</v>
      </c>
      <c r="D128" s="2" t="str">
        <f>IFERROR(INDEX(Movimientos!$E$2:$E$1993,MATCH(A128&amp;"ENTRADA",Movimientos!$R$2:$R$1993,0)),"-")</f>
        <v>-</v>
      </c>
      <c r="E128" s="2" t="str">
        <f>IFERROR(INDEX(Movimientos!$F$2:$F$1993,MATCH(A128&amp;"ENTRADA",Movimientos!$R$2:$R$1993,0)),"-")</f>
        <v>-</v>
      </c>
      <c r="F128" s="2" t="str">
        <f>IFERROR(INDEX(Movimientos!$G$2:$G$1993,MATCH(A128&amp;"ENTRADA",Movimientos!$R$2:$R$1993,0)),"-")</f>
        <v>-</v>
      </c>
      <c r="G128" s="2" t="str">
        <f>IFERROR(INDEX(Movimientos!$L$2:$L$1993,MATCH(A128&amp;"ENTRADA",Movimientos!$R$2:$R$1993,0)),"-")</f>
        <v>-</v>
      </c>
      <c r="H128" s="17" t="str">
        <f>IFERROR(IF(INDEX(Movimientos!$M$2:$M$1993,MATCH(A128&amp;"ENTRADA",Movimientos!$R$2:$R$1993,0))=0,"S/D",INDEX(Movimientos!$M$2:$M$1993,MATCH(A128&amp;"ENTRADA",Movimientos!$R$2:$R$1993,0))),"S/D")</f>
        <v>S/D</v>
      </c>
      <c r="I128" s="15" t="str">
        <f t="shared" ca="1" si="4"/>
        <v>S/D</v>
      </c>
      <c r="J128" s="5">
        <f>IF(A128="","",SUMIFS(Movimientos!$K:$K,Movimientos!$H:$H,A128))</f>
        <v>0</v>
      </c>
      <c r="K128" s="13" t="str">
        <f t="shared" ca="1" si="5"/>
        <v>SIN STOCK</v>
      </c>
    </row>
    <row r="129" spans="1:11">
      <c r="A129" s="16" t="s">
        <v>2434</v>
      </c>
      <c r="B129" s="2" t="str">
        <f>IFERROR(INDEX(Movimientos!$C$2:$C$1993,MATCH(A129&amp;"ENTRADA",Movimientos!$R$2:$R$1993,0)),"-")</f>
        <v>-</v>
      </c>
      <c r="C129" s="2" t="str">
        <f>IFERROR(INDEX(Movimientos!$D$2:$D$1993,MATCH(A129&amp;"ENTRADA",Movimientos!$R$2:$R$1993,0)),"-")</f>
        <v>-</v>
      </c>
      <c r="D129" s="2" t="str">
        <f>IFERROR(INDEX(Movimientos!$E$2:$E$1993,MATCH(A129&amp;"ENTRADA",Movimientos!$R$2:$R$1993,0)),"-")</f>
        <v>-</v>
      </c>
      <c r="E129" s="2" t="str">
        <f>IFERROR(INDEX(Movimientos!$F$2:$F$1993,MATCH(A129&amp;"ENTRADA",Movimientos!$R$2:$R$1993,0)),"-")</f>
        <v>-</v>
      </c>
      <c r="F129" s="2" t="str">
        <f>IFERROR(INDEX(Movimientos!$G$2:$G$1993,MATCH(A129&amp;"ENTRADA",Movimientos!$R$2:$R$1993,0)),"-")</f>
        <v>-</v>
      </c>
      <c r="G129" s="2" t="str">
        <f>IFERROR(INDEX(Movimientos!$L$2:$L$1993,MATCH(A129&amp;"ENTRADA",Movimientos!$R$2:$R$1993,0)),"-")</f>
        <v>-</v>
      </c>
      <c r="H129" s="17" t="str">
        <f>IFERROR(IF(INDEX(Movimientos!$M$2:$M$1993,MATCH(A129&amp;"ENTRADA",Movimientos!$R$2:$R$1993,0))=0,"S/D",INDEX(Movimientos!$M$2:$M$1993,MATCH(A129&amp;"ENTRADA",Movimientos!$R$2:$R$1993,0))),"S/D")</f>
        <v>S/D</v>
      </c>
      <c r="I129" s="15" t="str">
        <f t="shared" ca="1" si="4"/>
        <v>S/D</v>
      </c>
      <c r="J129" s="5">
        <f>IF(A129="","",SUMIFS(Movimientos!$K:$K,Movimientos!$H:$H,A129))</f>
        <v>0</v>
      </c>
      <c r="K129" s="13" t="str">
        <f t="shared" ca="1" si="5"/>
        <v>SIN STOCK</v>
      </c>
    </row>
    <row r="130" spans="1:11">
      <c r="A130" s="16" t="s">
        <v>2435</v>
      </c>
      <c r="B130" s="2" t="str">
        <f>IFERROR(INDEX(Movimientos!$C$2:$C$1993,MATCH(A130&amp;"ENTRADA",Movimientos!$R$2:$R$1993,0)),"-")</f>
        <v>-</v>
      </c>
      <c r="C130" s="2" t="str">
        <f>IFERROR(INDEX(Movimientos!$D$2:$D$1993,MATCH(A130&amp;"ENTRADA",Movimientos!$R$2:$R$1993,0)),"-")</f>
        <v>-</v>
      </c>
      <c r="D130" s="2" t="str">
        <f>IFERROR(INDEX(Movimientos!$E$2:$E$1993,MATCH(A130&amp;"ENTRADA",Movimientos!$R$2:$R$1993,0)),"-")</f>
        <v>-</v>
      </c>
      <c r="E130" s="2" t="str">
        <f>IFERROR(INDEX(Movimientos!$F$2:$F$1993,MATCH(A130&amp;"ENTRADA",Movimientos!$R$2:$R$1993,0)),"-")</f>
        <v>-</v>
      </c>
      <c r="F130" s="2" t="str">
        <f>IFERROR(INDEX(Movimientos!$G$2:$G$1993,MATCH(A130&amp;"ENTRADA",Movimientos!$R$2:$R$1993,0)),"-")</f>
        <v>-</v>
      </c>
      <c r="G130" s="2" t="str">
        <f>IFERROR(INDEX(Movimientos!$L$2:$L$1993,MATCH(A130&amp;"ENTRADA",Movimientos!$R$2:$R$1993,0)),"-")</f>
        <v>-</v>
      </c>
      <c r="H130" s="17" t="str">
        <f>IFERROR(IF(INDEX(Movimientos!$M$2:$M$1993,MATCH(A130&amp;"ENTRADA",Movimientos!$R$2:$R$1993,0))=0,"S/D",INDEX(Movimientos!$M$2:$M$1993,MATCH(A130&amp;"ENTRADA",Movimientos!$R$2:$R$1993,0))),"S/D")</f>
        <v>S/D</v>
      </c>
      <c r="I130" s="15" t="str">
        <f t="shared" ca="1" si="4"/>
        <v>S/D</v>
      </c>
      <c r="J130" s="5">
        <f>IF(A130="","",SUMIFS(Movimientos!$K:$K,Movimientos!$H:$H,A130))</f>
        <v>0</v>
      </c>
      <c r="K130" s="13" t="str">
        <f t="shared" ca="1" si="5"/>
        <v>SIN STOCK</v>
      </c>
    </row>
    <row r="131" spans="1:11">
      <c r="A131" s="16" t="s">
        <v>2436</v>
      </c>
      <c r="B131" s="2" t="str">
        <f>IFERROR(INDEX(Movimientos!$C$2:$C$1993,MATCH(A131&amp;"ENTRADA",Movimientos!$R$2:$R$1993,0)),"-")</f>
        <v>-</v>
      </c>
      <c r="C131" s="2" t="str">
        <f>IFERROR(INDEX(Movimientos!$D$2:$D$1993,MATCH(A131&amp;"ENTRADA",Movimientos!$R$2:$R$1993,0)),"-")</f>
        <v>-</v>
      </c>
      <c r="D131" s="2" t="str">
        <f>IFERROR(INDEX(Movimientos!$E$2:$E$1993,MATCH(A131&amp;"ENTRADA",Movimientos!$R$2:$R$1993,0)),"-")</f>
        <v>-</v>
      </c>
      <c r="E131" s="2" t="str">
        <f>IFERROR(INDEX(Movimientos!$F$2:$F$1993,MATCH(A131&amp;"ENTRADA",Movimientos!$R$2:$R$1993,0)),"-")</f>
        <v>-</v>
      </c>
      <c r="F131" s="2" t="str">
        <f>IFERROR(INDEX(Movimientos!$G$2:$G$1993,MATCH(A131&amp;"ENTRADA",Movimientos!$R$2:$R$1993,0)),"-")</f>
        <v>-</v>
      </c>
      <c r="G131" s="2" t="str">
        <f>IFERROR(INDEX(Movimientos!$L$2:$L$1993,MATCH(A131&amp;"ENTRADA",Movimientos!$R$2:$R$1993,0)),"-")</f>
        <v>-</v>
      </c>
      <c r="H131" s="17" t="str">
        <f>IFERROR(IF(INDEX(Movimientos!$M$2:$M$1993,MATCH(A131&amp;"ENTRADA",Movimientos!$R$2:$R$1993,0))=0,"S/D",INDEX(Movimientos!$M$2:$M$1993,MATCH(A131&amp;"ENTRADA",Movimientos!$R$2:$R$1993,0))),"S/D")</f>
        <v>S/D</v>
      </c>
      <c r="I131" s="15" t="str">
        <f t="shared" ca="1" si="4"/>
        <v>S/D</v>
      </c>
      <c r="J131" s="5">
        <f>IF(A131="","",SUMIFS(Movimientos!$K:$K,Movimientos!$H:$H,A131))</f>
        <v>0</v>
      </c>
      <c r="K131" s="13" t="str">
        <f t="shared" ca="1" si="5"/>
        <v>SIN STOCK</v>
      </c>
    </row>
    <row r="132" spans="1:11">
      <c r="A132" s="16" t="s">
        <v>2437</v>
      </c>
      <c r="B132" s="2" t="str">
        <f>IFERROR(INDEX(Movimientos!$C$2:$C$1993,MATCH(A132&amp;"ENTRADA",Movimientos!$R$2:$R$1993,0)),"-")</f>
        <v>-</v>
      </c>
      <c r="C132" s="2" t="str">
        <f>IFERROR(INDEX(Movimientos!$D$2:$D$1993,MATCH(A132&amp;"ENTRADA",Movimientos!$R$2:$R$1993,0)),"-")</f>
        <v>-</v>
      </c>
      <c r="D132" s="2" t="str">
        <f>IFERROR(INDEX(Movimientos!$E$2:$E$1993,MATCH(A132&amp;"ENTRADA",Movimientos!$R$2:$R$1993,0)),"-")</f>
        <v>-</v>
      </c>
      <c r="E132" s="2" t="str">
        <f>IFERROR(INDEX(Movimientos!$F$2:$F$1993,MATCH(A132&amp;"ENTRADA",Movimientos!$R$2:$R$1993,0)),"-")</f>
        <v>-</v>
      </c>
      <c r="F132" s="2" t="str">
        <f>IFERROR(INDEX(Movimientos!$G$2:$G$1993,MATCH(A132&amp;"ENTRADA",Movimientos!$R$2:$R$1993,0)),"-")</f>
        <v>-</v>
      </c>
      <c r="G132" s="2" t="str">
        <f>IFERROR(INDEX(Movimientos!$L$2:$L$1993,MATCH(A132&amp;"ENTRADA",Movimientos!$R$2:$R$1993,0)),"-")</f>
        <v>-</v>
      </c>
      <c r="H132" s="17" t="str">
        <f>IFERROR(IF(INDEX(Movimientos!$M$2:$M$1993,MATCH(A132&amp;"ENTRADA",Movimientos!$R$2:$R$1993,0))=0,"S/D",INDEX(Movimientos!$M$2:$M$1993,MATCH(A132&amp;"ENTRADA",Movimientos!$R$2:$R$1993,0))),"S/D")</f>
        <v>S/D</v>
      </c>
      <c r="I132" s="15" t="str">
        <f t="shared" ca="1" si="4"/>
        <v>S/D</v>
      </c>
      <c r="J132" s="5">
        <f>IF(A132="","",SUMIFS(Movimientos!$K:$K,Movimientos!$H:$H,A132))</f>
        <v>0</v>
      </c>
      <c r="K132" s="13" t="str">
        <f t="shared" ca="1" si="5"/>
        <v>SIN STOCK</v>
      </c>
    </row>
    <row r="133" spans="1:11">
      <c r="A133" s="16" t="s">
        <v>2438</v>
      </c>
      <c r="B133" s="2" t="str">
        <f>IFERROR(INDEX(Movimientos!$C$2:$C$1993,MATCH(A133&amp;"ENTRADA",Movimientos!$R$2:$R$1993,0)),"-")</f>
        <v>-</v>
      </c>
      <c r="C133" s="2" t="str">
        <f>IFERROR(INDEX(Movimientos!$D$2:$D$1993,MATCH(A133&amp;"ENTRADA",Movimientos!$R$2:$R$1993,0)),"-")</f>
        <v>-</v>
      </c>
      <c r="D133" s="2" t="str">
        <f>IFERROR(INDEX(Movimientos!$E$2:$E$1993,MATCH(A133&amp;"ENTRADA",Movimientos!$R$2:$R$1993,0)),"-")</f>
        <v>-</v>
      </c>
      <c r="E133" s="2" t="str">
        <f>IFERROR(INDEX(Movimientos!$F$2:$F$1993,MATCH(A133&amp;"ENTRADA",Movimientos!$R$2:$R$1993,0)),"-")</f>
        <v>-</v>
      </c>
      <c r="F133" s="2" t="str">
        <f>IFERROR(INDEX(Movimientos!$G$2:$G$1993,MATCH(A133&amp;"ENTRADA",Movimientos!$R$2:$R$1993,0)),"-")</f>
        <v>-</v>
      </c>
      <c r="G133" s="2" t="str">
        <f>IFERROR(INDEX(Movimientos!$L$2:$L$1993,MATCH(A133&amp;"ENTRADA",Movimientos!$R$2:$R$1993,0)),"-")</f>
        <v>-</v>
      </c>
      <c r="H133" s="17" t="str">
        <f>IFERROR(IF(INDEX(Movimientos!$M$2:$M$1993,MATCH(A133&amp;"ENTRADA",Movimientos!$R$2:$R$1993,0))=0,"S/D",INDEX(Movimientos!$M$2:$M$1993,MATCH(A133&amp;"ENTRADA",Movimientos!$R$2:$R$1993,0))),"S/D")</f>
        <v>S/D</v>
      </c>
      <c r="I133" s="15" t="str">
        <f t="shared" ref="I133:I196" ca="1" si="6">IF(OR(A133="",H133="S/D"),"S/D",H133-TODAY())</f>
        <v>S/D</v>
      </c>
      <c r="J133" s="5">
        <f>IF(A133="","",SUMIFS(Movimientos!$K:$K,Movimientos!$H:$H,A133))</f>
        <v>0</v>
      </c>
      <c r="K133" s="13" t="str">
        <f t="shared" ca="1" si="5"/>
        <v>SIN STOCK</v>
      </c>
    </row>
    <row r="134" spans="1:11">
      <c r="A134" s="16" t="s">
        <v>2439</v>
      </c>
      <c r="B134" s="2" t="str">
        <f>IFERROR(INDEX(Movimientos!$C$2:$C$1993,MATCH(A134&amp;"ENTRADA",Movimientos!$R$2:$R$1993,0)),"-")</f>
        <v>-</v>
      </c>
      <c r="C134" s="2" t="str">
        <f>IFERROR(INDEX(Movimientos!$D$2:$D$1993,MATCH(A134&amp;"ENTRADA",Movimientos!$R$2:$R$1993,0)),"-")</f>
        <v>-</v>
      </c>
      <c r="D134" s="2" t="str">
        <f>IFERROR(INDEX(Movimientos!$E$2:$E$1993,MATCH(A134&amp;"ENTRADA",Movimientos!$R$2:$R$1993,0)),"-")</f>
        <v>-</v>
      </c>
      <c r="E134" s="2" t="str">
        <f>IFERROR(INDEX(Movimientos!$F$2:$F$1993,MATCH(A134&amp;"ENTRADA",Movimientos!$R$2:$R$1993,0)),"-")</f>
        <v>-</v>
      </c>
      <c r="F134" s="2" t="str">
        <f>IFERROR(INDEX(Movimientos!$G$2:$G$1993,MATCH(A134&amp;"ENTRADA",Movimientos!$R$2:$R$1993,0)),"-")</f>
        <v>-</v>
      </c>
      <c r="G134" s="2" t="str">
        <f>IFERROR(INDEX(Movimientos!$L$2:$L$1993,MATCH(A134&amp;"ENTRADA",Movimientos!$R$2:$R$1993,0)),"-")</f>
        <v>-</v>
      </c>
      <c r="H134" s="17" t="str">
        <f>IFERROR(IF(INDEX(Movimientos!$M$2:$M$1993,MATCH(A134&amp;"ENTRADA",Movimientos!$R$2:$R$1993,0))=0,"S/D",INDEX(Movimientos!$M$2:$M$1993,MATCH(A134&amp;"ENTRADA",Movimientos!$R$2:$R$1993,0))),"S/D")</f>
        <v>S/D</v>
      </c>
      <c r="I134" s="15" t="str">
        <f t="shared" ca="1" si="6"/>
        <v>S/D</v>
      </c>
      <c r="J134" s="5">
        <f>IF(A134="","",SUMIFS(Movimientos!$K:$K,Movimientos!$H:$H,A134))</f>
        <v>0</v>
      </c>
      <c r="K134" s="13" t="str">
        <f t="shared" ca="1" si="5"/>
        <v>SIN STOCK</v>
      </c>
    </row>
    <row r="135" spans="1:11">
      <c r="A135" s="16" t="s">
        <v>2440</v>
      </c>
      <c r="B135" s="2" t="str">
        <f>IFERROR(INDEX(Movimientos!$C$2:$C$1993,MATCH(A135&amp;"ENTRADA",Movimientos!$R$2:$R$1993,0)),"-")</f>
        <v>-</v>
      </c>
      <c r="C135" s="2" t="str">
        <f>IFERROR(INDEX(Movimientos!$D$2:$D$1993,MATCH(A135&amp;"ENTRADA",Movimientos!$R$2:$R$1993,0)),"-")</f>
        <v>-</v>
      </c>
      <c r="D135" s="2" t="str">
        <f>IFERROR(INDEX(Movimientos!$E$2:$E$1993,MATCH(A135&amp;"ENTRADA",Movimientos!$R$2:$R$1993,0)),"-")</f>
        <v>-</v>
      </c>
      <c r="E135" s="2" t="str">
        <f>IFERROR(INDEX(Movimientos!$F$2:$F$1993,MATCH(A135&amp;"ENTRADA",Movimientos!$R$2:$R$1993,0)),"-")</f>
        <v>-</v>
      </c>
      <c r="F135" s="2" t="str">
        <f>IFERROR(INDEX(Movimientos!$G$2:$G$1993,MATCH(A135&amp;"ENTRADA",Movimientos!$R$2:$R$1993,0)),"-")</f>
        <v>-</v>
      </c>
      <c r="G135" s="2" t="str">
        <f>IFERROR(INDEX(Movimientos!$L$2:$L$1993,MATCH(A135&amp;"ENTRADA",Movimientos!$R$2:$R$1993,0)),"-")</f>
        <v>-</v>
      </c>
      <c r="H135" s="17" t="str">
        <f>IFERROR(IF(INDEX(Movimientos!$M$2:$M$1993,MATCH(A135&amp;"ENTRADA",Movimientos!$R$2:$R$1993,0))=0,"S/D",INDEX(Movimientos!$M$2:$M$1993,MATCH(A135&amp;"ENTRADA",Movimientos!$R$2:$R$1993,0))),"S/D")</f>
        <v>S/D</v>
      </c>
      <c r="I135" s="15" t="str">
        <f t="shared" ca="1" si="6"/>
        <v>S/D</v>
      </c>
      <c r="J135" s="5">
        <f>IF(A135="","",SUMIFS(Movimientos!$K:$K,Movimientos!$H:$H,A135))</f>
        <v>0</v>
      </c>
      <c r="K135" s="13" t="str">
        <f t="shared" ca="1" si="5"/>
        <v>SIN STOCK</v>
      </c>
    </row>
    <row r="136" spans="1:11">
      <c r="A136" s="16" t="s">
        <v>2441</v>
      </c>
      <c r="B136" s="2" t="str">
        <f>IFERROR(INDEX(Movimientos!$C$2:$C$1993,MATCH(A136&amp;"ENTRADA",Movimientos!$R$2:$R$1993,0)),"-")</f>
        <v>-</v>
      </c>
      <c r="C136" s="2" t="str">
        <f>IFERROR(INDEX(Movimientos!$D$2:$D$1993,MATCH(A136&amp;"ENTRADA",Movimientos!$R$2:$R$1993,0)),"-")</f>
        <v>-</v>
      </c>
      <c r="D136" s="2" t="str">
        <f>IFERROR(INDEX(Movimientos!$E$2:$E$1993,MATCH(A136&amp;"ENTRADA",Movimientos!$R$2:$R$1993,0)),"-")</f>
        <v>-</v>
      </c>
      <c r="E136" s="2" t="str">
        <f>IFERROR(INDEX(Movimientos!$F$2:$F$1993,MATCH(A136&amp;"ENTRADA",Movimientos!$R$2:$R$1993,0)),"-")</f>
        <v>-</v>
      </c>
      <c r="F136" s="2" t="str">
        <f>IFERROR(INDEX(Movimientos!$G$2:$G$1993,MATCH(A136&amp;"ENTRADA",Movimientos!$R$2:$R$1993,0)),"-")</f>
        <v>-</v>
      </c>
      <c r="G136" s="2" t="str">
        <f>IFERROR(INDEX(Movimientos!$L$2:$L$1993,MATCH(A136&amp;"ENTRADA",Movimientos!$R$2:$R$1993,0)),"-")</f>
        <v>-</v>
      </c>
      <c r="H136" s="17" t="str">
        <f>IFERROR(IF(INDEX(Movimientos!$M$2:$M$1993,MATCH(A136&amp;"ENTRADA",Movimientos!$R$2:$R$1993,0))=0,"S/D",INDEX(Movimientos!$M$2:$M$1993,MATCH(A136&amp;"ENTRADA",Movimientos!$R$2:$R$1993,0))),"S/D")</f>
        <v>S/D</v>
      </c>
      <c r="I136" s="15" t="str">
        <f t="shared" ca="1" si="6"/>
        <v>S/D</v>
      </c>
      <c r="J136" s="5">
        <f>IF(A136="","",SUMIFS(Movimientos!$K:$K,Movimientos!$H:$H,A136))</f>
        <v>0</v>
      </c>
      <c r="K136" s="13" t="str">
        <f t="shared" ca="1" si="5"/>
        <v>SIN STOCK</v>
      </c>
    </row>
    <row r="137" spans="1:11">
      <c r="A137" s="16" t="s">
        <v>2442</v>
      </c>
      <c r="B137" s="2" t="str">
        <f>IFERROR(INDEX(Movimientos!$C$2:$C$1993,MATCH(A137&amp;"ENTRADA",Movimientos!$R$2:$R$1993,0)),"-")</f>
        <v>-</v>
      </c>
      <c r="C137" s="2" t="str">
        <f>IFERROR(INDEX(Movimientos!$D$2:$D$1993,MATCH(A137&amp;"ENTRADA",Movimientos!$R$2:$R$1993,0)),"-")</f>
        <v>-</v>
      </c>
      <c r="D137" s="2" t="str">
        <f>IFERROR(INDEX(Movimientos!$E$2:$E$1993,MATCH(A137&amp;"ENTRADA",Movimientos!$R$2:$R$1993,0)),"-")</f>
        <v>-</v>
      </c>
      <c r="E137" s="2" t="str">
        <f>IFERROR(INDEX(Movimientos!$F$2:$F$1993,MATCH(A137&amp;"ENTRADA",Movimientos!$R$2:$R$1993,0)),"-")</f>
        <v>-</v>
      </c>
      <c r="F137" s="2" t="str">
        <f>IFERROR(INDEX(Movimientos!$G$2:$G$1993,MATCH(A137&amp;"ENTRADA",Movimientos!$R$2:$R$1993,0)),"-")</f>
        <v>-</v>
      </c>
      <c r="G137" s="2" t="str">
        <f>IFERROR(INDEX(Movimientos!$L$2:$L$1993,MATCH(A137&amp;"ENTRADA",Movimientos!$R$2:$R$1993,0)),"-")</f>
        <v>-</v>
      </c>
      <c r="H137" s="17" t="str">
        <f>IFERROR(IF(INDEX(Movimientos!$M$2:$M$1993,MATCH(A137&amp;"ENTRADA",Movimientos!$R$2:$R$1993,0))=0,"S/D",INDEX(Movimientos!$M$2:$M$1993,MATCH(A137&amp;"ENTRADA",Movimientos!$R$2:$R$1993,0))),"S/D")</f>
        <v>S/D</v>
      </c>
      <c r="I137" s="15" t="str">
        <f t="shared" ca="1" si="6"/>
        <v>S/D</v>
      </c>
      <c r="J137" s="5">
        <f>IF(A137="","",SUMIFS(Movimientos!$K:$K,Movimientos!$H:$H,A137))</f>
        <v>0</v>
      </c>
      <c r="K137" s="13" t="str">
        <f t="shared" ca="1" si="5"/>
        <v>SIN STOCK</v>
      </c>
    </row>
    <row r="138" spans="1:11">
      <c r="A138" s="16" t="s">
        <v>2443</v>
      </c>
      <c r="B138" s="2" t="str">
        <f>IFERROR(INDEX(Movimientos!$C$2:$C$1993,MATCH(A138&amp;"ENTRADA",Movimientos!$R$2:$R$1993,0)),"-")</f>
        <v>-</v>
      </c>
      <c r="C138" s="2" t="str">
        <f>IFERROR(INDEX(Movimientos!$D$2:$D$1993,MATCH(A138&amp;"ENTRADA",Movimientos!$R$2:$R$1993,0)),"-")</f>
        <v>-</v>
      </c>
      <c r="D138" s="2" t="str">
        <f>IFERROR(INDEX(Movimientos!$E$2:$E$1993,MATCH(A138&amp;"ENTRADA",Movimientos!$R$2:$R$1993,0)),"-")</f>
        <v>-</v>
      </c>
      <c r="E138" s="2" t="str">
        <f>IFERROR(INDEX(Movimientos!$F$2:$F$1993,MATCH(A138&amp;"ENTRADA",Movimientos!$R$2:$R$1993,0)),"-")</f>
        <v>-</v>
      </c>
      <c r="F138" s="2" t="str">
        <f>IFERROR(INDEX(Movimientos!$G$2:$G$1993,MATCH(A138&amp;"ENTRADA",Movimientos!$R$2:$R$1993,0)),"-")</f>
        <v>-</v>
      </c>
      <c r="G138" s="2" t="str">
        <f>IFERROR(INDEX(Movimientos!$L$2:$L$1993,MATCH(A138&amp;"ENTRADA",Movimientos!$R$2:$R$1993,0)),"-")</f>
        <v>-</v>
      </c>
      <c r="H138" s="17" t="str">
        <f>IFERROR(IF(INDEX(Movimientos!$M$2:$M$1993,MATCH(A138&amp;"ENTRADA",Movimientos!$R$2:$R$1993,0))=0,"S/D",INDEX(Movimientos!$M$2:$M$1993,MATCH(A138&amp;"ENTRADA",Movimientos!$R$2:$R$1993,0))),"S/D")</f>
        <v>S/D</v>
      </c>
      <c r="I138" s="15" t="str">
        <f t="shared" ca="1" si="6"/>
        <v>S/D</v>
      </c>
      <c r="J138" s="5">
        <f>IF(A138="","",SUMIFS(Movimientos!$K:$K,Movimientos!$H:$H,A138))</f>
        <v>0</v>
      </c>
      <c r="K138" s="13" t="str">
        <f t="shared" ca="1" si="5"/>
        <v>SIN STOCK</v>
      </c>
    </row>
    <row r="139" spans="1:11">
      <c r="A139" s="16" t="s">
        <v>2444</v>
      </c>
      <c r="B139" s="2" t="str">
        <f>IFERROR(INDEX(Movimientos!$C$2:$C$1993,MATCH(A139&amp;"ENTRADA",Movimientos!$R$2:$R$1993,0)),"-")</f>
        <v>-</v>
      </c>
      <c r="C139" s="2" t="str">
        <f>IFERROR(INDEX(Movimientos!$D$2:$D$1993,MATCH(A139&amp;"ENTRADA",Movimientos!$R$2:$R$1993,0)),"-")</f>
        <v>-</v>
      </c>
      <c r="D139" s="2" t="str">
        <f>IFERROR(INDEX(Movimientos!$E$2:$E$1993,MATCH(A139&amp;"ENTRADA",Movimientos!$R$2:$R$1993,0)),"-")</f>
        <v>-</v>
      </c>
      <c r="E139" s="2" t="str">
        <f>IFERROR(INDEX(Movimientos!$F$2:$F$1993,MATCH(A139&amp;"ENTRADA",Movimientos!$R$2:$R$1993,0)),"-")</f>
        <v>-</v>
      </c>
      <c r="F139" s="2" t="str">
        <f>IFERROR(INDEX(Movimientos!$G$2:$G$1993,MATCH(A139&amp;"ENTRADA",Movimientos!$R$2:$R$1993,0)),"-")</f>
        <v>-</v>
      </c>
      <c r="G139" s="2" t="str">
        <f>IFERROR(INDEX(Movimientos!$L$2:$L$1993,MATCH(A139&amp;"ENTRADA",Movimientos!$R$2:$R$1993,0)),"-")</f>
        <v>-</v>
      </c>
      <c r="H139" s="17" t="str">
        <f>IFERROR(IF(INDEX(Movimientos!$M$2:$M$1993,MATCH(A139&amp;"ENTRADA",Movimientos!$R$2:$R$1993,0))=0,"S/D",INDEX(Movimientos!$M$2:$M$1993,MATCH(A139&amp;"ENTRADA",Movimientos!$R$2:$R$1993,0))),"S/D")</f>
        <v>S/D</v>
      </c>
      <c r="I139" s="15" t="str">
        <f t="shared" ca="1" si="6"/>
        <v>S/D</v>
      </c>
      <c r="J139" s="5">
        <f>IF(A139="","",SUMIFS(Movimientos!$K:$K,Movimientos!$H:$H,A139))</f>
        <v>0</v>
      </c>
      <c r="K139" s="13" t="str">
        <f t="shared" ca="1" si="5"/>
        <v>SIN STOCK</v>
      </c>
    </row>
    <row r="140" spans="1:11">
      <c r="A140" s="16" t="s">
        <v>2445</v>
      </c>
      <c r="B140" s="2" t="str">
        <f>IFERROR(INDEX(Movimientos!$C$2:$C$1993,MATCH(A140&amp;"ENTRADA",Movimientos!$R$2:$R$1993,0)),"-")</f>
        <v>-</v>
      </c>
      <c r="C140" s="2" t="str">
        <f>IFERROR(INDEX(Movimientos!$D$2:$D$1993,MATCH(A140&amp;"ENTRADA",Movimientos!$R$2:$R$1993,0)),"-")</f>
        <v>-</v>
      </c>
      <c r="D140" s="2" t="str">
        <f>IFERROR(INDEX(Movimientos!$E$2:$E$1993,MATCH(A140&amp;"ENTRADA",Movimientos!$R$2:$R$1993,0)),"-")</f>
        <v>-</v>
      </c>
      <c r="E140" s="2" t="str">
        <f>IFERROR(INDEX(Movimientos!$F$2:$F$1993,MATCH(A140&amp;"ENTRADA",Movimientos!$R$2:$R$1993,0)),"-")</f>
        <v>-</v>
      </c>
      <c r="F140" s="2" t="str">
        <f>IFERROR(INDEX(Movimientos!$G$2:$G$1993,MATCH(A140&amp;"ENTRADA",Movimientos!$R$2:$R$1993,0)),"-")</f>
        <v>-</v>
      </c>
      <c r="G140" s="2" t="str">
        <f>IFERROR(INDEX(Movimientos!$L$2:$L$1993,MATCH(A140&amp;"ENTRADA",Movimientos!$R$2:$R$1993,0)),"-")</f>
        <v>-</v>
      </c>
      <c r="H140" s="17" t="str">
        <f>IFERROR(IF(INDEX(Movimientos!$M$2:$M$1993,MATCH(A140&amp;"ENTRADA",Movimientos!$R$2:$R$1993,0))=0,"S/D",INDEX(Movimientos!$M$2:$M$1993,MATCH(A140&amp;"ENTRADA",Movimientos!$R$2:$R$1993,0))),"S/D")</f>
        <v>S/D</v>
      </c>
      <c r="I140" s="15" t="str">
        <f t="shared" ca="1" si="6"/>
        <v>S/D</v>
      </c>
      <c r="J140" s="5">
        <f>IF(A140="","",SUMIFS(Movimientos!$K:$K,Movimientos!$H:$H,A140))</f>
        <v>0</v>
      </c>
      <c r="K140" s="13" t="str">
        <f t="shared" ca="1" si="5"/>
        <v>SIN STOCK</v>
      </c>
    </row>
    <row r="141" spans="1:11">
      <c r="A141" s="16" t="s">
        <v>2446</v>
      </c>
      <c r="B141" s="2" t="str">
        <f>IFERROR(INDEX(Movimientos!$C$2:$C$1993,MATCH(A141&amp;"ENTRADA",Movimientos!$R$2:$R$1993,0)),"-")</f>
        <v>-</v>
      </c>
      <c r="C141" s="2" t="str">
        <f>IFERROR(INDEX(Movimientos!$D$2:$D$1993,MATCH(A141&amp;"ENTRADA",Movimientos!$R$2:$R$1993,0)),"-")</f>
        <v>-</v>
      </c>
      <c r="D141" s="2" t="str">
        <f>IFERROR(INDEX(Movimientos!$E$2:$E$1993,MATCH(A141&amp;"ENTRADA",Movimientos!$R$2:$R$1993,0)),"-")</f>
        <v>-</v>
      </c>
      <c r="E141" s="2" t="str">
        <f>IFERROR(INDEX(Movimientos!$F$2:$F$1993,MATCH(A141&amp;"ENTRADA",Movimientos!$R$2:$R$1993,0)),"-")</f>
        <v>-</v>
      </c>
      <c r="F141" s="2" t="str">
        <f>IFERROR(INDEX(Movimientos!$G$2:$G$1993,MATCH(A141&amp;"ENTRADA",Movimientos!$R$2:$R$1993,0)),"-")</f>
        <v>-</v>
      </c>
      <c r="G141" s="2" t="str">
        <f>IFERROR(INDEX(Movimientos!$L$2:$L$1993,MATCH(A141&amp;"ENTRADA",Movimientos!$R$2:$R$1993,0)),"-")</f>
        <v>-</v>
      </c>
      <c r="H141" s="17" t="str">
        <f>IFERROR(IF(INDEX(Movimientos!$M$2:$M$1993,MATCH(A141&amp;"ENTRADA",Movimientos!$R$2:$R$1993,0))=0,"S/D",INDEX(Movimientos!$M$2:$M$1993,MATCH(A141&amp;"ENTRADA",Movimientos!$R$2:$R$1993,0))),"S/D")</f>
        <v>S/D</v>
      </c>
      <c r="I141" s="15" t="str">
        <f t="shared" ca="1" si="6"/>
        <v>S/D</v>
      </c>
      <c r="J141" s="5">
        <f>IF(A141="","",SUMIFS(Movimientos!$K:$K,Movimientos!$H:$H,A141))</f>
        <v>0</v>
      </c>
      <c r="K141" s="13" t="str">
        <f t="shared" ca="1" si="5"/>
        <v>SIN STOCK</v>
      </c>
    </row>
    <row r="142" spans="1:11">
      <c r="A142" s="16" t="s">
        <v>2447</v>
      </c>
      <c r="B142" s="2" t="str">
        <f>IFERROR(INDEX(Movimientos!$C$2:$C$1993,MATCH(A142&amp;"ENTRADA",Movimientos!$R$2:$R$1993,0)),"-")</f>
        <v>-</v>
      </c>
      <c r="C142" s="2" t="str">
        <f>IFERROR(INDEX(Movimientos!$D$2:$D$1993,MATCH(A142&amp;"ENTRADA",Movimientos!$R$2:$R$1993,0)),"-")</f>
        <v>-</v>
      </c>
      <c r="D142" s="2" t="str">
        <f>IFERROR(INDEX(Movimientos!$E$2:$E$1993,MATCH(A142&amp;"ENTRADA",Movimientos!$R$2:$R$1993,0)),"-")</f>
        <v>-</v>
      </c>
      <c r="E142" s="2" t="str">
        <f>IFERROR(INDEX(Movimientos!$F$2:$F$1993,MATCH(A142&amp;"ENTRADA",Movimientos!$R$2:$R$1993,0)),"-")</f>
        <v>-</v>
      </c>
      <c r="F142" s="2" t="str">
        <f>IFERROR(INDEX(Movimientos!$G$2:$G$1993,MATCH(A142&amp;"ENTRADA",Movimientos!$R$2:$R$1993,0)),"-")</f>
        <v>-</v>
      </c>
      <c r="G142" s="2" t="str">
        <f>IFERROR(INDEX(Movimientos!$L$2:$L$1993,MATCH(A142&amp;"ENTRADA",Movimientos!$R$2:$R$1993,0)),"-")</f>
        <v>-</v>
      </c>
      <c r="H142" s="17" t="str">
        <f>IFERROR(IF(INDEX(Movimientos!$M$2:$M$1993,MATCH(A142&amp;"ENTRADA",Movimientos!$R$2:$R$1993,0))=0,"S/D",INDEX(Movimientos!$M$2:$M$1993,MATCH(A142&amp;"ENTRADA",Movimientos!$R$2:$R$1993,0))),"S/D")</f>
        <v>S/D</v>
      </c>
      <c r="I142" s="15" t="str">
        <f t="shared" ca="1" si="6"/>
        <v>S/D</v>
      </c>
      <c r="J142" s="5">
        <f>IF(A142="","",SUMIFS(Movimientos!$K:$K,Movimientos!$H:$H,A142))</f>
        <v>0</v>
      </c>
      <c r="K142" s="13" t="str">
        <f t="shared" ca="1" si="5"/>
        <v>SIN STOCK</v>
      </c>
    </row>
    <row r="143" spans="1:11">
      <c r="A143" s="16" t="s">
        <v>2448</v>
      </c>
      <c r="B143" s="2" t="str">
        <f>IFERROR(INDEX(Movimientos!$C$2:$C$1993,MATCH(A143&amp;"ENTRADA",Movimientos!$R$2:$R$1993,0)),"-")</f>
        <v>-</v>
      </c>
      <c r="C143" s="2" t="str">
        <f>IFERROR(INDEX(Movimientos!$D$2:$D$1993,MATCH(A143&amp;"ENTRADA",Movimientos!$R$2:$R$1993,0)),"-")</f>
        <v>-</v>
      </c>
      <c r="D143" s="2" t="str">
        <f>IFERROR(INDEX(Movimientos!$E$2:$E$1993,MATCH(A143&amp;"ENTRADA",Movimientos!$R$2:$R$1993,0)),"-")</f>
        <v>-</v>
      </c>
      <c r="E143" s="2" t="str">
        <f>IFERROR(INDEX(Movimientos!$F$2:$F$1993,MATCH(A143&amp;"ENTRADA",Movimientos!$R$2:$R$1993,0)),"-")</f>
        <v>-</v>
      </c>
      <c r="F143" s="2" t="str">
        <f>IFERROR(INDEX(Movimientos!$G$2:$G$1993,MATCH(A143&amp;"ENTRADA",Movimientos!$R$2:$R$1993,0)),"-")</f>
        <v>-</v>
      </c>
      <c r="G143" s="2" t="str">
        <f>IFERROR(INDEX(Movimientos!$L$2:$L$1993,MATCH(A143&amp;"ENTRADA",Movimientos!$R$2:$R$1993,0)),"-")</f>
        <v>-</v>
      </c>
      <c r="H143" s="17" t="str">
        <f>IFERROR(IF(INDEX(Movimientos!$M$2:$M$1993,MATCH(A143&amp;"ENTRADA",Movimientos!$R$2:$R$1993,0))=0,"S/D",INDEX(Movimientos!$M$2:$M$1993,MATCH(A143&amp;"ENTRADA",Movimientos!$R$2:$R$1993,0))),"S/D")</f>
        <v>S/D</v>
      </c>
      <c r="I143" s="15" t="str">
        <f t="shared" ca="1" si="6"/>
        <v>S/D</v>
      </c>
      <c r="J143" s="5">
        <f>IF(A143="","",SUMIFS(Movimientos!$K:$K,Movimientos!$H:$H,A143))</f>
        <v>0</v>
      </c>
      <c r="K143" s="13" t="str">
        <f t="shared" ca="1" si="5"/>
        <v>SIN STOCK</v>
      </c>
    </row>
    <row r="144" spans="1:11">
      <c r="A144" s="16" t="s">
        <v>2449</v>
      </c>
      <c r="B144" s="2" t="str">
        <f>IFERROR(INDEX(Movimientos!$C$2:$C$1993,MATCH(A144&amp;"ENTRADA",Movimientos!$R$2:$R$1993,0)),"-")</f>
        <v>-</v>
      </c>
      <c r="C144" s="2" t="str">
        <f>IFERROR(INDEX(Movimientos!$D$2:$D$1993,MATCH(A144&amp;"ENTRADA",Movimientos!$R$2:$R$1993,0)),"-")</f>
        <v>-</v>
      </c>
      <c r="D144" s="2" t="str">
        <f>IFERROR(INDEX(Movimientos!$E$2:$E$1993,MATCH(A144&amp;"ENTRADA",Movimientos!$R$2:$R$1993,0)),"-")</f>
        <v>-</v>
      </c>
      <c r="E144" s="2" t="str">
        <f>IFERROR(INDEX(Movimientos!$F$2:$F$1993,MATCH(A144&amp;"ENTRADA",Movimientos!$R$2:$R$1993,0)),"-")</f>
        <v>-</v>
      </c>
      <c r="F144" s="2" t="str">
        <f>IFERROR(INDEX(Movimientos!$G$2:$G$1993,MATCH(A144&amp;"ENTRADA",Movimientos!$R$2:$R$1993,0)),"-")</f>
        <v>-</v>
      </c>
      <c r="G144" s="2" t="str">
        <f>IFERROR(INDEX(Movimientos!$L$2:$L$1993,MATCH(A144&amp;"ENTRADA",Movimientos!$R$2:$R$1993,0)),"-")</f>
        <v>-</v>
      </c>
      <c r="H144" s="17" t="str">
        <f>IFERROR(IF(INDEX(Movimientos!$M$2:$M$1993,MATCH(A144&amp;"ENTRADA",Movimientos!$R$2:$R$1993,0))=0,"S/D",INDEX(Movimientos!$M$2:$M$1993,MATCH(A144&amp;"ENTRADA",Movimientos!$R$2:$R$1993,0))),"S/D")</f>
        <v>S/D</v>
      </c>
      <c r="I144" s="15" t="str">
        <f t="shared" ca="1" si="6"/>
        <v>S/D</v>
      </c>
      <c r="J144" s="5">
        <f>IF(A144="","",SUMIFS(Movimientos!$K:$K,Movimientos!$H:$H,A144))</f>
        <v>0</v>
      </c>
      <c r="K144" s="13" t="str">
        <f t="shared" ca="1" si="5"/>
        <v>SIN STOCK</v>
      </c>
    </row>
    <row r="145" spans="1:11">
      <c r="A145" s="16" t="s">
        <v>2450</v>
      </c>
      <c r="B145" s="2" t="str">
        <f>IFERROR(INDEX(Movimientos!$C$2:$C$1993,MATCH(A145&amp;"ENTRADA",Movimientos!$R$2:$R$1993,0)),"-")</f>
        <v>-</v>
      </c>
      <c r="C145" s="2" t="str">
        <f>IFERROR(INDEX(Movimientos!$D$2:$D$1993,MATCH(A145&amp;"ENTRADA",Movimientos!$R$2:$R$1993,0)),"-")</f>
        <v>-</v>
      </c>
      <c r="D145" s="2" t="str">
        <f>IFERROR(INDEX(Movimientos!$E$2:$E$1993,MATCH(A145&amp;"ENTRADA",Movimientos!$R$2:$R$1993,0)),"-")</f>
        <v>-</v>
      </c>
      <c r="E145" s="2" t="str">
        <f>IFERROR(INDEX(Movimientos!$F$2:$F$1993,MATCH(A145&amp;"ENTRADA",Movimientos!$R$2:$R$1993,0)),"-")</f>
        <v>-</v>
      </c>
      <c r="F145" s="2" t="str">
        <f>IFERROR(INDEX(Movimientos!$G$2:$G$1993,MATCH(A145&amp;"ENTRADA",Movimientos!$R$2:$R$1993,0)),"-")</f>
        <v>-</v>
      </c>
      <c r="G145" s="2" t="str">
        <f>IFERROR(INDEX(Movimientos!$L$2:$L$1993,MATCH(A145&amp;"ENTRADA",Movimientos!$R$2:$R$1993,0)),"-")</f>
        <v>-</v>
      </c>
      <c r="H145" s="17" t="str">
        <f>IFERROR(IF(INDEX(Movimientos!$M$2:$M$1993,MATCH(A145&amp;"ENTRADA",Movimientos!$R$2:$R$1993,0))=0,"S/D",INDEX(Movimientos!$M$2:$M$1993,MATCH(A145&amp;"ENTRADA",Movimientos!$R$2:$R$1993,0))),"S/D")</f>
        <v>S/D</v>
      </c>
      <c r="I145" s="15" t="str">
        <f t="shared" ca="1" si="6"/>
        <v>S/D</v>
      </c>
      <c r="J145" s="5">
        <f>IF(A145="","",SUMIFS(Movimientos!$K:$K,Movimientos!$H:$H,A145))</f>
        <v>0</v>
      </c>
      <c r="K145" s="13" t="str">
        <f t="shared" ca="1" si="5"/>
        <v>SIN STOCK</v>
      </c>
    </row>
    <row r="146" spans="1:11">
      <c r="A146" s="16" t="s">
        <v>2451</v>
      </c>
      <c r="B146" s="2" t="str">
        <f>IFERROR(INDEX(Movimientos!$C$2:$C$1993,MATCH(A146&amp;"ENTRADA",Movimientos!$R$2:$R$1993,0)),"-")</f>
        <v>-</v>
      </c>
      <c r="C146" s="2" t="str">
        <f>IFERROR(INDEX(Movimientos!$D$2:$D$1993,MATCH(A146&amp;"ENTRADA",Movimientos!$R$2:$R$1993,0)),"-")</f>
        <v>-</v>
      </c>
      <c r="D146" s="2" t="str">
        <f>IFERROR(INDEX(Movimientos!$E$2:$E$1993,MATCH(A146&amp;"ENTRADA",Movimientos!$R$2:$R$1993,0)),"-")</f>
        <v>-</v>
      </c>
      <c r="E146" s="2" t="str">
        <f>IFERROR(INDEX(Movimientos!$F$2:$F$1993,MATCH(A146&amp;"ENTRADA",Movimientos!$R$2:$R$1993,0)),"-")</f>
        <v>-</v>
      </c>
      <c r="F146" s="2" t="str">
        <f>IFERROR(INDEX(Movimientos!$G$2:$G$1993,MATCH(A146&amp;"ENTRADA",Movimientos!$R$2:$R$1993,0)),"-")</f>
        <v>-</v>
      </c>
      <c r="G146" s="2" t="str">
        <f>IFERROR(INDEX(Movimientos!$L$2:$L$1993,MATCH(A146&amp;"ENTRADA",Movimientos!$R$2:$R$1993,0)),"-")</f>
        <v>-</v>
      </c>
      <c r="H146" s="17" t="str">
        <f>IFERROR(IF(INDEX(Movimientos!$M$2:$M$1993,MATCH(A146&amp;"ENTRADA",Movimientos!$R$2:$R$1993,0))=0,"S/D",INDEX(Movimientos!$M$2:$M$1993,MATCH(A146&amp;"ENTRADA",Movimientos!$R$2:$R$1993,0))),"S/D")</f>
        <v>S/D</v>
      </c>
      <c r="I146" s="15" t="str">
        <f t="shared" ca="1" si="6"/>
        <v>S/D</v>
      </c>
      <c r="J146" s="5">
        <f>IF(A146="","",SUMIFS(Movimientos!$K:$K,Movimientos!$H:$H,A146))</f>
        <v>0</v>
      </c>
      <c r="K146" s="13" t="str">
        <f t="shared" ca="1" si="5"/>
        <v>SIN STOCK</v>
      </c>
    </row>
    <row r="147" spans="1:11">
      <c r="A147" s="16" t="s">
        <v>2452</v>
      </c>
      <c r="B147" s="2" t="str">
        <f>IFERROR(INDEX(Movimientos!$C$2:$C$1993,MATCH(A147&amp;"ENTRADA",Movimientos!$R$2:$R$1993,0)),"-")</f>
        <v>-</v>
      </c>
      <c r="C147" s="2" t="str">
        <f>IFERROR(INDEX(Movimientos!$D$2:$D$1993,MATCH(A147&amp;"ENTRADA",Movimientos!$R$2:$R$1993,0)),"-")</f>
        <v>-</v>
      </c>
      <c r="D147" s="2" t="str">
        <f>IFERROR(INDEX(Movimientos!$E$2:$E$1993,MATCH(A147&amp;"ENTRADA",Movimientos!$R$2:$R$1993,0)),"-")</f>
        <v>-</v>
      </c>
      <c r="E147" s="2" t="str">
        <f>IFERROR(INDEX(Movimientos!$F$2:$F$1993,MATCH(A147&amp;"ENTRADA",Movimientos!$R$2:$R$1993,0)),"-")</f>
        <v>-</v>
      </c>
      <c r="F147" s="2" t="str">
        <f>IFERROR(INDEX(Movimientos!$G$2:$G$1993,MATCH(A147&amp;"ENTRADA",Movimientos!$R$2:$R$1993,0)),"-")</f>
        <v>-</v>
      </c>
      <c r="G147" s="2" t="str">
        <f>IFERROR(INDEX(Movimientos!$L$2:$L$1993,MATCH(A147&amp;"ENTRADA",Movimientos!$R$2:$R$1993,0)),"-")</f>
        <v>-</v>
      </c>
      <c r="H147" s="17" t="str">
        <f>IFERROR(IF(INDEX(Movimientos!$M$2:$M$1993,MATCH(A147&amp;"ENTRADA",Movimientos!$R$2:$R$1993,0))=0,"S/D",INDEX(Movimientos!$M$2:$M$1993,MATCH(A147&amp;"ENTRADA",Movimientos!$R$2:$R$1993,0))),"S/D")</f>
        <v>S/D</v>
      </c>
      <c r="I147" s="15" t="str">
        <f t="shared" ca="1" si="6"/>
        <v>S/D</v>
      </c>
      <c r="J147" s="5">
        <f>IF(A147="","",SUMIFS(Movimientos!$K:$K,Movimientos!$H:$H,A147))</f>
        <v>0</v>
      </c>
      <c r="K147" s="13" t="str">
        <f t="shared" ca="1" si="5"/>
        <v>SIN STOCK</v>
      </c>
    </row>
    <row r="148" spans="1:11">
      <c r="A148" s="16" t="s">
        <v>2453</v>
      </c>
      <c r="B148" s="2" t="str">
        <f>IFERROR(INDEX(Movimientos!$C$2:$C$1993,MATCH(A148&amp;"ENTRADA",Movimientos!$R$2:$R$1993,0)),"-")</f>
        <v>-</v>
      </c>
      <c r="C148" s="2" t="str">
        <f>IFERROR(INDEX(Movimientos!$D$2:$D$1993,MATCH(A148&amp;"ENTRADA",Movimientos!$R$2:$R$1993,0)),"-")</f>
        <v>-</v>
      </c>
      <c r="D148" s="2" t="str">
        <f>IFERROR(INDEX(Movimientos!$E$2:$E$1993,MATCH(A148&amp;"ENTRADA",Movimientos!$R$2:$R$1993,0)),"-")</f>
        <v>-</v>
      </c>
      <c r="E148" s="2" t="str">
        <f>IFERROR(INDEX(Movimientos!$F$2:$F$1993,MATCH(A148&amp;"ENTRADA",Movimientos!$R$2:$R$1993,0)),"-")</f>
        <v>-</v>
      </c>
      <c r="F148" s="2" t="str">
        <f>IFERROR(INDEX(Movimientos!$G$2:$G$1993,MATCH(A148&amp;"ENTRADA",Movimientos!$R$2:$R$1993,0)),"-")</f>
        <v>-</v>
      </c>
      <c r="G148" s="2" t="str">
        <f>IFERROR(INDEX(Movimientos!$L$2:$L$1993,MATCH(A148&amp;"ENTRADA",Movimientos!$R$2:$R$1993,0)),"-")</f>
        <v>-</v>
      </c>
      <c r="H148" s="17" t="str">
        <f>IFERROR(IF(INDEX(Movimientos!$M$2:$M$1993,MATCH(A148&amp;"ENTRADA",Movimientos!$R$2:$R$1993,0))=0,"S/D",INDEX(Movimientos!$M$2:$M$1993,MATCH(A148&amp;"ENTRADA",Movimientos!$R$2:$R$1993,0))),"S/D")</f>
        <v>S/D</v>
      </c>
      <c r="I148" s="15" t="str">
        <f t="shared" ca="1" si="6"/>
        <v>S/D</v>
      </c>
      <c r="J148" s="5">
        <f>IF(A148="","",SUMIFS(Movimientos!$K:$K,Movimientos!$H:$H,A148))</f>
        <v>0</v>
      </c>
      <c r="K148" s="13" t="str">
        <f t="shared" ca="1" si="5"/>
        <v>SIN STOCK</v>
      </c>
    </row>
    <row r="149" spans="1:11">
      <c r="A149" s="16" t="s">
        <v>2454</v>
      </c>
      <c r="B149" s="2" t="str">
        <f>IFERROR(INDEX(Movimientos!$C$2:$C$1993,MATCH(A149&amp;"ENTRADA",Movimientos!$R$2:$R$1993,0)),"-")</f>
        <v>-</v>
      </c>
      <c r="C149" s="2" t="str">
        <f>IFERROR(INDEX(Movimientos!$D$2:$D$1993,MATCH(A149&amp;"ENTRADA",Movimientos!$R$2:$R$1993,0)),"-")</f>
        <v>-</v>
      </c>
      <c r="D149" s="2" t="str">
        <f>IFERROR(INDEX(Movimientos!$E$2:$E$1993,MATCH(A149&amp;"ENTRADA",Movimientos!$R$2:$R$1993,0)),"-")</f>
        <v>-</v>
      </c>
      <c r="E149" s="2" t="str">
        <f>IFERROR(INDEX(Movimientos!$F$2:$F$1993,MATCH(A149&amp;"ENTRADA",Movimientos!$R$2:$R$1993,0)),"-")</f>
        <v>-</v>
      </c>
      <c r="F149" s="2" t="str">
        <f>IFERROR(INDEX(Movimientos!$G$2:$G$1993,MATCH(A149&amp;"ENTRADA",Movimientos!$R$2:$R$1993,0)),"-")</f>
        <v>-</v>
      </c>
      <c r="G149" s="2" t="str">
        <f>IFERROR(INDEX(Movimientos!$L$2:$L$1993,MATCH(A149&amp;"ENTRADA",Movimientos!$R$2:$R$1993,0)),"-")</f>
        <v>-</v>
      </c>
      <c r="H149" s="17" t="str">
        <f>IFERROR(IF(INDEX(Movimientos!$M$2:$M$1993,MATCH(A149&amp;"ENTRADA",Movimientos!$R$2:$R$1993,0))=0,"S/D",INDEX(Movimientos!$M$2:$M$1993,MATCH(A149&amp;"ENTRADA",Movimientos!$R$2:$R$1993,0))),"S/D")</f>
        <v>S/D</v>
      </c>
      <c r="I149" s="15" t="str">
        <f t="shared" ca="1" si="6"/>
        <v>S/D</v>
      </c>
      <c r="J149" s="5">
        <f>IF(A149="","",SUMIFS(Movimientos!$K:$K,Movimientos!$H:$H,A149))</f>
        <v>0</v>
      </c>
      <c r="K149" s="13" t="str">
        <f t="shared" ca="1" si="5"/>
        <v>SIN STOCK</v>
      </c>
    </row>
    <row r="150" spans="1:11">
      <c r="A150" s="16" t="s">
        <v>2455</v>
      </c>
      <c r="B150" s="2" t="str">
        <f>IFERROR(INDEX(Movimientos!$C$2:$C$1993,MATCH(A150&amp;"ENTRADA",Movimientos!$R$2:$R$1993,0)),"-")</f>
        <v>-</v>
      </c>
      <c r="C150" s="2" t="str">
        <f>IFERROR(INDEX(Movimientos!$D$2:$D$1993,MATCH(A150&amp;"ENTRADA",Movimientos!$R$2:$R$1993,0)),"-")</f>
        <v>-</v>
      </c>
      <c r="D150" s="2" t="str">
        <f>IFERROR(INDEX(Movimientos!$E$2:$E$1993,MATCH(A150&amp;"ENTRADA",Movimientos!$R$2:$R$1993,0)),"-")</f>
        <v>-</v>
      </c>
      <c r="E150" s="2" t="str">
        <f>IFERROR(INDEX(Movimientos!$F$2:$F$1993,MATCH(A150&amp;"ENTRADA",Movimientos!$R$2:$R$1993,0)),"-")</f>
        <v>-</v>
      </c>
      <c r="F150" s="2" t="str">
        <f>IFERROR(INDEX(Movimientos!$G$2:$G$1993,MATCH(A150&amp;"ENTRADA",Movimientos!$R$2:$R$1993,0)),"-")</f>
        <v>-</v>
      </c>
      <c r="G150" s="2" t="str">
        <f>IFERROR(INDEX(Movimientos!$L$2:$L$1993,MATCH(A150&amp;"ENTRADA",Movimientos!$R$2:$R$1993,0)),"-")</f>
        <v>-</v>
      </c>
      <c r="H150" s="17" t="str">
        <f>IFERROR(IF(INDEX(Movimientos!$M$2:$M$1993,MATCH(A150&amp;"ENTRADA",Movimientos!$R$2:$R$1993,0))=0,"S/D",INDEX(Movimientos!$M$2:$M$1993,MATCH(A150&amp;"ENTRADA",Movimientos!$R$2:$R$1993,0))),"S/D")</f>
        <v>S/D</v>
      </c>
      <c r="I150" s="15" t="str">
        <f t="shared" ca="1" si="6"/>
        <v>S/D</v>
      </c>
      <c r="J150" s="5">
        <f>IF(A150="","",SUMIFS(Movimientos!$K:$K,Movimientos!$H:$H,A150))</f>
        <v>0</v>
      </c>
      <c r="K150" s="13" t="str">
        <f t="shared" ca="1" si="5"/>
        <v>SIN STOCK</v>
      </c>
    </row>
    <row r="151" spans="1:11">
      <c r="A151" s="16" t="s">
        <v>2456</v>
      </c>
      <c r="B151" s="2" t="str">
        <f>IFERROR(INDEX(Movimientos!$C$2:$C$1993,MATCH(A151&amp;"ENTRADA",Movimientos!$R$2:$R$1993,0)),"-")</f>
        <v>-</v>
      </c>
      <c r="C151" s="2" t="str">
        <f>IFERROR(INDEX(Movimientos!$D$2:$D$1993,MATCH(A151&amp;"ENTRADA",Movimientos!$R$2:$R$1993,0)),"-")</f>
        <v>-</v>
      </c>
      <c r="D151" s="2" t="str">
        <f>IFERROR(INDEX(Movimientos!$E$2:$E$1993,MATCH(A151&amp;"ENTRADA",Movimientos!$R$2:$R$1993,0)),"-")</f>
        <v>-</v>
      </c>
      <c r="E151" s="2" t="str">
        <f>IFERROR(INDEX(Movimientos!$F$2:$F$1993,MATCH(A151&amp;"ENTRADA",Movimientos!$R$2:$R$1993,0)),"-")</f>
        <v>-</v>
      </c>
      <c r="F151" s="2" t="str">
        <f>IFERROR(INDEX(Movimientos!$G$2:$G$1993,MATCH(A151&amp;"ENTRADA",Movimientos!$R$2:$R$1993,0)),"-")</f>
        <v>-</v>
      </c>
      <c r="G151" s="2" t="str">
        <f>IFERROR(INDEX(Movimientos!$L$2:$L$1993,MATCH(A151&amp;"ENTRADA",Movimientos!$R$2:$R$1993,0)),"-")</f>
        <v>-</v>
      </c>
      <c r="H151" s="17" t="str">
        <f>IFERROR(IF(INDEX(Movimientos!$M$2:$M$1993,MATCH(A151&amp;"ENTRADA",Movimientos!$R$2:$R$1993,0))=0,"S/D",INDEX(Movimientos!$M$2:$M$1993,MATCH(A151&amp;"ENTRADA",Movimientos!$R$2:$R$1993,0))),"S/D")</f>
        <v>S/D</v>
      </c>
      <c r="I151" s="15" t="str">
        <f t="shared" ca="1" si="6"/>
        <v>S/D</v>
      </c>
      <c r="J151" s="5">
        <f>IF(A151="","",SUMIFS(Movimientos!$K:$K,Movimientos!$H:$H,A151))</f>
        <v>0</v>
      </c>
      <c r="K151" s="13" t="str">
        <f t="shared" ca="1" si="5"/>
        <v>SIN STOCK</v>
      </c>
    </row>
    <row r="152" spans="1:11">
      <c r="A152" s="16" t="s">
        <v>2457</v>
      </c>
      <c r="B152" s="2" t="str">
        <f>IFERROR(INDEX(Movimientos!$C$2:$C$1993,MATCH(A152&amp;"ENTRADA",Movimientos!$R$2:$R$1993,0)),"-")</f>
        <v>-</v>
      </c>
      <c r="C152" s="2" t="str">
        <f>IFERROR(INDEX(Movimientos!$D$2:$D$1993,MATCH(A152&amp;"ENTRADA",Movimientos!$R$2:$R$1993,0)),"-")</f>
        <v>-</v>
      </c>
      <c r="D152" s="2" t="str">
        <f>IFERROR(INDEX(Movimientos!$E$2:$E$1993,MATCH(A152&amp;"ENTRADA",Movimientos!$R$2:$R$1993,0)),"-")</f>
        <v>-</v>
      </c>
      <c r="E152" s="2" t="str">
        <f>IFERROR(INDEX(Movimientos!$F$2:$F$1993,MATCH(A152&amp;"ENTRADA",Movimientos!$R$2:$R$1993,0)),"-")</f>
        <v>-</v>
      </c>
      <c r="F152" s="2" t="str">
        <f>IFERROR(INDEX(Movimientos!$G$2:$G$1993,MATCH(A152&amp;"ENTRADA",Movimientos!$R$2:$R$1993,0)),"-")</f>
        <v>-</v>
      </c>
      <c r="G152" s="2" t="str">
        <f>IFERROR(INDEX(Movimientos!$L$2:$L$1993,MATCH(A152&amp;"ENTRADA",Movimientos!$R$2:$R$1993,0)),"-")</f>
        <v>-</v>
      </c>
      <c r="H152" s="17" t="str">
        <f>IFERROR(IF(INDEX(Movimientos!$M$2:$M$1993,MATCH(A152&amp;"ENTRADA",Movimientos!$R$2:$R$1993,0))=0,"S/D",INDEX(Movimientos!$M$2:$M$1993,MATCH(A152&amp;"ENTRADA",Movimientos!$R$2:$R$1993,0))),"S/D")</f>
        <v>S/D</v>
      </c>
      <c r="I152" s="15" t="str">
        <f t="shared" ca="1" si="6"/>
        <v>S/D</v>
      </c>
      <c r="J152" s="5">
        <f>IF(A152="","",SUMIFS(Movimientos!$K:$K,Movimientos!$H:$H,A152))</f>
        <v>0</v>
      </c>
      <c r="K152" s="13" t="str">
        <f t="shared" ca="1" si="5"/>
        <v>SIN STOCK</v>
      </c>
    </row>
    <row r="153" spans="1:11">
      <c r="A153" s="16" t="s">
        <v>2458</v>
      </c>
      <c r="B153" s="2" t="str">
        <f>IFERROR(INDEX(Movimientos!$C$2:$C$1993,MATCH(A153&amp;"ENTRADA",Movimientos!$R$2:$R$1993,0)),"-")</f>
        <v>-</v>
      </c>
      <c r="C153" s="2" t="str">
        <f>IFERROR(INDEX(Movimientos!$D$2:$D$1993,MATCH(A153&amp;"ENTRADA",Movimientos!$R$2:$R$1993,0)),"-")</f>
        <v>-</v>
      </c>
      <c r="D153" s="2" t="str">
        <f>IFERROR(INDEX(Movimientos!$E$2:$E$1993,MATCH(A153&amp;"ENTRADA",Movimientos!$R$2:$R$1993,0)),"-")</f>
        <v>-</v>
      </c>
      <c r="E153" s="2" t="str">
        <f>IFERROR(INDEX(Movimientos!$F$2:$F$1993,MATCH(A153&amp;"ENTRADA",Movimientos!$R$2:$R$1993,0)),"-")</f>
        <v>-</v>
      </c>
      <c r="F153" s="2" t="str">
        <f>IFERROR(INDEX(Movimientos!$G$2:$G$1993,MATCH(A153&amp;"ENTRADA",Movimientos!$R$2:$R$1993,0)),"-")</f>
        <v>-</v>
      </c>
      <c r="G153" s="2" t="str">
        <f>IFERROR(INDEX(Movimientos!$L$2:$L$1993,MATCH(A153&amp;"ENTRADA",Movimientos!$R$2:$R$1993,0)),"-")</f>
        <v>-</v>
      </c>
      <c r="H153" s="17" t="str">
        <f>IFERROR(IF(INDEX(Movimientos!$M$2:$M$1993,MATCH(A153&amp;"ENTRADA",Movimientos!$R$2:$R$1993,0))=0,"S/D",INDEX(Movimientos!$M$2:$M$1993,MATCH(A153&amp;"ENTRADA",Movimientos!$R$2:$R$1993,0))),"S/D")</f>
        <v>S/D</v>
      </c>
      <c r="I153" s="15" t="str">
        <f t="shared" ca="1" si="6"/>
        <v>S/D</v>
      </c>
      <c r="J153" s="5">
        <f>IF(A153="","",SUMIFS(Movimientos!$K:$K,Movimientos!$H:$H,A153))</f>
        <v>0</v>
      </c>
      <c r="K153" s="13" t="str">
        <f t="shared" ca="1" si="5"/>
        <v>SIN STOCK</v>
      </c>
    </row>
    <row r="154" spans="1:11">
      <c r="A154" s="16" t="s">
        <v>2459</v>
      </c>
      <c r="B154" s="2" t="str">
        <f>IFERROR(INDEX(Movimientos!$C$2:$C$1993,MATCH(A154&amp;"ENTRADA",Movimientos!$R$2:$R$1993,0)),"-")</f>
        <v>-</v>
      </c>
      <c r="C154" s="2" t="str">
        <f>IFERROR(INDEX(Movimientos!$D$2:$D$1993,MATCH(A154&amp;"ENTRADA",Movimientos!$R$2:$R$1993,0)),"-")</f>
        <v>-</v>
      </c>
      <c r="D154" s="2" t="str">
        <f>IFERROR(INDEX(Movimientos!$E$2:$E$1993,MATCH(A154&amp;"ENTRADA",Movimientos!$R$2:$R$1993,0)),"-")</f>
        <v>-</v>
      </c>
      <c r="E154" s="2" t="str">
        <f>IFERROR(INDEX(Movimientos!$F$2:$F$1993,MATCH(A154&amp;"ENTRADA",Movimientos!$R$2:$R$1993,0)),"-")</f>
        <v>-</v>
      </c>
      <c r="F154" s="2" t="str">
        <f>IFERROR(INDEX(Movimientos!$G$2:$G$1993,MATCH(A154&amp;"ENTRADA",Movimientos!$R$2:$R$1993,0)),"-")</f>
        <v>-</v>
      </c>
      <c r="G154" s="2" t="str">
        <f>IFERROR(INDEX(Movimientos!$L$2:$L$1993,MATCH(A154&amp;"ENTRADA",Movimientos!$R$2:$R$1993,0)),"-")</f>
        <v>-</v>
      </c>
      <c r="H154" s="17" t="str">
        <f>IFERROR(IF(INDEX(Movimientos!$M$2:$M$1993,MATCH(A154&amp;"ENTRADA",Movimientos!$R$2:$R$1993,0))=0,"S/D",INDEX(Movimientos!$M$2:$M$1993,MATCH(A154&amp;"ENTRADA",Movimientos!$R$2:$R$1993,0))),"S/D")</f>
        <v>S/D</v>
      </c>
      <c r="I154" s="15" t="str">
        <f t="shared" ca="1" si="6"/>
        <v>S/D</v>
      </c>
      <c r="J154" s="5">
        <f>IF(A154="","",SUMIFS(Movimientos!$K:$K,Movimientos!$H:$H,A154))</f>
        <v>0</v>
      </c>
      <c r="K154" s="13" t="str">
        <f t="shared" ca="1" si="5"/>
        <v>SIN STOCK</v>
      </c>
    </row>
    <row r="155" spans="1:11">
      <c r="A155" s="16" t="s">
        <v>2460</v>
      </c>
      <c r="B155" s="2" t="str">
        <f>IFERROR(INDEX(Movimientos!$C$2:$C$1993,MATCH(A155&amp;"ENTRADA",Movimientos!$R$2:$R$1993,0)),"-")</f>
        <v>-</v>
      </c>
      <c r="C155" s="2" t="str">
        <f>IFERROR(INDEX(Movimientos!$D$2:$D$1993,MATCH(A155&amp;"ENTRADA",Movimientos!$R$2:$R$1993,0)),"-")</f>
        <v>-</v>
      </c>
      <c r="D155" s="2" t="str">
        <f>IFERROR(INDEX(Movimientos!$E$2:$E$1993,MATCH(A155&amp;"ENTRADA",Movimientos!$R$2:$R$1993,0)),"-")</f>
        <v>-</v>
      </c>
      <c r="E155" s="2" t="str">
        <f>IFERROR(INDEX(Movimientos!$F$2:$F$1993,MATCH(A155&amp;"ENTRADA",Movimientos!$R$2:$R$1993,0)),"-")</f>
        <v>-</v>
      </c>
      <c r="F155" s="2" t="str">
        <f>IFERROR(INDEX(Movimientos!$G$2:$G$1993,MATCH(A155&amp;"ENTRADA",Movimientos!$R$2:$R$1993,0)),"-")</f>
        <v>-</v>
      </c>
      <c r="G155" s="2" t="str">
        <f>IFERROR(INDEX(Movimientos!$L$2:$L$1993,MATCH(A155&amp;"ENTRADA",Movimientos!$R$2:$R$1993,0)),"-")</f>
        <v>-</v>
      </c>
      <c r="H155" s="17" t="str">
        <f>IFERROR(IF(INDEX(Movimientos!$M$2:$M$1993,MATCH(A155&amp;"ENTRADA",Movimientos!$R$2:$R$1993,0))=0,"S/D",INDEX(Movimientos!$M$2:$M$1993,MATCH(A155&amp;"ENTRADA",Movimientos!$R$2:$R$1993,0))),"S/D")</f>
        <v>S/D</v>
      </c>
      <c r="I155" s="15" t="str">
        <f t="shared" ca="1" si="6"/>
        <v>S/D</v>
      </c>
      <c r="J155" s="5">
        <f>IF(A155="","",SUMIFS(Movimientos!$K:$K,Movimientos!$H:$H,A155))</f>
        <v>0</v>
      </c>
      <c r="K155" s="13" t="str">
        <f t="shared" ca="1" si="5"/>
        <v>SIN STOCK</v>
      </c>
    </row>
    <row r="156" spans="1:11">
      <c r="A156" s="16" t="s">
        <v>2461</v>
      </c>
      <c r="B156" s="2" t="str">
        <f>IFERROR(INDEX(Movimientos!$C$2:$C$1993,MATCH(A156&amp;"ENTRADA",Movimientos!$R$2:$R$1993,0)),"-")</f>
        <v>-</v>
      </c>
      <c r="C156" s="2" t="str">
        <f>IFERROR(INDEX(Movimientos!$D$2:$D$1993,MATCH(A156&amp;"ENTRADA",Movimientos!$R$2:$R$1993,0)),"-")</f>
        <v>-</v>
      </c>
      <c r="D156" s="2" t="str">
        <f>IFERROR(INDEX(Movimientos!$E$2:$E$1993,MATCH(A156&amp;"ENTRADA",Movimientos!$R$2:$R$1993,0)),"-")</f>
        <v>-</v>
      </c>
      <c r="E156" s="2" t="str">
        <f>IFERROR(INDEX(Movimientos!$F$2:$F$1993,MATCH(A156&amp;"ENTRADA",Movimientos!$R$2:$R$1993,0)),"-")</f>
        <v>-</v>
      </c>
      <c r="F156" s="2" t="str">
        <f>IFERROR(INDEX(Movimientos!$G$2:$G$1993,MATCH(A156&amp;"ENTRADA",Movimientos!$R$2:$R$1993,0)),"-")</f>
        <v>-</v>
      </c>
      <c r="G156" s="2" t="str">
        <f>IFERROR(INDEX(Movimientos!$L$2:$L$1993,MATCH(A156&amp;"ENTRADA",Movimientos!$R$2:$R$1993,0)),"-")</f>
        <v>-</v>
      </c>
      <c r="H156" s="17" t="str">
        <f>IFERROR(IF(INDEX(Movimientos!$M$2:$M$1993,MATCH(A156&amp;"ENTRADA",Movimientos!$R$2:$R$1993,0))=0,"S/D",INDEX(Movimientos!$M$2:$M$1993,MATCH(A156&amp;"ENTRADA",Movimientos!$R$2:$R$1993,0))),"S/D")</f>
        <v>S/D</v>
      </c>
      <c r="I156" s="15" t="str">
        <f t="shared" ca="1" si="6"/>
        <v>S/D</v>
      </c>
      <c r="J156" s="5">
        <f>IF(A156="","",SUMIFS(Movimientos!$K:$K,Movimientos!$H:$H,A156))</f>
        <v>0</v>
      </c>
      <c r="K156" s="13" t="str">
        <f t="shared" ca="1" si="5"/>
        <v>SIN STOCK</v>
      </c>
    </row>
    <row r="157" spans="1:11">
      <c r="A157" s="16" t="s">
        <v>2462</v>
      </c>
      <c r="B157" s="2" t="str">
        <f>IFERROR(INDEX(Movimientos!$C$2:$C$1993,MATCH(A157&amp;"ENTRADA",Movimientos!$R$2:$R$1993,0)),"-")</f>
        <v>-</v>
      </c>
      <c r="C157" s="2" t="str">
        <f>IFERROR(INDEX(Movimientos!$D$2:$D$1993,MATCH(A157&amp;"ENTRADA",Movimientos!$R$2:$R$1993,0)),"-")</f>
        <v>-</v>
      </c>
      <c r="D157" s="2" t="str">
        <f>IFERROR(INDEX(Movimientos!$E$2:$E$1993,MATCH(A157&amp;"ENTRADA",Movimientos!$R$2:$R$1993,0)),"-")</f>
        <v>-</v>
      </c>
      <c r="E157" s="2" t="str">
        <f>IFERROR(INDEX(Movimientos!$F$2:$F$1993,MATCH(A157&amp;"ENTRADA",Movimientos!$R$2:$R$1993,0)),"-")</f>
        <v>-</v>
      </c>
      <c r="F157" s="2" t="str">
        <f>IFERROR(INDEX(Movimientos!$G$2:$G$1993,MATCH(A157&amp;"ENTRADA",Movimientos!$R$2:$R$1993,0)),"-")</f>
        <v>-</v>
      </c>
      <c r="G157" s="2" t="str">
        <f>IFERROR(INDEX(Movimientos!$L$2:$L$1993,MATCH(A157&amp;"ENTRADA",Movimientos!$R$2:$R$1993,0)),"-")</f>
        <v>-</v>
      </c>
      <c r="H157" s="17" t="str">
        <f>IFERROR(IF(INDEX(Movimientos!$M$2:$M$1993,MATCH(A157&amp;"ENTRADA",Movimientos!$R$2:$R$1993,0))=0,"S/D",INDEX(Movimientos!$M$2:$M$1993,MATCH(A157&amp;"ENTRADA",Movimientos!$R$2:$R$1993,0))),"S/D")</f>
        <v>S/D</v>
      </c>
      <c r="I157" s="15" t="str">
        <f t="shared" ca="1" si="6"/>
        <v>S/D</v>
      </c>
      <c r="J157" s="5">
        <f>IF(A157="","",SUMIFS(Movimientos!$K:$K,Movimientos!$H:$H,A157))</f>
        <v>0</v>
      </c>
      <c r="K157" s="13" t="str">
        <f t="shared" ca="1" si="5"/>
        <v>SIN STOCK</v>
      </c>
    </row>
    <row r="158" spans="1:11">
      <c r="A158" s="16" t="s">
        <v>2463</v>
      </c>
      <c r="B158" s="2" t="str">
        <f>IFERROR(INDEX(Movimientos!$C$2:$C$1993,MATCH(A158&amp;"ENTRADA",Movimientos!$R$2:$R$1993,0)),"-")</f>
        <v>-</v>
      </c>
      <c r="C158" s="2" t="str">
        <f>IFERROR(INDEX(Movimientos!$D$2:$D$1993,MATCH(A158&amp;"ENTRADA",Movimientos!$R$2:$R$1993,0)),"-")</f>
        <v>-</v>
      </c>
      <c r="D158" s="2" t="str">
        <f>IFERROR(INDEX(Movimientos!$E$2:$E$1993,MATCH(A158&amp;"ENTRADA",Movimientos!$R$2:$R$1993,0)),"-")</f>
        <v>-</v>
      </c>
      <c r="E158" s="2" t="str">
        <f>IFERROR(INDEX(Movimientos!$F$2:$F$1993,MATCH(A158&amp;"ENTRADA",Movimientos!$R$2:$R$1993,0)),"-")</f>
        <v>-</v>
      </c>
      <c r="F158" s="2" t="str">
        <f>IFERROR(INDEX(Movimientos!$G$2:$G$1993,MATCH(A158&amp;"ENTRADA",Movimientos!$R$2:$R$1993,0)),"-")</f>
        <v>-</v>
      </c>
      <c r="G158" s="2" t="str">
        <f>IFERROR(INDEX(Movimientos!$L$2:$L$1993,MATCH(A158&amp;"ENTRADA",Movimientos!$R$2:$R$1993,0)),"-")</f>
        <v>-</v>
      </c>
      <c r="H158" s="17" t="str">
        <f>IFERROR(IF(INDEX(Movimientos!$M$2:$M$1993,MATCH(A158&amp;"ENTRADA",Movimientos!$R$2:$R$1993,0))=0,"S/D",INDEX(Movimientos!$M$2:$M$1993,MATCH(A158&amp;"ENTRADA",Movimientos!$R$2:$R$1993,0))),"S/D")</f>
        <v>S/D</v>
      </c>
      <c r="I158" s="15" t="str">
        <f t="shared" ca="1" si="6"/>
        <v>S/D</v>
      </c>
      <c r="J158" s="5">
        <f>IF(A158="","",SUMIFS(Movimientos!$K:$K,Movimientos!$H:$H,A158))</f>
        <v>0</v>
      </c>
      <c r="K158" s="13" t="str">
        <f t="shared" ca="1" si="5"/>
        <v>SIN STOCK</v>
      </c>
    </row>
    <row r="159" spans="1:11">
      <c r="A159" s="16" t="s">
        <v>2464</v>
      </c>
      <c r="B159" s="2" t="str">
        <f>IFERROR(INDEX(Movimientos!$C$2:$C$1993,MATCH(A159&amp;"ENTRADA",Movimientos!$R$2:$R$1993,0)),"-")</f>
        <v>-</v>
      </c>
      <c r="C159" s="2" t="str">
        <f>IFERROR(INDEX(Movimientos!$D$2:$D$1993,MATCH(A159&amp;"ENTRADA",Movimientos!$R$2:$R$1993,0)),"-")</f>
        <v>-</v>
      </c>
      <c r="D159" s="2" t="str">
        <f>IFERROR(INDEX(Movimientos!$E$2:$E$1993,MATCH(A159&amp;"ENTRADA",Movimientos!$R$2:$R$1993,0)),"-")</f>
        <v>-</v>
      </c>
      <c r="E159" s="2" t="str">
        <f>IFERROR(INDEX(Movimientos!$F$2:$F$1993,MATCH(A159&amp;"ENTRADA",Movimientos!$R$2:$R$1993,0)),"-")</f>
        <v>-</v>
      </c>
      <c r="F159" s="2" t="str">
        <f>IFERROR(INDEX(Movimientos!$G$2:$G$1993,MATCH(A159&amp;"ENTRADA",Movimientos!$R$2:$R$1993,0)),"-")</f>
        <v>-</v>
      </c>
      <c r="G159" s="2" t="str">
        <f>IFERROR(INDEX(Movimientos!$L$2:$L$1993,MATCH(A159&amp;"ENTRADA",Movimientos!$R$2:$R$1993,0)),"-")</f>
        <v>-</v>
      </c>
      <c r="H159" s="17" t="str">
        <f>IFERROR(IF(INDEX(Movimientos!$M$2:$M$1993,MATCH(A159&amp;"ENTRADA",Movimientos!$R$2:$R$1993,0))=0,"S/D",INDEX(Movimientos!$M$2:$M$1993,MATCH(A159&amp;"ENTRADA",Movimientos!$R$2:$R$1993,0))),"S/D")</f>
        <v>S/D</v>
      </c>
      <c r="I159" s="15" t="str">
        <f t="shared" ca="1" si="6"/>
        <v>S/D</v>
      </c>
      <c r="J159" s="5">
        <f>IF(A159="","",SUMIFS(Movimientos!$K:$K,Movimientos!$H:$H,A159))</f>
        <v>0</v>
      </c>
      <c r="K159" s="13" t="str">
        <f t="shared" ca="1" si="5"/>
        <v>SIN STOCK</v>
      </c>
    </row>
    <row r="160" spans="1:11">
      <c r="A160" s="16" t="s">
        <v>2465</v>
      </c>
      <c r="B160" s="2" t="str">
        <f>IFERROR(INDEX(Movimientos!$C$2:$C$1993,MATCH(A160&amp;"ENTRADA",Movimientos!$R$2:$R$1993,0)),"-")</f>
        <v>-</v>
      </c>
      <c r="C160" s="2" t="str">
        <f>IFERROR(INDEX(Movimientos!$D$2:$D$1993,MATCH(A160&amp;"ENTRADA",Movimientos!$R$2:$R$1993,0)),"-")</f>
        <v>-</v>
      </c>
      <c r="D160" s="2" t="str">
        <f>IFERROR(INDEX(Movimientos!$E$2:$E$1993,MATCH(A160&amp;"ENTRADA",Movimientos!$R$2:$R$1993,0)),"-")</f>
        <v>-</v>
      </c>
      <c r="E160" s="2" t="str">
        <f>IFERROR(INDEX(Movimientos!$F$2:$F$1993,MATCH(A160&amp;"ENTRADA",Movimientos!$R$2:$R$1993,0)),"-")</f>
        <v>-</v>
      </c>
      <c r="F160" s="2" t="str">
        <f>IFERROR(INDEX(Movimientos!$G$2:$G$1993,MATCH(A160&amp;"ENTRADA",Movimientos!$R$2:$R$1993,0)),"-")</f>
        <v>-</v>
      </c>
      <c r="G160" s="2" t="str">
        <f>IFERROR(INDEX(Movimientos!$L$2:$L$1993,MATCH(A160&amp;"ENTRADA",Movimientos!$R$2:$R$1993,0)),"-")</f>
        <v>-</v>
      </c>
      <c r="H160" s="17" t="str">
        <f>IFERROR(IF(INDEX(Movimientos!$M$2:$M$1993,MATCH(A160&amp;"ENTRADA",Movimientos!$R$2:$R$1993,0))=0,"S/D",INDEX(Movimientos!$M$2:$M$1993,MATCH(A160&amp;"ENTRADA",Movimientos!$R$2:$R$1993,0))),"S/D")</f>
        <v>S/D</v>
      </c>
      <c r="I160" s="15" t="str">
        <f t="shared" ca="1" si="6"/>
        <v>S/D</v>
      </c>
      <c r="J160" s="5">
        <f>IF(A160="","",SUMIFS(Movimientos!$K:$K,Movimientos!$H:$H,A160))</f>
        <v>0</v>
      </c>
      <c r="K160" s="13" t="str">
        <f t="shared" ca="1" si="5"/>
        <v>SIN STOCK</v>
      </c>
    </row>
    <row r="161" spans="1:11">
      <c r="A161" s="16" t="s">
        <v>2466</v>
      </c>
      <c r="B161" s="2" t="str">
        <f>IFERROR(INDEX(Movimientos!$C$2:$C$1993,MATCH(A161&amp;"ENTRADA",Movimientos!$R$2:$R$1993,0)),"-")</f>
        <v>-</v>
      </c>
      <c r="C161" s="2" t="str">
        <f>IFERROR(INDEX(Movimientos!$D$2:$D$1993,MATCH(A161&amp;"ENTRADA",Movimientos!$R$2:$R$1993,0)),"-")</f>
        <v>-</v>
      </c>
      <c r="D161" s="2" t="str">
        <f>IFERROR(INDEX(Movimientos!$E$2:$E$1993,MATCH(A161&amp;"ENTRADA",Movimientos!$R$2:$R$1993,0)),"-")</f>
        <v>-</v>
      </c>
      <c r="E161" s="2" t="str">
        <f>IFERROR(INDEX(Movimientos!$F$2:$F$1993,MATCH(A161&amp;"ENTRADA",Movimientos!$R$2:$R$1993,0)),"-")</f>
        <v>-</v>
      </c>
      <c r="F161" s="2" t="str">
        <f>IFERROR(INDEX(Movimientos!$G$2:$G$1993,MATCH(A161&amp;"ENTRADA",Movimientos!$R$2:$R$1993,0)),"-")</f>
        <v>-</v>
      </c>
      <c r="G161" s="2" t="str">
        <f>IFERROR(INDEX(Movimientos!$L$2:$L$1993,MATCH(A161&amp;"ENTRADA",Movimientos!$R$2:$R$1993,0)),"-")</f>
        <v>-</v>
      </c>
      <c r="H161" s="17" t="str">
        <f>IFERROR(IF(INDEX(Movimientos!$M$2:$M$1993,MATCH(A161&amp;"ENTRADA",Movimientos!$R$2:$R$1993,0))=0,"S/D",INDEX(Movimientos!$M$2:$M$1993,MATCH(A161&amp;"ENTRADA",Movimientos!$R$2:$R$1993,0))),"S/D")</f>
        <v>S/D</v>
      </c>
      <c r="I161" s="15" t="str">
        <f t="shared" ca="1" si="6"/>
        <v>S/D</v>
      </c>
      <c r="J161" s="5">
        <f>IF(A161="","",SUMIFS(Movimientos!$K:$K,Movimientos!$H:$H,A161))</f>
        <v>0</v>
      </c>
      <c r="K161" s="13" t="str">
        <f t="shared" ca="1" si="5"/>
        <v>SIN STOCK</v>
      </c>
    </row>
    <row r="162" spans="1:11">
      <c r="A162" s="16" t="s">
        <v>2467</v>
      </c>
      <c r="B162" s="2" t="str">
        <f>IFERROR(INDEX(Movimientos!$C$2:$C$1993,MATCH(A162&amp;"ENTRADA",Movimientos!$R$2:$R$1993,0)),"-")</f>
        <v>-</v>
      </c>
      <c r="C162" s="2" t="str">
        <f>IFERROR(INDEX(Movimientos!$D$2:$D$1993,MATCH(A162&amp;"ENTRADA",Movimientos!$R$2:$R$1993,0)),"-")</f>
        <v>-</v>
      </c>
      <c r="D162" s="2" t="str">
        <f>IFERROR(INDEX(Movimientos!$E$2:$E$1993,MATCH(A162&amp;"ENTRADA",Movimientos!$R$2:$R$1993,0)),"-")</f>
        <v>-</v>
      </c>
      <c r="E162" s="2" t="str">
        <f>IFERROR(INDEX(Movimientos!$F$2:$F$1993,MATCH(A162&amp;"ENTRADA",Movimientos!$R$2:$R$1993,0)),"-")</f>
        <v>-</v>
      </c>
      <c r="F162" s="2" t="str">
        <f>IFERROR(INDEX(Movimientos!$G$2:$G$1993,MATCH(A162&amp;"ENTRADA",Movimientos!$R$2:$R$1993,0)),"-")</f>
        <v>-</v>
      </c>
      <c r="G162" s="2" t="str">
        <f>IFERROR(INDEX(Movimientos!$L$2:$L$1993,MATCH(A162&amp;"ENTRADA",Movimientos!$R$2:$R$1993,0)),"-")</f>
        <v>-</v>
      </c>
      <c r="H162" s="17" t="str">
        <f>IFERROR(IF(INDEX(Movimientos!$M$2:$M$1993,MATCH(A162&amp;"ENTRADA",Movimientos!$R$2:$R$1993,0))=0,"S/D",INDEX(Movimientos!$M$2:$M$1993,MATCH(A162&amp;"ENTRADA",Movimientos!$R$2:$R$1993,0))),"S/D")</f>
        <v>S/D</v>
      </c>
      <c r="I162" s="15" t="str">
        <f t="shared" ca="1" si="6"/>
        <v>S/D</v>
      </c>
      <c r="J162" s="5">
        <f>IF(A162="","",SUMIFS(Movimientos!$K:$K,Movimientos!$H:$H,A162))</f>
        <v>0</v>
      </c>
      <c r="K162" s="13" t="str">
        <f t="shared" ca="1" si="5"/>
        <v>SIN STOCK</v>
      </c>
    </row>
    <row r="163" spans="1:11">
      <c r="A163" s="16" t="s">
        <v>2468</v>
      </c>
      <c r="B163" s="2" t="str">
        <f>IFERROR(INDEX(Movimientos!$C$2:$C$1993,MATCH(A163&amp;"ENTRADA",Movimientos!$R$2:$R$1993,0)),"-")</f>
        <v>-</v>
      </c>
      <c r="C163" s="2" t="str">
        <f>IFERROR(INDEX(Movimientos!$D$2:$D$1993,MATCH(A163&amp;"ENTRADA",Movimientos!$R$2:$R$1993,0)),"-")</f>
        <v>-</v>
      </c>
      <c r="D163" s="2" t="str">
        <f>IFERROR(INDEX(Movimientos!$E$2:$E$1993,MATCH(A163&amp;"ENTRADA",Movimientos!$R$2:$R$1993,0)),"-")</f>
        <v>-</v>
      </c>
      <c r="E163" s="2" t="str">
        <f>IFERROR(INDEX(Movimientos!$F$2:$F$1993,MATCH(A163&amp;"ENTRADA",Movimientos!$R$2:$R$1993,0)),"-")</f>
        <v>-</v>
      </c>
      <c r="F163" s="2" t="str">
        <f>IFERROR(INDEX(Movimientos!$G$2:$G$1993,MATCH(A163&amp;"ENTRADA",Movimientos!$R$2:$R$1993,0)),"-")</f>
        <v>-</v>
      </c>
      <c r="G163" s="2" t="str">
        <f>IFERROR(INDEX(Movimientos!$L$2:$L$1993,MATCH(A163&amp;"ENTRADA",Movimientos!$R$2:$R$1993,0)),"-")</f>
        <v>-</v>
      </c>
      <c r="H163" s="17" t="str">
        <f>IFERROR(IF(INDEX(Movimientos!$M$2:$M$1993,MATCH(A163&amp;"ENTRADA",Movimientos!$R$2:$R$1993,0))=0,"S/D",INDEX(Movimientos!$M$2:$M$1993,MATCH(A163&amp;"ENTRADA",Movimientos!$R$2:$R$1993,0))),"S/D")</f>
        <v>S/D</v>
      </c>
      <c r="I163" s="15" t="str">
        <f t="shared" ca="1" si="6"/>
        <v>S/D</v>
      </c>
      <c r="J163" s="5">
        <f>IF(A163="","",SUMIFS(Movimientos!$K:$K,Movimientos!$H:$H,A163))</f>
        <v>0</v>
      </c>
      <c r="K163" s="13" t="str">
        <f t="shared" ca="1" si="5"/>
        <v>SIN STOCK</v>
      </c>
    </row>
    <row r="164" spans="1:11">
      <c r="A164" s="16" t="s">
        <v>2469</v>
      </c>
      <c r="B164" s="2" t="str">
        <f>IFERROR(INDEX(Movimientos!$C$2:$C$1993,MATCH(A164&amp;"ENTRADA",Movimientos!$R$2:$R$1993,0)),"-")</f>
        <v>-</v>
      </c>
      <c r="C164" s="2" t="str">
        <f>IFERROR(INDEX(Movimientos!$D$2:$D$1993,MATCH(A164&amp;"ENTRADA",Movimientos!$R$2:$R$1993,0)),"-")</f>
        <v>-</v>
      </c>
      <c r="D164" s="2" t="str">
        <f>IFERROR(INDEX(Movimientos!$E$2:$E$1993,MATCH(A164&amp;"ENTRADA",Movimientos!$R$2:$R$1993,0)),"-")</f>
        <v>-</v>
      </c>
      <c r="E164" s="2" t="str">
        <f>IFERROR(INDEX(Movimientos!$F$2:$F$1993,MATCH(A164&amp;"ENTRADA",Movimientos!$R$2:$R$1993,0)),"-")</f>
        <v>-</v>
      </c>
      <c r="F164" s="2" t="str">
        <f>IFERROR(INDEX(Movimientos!$G$2:$G$1993,MATCH(A164&amp;"ENTRADA",Movimientos!$R$2:$R$1993,0)),"-")</f>
        <v>-</v>
      </c>
      <c r="G164" s="2" t="str">
        <f>IFERROR(INDEX(Movimientos!$L$2:$L$1993,MATCH(A164&amp;"ENTRADA",Movimientos!$R$2:$R$1993,0)),"-")</f>
        <v>-</v>
      </c>
      <c r="H164" s="17" t="str">
        <f>IFERROR(IF(INDEX(Movimientos!$M$2:$M$1993,MATCH(A164&amp;"ENTRADA",Movimientos!$R$2:$R$1993,0))=0,"S/D",INDEX(Movimientos!$M$2:$M$1993,MATCH(A164&amp;"ENTRADA",Movimientos!$R$2:$R$1993,0))),"S/D")</f>
        <v>S/D</v>
      </c>
      <c r="I164" s="15" t="str">
        <f t="shared" ca="1" si="6"/>
        <v>S/D</v>
      </c>
      <c r="J164" s="5">
        <f>IF(A164="","",SUMIFS(Movimientos!$K:$K,Movimientos!$H:$H,A164))</f>
        <v>0</v>
      </c>
      <c r="K164" s="13" t="str">
        <f t="shared" ca="1" si="5"/>
        <v>SIN STOCK</v>
      </c>
    </row>
    <row r="165" spans="1:11">
      <c r="A165" s="16" t="s">
        <v>2470</v>
      </c>
      <c r="B165" s="2" t="str">
        <f>IFERROR(INDEX(Movimientos!$C$2:$C$1993,MATCH(A165&amp;"ENTRADA",Movimientos!$R$2:$R$1993,0)),"-")</f>
        <v>-</v>
      </c>
      <c r="C165" s="2" t="str">
        <f>IFERROR(INDEX(Movimientos!$D$2:$D$1993,MATCH(A165&amp;"ENTRADA",Movimientos!$R$2:$R$1993,0)),"-")</f>
        <v>-</v>
      </c>
      <c r="D165" s="2" t="str">
        <f>IFERROR(INDEX(Movimientos!$E$2:$E$1993,MATCH(A165&amp;"ENTRADA",Movimientos!$R$2:$R$1993,0)),"-")</f>
        <v>-</v>
      </c>
      <c r="E165" s="2" t="str">
        <f>IFERROR(INDEX(Movimientos!$F$2:$F$1993,MATCH(A165&amp;"ENTRADA",Movimientos!$R$2:$R$1993,0)),"-")</f>
        <v>-</v>
      </c>
      <c r="F165" s="2" t="str">
        <f>IFERROR(INDEX(Movimientos!$G$2:$G$1993,MATCH(A165&amp;"ENTRADA",Movimientos!$R$2:$R$1993,0)),"-")</f>
        <v>-</v>
      </c>
      <c r="G165" s="2" t="str">
        <f>IFERROR(INDEX(Movimientos!$L$2:$L$1993,MATCH(A165&amp;"ENTRADA",Movimientos!$R$2:$R$1993,0)),"-")</f>
        <v>-</v>
      </c>
      <c r="H165" s="17" t="str">
        <f>IFERROR(IF(INDEX(Movimientos!$M$2:$M$1993,MATCH(A165&amp;"ENTRADA",Movimientos!$R$2:$R$1993,0))=0,"S/D",INDEX(Movimientos!$M$2:$M$1993,MATCH(A165&amp;"ENTRADA",Movimientos!$R$2:$R$1993,0))),"S/D")</f>
        <v>S/D</v>
      </c>
      <c r="I165" s="15" t="str">
        <f t="shared" ca="1" si="6"/>
        <v>S/D</v>
      </c>
      <c r="J165" s="5">
        <f>IF(A165="","",SUMIFS(Movimientos!$K:$K,Movimientos!$H:$H,A165))</f>
        <v>0</v>
      </c>
      <c r="K165" s="13" t="str">
        <f t="shared" ca="1" si="5"/>
        <v>SIN STOCK</v>
      </c>
    </row>
    <row r="166" spans="1:11">
      <c r="A166" s="16" t="s">
        <v>2471</v>
      </c>
      <c r="B166" s="2" t="str">
        <f>IFERROR(INDEX(Movimientos!$C$2:$C$1993,MATCH(A166&amp;"ENTRADA",Movimientos!$R$2:$R$1993,0)),"-")</f>
        <v>-</v>
      </c>
      <c r="C166" s="2" t="str">
        <f>IFERROR(INDEX(Movimientos!$D$2:$D$1993,MATCH(A166&amp;"ENTRADA",Movimientos!$R$2:$R$1993,0)),"-")</f>
        <v>-</v>
      </c>
      <c r="D166" s="2" t="str">
        <f>IFERROR(INDEX(Movimientos!$E$2:$E$1993,MATCH(A166&amp;"ENTRADA",Movimientos!$R$2:$R$1993,0)),"-")</f>
        <v>-</v>
      </c>
      <c r="E166" s="2" t="str">
        <f>IFERROR(INDEX(Movimientos!$F$2:$F$1993,MATCH(A166&amp;"ENTRADA",Movimientos!$R$2:$R$1993,0)),"-")</f>
        <v>-</v>
      </c>
      <c r="F166" s="2" t="str">
        <f>IFERROR(INDEX(Movimientos!$G$2:$G$1993,MATCH(A166&amp;"ENTRADA",Movimientos!$R$2:$R$1993,0)),"-")</f>
        <v>-</v>
      </c>
      <c r="G166" s="2" t="str">
        <f>IFERROR(INDEX(Movimientos!$L$2:$L$1993,MATCH(A166&amp;"ENTRADA",Movimientos!$R$2:$R$1993,0)),"-")</f>
        <v>-</v>
      </c>
      <c r="H166" s="17" t="str">
        <f>IFERROR(IF(INDEX(Movimientos!$M$2:$M$1993,MATCH(A166&amp;"ENTRADA",Movimientos!$R$2:$R$1993,0))=0,"S/D",INDEX(Movimientos!$M$2:$M$1993,MATCH(A166&amp;"ENTRADA",Movimientos!$R$2:$R$1993,0))),"S/D")</f>
        <v>S/D</v>
      </c>
      <c r="I166" s="15" t="str">
        <f t="shared" ca="1" si="6"/>
        <v>S/D</v>
      </c>
      <c r="J166" s="5">
        <f>IF(A166="","",SUMIFS(Movimientos!$K:$K,Movimientos!$H:$H,A166))</f>
        <v>0</v>
      </c>
      <c r="K166" s="13" t="str">
        <f t="shared" ca="1" si="5"/>
        <v>SIN STOCK</v>
      </c>
    </row>
    <row r="167" spans="1:11">
      <c r="A167" s="16" t="s">
        <v>2472</v>
      </c>
      <c r="B167" s="2" t="str">
        <f>IFERROR(INDEX(Movimientos!$C$2:$C$1993,MATCH(A167&amp;"ENTRADA",Movimientos!$R$2:$R$1993,0)),"-")</f>
        <v>-</v>
      </c>
      <c r="C167" s="2" t="str">
        <f>IFERROR(INDEX(Movimientos!$D$2:$D$1993,MATCH(A167&amp;"ENTRADA",Movimientos!$R$2:$R$1993,0)),"-")</f>
        <v>-</v>
      </c>
      <c r="D167" s="2" t="str">
        <f>IFERROR(INDEX(Movimientos!$E$2:$E$1993,MATCH(A167&amp;"ENTRADA",Movimientos!$R$2:$R$1993,0)),"-")</f>
        <v>-</v>
      </c>
      <c r="E167" s="2" t="str">
        <f>IFERROR(INDEX(Movimientos!$F$2:$F$1993,MATCH(A167&amp;"ENTRADA",Movimientos!$R$2:$R$1993,0)),"-")</f>
        <v>-</v>
      </c>
      <c r="F167" s="2" t="str">
        <f>IFERROR(INDEX(Movimientos!$G$2:$G$1993,MATCH(A167&amp;"ENTRADA",Movimientos!$R$2:$R$1993,0)),"-")</f>
        <v>-</v>
      </c>
      <c r="G167" s="2" t="str">
        <f>IFERROR(INDEX(Movimientos!$L$2:$L$1993,MATCH(A167&amp;"ENTRADA",Movimientos!$R$2:$R$1993,0)),"-")</f>
        <v>-</v>
      </c>
      <c r="H167" s="17" t="str">
        <f>IFERROR(IF(INDEX(Movimientos!$M$2:$M$1993,MATCH(A167&amp;"ENTRADA",Movimientos!$R$2:$R$1993,0))=0,"S/D",INDEX(Movimientos!$M$2:$M$1993,MATCH(A167&amp;"ENTRADA",Movimientos!$R$2:$R$1993,0))),"S/D")</f>
        <v>S/D</v>
      </c>
      <c r="I167" s="15" t="str">
        <f t="shared" ca="1" si="6"/>
        <v>S/D</v>
      </c>
      <c r="J167" s="5">
        <f>IF(A167="","",SUMIFS(Movimientos!$K:$K,Movimientos!$H:$H,A167))</f>
        <v>0</v>
      </c>
      <c r="K167" s="13" t="str">
        <f t="shared" ca="1" si="5"/>
        <v>SIN STOCK</v>
      </c>
    </row>
    <row r="168" spans="1:11">
      <c r="A168" s="16" t="s">
        <v>2473</v>
      </c>
      <c r="B168" s="2" t="str">
        <f>IFERROR(INDEX(Movimientos!$C$2:$C$1993,MATCH(A168&amp;"ENTRADA",Movimientos!$R$2:$R$1993,0)),"-")</f>
        <v>-</v>
      </c>
      <c r="C168" s="2" t="str">
        <f>IFERROR(INDEX(Movimientos!$D$2:$D$1993,MATCH(A168&amp;"ENTRADA",Movimientos!$R$2:$R$1993,0)),"-")</f>
        <v>-</v>
      </c>
      <c r="D168" s="2" t="str">
        <f>IFERROR(INDEX(Movimientos!$E$2:$E$1993,MATCH(A168&amp;"ENTRADA",Movimientos!$R$2:$R$1993,0)),"-")</f>
        <v>-</v>
      </c>
      <c r="E168" s="2" t="str">
        <f>IFERROR(INDEX(Movimientos!$F$2:$F$1993,MATCH(A168&amp;"ENTRADA",Movimientos!$R$2:$R$1993,0)),"-")</f>
        <v>-</v>
      </c>
      <c r="F168" s="2" t="str">
        <f>IFERROR(INDEX(Movimientos!$G$2:$G$1993,MATCH(A168&amp;"ENTRADA",Movimientos!$R$2:$R$1993,0)),"-")</f>
        <v>-</v>
      </c>
      <c r="G168" s="2" t="str">
        <f>IFERROR(INDEX(Movimientos!$L$2:$L$1993,MATCH(A168&amp;"ENTRADA",Movimientos!$R$2:$R$1993,0)),"-")</f>
        <v>-</v>
      </c>
      <c r="H168" s="17" t="str">
        <f>IFERROR(IF(INDEX(Movimientos!$M$2:$M$1993,MATCH(A168&amp;"ENTRADA",Movimientos!$R$2:$R$1993,0))=0,"S/D",INDEX(Movimientos!$M$2:$M$1993,MATCH(A168&amp;"ENTRADA",Movimientos!$R$2:$R$1993,0))),"S/D")</f>
        <v>S/D</v>
      </c>
      <c r="I168" s="15" t="str">
        <f t="shared" ca="1" si="6"/>
        <v>S/D</v>
      </c>
      <c r="J168" s="5">
        <f>IF(A168="","",SUMIFS(Movimientos!$K:$K,Movimientos!$H:$H,A168))</f>
        <v>0</v>
      </c>
      <c r="K168" s="13" t="str">
        <f t="shared" ca="1" si="5"/>
        <v>SIN STOCK</v>
      </c>
    </row>
    <row r="169" spans="1:11">
      <c r="A169" s="16" t="s">
        <v>2474</v>
      </c>
      <c r="B169" s="2" t="str">
        <f>IFERROR(INDEX(Movimientos!$C$2:$C$1993,MATCH(A169&amp;"ENTRADA",Movimientos!$R$2:$R$1993,0)),"-")</f>
        <v>-</v>
      </c>
      <c r="C169" s="2" t="str">
        <f>IFERROR(INDEX(Movimientos!$D$2:$D$1993,MATCH(A169&amp;"ENTRADA",Movimientos!$R$2:$R$1993,0)),"-")</f>
        <v>-</v>
      </c>
      <c r="D169" s="2" t="str">
        <f>IFERROR(INDEX(Movimientos!$E$2:$E$1993,MATCH(A169&amp;"ENTRADA",Movimientos!$R$2:$R$1993,0)),"-")</f>
        <v>-</v>
      </c>
      <c r="E169" s="2" t="str">
        <f>IFERROR(INDEX(Movimientos!$F$2:$F$1993,MATCH(A169&amp;"ENTRADA",Movimientos!$R$2:$R$1993,0)),"-")</f>
        <v>-</v>
      </c>
      <c r="F169" s="2" t="str">
        <f>IFERROR(INDEX(Movimientos!$G$2:$G$1993,MATCH(A169&amp;"ENTRADA",Movimientos!$R$2:$R$1993,0)),"-")</f>
        <v>-</v>
      </c>
      <c r="G169" s="2" t="str">
        <f>IFERROR(INDEX(Movimientos!$L$2:$L$1993,MATCH(A169&amp;"ENTRADA",Movimientos!$R$2:$R$1993,0)),"-")</f>
        <v>-</v>
      </c>
      <c r="H169" s="17" t="str">
        <f>IFERROR(IF(INDEX(Movimientos!$M$2:$M$1993,MATCH(A169&amp;"ENTRADA",Movimientos!$R$2:$R$1993,0))=0,"S/D",INDEX(Movimientos!$M$2:$M$1993,MATCH(A169&amp;"ENTRADA",Movimientos!$R$2:$R$1993,0))),"S/D")</f>
        <v>S/D</v>
      </c>
      <c r="I169" s="15" t="str">
        <f t="shared" ca="1" si="6"/>
        <v>S/D</v>
      </c>
      <c r="J169" s="5">
        <f>IF(A169="","",SUMIFS(Movimientos!$K:$K,Movimientos!$H:$H,A169))</f>
        <v>0</v>
      </c>
      <c r="K169" s="13" t="str">
        <f t="shared" ca="1" si="5"/>
        <v>SIN STOCK</v>
      </c>
    </row>
    <row r="170" spans="1:11">
      <c r="A170" s="16" t="s">
        <v>2475</v>
      </c>
      <c r="B170" s="2" t="str">
        <f>IFERROR(INDEX(Movimientos!$C$2:$C$1993,MATCH(A170&amp;"ENTRADA",Movimientos!$R$2:$R$1993,0)),"-")</f>
        <v>-</v>
      </c>
      <c r="C170" s="2" t="str">
        <f>IFERROR(INDEX(Movimientos!$D$2:$D$1993,MATCH(A170&amp;"ENTRADA",Movimientos!$R$2:$R$1993,0)),"-")</f>
        <v>-</v>
      </c>
      <c r="D170" s="2" t="str">
        <f>IFERROR(INDEX(Movimientos!$E$2:$E$1993,MATCH(A170&amp;"ENTRADA",Movimientos!$R$2:$R$1993,0)),"-")</f>
        <v>-</v>
      </c>
      <c r="E170" s="2" t="str">
        <f>IFERROR(INDEX(Movimientos!$F$2:$F$1993,MATCH(A170&amp;"ENTRADA",Movimientos!$R$2:$R$1993,0)),"-")</f>
        <v>-</v>
      </c>
      <c r="F170" s="2" t="str">
        <f>IFERROR(INDEX(Movimientos!$G$2:$G$1993,MATCH(A170&amp;"ENTRADA",Movimientos!$R$2:$R$1993,0)),"-")</f>
        <v>-</v>
      </c>
      <c r="G170" s="2" t="str">
        <f>IFERROR(INDEX(Movimientos!$L$2:$L$1993,MATCH(A170&amp;"ENTRADA",Movimientos!$R$2:$R$1993,0)),"-")</f>
        <v>-</v>
      </c>
      <c r="H170" s="17" t="str">
        <f>IFERROR(IF(INDEX(Movimientos!$M$2:$M$1993,MATCH(A170&amp;"ENTRADA",Movimientos!$R$2:$R$1993,0))=0,"S/D",INDEX(Movimientos!$M$2:$M$1993,MATCH(A170&amp;"ENTRADA",Movimientos!$R$2:$R$1993,0))),"S/D")</f>
        <v>S/D</v>
      </c>
      <c r="I170" s="15" t="str">
        <f t="shared" ca="1" si="6"/>
        <v>S/D</v>
      </c>
      <c r="J170" s="5">
        <f>IF(A170="","",SUMIFS(Movimientos!$K:$K,Movimientos!$H:$H,A170))</f>
        <v>0</v>
      </c>
      <c r="K170" s="13" t="str">
        <f t="shared" ca="1" si="5"/>
        <v>SIN STOCK</v>
      </c>
    </row>
    <row r="171" spans="1:11">
      <c r="A171" s="16" t="s">
        <v>2476</v>
      </c>
      <c r="B171" s="2" t="str">
        <f>IFERROR(INDEX(Movimientos!$C$2:$C$1993,MATCH(A171&amp;"ENTRADA",Movimientos!$R$2:$R$1993,0)),"-")</f>
        <v>-</v>
      </c>
      <c r="C171" s="2" t="str">
        <f>IFERROR(INDEX(Movimientos!$D$2:$D$1993,MATCH(A171&amp;"ENTRADA",Movimientos!$R$2:$R$1993,0)),"-")</f>
        <v>-</v>
      </c>
      <c r="D171" s="2" t="str">
        <f>IFERROR(INDEX(Movimientos!$E$2:$E$1993,MATCH(A171&amp;"ENTRADA",Movimientos!$R$2:$R$1993,0)),"-")</f>
        <v>-</v>
      </c>
      <c r="E171" s="2" t="str">
        <f>IFERROR(INDEX(Movimientos!$F$2:$F$1993,MATCH(A171&amp;"ENTRADA",Movimientos!$R$2:$R$1993,0)),"-")</f>
        <v>-</v>
      </c>
      <c r="F171" s="2" t="str">
        <f>IFERROR(INDEX(Movimientos!$G$2:$G$1993,MATCH(A171&amp;"ENTRADA",Movimientos!$R$2:$R$1993,0)),"-")</f>
        <v>-</v>
      </c>
      <c r="G171" s="2" t="str">
        <f>IFERROR(INDEX(Movimientos!$L$2:$L$1993,MATCH(A171&amp;"ENTRADA",Movimientos!$R$2:$R$1993,0)),"-")</f>
        <v>-</v>
      </c>
      <c r="H171" s="17" t="str">
        <f>IFERROR(IF(INDEX(Movimientos!$M$2:$M$1993,MATCH(A171&amp;"ENTRADA",Movimientos!$R$2:$R$1993,0))=0,"S/D",INDEX(Movimientos!$M$2:$M$1993,MATCH(A171&amp;"ENTRADA",Movimientos!$R$2:$R$1993,0))),"S/D")</f>
        <v>S/D</v>
      </c>
      <c r="I171" s="15" t="str">
        <f t="shared" ca="1" si="6"/>
        <v>S/D</v>
      </c>
      <c r="J171" s="5">
        <f>IF(A171="","",SUMIFS(Movimientos!$K:$K,Movimientos!$H:$H,A171))</f>
        <v>0</v>
      </c>
      <c r="K171" s="13" t="str">
        <f t="shared" ca="1" si="5"/>
        <v>SIN STOCK</v>
      </c>
    </row>
    <row r="172" spans="1:11">
      <c r="A172" s="16" t="s">
        <v>2477</v>
      </c>
      <c r="B172" s="2" t="str">
        <f>IFERROR(INDEX(Movimientos!$C$2:$C$1993,MATCH(A172&amp;"ENTRADA",Movimientos!$R$2:$R$1993,0)),"-")</f>
        <v>-</v>
      </c>
      <c r="C172" s="2" t="str">
        <f>IFERROR(INDEX(Movimientos!$D$2:$D$1993,MATCH(A172&amp;"ENTRADA",Movimientos!$R$2:$R$1993,0)),"-")</f>
        <v>-</v>
      </c>
      <c r="D172" s="2" t="str">
        <f>IFERROR(INDEX(Movimientos!$E$2:$E$1993,MATCH(A172&amp;"ENTRADA",Movimientos!$R$2:$R$1993,0)),"-")</f>
        <v>-</v>
      </c>
      <c r="E172" s="2" t="str">
        <f>IFERROR(INDEX(Movimientos!$F$2:$F$1993,MATCH(A172&amp;"ENTRADA",Movimientos!$R$2:$R$1993,0)),"-")</f>
        <v>-</v>
      </c>
      <c r="F172" s="2" t="str">
        <f>IFERROR(INDEX(Movimientos!$G$2:$G$1993,MATCH(A172&amp;"ENTRADA",Movimientos!$R$2:$R$1993,0)),"-")</f>
        <v>-</v>
      </c>
      <c r="G172" s="2" t="str">
        <f>IFERROR(INDEX(Movimientos!$L$2:$L$1993,MATCH(A172&amp;"ENTRADA",Movimientos!$R$2:$R$1993,0)),"-")</f>
        <v>-</v>
      </c>
      <c r="H172" s="17" t="str">
        <f>IFERROR(IF(INDEX(Movimientos!$M$2:$M$1993,MATCH(A172&amp;"ENTRADA",Movimientos!$R$2:$R$1993,0))=0,"S/D",INDEX(Movimientos!$M$2:$M$1993,MATCH(A172&amp;"ENTRADA",Movimientos!$R$2:$R$1993,0))),"S/D")</f>
        <v>S/D</v>
      </c>
      <c r="I172" s="15" t="str">
        <f t="shared" ca="1" si="6"/>
        <v>S/D</v>
      </c>
      <c r="J172" s="5">
        <f>IF(A172="","",SUMIFS(Movimientos!$K:$K,Movimientos!$H:$H,A172))</f>
        <v>0</v>
      </c>
      <c r="K172" s="13" t="str">
        <f t="shared" ca="1" si="5"/>
        <v>SIN STOCK</v>
      </c>
    </row>
    <row r="173" spans="1:11">
      <c r="A173" s="16" t="s">
        <v>2478</v>
      </c>
      <c r="B173" s="2" t="str">
        <f>IFERROR(INDEX(Movimientos!$C$2:$C$1993,MATCH(A173&amp;"ENTRADA",Movimientos!$R$2:$R$1993,0)),"-")</f>
        <v>-</v>
      </c>
      <c r="C173" s="2" t="str">
        <f>IFERROR(INDEX(Movimientos!$D$2:$D$1993,MATCH(A173&amp;"ENTRADA",Movimientos!$R$2:$R$1993,0)),"-")</f>
        <v>-</v>
      </c>
      <c r="D173" s="2" t="str">
        <f>IFERROR(INDEX(Movimientos!$E$2:$E$1993,MATCH(A173&amp;"ENTRADA",Movimientos!$R$2:$R$1993,0)),"-")</f>
        <v>-</v>
      </c>
      <c r="E173" s="2" t="str">
        <f>IFERROR(INDEX(Movimientos!$F$2:$F$1993,MATCH(A173&amp;"ENTRADA",Movimientos!$R$2:$R$1993,0)),"-")</f>
        <v>-</v>
      </c>
      <c r="F173" s="2" t="str">
        <f>IFERROR(INDEX(Movimientos!$G$2:$G$1993,MATCH(A173&amp;"ENTRADA",Movimientos!$R$2:$R$1993,0)),"-")</f>
        <v>-</v>
      </c>
      <c r="G173" s="2" t="str">
        <f>IFERROR(INDEX(Movimientos!$L$2:$L$1993,MATCH(A173&amp;"ENTRADA",Movimientos!$R$2:$R$1993,0)),"-")</f>
        <v>-</v>
      </c>
      <c r="H173" s="17" t="str">
        <f>IFERROR(IF(INDEX(Movimientos!$M$2:$M$1993,MATCH(A173&amp;"ENTRADA",Movimientos!$R$2:$R$1993,0))=0,"S/D",INDEX(Movimientos!$M$2:$M$1993,MATCH(A173&amp;"ENTRADA",Movimientos!$R$2:$R$1993,0))),"S/D")</f>
        <v>S/D</v>
      </c>
      <c r="I173" s="15" t="str">
        <f t="shared" ca="1" si="6"/>
        <v>S/D</v>
      </c>
      <c r="J173" s="5">
        <f>IF(A173="","",SUMIFS(Movimientos!$K:$K,Movimientos!$H:$H,A173))</f>
        <v>0</v>
      </c>
      <c r="K173" s="13" t="str">
        <f t="shared" ca="1" si="5"/>
        <v>SIN STOCK</v>
      </c>
    </row>
    <row r="174" spans="1:11">
      <c r="A174" s="16" t="s">
        <v>2479</v>
      </c>
      <c r="B174" s="2" t="str">
        <f>IFERROR(INDEX(Movimientos!$C$2:$C$1993,MATCH(A174&amp;"ENTRADA",Movimientos!$R$2:$R$1993,0)),"-")</f>
        <v>-</v>
      </c>
      <c r="C174" s="2" t="str">
        <f>IFERROR(INDEX(Movimientos!$D$2:$D$1993,MATCH(A174&amp;"ENTRADA",Movimientos!$R$2:$R$1993,0)),"-")</f>
        <v>-</v>
      </c>
      <c r="D174" s="2" t="str">
        <f>IFERROR(INDEX(Movimientos!$E$2:$E$1993,MATCH(A174&amp;"ENTRADA",Movimientos!$R$2:$R$1993,0)),"-")</f>
        <v>-</v>
      </c>
      <c r="E174" s="2" t="str">
        <f>IFERROR(INDEX(Movimientos!$F$2:$F$1993,MATCH(A174&amp;"ENTRADA",Movimientos!$R$2:$R$1993,0)),"-")</f>
        <v>-</v>
      </c>
      <c r="F174" s="2" t="str">
        <f>IFERROR(INDEX(Movimientos!$G$2:$G$1993,MATCH(A174&amp;"ENTRADA",Movimientos!$R$2:$R$1993,0)),"-")</f>
        <v>-</v>
      </c>
      <c r="G174" s="2" t="str">
        <f>IFERROR(INDEX(Movimientos!$L$2:$L$1993,MATCH(A174&amp;"ENTRADA",Movimientos!$R$2:$R$1993,0)),"-")</f>
        <v>-</v>
      </c>
      <c r="H174" s="17" t="str">
        <f>IFERROR(IF(INDEX(Movimientos!$M$2:$M$1993,MATCH(A174&amp;"ENTRADA",Movimientos!$R$2:$R$1993,0))=0,"S/D",INDEX(Movimientos!$M$2:$M$1993,MATCH(A174&amp;"ENTRADA",Movimientos!$R$2:$R$1993,0))),"S/D")</f>
        <v>S/D</v>
      </c>
      <c r="I174" s="15" t="str">
        <f t="shared" ca="1" si="6"/>
        <v>S/D</v>
      </c>
      <c r="J174" s="5">
        <f>IF(A174="","",SUMIFS(Movimientos!$K:$K,Movimientos!$H:$H,A174))</f>
        <v>0</v>
      </c>
      <c r="K174" s="13" t="str">
        <f t="shared" ca="1" si="5"/>
        <v>SIN STOCK</v>
      </c>
    </row>
    <row r="175" spans="1:11">
      <c r="A175" s="16" t="s">
        <v>2480</v>
      </c>
      <c r="B175" s="2" t="str">
        <f>IFERROR(INDEX(Movimientos!$C$2:$C$1993,MATCH(A175&amp;"ENTRADA",Movimientos!$R$2:$R$1993,0)),"-")</f>
        <v>-</v>
      </c>
      <c r="C175" s="2" t="str">
        <f>IFERROR(INDEX(Movimientos!$D$2:$D$1993,MATCH(A175&amp;"ENTRADA",Movimientos!$R$2:$R$1993,0)),"-")</f>
        <v>-</v>
      </c>
      <c r="D175" s="2" t="str">
        <f>IFERROR(INDEX(Movimientos!$E$2:$E$1993,MATCH(A175&amp;"ENTRADA",Movimientos!$R$2:$R$1993,0)),"-")</f>
        <v>-</v>
      </c>
      <c r="E175" s="2" t="str">
        <f>IFERROR(INDEX(Movimientos!$F$2:$F$1993,MATCH(A175&amp;"ENTRADA",Movimientos!$R$2:$R$1993,0)),"-")</f>
        <v>-</v>
      </c>
      <c r="F175" s="2" t="str">
        <f>IFERROR(INDEX(Movimientos!$G$2:$G$1993,MATCH(A175&amp;"ENTRADA",Movimientos!$R$2:$R$1993,0)),"-")</f>
        <v>-</v>
      </c>
      <c r="G175" s="2" t="str">
        <f>IFERROR(INDEX(Movimientos!$L$2:$L$1993,MATCH(A175&amp;"ENTRADA",Movimientos!$R$2:$R$1993,0)),"-")</f>
        <v>-</v>
      </c>
      <c r="H175" s="17" t="str">
        <f>IFERROR(IF(INDEX(Movimientos!$M$2:$M$1993,MATCH(A175&amp;"ENTRADA",Movimientos!$R$2:$R$1993,0))=0,"S/D",INDEX(Movimientos!$M$2:$M$1993,MATCH(A175&amp;"ENTRADA",Movimientos!$R$2:$R$1993,0))),"S/D")</f>
        <v>S/D</v>
      </c>
      <c r="I175" s="15" t="str">
        <f t="shared" ca="1" si="6"/>
        <v>S/D</v>
      </c>
      <c r="J175" s="5">
        <f>IF(A175="","",SUMIFS(Movimientos!$K:$K,Movimientos!$H:$H,A175))</f>
        <v>0</v>
      </c>
      <c r="K175" s="13" t="str">
        <f t="shared" ca="1" si="5"/>
        <v>SIN STOCK</v>
      </c>
    </row>
    <row r="176" spans="1:11">
      <c r="A176" s="16" t="s">
        <v>2481</v>
      </c>
      <c r="B176" s="2" t="str">
        <f>IFERROR(INDEX(Movimientos!$C$2:$C$1993,MATCH(A176&amp;"ENTRADA",Movimientos!$R$2:$R$1993,0)),"-")</f>
        <v>-</v>
      </c>
      <c r="C176" s="2" t="str">
        <f>IFERROR(INDEX(Movimientos!$D$2:$D$1993,MATCH(A176&amp;"ENTRADA",Movimientos!$R$2:$R$1993,0)),"-")</f>
        <v>-</v>
      </c>
      <c r="D176" s="2" t="str">
        <f>IFERROR(INDEX(Movimientos!$E$2:$E$1993,MATCH(A176&amp;"ENTRADA",Movimientos!$R$2:$R$1993,0)),"-")</f>
        <v>-</v>
      </c>
      <c r="E176" s="2" t="str">
        <f>IFERROR(INDEX(Movimientos!$F$2:$F$1993,MATCH(A176&amp;"ENTRADA",Movimientos!$R$2:$R$1993,0)),"-")</f>
        <v>-</v>
      </c>
      <c r="F176" s="2" t="str">
        <f>IFERROR(INDEX(Movimientos!$G$2:$G$1993,MATCH(A176&amp;"ENTRADA",Movimientos!$R$2:$R$1993,0)),"-")</f>
        <v>-</v>
      </c>
      <c r="G176" s="2" t="str">
        <f>IFERROR(INDEX(Movimientos!$L$2:$L$1993,MATCH(A176&amp;"ENTRADA",Movimientos!$R$2:$R$1993,0)),"-")</f>
        <v>-</v>
      </c>
      <c r="H176" s="17" t="str">
        <f>IFERROR(IF(INDEX(Movimientos!$M$2:$M$1993,MATCH(A176&amp;"ENTRADA",Movimientos!$R$2:$R$1993,0))=0,"S/D",INDEX(Movimientos!$M$2:$M$1993,MATCH(A176&amp;"ENTRADA",Movimientos!$R$2:$R$1993,0))),"S/D")</f>
        <v>S/D</v>
      </c>
      <c r="I176" s="15" t="str">
        <f t="shared" ca="1" si="6"/>
        <v>S/D</v>
      </c>
      <c r="J176" s="5">
        <f>IF(A176="","",SUMIFS(Movimientos!$K:$K,Movimientos!$H:$H,A176))</f>
        <v>0</v>
      </c>
      <c r="K176" s="13" t="str">
        <f t="shared" ca="1" si="5"/>
        <v>SIN STOCK</v>
      </c>
    </row>
    <row r="177" spans="1:11">
      <c r="A177" s="16" t="s">
        <v>2482</v>
      </c>
      <c r="B177" s="2" t="str">
        <f>IFERROR(INDEX(Movimientos!$C$2:$C$1993,MATCH(A177&amp;"ENTRADA",Movimientos!$R$2:$R$1993,0)),"-")</f>
        <v>-</v>
      </c>
      <c r="C177" s="2" t="str">
        <f>IFERROR(INDEX(Movimientos!$D$2:$D$1993,MATCH(A177&amp;"ENTRADA",Movimientos!$R$2:$R$1993,0)),"-")</f>
        <v>-</v>
      </c>
      <c r="D177" s="2" t="str">
        <f>IFERROR(INDEX(Movimientos!$E$2:$E$1993,MATCH(A177&amp;"ENTRADA",Movimientos!$R$2:$R$1993,0)),"-")</f>
        <v>-</v>
      </c>
      <c r="E177" s="2" t="str">
        <f>IFERROR(INDEX(Movimientos!$F$2:$F$1993,MATCH(A177&amp;"ENTRADA",Movimientos!$R$2:$R$1993,0)),"-")</f>
        <v>-</v>
      </c>
      <c r="F177" s="2" t="str">
        <f>IFERROR(INDEX(Movimientos!$G$2:$G$1993,MATCH(A177&amp;"ENTRADA",Movimientos!$R$2:$R$1993,0)),"-")</f>
        <v>-</v>
      </c>
      <c r="G177" s="2" t="str">
        <f>IFERROR(INDEX(Movimientos!$L$2:$L$1993,MATCH(A177&amp;"ENTRADA",Movimientos!$R$2:$R$1993,0)),"-")</f>
        <v>-</v>
      </c>
      <c r="H177" s="17" t="str">
        <f>IFERROR(IF(INDEX(Movimientos!$M$2:$M$1993,MATCH(A177&amp;"ENTRADA",Movimientos!$R$2:$R$1993,0))=0,"S/D",INDEX(Movimientos!$M$2:$M$1993,MATCH(A177&amp;"ENTRADA",Movimientos!$R$2:$R$1993,0))),"S/D")</f>
        <v>S/D</v>
      </c>
      <c r="I177" s="15" t="str">
        <f t="shared" ca="1" si="6"/>
        <v>S/D</v>
      </c>
      <c r="J177" s="5">
        <f>IF(A177="","",SUMIFS(Movimientos!$K:$K,Movimientos!$H:$H,A177))</f>
        <v>0</v>
      </c>
      <c r="K177" s="13" t="str">
        <f t="shared" ca="1" si="5"/>
        <v>SIN STOCK</v>
      </c>
    </row>
    <row r="178" spans="1:11">
      <c r="A178" s="16" t="s">
        <v>2483</v>
      </c>
      <c r="B178" s="2" t="str">
        <f>IFERROR(INDEX(Movimientos!$C$2:$C$1993,MATCH(A178&amp;"ENTRADA",Movimientos!$R$2:$R$1993,0)),"-")</f>
        <v>-</v>
      </c>
      <c r="C178" s="2" t="str">
        <f>IFERROR(INDEX(Movimientos!$D$2:$D$1993,MATCH(A178&amp;"ENTRADA",Movimientos!$R$2:$R$1993,0)),"-")</f>
        <v>-</v>
      </c>
      <c r="D178" s="2" t="str">
        <f>IFERROR(INDEX(Movimientos!$E$2:$E$1993,MATCH(A178&amp;"ENTRADA",Movimientos!$R$2:$R$1993,0)),"-")</f>
        <v>-</v>
      </c>
      <c r="E178" s="2" t="str">
        <f>IFERROR(INDEX(Movimientos!$F$2:$F$1993,MATCH(A178&amp;"ENTRADA",Movimientos!$R$2:$R$1993,0)),"-")</f>
        <v>-</v>
      </c>
      <c r="F178" s="2" t="str">
        <f>IFERROR(INDEX(Movimientos!$G$2:$G$1993,MATCH(A178&amp;"ENTRADA",Movimientos!$R$2:$R$1993,0)),"-")</f>
        <v>-</v>
      </c>
      <c r="G178" s="2" t="str">
        <f>IFERROR(INDEX(Movimientos!$L$2:$L$1993,MATCH(A178&amp;"ENTRADA",Movimientos!$R$2:$R$1993,0)),"-")</f>
        <v>-</v>
      </c>
      <c r="H178" s="17" t="str">
        <f>IFERROR(IF(INDEX(Movimientos!$M$2:$M$1993,MATCH(A178&amp;"ENTRADA",Movimientos!$R$2:$R$1993,0))=0,"S/D",INDEX(Movimientos!$M$2:$M$1993,MATCH(A178&amp;"ENTRADA",Movimientos!$R$2:$R$1993,0))),"S/D")</f>
        <v>S/D</v>
      </c>
      <c r="I178" s="15" t="str">
        <f t="shared" ca="1" si="6"/>
        <v>S/D</v>
      </c>
      <c r="J178" s="5">
        <f>IF(A178="","",SUMIFS(Movimientos!$K:$K,Movimientos!$H:$H,A178))</f>
        <v>0</v>
      </c>
      <c r="K178" s="13" t="str">
        <f t="shared" ca="1" si="5"/>
        <v>SIN STOCK</v>
      </c>
    </row>
    <row r="179" spans="1:11">
      <c r="A179" s="16" t="s">
        <v>2484</v>
      </c>
      <c r="B179" s="2" t="str">
        <f>IFERROR(INDEX(Movimientos!$C$2:$C$1993,MATCH(A179&amp;"ENTRADA",Movimientos!$R$2:$R$1993,0)),"-")</f>
        <v>-</v>
      </c>
      <c r="C179" s="2" t="str">
        <f>IFERROR(INDEX(Movimientos!$D$2:$D$1993,MATCH(A179&amp;"ENTRADA",Movimientos!$R$2:$R$1993,0)),"-")</f>
        <v>-</v>
      </c>
      <c r="D179" s="2" t="str">
        <f>IFERROR(INDEX(Movimientos!$E$2:$E$1993,MATCH(A179&amp;"ENTRADA",Movimientos!$R$2:$R$1993,0)),"-")</f>
        <v>-</v>
      </c>
      <c r="E179" s="2" t="str">
        <f>IFERROR(INDEX(Movimientos!$F$2:$F$1993,MATCH(A179&amp;"ENTRADA",Movimientos!$R$2:$R$1993,0)),"-")</f>
        <v>-</v>
      </c>
      <c r="F179" s="2" t="str">
        <f>IFERROR(INDEX(Movimientos!$G$2:$G$1993,MATCH(A179&amp;"ENTRADA",Movimientos!$R$2:$R$1993,0)),"-")</f>
        <v>-</v>
      </c>
      <c r="G179" s="2" t="str">
        <f>IFERROR(INDEX(Movimientos!$L$2:$L$1993,MATCH(A179&amp;"ENTRADA",Movimientos!$R$2:$R$1993,0)),"-")</f>
        <v>-</v>
      </c>
      <c r="H179" s="17" t="str">
        <f>IFERROR(IF(INDEX(Movimientos!$M$2:$M$1993,MATCH(A179&amp;"ENTRADA",Movimientos!$R$2:$R$1993,0))=0,"S/D",INDEX(Movimientos!$M$2:$M$1993,MATCH(A179&amp;"ENTRADA",Movimientos!$R$2:$R$1993,0))),"S/D")</f>
        <v>S/D</v>
      </c>
      <c r="I179" s="15" t="str">
        <f t="shared" ca="1" si="6"/>
        <v>S/D</v>
      </c>
      <c r="J179" s="5">
        <f>IF(A179="","",SUMIFS(Movimientos!$K:$K,Movimientos!$H:$H,A179))</f>
        <v>0</v>
      </c>
      <c r="K179" s="13" t="str">
        <f t="shared" ca="1" si="5"/>
        <v>SIN STOCK</v>
      </c>
    </row>
    <row r="180" spans="1:11">
      <c r="A180" s="16" t="s">
        <v>2485</v>
      </c>
      <c r="B180" s="2" t="str">
        <f>IFERROR(INDEX(Movimientos!$C$2:$C$1993,MATCH(A180&amp;"ENTRADA",Movimientos!$R$2:$R$1993,0)),"-")</f>
        <v>-</v>
      </c>
      <c r="C180" s="2" t="str">
        <f>IFERROR(INDEX(Movimientos!$D$2:$D$1993,MATCH(A180&amp;"ENTRADA",Movimientos!$R$2:$R$1993,0)),"-")</f>
        <v>-</v>
      </c>
      <c r="D180" s="2" t="str">
        <f>IFERROR(INDEX(Movimientos!$E$2:$E$1993,MATCH(A180&amp;"ENTRADA",Movimientos!$R$2:$R$1993,0)),"-")</f>
        <v>-</v>
      </c>
      <c r="E180" s="2" t="str">
        <f>IFERROR(INDEX(Movimientos!$F$2:$F$1993,MATCH(A180&amp;"ENTRADA",Movimientos!$R$2:$R$1993,0)),"-")</f>
        <v>-</v>
      </c>
      <c r="F180" s="2" t="str">
        <f>IFERROR(INDEX(Movimientos!$G$2:$G$1993,MATCH(A180&amp;"ENTRADA",Movimientos!$R$2:$R$1993,0)),"-")</f>
        <v>-</v>
      </c>
      <c r="G180" s="2" t="str">
        <f>IFERROR(INDEX(Movimientos!$L$2:$L$1993,MATCH(A180&amp;"ENTRADA",Movimientos!$R$2:$R$1993,0)),"-")</f>
        <v>-</v>
      </c>
      <c r="H180" s="17" t="str">
        <f>IFERROR(IF(INDEX(Movimientos!$M$2:$M$1993,MATCH(A180&amp;"ENTRADA",Movimientos!$R$2:$R$1993,0))=0,"S/D",INDEX(Movimientos!$M$2:$M$1993,MATCH(A180&amp;"ENTRADA",Movimientos!$R$2:$R$1993,0))),"S/D")</f>
        <v>S/D</v>
      </c>
      <c r="I180" s="15" t="str">
        <f t="shared" ca="1" si="6"/>
        <v>S/D</v>
      </c>
      <c r="J180" s="5">
        <f>IF(A180="","",SUMIFS(Movimientos!$K:$K,Movimientos!$H:$H,A180))</f>
        <v>0</v>
      </c>
      <c r="K180" s="13" t="str">
        <f t="shared" ca="1" si="5"/>
        <v>SIN STOCK</v>
      </c>
    </row>
    <row r="181" spans="1:11">
      <c r="A181" s="16" t="s">
        <v>2486</v>
      </c>
      <c r="B181" s="2" t="str">
        <f>IFERROR(INDEX(Movimientos!$C$2:$C$1993,MATCH(A181&amp;"ENTRADA",Movimientos!$R$2:$R$1993,0)),"-")</f>
        <v>-</v>
      </c>
      <c r="C181" s="2" t="str">
        <f>IFERROR(INDEX(Movimientos!$D$2:$D$1993,MATCH(A181&amp;"ENTRADA",Movimientos!$R$2:$R$1993,0)),"-")</f>
        <v>-</v>
      </c>
      <c r="D181" s="2" t="str">
        <f>IFERROR(INDEX(Movimientos!$E$2:$E$1993,MATCH(A181&amp;"ENTRADA",Movimientos!$R$2:$R$1993,0)),"-")</f>
        <v>-</v>
      </c>
      <c r="E181" s="2" t="str">
        <f>IFERROR(INDEX(Movimientos!$F$2:$F$1993,MATCH(A181&amp;"ENTRADA",Movimientos!$R$2:$R$1993,0)),"-")</f>
        <v>-</v>
      </c>
      <c r="F181" s="2" t="str">
        <f>IFERROR(INDEX(Movimientos!$G$2:$G$1993,MATCH(A181&amp;"ENTRADA",Movimientos!$R$2:$R$1993,0)),"-")</f>
        <v>-</v>
      </c>
      <c r="G181" s="2" t="str">
        <f>IFERROR(INDEX(Movimientos!$L$2:$L$1993,MATCH(A181&amp;"ENTRADA",Movimientos!$R$2:$R$1993,0)),"-")</f>
        <v>-</v>
      </c>
      <c r="H181" s="17" t="str">
        <f>IFERROR(IF(INDEX(Movimientos!$M$2:$M$1993,MATCH(A181&amp;"ENTRADA",Movimientos!$R$2:$R$1993,0))=0,"S/D",INDEX(Movimientos!$M$2:$M$1993,MATCH(A181&amp;"ENTRADA",Movimientos!$R$2:$R$1993,0))),"S/D")</f>
        <v>S/D</v>
      </c>
      <c r="I181" s="15" t="str">
        <f t="shared" ca="1" si="6"/>
        <v>S/D</v>
      </c>
      <c r="J181" s="5">
        <f>IF(A181="","",SUMIFS(Movimientos!$K:$K,Movimientos!$H:$H,A181))</f>
        <v>0</v>
      </c>
      <c r="K181" s="13" t="str">
        <f t="shared" ca="1" si="5"/>
        <v>SIN STOCK</v>
      </c>
    </row>
    <row r="182" spans="1:11">
      <c r="A182" s="16" t="s">
        <v>2487</v>
      </c>
      <c r="B182" s="2" t="str">
        <f>IFERROR(INDEX(Movimientos!$C$2:$C$1993,MATCH(A182&amp;"ENTRADA",Movimientos!$R$2:$R$1993,0)),"-")</f>
        <v>-</v>
      </c>
      <c r="C182" s="2" t="str">
        <f>IFERROR(INDEX(Movimientos!$D$2:$D$1993,MATCH(A182&amp;"ENTRADA",Movimientos!$R$2:$R$1993,0)),"-")</f>
        <v>-</v>
      </c>
      <c r="D182" s="2" t="str">
        <f>IFERROR(INDEX(Movimientos!$E$2:$E$1993,MATCH(A182&amp;"ENTRADA",Movimientos!$R$2:$R$1993,0)),"-")</f>
        <v>-</v>
      </c>
      <c r="E182" s="2" t="str">
        <f>IFERROR(INDEX(Movimientos!$F$2:$F$1993,MATCH(A182&amp;"ENTRADA",Movimientos!$R$2:$R$1993,0)),"-")</f>
        <v>-</v>
      </c>
      <c r="F182" s="2" t="str">
        <f>IFERROR(INDEX(Movimientos!$G$2:$G$1993,MATCH(A182&amp;"ENTRADA",Movimientos!$R$2:$R$1993,0)),"-")</f>
        <v>-</v>
      </c>
      <c r="G182" s="2" t="str">
        <f>IFERROR(INDEX(Movimientos!$L$2:$L$1993,MATCH(A182&amp;"ENTRADA",Movimientos!$R$2:$R$1993,0)),"-")</f>
        <v>-</v>
      </c>
      <c r="H182" s="17" t="str">
        <f>IFERROR(IF(INDEX(Movimientos!$M$2:$M$1993,MATCH(A182&amp;"ENTRADA",Movimientos!$R$2:$R$1993,0))=0,"S/D",INDEX(Movimientos!$M$2:$M$1993,MATCH(A182&amp;"ENTRADA",Movimientos!$R$2:$R$1993,0))),"S/D")</f>
        <v>S/D</v>
      </c>
      <c r="I182" s="15" t="str">
        <f t="shared" ca="1" si="6"/>
        <v>S/D</v>
      </c>
      <c r="J182" s="5">
        <f>IF(A182="","",SUMIFS(Movimientos!$K:$K,Movimientos!$H:$H,A182))</f>
        <v>0</v>
      </c>
      <c r="K182" s="13" t="str">
        <f t="shared" ca="1" si="5"/>
        <v>SIN STOCK</v>
      </c>
    </row>
    <row r="183" spans="1:11">
      <c r="A183" s="16" t="s">
        <v>2488</v>
      </c>
      <c r="B183" s="2" t="str">
        <f>IFERROR(INDEX(Movimientos!$C$2:$C$1993,MATCH(A183&amp;"ENTRADA",Movimientos!$R$2:$R$1993,0)),"-")</f>
        <v>-</v>
      </c>
      <c r="C183" s="2" t="str">
        <f>IFERROR(INDEX(Movimientos!$D$2:$D$1993,MATCH(A183&amp;"ENTRADA",Movimientos!$R$2:$R$1993,0)),"-")</f>
        <v>-</v>
      </c>
      <c r="D183" s="2" t="str">
        <f>IFERROR(INDEX(Movimientos!$E$2:$E$1993,MATCH(A183&amp;"ENTRADA",Movimientos!$R$2:$R$1993,0)),"-")</f>
        <v>-</v>
      </c>
      <c r="E183" s="2" t="str">
        <f>IFERROR(INDEX(Movimientos!$F$2:$F$1993,MATCH(A183&amp;"ENTRADA",Movimientos!$R$2:$R$1993,0)),"-")</f>
        <v>-</v>
      </c>
      <c r="F183" s="2" t="str">
        <f>IFERROR(INDEX(Movimientos!$G$2:$G$1993,MATCH(A183&amp;"ENTRADA",Movimientos!$R$2:$R$1993,0)),"-")</f>
        <v>-</v>
      </c>
      <c r="G183" s="2" t="str">
        <f>IFERROR(INDEX(Movimientos!$L$2:$L$1993,MATCH(A183&amp;"ENTRADA",Movimientos!$R$2:$R$1993,0)),"-")</f>
        <v>-</v>
      </c>
      <c r="H183" s="17" t="str">
        <f>IFERROR(IF(INDEX(Movimientos!$M$2:$M$1993,MATCH(A183&amp;"ENTRADA",Movimientos!$R$2:$R$1993,0))=0,"S/D",INDEX(Movimientos!$M$2:$M$1993,MATCH(A183&amp;"ENTRADA",Movimientos!$R$2:$R$1993,0))),"S/D")</f>
        <v>S/D</v>
      </c>
      <c r="I183" s="15" t="str">
        <f t="shared" ca="1" si="6"/>
        <v>S/D</v>
      </c>
      <c r="J183" s="5">
        <f>IF(A183="","",SUMIFS(Movimientos!$K:$K,Movimientos!$H:$H,A183))</f>
        <v>0</v>
      </c>
      <c r="K183" s="13" t="str">
        <f t="shared" ca="1" si="5"/>
        <v>SIN STOCK</v>
      </c>
    </row>
    <row r="184" spans="1:11">
      <c r="A184" s="16" t="s">
        <v>2489</v>
      </c>
      <c r="B184" s="2" t="str">
        <f>IFERROR(INDEX(Movimientos!$C$2:$C$1993,MATCH(A184&amp;"ENTRADA",Movimientos!$R$2:$R$1993,0)),"-")</f>
        <v>-</v>
      </c>
      <c r="C184" s="2" t="str">
        <f>IFERROR(INDEX(Movimientos!$D$2:$D$1993,MATCH(A184&amp;"ENTRADA",Movimientos!$R$2:$R$1993,0)),"-")</f>
        <v>-</v>
      </c>
      <c r="D184" s="2" t="str">
        <f>IFERROR(INDEX(Movimientos!$E$2:$E$1993,MATCH(A184&amp;"ENTRADA",Movimientos!$R$2:$R$1993,0)),"-")</f>
        <v>-</v>
      </c>
      <c r="E184" s="2" t="str">
        <f>IFERROR(INDEX(Movimientos!$F$2:$F$1993,MATCH(A184&amp;"ENTRADA",Movimientos!$R$2:$R$1993,0)),"-")</f>
        <v>-</v>
      </c>
      <c r="F184" s="2" t="str">
        <f>IFERROR(INDEX(Movimientos!$G$2:$G$1993,MATCH(A184&amp;"ENTRADA",Movimientos!$R$2:$R$1993,0)),"-")</f>
        <v>-</v>
      </c>
      <c r="G184" s="2" t="str">
        <f>IFERROR(INDEX(Movimientos!$L$2:$L$1993,MATCH(A184&amp;"ENTRADA",Movimientos!$R$2:$R$1993,0)),"-")</f>
        <v>-</v>
      </c>
      <c r="H184" s="17" t="str">
        <f>IFERROR(IF(INDEX(Movimientos!$M$2:$M$1993,MATCH(A184&amp;"ENTRADA",Movimientos!$R$2:$R$1993,0))=0,"S/D",INDEX(Movimientos!$M$2:$M$1993,MATCH(A184&amp;"ENTRADA",Movimientos!$R$2:$R$1993,0))),"S/D")</f>
        <v>S/D</v>
      </c>
      <c r="I184" s="15" t="str">
        <f t="shared" ca="1" si="6"/>
        <v>S/D</v>
      </c>
      <c r="J184" s="5">
        <f>IF(A184="","",SUMIFS(Movimientos!$K:$K,Movimientos!$H:$H,A184))</f>
        <v>0</v>
      </c>
      <c r="K184" s="13" t="str">
        <f t="shared" ca="1" si="5"/>
        <v>SIN STOCK</v>
      </c>
    </row>
    <row r="185" spans="1:11">
      <c r="A185" s="16" t="s">
        <v>2490</v>
      </c>
      <c r="B185" s="2" t="str">
        <f>IFERROR(INDEX(Movimientos!$C$2:$C$1993,MATCH(A185&amp;"ENTRADA",Movimientos!$R$2:$R$1993,0)),"-")</f>
        <v>-</v>
      </c>
      <c r="C185" s="2" t="str">
        <f>IFERROR(INDEX(Movimientos!$D$2:$D$1993,MATCH(A185&amp;"ENTRADA",Movimientos!$R$2:$R$1993,0)),"-")</f>
        <v>-</v>
      </c>
      <c r="D185" s="2" t="str">
        <f>IFERROR(INDEX(Movimientos!$E$2:$E$1993,MATCH(A185&amp;"ENTRADA",Movimientos!$R$2:$R$1993,0)),"-")</f>
        <v>-</v>
      </c>
      <c r="E185" s="2" t="str">
        <f>IFERROR(INDEX(Movimientos!$F$2:$F$1993,MATCH(A185&amp;"ENTRADA",Movimientos!$R$2:$R$1993,0)),"-")</f>
        <v>-</v>
      </c>
      <c r="F185" s="2" t="str">
        <f>IFERROR(INDEX(Movimientos!$G$2:$G$1993,MATCH(A185&amp;"ENTRADA",Movimientos!$R$2:$R$1993,0)),"-")</f>
        <v>-</v>
      </c>
      <c r="G185" s="2" t="str">
        <f>IFERROR(INDEX(Movimientos!$L$2:$L$1993,MATCH(A185&amp;"ENTRADA",Movimientos!$R$2:$R$1993,0)),"-")</f>
        <v>-</v>
      </c>
      <c r="H185" s="17" t="str">
        <f>IFERROR(IF(INDEX(Movimientos!$M$2:$M$1993,MATCH(A185&amp;"ENTRADA",Movimientos!$R$2:$R$1993,0))=0,"S/D",INDEX(Movimientos!$M$2:$M$1993,MATCH(A185&amp;"ENTRADA",Movimientos!$R$2:$R$1993,0))),"S/D")</f>
        <v>S/D</v>
      </c>
      <c r="I185" s="15" t="str">
        <f t="shared" ca="1" si="6"/>
        <v>S/D</v>
      </c>
      <c r="J185" s="5">
        <f>IF(A185="","",SUMIFS(Movimientos!$K:$K,Movimientos!$H:$H,A185))</f>
        <v>0</v>
      </c>
      <c r="K185" s="13" t="str">
        <f t="shared" ca="1" si="5"/>
        <v>SIN STOCK</v>
      </c>
    </row>
    <row r="186" spans="1:11">
      <c r="A186" s="16" t="s">
        <v>2491</v>
      </c>
      <c r="B186" s="2" t="str">
        <f>IFERROR(INDEX(Movimientos!$C$2:$C$1993,MATCH(A186&amp;"ENTRADA",Movimientos!$R$2:$R$1993,0)),"-")</f>
        <v>-</v>
      </c>
      <c r="C186" s="2" t="str">
        <f>IFERROR(INDEX(Movimientos!$D$2:$D$1993,MATCH(A186&amp;"ENTRADA",Movimientos!$R$2:$R$1993,0)),"-")</f>
        <v>-</v>
      </c>
      <c r="D186" s="2" t="str">
        <f>IFERROR(INDEX(Movimientos!$E$2:$E$1993,MATCH(A186&amp;"ENTRADA",Movimientos!$R$2:$R$1993,0)),"-")</f>
        <v>-</v>
      </c>
      <c r="E186" s="2" t="str">
        <f>IFERROR(INDEX(Movimientos!$F$2:$F$1993,MATCH(A186&amp;"ENTRADA",Movimientos!$R$2:$R$1993,0)),"-")</f>
        <v>-</v>
      </c>
      <c r="F186" s="2" t="str">
        <f>IFERROR(INDEX(Movimientos!$G$2:$G$1993,MATCH(A186&amp;"ENTRADA",Movimientos!$R$2:$R$1993,0)),"-")</f>
        <v>-</v>
      </c>
      <c r="G186" s="2" t="str">
        <f>IFERROR(INDEX(Movimientos!$L$2:$L$1993,MATCH(A186&amp;"ENTRADA",Movimientos!$R$2:$R$1993,0)),"-")</f>
        <v>-</v>
      </c>
      <c r="H186" s="17" t="str">
        <f>IFERROR(IF(INDEX(Movimientos!$M$2:$M$1993,MATCH(A186&amp;"ENTRADA",Movimientos!$R$2:$R$1993,0))=0,"S/D",INDEX(Movimientos!$M$2:$M$1993,MATCH(A186&amp;"ENTRADA",Movimientos!$R$2:$R$1993,0))),"S/D")</f>
        <v>S/D</v>
      </c>
      <c r="I186" s="15" t="str">
        <f t="shared" ca="1" si="6"/>
        <v>S/D</v>
      </c>
      <c r="J186" s="5">
        <f>IF(A186="","",SUMIFS(Movimientos!$K:$K,Movimientos!$H:$H,A186))</f>
        <v>0</v>
      </c>
      <c r="K186" s="13" t="str">
        <f t="shared" ca="1" si="5"/>
        <v>SIN STOCK</v>
      </c>
    </row>
    <row r="187" spans="1:11">
      <c r="A187" s="16" t="s">
        <v>2492</v>
      </c>
      <c r="B187" s="2" t="str">
        <f>IFERROR(INDEX(Movimientos!$C$2:$C$1993,MATCH(A187&amp;"ENTRADA",Movimientos!$R$2:$R$1993,0)),"-")</f>
        <v>-</v>
      </c>
      <c r="C187" s="2" t="str">
        <f>IFERROR(INDEX(Movimientos!$D$2:$D$1993,MATCH(A187&amp;"ENTRADA",Movimientos!$R$2:$R$1993,0)),"-")</f>
        <v>-</v>
      </c>
      <c r="D187" s="2" t="str">
        <f>IFERROR(INDEX(Movimientos!$E$2:$E$1993,MATCH(A187&amp;"ENTRADA",Movimientos!$R$2:$R$1993,0)),"-")</f>
        <v>-</v>
      </c>
      <c r="E187" s="2" t="str">
        <f>IFERROR(INDEX(Movimientos!$F$2:$F$1993,MATCH(A187&amp;"ENTRADA",Movimientos!$R$2:$R$1993,0)),"-")</f>
        <v>-</v>
      </c>
      <c r="F187" s="2" t="str">
        <f>IFERROR(INDEX(Movimientos!$G$2:$G$1993,MATCH(A187&amp;"ENTRADA",Movimientos!$R$2:$R$1993,0)),"-")</f>
        <v>-</v>
      </c>
      <c r="G187" s="2" t="str">
        <f>IFERROR(INDEX(Movimientos!$L$2:$L$1993,MATCH(A187&amp;"ENTRADA",Movimientos!$R$2:$R$1993,0)),"-")</f>
        <v>-</v>
      </c>
      <c r="H187" s="17" t="str">
        <f>IFERROR(IF(INDEX(Movimientos!$M$2:$M$1993,MATCH(A187&amp;"ENTRADA",Movimientos!$R$2:$R$1993,0))=0,"S/D",INDEX(Movimientos!$M$2:$M$1993,MATCH(A187&amp;"ENTRADA",Movimientos!$R$2:$R$1993,0))),"S/D")</f>
        <v>S/D</v>
      </c>
      <c r="I187" s="15" t="str">
        <f t="shared" ca="1" si="6"/>
        <v>S/D</v>
      </c>
      <c r="J187" s="5">
        <f>IF(A187="","",SUMIFS(Movimientos!$K:$K,Movimientos!$H:$H,A187))</f>
        <v>0</v>
      </c>
      <c r="K187" s="13" t="str">
        <f t="shared" ca="1" si="5"/>
        <v>SIN STOCK</v>
      </c>
    </row>
    <row r="188" spans="1:11">
      <c r="A188" s="16" t="s">
        <v>2493</v>
      </c>
      <c r="B188" s="2" t="str">
        <f>IFERROR(INDEX(Movimientos!$C$2:$C$1993,MATCH(A188&amp;"ENTRADA",Movimientos!$R$2:$R$1993,0)),"-")</f>
        <v>-</v>
      </c>
      <c r="C188" s="2" t="str">
        <f>IFERROR(INDEX(Movimientos!$D$2:$D$1993,MATCH(A188&amp;"ENTRADA",Movimientos!$R$2:$R$1993,0)),"-")</f>
        <v>-</v>
      </c>
      <c r="D188" s="2" t="str">
        <f>IFERROR(INDEX(Movimientos!$E$2:$E$1993,MATCH(A188&amp;"ENTRADA",Movimientos!$R$2:$R$1993,0)),"-")</f>
        <v>-</v>
      </c>
      <c r="E188" s="2" t="str">
        <f>IFERROR(INDEX(Movimientos!$F$2:$F$1993,MATCH(A188&amp;"ENTRADA",Movimientos!$R$2:$R$1993,0)),"-")</f>
        <v>-</v>
      </c>
      <c r="F188" s="2" t="str">
        <f>IFERROR(INDEX(Movimientos!$G$2:$G$1993,MATCH(A188&amp;"ENTRADA",Movimientos!$R$2:$R$1993,0)),"-")</f>
        <v>-</v>
      </c>
      <c r="G188" s="2" t="str">
        <f>IFERROR(INDEX(Movimientos!$L$2:$L$1993,MATCH(A188&amp;"ENTRADA",Movimientos!$R$2:$R$1993,0)),"-")</f>
        <v>-</v>
      </c>
      <c r="H188" s="17" t="str">
        <f>IFERROR(IF(INDEX(Movimientos!$M$2:$M$1993,MATCH(A188&amp;"ENTRADA",Movimientos!$R$2:$R$1993,0))=0,"S/D",INDEX(Movimientos!$M$2:$M$1993,MATCH(A188&amp;"ENTRADA",Movimientos!$R$2:$R$1993,0))),"S/D")</f>
        <v>S/D</v>
      </c>
      <c r="I188" s="15" t="str">
        <f t="shared" ca="1" si="6"/>
        <v>S/D</v>
      </c>
      <c r="J188" s="5">
        <f>IF(A188="","",SUMIFS(Movimientos!$K:$K,Movimientos!$H:$H,A188))</f>
        <v>0</v>
      </c>
      <c r="K188" s="13" t="str">
        <f t="shared" ca="1" si="5"/>
        <v>SIN STOCK</v>
      </c>
    </row>
    <row r="189" spans="1:11">
      <c r="A189" s="16" t="s">
        <v>2494</v>
      </c>
      <c r="B189" s="2" t="str">
        <f>IFERROR(INDEX(Movimientos!$C$2:$C$1993,MATCH(A189&amp;"ENTRADA",Movimientos!$R$2:$R$1993,0)),"-")</f>
        <v>-</v>
      </c>
      <c r="C189" s="2" t="str">
        <f>IFERROR(INDEX(Movimientos!$D$2:$D$1993,MATCH(A189&amp;"ENTRADA",Movimientos!$R$2:$R$1993,0)),"-")</f>
        <v>-</v>
      </c>
      <c r="D189" s="2" t="str">
        <f>IFERROR(INDEX(Movimientos!$E$2:$E$1993,MATCH(A189&amp;"ENTRADA",Movimientos!$R$2:$R$1993,0)),"-")</f>
        <v>-</v>
      </c>
      <c r="E189" s="2" t="str">
        <f>IFERROR(INDEX(Movimientos!$F$2:$F$1993,MATCH(A189&amp;"ENTRADA",Movimientos!$R$2:$R$1993,0)),"-")</f>
        <v>-</v>
      </c>
      <c r="F189" s="2" t="str">
        <f>IFERROR(INDEX(Movimientos!$G$2:$G$1993,MATCH(A189&amp;"ENTRADA",Movimientos!$R$2:$R$1993,0)),"-")</f>
        <v>-</v>
      </c>
      <c r="G189" s="2" t="str">
        <f>IFERROR(INDEX(Movimientos!$L$2:$L$1993,MATCH(A189&amp;"ENTRADA",Movimientos!$R$2:$R$1993,0)),"-")</f>
        <v>-</v>
      </c>
      <c r="H189" s="17" t="str">
        <f>IFERROR(IF(INDEX(Movimientos!$M$2:$M$1993,MATCH(A189&amp;"ENTRADA",Movimientos!$R$2:$R$1993,0))=0,"S/D",INDEX(Movimientos!$M$2:$M$1993,MATCH(A189&amp;"ENTRADA",Movimientos!$R$2:$R$1993,0))),"S/D")</f>
        <v>S/D</v>
      </c>
      <c r="I189" s="15" t="str">
        <f t="shared" ca="1" si="6"/>
        <v>S/D</v>
      </c>
      <c r="J189" s="5">
        <f>IF(A189="","",SUMIFS(Movimientos!$K:$K,Movimientos!$H:$H,A189))</f>
        <v>0</v>
      </c>
      <c r="K189" s="13" t="str">
        <f t="shared" ca="1" si="5"/>
        <v>SIN STOCK</v>
      </c>
    </row>
    <row r="190" spans="1:11">
      <c r="A190" s="16" t="s">
        <v>2495</v>
      </c>
      <c r="B190" s="2" t="str">
        <f>IFERROR(INDEX(Movimientos!$C$2:$C$1993,MATCH(A190&amp;"ENTRADA",Movimientos!$R$2:$R$1993,0)),"-")</f>
        <v>-</v>
      </c>
      <c r="C190" s="2" t="str">
        <f>IFERROR(INDEX(Movimientos!$D$2:$D$1993,MATCH(A190&amp;"ENTRADA",Movimientos!$R$2:$R$1993,0)),"-")</f>
        <v>-</v>
      </c>
      <c r="D190" s="2" t="str">
        <f>IFERROR(INDEX(Movimientos!$E$2:$E$1993,MATCH(A190&amp;"ENTRADA",Movimientos!$R$2:$R$1993,0)),"-")</f>
        <v>-</v>
      </c>
      <c r="E190" s="2" t="str">
        <f>IFERROR(INDEX(Movimientos!$F$2:$F$1993,MATCH(A190&amp;"ENTRADA",Movimientos!$R$2:$R$1993,0)),"-")</f>
        <v>-</v>
      </c>
      <c r="F190" s="2" t="str">
        <f>IFERROR(INDEX(Movimientos!$G$2:$G$1993,MATCH(A190&amp;"ENTRADA",Movimientos!$R$2:$R$1993,0)),"-")</f>
        <v>-</v>
      </c>
      <c r="G190" s="2" t="str">
        <f>IFERROR(INDEX(Movimientos!$L$2:$L$1993,MATCH(A190&amp;"ENTRADA",Movimientos!$R$2:$R$1993,0)),"-")</f>
        <v>-</v>
      </c>
      <c r="H190" s="17" t="str">
        <f>IFERROR(IF(INDEX(Movimientos!$M$2:$M$1993,MATCH(A190&amp;"ENTRADA",Movimientos!$R$2:$R$1993,0))=0,"S/D",INDEX(Movimientos!$M$2:$M$1993,MATCH(A190&amp;"ENTRADA",Movimientos!$R$2:$R$1993,0))),"S/D")</f>
        <v>S/D</v>
      </c>
      <c r="I190" s="15" t="str">
        <f t="shared" ca="1" si="6"/>
        <v>S/D</v>
      </c>
      <c r="J190" s="5">
        <f>IF(A190="","",SUMIFS(Movimientos!$K:$K,Movimientos!$H:$H,A190))</f>
        <v>0</v>
      </c>
      <c r="K190" s="13" t="str">
        <f t="shared" ref="K190:K253" ca="1" si="7">IF(A190="","",IF(J190&lt;0.01,"SIN STOCK",IF(H190="S/D","OK",IF(H190&lt;TODAY(),"VENCIDO",IF(I190&gt;=180,"OK","PRÓXIMO A VENCER")))))</f>
        <v>SIN STOCK</v>
      </c>
    </row>
    <row r="191" spans="1:11">
      <c r="A191" s="16" t="s">
        <v>2496</v>
      </c>
      <c r="B191" s="2" t="str">
        <f>IFERROR(INDEX(Movimientos!$C$2:$C$1993,MATCH(A191&amp;"ENTRADA",Movimientos!$R$2:$R$1993,0)),"-")</f>
        <v>-</v>
      </c>
      <c r="C191" s="2" t="str">
        <f>IFERROR(INDEX(Movimientos!$D$2:$D$1993,MATCH(A191&amp;"ENTRADA",Movimientos!$R$2:$R$1993,0)),"-")</f>
        <v>-</v>
      </c>
      <c r="D191" s="2" t="str">
        <f>IFERROR(INDEX(Movimientos!$E$2:$E$1993,MATCH(A191&amp;"ENTRADA",Movimientos!$R$2:$R$1993,0)),"-")</f>
        <v>-</v>
      </c>
      <c r="E191" s="2" t="str">
        <f>IFERROR(INDEX(Movimientos!$F$2:$F$1993,MATCH(A191&amp;"ENTRADA",Movimientos!$R$2:$R$1993,0)),"-")</f>
        <v>-</v>
      </c>
      <c r="F191" s="2" t="str">
        <f>IFERROR(INDEX(Movimientos!$G$2:$G$1993,MATCH(A191&amp;"ENTRADA",Movimientos!$R$2:$R$1993,0)),"-")</f>
        <v>-</v>
      </c>
      <c r="G191" s="2" t="str">
        <f>IFERROR(INDEX(Movimientos!$L$2:$L$1993,MATCH(A191&amp;"ENTRADA",Movimientos!$R$2:$R$1993,0)),"-")</f>
        <v>-</v>
      </c>
      <c r="H191" s="17" t="str">
        <f>IFERROR(IF(INDEX(Movimientos!$M$2:$M$1993,MATCH(A191&amp;"ENTRADA",Movimientos!$R$2:$R$1993,0))=0,"S/D",INDEX(Movimientos!$M$2:$M$1993,MATCH(A191&amp;"ENTRADA",Movimientos!$R$2:$R$1993,0))),"S/D")</f>
        <v>S/D</v>
      </c>
      <c r="I191" s="15" t="str">
        <f t="shared" ca="1" si="6"/>
        <v>S/D</v>
      </c>
      <c r="J191" s="5">
        <f>IF(A191="","",SUMIFS(Movimientos!$K:$K,Movimientos!$H:$H,A191))</f>
        <v>0</v>
      </c>
      <c r="K191" s="13" t="str">
        <f t="shared" ca="1" si="7"/>
        <v>SIN STOCK</v>
      </c>
    </row>
    <row r="192" spans="1:11">
      <c r="A192" s="16" t="s">
        <v>2497</v>
      </c>
      <c r="B192" s="2" t="str">
        <f>IFERROR(INDEX(Movimientos!$C$2:$C$1993,MATCH(A192&amp;"ENTRADA",Movimientos!$R$2:$R$1993,0)),"-")</f>
        <v>-</v>
      </c>
      <c r="C192" s="2" t="str">
        <f>IFERROR(INDEX(Movimientos!$D$2:$D$1993,MATCH(A192&amp;"ENTRADA",Movimientos!$R$2:$R$1993,0)),"-")</f>
        <v>-</v>
      </c>
      <c r="D192" s="2" t="str">
        <f>IFERROR(INDEX(Movimientos!$E$2:$E$1993,MATCH(A192&amp;"ENTRADA",Movimientos!$R$2:$R$1993,0)),"-")</f>
        <v>-</v>
      </c>
      <c r="E192" s="2" t="str">
        <f>IFERROR(INDEX(Movimientos!$F$2:$F$1993,MATCH(A192&amp;"ENTRADA",Movimientos!$R$2:$R$1993,0)),"-")</f>
        <v>-</v>
      </c>
      <c r="F192" s="2" t="str">
        <f>IFERROR(INDEX(Movimientos!$G$2:$G$1993,MATCH(A192&amp;"ENTRADA",Movimientos!$R$2:$R$1993,0)),"-")</f>
        <v>-</v>
      </c>
      <c r="G192" s="2" t="str">
        <f>IFERROR(INDEX(Movimientos!$L$2:$L$1993,MATCH(A192&amp;"ENTRADA",Movimientos!$R$2:$R$1993,0)),"-")</f>
        <v>-</v>
      </c>
      <c r="H192" s="17" t="str">
        <f>IFERROR(IF(INDEX(Movimientos!$M$2:$M$1993,MATCH(A192&amp;"ENTRADA",Movimientos!$R$2:$R$1993,0))=0,"S/D",INDEX(Movimientos!$M$2:$M$1993,MATCH(A192&amp;"ENTRADA",Movimientos!$R$2:$R$1993,0))),"S/D")</f>
        <v>S/D</v>
      </c>
      <c r="I192" s="15" t="str">
        <f t="shared" ca="1" si="6"/>
        <v>S/D</v>
      </c>
      <c r="J192" s="5">
        <f>IF(A192="","",SUMIFS(Movimientos!$K:$K,Movimientos!$H:$H,A192))</f>
        <v>0</v>
      </c>
      <c r="K192" s="13" t="str">
        <f t="shared" ca="1" si="7"/>
        <v>SIN STOCK</v>
      </c>
    </row>
    <row r="193" spans="1:11">
      <c r="A193" s="16" t="s">
        <v>2498</v>
      </c>
      <c r="B193" s="2" t="str">
        <f>IFERROR(INDEX(Movimientos!$C$2:$C$1993,MATCH(A193&amp;"ENTRADA",Movimientos!$R$2:$R$1993,0)),"-")</f>
        <v>-</v>
      </c>
      <c r="C193" s="2" t="str">
        <f>IFERROR(INDEX(Movimientos!$D$2:$D$1993,MATCH(A193&amp;"ENTRADA",Movimientos!$R$2:$R$1993,0)),"-")</f>
        <v>-</v>
      </c>
      <c r="D193" s="2" t="str">
        <f>IFERROR(INDEX(Movimientos!$E$2:$E$1993,MATCH(A193&amp;"ENTRADA",Movimientos!$R$2:$R$1993,0)),"-")</f>
        <v>-</v>
      </c>
      <c r="E193" s="2" t="str">
        <f>IFERROR(INDEX(Movimientos!$F$2:$F$1993,MATCH(A193&amp;"ENTRADA",Movimientos!$R$2:$R$1993,0)),"-")</f>
        <v>-</v>
      </c>
      <c r="F193" s="2" t="str">
        <f>IFERROR(INDEX(Movimientos!$G$2:$G$1993,MATCH(A193&amp;"ENTRADA",Movimientos!$R$2:$R$1993,0)),"-")</f>
        <v>-</v>
      </c>
      <c r="G193" s="2" t="str">
        <f>IFERROR(INDEX(Movimientos!$L$2:$L$1993,MATCH(A193&amp;"ENTRADA",Movimientos!$R$2:$R$1993,0)),"-")</f>
        <v>-</v>
      </c>
      <c r="H193" s="17" t="str">
        <f>IFERROR(IF(INDEX(Movimientos!$M$2:$M$1993,MATCH(A193&amp;"ENTRADA",Movimientos!$R$2:$R$1993,0))=0,"S/D",INDEX(Movimientos!$M$2:$M$1993,MATCH(A193&amp;"ENTRADA",Movimientos!$R$2:$R$1993,0))),"S/D")</f>
        <v>S/D</v>
      </c>
      <c r="I193" s="15" t="str">
        <f t="shared" ca="1" si="6"/>
        <v>S/D</v>
      </c>
      <c r="J193" s="5">
        <f>IF(A193="","",SUMIFS(Movimientos!$K:$K,Movimientos!$H:$H,A193))</f>
        <v>0</v>
      </c>
      <c r="K193" s="13" t="str">
        <f t="shared" ca="1" si="7"/>
        <v>SIN STOCK</v>
      </c>
    </row>
    <row r="194" spans="1:11">
      <c r="A194" s="16" t="s">
        <v>2499</v>
      </c>
      <c r="B194" s="2" t="str">
        <f>IFERROR(INDEX(Movimientos!$C$2:$C$1993,MATCH(A194&amp;"ENTRADA",Movimientos!$R$2:$R$1993,0)),"-")</f>
        <v>-</v>
      </c>
      <c r="C194" s="2" t="str">
        <f>IFERROR(INDEX(Movimientos!$D$2:$D$1993,MATCH(A194&amp;"ENTRADA",Movimientos!$R$2:$R$1993,0)),"-")</f>
        <v>-</v>
      </c>
      <c r="D194" s="2" t="str">
        <f>IFERROR(INDEX(Movimientos!$E$2:$E$1993,MATCH(A194&amp;"ENTRADA",Movimientos!$R$2:$R$1993,0)),"-")</f>
        <v>-</v>
      </c>
      <c r="E194" s="2" t="str">
        <f>IFERROR(INDEX(Movimientos!$F$2:$F$1993,MATCH(A194&amp;"ENTRADA",Movimientos!$R$2:$R$1993,0)),"-")</f>
        <v>-</v>
      </c>
      <c r="F194" s="2" t="str">
        <f>IFERROR(INDEX(Movimientos!$G$2:$G$1993,MATCH(A194&amp;"ENTRADA",Movimientos!$R$2:$R$1993,0)),"-")</f>
        <v>-</v>
      </c>
      <c r="G194" s="2" t="str">
        <f>IFERROR(INDEX(Movimientos!$L$2:$L$1993,MATCH(A194&amp;"ENTRADA",Movimientos!$R$2:$R$1993,0)),"-")</f>
        <v>-</v>
      </c>
      <c r="H194" s="17" t="str">
        <f>IFERROR(IF(INDEX(Movimientos!$M$2:$M$1993,MATCH(A194&amp;"ENTRADA",Movimientos!$R$2:$R$1993,0))=0,"S/D",INDEX(Movimientos!$M$2:$M$1993,MATCH(A194&amp;"ENTRADA",Movimientos!$R$2:$R$1993,0))),"S/D")</f>
        <v>S/D</v>
      </c>
      <c r="I194" s="15" t="str">
        <f t="shared" ca="1" si="6"/>
        <v>S/D</v>
      </c>
      <c r="J194" s="5">
        <f>IF(A194="","",SUMIFS(Movimientos!$K:$K,Movimientos!$H:$H,A194))</f>
        <v>0</v>
      </c>
      <c r="K194" s="13" t="str">
        <f t="shared" ca="1" si="7"/>
        <v>SIN STOCK</v>
      </c>
    </row>
    <row r="195" spans="1:11">
      <c r="A195" s="16" t="s">
        <v>2500</v>
      </c>
      <c r="B195" s="2" t="str">
        <f>IFERROR(INDEX(Movimientos!$C$2:$C$1993,MATCH(A195&amp;"ENTRADA",Movimientos!$R$2:$R$1993,0)),"-")</f>
        <v>-</v>
      </c>
      <c r="C195" s="2" t="str">
        <f>IFERROR(INDEX(Movimientos!$D$2:$D$1993,MATCH(A195&amp;"ENTRADA",Movimientos!$R$2:$R$1993,0)),"-")</f>
        <v>-</v>
      </c>
      <c r="D195" s="2" t="str">
        <f>IFERROR(INDEX(Movimientos!$E$2:$E$1993,MATCH(A195&amp;"ENTRADA",Movimientos!$R$2:$R$1993,0)),"-")</f>
        <v>-</v>
      </c>
      <c r="E195" s="2" t="str">
        <f>IFERROR(INDEX(Movimientos!$F$2:$F$1993,MATCH(A195&amp;"ENTRADA",Movimientos!$R$2:$R$1993,0)),"-")</f>
        <v>-</v>
      </c>
      <c r="F195" s="2" t="str">
        <f>IFERROR(INDEX(Movimientos!$G$2:$G$1993,MATCH(A195&amp;"ENTRADA",Movimientos!$R$2:$R$1993,0)),"-")</f>
        <v>-</v>
      </c>
      <c r="G195" s="2" t="str">
        <f>IFERROR(INDEX(Movimientos!$L$2:$L$1993,MATCH(A195&amp;"ENTRADA",Movimientos!$R$2:$R$1993,0)),"-")</f>
        <v>-</v>
      </c>
      <c r="H195" s="17" t="str">
        <f>IFERROR(IF(INDEX(Movimientos!$M$2:$M$1993,MATCH(A195&amp;"ENTRADA",Movimientos!$R$2:$R$1993,0))=0,"S/D",INDEX(Movimientos!$M$2:$M$1993,MATCH(A195&amp;"ENTRADA",Movimientos!$R$2:$R$1993,0))),"S/D")</f>
        <v>S/D</v>
      </c>
      <c r="I195" s="15" t="str">
        <f t="shared" ca="1" si="6"/>
        <v>S/D</v>
      </c>
      <c r="J195" s="5">
        <f>IF(A195="","",SUMIFS(Movimientos!$K:$K,Movimientos!$H:$H,A195))</f>
        <v>0</v>
      </c>
      <c r="K195" s="13" t="str">
        <f t="shared" ca="1" si="7"/>
        <v>SIN STOCK</v>
      </c>
    </row>
    <row r="196" spans="1:11">
      <c r="A196" s="16" t="s">
        <v>2501</v>
      </c>
      <c r="B196" s="2" t="str">
        <f>IFERROR(INDEX(Movimientos!$C$2:$C$1993,MATCH(A196&amp;"ENTRADA",Movimientos!$R$2:$R$1993,0)),"-")</f>
        <v>-</v>
      </c>
      <c r="C196" s="2" t="str">
        <f>IFERROR(INDEX(Movimientos!$D$2:$D$1993,MATCH(A196&amp;"ENTRADA",Movimientos!$R$2:$R$1993,0)),"-")</f>
        <v>-</v>
      </c>
      <c r="D196" s="2" t="str">
        <f>IFERROR(INDEX(Movimientos!$E$2:$E$1993,MATCH(A196&amp;"ENTRADA",Movimientos!$R$2:$R$1993,0)),"-")</f>
        <v>-</v>
      </c>
      <c r="E196" s="2" t="str">
        <f>IFERROR(INDEX(Movimientos!$F$2:$F$1993,MATCH(A196&amp;"ENTRADA",Movimientos!$R$2:$R$1993,0)),"-")</f>
        <v>-</v>
      </c>
      <c r="F196" s="2" t="str">
        <f>IFERROR(INDEX(Movimientos!$G$2:$G$1993,MATCH(A196&amp;"ENTRADA",Movimientos!$R$2:$R$1993,0)),"-")</f>
        <v>-</v>
      </c>
      <c r="G196" s="2" t="str">
        <f>IFERROR(INDEX(Movimientos!$L$2:$L$1993,MATCH(A196&amp;"ENTRADA",Movimientos!$R$2:$R$1993,0)),"-")</f>
        <v>-</v>
      </c>
      <c r="H196" s="17" t="str">
        <f>IFERROR(IF(INDEX(Movimientos!$M$2:$M$1993,MATCH(A196&amp;"ENTRADA",Movimientos!$R$2:$R$1993,0))=0,"S/D",INDEX(Movimientos!$M$2:$M$1993,MATCH(A196&amp;"ENTRADA",Movimientos!$R$2:$R$1993,0))),"S/D")</f>
        <v>S/D</v>
      </c>
      <c r="I196" s="15" t="str">
        <f t="shared" ca="1" si="6"/>
        <v>S/D</v>
      </c>
      <c r="J196" s="5">
        <f>IF(A196="","",SUMIFS(Movimientos!$K:$K,Movimientos!$H:$H,A196))</f>
        <v>0</v>
      </c>
      <c r="K196" s="13" t="str">
        <f t="shared" ca="1" si="7"/>
        <v>SIN STOCK</v>
      </c>
    </row>
    <row r="197" spans="1:11">
      <c r="A197" s="16" t="s">
        <v>2502</v>
      </c>
      <c r="B197" s="2" t="str">
        <f>IFERROR(INDEX(Movimientos!$C$2:$C$1993,MATCH(A197&amp;"ENTRADA",Movimientos!$R$2:$R$1993,0)),"-")</f>
        <v>-</v>
      </c>
      <c r="C197" s="2" t="str">
        <f>IFERROR(INDEX(Movimientos!$D$2:$D$1993,MATCH(A197&amp;"ENTRADA",Movimientos!$R$2:$R$1993,0)),"-")</f>
        <v>-</v>
      </c>
      <c r="D197" s="2" t="str">
        <f>IFERROR(INDEX(Movimientos!$E$2:$E$1993,MATCH(A197&amp;"ENTRADA",Movimientos!$R$2:$R$1993,0)),"-")</f>
        <v>-</v>
      </c>
      <c r="E197" s="2" t="str">
        <f>IFERROR(INDEX(Movimientos!$F$2:$F$1993,MATCH(A197&amp;"ENTRADA",Movimientos!$R$2:$R$1993,0)),"-")</f>
        <v>-</v>
      </c>
      <c r="F197" s="2" t="str">
        <f>IFERROR(INDEX(Movimientos!$G$2:$G$1993,MATCH(A197&amp;"ENTRADA",Movimientos!$R$2:$R$1993,0)),"-")</f>
        <v>-</v>
      </c>
      <c r="G197" s="2" t="str">
        <f>IFERROR(INDEX(Movimientos!$L$2:$L$1993,MATCH(A197&amp;"ENTRADA",Movimientos!$R$2:$R$1993,0)),"-")</f>
        <v>-</v>
      </c>
      <c r="H197" s="17" t="str">
        <f>IFERROR(IF(INDEX(Movimientos!$M$2:$M$1993,MATCH(A197&amp;"ENTRADA",Movimientos!$R$2:$R$1993,0))=0,"S/D",INDEX(Movimientos!$M$2:$M$1993,MATCH(A197&amp;"ENTRADA",Movimientos!$R$2:$R$1993,0))),"S/D")</f>
        <v>S/D</v>
      </c>
      <c r="I197" s="15" t="str">
        <f t="shared" ref="I197:I260" ca="1" si="8">IF(OR(A197="",H197="S/D"),"S/D",H197-TODAY())</f>
        <v>S/D</v>
      </c>
      <c r="J197" s="5">
        <f>IF(A197="","",SUMIFS(Movimientos!$K:$K,Movimientos!$H:$H,A197))</f>
        <v>0</v>
      </c>
      <c r="K197" s="13" t="str">
        <f t="shared" ca="1" si="7"/>
        <v>SIN STOCK</v>
      </c>
    </row>
    <row r="198" spans="1:11">
      <c r="A198" s="16" t="s">
        <v>2503</v>
      </c>
      <c r="B198" s="2" t="str">
        <f>IFERROR(INDEX(Movimientos!$C$2:$C$1993,MATCH(A198&amp;"ENTRADA",Movimientos!$R$2:$R$1993,0)),"-")</f>
        <v>-</v>
      </c>
      <c r="C198" s="2" t="str">
        <f>IFERROR(INDEX(Movimientos!$D$2:$D$1993,MATCH(A198&amp;"ENTRADA",Movimientos!$R$2:$R$1993,0)),"-")</f>
        <v>-</v>
      </c>
      <c r="D198" s="2" t="str">
        <f>IFERROR(INDEX(Movimientos!$E$2:$E$1993,MATCH(A198&amp;"ENTRADA",Movimientos!$R$2:$R$1993,0)),"-")</f>
        <v>-</v>
      </c>
      <c r="E198" s="2" t="str">
        <f>IFERROR(INDEX(Movimientos!$F$2:$F$1993,MATCH(A198&amp;"ENTRADA",Movimientos!$R$2:$R$1993,0)),"-")</f>
        <v>-</v>
      </c>
      <c r="F198" s="2" t="str">
        <f>IFERROR(INDEX(Movimientos!$G$2:$G$1993,MATCH(A198&amp;"ENTRADA",Movimientos!$R$2:$R$1993,0)),"-")</f>
        <v>-</v>
      </c>
      <c r="G198" s="2" t="str">
        <f>IFERROR(INDEX(Movimientos!$L$2:$L$1993,MATCH(A198&amp;"ENTRADA",Movimientos!$R$2:$R$1993,0)),"-")</f>
        <v>-</v>
      </c>
      <c r="H198" s="17" t="str">
        <f>IFERROR(IF(INDEX(Movimientos!$M$2:$M$1993,MATCH(A198&amp;"ENTRADA",Movimientos!$R$2:$R$1993,0))=0,"S/D",INDEX(Movimientos!$M$2:$M$1993,MATCH(A198&amp;"ENTRADA",Movimientos!$R$2:$R$1993,0))),"S/D")</f>
        <v>S/D</v>
      </c>
      <c r="I198" s="15" t="str">
        <f t="shared" ca="1" si="8"/>
        <v>S/D</v>
      </c>
      <c r="J198" s="5">
        <f>IF(A198="","",SUMIFS(Movimientos!$K:$K,Movimientos!$H:$H,A198))</f>
        <v>0</v>
      </c>
      <c r="K198" s="13" t="str">
        <f t="shared" ca="1" si="7"/>
        <v>SIN STOCK</v>
      </c>
    </row>
    <row r="199" spans="1:11">
      <c r="A199" s="16" t="s">
        <v>2504</v>
      </c>
      <c r="B199" s="2" t="str">
        <f>IFERROR(INDEX(Movimientos!$C$2:$C$1993,MATCH(A199&amp;"ENTRADA",Movimientos!$R$2:$R$1993,0)),"-")</f>
        <v>-</v>
      </c>
      <c r="C199" s="2" t="str">
        <f>IFERROR(INDEX(Movimientos!$D$2:$D$1993,MATCH(A199&amp;"ENTRADA",Movimientos!$R$2:$R$1993,0)),"-")</f>
        <v>-</v>
      </c>
      <c r="D199" s="2" t="str">
        <f>IFERROR(INDEX(Movimientos!$E$2:$E$1993,MATCH(A199&amp;"ENTRADA",Movimientos!$R$2:$R$1993,0)),"-")</f>
        <v>-</v>
      </c>
      <c r="E199" s="2" t="str">
        <f>IFERROR(INDEX(Movimientos!$F$2:$F$1993,MATCH(A199&amp;"ENTRADA",Movimientos!$R$2:$R$1993,0)),"-")</f>
        <v>-</v>
      </c>
      <c r="F199" s="2" t="str">
        <f>IFERROR(INDEX(Movimientos!$G$2:$G$1993,MATCH(A199&amp;"ENTRADA",Movimientos!$R$2:$R$1993,0)),"-")</f>
        <v>-</v>
      </c>
      <c r="G199" s="2" t="str">
        <f>IFERROR(INDEX(Movimientos!$L$2:$L$1993,MATCH(A199&amp;"ENTRADA",Movimientos!$R$2:$R$1993,0)),"-")</f>
        <v>-</v>
      </c>
      <c r="H199" s="17" t="str">
        <f>IFERROR(IF(INDEX(Movimientos!$M$2:$M$1993,MATCH(A199&amp;"ENTRADA",Movimientos!$R$2:$R$1993,0))=0,"S/D",INDEX(Movimientos!$M$2:$M$1993,MATCH(A199&amp;"ENTRADA",Movimientos!$R$2:$R$1993,0))),"S/D")</f>
        <v>S/D</v>
      </c>
      <c r="I199" s="15" t="str">
        <f t="shared" ca="1" si="8"/>
        <v>S/D</v>
      </c>
      <c r="J199" s="5">
        <f>IF(A199="","",SUMIFS(Movimientos!$K:$K,Movimientos!$H:$H,A199))</f>
        <v>0</v>
      </c>
      <c r="K199" s="13" t="str">
        <f t="shared" ca="1" si="7"/>
        <v>SIN STOCK</v>
      </c>
    </row>
    <row r="200" spans="1:11">
      <c r="A200" s="16" t="s">
        <v>2505</v>
      </c>
      <c r="B200" s="2" t="str">
        <f>IFERROR(INDEX(Movimientos!$C$2:$C$1993,MATCH(A200&amp;"ENTRADA",Movimientos!$R$2:$R$1993,0)),"-")</f>
        <v>-</v>
      </c>
      <c r="C200" s="2" t="str">
        <f>IFERROR(INDEX(Movimientos!$D$2:$D$1993,MATCH(A200&amp;"ENTRADA",Movimientos!$R$2:$R$1993,0)),"-")</f>
        <v>-</v>
      </c>
      <c r="D200" s="2" t="str">
        <f>IFERROR(INDEX(Movimientos!$E$2:$E$1993,MATCH(A200&amp;"ENTRADA",Movimientos!$R$2:$R$1993,0)),"-")</f>
        <v>-</v>
      </c>
      <c r="E200" s="2" t="str">
        <f>IFERROR(INDEX(Movimientos!$F$2:$F$1993,MATCH(A200&amp;"ENTRADA",Movimientos!$R$2:$R$1993,0)),"-")</f>
        <v>-</v>
      </c>
      <c r="F200" s="2" t="str">
        <f>IFERROR(INDEX(Movimientos!$G$2:$G$1993,MATCH(A200&amp;"ENTRADA",Movimientos!$R$2:$R$1993,0)),"-")</f>
        <v>-</v>
      </c>
      <c r="G200" s="2" t="str">
        <f>IFERROR(INDEX(Movimientos!$L$2:$L$1993,MATCH(A200&amp;"ENTRADA",Movimientos!$R$2:$R$1993,0)),"-")</f>
        <v>-</v>
      </c>
      <c r="H200" s="17" t="str">
        <f>IFERROR(IF(INDEX(Movimientos!$M$2:$M$1993,MATCH(A200&amp;"ENTRADA",Movimientos!$R$2:$R$1993,0))=0,"S/D",INDEX(Movimientos!$M$2:$M$1993,MATCH(A200&amp;"ENTRADA",Movimientos!$R$2:$R$1993,0))),"S/D")</f>
        <v>S/D</v>
      </c>
      <c r="I200" s="15" t="str">
        <f t="shared" ca="1" si="8"/>
        <v>S/D</v>
      </c>
      <c r="J200" s="5">
        <f>IF(A200="","",SUMIFS(Movimientos!$K:$K,Movimientos!$H:$H,A200))</f>
        <v>0</v>
      </c>
      <c r="K200" s="13" t="str">
        <f t="shared" ca="1" si="7"/>
        <v>SIN STOCK</v>
      </c>
    </row>
    <row r="201" spans="1:11">
      <c r="A201" s="16" t="s">
        <v>2506</v>
      </c>
      <c r="B201" s="2" t="str">
        <f>IFERROR(INDEX(Movimientos!$C$2:$C$1993,MATCH(A201&amp;"ENTRADA",Movimientos!$R$2:$R$1993,0)),"-")</f>
        <v>-</v>
      </c>
      <c r="C201" s="2" t="str">
        <f>IFERROR(INDEX(Movimientos!$D$2:$D$1993,MATCH(A201&amp;"ENTRADA",Movimientos!$R$2:$R$1993,0)),"-")</f>
        <v>-</v>
      </c>
      <c r="D201" s="2" t="str">
        <f>IFERROR(INDEX(Movimientos!$E$2:$E$1993,MATCH(A201&amp;"ENTRADA",Movimientos!$R$2:$R$1993,0)),"-")</f>
        <v>-</v>
      </c>
      <c r="E201" s="2" t="str">
        <f>IFERROR(INDEX(Movimientos!$F$2:$F$1993,MATCH(A201&amp;"ENTRADA",Movimientos!$R$2:$R$1993,0)),"-")</f>
        <v>-</v>
      </c>
      <c r="F201" s="2" t="str">
        <f>IFERROR(INDEX(Movimientos!$G$2:$G$1993,MATCH(A201&amp;"ENTRADA",Movimientos!$R$2:$R$1993,0)),"-")</f>
        <v>-</v>
      </c>
      <c r="G201" s="2" t="str">
        <f>IFERROR(INDEX(Movimientos!$L$2:$L$1993,MATCH(A201&amp;"ENTRADA",Movimientos!$R$2:$R$1993,0)),"-")</f>
        <v>-</v>
      </c>
      <c r="H201" s="17" t="str">
        <f>IFERROR(IF(INDEX(Movimientos!$M$2:$M$1993,MATCH(A201&amp;"ENTRADA",Movimientos!$R$2:$R$1993,0))=0,"S/D",INDEX(Movimientos!$M$2:$M$1993,MATCH(A201&amp;"ENTRADA",Movimientos!$R$2:$R$1993,0))),"S/D")</f>
        <v>S/D</v>
      </c>
      <c r="I201" s="15" t="str">
        <f t="shared" ca="1" si="8"/>
        <v>S/D</v>
      </c>
      <c r="J201" s="5">
        <f>IF(A201="","",SUMIFS(Movimientos!$K:$K,Movimientos!$H:$H,A201))</f>
        <v>0</v>
      </c>
      <c r="K201" s="13" t="str">
        <f t="shared" ca="1" si="7"/>
        <v>SIN STOCK</v>
      </c>
    </row>
    <row r="202" spans="1:11">
      <c r="A202" s="16" t="s">
        <v>2507</v>
      </c>
      <c r="B202" s="2" t="str">
        <f>IFERROR(INDEX(Movimientos!$C$2:$C$1993,MATCH(A202&amp;"ENTRADA",Movimientos!$R$2:$R$1993,0)),"-")</f>
        <v>-</v>
      </c>
      <c r="C202" s="2" t="str">
        <f>IFERROR(INDEX(Movimientos!$D$2:$D$1993,MATCH(A202&amp;"ENTRADA",Movimientos!$R$2:$R$1993,0)),"-")</f>
        <v>-</v>
      </c>
      <c r="D202" s="2" t="str">
        <f>IFERROR(INDEX(Movimientos!$E$2:$E$1993,MATCH(A202&amp;"ENTRADA",Movimientos!$R$2:$R$1993,0)),"-")</f>
        <v>-</v>
      </c>
      <c r="E202" s="2" t="str">
        <f>IFERROR(INDEX(Movimientos!$F$2:$F$1993,MATCH(A202&amp;"ENTRADA",Movimientos!$R$2:$R$1993,0)),"-")</f>
        <v>-</v>
      </c>
      <c r="F202" s="2" t="str">
        <f>IFERROR(INDEX(Movimientos!$G$2:$G$1993,MATCH(A202&amp;"ENTRADA",Movimientos!$R$2:$R$1993,0)),"-")</f>
        <v>-</v>
      </c>
      <c r="G202" s="2" t="str">
        <f>IFERROR(INDEX(Movimientos!$L$2:$L$1993,MATCH(A202&amp;"ENTRADA",Movimientos!$R$2:$R$1993,0)),"-")</f>
        <v>-</v>
      </c>
      <c r="H202" s="17" t="str">
        <f>IFERROR(IF(INDEX(Movimientos!$M$2:$M$1993,MATCH(A202&amp;"ENTRADA",Movimientos!$R$2:$R$1993,0))=0,"S/D",INDEX(Movimientos!$M$2:$M$1993,MATCH(A202&amp;"ENTRADA",Movimientos!$R$2:$R$1993,0))),"S/D")</f>
        <v>S/D</v>
      </c>
      <c r="I202" s="15" t="str">
        <f t="shared" ca="1" si="8"/>
        <v>S/D</v>
      </c>
      <c r="J202" s="5">
        <f>IF(A202="","",SUMIFS(Movimientos!$K:$K,Movimientos!$H:$H,A202))</f>
        <v>0</v>
      </c>
      <c r="K202" s="13" t="str">
        <f t="shared" ca="1" si="7"/>
        <v>SIN STOCK</v>
      </c>
    </row>
    <row r="203" spans="1:11">
      <c r="A203" s="16" t="s">
        <v>2508</v>
      </c>
      <c r="B203" s="2" t="str">
        <f>IFERROR(INDEX(Movimientos!$C$2:$C$1993,MATCH(A203&amp;"ENTRADA",Movimientos!$R$2:$R$1993,0)),"-")</f>
        <v>-</v>
      </c>
      <c r="C203" s="2" t="str">
        <f>IFERROR(INDEX(Movimientos!$D$2:$D$1993,MATCH(A203&amp;"ENTRADA",Movimientos!$R$2:$R$1993,0)),"-")</f>
        <v>-</v>
      </c>
      <c r="D203" s="2" t="str">
        <f>IFERROR(INDEX(Movimientos!$E$2:$E$1993,MATCH(A203&amp;"ENTRADA",Movimientos!$R$2:$R$1993,0)),"-")</f>
        <v>-</v>
      </c>
      <c r="E203" s="2" t="str">
        <f>IFERROR(INDEX(Movimientos!$F$2:$F$1993,MATCH(A203&amp;"ENTRADA",Movimientos!$R$2:$R$1993,0)),"-")</f>
        <v>-</v>
      </c>
      <c r="F203" s="2" t="str">
        <f>IFERROR(INDEX(Movimientos!$G$2:$G$1993,MATCH(A203&amp;"ENTRADA",Movimientos!$R$2:$R$1993,0)),"-")</f>
        <v>-</v>
      </c>
      <c r="G203" s="2" t="str">
        <f>IFERROR(INDEX(Movimientos!$L$2:$L$1993,MATCH(A203&amp;"ENTRADA",Movimientos!$R$2:$R$1993,0)),"-")</f>
        <v>-</v>
      </c>
      <c r="H203" s="17" t="str">
        <f>IFERROR(IF(INDEX(Movimientos!$M$2:$M$1993,MATCH(A203&amp;"ENTRADA",Movimientos!$R$2:$R$1993,0))=0,"S/D",INDEX(Movimientos!$M$2:$M$1993,MATCH(A203&amp;"ENTRADA",Movimientos!$R$2:$R$1993,0))),"S/D")</f>
        <v>S/D</v>
      </c>
      <c r="I203" s="15" t="str">
        <f t="shared" ca="1" si="8"/>
        <v>S/D</v>
      </c>
      <c r="J203" s="5">
        <f>IF(A203="","",SUMIFS(Movimientos!$K:$K,Movimientos!$H:$H,A203))</f>
        <v>0</v>
      </c>
      <c r="K203" s="13" t="str">
        <f t="shared" ca="1" si="7"/>
        <v>SIN STOCK</v>
      </c>
    </row>
    <row r="204" spans="1:11">
      <c r="A204" s="16" t="s">
        <v>2509</v>
      </c>
      <c r="B204" s="2" t="str">
        <f>IFERROR(INDEX(Movimientos!$C$2:$C$1993,MATCH(A204&amp;"ENTRADA",Movimientos!$R$2:$R$1993,0)),"-")</f>
        <v>-</v>
      </c>
      <c r="C204" s="2" t="str">
        <f>IFERROR(INDEX(Movimientos!$D$2:$D$1993,MATCH(A204&amp;"ENTRADA",Movimientos!$R$2:$R$1993,0)),"-")</f>
        <v>-</v>
      </c>
      <c r="D204" s="2" t="str">
        <f>IFERROR(INDEX(Movimientos!$E$2:$E$1993,MATCH(A204&amp;"ENTRADA",Movimientos!$R$2:$R$1993,0)),"-")</f>
        <v>-</v>
      </c>
      <c r="E204" s="2" t="str">
        <f>IFERROR(INDEX(Movimientos!$F$2:$F$1993,MATCH(A204&amp;"ENTRADA",Movimientos!$R$2:$R$1993,0)),"-")</f>
        <v>-</v>
      </c>
      <c r="F204" s="2" t="str">
        <f>IFERROR(INDEX(Movimientos!$G$2:$G$1993,MATCH(A204&amp;"ENTRADA",Movimientos!$R$2:$R$1993,0)),"-")</f>
        <v>-</v>
      </c>
      <c r="G204" s="2" t="str">
        <f>IFERROR(INDEX(Movimientos!$L$2:$L$1993,MATCH(A204&amp;"ENTRADA",Movimientos!$R$2:$R$1993,0)),"-")</f>
        <v>-</v>
      </c>
      <c r="H204" s="17" t="str">
        <f>IFERROR(IF(INDEX(Movimientos!$M$2:$M$1993,MATCH(A204&amp;"ENTRADA",Movimientos!$R$2:$R$1993,0))=0,"S/D",INDEX(Movimientos!$M$2:$M$1993,MATCH(A204&amp;"ENTRADA",Movimientos!$R$2:$R$1993,0))),"S/D")</f>
        <v>S/D</v>
      </c>
      <c r="I204" s="15" t="str">
        <f t="shared" ca="1" si="8"/>
        <v>S/D</v>
      </c>
      <c r="J204" s="5">
        <f>IF(A204="","",SUMIFS(Movimientos!$K:$K,Movimientos!$H:$H,A204))</f>
        <v>0</v>
      </c>
      <c r="K204" s="13" t="str">
        <f t="shared" ca="1" si="7"/>
        <v>SIN STOCK</v>
      </c>
    </row>
    <row r="205" spans="1:11">
      <c r="A205" s="16" t="s">
        <v>2510</v>
      </c>
      <c r="B205" s="2" t="str">
        <f>IFERROR(INDEX(Movimientos!$C$2:$C$1993,MATCH(A205&amp;"ENTRADA",Movimientos!$R$2:$R$1993,0)),"-")</f>
        <v>-</v>
      </c>
      <c r="C205" s="2" t="str">
        <f>IFERROR(INDEX(Movimientos!$D$2:$D$1993,MATCH(A205&amp;"ENTRADA",Movimientos!$R$2:$R$1993,0)),"-")</f>
        <v>-</v>
      </c>
      <c r="D205" s="2" t="str">
        <f>IFERROR(INDEX(Movimientos!$E$2:$E$1993,MATCH(A205&amp;"ENTRADA",Movimientos!$R$2:$R$1993,0)),"-")</f>
        <v>-</v>
      </c>
      <c r="E205" s="2" t="str">
        <f>IFERROR(INDEX(Movimientos!$F$2:$F$1993,MATCH(A205&amp;"ENTRADA",Movimientos!$R$2:$R$1993,0)),"-")</f>
        <v>-</v>
      </c>
      <c r="F205" s="2" t="str">
        <f>IFERROR(INDEX(Movimientos!$G$2:$G$1993,MATCH(A205&amp;"ENTRADA",Movimientos!$R$2:$R$1993,0)),"-")</f>
        <v>-</v>
      </c>
      <c r="G205" s="2" t="str">
        <f>IFERROR(INDEX(Movimientos!$L$2:$L$1993,MATCH(A205&amp;"ENTRADA",Movimientos!$R$2:$R$1993,0)),"-")</f>
        <v>-</v>
      </c>
      <c r="H205" s="17" t="str">
        <f>IFERROR(IF(INDEX(Movimientos!$M$2:$M$1993,MATCH(A205&amp;"ENTRADA",Movimientos!$R$2:$R$1993,0))=0,"S/D",INDEX(Movimientos!$M$2:$M$1993,MATCH(A205&amp;"ENTRADA",Movimientos!$R$2:$R$1993,0))),"S/D")</f>
        <v>S/D</v>
      </c>
      <c r="I205" s="15" t="str">
        <f t="shared" ca="1" si="8"/>
        <v>S/D</v>
      </c>
      <c r="J205" s="5">
        <f>IF(A205="","",SUMIFS(Movimientos!$K:$K,Movimientos!$H:$H,A205))</f>
        <v>0</v>
      </c>
      <c r="K205" s="13" t="str">
        <f t="shared" ca="1" si="7"/>
        <v>SIN STOCK</v>
      </c>
    </row>
    <row r="206" spans="1:11">
      <c r="A206" s="16" t="s">
        <v>2511</v>
      </c>
      <c r="B206" s="2" t="str">
        <f>IFERROR(INDEX(Movimientos!$C$2:$C$1993,MATCH(A206&amp;"ENTRADA",Movimientos!$R$2:$R$1993,0)),"-")</f>
        <v>-</v>
      </c>
      <c r="C206" s="2" t="str">
        <f>IFERROR(INDEX(Movimientos!$D$2:$D$1993,MATCH(A206&amp;"ENTRADA",Movimientos!$R$2:$R$1993,0)),"-")</f>
        <v>-</v>
      </c>
      <c r="D206" s="2" t="str">
        <f>IFERROR(INDEX(Movimientos!$E$2:$E$1993,MATCH(A206&amp;"ENTRADA",Movimientos!$R$2:$R$1993,0)),"-")</f>
        <v>-</v>
      </c>
      <c r="E206" s="2" t="str">
        <f>IFERROR(INDEX(Movimientos!$F$2:$F$1993,MATCH(A206&amp;"ENTRADA",Movimientos!$R$2:$R$1993,0)),"-")</f>
        <v>-</v>
      </c>
      <c r="F206" s="2" t="str">
        <f>IFERROR(INDEX(Movimientos!$G$2:$G$1993,MATCH(A206&amp;"ENTRADA",Movimientos!$R$2:$R$1993,0)),"-")</f>
        <v>-</v>
      </c>
      <c r="G206" s="2" t="str">
        <f>IFERROR(INDEX(Movimientos!$L$2:$L$1993,MATCH(A206&amp;"ENTRADA",Movimientos!$R$2:$R$1993,0)),"-")</f>
        <v>-</v>
      </c>
      <c r="H206" s="17" t="str">
        <f>IFERROR(IF(INDEX(Movimientos!$M$2:$M$1993,MATCH(A206&amp;"ENTRADA",Movimientos!$R$2:$R$1993,0))=0,"S/D",INDEX(Movimientos!$M$2:$M$1993,MATCH(A206&amp;"ENTRADA",Movimientos!$R$2:$R$1993,0))),"S/D")</f>
        <v>S/D</v>
      </c>
      <c r="I206" s="15" t="str">
        <f t="shared" ca="1" si="8"/>
        <v>S/D</v>
      </c>
      <c r="J206" s="5">
        <f>IF(A206="","",SUMIFS(Movimientos!$K:$K,Movimientos!$H:$H,A206))</f>
        <v>0</v>
      </c>
      <c r="K206" s="13" t="str">
        <f t="shared" ca="1" si="7"/>
        <v>SIN STOCK</v>
      </c>
    </row>
    <row r="207" spans="1:11">
      <c r="A207" s="16" t="s">
        <v>2512</v>
      </c>
      <c r="B207" s="2" t="str">
        <f>IFERROR(INDEX(Movimientos!$C$2:$C$1993,MATCH(A207&amp;"ENTRADA",Movimientos!$R$2:$R$1993,0)),"-")</f>
        <v>-</v>
      </c>
      <c r="C207" s="2" t="str">
        <f>IFERROR(INDEX(Movimientos!$D$2:$D$1993,MATCH(A207&amp;"ENTRADA",Movimientos!$R$2:$R$1993,0)),"-")</f>
        <v>-</v>
      </c>
      <c r="D207" s="2" t="str">
        <f>IFERROR(INDEX(Movimientos!$E$2:$E$1993,MATCH(A207&amp;"ENTRADA",Movimientos!$R$2:$R$1993,0)),"-")</f>
        <v>-</v>
      </c>
      <c r="E207" s="2" t="str">
        <f>IFERROR(INDEX(Movimientos!$F$2:$F$1993,MATCH(A207&amp;"ENTRADA",Movimientos!$R$2:$R$1993,0)),"-")</f>
        <v>-</v>
      </c>
      <c r="F207" s="2" t="str">
        <f>IFERROR(INDEX(Movimientos!$G$2:$G$1993,MATCH(A207&amp;"ENTRADA",Movimientos!$R$2:$R$1993,0)),"-")</f>
        <v>-</v>
      </c>
      <c r="G207" s="2" t="str">
        <f>IFERROR(INDEX(Movimientos!$L$2:$L$1993,MATCH(A207&amp;"ENTRADA",Movimientos!$R$2:$R$1993,0)),"-")</f>
        <v>-</v>
      </c>
      <c r="H207" s="17" t="str">
        <f>IFERROR(IF(INDEX(Movimientos!$M$2:$M$1993,MATCH(A207&amp;"ENTRADA",Movimientos!$R$2:$R$1993,0))=0,"S/D",INDEX(Movimientos!$M$2:$M$1993,MATCH(A207&amp;"ENTRADA",Movimientos!$R$2:$R$1993,0))),"S/D")</f>
        <v>S/D</v>
      </c>
      <c r="I207" s="15" t="str">
        <f t="shared" ca="1" si="8"/>
        <v>S/D</v>
      </c>
      <c r="J207" s="5">
        <f>IF(A207="","",SUMIFS(Movimientos!$K:$K,Movimientos!$H:$H,A207))</f>
        <v>0</v>
      </c>
      <c r="K207" s="13" t="str">
        <f t="shared" ca="1" si="7"/>
        <v>SIN STOCK</v>
      </c>
    </row>
    <row r="208" spans="1:11">
      <c r="A208" s="16" t="s">
        <v>2513</v>
      </c>
      <c r="B208" s="2" t="str">
        <f>IFERROR(INDEX(Movimientos!$C$2:$C$1993,MATCH(A208&amp;"ENTRADA",Movimientos!$R$2:$R$1993,0)),"-")</f>
        <v>-</v>
      </c>
      <c r="C208" s="2" t="str">
        <f>IFERROR(INDEX(Movimientos!$D$2:$D$1993,MATCH(A208&amp;"ENTRADA",Movimientos!$R$2:$R$1993,0)),"-")</f>
        <v>-</v>
      </c>
      <c r="D208" s="2" t="str">
        <f>IFERROR(INDEX(Movimientos!$E$2:$E$1993,MATCH(A208&amp;"ENTRADA",Movimientos!$R$2:$R$1993,0)),"-")</f>
        <v>-</v>
      </c>
      <c r="E208" s="2" t="str">
        <f>IFERROR(INDEX(Movimientos!$F$2:$F$1993,MATCH(A208&amp;"ENTRADA",Movimientos!$R$2:$R$1993,0)),"-")</f>
        <v>-</v>
      </c>
      <c r="F208" s="2" t="str">
        <f>IFERROR(INDEX(Movimientos!$G$2:$G$1993,MATCH(A208&amp;"ENTRADA",Movimientos!$R$2:$R$1993,0)),"-")</f>
        <v>-</v>
      </c>
      <c r="G208" s="2" t="str">
        <f>IFERROR(INDEX(Movimientos!$L$2:$L$1993,MATCH(A208&amp;"ENTRADA",Movimientos!$R$2:$R$1993,0)),"-")</f>
        <v>-</v>
      </c>
      <c r="H208" s="17" t="str">
        <f>IFERROR(IF(INDEX(Movimientos!$M$2:$M$1993,MATCH(A208&amp;"ENTRADA",Movimientos!$R$2:$R$1993,0))=0,"S/D",INDEX(Movimientos!$M$2:$M$1993,MATCH(A208&amp;"ENTRADA",Movimientos!$R$2:$R$1993,0))),"S/D")</f>
        <v>S/D</v>
      </c>
      <c r="I208" s="15" t="str">
        <f t="shared" ca="1" si="8"/>
        <v>S/D</v>
      </c>
      <c r="J208" s="5">
        <f>IF(A208="","",SUMIFS(Movimientos!$K:$K,Movimientos!$H:$H,A208))</f>
        <v>0</v>
      </c>
      <c r="K208" s="13" t="str">
        <f t="shared" ca="1" si="7"/>
        <v>SIN STOCK</v>
      </c>
    </row>
    <row r="209" spans="1:11">
      <c r="A209" s="16" t="s">
        <v>2514</v>
      </c>
      <c r="B209" s="2" t="str">
        <f>IFERROR(INDEX(Movimientos!$C$2:$C$1993,MATCH(A209&amp;"ENTRADA",Movimientos!$R$2:$R$1993,0)),"-")</f>
        <v>-</v>
      </c>
      <c r="C209" s="2" t="str">
        <f>IFERROR(INDEX(Movimientos!$D$2:$D$1993,MATCH(A209&amp;"ENTRADA",Movimientos!$R$2:$R$1993,0)),"-")</f>
        <v>-</v>
      </c>
      <c r="D209" s="2" t="str">
        <f>IFERROR(INDEX(Movimientos!$E$2:$E$1993,MATCH(A209&amp;"ENTRADA",Movimientos!$R$2:$R$1993,0)),"-")</f>
        <v>-</v>
      </c>
      <c r="E209" s="2" t="str">
        <f>IFERROR(INDEX(Movimientos!$F$2:$F$1993,MATCH(A209&amp;"ENTRADA",Movimientos!$R$2:$R$1993,0)),"-")</f>
        <v>-</v>
      </c>
      <c r="F209" s="2" t="str">
        <f>IFERROR(INDEX(Movimientos!$G$2:$G$1993,MATCH(A209&amp;"ENTRADA",Movimientos!$R$2:$R$1993,0)),"-")</f>
        <v>-</v>
      </c>
      <c r="G209" s="2" t="str">
        <f>IFERROR(INDEX(Movimientos!$L$2:$L$1993,MATCH(A209&amp;"ENTRADA",Movimientos!$R$2:$R$1993,0)),"-")</f>
        <v>-</v>
      </c>
      <c r="H209" s="17" t="str">
        <f>IFERROR(IF(INDEX(Movimientos!$M$2:$M$1993,MATCH(A209&amp;"ENTRADA",Movimientos!$R$2:$R$1993,0))=0,"S/D",INDEX(Movimientos!$M$2:$M$1993,MATCH(A209&amp;"ENTRADA",Movimientos!$R$2:$R$1993,0))),"S/D")</f>
        <v>S/D</v>
      </c>
      <c r="I209" s="15" t="str">
        <f t="shared" ca="1" si="8"/>
        <v>S/D</v>
      </c>
      <c r="J209" s="5">
        <f>IF(A209="","",SUMIFS(Movimientos!$K:$K,Movimientos!$H:$H,A209))</f>
        <v>0</v>
      </c>
      <c r="K209" s="13" t="str">
        <f t="shared" ca="1" si="7"/>
        <v>SIN STOCK</v>
      </c>
    </row>
    <row r="210" spans="1:11">
      <c r="A210" s="16" t="s">
        <v>2515</v>
      </c>
      <c r="B210" s="2" t="str">
        <f>IFERROR(INDEX(Movimientos!$C$2:$C$1993,MATCH(A210&amp;"ENTRADA",Movimientos!$R$2:$R$1993,0)),"-")</f>
        <v>-</v>
      </c>
      <c r="C210" s="2" t="str">
        <f>IFERROR(INDEX(Movimientos!$D$2:$D$1993,MATCH(A210&amp;"ENTRADA",Movimientos!$R$2:$R$1993,0)),"-")</f>
        <v>-</v>
      </c>
      <c r="D210" s="2" t="str">
        <f>IFERROR(INDEX(Movimientos!$E$2:$E$1993,MATCH(A210&amp;"ENTRADA",Movimientos!$R$2:$R$1993,0)),"-")</f>
        <v>-</v>
      </c>
      <c r="E210" s="2" t="str">
        <f>IFERROR(INDEX(Movimientos!$F$2:$F$1993,MATCH(A210&amp;"ENTRADA",Movimientos!$R$2:$R$1993,0)),"-")</f>
        <v>-</v>
      </c>
      <c r="F210" s="2" t="str">
        <f>IFERROR(INDEX(Movimientos!$G$2:$G$1993,MATCH(A210&amp;"ENTRADA",Movimientos!$R$2:$R$1993,0)),"-")</f>
        <v>-</v>
      </c>
      <c r="G210" s="2" t="str">
        <f>IFERROR(INDEX(Movimientos!$L$2:$L$1993,MATCH(A210&amp;"ENTRADA",Movimientos!$R$2:$R$1993,0)),"-")</f>
        <v>-</v>
      </c>
      <c r="H210" s="17" t="str">
        <f>IFERROR(IF(INDEX(Movimientos!$M$2:$M$1993,MATCH(A210&amp;"ENTRADA",Movimientos!$R$2:$R$1993,0))=0,"S/D",INDEX(Movimientos!$M$2:$M$1993,MATCH(A210&amp;"ENTRADA",Movimientos!$R$2:$R$1993,0))),"S/D")</f>
        <v>S/D</v>
      </c>
      <c r="I210" s="15" t="str">
        <f t="shared" ca="1" si="8"/>
        <v>S/D</v>
      </c>
      <c r="J210" s="5">
        <f>IF(A210="","",SUMIFS(Movimientos!$K:$K,Movimientos!$H:$H,A210))</f>
        <v>0</v>
      </c>
      <c r="K210" s="13" t="str">
        <f t="shared" ca="1" si="7"/>
        <v>SIN STOCK</v>
      </c>
    </row>
    <row r="211" spans="1:11">
      <c r="A211" s="16" t="s">
        <v>2516</v>
      </c>
      <c r="B211" s="2" t="str">
        <f>IFERROR(INDEX(Movimientos!$C$2:$C$1993,MATCH(A211&amp;"ENTRADA",Movimientos!$R$2:$R$1993,0)),"-")</f>
        <v>-</v>
      </c>
      <c r="C211" s="2" t="str">
        <f>IFERROR(INDEX(Movimientos!$D$2:$D$1993,MATCH(A211&amp;"ENTRADA",Movimientos!$R$2:$R$1993,0)),"-")</f>
        <v>-</v>
      </c>
      <c r="D211" s="2" t="str">
        <f>IFERROR(INDEX(Movimientos!$E$2:$E$1993,MATCH(A211&amp;"ENTRADA",Movimientos!$R$2:$R$1993,0)),"-")</f>
        <v>-</v>
      </c>
      <c r="E211" s="2" t="str">
        <f>IFERROR(INDEX(Movimientos!$F$2:$F$1993,MATCH(A211&amp;"ENTRADA",Movimientos!$R$2:$R$1993,0)),"-")</f>
        <v>-</v>
      </c>
      <c r="F211" s="2" t="str">
        <f>IFERROR(INDEX(Movimientos!$G$2:$G$1993,MATCH(A211&amp;"ENTRADA",Movimientos!$R$2:$R$1993,0)),"-")</f>
        <v>-</v>
      </c>
      <c r="G211" s="2" t="str">
        <f>IFERROR(INDEX(Movimientos!$L$2:$L$1993,MATCH(A211&amp;"ENTRADA",Movimientos!$R$2:$R$1993,0)),"-")</f>
        <v>-</v>
      </c>
      <c r="H211" s="17" t="str">
        <f>IFERROR(IF(INDEX(Movimientos!$M$2:$M$1993,MATCH(A211&amp;"ENTRADA",Movimientos!$R$2:$R$1993,0))=0,"S/D",INDEX(Movimientos!$M$2:$M$1993,MATCH(A211&amp;"ENTRADA",Movimientos!$R$2:$R$1993,0))),"S/D")</f>
        <v>S/D</v>
      </c>
      <c r="I211" s="15" t="str">
        <f t="shared" ca="1" si="8"/>
        <v>S/D</v>
      </c>
      <c r="J211" s="5">
        <f>IF(A211="","",SUMIFS(Movimientos!$K:$K,Movimientos!$H:$H,A211))</f>
        <v>0</v>
      </c>
      <c r="K211" s="13" t="str">
        <f t="shared" ca="1" si="7"/>
        <v>SIN STOCK</v>
      </c>
    </row>
    <row r="212" spans="1:11">
      <c r="A212" s="16" t="s">
        <v>2517</v>
      </c>
      <c r="B212" s="2" t="str">
        <f>IFERROR(INDEX(Movimientos!$C$2:$C$1993,MATCH(A212&amp;"ENTRADA",Movimientos!$R$2:$R$1993,0)),"-")</f>
        <v>-</v>
      </c>
      <c r="C212" s="2" t="str">
        <f>IFERROR(INDEX(Movimientos!$D$2:$D$1993,MATCH(A212&amp;"ENTRADA",Movimientos!$R$2:$R$1993,0)),"-")</f>
        <v>-</v>
      </c>
      <c r="D212" s="2" t="str">
        <f>IFERROR(INDEX(Movimientos!$E$2:$E$1993,MATCH(A212&amp;"ENTRADA",Movimientos!$R$2:$R$1993,0)),"-")</f>
        <v>-</v>
      </c>
      <c r="E212" s="2" t="str">
        <f>IFERROR(INDEX(Movimientos!$F$2:$F$1993,MATCH(A212&amp;"ENTRADA",Movimientos!$R$2:$R$1993,0)),"-")</f>
        <v>-</v>
      </c>
      <c r="F212" s="2" t="str">
        <f>IFERROR(INDEX(Movimientos!$G$2:$G$1993,MATCH(A212&amp;"ENTRADA",Movimientos!$R$2:$R$1993,0)),"-")</f>
        <v>-</v>
      </c>
      <c r="G212" s="2" t="str">
        <f>IFERROR(INDEX(Movimientos!$L$2:$L$1993,MATCH(A212&amp;"ENTRADA",Movimientos!$R$2:$R$1993,0)),"-")</f>
        <v>-</v>
      </c>
      <c r="H212" s="17" t="str">
        <f>IFERROR(IF(INDEX(Movimientos!$M$2:$M$1993,MATCH(A212&amp;"ENTRADA",Movimientos!$R$2:$R$1993,0))=0,"S/D",INDEX(Movimientos!$M$2:$M$1993,MATCH(A212&amp;"ENTRADA",Movimientos!$R$2:$R$1993,0))),"S/D")</f>
        <v>S/D</v>
      </c>
      <c r="I212" s="15" t="str">
        <f t="shared" ca="1" si="8"/>
        <v>S/D</v>
      </c>
      <c r="J212" s="5">
        <f>IF(A212="","",SUMIFS(Movimientos!$K:$K,Movimientos!$H:$H,A212))</f>
        <v>0</v>
      </c>
      <c r="K212" s="13" t="str">
        <f t="shared" ca="1" si="7"/>
        <v>SIN STOCK</v>
      </c>
    </row>
    <row r="213" spans="1:11">
      <c r="A213" s="16" t="s">
        <v>2518</v>
      </c>
      <c r="B213" s="2" t="str">
        <f>IFERROR(INDEX(Movimientos!$C$2:$C$1993,MATCH(A213&amp;"ENTRADA",Movimientos!$R$2:$R$1993,0)),"-")</f>
        <v>-</v>
      </c>
      <c r="C213" s="2" t="str">
        <f>IFERROR(INDEX(Movimientos!$D$2:$D$1993,MATCH(A213&amp;"ENTRADA",Movimientos!$R$2:$R$1993,0)),"-")</f>
        <v>-</v>
      </c>
      <c r="D213" s="2" t="str">
        <f>IFERROR(INDEX(Movimientos!$E$2:$E$1993,MATCH(A213&amp;"ENTRADA",Movimientos!$R$2:$R$1993,0)),"-")</f>
        <v>-</v>
      </c>
      <c r="E213" s="2" t="str">
        <f>IFERROR(INDEX(Movimientos!$F$2:$F$1993,MATCH(A213&amp;"ENTRADA",Movimientos!$R$2:$R$1993,0)),"-")</f>
        <v>-</v>
      </c>
      <c r="F213" s="2" t="str">
        <f>IFERROR(INDEX(Movimientos!$G$2:$G$1993,MATCH(A213&amp;"ENTRADA",Movimientos!$R$2:$R$1993,0)),"-")</f>
        <v>-</v>
      </c>
      <c r="G213" s="2" t="str">
        <f>IFERROR(INDEX(Movimientos!$L$2:$L$1993,MATCH(A213&amp;"ENTRADA",Movimientos!$R$2:$R$1993,0)),"-")</f>
        <v>-</v>
      </c>
      <c r="H213" s="17" t="str">
        <f>IFERROR(IF(INDEX(Movimientos!$M$2:$M$1993,MATCH(A213&amp;"ENTRADA",Movimientos!$R$2:$R$1993,0))=0,"S/D",INDEX(Movimientos!$M$2:$M$1993,MATCH(A213&amp;"ENTRADA",Movimientos!$R$2:$R$1993,0))),"S/D")</f>
        <v>S/D</v>
      </c>
      <c r="I213" s="15" t="str">
        <f t="shared" ca="1" si="8"/>
        <v>S/D</v>
      </c>
      <c r="J213" s="5">
        <f>IF(A213="","",SUMIFS(Movimientos!$K:$K,Movimientos!$H:$H,A213))</f>
        <v>0</v>
      </c>
      <c r="K213" s="13" t="str">
        <f t="shared" ca="1" si="7"/>
        <v>SIN STOCK</v>
      </c>
    </row>
    <row r="214" spans="1:11">
      <c r="A214" s="16" t="s">
        <v>2519</v>
      </c>
      <c r="B214" s="2" t="str">
        <f>IFERROR(INDEX(Movimientos!$C$2:$C$1993,MATCH(A214&amp;"ENTRADA",Movimientos!$R$2:$R$1993,0)),"-")</f>
        <v>-</v>
      </c>
      <c r="C214" s="2" t="str">
        <f>IFERROR(INDEX(Movimientos!$D$2:$D$1993,MATCH(A214&amp;"ENTRADA",Movimientos!$R$2:$R$1993,0)),"-")</f>
        <v>-</v>
      </c>
      <c r="D214" s="2" t="str">
        <f>IFERROR(INDEX(Movimientos!$E$2:$E$1993,MATCH(A214&amp;"ENTRADA",Movimientos!$R$2:$R$1993,0)),"-")</f>
        <v>-</v>
      </c>
      <c r="E214" s="2" t="str">
        <f>IFERROR(INDEX(Movimientos!$F$2:$F$1993,MATCH(A214&amp;"ENTRADA",Movimientos!$R$2:$R$1993,0)),"-")</f>
        <v>-</v>
      </c>
      <c r="F214" s="2" t="str">
        <f>IFERROR(INDEX(Movimientos!$G$2:$G$1993,MATCH(A214&amp;"ENTRADA",Movimientos!$R$2:$R$1993,0)),"-")</f>
        <v>-</v>
      </c>
      <c r="G214" s="2" t="str">
        <f>IFERROR(INDEX(Movimientos!$L$2:$L$1993,MATCH(A214&amp;"ENTRADA",Movimientos!$R$2:$R$1993,0)),"-")</f>
        <v>-</v>
      </c>
      <c r="H214" s="17" t="str">
        <f>IFERROR(IF(INDEX(Movimientos!$M$2:$M$1993,MATCH(A214&amp;"ENTRADA",Movimientos!$R$2:$R$1993,0))=0,"S/D",INDEX(Movimientos!$M$2:$M$1993,MATCH(A214&amp;"ENTRADA",Movimientos!$R$2:$R$1993,0))),"S/D")</f>
        <v>S/D</v>
      </c>
      <c r="I214" s="15" t="str">
        <f t="shared" ca="1" si="8"/>
        <v>S/D</v>
      </c>
      <c r="J214" s="5">
        <f>IF(A214="","",SUMIFS(Movimientos!$K:$K,Movimientos!$H:$H,A214))</f>
        <v>0</v>
      </c>
      <c r="K214" s="13" t="str">
        <f t="shared" ca="1" si="7"/>
        <v>SIN STOCK</v>
      </c>
    </row>
    <row r="215" spans="1:11">
      <c r="A215" s="16" t="s">
        <v>2520</v>
      </c>
      <c r="B215" s="2" t="str">
        <f>IFERROR(INDEX(Movimientos!$C$2:$C$1993,MATCH(A215&amp;"ENTRADA",Movimientos!$R$2:$R$1993,0)),"-")</f>
        <v>-</v>
      </c>
      <c r="C215" s="2" t="str">
        <f>IFERROR(INDEX(Movimientos!$D$2:$D$1993,MATCH(A215&amp;"ENTRADA",Movimientos!$R$2:$R$1993,0)),"-")</f>
        <v>-</v>
      </c>
      <c r="D215" s="2" t="str">
        <f>IFERROR(INDEX(Movimientos!$E$2:$E$1993,MATCH(A215&amp;"ENTRADA",Movimientos!$R$2:$R$1993,0)),"-")</f>
        <v>-</v>
      </c>
      <c r="E215" s="2" t="str">
        <f>IFERROR(INDEX(Movimientos!$F$2:$F$1993,MATCH(A215&amp;"ENTRADA",Movimientos!$R$2:$R$1993,0)),"-")</f>
        <v>-</v>
      </c>
      <c r="F215" s="2" t="str">
        <f>IFERROR(INDEX(Movimientos!$G$2:$G$1993,MATCH(A215&amp;"ENTRADA",Movimientos!$R$2:$R$1993,0)),"-")</f>
        <v>-</v>
      </c>
      <c r="G215" s="2" t="str">
        <f>IFERROR(INDEX(Movimientos!$L$2:$L$1993,MATCH(A215&amp;"ENTRADA",Movimientos!$R$2:$R$1993,0)),"-")</f>
        <v>-</v>
      </c>
      <c r="H215" s="17" t="str">
        <f>IFERROR(IF(INDEX(Movimientos!$M$2:$M$1993,MATCH(A215&amp;"ENTRADA",Movimientos!$R$2:$R$1993,0))=0,"S/D",INDEX(Movimientos!$M$2:$M$1993,MATCH(A215&amp;"ENTRADA",Movimientos!$R$2:$R$1993,0))),"S/D")</f>
        <v>S/D</v>
      </c>
      <c r="I215" s="15" t="str">
        <f t="shared" ca="1" si="8"/>
        <v>S/D</v>
      </c>
      <c r="J215" s="5">
        <f>IF(A215="","",SUMIFS(Movimientos!$K:$K,Movimientos!$H:$H,A215))</f>
        <v>0</v>
      </c>
      <c r="K215" s="13" t="str">
        <f t="shared" ca="1" si="7"/>
        <v>SIN STOCK</v>
      </c>
    </row>
    <row r="216" spans="1:11">
      <c r="A216" s="16" t="s">
        <v>2521</v>
      </c>
      <c r="B216" s="2" t="str">
        <f>IFERROR(INDEX(Movimientos!$C$2:$C$1993,MATCH(A216&amp;"ENTRADA",Movimientos!$R$2:$R$1993,0)),"-")</f>
        <v>-</v>
      </c>
      <c r="C216" s="2" t="str">
        <f>IFERROR(INDEX(Movimientos!$D$2:$D$1993,MATCH(A216&amp;"ENTRADA",Movimientos!$R$2:$R$1993,0)),"-")</f>
        <v>-</v>
      </c>
      <c r="D216" s="2" t="str">
        <f>IFERROR(INDEX(Movimientos!$E$2:$E$1993,MATCH(A216&amp;"ENTRADA",Movimientos!$R$2:$R$1993,0)),"-")</f>
        <v>-</v>
      </c>
      <c r="E216" s="2" t="str">
        <f>IFERROR(INDEX(Movimientos!$F$2:$F$1993,MATCH(A216&amp;"ENTRADA",Movimientos!$R$2:$R$1993,0)),"-")</f>
        <v>-</v>
      </c>
      <c r="F216" s="2" t="str">
        <f>IFERROR(INDEX(Movimientos!$G$2:$G$1993,MATCH(A216&amp;"ENTRADA",Movimientos!$R$2:$R$1993,0)),"-")</f>
        <v>-</v>
      </c>
      <c r="G216" s="2" t="str">
        <f>IFERROR(INDEX(Movimientos!$L$2:$L$1993,MATCH(A216&amp;"ENTRADA",Movimientos!$R$2:$R$1993,0)),"-")</f>
        <v>-</v>
      </c>
      <c r="H216" s="17" t="str">
        <f>IFERROR(IF(INDEX(Movimientos!$M$2:$M$1993,MATCH(A216&amp;"ENTRADA",Movimientos!$R$2:$R$1993,0))=0,"S/D",INDEX(Movimientos!$M$2:$M$1993,MATCH(A216&amp;"ENTRADA",Movimientos!$R$2:$R$1993,0))),"S/D")</f>
        <v>S/D</v>
      </c>
      <c r="I216" s="15" t="str">
        <f t="shared" ca="1" si="8"/>
        <v>S/D</v>
      </c>
      <c r="J216" s="5">
        <f>IF(A216="","",SUMIFS(Movimientos!$K:$K,Movimientos!$H:$H,A216))</f>
        <v>0</v>
      </c>
      <c r="K216" s="13" t="str">
        <f t="shared" ca="1" si="7"/>
        <v>SIN STOCK</v>
      </c>
    </row>
    <row r="217" spans="1:11">
      <c r="A217" s="16" t="s">
        <v>2522</v>
      </c>
      <c r="B217" s="2" t="str">
        <f>IFERROR(INDEX(Movimientos!$C$2:$C$1993,MATCH(A217&amp;"ENTRADA",Movimientos!$R$2:$R$1993,0)),"-")</f>
        <v>-</v>
      </c>
      <c r="C217" s="2" t="str">
        <f>IFERROR(INDEX(Movimientos!$D$2:$D$1993,MATCH(A217&amp;"ENTRADA",Movimientos!$R$2:$R$1993,0)),"-")</f>
        <v>-</v>
      </c>
      <c r="D217" s="2" t="str">
        <f>IFERROR(INDEX(Movimientos!$E$2:$E$1993,MATCH(A217&amp;"ENTRADA",Movimientos!$R$2:$R$1993,0)),"-")</f>
        <v>-</v>
      </c>
      <c r="E217" s="2" t="str">
        <f>IFERROR(INDEX(Movimientos!$F$2:$F$1993,MATCH(A217&amp;"ENTRADA",Movimientos!$R$2:$R$1993,0)),"-")</f>
        <v>-</v>
      </c>
      <c r="F217" s="2" t="str">
        <f>IFERROR(INDEX(Movimientos!$G$2:$G$1993,MATCH(A217&amp;"ENTRADA",Movimientos!$R$2:$R$1993,0)),"-")</f>
        <v>-</v>
      </c>
      <c r="G217" s="2" t="str">
        <f>IFERROR(INDEX(Movimientos!$L$2:$L$1993,MATCH(A217&amp;"ENTRADA",Movimientos!$R$2:$R$1993,0)),"-")</f>
        <v>-</v>
      </c>
      <c r="H217" s="17" t="str">
        <f>IFERROR(IF(INDEX(Movimientos!$M$2:$M$1993,MATCH(A217&amp;"ENTRADA",Movimientos!$R$2:$R$1993,0))=0,"S/D",INDEX(Movimientos!$M$2:$M$1993,MATCH(A217&amp;"ENTRADA",Movimientos!$R$2:$R$1993,0))),"S/D")</f>
        <v>S/D</v>
      </c>
      <c r="I217" s="15" t="str">
        <f t="shared" ca="1" si="8"/>
        <v>S/D</v>
      </c>
      <c r="J217" s="5">
        <f>IF(A217="","",SUMIFS(Movimientos!$K:$K,Movimientos!$H:$H,A217))</f>
        <v>0</v>
      </c>
      <c r="K217" s="13" t="str">
        <f t="shared" ca="1" si="7"/>
        <v>SIN STOCK</v>
      </c>
    </row>
    <row r="218" spans="1:11">
      <c r="A218" s="16" t="s">
        <v>2523</v>
      </c>
      <c r="B218" s="2" t="str">
        <f>IFERROR(INDEX(Movimientos!$C$2:$C$1993,MATCH(A218&amp;"ENTRADA",Movimientos!$R$2:$R$1993,0)),"-")</f>
        <v>-</v>
      </c>
      <c r="C218" s="2" t="str">
        <f>IFERROR(INDEX(Movimientos!$D$2:$D$1993,MATCH(A218&amp;"ENTRADA",Movimientos!$R$2:$R$1993,0)),"-")</f>
        <v>-</v>
      </c>
      <c r="D218" s="2" t="str">
        <f>IFERROR(INDEX(Movimientos!$E$2:$E$1993,MATCH(A218&amp;"ENTRADA",Movimientos!$R$2:$R$1993,0)),"-")</f>
        <v>-</v>
      </c>
      <c r="E218" s="2" t="str">
        <f>IFERROR(INDEX(Movimientos!$F$2:$F$1993,MATCH(A218&amp;"ENTRADA",Movimientos!$R$2:$R$1993,0)),"-")</f>
        <v>-</v>
      </c>
      <c r="F218" s="2" t="str">
        <f>IFERROR(INDEX(Movimientos!$G$2:$G$1993,MATCH(A218&amp;"ENTRADA",Movimientos!$R$2:$R$1993,0)),"-")</f>
        <v>-</v>
      </c>
      <c r="G218" s="2" t="str">
        <f>IFERROR(INDEX(Movimientos!$L$2:$L$1993,MATCH(A218&amp;"ENTRADA",Movimientos!$R$2:$R$1993,0)),"-")</f>
        <v>-</v>
      </c>
      <c r="H218" s="17" t="str">
        <f>IFERROR(IF(INDEX(Movimientos!$M$2:$M$1993,MATCH(A218&amp;"ENTRADA",Movimientos!$R$2:$R$1993,0))=0,"S/D",INDEX(Movimientos!$M$2:$M$1993,MATCH(A218&amp;"ENTRADA",Movimientos!$R$2:$R$1993,0))),"S/D")</f>
        <v>S/D</v>
      </c>
      <c r="I218" s="15" t="str">
        <f t="shared" ca="1" si="8"/>
        <v>S/D</v>
      </c>
      <c r="J218" s="5">
        <f>IF(A218="","",SUMIFS(Movimientos!$K:$K,Movimientos!$H:$H,A218))</f>
        <v>0</v>
      </c>
      <c r="K218" s="13" t="str">
        <f t="shared" ca="1" si="7"/>
        <v>SIN STOCK</v>
      </c>
    </row>
    <row r="219" spans="1:11">
      <c r="A219" s="16" t="s">
        <v>2524</v>
      </c>
      <c r="B219" s="2" t="str">
        <f>IFERROR(INDEX(Movimientos!$C$2:$C$1993,MATCH(A219&amp;"ENTRADA",Movimientos!$R$2:$R$1993,0)),"-")</f>
        <v>-</v>
      </c>
      <c r="C219" s="2" t="str">
        <f>IFERROR(INDEX(Movimientos!$D$2:$D$1993,MATCH(A219&amp;"ENTRADA",Movimientos!$R$2:$R$1993,0)),"-")</f>
        <v>-</v>
      </c>
      <c r="D219" s="2" t="str">
        <f>IFERROR(INDEX(Movimientos!$E$2:$E$1993,MATCH(A219&amp;"ENTRADA",Movimientos!$R$2:$R$1993,0)),"-")</f>
        <v>-</v>
      </c>
      <c r="E219" s="2" t="str">
        <f>IFERROR(INDEX(Movimientos!$F$2:$F$1993,MATCH(A219&amp;"ENTRADA",Movimientos!$R$2:$R$1993,0)),"-")</f>
        <v>-</v>
      </c>
      <c r="F219" s="2" t="str">
        <f>IFERROR(INDEX(Movimientos!$G$2:$G$1993,MATCH(A219&amp;"ENTRADA",Movimientos!$R$2:$R$1993,0)),"-")</f>
        <v>-</v>
      </c>
      <c r="G219" s="2" t="str">
        <f>IFERROR(INDEX(Movimientos!$L$2:$L$1993,MATCH(A219&amp;"ENTRADA",Movimientos!$R$2:$R$1993,0)),"-")</f>
        <v>-</v>
      </c>
      <c r="H219" s="17" t="str">
        <f>IFERROR(IF(INDEX(Movimientos!$M$2:$M$1993,MATCH(A219&amp;"ENTRADA",Movimientos!$R$2:$R$1993,0))=0,"S/D",INDEX(Movimientos!$M$2:$M$1993,MATCH(A219&amp;"ENTRADA",Movimientos!$R$2:$R$1993,0))),"S/D")</f>
        <v>S/D</v>
      </c>
      <c r="I219" s="15" t="str">
        <f t="shared" ca="1" si="8"/>
        <v>S/D</v>
      </c>
      <c r="J219" s="5">
        <f>IF(A219="","",SUMIFS(Movimientos!$K:$K,Movimientos!$H:$H,A219))</f>
        <v>0</v>
      </c>
      <c r="K219" s="13" t="str">
        <f t="shared" ca="1" si="7"/>
        <v>SIN STOCK</v>
      </c>
    </row>
    <row r="220" spans="1:11">
      <c r="A220" s="16" t="s">
        <v>2525</v>
      </c>
      <c r="B220" s="2" t="str">
        <f>IFERROR(INDEX(Movimientos!$C$2:$C$1993,MATCH(A220&amp;"ENTRADA",Movimientos!$R$2:$R$1993,0)),"-")</f>
        <v>-</v>
      </c>
      <c r="C220" s="2" t="str">
        <f>IFERROR(INDEX(Movimientos!$D$2:$D$1993,MATCH(A220&amp;"ENTRADA",Movimientos!$R$2:$R$1993,0)),"-")</f>
        <v>-</v>
      </c>
      <c r="D220" s="2" t="str">
        <f>IFERROR(INDEX(Movimientos!$E$2:$E$1993,MATCH(A220&amp;"ENTRADA",Movimientos!$R$2:$R$1993,0)),"-")</f>
        <v>-</v>
      </c>
      <c r="E220" s="2" t="str">
        <f>IFERROR(INDEX(Movimientos!$F$2:$F$1993,MATCH(A220&amp;"ENTRADA",Movimientos!$R$2:$R$1993,0)),"-")</f>
        <v>-</v>
      </c>
      <c r="F220" s="2" t="str">
        <f>IFERROR(INDEX(Movimientos!$G$2:$G$1993,MATCH(A220&amp;"ENTRADA",Movimientos!$R$2:$R$1993,0)),"-")</f>
        <v>-</v>
      </c>
      <c r="G220" s="2" t="str">
        <f>IFERROR(INDEX(Movimientos!$L$2:$L$1993,MATCH(A220&amp;"ENTRADA",Movimientos!$R$2:$R$1993,0)),"-")</f>
        <v>-</v>
      </c>
      <c r="H220" s="17" t="str">
        <f>IFERROR(IF(INDEX(Movimientos!$M$2:$M$1993,MATCH(A220&amp;"ENTRADA",Movimientos!$R$2:$R$1993,0))=0,"S/D",INDEX(Movimientos!$M$2:$M$1993,MATCH(A220&amp;"ENTRADA",Movimientos!$R$2:$R$1993,0))),"S/D")</f>
        <v>S/D</v>
      </c>
      <c r="I220" s="15" t="str">
        <f t="shared" ca="1" si="8"/>
        <v>S/D</v>
      </c>
      <c r="J220" s="5">
        <f>IF(A220="","",SUMIFS(Movimientos!$K:$K,Movimientos!$H:$H,A220))</f>
        <v>0</v>
      </c>
      <c r="K220" s="13" t="str">
        <f t="shared" ca="1" si="7"/>
        <v>SIN STOCK</v>
      </c>
    </row>
    <row r="221" spans="1:11">
      <c r="A221" s="16" t="s">
        <v>2526</v>
      </c>
      <c r="B221" s="2" t="str">
        <f>IFERROR(INDEX(Movimientos!$C$2:$C$1993,MATCH(A221&amp;"ENTRADA",Movimientos!$R$2:$R$1993,0)),"-")</f>
        <v>-</v>
      </c>
      <c r="C221" s="2" t="str">
        <f>IFERROR(INDEX(Movimientos!$D$2:$D$1993,MATCH(A221&amp;"ENTRADA",Movimientos!$R$2:$R$1993,0)),"-")</f>
        <v>-</v>
      </c>
      <c r="D221" s="2" t="str">
        <f>IFERROR(INDEX(Movimientos!$E$2:$E$1993,MATCH(A221&amp;"ENTRADA",Movimientos!$R$2:$R$1993,0)),"-")</f>
        <v>-</v>
      </c>
      <c r="E221" s="2" t="str">
        <f>IFERROR(INDEX(Movimientos!$F$2:$F$1993,MATCH(A221&amp;"ENTRADA",Movimientos!$R$2:$R$1993,0)),"-")</f>
        <v>-</v>
      </c>
      <c r="F221" s="2" t="str">
        <f>IFERROR(INDEX(Movimientos!$G$2:$G$1993,MATCH(A221&amp;"ENTRADA",Movimientos!$R$2:$R$1993,0)),"-")</f>
        <v>-</v>
      </c>
      <c r="G221" s="2" t="str">
        <f>IFERROR(INDEX(Movimientos!$L$2:$L$1993,MATCH(A221&amp;"ENTRADA",Movimientos!$R$2:$R$1993,0)),"-")</f>
        <v>-</v>
      </c>
      <c r="H221" s="17" t="str">
        <f>IFERROR(IF(INDEX(Movimientos!$M$2:$M$1993,MATCH(A221&amp;"ENTRADA",Movimientos!$R$2:$R$1993,0))=0,"S/D",INDEX(Movimientos!$M$2:$M$1993,MATCH(A221&amp;"ENTRADA",Movimientos!$R$2:$R$1993,0))),"S/D")</f>
        <v>S/D</v>
      </c>
      <c r="I221" s="15" t="str">
        <f t="shared" ca="1" si="8"/>
        <v>S/D</v>
      </c>
      <c r="J221" s="5">
        <f>IF(A221="","",SUMIFS(Movimientos!$K:$K,Movimientos!$H:$H,A221))</f>
        <v>0</v>
      </c>
      <c r="K221" s="13" t="str">
        <f t="shared" ca="1" si="7"/>
        <v>SIN STOCK</v>
      </c>
    </row>
    <row r="222" spans="1:11">
      <c r="A222" s="16" t="s">
        <v>2527</v>
      </c>
      <c r="B222" s="2" t="str">
        <f>IFERROR(INDEX(Movimientos!$C$2:$C$1993,MATCH(A222&amp;"ENTRADA",Movimientos!$R$2:$R$1993,0)),"-")</f>
        <v>-</v>
      </c>
      <c r="C222" s="2" t="str">
        <f>IFERROR(INDEX(Movimientos!$D$2:$D$1993,MATCH(A222&amp;"ENTRADA",Movimientos!$R$2:$R$1993,0)),"-")</f>
        <v>-</v>
      </c>
      <c r="D222" s="2" t="str">
        <f>IFERROR(INDEX(Movimientos!$E$2:$E$1993,MATCH(A222&amp;"ENTRADA",Movimientos!$R$2:$R$1993,0)),"-")</f>
        <v>-</v>
      </c>
      <c r="E222" s="2" t="str">
        <f>IFERROR(INDEX(Movimientos!$F$2:$F$1993,MATCH(A222&amp;"ENTRADA",Movimientos!$R$2:$R$1993,0)),"-")</f>
        <v>-</v>
      </c>
      <c r="F222" s="2" t="str">
        <f>IFERROR(INDEX(Movimientos!$G$2:$G$1993,MATCH(A222&amp;"ENTRADA",Movimientos!$R$2:$R$1993,0)),"-")</f>
        <v>-</v>
      </c>
      <c r="G222" s="2" t="str">
        <f>IFERROR(INDEX(Movimientos!$L$2:$L$1993,MATCH(A222&amp;"ENTRADA",Movimientos!$R$2:$R$1993,0)),"-")</f>
        <v>-</v>
      </c>
      <c r="H222" s="17" t="str">
        <f>IFERROR(IF(INDEX(Movimientos!$M$2:$M$1993,MATCH(A222&amp;"ENTRADA",Movimientos!$R$2:$R$1993,0))=0,"S/D",INDEX(Movimientos!$M$2:$M$1993,MATCH(A222&amp;"ENTRADA",Movimientos!$R$2:$R$1993,0))),"S/D")</f>
        <v>S/D</v>
      </c>
      <c r="I222" s="15" t="str">
        <f t="shared" ca="1" si="8"/>
        <v>S/D</v>
      </c>
      <c r="J222" s="5">
        <f>IF(A222="","",SUMIFS(Movimientos!$K:$K,Movimientos!$H:$H,A222))</f>
        <v>0</v>
      </c>
      <c r="K222" s="13" t="str">
        <f t="shared" ca="1" si="7"/>
        <v>SIN STOCK</v>
      </c>
    </row>
    <row r="223" spans="1:11">
      <c r="A223" s="16" t="s">
        <v>2528</v>
      </c>
      <c r="B223" s="2" t="str">
        <f>IFERROR(INDEX(Movimientos!$C$2:$C$1993,MATCH(A223&amp;"ENTRADA",Movimientos!$R$2:$R$1993,0)),"-")</f>
        <v>-</v>
      </c>
      <c r="C223" s="2" t="str">
        <f>IFERROR(INDEX(Movimientos!$D$2:$D$1993,MATCH(A223&amp;"ENTRADA",Movimientos!$R$2:$R$1993,0)),"-")</f>
        <v>-</v>
      </c>
      <c r="D223" s="2" t="str">
        <f>IFERROR(INDEX(Movimientos!$E$2:$E$1993,MATCH(A223&amp;"ENTRADA",Movimientos!$R$2:$R$1993,0)),"-")</f>
        <v>-</v>
      </c>
      <c r="E223" s="2" t="str">
        <f>IFERROR(INDEX(Movimientos!$F$2:$F$1993,MATCH(A223&amp;"ENTRADA",Movimientos!$R$2:$R$1993,0)),"-")</f>
        <v>-</v>
      </c>
      <c r="F223" s="2" t="str">
        <f>IFERROR(INDEX(Movimientos!$G$2:$G$1993,MATCH(A223&amp;"ENTRADA",Movimientos!$R$2:$R$1993,0)),"-")</f>
        <v>-</v>
      </c>
      <c r="G223" s="2" t="str">
        <f>IFERROR(INDEX(Movimientos!$L$2:$L$1993,MATCH(A223&amp;"ENTRADA",Movimientos!$R$2:$R$1993,0)),"-")</f>
        <v>-</v>
      </c>
      <c r="H223" s="17" t="str">
        <f>IFERROR(IF(INDEX(Movimientos!$M$2:$M$1993,MATCH(A223&amp;"ENTRADA",Movimientos!$R$2:$R$1993,0))=0,"S/D",INDEX(Movimientos!$M$2:$M$1993,MATCH(A223&amp;"ENTRADA",Movimientos!$R$2:$R$1993,0))),"S/D")</f>
        <v>S/D</v>
      </c>
      <c r="I223" s="15" t="str">
        <f t="shared" ca="1" si="8"/>
        <v>S/D</v>
      </c>
      <c r="J223" s="5">
        <f>IF(A223="","",SUMIFS(Movimientos!$K:$K,Movimientos!$H:$H,A223))</f>
        <v>0</v>
      </c>
      <c r="K223" s="13" t="str">
        <f t="shared" ca="1" si="7"/>
        <v>SIN STOCK</v>
      </c>
    </row>
    <row r="224" spans="1:11">
      <c r="A224" s="16" t="s">
        <v>2529</v>
      </c>
      <c r="B224" s="2" t="str">
        <f>IFERROR(INDEX(Movimientos!$C$2:$C$1993,MATCH(A224&amp;"ENTRADA",Movimientos!$R$2:$R$1993,0)),"-")</f>
        <v>-</v>
      </c>
      <c r="C224" s="2" t="str">
        <f>IFERROR(INDEX(Movimientos!$D$2:$D$1993,MATCH(A224&amp;"ENTRADA",Movimientos!$R$2:$R$1993,0)),"-")</f>
        <v>-</v>
      </c>
      <c r="D224" s="2" t="str">
        <f>IFERROR(INDEX(Movimientos!$E$2:$E$1993,MATCH(A224&amp;"ENTRADA",Movimientos!$R$2:$R$1993,0)),"-")</f>
        <v>-</v>
      </c>
      <c r="E224" s="2" t="str">
        <f>IFERROR(INDEX(Movimientos!$F$2:$F$1993,MATCH(A224&amp;"ENTRADA",Movimientos!$R$2:$R$1993,0)),"-")</f>
        <v>-</v>
      </c>
      <c r="F224" s="2" t="str">
        <f>IFERROR(INDEX(Movimientos!$G$2:$G$1993,MATCH(A224&amp;"ENTRADA",Movimientos!$R$2:$R$1993,0)),"-")</f>
        <v>-</v>
      </c>
      <c r="G224" s="2" t="str">
        <f>IFERROR(INDEX(Movimientos!$L$2:$L$1993,MATCH(A224&amp;"ENTRADA",Movimientos!$R$2:$R$1993,0)),"-")</f>
        <v>-</v>
      </c>
      <c r="H224" s="17" t="str">
        <f>IFERROR(IF(INDEX(Movimientos!$M$2:$M$1993,MATCH(A224&amp;"ENTRADA",Movimientos!$R$2:$R$1993,0))=0,"S/D",INDEX(Movimientos!$M$2:$M$1993,MATCH(A224&amp;"ENTRADA",Movimientos!$R$2:$R$1993,0))),"S/D")</f>
        <v>S/D</v>
      </c>
      <c r="I224" s="15" t="str">
        <f t="shared" ca="1" si="8"/>
        <v>S/D</v>
      </c>
      <c r="J224" s="5">
        <f>IF(A224="","",SUMIFS(Movimientos!$K:$K,Movimientos!$H:$H,A224))</f>
        <v>0</v>
      </c>
      <c r="K224" s="13" t="str">
        <f t="shared" ca="1" si="7"/>
        <v>SIN STOCK</v>
      </c>
    </row>
    <row r="225" spans="1:11">
      <c r="A225" s="16" t="s">
        <v>2530</v>
      </c>
      <c r="B225" s="2" t="str">
        <f>IFERROR(INDEX(Movimientos!$C$2:$C$1993,MATCH(A225&amp;"ENTRADA",Movimientos!$R$2:$R$1993,0)),"-")</f>
        <v>-</v>
      </c>
      <c r="C225" s="2" t="str">
        <f>IFERROR(INDEX(Movimientos!$D$2:$D$1993,MATCH(A225&amp;"ENTRADA",Movimientos!$R$2:$R$1993,0)),"-")</f>
        <v>-</v>
      </c>
      <c r="D225" s="2" t="str">
        <f>IFERROR(INDEX(Movimientos!$E$2:$E$1993,MATCH(A225&amp;"ENTRADA",Movimientos!$R$2:$R$1993,0)),"-")</f>
        <v>-</v>
      </c>
      <c r="E225" s="2" t="str">
        <f>IFERROR(INDEX(Movimientos!$F$2:$F$1993,MATCH(A225&amp;"ENTRADA",Movimientos!$R$2:$R$1993,0)),"-")</f>
        <v>-</v>
      </c>
      <c r="F225" s="2" t="str">
        <f>IFERROR(INDEX(Movimientos!$G$2:$G$1993,MATCH(A225&amp;"ENTRADA",Movimientos!$R$2:$R$1993,0)),"-")</f>
        <v>-</v>
      </c>
      <c r="G225" s="2" t="str">
        <f>IFERROR(INDEX(Movimientos!$L$2:$L$1993,MATCH(A225&amp;"ENTRADA",Movimientos!$R$2:$R$1993,0)),"-")</f>
        <v>-</v>
      </c>
      <c r="H225" s="17" t="str">
        <f>IFERROR(IF(INDEX(Movimientos!$M$2:$M$1993,MATCH(A225&amp;"ENTRADA",Movimientos!$R$2:$R$1993,0))=0,"S/D",INDEX(Movimientos!$M$2:$M$1993,MATCH(A225&amp;"ENTRADA",Movimientos!$R$2:$R$1993,0))),"S/D")</f>
        <v>S/D</v>
      </c>
      <c r="I225" s="15" t="str">
        <f t="shared" ca="1" si="8"/>
        <v>S/D</v>
      </c>
      <c r="J225" s="5">
        <f>IF(A225="","",SUMIFS(Movimientos!$K:$K,Movimientos!$H:$H,A225))</f>
        <v>0</v>
      </c>
      <c r="K225" s="13" t="str">
        <f t="shared" ca="1" si="7"/>
        <v>SIN STOCK</v>
      </c>
    </row>
    <row r="226" spans="1:11">
      <c r="A226" s="16" t="s">
        <v>2531</v>
      </c>
      <c r="B226" s="2" t="str">
        <f>IFERROR(INDEX(Movimientos!$C$2:$C$1993,MATCH(A226&amp;"ENTRADA",Movimientos!$R$2:$R$1993,0)),"-")</f>
        <v>-</v>
      </c>
      <c r="C226" s="2" t="str">
        <f>IFERROR(INDEX(Movimientos!$D$2:$D$1993,MATCH(A226&amp;"ENTRADA",Movimientos!$R$2:$R$1993,0)),"-")</f>
        <v>-</v>
      </c>
      <c r="D226" s="2" t="str">
        <f>IFERROR(INDEX(Movimientos!$E$2:$E$1993,MATCH(A226&amp;"ENTRADA",Movimientos!$R$2:$R$1993,0)),"-")</f>
        <v>-</v>
      </c>
      <c r="E226" s="2" t="str">
        <f>IFERROR(INDEX(Movimientos!$F$2:$F$1993,MATCH(A226&amp;"ENTRADA",Movimientos!$R$2:$R$1993,0)),"-")</f>
        <v>-</v>
      </c>
      <c r="F226" s="2" t="str">
        <f>IFERROR(INDEX(Movimientos!$G$2:$G$1993,MATCH(A226&amp;"ENTRADA",Movimientos!$R$2:$R$1993,0)),"-")</f>
        <v>-</v>
      </c>
      <c r="G226" s="2" t="str">
        <f>IFERROR(INDEX(Movimientos!$L$2:$L$1993,MATCH(A226&amp;"ENTRADA",Movimientos!$R$2:$R$1993,0)),"-")</f>
        <v>-</v>
      </c>
      <c r="H226" s="17" t="str">
        <f>IFERROR(IF(INDEX(Movimientos!$M$2:$M$1993,MATCH(A226&amp;"ENTRADA",Movimientos!$R$2:$R$1993,0))=0,"S/D",INDEX(Movimientos!$M$2:$M$1993,MATCH(A226&amp;"ENTRADA",Movimientos!$R$2:$R$1993,0))),"S/D")</f>
        <v>S/D</v>
      </c>
      <c r="I226" s="15" t="str">
        <f t="shared" ca="1" si="8"/>
        <v>S/D</v>
      </c>
      <c r="J226" s="5">
        <f>IF(A226="","",SUMIFS(Movimientos!$K:$K,Movimientos!$H:$H,A226))</f>
        <v>0</v>
      </c>
      <c r="K226" s="13" t="str">
        <f t="shared" ca="1" si="7"/>
        <v>SIN STOCK</v>
      </c>
    </row>
    <row r="227" spans="1:11">
      <c r="A227" s="16" t="s">
        <v>2532</v>
      </c>
      <c r="B227" s="2" t="str">
        <f>IFERROR(INDEX(Movimientos!$C$2:$C$1993,MATCH(A227&amp;"ENTRADA",Movimientos!$R$2:$R$1993,0)),"-")</f>
        <v>-</v>
      </c>
      <c r="C227" s="2" t="str">
        <f>IFERROR(INDEX(Movimientos!$D$2:$D$1993,MATCH(A227&amp;"ENTRADA",Movimientos!$R$2:$R$1993,0)),"-")</f>
        <v>-</v>
      </c>
      <c r="D227" s="2" t="str">
        <f>IFERROR(INDEX(Movimientos!$E$2:$E$1993,MATCH(A227&amp;"ENTRADA",Movimientos!$R$2:$R$1993,0)),"-")</f>
        <v>-</v>
      </c>
      <c r="E227" s="2" t="str">
        <f>IFERROR(INDEX(Movimientos!$F$2:$F$1993,MATCH(A227&amp;"ENTRADA",Movimientos!$R$2:$R$1993,0)),"-")</f>
        <v>-</v>
      </c>
      <c r="F227" s="2" t="str">
        <f>IFERROR(INDEX(Movimientos!$G$2:$G$1993,MATCH(A227&amp;"ENTRADA",Movimientos!$R$2:$R$1993,0)),"-")</f>
        <v>-</v>
      </c>
      <c r="G227" s="2" t="str">
        <f>IFERROR(INDEX(Movimientos!$L$2:$L$1993,MATCH(A227&amp;"ENTRADA",Movimientos!$R$2:$R$1993,0)),"-")</f>
        <v>-</v>
      </c>
      <c r="H227" s="17" t="str">
        <f>IFERROR(IF(INDEX(Movimientos!$M$2:$M$1993,MATCH(A227&amp;"ENTRADA",Movimientos!$R$2:$R$1993,0))=0,"S/D",INDEX(Movimientos!$M$2:$M$1993,MATCH(A227&amp;"ENTRADA",Movimientos!$R$2:$R$1993,0))),"S/D")</f>
        <v>S/D</v>
      </c>
      <c r="I227" s="15" t="str">
        <f t="shared" ca="1" si="8"/>
        <v>S/D</v>
      </c>
      <c r="J227" s="5">
        <f>IF(A227="","",SUMIFS(Movimientos!$K:$K,Movimientos!$H:$H,A227))</f>
        <v>0</v>
      </c>
      <c r="K227" s="13" t="str">
        <f t="shared" ca="1" si="7"/>
        <v>SIN STOCK</v>
      </c>
    </row>
    <row r="228" spans="1:11">
      <c r="A228" s="16" t="s">
        <v>2533</v>
      </c>
      <c r="B228" s="2" t="str">
        <f>IFERROR(INDEX(Movimientos!$C$2:$C$1993,MATCH(A228&amp;"ENTRADA",Movimientos!$R$2:$R$1993,0)),"-")</f>
        <v>-</v>
      </c>
      <c r="C228" s="2" t="str">
        <f>IFERROR(INDEX(Movimientos!$D$2:$D$1993,MATCH(A228&amp;"ENTRADA",Movimientos!$R$2:$R$1993,0)),"-")</f>
        <v>-</v>
      </c>
      <c r="D228" s="2" t="str">
        <f>IFERROR(INDEX(Movimientos!$E$2:$E$1993,MATCH(A228&amp;"ENTRADA",Movimientos!$R$2:$R$1993,0)),"-")</f>
        <v>-</v>
      </c>
      <c r="E228" s="2" t="str">
        <f>IFERROR(INDEX(Movimientos!$F$2:$F$1993,MATCH(A228&amp;"ENTRADA",Movimientos!$R$2:$R$1993,0)),"-")</f>
        <v>-</v>
      </c>
      <c r="F228" s="2" t="str">
        <f>IFERROR(INDEX(Movimientos!$G$2:$G$1993,MATCH(A228&amp;"ENTRADA",Movimientos!$R$2:$R$1993,0)),"-")</f>
        <v>-</v>
      </c>
      <c r="G228" s="2" t="str">
        <f>IFERROR(INDEX(Movimientos!$L$2:$L$1993,MATCH(A228&amp;"ENTRADA",Movimientos!$R$2:$R$1993,0)),"-")</f>
        <v>-</v>
      </c>
      <c r="H228" s="17" t="str">
        <f>IFERROR(IF(INDEX(Movimientos!$M$2:$M$1993,MATCH(A228&amp;"ENTRADA",Movimientos!$R$2:$R$1993,0))=0,"S/D",INDEX(Movimientos!$M$2:$M$1993,MATCH(A228&amp;"ENTRADA",Movimientos!$R$2:$R$1993,0))),"S/D")</f>
        <v>S/D</v>
      </c>
      <c r="I228" s="15" t="str">
        <f t="shared" ca="1" si="8"/>
        <v>S/D</v>
      </c>
      <c r="J228" s="5">
        <f>IF(A228="","",SUMIFS(Movimientos!$K:$K,Movimientos!$H:$H,A228))</f>
        <v>0</v>
      </c>
      <c r="K228" s="13" t="str">
        <f t="shared" ca="1" si="7"/>
        <v>SIN STOCK</v>
      </c>
    </row>
    <row r="229" spans="1:11">
      <c r="A229" s="16" t="s">
        <v>2534</v>
      </c>
      <c r="B229" s="2" t="str">
        <f>IFERROR(INDEX(Movimientos!$C$2:$C$1993,MATCH(A229&amp;"ENTRADA",Movimientos!$R$2:$R$1993,0)),"-")</f>
        <v>-</v>
      </c>
      <c r="C229" s="2" t="str">
        <f>IFERROR(INDEX(Movimientos!$D$2:$D$1993,MATCH(A229&amp;"ENTRADA",Movimientos!$R$2:$R$1993,0)),"-")</f>
        <v>-</v>
      </c>
      <c r="D229" s="2" t="str">
        <f>IFERROR(INDEX(Movimientos!$E$2:$E$1993,MATCH(A229&amp;"ENTRADA",Movimientos!$R$2:$R$1993,0)),"-")</f>
        <v>-</v>
      </c>
      <c r="E229" s="2" t="str">
        <f>IFERROR(INDEX(Movimientos!$F$2:$F$1993,MATCH(A229&amp;"ENTRADA",Movimientos!$R$2:$R$1993,0)),"-")</f>
        <v>-</v>
      </c>
      <c r="F229" s="2" t="str">
        <f>IFERROR(INDEX(Movimientos!$G$2:$G$1993,MATCH(A229&amp;"ENTRADA",Movimientos!$R$2:$R$1993,0)),"-")</f>
        <v>-</v>
      </c>
      <c r="G229" s="2" t="str">
        <f>IFERROR(INDEX(Movimientos!$L$2:$L$1993,MATCH(A229&amp;"ENTRADA",Movimientos!$R$2:$R$1993,0)),"-")</f>
        <v>-</v>
      </c>
      <c r="H229" s="17" t="str">
        <f>IFERROR(IF(INDEX(Movimientos!$M$2:$M$1993,MATCH(A229&amp;"ENTRADA",Movimientos!$R$2:$R$1993,0))=0,"S/D",INDEX(Movimientos!$M$2:$M$1993,MATCH(A229&amp;"ENTRADA",Movimientos!$R$2:$R$1993,0))),"S/D")</f>
        <v>S/D</v>
      </c>
      <c r="I229" s="15" t="str">
        <f t="shared" ca="1" si="8"/>
        <v>S/D</v>
      </c>
      <c r="J229" s="5">
        <f>IF(A229="","",SUMIFS(Movimientos!$K:$K,Movimientos!$H:$H,A229))</f>
        <v>0</v>
      </c>
      <c r="K229" s="13" t="str">
        <f t="shared" ca="1" si="7"/>
        <v>SIN STOCK</v>
      </c>
    </row>
    <row r="230" spans="1:11">
      <c r="A230" s="16" t="s">
        <v>2535</v>
      </c>
      <c r="B230" s="2" t="str">
        <f>IFERROR(INDEX(Movimientos!$C$2:$C$1993,MATCH(A230&amp;"ENTRADA",Movimientos!$R$2:$R$1993,0)),"-")</f>
        <v>-</v>
      </c>
      <c r="C230" s="2" t="str">
        <f>IFERROR(INDEX(Movimientos!$D$2:$D$1993,MATCH(A230&amp;"ENTRADA",Movimientos!$R$2:$R$1993,0)),"-")</f>
        <v>-</v>
      </c>
      <c r="D230" s="2" t="str">
        <f>IFERROR(INDEX(Movimientos!$E$2:$E$1993,MATCH(A230&amp;"ENTRADA",Movimientos!$R$2:$R$1993,0)),"-")</f>
        <v>-</v>
      </c>
      <c r="E230" s="2" t="str">
        <f>IFERROR(INDEX(Movimientos!$F$2:$F$1993,MATCH(A230&amp;"ENTRADA",Movimientos!$R$2:$R$1993,0)),"-")</f>
        <v>-</v>
      </c>
      <c r="F230" s="2" t="str">
        <f>IFERROR(INDEX(Movimientos!$G$2:$G$1993,MATCH(A230&amp;"ENTRADA",Movimientos!$R$2:$R$1993,0)),"-")</f>
        <v>-</v>
      </c>
      <c r="G230" s="2" t="str">
        <f>IFERROR(INDEX(Movimientos!$L$2:$L$1993,MATCH(A230&amp;"ENTRADA",Movimientos!$R$2:$R$1993,0)),"-")</f>
        <v>-</v>
      </c>
      <c r="H230" s="17" t="str">
        <f>IFERROR(IF(INDEX(Movimientos!$M$2:$M$1993,MATCH(A230&amp;"ENTRADA",Movimientos!$R$2:$R$1993,0))=0,"S/D",INDEX(Movimientos!$M$2:$M$1993,MATCH(A230&amp;"ENTRADA",Movimientos!$R$2:$R$1993,0))),"S/D")</f>
        <v>S/D</v>
      </c>
      <c r="I230" s="15" t="str">
        <f t="shared" ca="1" si="8"/>
        <v>S/D</v>
      </c>
      <c r="J230" s="5">
        <f>IF(A230="","",SUMIFS(Movimientos!$K:$K,Movimientos!$H:$H,A230))</f>
        <v>0</v>
      </c>
      <c r="K230" s="13" t="str">
        <f t="shared" ca="1" si="7"/>
        <v>SIN STOCK</v>
      </c>
    </row>
    <row r="231" spans="1:11">
      <c r="A231" s="16" t="s">
        <v>2536</v>
      </c>
      <c r="B231" s="2" t="str">
        <f>IFERROR(INDEX(Movimientos!$C$2:$C$1993,MATCH(A231&amp;"ENTRADA",Movimientos!$R$2:$R$1993,0)),"-")</f>
        <v>-</v>
      </c>
      <c r="C231" s="2" t="str">
        <f>IFERROR(INDEX(Movimientos!$D$2:$D$1993,MATCH(A231&amp;"ENTRADA",Movimientos!$R$2:$R$1993,0)),"-")</f>
        <v>-</v>
      </c>
      <c r="D231" s="2" t="str">
        <f>IFERROR(INDEX(Movimientos!$E$2:$E$1993,MATCH(A231&amp;"ENTRADA",Movimientos!$R$2:$R$1993,0)),"-")</f>
        <v>-</v>
      </c>
      <c r="E231" s="2" t="str">
        <f>IFERROR(INDEX(Movimientos!$F$2:$F$1993,MATCH(A231&amp;"ENTRADA",Movimientos!$R$2:$R$1993,0)),"-")</f>
        <v>-</v>
      </c>
      <c r="F231" s="2" t="str">
        <f>IFERROR(INDEX(Movimientos!$G$2:$G$1993,MATCH(A231&amp;"ENTRADA",Movimientos!$R$2:$R$1993,0)),"-")</f>
        <v>-</v>
      </c>
      <c r="G231" s="2" t="str">
        <f>IFERROR(INDEX(Movimientos!$L$2:$L$1993,MATCH(A231&amp;"ENTRADA",Movimientos!$R$2:$R$1993,0)),"-")</f>
        <v>-</v>
      </c>
      <c r="H231" s="17" t="str">
        <f>IFERROR(IF(INDEX(Movimientos!$M$2:$M$1993,MATCH(A231&amp;"ENTRADA",Movimientos!$R$2:$R$1993,0))=0,"S/D",INDEX(Movimientos!$M$2:$M$1993,MATCH(A231&amp;"ENTRADA",Movimientos!$R$2:$R$1993,0))),"S/D")</f>
        <v>S/D</v>
      </c>
      <c r="I231" s="15" t="str">
        <f t="shared" ca="1" si="8"/>
        <v>S/D</v>
      </c>
      <c r="J231" s="5">
        <f>IF(A231="","",SUMIFS(Movimientos!$K:$K,Movimientos!$H:$H,A231))</f>
        <v>0</v>
      </c>
      <c r="K231" s="13" t="str">
        <f t="shared" ca="1" si="7"/>
        <v>SIN STOCK</v>
      </c>
    </row>
    <row r="232" spans="1:11">
      <c r="A232" s="16" t="s">
        <v>2537</v>
      </c>
      <c r="B232" s="2" t="str">
        <f>IFERROR(INDEX(Movimientos!$C$2:$C$1993,MATCH(A232&amp;"ENTRADA",Movimientos!$R$2:$R$1993,0)),"-")</f>
        <v>-</v>
      </c>
      <c r="C232" s="2" t="str">
        <f>IFERROR(INDEX(Movimientos!$D$2:$D$1993,MATCH(A232&amp;"ENTRADA",Movimientos!$R$2:$R$1993,0)),"-")</f>
        <v>-</v>
      </c>
      <c r="D232" s="2" t="str">
        <f>IFERROR(INDEX(Movimientos!$E$2:$E$1993,MATCH(A232&amp;"ENTRADA",Movimientos!$R$2:$R$1993,0)),"-")</f>
        <v>-</v>
      </c>
      <c r="E232" s="2" t="str">
        <f>IFERROR(INDEX(Movimientos!$F$2:$F$1993,MATCH(A232&amp;"ENTRADA",Movimientos!$R$2:$R$1993,0)),"-")</f>
        <v>-</v>
      </c>
      <c r="F232" s="2" t="str">
        <f>IFERROR(INDEX(Movimientos!$G$2:$G$1993,MATCH(A232&amp;"ENTRADA",Movimientos!$R$2:$R$1993,0)),"-")</f>
        <v>-</v>
      </c>
      <c r="G232" s="2" t="str">
        <f>IFERROR(INDEX(Movimientos!$L$2:$L$1993,MATCH(A232&amp;"ENTRADA",Movimientos!$R$2:$R$1993,0)),"-")</f>
        <v>-</v>
      </c>
      <c r="H232" s="17" t="str">
        <f>IFERROR(IF(INDEX(Movimientos!$M$2:$M$1993,MATCH(A232&amp;"ENTRADA",Movimientos!$R$2:$R$1993,0))=0,"S/D",INDEX(Movimientos!$M$2:$M$1993,MATCH(A232&amp;"ENTRADA",Movimientos!$R$2:$R$1993,0))),"S/D")</f>
        <v>S/D</v>
      </c>
      <c r="I232" s="15" t="str">
        <f t="shared" ca="1" si="8"/>
        <v>S/D</v>
      </c>
      <c r="J232" s="5">
        <f>IF(A232="","",SUMIFS(Movimientos!$K:$K,Movimientos!$H:$H,A232))</f>
        <v>0</v>
      </c>
      <c r="K232" s="13" t="str">
        <f t="shared" ca="1" si="7"/>
        <v>SIN STOCK</v>
      </c>
    </row>
    <row r="233" spans="1:11">
      <c r="A233" s="16" t="s">
        <v>2538</v>
      </c>
      <c r="B233" s="2" t="str">
        <f>IFERROR(INDEX(Movimientos!$C$2:$C$1993,MATCH(A233&amp;"ENTRADA",Movimientos!$R$2:$R$1993,0)),"-")</f>
        <v>-</v>
      </c>
      <c r="C233" s="2" t="str">
        <f>IFERROR(INDEX(Movimientos!$D$2:$D$1993,MATCH(A233&amp;"ENTRADA",Movimientos!$R$2:$R$1993,0)),"-")</f>
        <v>-</v>
      </c>
      <c r="D233" s="2" t="str">
        <f>IFERROR(INDEX(Movimientos!$E$2:$E$1993,MATCH(A233&amp;"ENTRADA",Movimientos!$R$2:$R$1993,0)),"-")</f>
        <v>-</v>
      </c>
      <c r="E233" s="2" t="str">
        <f>IFERROR(INDEX(Movimientos!$F$2:$F$1993,MATCH(A233&amp;"ENTRADA",Movimientos!$R$2:$R$1993,0)),"-")</f>
        <v>-</v>
      </c>
      <c r="F233" s="2" t="str">
        <f>IFERROR(INDEX(Movimientos!$G$2:$G$1993,MATCH(A233&amp;"ENTRADA",Movimientos!$R$2:$R$1993,0)),"-")</f>
        <v>-</v>
      </c>
      <c r="G233" s="2" t="str">
        <f>IFERROR(INDEX(Movimientos!$L$2:$L$1993,MATCH(A233&amp;"ENTRADA",Movimientos!$R$2:$R$1993,0)),"-")</f>
        <v>-</v>
      </c>
      <c r="H233" s="17" t="str">
        <f>IFERROR(IF(INDEX(Movimientos!$M$2:$M$1993,MATCH(A233&amp;"ENTRADA",Movimientos!$R$2:$R$1993,0))=0,"S/D",INDEX(Movimientos!$M$2:$M$1993,MATCH(A233&amp;"ENTRADA",Movimientos!$R$2:$R$1993,0))),"S/D")</f>
        <v>S/D</v>
      </c>
      <c r="I233" s="15" t="str">
        <f t="shared" ca="1" si="8"/>
        <v>S/D</v>
      </c>
      <c r="J233" s="5">
        <f>IF(A233="","",SUMIFS(Movimientos!$K:$K,Movimientos!$H:$H,A233))</f>
        <v>0</v>
      </c>
      <c r="K233" s="13" t="str">
        <f t="shared" ca="1" si="7"/>
        <v>SIN STOCK</v>
      </c>
    </row>
    <row r="234" spans="1:11">
      <c r="A234" s="16" t="s">
        <v>2539</v>
      </c>
      <c r="B234" s="2" t="str">
        <f>IFERROR(INDEX(Movimientos!$C$2:$C$1993,MATCH(A234&amp;"ENTRADA",Movimientos!$R$2:$R$1993,0)),"-")</f>
        <v>-</v>
      </c>
      <c r="C234" s="2" t="str">
        <f>IFERROR(INDEX(Movimientos!$D$2:$D$1993,MATCH(A234&amp;"ENTRADA",Movimientos!$R$2:$R$1993,0)),"-")</f>
        <v>-</v>
      </c>
      <c r="D234" s="2" t="str">
        <f>IFERROR(INDEX(Movimientos!$E$2:$E$1993,MATCH(A234&amp;"ENTRADA",Movimientos!$R$2:$R$1993,0)),"-")</f>
        <v>-</v>
      </c>
      <c r="E234" s="2" t="str">
        <f>IFERROR(INDEX(Movimientos!$F$2:$F$1993,MATCH(A234&amp;"ENTRADA",Movimientos!$R$2:$R$1993,0)),"-")</f>
        <v>-</v>
      </c>
      <c r="F234" s="2" t="str">
        <f>IFERROR(INDEX(Movimientos!$G$2:$G$1993,MATCH(A234&amp;"ENTRADA",Movimientos!$R$2:$R$1993,0)),"-")</f>
        <v>-</v>
      </c>
      <c r="G234" s="2" t="str">
        <f>IFERROR(INDEX(Movimientos!$L$2:$L$1993,MATCH(A234&amp;"ENTRADA",Movimientos!$R$2:$R$1993,0)),"-")</f>
        <v>-</v>
      </c>
      <c r="H234" s="17" t="str">
        <f>IFERROR(IF(INDEX(Movimientos!$M$2:$M$1993,MATCH(A234&amp;"ENTRADA",Movimientos!$R$2:$R$1993,0))=0,"S/D",INDEX(Movimientos!$M$2:$M$1993,MATCH(A234&amp;"ENTRADA",Movimientos!$R$2:$R$1993,0))),"S/D")</f>
        <v>S/D</v>
      </c>
      <c r="I234" s="15" t="str">
        <f t="shared" ca="1" si="8"/>
        <v>S/D</v>
      </c>
      <c r="J234" s="5">
        <f>IF(A234="","",SUMIFS(Movimientos!$K:$K,Movimientos!$H:$H,A234))</f>
        <v>0</v>
      </c>
      <c r="K234" s="13" t="str">
        <f t="shared" ca="1" si="7"/>
        <v>SIN STOCK</v>
      </c>
    </row>
    <row r="235" spans="1:11">
      <c r="A235" s="16" t="s">
        <v>2540</v>
      </c>
      <c r="B235" s="2" t="str">
        <f>IFERROR(INDEX(Movimientos!$C$2:$C$1993,MATCH(A235&amp;"ENTRADA",Movimientos!$R$2:$R$1993,0)),"-")</f>
        <v>-</v>
      </c>
      <c r="C235" s="2" t="str">
        <f>IFERROR(INDEX(Movimientos!$D$2:$D$1993,MATCH(A235&amp;"ENTRADA",Movimientos!$R$2:$R$1993,0)),"-")</f>
        <v>-</v>
      </c>
      <c r="D235" s="2" t="str">
        <f>IFERROR(INDEX(Movimientos!$E$2:$E$1993,MATCH(A235&amp;"ENTRADA",Movimientos!$R$2:$R$1993,0)),"-")</f>
        <v>-</v>
      </c>
      <c r="E235" s="2" t="str">
        <f>IFERROR(INDEX(Movimientos!$F$2:$F$1993,MATCH(A235&amp;"ENTRADA",Movimientos!$R$2:$R$1993,0)),"-")</f>
        <v>-</v>
      </c>
      <c r="F235" s="2" t="str">
        <f>IFERROR(INDEX(Movimientos!$G$2:$G$1993,MATCH(A235&amp;"ENTRADA",Movimientos!$R$2:$R$1993,0)),"-")</f>
        <v>-</v>
      </c>
      <c r="G235" s="2" t="str">
        <f>IFERROR(INDEX(Movimientos!$L$2:$L$1993,MATCH(A235&amp;"ENTRADA",Movimientos!$R$2:$R$1993,0)),"-")</f>
        <v>-</v>
      </c>
      <c r="H235" s="17" t="str">
        <f>IFERROR(IF(INDEX(Movimientos!$M$2:$M$1993,MATCH(A235&amp;"ENTRADA",Movimientos!$R$2:$R$1993,0))=0,"S/D",INDEX(Movimientos!$M$2:$M$1993,MATCH(A235&amp;"ENTRADA",Movimientos!$R$2:$R$1993,0))),"S/D")</f>
        <v>S/D</v>
      </c>
      <c r="I235" s="15" t="str">
        <f t="shared" ca="1" si="8"/>
        <v>S/D</v>
      </c>
      <c r="J235" s="5">
        <f>IF(A235="","",SUMIFS(Movimientos!$K:$K,Movimientos!$H:$H,A235))</f>
        <v>0</v>
      </c>
      <c r="K235" s="13" t="str">
        <f t="shared" ca="1" si="7"/>
        <v>SIN STOCK</v>
      </c>
    </row>
    <row r="236" spans="1:11">
      <c r="A236" s="16" t="s">
        <v>2541</v>
      </c>
      <c r="B236" s="2" t="str">
        <f>IFERROR(INDEX(Movimientos!$C$2:$C$1993,MATCH(A236&amp;"ENTRADA",Movimientos!$R$2:$R$1993,0)),"-")</f>
        <v>-</v>
      </c>
      <c r="C236" s="2" t="str">
        <f>IFERROR(INDEX(Movimientos!$D$2:$D$1993,MATCH(A236&amp;"ENTRADA",Movimientos!$R$2:$R$1993,0)),"-")</f>
        <v>-</v>
      </c>
      <c r="D236" s="2" t="str">
        <f>IFERROR(INDEX(Movimientos!$E$2:$E$1993,MATCH(A236&amp;"ENTRADA",Movimientos!$R$2:$R$1993,0)),"-")</f>
        <v>-</v>
      </c>
      <c r="E236" s="2" t="str">
        <f>IFERROR(INDEX(Movimientos!$F$2:$F$1993,MATCH(A236&amp;"ENTRADA",Movimientos!$R$2:$R$1993,0)),"-")</f>
        <v>-</v>
      </c>
      <c r="F236" s="2" t="str">
        <f>IFERROR(INDEX(Movimientos!$G$2:$G$1993,MATCH(A236&amp;"ENTRADA",Movimientos!$R$2:$R$1993,0)),"-")</f>
        <v>-</v>
      </c>
      <c r="G236" s="2" t="str">
        <f>IFERROR(INDEX(Movimientos!$L$2:$L$1993,MATCH(A236&amp;"ENTRADA",Movimientos!$R$2:$R$1993,0)),"-")</f>
        <v>-</v>
      </c>
      <c r="H236" s="17" t="str">
        <f>IFERROR(IF(INDEX(Movimientos!$M$2:$M$1993,MATCH(A236&amp;"ENTRADA",Movimientos!$R$2:$R$1993,0))=0,"S/D",INDEX(Movimientos!$M$2:$M$1993,MATCH(A236&amp;"ENTRADA",Movimientos!$R$2:$R$1993,0))),"S/D")</f>
        <v>S/D</v>
      </c>
      <c r="I236" s="15" t="str">
        <f t="shared" ca="1" si="8"/>
        <v>S/D</v>
      </c>
      <c r="J236" s="5">
        <f>IF(A236="","",SUMIFS(Movimientos!$K:$K,Movimientos!$H:$H,A236))</f>
        <v>0</v>
      </c>
      <c r="K236" s="13" t="str">
        <f t="shared" ca="1" si="7"/>
        <v>SIN STOCK</v>
      </c>
    </row>
    <row r="237" spans="1:11">
      <c r="A237" s="16" t="s">
        <v>2542</v>
      </c>
      <c r="B237" s="2" t="str">
        <f>IFERROR(INDEX(Movimientos!$C$2:$C$1993,MATCH(A237&amp;"ENTRADA",Movimientos!$R$2:$R$1993,0)),"-")</f>
        <v>-</v>
      </c>
      <c r="C237" s="2" t="str">
        <f>IFERROR(INDEX(Movimientos!$D$2:$D$1993,MATCH(A237&amp;"ENTRADA",Movimientos!$R$2:$R$1993,0)),"-")</f>
        <v>-</v>
      </c>
      <c r="D237" s="2" t="str">
        <f>IFERROR(INDEX(Movimientos!$E$2:$E$1993,MATCH(A237&amp;"ENTRADA",Movimientos!$R$2:$R$1993,0)),"-")</f>
        <v>-</v>
      </c>
      <c r="E237" s="2" t="str">
        <f>IFERROR(INDEX(Movimientos!$F$2:$F$1993,MATCH(A237&amp;"ENTRADA",Movimientos!$R$2:$R$1993,0)),"-")</f>
        <v>-</v>
      </c>
      <c r="F237" s="2" t="str">
        <f>IFERROR(INDEX(Movimientos!$G$2:$G$1993,MATCH(A237&amp;"ENTRADA",Movimientos!$R$2:$R$1993,0)),"-")</f>
        <v>-</v>
      </c>
      <c r="G237" s="2" t="str">
        <f>IFERROR(INDEX(Movimientos!$L$2:$L$1993,MATCH(A237&amp;"ENTRADA",Movimientos!$R$2:$R$1993,0)),"-")</f>
        <v>-</v>
      </c>
      <c r="H237" s="17" t="str">
        <f>IFERROR(IF(INDEX(Movimientos!$M$2:$M$1993,MATCH(A237&amp;"ENTRADA",Movimientos!$R$2:$R$1993,0))=0,"S/D",INDEX(Movimientos!$M$2:$M$1993,MATCH(A237&amp;"ENTRADA",Movimientos!$R$2:$R$1993,0))),"S/D")</f>
        <v>S/D</v>
      </c>
      <c r="I237" s="15" t="str">
        <f t="shared" ca="1" si="8"/>
        <v>S/D</v>
      </c>
      <c r="J237" s="5">
        <f>IF(A237="","",SUMIFS(Movimientos!$K:$K,Movimientos!$H:$H,A237))</f>
        <v>0</v>
      </c>
      <c r="K237" s="13" t="str">
        <f t="shared" ca="1" si="7"/>
        <v>SIN STOCK</v>
      </c>
    </row>
    <row r="238" spans="1:11">
      <c r="A238" s="16" t="s">
        <v>2543</v>
      </c>
      <c r="B238" s="2" t="str">
        <f>IFERROR(INDEX(Movimientos!$C$2:$C$1993,MATCH(A238&amp;"ENTRADA",Movimientos!$R$2:$R$1993,0)),"-")</f>
        <v>-</v>
      </c>
      <c r="C238" s="2" t="str">
        <f>IFERROR(INDEX(Movimientos!$D$2:$D$1993,MATCH(A238&amp;"ENTRADA",Movimientos!$R$2:$R$1993,0)),"-")</f>
        <v>-</v>
      </c>
      <c r="D238" s="2" t="str">
        <f>IFERROR(INDEX(Movimientos!$E$2:$E$1993,MATCH(A238&amp;"ENTRADA",Movimientos!$R$2:$R$1993,0)),"-")</f>
        <v>-</v>
      </c>
      <c r="E238" s="2" t="str">
        <f>IFERROR(INDEX(Movimientos!$F$2:$F$1993,MATCH(A238&amp;"ENTRADA",Movimientos!$R$2:$R$1993,0)),"-")</f>
        <v>-</v>
      </c>
      <c r="F238" s="2" t="str">
        <f>IFERROR(INDEX(Movimientos!$G$2:$G$1993,MATCH(A238&amp;"ENTRADA",Movimientos!$R$2:$R$1993,0)),"-")</f>
        <v>-</v>
      </c>
      <c r="G238" s="2" t="str">
        <f>IFERROR(INDEX(Movimientos!$L$2:$L$1993,MATCH(A238&amp;"ENTRADA",Movimientos!$R$2:$R$1993,0)),"-")</f>
        <v>-</v>
      </c>
      <c r="H238" s="17" t="str">
        <f>IFERROR(IF(INDEX(Movimientos!$M$2:$M$1993,MATCH(A238&amp;"ENTRADA",Movimientos!$R$2:$R$1993,0))=0,"S/D",INDEX(Movimientos!$M$2:$M$1993,MATCH(A238&amp;"ENTRADA",Movimientos!$R$2:$R$1993,0))),"S/D")</f>
        <v>S/D</v>
      </c>
      <c r="I238" s="15" t="str">
        <f t="shared" ca="1" si="8"/>
        <v>S/D</v>
      </c>
      <c r="J238" s="5">
        <f>IF(A238="","",SUMIFS(Movimientos!$K:$K,Movimientos!$H:$H,A238))</f>
        <v>0</v>
      </c>
      <c r="K238" s="13" t="str">
        <f t="shared" ca="1" si="7"/>
        <v>SIN STOCK</v>
      </c>
    </row>
    <row r="239" spans="1:11">
      <c r="A239" s="16" t="s">
        <v>2544</v>
      </c>
      <c r="B239" s="2" t="str">
        <f>IFERROR(INDEX(Movimientos!$C$2:$C$1993,MATCH(A239&amp;"ENTRADA",Movimientos!$R$2:$R$1993,0)),"-")</f>
        <v>-</v>
      </c>
      <c r="C239" s="2" t="str">
        <f>IFERROR(INDEX(Movimientos!$D$2:$D$1993,MATCH(A239&amp;"ENTRADA",Movimientos!$R$2:$R$1993,0)),"-")</f>
        <v>-</v>
      </c>
      <c r="D239" s="2" t="str">
        <f>IFERROR(INDEX(Movimientos!$E$2:$E$1993,MATCH(A239&amp;"ENTRADA",Movimientos!$R$2:$R$1993,0)),"-")</f>
        <v>-</v>
      </c>
      <c r="E239" s="2" t="str">
        <f>IFERROR(INDEX(Movimientos!$F$2:$F$1993,MATCH(A239&amp;"ENTRADA",Movimientos!$R$2:$R$1993,0)),"-")</f>
        <v>-</v>
      </c>
      <c r="F239" s="2" t="str">
        <f>IFERROR(INDEX(Movimientos!$G$2:$G$1993,MATCH(A239&amp;"ENTRADA",Movimientos!$R$2:$R$1993,0)),"-")</f>
        <v>-</v>
      </c>
      <c r="G239" s="2" t="str">
        <f>IFERROR(INDEX(Movimientos!$L$2:$L$1993,MATCH(A239&amp;"ENTRADA",Movimientos!$R$2:$R$1993,0)),"-")</f>
        <v>-</v>
      </c>
      <c r="H239" s="17" t="str">
        <f>IFERROR(IF(INDEX(Movimientos!$M$2:$M$1993,MATCH(A239&amp;"ENTRADA",Movimientos!$R$2:$R$1993,0))=0,"S/D",INDEX(Movimientos!$M$2:$M$1993,MATCH(A239&amp;"ENTRADA",Movimientos!$R$2:$R$1993,0))),"S/D")</f>
        <v>S/D</v>
      </c>
      <c r="I239" s="15" t="str">
        <f t="shared" ca="1" si="8"/>
        <v>S/D</v>
      </c>
      <c r="J239" s="5">
        <f>IF(A239="","",SUMIFS(Movimientos!$K:$K,Movimientos!$H:$H,A239))</f>
        <v>0</v>
      </c>
      <c r="K239" s="13" t="str">
        <f t="shared" ca="1" si="7"/>
        <v>SIN STOCK</v>
      </c>
    </row>
    <row r="240" spans="1:11">
      <c r="A240" s="16" t="s">
        <v>2545</v>
      </c>
      <c r="B240" s="2" t="str">
        <f>IFERROR(INDEX(Movimientos!$C$2:$C$1993,MATCH(A240&amp;"ENTRADA",Movimientos!$R$2:$R$1993,0)),"-")</f>
        <v>-</v>
      </c>
      <c r="C240" s="2" t="str">
        <f>IFERROR(INDEX(Movimientos!$D$2:$D$1993,MATCH(A240&amp;"ENTRADA",Movimientos!$R$2:$R$1993,0)),"-")</f>
        <v>-</v>
      </c>
      <c r="D240" s="2" t="str">
        <f>IFERROR(INDEX(Movimientos!$E$2:$E$1993,MATCH(A240&amp;"ENTRADA",Movimientos!$R$2:$R$1993,0)),"-")</f>
        <v>-</v>
      </c>
      <c r="E240" s="2" t="str">
        <f>IFERROR(INDEX(Movimientos!$F$2:$F$1993,MATCH(A240&amp;"ENTRADA",Movimientos!$R$2:$R$1993,0)),"-")</f>
        <v>-</v>
      </c>
      <c r="F240" s="2" t="str">
        <f>IFERROR(INDEX(Movimientos!$G$2:$G$1993,MATCH(A240&amp;"ENTRADA",Movimientos!$R$2:$R$1993,0)),"-")</f>
        <v>-</v>
      </c>
      <c r="G240" s="2" t="str">
        <f>IFERROR(INDEX(Movimientos!$L$2:$L$1993,MATCH(A240&amp;"ENTRADA",Movimientos!$R$2:$R$1993,0)),"-")</f>
        <v>-</v>
      </c>
      <c r="H240" s="17" t="str">
        <f>IFERROR(IF(INDEX(Movimientos!$M$2:$M$1993,MATCH(A240&amp;"ENTRADA",Movimientos!$R$2:$R$1993,0))=0,"S/D",INDEX(Movimientos!$M$2:$M$1993,MATCH(A240&amp;"ENTRADA",Movimientos!$R$2:$R$1993,0))),"S/D")</f>
        <v>S/D</v>
      </c>
      <c r="I240" s="15" t="str">
        <f t="shared" ca="1" si="8"/>
        <v>S/D</v>
      </c>
      <c r="J240" s="5">
        <f>IF(A240="","",SUMIFS(Movimientos!$K:$K,Movimientos!$H:$H,A240))</f>
        <v>0</v>
      </c>
      <c r="K240" s="13" t="str">
        <f t="shared" ca="1" si="7"/>
        <v>SIN STOCK</v>
      </c>
    </row>
    <row r="241" spans="1:11">
      <c r="A241" s="16" t="s">
        <v>2546</v>
      </c>
      <c r="B241" s="2" t="str">
        <f>IFERROR(INDEX(Movimientos!$C$2:$C$1993,MATCH(A241&amp;"ENTRADA",Movimientos!$R$2:$R$1993,0)),"-")</f>
        <v>-</v>
      </c>
      <c r="C241" s="2" t="str">
        <f>IFERROR(INDEX(Movimientos!$D$2:$D$1993,MATCH(A241&amp;"ENTRADA",Movimientos!$R$2:$R$1993,0)),"-")</f>
        <v>-</v>
      </c>
      <c r="D241" s="2" t="str">
        <f>IFERROR(INDEX(Movimientos!$E$2:$E$1993,MATCH(A241&amp;"ENTRADA",Movimientos!$R$2:$R$1993,0)),"-")</f>
        <v>-</v>
      </c>
      <c r="E241" s="2" t="str">
        <f>IFERROR(INDEX(Movimientos!$F$2:$F$1993,MATCH(A241&amp;"ENTRADA",Movimientos!$R$2:$R$1993,0)),"-")</f>
        <v>-</v>
      </c>
      <c r="F241" s="2" t="str">
        <f>IFERROR(INDEX(Movimientos!$G$2:$G$1993,MATCH(A241&amp;"ENTRADA",Movimientos!$R$2:$R$1993,0)),"-")</f>
        <v>-</v>
      </c>
      <c r="G241" s="2" t="str">
        <f>IFERROR(INDEX(Movimientos!$L$2:$L$1993,MATCH(A241&amp;"ENTRADA",Movimientos!$R$2:$R$1993,0)),"-")</f>
        <v>-</v>
      </c>
      <c r="H241" s="17" t="str">
        <f>IFERROR(IF(INDEX(Movimientos!$M$2:$M$1993,MATCH(A241&amp;"ENTRADA",Movimientos!$R$2:$R$1993,0))=0,"S/D",INDEX(Movimientos!$M$2:$M$1993,MATCH(A241&amp;"ENTRADA",Movimientos!$R$2:$R$1993,0))),"S/D")</f>
        <v>S/D</v>
      </c>
      <c r="I241" s="15" t="str">
        <f t="shared" ca="1" si="8"/>
        <v>S/D</v>
      </c>
      <c r="J241" s="5">
        <f>IF(A241="","",SUMIFS(Movimientos!$K:$K,Movimientos!$H:$H,A241))</f>
        <v>0</v>
      </c>
      <c r="K241" s="13" t="str">
        <f t="shared" ca="1" si="7"/>
        <v>SIN STOCK</v>
      </c>
    </row>
    <row r="242" spans="1:11">
      <c r="A242" s="16" t="s">
        <v>2547</v>
      </c>
      <c r="B242" s="2" t="str">
        <f>IFERROR(INDEX(Movimientos!$C$2:$C$1993,MATCH(A242&amp;"ENTRADA",Movimientos!$R$2:$R$1993,0)),"-")</f>
        <v>-</v>
      </c>
      <c r="C242" s="2" t="str">
        <f>IFERROR(INDEX(Movimientos!$D$2:$D$1993,MATCH(A242&amp;"ENTRADA",Movimientos!$R$2:$R$1993,0)),"-")</f>
        <v>-</v>
      </c>
      <c r="D242" s="2" t="str">
        <f>IFERROR(INDEX(Movimientos!$E$2:$E$1993,MATCH(A242&amp;"ENTRADA",Movimientos!$R$2:$R$1993,0)),"-")</f>
        <v>-</v>
      </c>
      <c r="E242" s="2" t="str">
        <f>IFERROR(INDEX(Movimientos!$F$2:$F$1993,MATCH(A242&amp;"ENTRADA",Movimientos!$R$2:$R$1993,0)),"-")</f>
        <v>-</v>
      </c>
      <c r="F242" s="2" t="str">
        <f>IFERROR(INDEX(Movimientos!$G$2:$G$1993,MATCH(A242&amp;"ENTRADA",Movimientos!$R$2:$R$1993,0)),"-")</f>
        <v>-</v>
      </c>
      <c r="G242" s="2" t="str">
        <f>IFERROR(INDEX(Movimientos!$L$2:$L$1993,MATCH(A242&amp;"ENTRADA",Movimientos!$R$2:$R$1993,0)),"-")</f>
        <v>-</v>
      </c>
      <c r="H242" s="17" t="str">
        <f>IFERROR(IF(INDEX(Movimientos!$M$2:$M$1993,MATCH(A242&amp;"ENTRADA",Movimientos!$R$2:$R$1993,0))=0,"S/D",INDEX(Movimientos!$M$2:$M$1993,MATCH(A242&amp;"ENTRADA",Movimientos!$R$2:$R$1993,0))),"S/D")</f>
        <v>S/D</v>
      </c>
      <c r="I242" s="15" t="str">
        <f t="shared" ca="1" si="8"/>
        <v>S/D</v>
      </c>
      <c r="J242" s="5">
        <f>IF(A242="","",SUMIFS(Movimientos!$K:$K,Movimientos!$H:$H,A242))</f>
        <v>0</v>
      </c>
      <c r="K242" s="13" t="str">
        <f t="shared" ca="1" si="7"/>
        <v>SIN STOCK</v>
      </c>
    </row>
    <row r="243" spans="1:11">
      <c r="A243" s="16" t="s">
        <v>2548</v>
      </c>
      <c r="B243" s="2" t="str">
        <f>IFERROR(INDEX(Movimientos!$C$2:$C$1993,MATCH(A243&amp;"ENTRADA",Movimientos!$R$2:$R$1993,0)),"-")</f>
        <v>-</v>
      </c>
      <c r="C243" s="2" t="str">
        <f>IFERROR(INDEX(Movimientos!$D$2:$D$1993,MATCH(A243&amp;"ENTRADA",Movimientos!$R$2:$R$1993,0)),"-")</f>
        <v>-</v>
      </c>
      <c r="D243" s="2" t="str">
        <f>IFERROR(INDEX(Movimientos!$E$2:$E$1993,MATCH(A243&amp;"ENTRADA",Movimientos!$R$2:$R$1993,0)),"-")</f>
        <v>-</v>
      </c>
      <c r="E243" s="2" t="str">
        <f>IFERROR(INDEX(Movimientos!$F$2:$F$1993,MATCH(A243&amp;"ENTRADA",Movimientos!$R$2:$R$1993,0)),"-")</f>
        <v>-</v>
      </c>
      <c r="F243" s="2" t="str">
        <f>IFERROR(INDEX(Movimientos!$G$2:$G$1993,MATCH(A243&amp;"ENTRADA",Movimientos!$R$2:$R$1993,0)),"-")</f>
        <v>-</v>
      </c>
      <c r="G243" s="2" t="str">
        <f>IFERROR(INDEX(Movimientos!$L$2:$L$1993,MATCH(A243&amp;"ENTRADA",Movimientos!$R$2:$R$1993,0)),"-")</f>
        <v>-</v>
      </c>
      <c r="H243" s="17" t="str">
        <f>IFERROR(IF(INDEX(Movimientos!$M$2:$M$1993,MATCH(A243&amp;"ENTRADA",Movimientos!$R$2:$R$1993,0))=0,"S/D",INDEX(Movimientos!$M$2:$M$1993,MATCH(A243&amp;"ENTRADA",Movimientos!$R$2:$R$1993,0))),"S/D")</f>
        <v>S/D</v>
      </c>
      <c r="I243" s="15" t="str">
        <f t="shared" ca="1" si="8"/>
        <v>S/D</v>
      </c>
      <c r="J243" s="5">
        <f>IF(A243="","",SUMIFS(Movimientos!$K:$K,Movimientos!$H:$H,A243))</f>
        <v>0</v>
      </c>
      <c r="K243" s="13" t="str">
        <f t="shared" ca="1" si="7"/>
        <v>SIN STOCK</v>
      </c>
    </row>
    <row r="244" spans="1:11">
      <c r="A244" s="16" t="s">
        <v>2549</v>
      </c>
      <c r="B244" s="2" t="str">
        <f>IFERROR(INDEX(Movimientos!$C$2:$C$1993,MATCH(A244&amp;"ENTRADA",Movimientos!$R$2:$R$1993,0)),"-")</f>
        <v>-</v>
      </c>
      <c r="C244" s="2" t="str">
        <f>IFERROR(INDEX(Movimientos!$D$2:$D$1993,MATCH(A244&amp;"ENTRADA",Movimientos!$R$2:$R$1993,0)),"-")</f>
        <v>-</v>
      </c>
      <c r="D244" s="2" t="str">
        <f>IFERROR(INDEX(Movimientos!$E$2:$E$1993,MATCH(A244&amp;"ENTRADA",Movimientos!$R$2:$R$1993,0)),"-")</f>
        <v>-</v>
      </c>
      <c r="E244" s="2" t="str">
        <f>IFERROR(INDEX(Movimientos!$F$2:$F$1993,MATCH(A244&amp;"ENTRADA",Movimientos!$R$2:$R$1993,0)),"-")</f>
        <v>-</v>
      </c>
      <c r="F244" s="2" t="str">
        <f>IFERROR(INDEX(Movimientos!$G$2:$G$1993,MATCH(A244&amp;"ENTRADA",Movimientos!$R$2:$R$1993,0)),"-")</f>
        <v>-</v>
      </c>
      <c r="G244" s="2" t="str">
        <f>IFERROR(INDEX(Movimientos!$L$2:$L$1993,MATCH(A244&amp;"ENTRADA",Movimientos!$R$2:$R$1993,0)),"-")</f>
        <v>-</v>
      </c>
      <c r="H244" s="17" t="str">
        <f>IFERROR(IF(INDEX(Movimientos!$M$2:$M$1993,MATCH(A244&amp;"ENTRADA",Movimientos!$R$2:$R$1993,0))=0,"S/D",INDEX(Movimientos!$M$2:$M$1993,MATCH(A244&amp;"ENTRADA",Movimientos!$R$2:$R$1993,0))),"S/D")</f>
        <v>S/D</v>
      </c>
      <c r="I244" s="15" t="str">
        <f t="shared" ca="1" si="8"/>
        <v>S/D</v>
      </c>
      <c r="J244" s="5">
        <f>IF(A244="","",SUMIFS(Movimientos!$K:$K,Movimientos!$H:$H,A244))</f>
        <v>0</v>
      </c>
      <c r="K244" s="13" t="str">
        <f t="shared" ca="1" si="7"/>
        <v>SIN STOCK</v>
      </c>
    </row>
    <row r="245" spans="1:11">
      <c r="A245" s="16" t="s">
        <v>2550</v>
      </c>
      <c r="B245" s="2" t="str">
        <f>IFERROR(INDEX(Movimientos!$C$2:$C$1993,MATCH(A245&amp;"ENTRADA",Movimientos!$R$2:$R$1993,0)),"-")</f>
        <v>-</v>
      </c>
      <c r="C245" s="2" t="str">
        <f>IFERROR(INDEX(Movimientos!$D$2:$D$1993,MATCH(A245&amp;"ENTRADA",Movimientos!$R$2:$R$1993,0)),"-")</f>
        <v>-</v>
      </c>
      <c r="D245" s="2" t="str">
        <f>IFERROR(INDEX(Movimientos!$E$2:$E$1993,MATCH(A245&amp;"ENTRADA",Movimientos!$R$2:$R$1993,0)),"-")</f>
        <v>-</v>
      </c>
      <c r="E245" s="2" t="str">
        <f>IFERROR(INDEX(Movimientos!$F$2:$F$1993,MATCH(A245&amp;"ENTRADA",Movimientos!$R$2:$R$1993,0)),"-")</f>
        <v>-</v>
      </c>
      <c r="F245" s="2" t="str">
        <f>IFERROR(INDEX(Movimientos!$G$2:$G$1993,MATCH(A245&amp;"ENTRADA",Movimientos!$R$2:$R$1993,0)),"-")</f>
        <v>-</v>
      </c>
      <c r="G245" s="2" t="str">
        <f>IFERROR(INDEX(Movimientos!$L$2:$L$1993,MATCH(A245&amp;"ENTRADA",Movimientos!$R$2:$R$1993,0)),"-")</f>
        <v>-</v>
      </c>
      <c r="H245" s="17" t="str">
        <f>IFERROR(IF(INDEX(Movimientos!$M$2:$M$1993,MATCH(A245&amp;"ENTRADA",Movimientos!$R$2:$R$1993,0))=0,"S/D",INDEX(Movimientos!$M$2:$M$1993,MATCH(A245&amp;"ENTRADA",Movimientos!$R$2:$R$1993,0))),"S/D")</f>
        <v>S/D</v>
      </c>
      <c r="I245" s="15" t="str">
        <f t="shared" ca="1" si="8"/>
        <v>S/D</v>
      </c>
      <c r="J245" s="5">
        <f>IF(A245="","",SUMIFS(Movimientos!$K:$K,Movimientos!$H:$H,A245))</f>
        <v>0</v>
      </c>
      <c r="K245" s="13" t="str">
        <f t="shared" ca="1" si="7"/>
        <v>SIN STOCK</v>
      </c>
    </row>
    <row r="246" spans="1:11">
      <c r="A246" s="16" t="s">
        <v>2551</v>
      </c>
      <c r="B246" s="2" t="str">
        <f>IFERROR(INDEX(Movimientos!$C$2:$C$1993,MATCH(A246&amp;"ENTRADA",Movimientos!$R$2:$R$1993,0)),"-")</f>
        <v>-</v>
      </c>
      <c r="C246" s="2" t="str">
        <f>IFERROR(INDEX(Movimientos!$D$2:$D$1993,MATCH(A246&amp;"ENTRADA",Movimientos!$R$2:$R$1993,0)),"-")</f>
        <v>-</v>
      </c>
      <c r="D246" s="2" t="str">
        <f>IFERROR(INDEX(Movimientos!$E$2:$E$1993,MATCH(A246&amp;"ENTRADA",Movimientos!$R$2:$R$1993,0)),"-")</f>
        <v>-</v>
      </c>
      <c r="E246" s="2" t="str">
        <f>IFERROR(INDEX(Movimientos!$F$2:$F$1993,MATCH(A246&amp;"ENTRADA",Movimientos!$R$2:$R$1993,0)),"-")</f>
        <v>-</v>
      </c>
      <c r="F246" s="2" t="str">
        <f>IFERROR(INDEX(Movimientos!$G$2:$G$1993,MATCH(A246&amp;"ENTRADA",Movimientos!$R$2:$R$1993,0)),"-")</f>
        <v>-</v>
      </c>
      <c r="G246" s="2" t="str">
        <f>IFERROR(INDEX(Movimientos!$L$2:$L$1993,MATCH(A246&amp;"ENTRADA",Movimientos!$R$2:$R$1993,0)),"-")</f>
        <v>-</v>
      </c>
      <c r="H246" s="17" t="str">
        <f>IFERROR(IF(INDEX(Movimientos!$M$2:$M$1993,MATCH(A246&amp;"ENTRADA",Movimientos!$R$2:$R$1993,0))=0,"S/D",INDEX(Movimientos!$M$2:$M$1993,MATCH(A246&amp;"ENTRADA",Movimientos!$R$2:$R$1993,0))),"S/D")</f>
        <v>S/D</v>
      </c>
      <c r="I246" s="15" t="str">
        <f t="shared" ca="1" si="8"/>
        <v>S/D</v>
      </c>
      <c r="J246" s="5">
        <f>IF(A246="","",SUMIFS(Movimientos!$K:$K,Movimientos!$H:$H,A246))</f>
        <v>0</v>
      </c>
      <c r="K246" s="13" t="str">
        <f t="shared" ca="1" si="7"/>
        <v>SIN STOCK</v>
      </c>
    </row>
    <row r="247" spans="1:11">
      <c r="A247" s="16" t="s">
        <v>2552</v>
      </c>
      <c r="B247" s="2" t="str">
        <f>IFERROR(INDEX(Movimientos!$C$2:$C$1993,MATCH(A247&amp;"ENTRADA",Movimientos!$R$2:$R$1993,0)),"-")</f>
        <v>-</v>
      </c>
      <c r="C247" s="2" t="str">
        <f>IFERROR(INDEX(Movimientos!$D$2:$D$1993,MATCH(A247&amp;"ENTRADA",Movimientos!$R$2:$R$1993,0)),"-")</f>
        <v>-</v>
      </c>
      <c r="D247" s="2" t="str">
        <f>IFERROR(INDEX(Movimientos!$E$2:$E$1993,MATCH(A247&amp;"ENTRADA",Movimientos!$R$2:$R$1993,0)),"-")</f>
        <v>-</v>
      </c>
      <c r="E247" s="2" t="str">
        <f>IFERROR(INDEX(Movimientos!$F$2:$F$1993,MATCH(A247&amp;"ENTRADA",Movimientos!$R$2:$R$1993,0)),"-")</f>
        <v>-</v>
      </c>
      <c r="F247" s="2" t="str">
        <f>IFERROR(INDEX(Movimientos!$G$2:$G$1993,MATCH(A247&amp;"ENTRADA",Movimientos!$R$2:$R$1993,0)),"-")</f>
        <v>-</v>
      </c>
      <c r="G247" s="2" t="str">
        <f>IFERROR(INDEX(Movimientos!$L$2:$L$1993,MATCH(A247&amp;"ENTRADA",Movimientos!$R$2:$R$1993,0)),"-")</f>
        <v>-</v>
      </c>
      <c r="H247" s="17" t="str">
        <f>IFERROR(IF(INDEX(Movimientos!$M$2:$M$1993,MATCH(A247&amp;"ENTRADA",Movimientos!$R$2:$R$1993,0))=0,"S/D",INDEX(Movimientos!$M$2:$M$1993,MATCH(A247&amp;"ENTRADA",Movimientos!$R$2:$R$1993,0))),"S/D")</f>
        <v>S/D</v>
      </c>
      <c r="I247" s="15" t="str">
        <f t="shared" ca="1" si="8"/>
        <v>S/D</v>
      </c>
      <c r="J247" s="5">
        <f>IF(A247="","",SUMIFS(Movimientos!$K:$K,Movimientos!$H:$H,A247))</f>
        <v>0</v>
      </c>
      <c r="K247" s="13" t="str">
        <f t="shared" ca="1" si="7"/>
        <v>SIN STOCK</v>
      </c>
    </row>
    <row r="248" spans="1:11">
      <c r="A248" s="16" t="s">
        <v>2553</v>
      </c>
      <c r="B248" s="2" t="str">
        <f>IFERROR(INDEX(Movimientos!$C$2:$C$1993,MATCH(A248&amp;"ENTRADA",Movimientos!$R$2:$R$1993,0)),"-")</f>
        <v>-</v>
      </c>
      <c r="C248" s="2" t="str">
        <f>IFERROR(INDEX(Movimientos!$D$2:$D$1993,MATCH(A248&amp;"ENTRADA",Movimientos!$R$2:$R$1993,0)),"-")</f>
        <v>-</v>
      </c>
      <c r="D248" s="2" t="str">
        <f>IFERROR(INDEX(Movimientos!$E$2:$E$1993,MATCH(A248&amp;"ENTRADA",Movimientos!$R$2:$R$1993,0)),"-")</f>
        <v>-</v>
      </c>
      <c r="E248" s="2" t="str">
        <f>IFERROR(INDEX(Movimientos!$F$2:$F$1993,MATCH(A248&amp;"ENTRADA",Movimientos!$R$2:$R$1993,0)),"-")</f>
        <v>-</v>
      </c>
      <c r="F248" s="2" t="str">
        <f>IFERROR(INDEX(Movimientos!$G$2:$G$1993,MATCH(A248&amp;"ENTRADA",Movimientos!$R$2:$R$1993,0)),"-")</f>
        <v>-</v>
      </c>
      <c r="G248" s="2" t="str">
        <f>IFERROR(INDEX(Movimientos!$L$2:$L$1993,MATCH(A248&amp;"ENTRADA",Movimientos!$R$2:$R$1993,0)),"-")</f>
        <v>-</v>
      </c>
      <c r="H248" s="17" t="str">
        <f>IFERROR(IF(INDEX(Movimientos!$M$2:$M$1993,MATCH(A248&amp;"ENTRADA",Movimientos!$R$2:$R$1993,0))=0,"S/D",INDEX(Movimientos!$M$2:$M$1993,MATCH(A248&amp;"ENTRADA",Movimientos!$R$2:$R$1993,0))),"S/D")</f>
        <v>S/D</v>
      </c>
      <c r="I248" s="15" t="str">
        <f t="shared" ca="1" si="8"/>
        <v>S/D</v>
      </c>
      <c r="J248" s="5">
        <f>IF(A248="","",SUMIFS(Movimientos!$K:$K,Movimientos!$H:$H,A248))</f>
        <v>0</v>
      </c>
      <c r="K248" s="13" t="str">
        <f t="shared" ca="1" si="7"/>
        <v>SIN STOCK</v>
      </c>
    </row>
    <row r="249" spans="1:11">
      <c r="A249" s="16" t="s">
        <v>2554</v>
      </c>
      <c r="B249" s="2" t="str">
        <f>IFERROR(INDEX(Movimientos!$C$2:$C$1993,MATCH(A249&amp;"ENTRADA",Movimientos!$R$2:$R$1993,0)),"-")</f>
        <v>-</v>
      </c>
      <c r="C249" s="2" t="str">
        <f>IFERROR(INDEX(Movimientos!$D$2:$D$1993,MATCH(A249&amp;"ENTRADA",Movimientos!$R$2:$R$1993,0)),"-")</f>
        <v>-</v>
      </c>
      <c r="D249" s="2" t="str">
        <f>IFERROR(INDEX(Movimientos!$E$2:$E$1993,MATCH(A249&amp;"ENTRADA",Movimientos!$R$2:$R$1993,0)),"-")</f>
        <v>-</v>
      </c>
      <c r="E249" s="2" t="str">
        <f>IFERROR(INDEX(Movimientos!$F$2:$F$1993,MATCH(A249&amp;"ENTRADA",Movimientos!$R$2:$R$1993,0)),"-")</f>
        <v>-</v>
      </c>
      <c r="F249" s="2" t="str">
        <f>IFERROR(INDEX(Movimientos!$G$2:$G$1993,MATCH(A249&amp;"ENTRADA",Movimientos!$R$2:$R$1993,0)),"-")</f>
        <v>-</v>
      </c>
      <c r="G249" s="2" t="str">
        <f>IFERROR(INDEX(Movimientos!$L$2:$L$1993,MATCH(A249&amp;"ENTRADA",Movimientos!$R$2:$R$1993,0)),"-")</f>
        <v>-</v>
      </c>
      <c r="H249" s="17" t="str">
        <f>IFERROR(IF(INDEX(Movimientos!$M$2:$M$1993,MATCH(A249&amp;"ENTRADA",Movimientos!$R$2:$R$1993,0))=0,"S/D",INDEX(Movimientos!$M$2:$M$1993,MATCH(A249&amp;"ENTRADA",Movimientos!$R$2:$R$1993,0))),"S/D")</f>
        <v>S/D</v>
      </c>
      <c r="I249" s="15" t="str">
        <f t="shared" ca="1" si="8"/>
        <v>S/D</v>
      </c>
      <c r="J249" s="5">
        <f>IF(A249="","",SUMIFS(Movimientos!$K:$K,Movimientos!$H:$H,A249))</f>
        <v>0</v>
      </c>
      <c r="K249" s="13" t="str">
        <f t="shared" ca="1" si="7"/>
        <v>SIN STOCK</v>
      </c>
    </row>
    <row r="250" spans="1:11">
      <c r="A250" s="16" t="s">
        <v>2555</v>
      </c>
      <c r="B250" s="2" t="str">
        <f>IFERROR(INDEX(Movimientos!$C$2:$C$1993,MATCH(A250&amp;"ENTRADA",Movimientos!$R$2:$R$1993,0)),"-")</f>
        <v>-</v>
      </c>
      <c r="C250" s="2" t="str">
        <f>IFERROR(INDEX(Movimientos!$D$2:$D$1993,MATCH(A250&amp;"ENTRADA",Movimientos!$R$2:$R$1993,0)),"-")</f>
        <v>-</v>
      </c>
      <c r="D250" s="2" t="str">
        <f>IFERROR(INDEX(Movimientos!$E$2:$E$1993,MATCH(A250&amp;"ENTRADA",Movimientos!$R$2:$R$1993,0)),"-")</f>
        <v>-</v>
      </c>
      <c r="E250" s="2" t="str">
        <f>IFERROR(INDEX(Movimientos!$F$2:$F$1993,MATCH(A250&amp;"ENTRADA",Movimientos!$R$2:$R$1993,0)),"-")</f>
        <v>-</v>
      </c>
      <c r="F250" s="2" t="str">
        <f>IFERROR(INDEX(Movimientos!$G$2:$G$1993,MATCH(A250&amp;"ENTRADA",Movimientos!$R$2:$R$1993,0)),"-")</f>
        <v>-</v>
      </c>
      <c r="G250" s="2" t="str">
        <f>IFERROR(INDEX(Movimientos!$L$2:$L$1993,MATCH(A250&amp;"ENTRADA",Movimientos!$R$2:$R$1993,0)),"-")</f>
        <v>-</v>
      </c>
      <c r="H250" s="17" t="str">
        <f>IFERROR(IF(INDEX(Movimientos!$M$2:$M$1993,MATCH(A250&amp;"ENTRADA",Movimientos!$R$2:$R$1993,0))=0,"S/D",INDEX(Movimientos!$M$2:$M$1993,MATCH(A250&amp;"ENTRADA",Movimientos!$R$2:$R$1993,0))),"S/D")</f>
        <v>S/D</v>
      </c>
      <c r="I250" s="15" t="str">
        <f t="shared" ca="1" si="8"/>
        <v>S/D</v>
      </c>
      <c r="J250" s="5">
        <f>IF(A250="","",SUMIFS(Movimientos!$K:$K,Movimientos!$H:$H,A250))</f>
        <v>0</v>
      </c>
      <c r="K250" s="13" t="str">
        <f t="shared" ca="1" si="7"/>
        <v>SIN STOCK</v>
      </c>
    </row>
    <row r="251" spans="1:11">
      <c r="A251" s="16" t="s">
        <v>2556</v>
      </c>
      <c r="B251" s="2" t="str">
        <f>IFERROR(INDEX(Movimientos!$C$2:$C$1993,MATCH(A251&amp;"ENTRADA",Movimientos!$R$2:$R$1993,0)),"-")</f>
        <v>-</v>
      </c>
      <c r="C251" s="2" t="str">
        <f>IFERROR(INDEX(Movimientos!$D$2:$D$1993,MATCH(A251&amp;"ENTRADA",Movimientos!$R$2:$R$1993,0)),"-")</f>
        <v>-</v>
      </c>
      <c r="D251" s="2" t="str">
        <f>IFERROR(INDEX(Movimientos!$E$2:$E$1993,MATCH(A251&amp;"ENTRADA",Movimientos!$R$2:$R$1993,0)),"-")</f>
        <v>-</v>
      </c>
      <c r="E251" s="2" t="str">
        <f>IFERROR(INDEX(Movimientos!$F$2:$F$1993,MATCH(A251&amp;"ENTRADA",Movimientos!$R$2:$R$1993,0)),"-")</f>
        <v>-</v>
      </c>
      <c r="F251" s="2" t="str">
        <f>IFERROR(INDEX(Movimientos!$G$2:$G$1993,MATCH(A251&amp;"ENTRADA",Movimientos!$R$2:$R$1993,0)),"-")</f>
        <v>-</v>
      </c>
      <c r="G251" s="2" t="str">
        <f>IFERROR(INDEX(Movimientos!$L$2:$L$1993,MATCH(A251&amp;"ENTRADA",Movimientos!$R$2:$R$1993,0)),"-")</f>
        <v>-</v>
      </c>
      <c r="H251" s="17" t="str">
        <f>IFERROR(IF(INDEX(Movimientos!$M$2:$M$1993,MATCH(A251&amp;"ENTRADA",Movimientos!$R$2:$R$1993,0))=0,"S/D",INDEX(Movimientos!$M$2:$M$1993,MATCH(A251&amp;"ENTRADA",Movimientos!$R$2:$R$1993,0))),"S/D")</f>
        <v>S/D</v>
      </c>
      <c r="I251" s="15" t="str">
        <f t="shared" ca="1" si="8"/>
        <v>S/D</v>
      </c>
      <c r="J251" s="5">
        <f>IF(A251="","",SUMIFS(Movimientos!$K:$K,Movimientos!$H:$H,A251))</f>
        <v>0</v>
      </c>
      <c r="K251" s="13" t="str">
        <f t="shared" ca="1" si="7"/>
        <v>SIN STOCK</v>
      </c>
    </row>
    <row r="252" spans="1:11">
      <c r="A252" s="16" t="s">
        <v>2557</v>
      </c>
      <c r="B252" s="2" t="str">
        <f>IFERROR(INDEX(Movimientos!$C$2:$C$1993,MATCH(A252&amp;"ENTRADA",Movimientos!$R$2:$R$1993,0)),"-")</f>
        <v>-</v>
      </c>
      <c r="C252" s="2" t="str">
        <f>IFERROR(INDEX(Movimientos!$D$2:$D$1993,MATCH(A252&amp;"ENTRADA",Movimientos!$R$2:$R$1993,0)),"-")</f>
        <v>-</v>
      </c>
      <c r="D252" s="2" t="str">
        <f>IFERROR(INDEX(Movimientos!$E$2:$E$1993,MATCH(A252&amp;"ENTRADA",Movimientos!$R$2:$R$1993,0)),"-")</f>
        <v>-</v>
      </c>
      <c r="E252" s="2" t="str">
        <f>IFERROR(INDEX(Movimientos!$F$2:$F$1993,MATCH(A252&amp;"ENTRADA",Movimientos!$R$2:$R$1993,0)),"-")</f>
        <v>-</v>
      </c>
      <c r="F252" s="2" t="str">
        <f>IFERROR(INDEX(Movimientos!$G$2:$G$1993,MATCH(A252&amp;"ENTRADA",Movimientos!$R$2:$R$1993,0)),"-")</f>
        <v>-</v>
      </c>
      <c r="G252" s="2" t="str">
        <f>IFERROR(INDEX(Movimientos!$L$2:$L$1993,MATCH(A252&amp;"ENTRADA",Movimientos!$R$2:$R$1993,0)),"-")</f>
        <v>-</v>
      </c>
      <c r="H252" s="17" t="str">
        <f>IFERROR(IF(INDEX(Movimientos!$M$2:$M$1993,MATCH(A252&amp;"ENTRADA",Movimientos!$R$2:$R$1993,0))=0,"S/D",INDEX(Movimientos!$M$2:$M$1993,MATCH(A252&amp;"ENTRADA",Movimientos!$R$2:$R$1993,0))),"S/D")</f>
        <v>S/D</v>
      </c>
      <c r="I252" s="15" t="str">
        <f t="shared" ca="1" si="8"/>
        <v>S/D</v>
      </c>
      <c r="J252" s="5">
        <f>IF(A252="","",SUMIFS(Movimientos!$K:$K,Movimientos!$H:$H,A252))</f>
        <v>0</v>
      </c>
      <c r="K252" s="13" t="str">
        <f t="shared" ca="1" si="7"/>
        <v>SIN STOCK</v>
      </c>
    </row>
    <row r="253" spans="1:11">
      <c r="A253" s="16" t="s">
        <v>2558</v>
      </c>
      <c r="B253" s="2" t="str">
        <f>IFERROR(INDEX(Movimientos!$C$2:$C$1993,MATCH(A253&amp;"ENTRADA",Movimientos!$R$2:$R$1993,0)),"-")</f>
        <v>-</v>
      </c>
      <c r="C253" s="2" t="str">
        <f>IFERROR(INDEX(Movimientos!$D$2:$D$1993,MATCH(A253&amp;"ENTRADA",Movimientos!$R$2:$R$1993,0)),"-")</f>
        <v>-</v>
      </c>
      <c r="D253" s="2" t="str">
        <f>IFERROR(INDEX(Movimientos!$E$2:$E$1993,MATCH(A253&amp;"ENTRADA",Movimientos!$R$2:$R$1993,0)),"-")</f>
        <v>-</v>
      </c>
      <c r="E253" s="2" t="str">
        <f>IFERROR(INDEX(Movimientos!$F$2:$F$1993,MATCH(A253&amp;"ENTRADA",Movimientos!$R$2:$R$1993,0)),"-")</f>
        <v>-</v>
      </c>
      <c r="F253" s="2" t="str">
        <f>IFERROR(INDEX(Movimientos!$G$2:$G$1993,MATCH(A253&amp;"ENTRADA",Movimientos!$R$2:$R$1993,0)),"-")</f>
        <v>-</v>
      </c>
      <c r="G253" s="2" t="str">
        <f>IFERROR(INDEX(Movimientos!$L$2:$L$1993,MATCH(A253&amp;"ENTRADA",Movimientos!$R$2:$R$1993,0)),"-")</f>
        <v>-</v>
      </c>
      <c r="H253" s="17" t="str">
        <f>IFERROR(IF(INDEX(Movimientos!$M$2:$M$1993,MATCH(A253&amp;"ENTRADA",Movimientos!$R$2:$R$1993,0))=0,"S/D",INDEX(Movimientos!$M$2:$M$1993,MATCH(A253&amp;"ENTRADA",Movimientos!$R$2:$R$1993,0))),"S/D")</f>
        <v>S/D</v>
      </c>
      <c r="I253" s="15" t="str">
        <f t="shared" ca="1" si="8"/>
        <v>S/D</v>
      </c>
      <c r="J253" s="5">
        <f>IF(A253="","",SUMIFS(Movimientos!$K:$K,Movimientos!$H:$H,A253))</f>
        <v>0</v>
      </c>
      <c r="K253" s="13" t="str">
        <f t="shared" ca="1" si="7"/>
        <v>SIN STOCK</v>
      </c>
    </row>
    <row r="254" spans="1:11">
      <c r="A254" s="16" t="s">
        <v>2559</v>
      </c>
      <c r="B254" s="2" t="str">
        <f>IFERROR(INDEX(Movimientos!$C$2:$C$1993,MATCH(A254&amp;"ENTRADA",Movimientos!$R$2:$R$1993,0)),"-")</f>
        <v>-</v>
      </c>
      <c r="C254" s="2" t="str">
        <f>IFERROR(INDEX(Movimientos!$D$2:$D$1993,MATCH(A254&amp;"ENTRADA",Movimientos!$R$2:$R$1993,0)),"-")</f>
        <v>-</v>
      </c>
      <c r="D254" s="2" t="str">
        <f>IFERROR(INDEX(Movimientos!$E$2:$E$1993,MATCH(A254&amp;"ENTRADA",Movimientos!$R$2:$R$1993,0)),"-")</f>
        <v>-</v>
      </c>
      <c r="E254" s="2" t="str">
        <f>IFERROR(INDEX(Movimientos!$F$2:$F$1993,MATCH(A254&amp;"ENTRADA",Movimientos!$R$2:$R$1993,0)),"-")</f>
        <v>-</v>
      </c>
      <c r="F254" s="2" t="str">
        <f>IFERROR(INDEX(Movimientos!$G$2:$G$1993,MATCH(A254&amp;"ENTRADA",Movimientos!$R$2:$R$1993,0)),"-")</f>
        <v>-</v>
      </c>
      <c r="G254" s="2" t="str">
        <f>IFERROR(INDEX(Movimientos!$L$2:$L$1993,MATCH(A254&amp;"ENTRADA",Movimientos!$R$2:$R$1993,0)),"-")</f>
        <v>-</v>
      </c>
      <c r="H254" s="17" t="str">
        <f>IFERROR(IF(INDEX(Movimientos!$M$2:$M$1993,MATCH(A254&amp;"ENTRADA",Movimientos!$R$2:$R$1993,0))=0,"S/D",INDEX(Movimientos!$M$2:$M$1993,MATCH(A254&amp;"ENTRADA",Movimientos!$R$2:$R$1993,0))),"S/D")</f>
        <v>S/D</v>
      </c>
      <c r="I254" s="15" t="str">
        <f t="shared" ca="1" si="8"/>
        <v>S/D</v>
      </c>
      <c r="J254" s="5">
        <f>IF(A254="","",SUMIFS(Movimientos!$K:$K,Movimientos!$H:$H,A254))</f>
        <v>0</v>
      </c>
      <c r="K254" s="13" t="str">
        <f t="shared" ref="K254:K317" ca="1" si="9">IF(A254="","",IF(J254&lt;0.01,"SIN STOCK",IF(H254="S/D","OK",IF(H254&lt;TODAY(),"VENCIDO",IF(I254&gt;=180,"OK","PRÓXIMO A VENCER")))))</f>
        <v>SIN STOCK</v>
      </c>
    </row>
    <row r="255" spans="1:11">
      <c r="A255" s="16" t="s">
        <v>2560</v>
      </c>
      <c r="B255" s="2" t="str">
        <f>IFERROR(INDEX(Movimientos!$C$2:$C$1993,MATCH(A255&amp;"ENTRADA",Movimientos!$R$2:$R$1993,0)),"-")</f>
        <v>-</v>
      </c>
      <c r="C255" s="2" t="str">
        <f>IFERROR(INDEX(Movimientos!$D$2:$D$1993,MATCH(A255&amp;"ENTRADA",Movimientos!$R$2:$R$1993,0)),"-")</f>
        <v>-</v>
      </c>
      <c r="D255" s="2" t="str">
        <f>IFERROR(INDEX(Movimientos!$E$2:$E$1993,MATCH(A255&amp;"ENTRADA",Movimientos!$R$2:$R$1993,0)),"-")</f>
        <v>-</v>
      </c>
      <c r="E255" s="2" t="str">
        <f>IFERROR(INDEX(Movimientos!$F$2:$F$1993,MATCH(A255&amp;"ENTRADA",Movimientos!$R$2:$R$1993,0)),"-")</f>
        <v>-</v>
      </c>
      <c r="F255" s="2" t="str">
        <f>IFERROR(INDEX(Movimientos!$G$2:$G$1993,MATCH(A255&amp;"ENTRADA",Movimientos!$R$2:$R$1993,0)),"-")</f>
        <v>-</v>
      </c>
      <c r="G255" s="2" t="str">
        <f>IFERROR(INDEX(Movimientos!$L$2:$L$1993,MATCH(A255&amp;"ENTRADA",Movimientos!$R$2:$R$1993,0)),"-")</f>
        <v>-</v>
      </c>
      <c r="H255" s="17" t="str">
        <f>IFERROR(IF(INDEX(Movimientos!$M$2:$M$1993,MATCH(A255&amp;"ENTRADA",Movimientos!$R$2:$R$1993,0))=0,"S/D",INDEX(Movimientos!$M$2:$M$1993,MATCH(A255&amp;"ENTRADA",Movimientos!$R$2:$R$1993,0))),"S/D")</f>
        <v>S/D</v>
      </c>
      <c r="I255" s="15" t="str">
        <f t="shared" ca="1" si="8"/>
        <v>S/D</v>
      </c>
      <c r="J255" s="5">
        <f>IF(A255="","",SUMIFS(Movimientos!$K:$K,Movimientos!$H:$H,A255))</f>
        <v>0</v>
      </c>
      <c r="K255" s="13" t="str">
        <f t="shared" ca="1" si="9"/>
        <v>SIN STOCK</v>
      </c>
    </row>
    <row r="256" spans="1:11">
      <c r="A256" s="16" t="s">
        <v>2561</v>
      </c>
      <c r="B256" s="2" t="str">
        <f>IFERROR(INDEX(Movimientos!$C$2:$C$1993,MATCH(A256&amp;"ENTRADA",Movimientos!$R$2:$R$1993,0)),"-")</f>
        <v>-</v>
      </c>
      <c r="C256" s="2" t="str">
        <f>IFERROR(INDEX(Movimientos!$D$2:$D$1993,MATCH(A256&amp;"ENTRADA",Movimientos!$R$2:$R$1993,0)),"-")</f>
        <v>-</v>
      </c>
      <c r="D256" s="2" t="str">
        <f>IFERROR(INDEX(Movimientos!$E$2:$E$1993,MATCH(A256&amp;"ENTRADA",Movimientos!$R$2:$R$1993,0)),"-")</f>
        <v>-</v>
      </c>
      <c r="E256" s="2" t="str">
        <f>IFERROR(INDEX(Movimientos!$F$2:$F$1993,MATCH(A256&amp;"ENTRADA",Movimientos!$R$2:$R$1993,0)),"-")</f>
        <v>-</v>
      </c>
      <c r="F256" s="2" t="str">
        <f>IFERROR(INDEX(Movimientos!$G$2:$G$1993,MATCH(A256&amp;"ENTRADA",Movimientos!$R$2:$R$1993,0)),"-")</f>
        <v>-</v>
      </c>
      <c r="G256" s="2" t="str">
        <f>IFERROR(INDEX(Movimientos!$L$2:$L$1993,MATCH(A256&amp;"ENTRADA",Movimientos!$R$2:$R$1993,0)),"-")</f>
        <v>-</v>
      </c>
      <c r="H256" s="17" t="str">
        <f>IFERROR(IF(INDEX(Movimientos!$M$2:$M$1993,MATCH(A256&amp;"ENTRADA",Movimientos!$R$2:$R$1993,0))=0,"S/D",INDEX(Movimientos!$M$2:$M$1993,MATCH(A256&amp;"ENTRADA",Movimientos!$R$2:$R$1993,0))),"S/D")</f>
        <v>S/D</v>
      </c>
      <c r="I256" s="15" t="str">
        <f t="shared" ca="1" si="8"/>
        <v>S/D</v>
      </c>
      <c r="J256" s="5">
        <f>IF(A256="","",SUMIFS(Movimientos!$K:$K,Movimientos!$H:$H,A256))</f>
        <v>0</v>
      </c>
      <c r="K256" s="13" t="str">
        <f t="shared" ca="1" si="9"/>
        <v>SIN STOCK</v>
      </c>
    </row>
    <row r="257" spans="1:11">
      <c r="A257" s="16" t="s">
        <v>2562</v>
      </c>
      <c r="B257" s="2" t="str">
        <f>IFERROR(INDEX(Movimientos!$C$2:$C$1993,MATCH(A257&amp;"ENTRADA",Movimientos!$R$2:$R$1993,0)),"-")</f>
        <v>-</v>
      </c>
      <c r="C257" s="2" t="str">
        <f>IFERROR(INDEX(Movimientos!$D$2:$D$1993,MATCH(A257&amp;"ENTRADA",Movimientos!$R$2:$R$1993,0)),"-")</f>
        <v>-</v>
      </c>
      <c r="D257" s="2" t="str">
        <f>IFERROR(INDEX(Movimientos!$E$2:$E$1993,MATCH(A257&amp;"ENTRADA",Movimientos!$R$2:$R$1993,0)),"-")</f>
        <v>-</v>
      </c>
      <c r="E257" s="2" t="str">
        <f>IFERROR(INDEX(Movimientos!$F$2:$F$1993,MATCH(A257&amp;"ENTRADA",Movimientos!$R$2:$R$1993,0)),"-")</f>
        <v>-</v>
      </c>
      <c r="F257" s="2" t="str">
        <f>IFERROR(INDEX(Movimientos!$G$2:$G$1993,MATCH(A257&amp;"ENTRADA",Movimientos!$R$2:$R$1993,0)),"-")</f>
        <v>-</v>
      </c>
      <c r="G257" s="2" t="str">
        <f>IFERROR(INDEX(Movimientos!$L$2:$L$1993,MATCH(A257&amp;"ENTRADA",Movimientos!$R$2:$R$1993,0)),"-")</f>
        <v>-</v>
      </c>
      <c r="H257" s="17" t="str">
        <f>IFERROR(IF(INDEX(Movimientos!$M$2:$M$1993,MATCH(A257&amp;"ENTRADA",Movimientos!$R$2:$R$1993,0))=0,"S/D",INDEX(Movimientos!$M$2:$M$1993,MATCH(A257&amp;"ENTRADA",Movimientos!$R$2:$R$1993,0))),"S/D")</f>
        <v>S/D</v>
      </c>
      <c r="I257" s="15" t="str">
        <f t="shared" ca="1" si="8"/>
        <v>S/D</v>
      </c>
      <c r="J257" s="5">
        <f>IF(A257="","",SUMIFS(Movimientos!$K:$K,Movimientos!$H:$H,A257))</f>
        <v>0</v>
      </c>
      <c r="K257" s="13" t="str">
        <f t="shared" ca="1" si="9"/>
        <v>SIN STOCK</v>
      </c>
    </row>
    <row r="258" spans="1:11">
      <c r="A258" s="16" t="s">
        <v>2563</v>
      </c>
      <c r="B258" s="2" t="str">
        <f>IFERROR(INDEX(Movimientos!$C$2:$C$1993,MATCH(A258&amp;"ENTRADA",Movimientos!$R$2:$R$1993,0)),"-")</f>
        <v>-</v>
      </c>
      <c r="C258" s="2" t="str">
        <f>IFERROR(INDEX(Movimientos!$D$2:$D$1993,MATCH(A258&amp;"ENTRADA",Movimientos!$R$2:$R$1993,0)),"-")</f>
        <v>-</v>
      </c>
      <c r="D258" s="2" t="str">
        <f>IFERROR(INDEX(Movimientos!$E$2:$E$1993,MATCH(A258&amp;"ENTRADA",Movimientos!$R$2:$R$1993,0)),"-")</f>
        <v>-</v>
      </c>
      <c r="E258" s="2" t="str">
        <f>IFERROR(INDEX(Movimientos!$F$2:$F$1993,MATCH(A258&amp;"ENTRADA",Movimientos!$R$2:$R$1993,0)),"-")</f>
        <v>-</v>
      </c>
      <c r="F258" s="2" t="str">
        <f>IFERROR(INDEX(Movimientos!$G$2:$G$1993,MATCH(A258&amp;"ENTRADA",Movimientos!$R$2:$R$1993,0)),"-")</f>
        <v>-</v>
      </c>
      <c r="G258" s="2" t="str">
        <f>IFERROR(INDEX(Movimientos!$L$2:$L$1993,MATCH(A258&amp;"ENTRADA",Movimientos!$R$2:$R$1993,0)),"-")</f>
        <v>-</v>
      </c>
      <c r="H258" s="17" t="str">
        <f>IFERROR(IF(INDEX(Movimientos!$M$2:$M$1993,MATCH(A258&amp;"ENTRADA",Movimientos!$R$2:$R$1993,0))=0,"S/D",INDEX(Movimientos!$M$2:$M$1993,MATCH(A258&amp;"ENTRADA",Movimientos!$R$2:$R$1993,0))),"S/D")</f>
        <v>S/D</v>
      </c>
      <c r="I258" s="15" t="str">
        <f t="shared" ca="1" si="8"/>
        <v>S/D</v>
      </c>
      <c r="J258" s="5">
        <f>IF(A258="","",SUMIFS(Movimientos!$K:$K,Movimientos!$H:$H,A258))</f>
        <v>0</v>
      </c>
      <c r="K258" s="13" t="str">
        <f t="shared" ca="1" si="9"/>
        <v>SIN STOCK</v>
      </c>
    </row>
    <row r="259" spans="1:11">
      <c r="A259" s="16" t="s">
        <v>2564</v>
      </c>
      <c r="B259" s="2" t="str">
        <f>IFERROR(INDEX(Movimientos!$C$2:$C$1993,MATCH(A259&amp;"ENTRADA",Movimientos!$R$2:$R$1993,0)),"-")</f>
        <v>-</v>
      </c>
      <c r="C259" s="2" t="str">
        <f>IFERROR(INDEX(Movimientos!$D$2:$D$1993,MATCH(A259&amp;"ENTRADA",Movimientos!$R$2:$R$1993,0)),"-")</f>
        <v>-</v>
      </c>
      <c r="D259" s="2" t="str">
        <f>IFERROR(INDEX(Movimientos!$E$2:$E$1993,MATCH(A259&amp;"ENTRADA",Movimientos!$R$2:$R$1993,0)),"-")</f>
        <v>-</v>
      </c>
      <c r="E259" s="2" t="str">
        <f>IFERROR(INDEX(Movimientos!$F$2:$F$1993,MATCH(A259&amp;"ENTRADA",Movimientos!$R$2:$R$1993,0)),"-")</f>
        <v>-</v>
      </c>
      <c r="F259" s="2" t="str">
        <f>IFERROR(INDEX(Movimientos!$G$2:$G$1993,MATCH(A259&amp;"ENTRADA",Movimientos!$R$2:$R$1993,0)),"-")</f>
        <v>-</v>
      </c>
      <c r="G259" s="2" t="str">
        <f>IFERROR(INDEX(Movimientos!$L$2:$L$1993,MATCH(A259&amp;"ENTRADA",Movimientos!$R$2:$R$1993,0)),"-")</f>
        <v>-</v>
      </c>
      <c r="H259" s="17" t="str">
        <f>IFERROR(IF(INDEX(Movimientos!$M$2:$M$1993,MATCH(A259&amp;"ENTRADA",Movimientos!$R$2:$R$1993,0))=0,"S/D",INDEX(Movimientos!$M$2:$M$1993,MATCH(A259&amp;"ENTRADA",Movimientos!$R$2:$R$1993,0))),"S/D")</f>
        <v>S/D</v>
      </c>
      <c r="I259" s="15" t="str">
        <f t="shared" ca="1" si="8"/>
        <v>S/D</v>
      </c>
      <c r="J259" s="5">
        <f>IF(A259="","",SUMIFS(Movimientos!$K:$K,Movimientos!$H:$H,A259))</f>
        <v>0</v>
      </c>
      <c r="K259" s="13" t="str">
        <f t="shared" ca="1" si="9"/>
        <v>SIN STOCK</v>
      </c>
    </row>
    <row r="260" spans="1:11">
      <c r="A260" s="16" t="s">
        <v>2565</v>
      </c>
      <c r="B260" s="2" t="str">
        <f>IFERROR(INDEX(Movimientos!$C$2:$C$1993,MATCH(A260&amp;"ENTRADA",Movimientos!$R$2:$R$1993,0)),"-")</f>
        <v>-</v>
      </c>
      <c r="C260" s="2" t="str">
        <f>IFERROR(INDEX(Movimientos!$D$2:$D$1993,MATCH(A260&amp;"ENTRADA",Movimientos!$R$2:$R$1993,0)),"-")</f>
        <v>-</v>
      </c>
      <c r="D260" s="2" t="str">
        <f>IFERROR(INDEX(Movimientos!$E$2:$E$1993,MATCH(A260&amp;"ENTRADA",Movimientos!$R$2:$R$1993,0)),"-")</f>
        <v>-</v>
      </c>
      <c r="E260" s="2" t="str">
        <f>IFERROR(INDEX(Movimientos!$F$2:$F$1993,MATCH(A260&amp;"ENTRADA",Movimientos!$R$2:$R$1993,0)),"-")</f>
        <v>-</v>
      </c>
      <c r="F260" s="2" t="str">
        <f>IFERROR(INDEX(Movimientos!$G$2:$G$1993,MATCH(A260&amp;"ENTRADA",Movimientos!$R$2:$R$1993,0)),"-")</f>
        <v>-</v>
      </c>
      <c r="G260" s="2" t="str">
        <f>IFERROR(INDEX(Movimientos!$L$2:$L$1993,MATCH(A260&amp;"ENTRADA",Movimientos!$R$2:$R$1993,0)),"-")</f>
        <v>-</v>
      </c>
      <c r="H260" s="17" t="str">
        <f>IFERROR(IF(INDEX(Movimientos!$M$2:$M$1993,MATCH(A260&amp;"ENTRADA",Movimientos!$R$2:$R$1993,0))=0,"S/D",INDEX(Movimientos!$M$2:$M$1993,MATCH(A260&amp;"ENTRADA",Movimientos!$R$2:$R$1993,0))),"S/D")</f>
        <v>S/D</v>
      </c>
      <c r="I260" s="15" t="str">
        <f t="shared" ca="1" si="8"/>
        <v>S/D</v>
      </c>
      <c r="J260" s="5">
        <f>IF(A260="","",SUMIFS(Movimientos!$K:$K,Movimientos!$H:$H,A260))</f>
        <v>0</v>
      </c>
      <c r="K260" s="13" t="str">
        <f t="shared" ca="1" si="9"/>
        <v>SIN STOCK</v>
      </c>
    </row>
    <row r="261" spans="1:11">
      <c r="A261" s="16" t="s">
        <v>2566</v>
      </c>
      <c r="B261" s="2" t="str">
        <f>IFERROR(INDEX(Movimientos!$C$2:$C$1993,MATCH(A261&amp;"ENTRADA",Movimientos!$R$2:$R$1993,0)),"-")</f>
        <v>-</v>
      </c>
      <c r="C261" s="2" t="str">
        <f>IFERROR(INDEX(Movimientos!$D$2:$D$1993,MATCH(A261&amp;"ENTRADA",Movimientos!$R$2:$R$1993,0)),"-")</f>
        <v>-</v>
      </c>
      <c r="D261" s="2" t="str">
        <f>IFERROR(INDEX(Movimientos!$E$2:$E$1993,MATCH(A261&amp;"ENTRADA",Movimientos!$R$2:$R$1993,0)),"-")</f>
        <v>-</v>
      </c>
      <c r="E261" s="2" t="str">
        <f>IFERROR(INDEX(Movimientos!$F$2:$F$1993,MATCH(A261&amp;"ENTRADA",Movimientos!$R$2:$R$1993,0)),"-")</f>
        <v>-</v>
      </c>
      <c r="F261" s="2" t="str">
        <f>IFERROR(INDEX(Movimientos!$G$2:$G$1993,MATCH(A261&amp;"ENTRADA",Movimientos!$R$2:$R$1993,0)),"-")</f>
        <v>-</v>
      </c>
      <c r="G261" s="2" t="str">
        <f>IFERROR(INDEX(Movimientos!$L$2:$L$1993,MATCH(A261&amp;"ENTRADA",Movimientos!$R$2:$R$1993,0)),"-")</f>
        <v>-</v>
      </c>
      <c r="H261" s="17" t="str">
        <f>IFERROR(IF(INDEX(Movimientos!$M$2:$M$1993,MATCH(A261&amp;"ENTRADA",Movimientos!$R$2:$R$1993,0))=0,"S/D",INDEX(Movimientos!$M$2:$M$1993,MATCH(A261&amp;"ENTRADA",Movimientos!$R$2:$R$1993,0))),"S/D")</f>
        <v>S/D</v>
      </c>
      <c r="I261" s="15" t="str">
        <f t="shared" ref="I261:I324" ca="1" si="10">IF(OR(A261="",H261="S/D"),"S/D",H261-TODAY())</f>
        <v>S/D</v>
      </c>
      <c r="J261" s="5">
        <f>IF(A261="","",SUMIFS(Movimientos!$K:$K,Movimientos!$H:$H,A261))</f>
        <v>0</v>
      </c>
      <c r="K261" s="13" t="str">
        <f t="shared" ca="1" si="9"/>
        <v>SIN STOCK</v>
      </c>
    </row>
    <row r="262" spans="1:11">
      <c r="A262" s="16" t="s">
        <v>2567</v>
      </c>
      <c r="B262" s="2" t="str">
        <f>IFERROR(INDEX(Movimientos!$C$2:$C$1993,MATCH(A262&amp;"ENTRADA",Movimientos!$R$2:$R$1993,0)),"-")</f>
        <v>-</v>
      </c>
      <c r="C262" s="2" t="str">
        <f>IFERROR(INDEX(Movimientos!$D$2:$D$1993,MATCH(A262&amp;"ENTRADA",Movimientos!$R$2:$R$1993,0)),"-")</f>
        <v>-</v>
      </c>
      <c r="D262" s="2" t="str">
        <f>IFERROR(INDEX(Movimientos!$E$2:$E$1993,MATCH(A262&amp;"ENTRADA",Movimientos!$R$2:$R$1993,0)),"-")</f>
        <v>-</v>
      </c>
      <c r="E262" s="2" t="str">
        <f>IFERROR(INDEX(Movimientos!$F$2:$F$1993,MATCH(A262&amp;"ENTRADA",Movimientos!$R$2:$R$1993,0)),"-")</f>
        <v>-</v>
      </c>
      <c r="F262" s="2" t="str">
        <f>IFERROR(INDEX(Movimientos!$G$2:$G$1993,MATCH(A262&amp;"ENTRADA",Movimientos!$R$2:$R$1993,0)),"-")</f>
        <v>-</v>
      </c>
      <c r="G262" s="2" t="str">
        <f>IFERROR(INDEX(Movimientos!$L$2:$L$1993,MATCH(A262&amp;"ENTRADA",Movimientos!$R$2:$R$1993,0)),"-")</f>
        <v>-</v>
      </c>
      <c r="H262" s="17" t="str">
        <f>IFERROR(IF(INDEX(Movimientos!$M$2:$M$1993,MATCH(A262&amp;"ENTRADA",Movimientos!$R$2:$R$1993,0))=0,"S/D",INDEX(Movimientos!$M$2:$M$1993,MATCH(A262&amp;"ENTRADA",Movimientos!$R$2:$R$1993,0))),"S/D")</f>
        <v>S/D</v>
      </c>
      <c r="I262" s="15" t="str">
        <f t="shared" ca="1" si="10"/>
        <v>S/D</v>
      </c>
      <c r="J262" s="5">
        <f>IF(A262="","",SUMIFS(Movimientos!$K:$K,Movimientos!$H:$H,A262))</f>
        <v>0</v>
      </c>
      <c r="K262" s="13" t="str">
        <f t="shared" ca="1" si="9"/>
        <v>SIN STOCK</v>
      </c>
    </row>
    <row r="263" spans="1:11">
      <c r="A263" s="16" t="s">
        <v>2568</v>
      </c>
      <c r="B263" s="2" t="str">
        <f>IFERROR(INDEX(Movimientos!$C$2:$C$1993,MATCH(A263&amp;"ENTRADA",Movimientos!$R$2:$R$1993,0)),"-")</f>
        <v>-</v>
      </c>
      <c r="C263" s="2" t="str">
        <f>IFERROR(INDEX(Movimientos!$D$2:$D$1993,MATCH(A263&amp;"ENTRADA",Movimientos!$R$2:$R$1993,0)),"-")</f>
        <v>-</v>
      </c>
      <c r="D263" s="2" t="str">
        <f>IFERROR(INDEX(Movimientos!$E$2:$E$1993,MATCH(A263&amp;"ENTRADA",Movimientos!$R$2:$R$1993,0)),"-")</f>
        <v>-</v>
      </c>
      <c r="E263" s="2" t="str">
        <f>IFERROR(INDEX(Movimientos!$F$2:$F$1993,MATCH(A263&amp;"ENTRADA",Movimientos!$R$2:$R$1993,0)),"-")</f>
        <v>-</v>
      </c>
      <c r="F263" s="2" t="str">
        <f>IFERROR(INDEX(Movimientos!$G$2:$G$1993,MATCH(A263&amp;"ENTRADA",Movimientos!$R$2:$R$1993,0)),"-")</f>
        <v>-</v>
      </c>
      <c r="G263" s="2" t="str">
        <f>IFERROR(INDEX(Movimientos!$L$2:$L$1993,MATCH(A263&amp;"ENTRADA",Movimientos!$R$2:$R$1993,0)),"-")</f>
        <v>-</v>
      </c>
      <c r="H263" s="17" t="str">
        <f>IFERROR(IF(INDEX(Movimientos!$M$2:$M$1993,MATCH(A263&amp;"ENTRADA",Movimientos!$R$2:$R$1993,0))=0,"S/D",INDEX(Movimientos!$M$2:$M$1993,MATCH(A263&amp;"ENTRADA",Movimientos!$R$2:$R$1993,0))),"S/D")</f>
        <v>S/D</v>
      </c>
      <c r="I263" s="15" t="str">
        <f t="shared" ca="1" si="10"/>
        <v>S/D</v>
      </c>
      <c r="J263" s="5">
        <f>IF(A263="","",SUMIFS(Movimientos!$K:$K,Movimientos!$H:$H,A263))</f>
        <v>0</v>
      </c>
      <c r="K263" s="13" t="str">
        <f t="shared" ca="1" si="9"/>
        <v>SIN STOCK</v>
      </c>
    </row>
    <row r="264" spans="1:11">
      <c r="A264" s="16" t="s">
        <v>2569</v>
      </c>
      <c r="B264" s="2" t="str">
        <f>IFERROR(INDEX(Movimientos!$C$2:$C$1993,MATCH(A264&amp;"ENTRADA",Movimientos!$R$2:$R$1993,0)),"-")</f>
        <v>-</v>
      </c>
      <c r="C264" s="2" t="str">
        <f>IFERROR(INDEX(Movimientos!$D$2:$D$1993,MATCH(A264&amp;"ENTRADA",Movimientos!$R$2:$R$1993,0)),"-")</f>
        <v>-</v>
      </c>
      <c r="D264" s="2" t="str">
        <f>IFERROR(INDEX(Movimientos!$E$2:$E$1993,MATCH(A264&amp;"ENTRADA",Movimientos!$R$2:$R$1993,0)),"-")</f>
        <v>-</v>
      </c>
      <c r="E264" s="2" t="str">
        <f>IFERROR(INDEX(Movimientos!$F$2:$F$1993,MATCH(A264&amp;"ENTRADA",Movimientos!$R$2:$R$1993,0)),"-")</f>
        <v>-</v>
      </c>
      <c r="F264" s="2" t="str">
        <f>IFERROR(INDEX(Movimientos!$G$2:$G$1993,MATCH(A264&amp;"ENTRADA",Movimientos!$R$2:$R$1993,0)),"-")</f>
        <v>-</v>
      </c>
      <c r="G264" s="2" t="str">
        <f>IFERROR(INDEX(Movimientos!$L$2:$L$1993,MATCH(A264&amp;"ENTRADA",Movimientos!$R$2:$R$1993,0)),"-")</f>
        <v>-</v>
      </c>
      <c r="H264" s="17" t="str">
        <f>IFERROR(IF(INDEX(Movimientos!$M$2:$M$1993,MATCH(A264&amp;"ENTRADA",Movimientos!$R$2:$R$1993,0))=0,"S/D",INDEX(Movimientos!$M$2:$M$1993,MATCH(A264&amp;"ENTRADA",Movimientos!$R$2:$R$1993,0))),"S/D")</f>
        <v>S/D</v>
      </c>
      <c r="I264" s="15" t="str">
        <f t="shared" ca="1" si="10"/>
        <v>S/D</v>
      </c>
      <c r="J264" s="5">
        <f>IF(A264="","",SUMIFS(Movimientos!$K:$K,Movimientos!$H:$H,A264))</f>
        <v>0</v>
      </c>
      <c r="K264" s="13" t="str">
        <f t="shared" ca="1" si="9"/>
        <v>SIN STOCK</v>
      </c>
    </row>
    <row r="265" spans="1:11">
      <c r="A265" s="16" t="s">
        <v>2570</v>
      </c>
      <c r="B265" s="2" t="str">
        <f>IFERROR(INDEX(Movimientos!$C$2:$C$1993,MATCH(A265&amp;"ENTRADA",Movimientos!$R$2:$R$1993,0)),"-")</f>
        <v>-</v>
      </c>
      <c r="C265" s="2" t="str">
        <f>IFERROR(INDEX(Movimientos!$D$2:$D$1993,MATCH(A265&amp;"ENTRADA",Movimientos!$R$2:$R$1993,0)),"-")</f>
        <v>-</v>
      </c>
      <c r="D265" s="2" t="str">
        <f>IFERROR(INDEX(Movimientos!$E$2:$E$1993,MATCH(A265&amp;"ENTRADA",Movimientos!$R$2:$R$1993,0)),"-")</f>
        <v>-</v>
      </c>
      <c r="E265" s="2" t="str">
        <f>IFERROR(INDEX(Movimientos!$F$2:$F$1993,MATCH(A265&amp;"ENTRADA",Movimientos!$R$2:$R$1993,0)),"-")</f>
        <v>-</v>
      </c>
      <c r="F265" s="2" t="str">
        <f>IFERROR(INDEX(Movimientos!$G$2:$G$1993,MATCH(A265&amp;"ENTRADA",Movimientos!$R$2:$R$1993,0)),"-")</f>
        <v>-</v>
      </c>
      <c r="G265" s="2" t="str">
        <f>IFERROR(INDEX(Movimientos!$L$2:$L$1993,MATCH(A265&amp;"ENTRADA",Movimientos!$R$2:$R$1993,0)),"-")</f>
        <v>-</v>
      </c>
      <c r="H265" s="17" t="str">
        <f>IFERROR(IF(INDEX(Movimientos!$M$2:$M$1993,MATCH(A265&amp;"ENTRADA",Movimientos!$R$2:$R$1993,0))=0,"S/D",INDEX(Movimientos!$M$2:$M$1993,MATCH(A265&amp;"ENTRADA",Movimientos!$R$2:$R$1993,0))),"S/D")</f>
        <v>S/D</v>
      </c>
      <c r="I265" s="15" t="str">
        <f t="shared" ca="1" si="10"/>
        <v>S/D</v>
      </c>
      <c r="J265" s="5">
        <f>IF(A265="","",SUMIFS(Movimientos!$K:$K,Movimientos!$H:$H,A265))</f>
        <v>0</v>
      </c>
      <c r="K265" s="13" t="str">
        <f t="shared" ca="1" si="9"/>
        <v>SIN STOCK</v>
      </c>
    </row>
    <row r="266" spans="1:11">
      <c r="A266" s="16" t="s">
        <v>2571</v>
      </c>
      <c r="B266" s="2" t="str">
        <f>IFERROR(INDEX(Movimientos!$C$2:$C$1993,MATCH(A266&amp;"ENTRADA",Movimientos!$R$2:$R$1993,0)),"-")</f>
        <v>-</v>
      </c>
      <c r="C266" s="2" t="str">
        <f>IFERROR(INDEX(Movimientos!$D$2:$D$1993,MATCH(A266&amp;"ENTRADA",Movimientos!$R$2:$R$1993,0)),"-")</f>
        <v>-</v>
      </c>
      <c r="D266" s="2" t="str">
        <f>IFERROR(INDEX(Movimientos!$E$2:$E$1993,MATCH(A266&amp;"ENTRADA",Movimientos!$R$2:$R$1993,0)),"-")</f>
        <v>-</v>
      </c>
      <c r="E266" s="2" t="str">
        <f>IFERROR(INDEX(Movimientos!$F$2:$F$1993,MATCH(A266&amp;"ENTRADA",Movimientos!$R$2:$R$1993,0)),"-")</f>
        <v>-</v>
      </c>
      <c r="F266" s="2" t="str">
        <f>IFERROR(INDEX(Movimientos!$G$2:$G$1993,MATCH(A266&amp;"ENTRADA",Movimientos!$R$2:$R$1993,0)),"-")</f>
        <v>-</v>
      </c>
      <c r="G266" s="2" t="str">
        <f>IFERROR(INDEX(Movimientos!$L$2:$L$1993,MATCH(A266&amp;"ENTRADA",Movimientos!$R$2:$R$1993,0)),"-")</f>
        <v>-</v>
      </c>
      <c r="H266" s="17" t="str">
        <f>IFERROR(IF(INDEX(Movimientos!$M$2:$M$1993,MATCH(A266&amp;"ENTRADA",Movimientos!$R$2:$R$1993,0))=0,"S/D",INDEX(Movimientos!$M$2:$M$1993,MATCH(A266&amp;"ENTRADA",Movimientos!$R$2:$R$1993,0))),"S/D")</f>
        <v>S/D</v>
      </c>
      <c r="I266" s="15" t="str">
        <f t="shared" ca="1" si="10"/>
        <v>S/D</v>
      </c>
      <c r="J266" s="5">
        <f>IF(A266="","",SUMIFS(Movimientos!$K:$K,Movimientos!$H:$H,A266))</f>
        <v>0</v>
      </c>
      <c r="K266" s="13" t="str">
        <f t="shared" ca="1" si="9"/>
        <v>SIN STOCK</v>
      </c>
    </row>
    <row r="267" spans="1:11">
      <c r="A267" s="16" t="s">
        <v>2572</v>
      </c>
      <c r="B267" s="2" t="str">
        <f>IFERROR(INDEX(Movimientos!$C$2:$C$1993,MATCH(A267&amp;"ENTRADA",Movimientos!$R$2:$R$1993,0)),"-")</f>
        <v>-</v>
      </c>
      <c r="C267" s="2" t="str">
        <f>IFERROR(INDEX(Movimientos!$D$2:$D$1993,MATCH(A267&amp;"ENTRADA",Movimientos!$R$2:$R$1993,0)),"-")</f>
        <v>-</v>
      </c>
      <c r="D267" s="2" t="str">
        <f>IFERROR(INDEX(Movimientos!$E$2:$E$1993,MATCH(A267&amp;"ENTRADA",Movimientos!$R$2:$R$1993,0)),"-")</f>
        <v>-</v>
      </c>
      <c r="E267" s="2" t="str">
        <f>IFERROR(INDEX(Movimientos!$F$2:$F$1993,MATCH(A267&amp;"ENTRADA",Movimientos!$R$2:$R$1993,0)),"-")</f>
        <v>-</v>
      </c>
      <c r="F267" s="2" t="str">
        <f>IFERROR(INDEX(Movimientos!$G$2:$G$1993,MATCH(A267&amp;"ENTRADA",Movimientos!$R$2:$R$1993,0)),"-")</f>
        <v>-</v>
      </c>
      <c r="G267" s="2" t="str">
        <f>IFERROR(INDEX(Movimientos!$L$2:$L$1993,MATCH(A267&amp;"ENTRADA",Movimientos!$R$2:$R$1993,0)),"-")</f>
        <v>-</v>
      </c>
      <c r="H267" s="17" t="str">
        <f>IFERROR(IF(INDEX(Movimientos!$M$2:$M$1993,MATCH(A267&amp;"ENTRADA",Movimientos!$R$2:$R$1993,0))=0,"S/D",INDEX(Movimientos!$M$2:$M$1993,MATCH(A267&amp;"ENTRADA",Movimientos!$R$2:$R$1993,0))),"S/D")</f>
        <v>S/D</v>
      </c>
      <c r="I267" s="15" t="str">
        <f t="shared" ca="1" si="10"/>
        <v>S/D</v>
      </c>
      <c r="J267" s="5">
        <f>IF(A267="","",SUMIFS(Movimientos!$K:$K,Movimientos!$H:$H,A267))</f>
        <v>0</v>
      </c>
      <c r="K267" s="13" t="str">
        <f t="shared" ca="1" si="9"/>
        <v>SIN STOCK</v>
      </c>
    </row>
    <row r="268" spans="1:11">
      <c r="A268" s="16" t="s">
        <v>2573</v>
      </c>
      <c r="B268" s="2" t="str">
        <f>IFERROR(INDEX(Movimientos!$C$2:$C$1993,MATCH(A268&amp;"ENTRADA",Movimientos!$R$2:$R$1993,0)),"-")</f>
        <v>-</v>
      </c>
      <c r="C268" s="2" t="str">
        <f>IFERROR(INDEX(Movimientos!$D$2:$D$1993,MATCH(A268&amp;"ENTRADA",Movimientos!$R$2:$R$1993,0)),"-")</f>
        <v>-</v>
      </c>
      <c r="D268" s="2" t="str">
        <f>IFERROR(INDEX(Movimientos!$E$2:$E$1993,MATCH(A268&amp;"ENTRADA",Movimientos!$R$2:$R$1993,0)),"-")</f>
        <v>-</v>
      </c>
      <c r="E268" s="2" t="str">
        <f>IFERROR(INDEX(Movimientos!$F$2:$F$1993,MATCH(A268&amp;"ENTRADA",Movimientos!$R$2:$R$1993,0)),"-")</f>
        <v>-</v>
      </c>
      <c r="F268" s="2" t="str">
        <f>IFERROR(INDEX(Movimientos!$G$2:$G$1993,MATCH(A268&amp;"ENTRADA",Movimientos!$R$2:$R$1993,0)),"-")</f>
        <v>-</v>
      </c>
      <c r="G268" s="2" t="str">
        <f>IFERROR(INDEX(Movimientos!$L$2:$L$1993,MATCH(A268&amp;"ENTRADA",Movimientos!$R$2:$R$1993,0)),"-")</f>
        <v>-</v>
      </c>
      <c r="H268" s="17" t="str">
        <f>IFERROR(IF(INDEX(Movimientos!$M$2:$M$1993,MATCH(A268&amp;"ENTRADA",Movimientos!$R$2:$R$1993,0))=0,"S/D",INDEX(Movimientos!$M$2:$M$1993,MATCH(A268&amp;"ENTRADA",Movimientos!$R$2:$R$1993,0))),"S/D")</f>
        <v>S/D</v>
      </c>
      <c r="I268" s="15" t="str">
        <f t="shared" ca="1" si="10"/>
        <v>S/D</v>
      </c>
      <c r="J268" s="5">
        <f>IF(A268="","",SUMIFS(Movimientos!$K:$K,Movimientos!$H:$H,A268))</f>
        <v>0</v>
      </c>
      <c r="K268" s="13" t="str">
        <f t="shared" ca="1" si="9"/>
        <v>SIN STOCK</v>
      </c>
    </row>
    <row r="269" spans="1:11">
      <c r="A269" s="16" t="s">
        <v>2574</v>
      </c>
      <c r="B269" s="2" t="str">
        <f>IFERROR(INDEX(Movimientos!$C$2:$C$1993,MATCH(A269&amp;"ENTRADA",Movimientos!$R$2:$R$1993,0)),"-")</f>
        <v>-</v>
      </c>
      <c r="C269" s="2" t="str">
        <f>IFERROR(INDEX(Movimientos!$D$2:$D$1993,MATCH(A269&amp;"ENTRADA",Movimientos!$R$2:$R$1993,0)),"-")</f>
        <v>-</v>
      </c>
      <c r="D269" s="2" t="str">
        <f>IFERROR(INDEX(Movimientos!$E$2:$E$1993,MATCH(A269&amp;"ENTRADA",Movimientos!$R$2:$R$1993,0)),"-")</f>
        <v>-</v>
      </c>
      <c r="E269" s="2" t="str">
        <f>IFERROR(INDEX(Movimientos!$F$2:$F$1993,MATCH(A269&amp;"ENTRADA",Movimientos!$R$2:$R$1993,0)),"-")</f>
        <v>-</v>
      </c>
      <c r="F269" s="2" t="str">
        <f>IFERROR(INDEX(Movimientos!$G$2:$G$1993,MATCH(A269&amp;"ENTRADA",Movimientos!$R$2:$R$1993,0)),"-")</f>
        <v>-</v>
      </c>
      <c r="G269" s="2" t="str">
        <f>IFERROR(INDEX(Movimientos!$L$2:$L$1993,MATCH(A269&amp;"ENTRADA",Movimientos!$R$2:$R$1993,0)),"-")</f>
        <v>-</v>
      </c>
      <c r="H269" s="17" t="str">
        <f>IFERROR(IF(INDEX(Movimientos!$M$2:$M$1993,MATCH(A269&amp;"ENTRADA",Movimientos!$R$2:$R$1993,0))=0,"S/D",INDEX(Movimientos!$M$2:$M$1993,MATCH(A269&amp;"ENTRADA",Movimientos!$R$2:$R$1993,0))),"S/D")</f>
        <v>S/D</v>
      </c>
      <c r="I269" s="15" t="str">
        <f t="shared" ca="1" si="10"/>
        <v>S/D</v>
      </c>
      <c r="J269" s="5">
        <f>IF(A269="","",SUMIFS(Movimientos!$K:$K,Movimientos!$H:$H,A269))</f>
        <v>0</v>
      </c>
      <c r="K269" s="13" t="str">
        <f t="shared" ca="1" si="9"/>
        <v>SIN STOCK</v>
      </c>
    </row>
    <row r="270" spans="1:11">
      <c r="A270" s="16" t="s">
        <v>2575</v>
      </c>
      <c r="B270" s="2" t="str">
        <f>IFERROR(INDEX(Movimientos!$C$2:$C$1993,MATCH(A270&amp;"ENTRADA",Movimientos!$R$2:$R$1993,0)),"-")</f>
        <v>-</v>
      </c>
      <c r="C270" s="2" t="str">
        <f>IFERROR(INDEX(Movimientos!$D$2:$D$1993,MATCH(A270&amp;"ENTRADA",Movimientos!$R$2:$R$1993,0)),"-")</f>
        <v>-</v>
      </c>
      <c r="D270" s="2" t="str">
        <f>IFERROR(INDEX(Movimientos!$E$2:$E$1993,MATCH(A270&amp;"ENTRADA",Movimientos!$R$2:$R$1993,0)),"-")</f>
        <v>-</v>
      </c>
      <c r="E270" s="2" t="str">
        <f>IFERROR(INDEX(Movimientos!$F$2:$F$1993,MATCH(A270&amp;"ENTRADA",Movimientos!$R$2:$R$1993,0)),"-")</f>
        <v>-</v>
      </c>
      <c r="F270" s="2" t="str">
        <f>IFERROR(INDEX(Movimientos!$G$2:$G$1993,MATCH(A270&amp;"ENTRADA",Movimientos!$R$2:$R$1993,0)),"-")</f>
        <v>-</v>
      </c>
      <c r="G270" s="2" t="str">
        <f>IFERROR(INDEX(Movimientos!$L$2:$L$1993,MATCH(A270&amp;"ENTRADA",Movimientos!$R$2:$R$1993,0)),"-")</f>
        <v>-</v>
      </c>
      <c r="H270" s="17" t="str">
        <f>IFERROR(IF(INDEX(Movimientos!$M$2:$M$1993,MATCH(A270&amp;"ENTRADA",Movimientos!$R$2:$R$1993,0))=0,"S/D",INDEX(Movimientos!$M$2:$M$1993,MATCH(A270&amp;"ENTRADA",Movimientos!$R$2:$R$1993,0))),"S/D")</f>
        <v>S/D</v>
      </c>
      <c r="I270" s="15" t="str">
        <f t="shared" ca="1" si="10"/>
        <v>S/D</v>
      </c>
      <c r="J270" s="5">
        <f>IF(A270="","",SUMIFS(Movimientos!$K:$K,Movimientos!$H:$H,A270))</f>
        <v>0</v>
      </c>
      <c r="K270" s="13" t="str">
        <f t="shared" ca="1" si="9"/>
        <v>SIN STOCK</v>
      </c>
    </row>
    <row r="271" spans="1:11">
      <c r="A271" s="16" t="s">
        <v>2576</v>
      </c>
      <c r="B271" s="2" t="str">
        <f>IFERROR(INDEX(Movimientos!$C$2:$C$1993,MATCH(A271&amp;"ENTRADA",Movimientos!$R$2:$R$1993,0)),"-")</f>
        <v>-</v>
      </c>
      <c r="C271" s="2" t="str">
        <f>IFERROR(INDEX(Movimientos!$D$2:$D$1993,MATCH(A271&amp;"ENTRADA",Movimientos!$R$2:$R$1993,0)),"-")</f>
        <v>-</v>
      </c>
      <c r="D271" s="2" t="str">
        <f>IFERROR(INDEX(Movimientos!$E$2:$E$1993,MATCH(A271&amp;"ENTRADA",Movimientos!$R$2:$R$1993,0)),"-")</f>
        <v>-</v>
      </c>
      <c r="E271" s="2" t="str">
        <f>IFERROR(INDEX(Movimientos!$F$2:$F$1993,MATCH(A271&amp;"ENTRADA",Movimientos!$R$2:$R$1993,0)),"-")</f>
        <v>-</v>
      </c>
      <c r="F271" s="2" t="str">
        <f>IFERROR(INDEX(Movimientos!$G$2:$G$1993,MATCH(A271&amp;"ENTRADA",Movimientos!$R$2:$R$1993,0)),"-")</f>
        <v>-</v>
      </c>
      <c r="G271" s="2" t="str">
        <f>IFERROR(INDEX(Movimientos!$L$2:$L$1993,MATCH(A271&amp;"ENTRADA",Movimientos!$R$2:$R$1993,0)),"-")</f>
        <v>-</v>
      </c>
      <c r="H271" s="17" t="str">
        <f>IFERROR(IF(INDEX(Movimientos!$M$2:$M$1993,MATCH(A271&amp;"ENTRADA",Movimientos!$R$2:$R$1993,0))=0,"S/D",INDEX(Movimientos!$M$2:$M$1993,MATCH(A271&amp;"ENTRADA",Movimientos!$R$2:$R$1993,0))),"S/D")</f>
        <v>S/D</v>
      </c>
      <c r="I271" s="15" t="str">
        <f t="shared" ca="1" si="10"/>
        <v>S/D</v>
      </c>
      <c r="J271" s="5">
        <f>IF(A271="","",SUMIFS(Movimientos!$K:$K,Movimientos!$H:$H,A271))</f>
        <v>0</v>
      </c>
      <c r="K271" s="13" t="str">
        <f t="shared" ca="1" si="9"/>
        <v>SIN STOCK</v>
      </c>
    </row>
    <row r="272" spans="1:11">
      <c r="A272" s="16" t="s">
        <v>2577</v>
      </c>
      <c r="B272" s="2" t="str">
        <f>IFERROR(INDEX(Movimientos!$C$2:$C$1993,MATCH(A272&amp;"ENTRADA",Movimientos!$R$2:$R$1993,0)),"-")</f>
        <v>-</v>
      </c>
      <c r="C272" s="2" t="str">
        <f>IFERROR(INDEX(Movimientos!$D$2:$D$1993,MATCH(A272&amp;"ENTRADA",Movimientos!$R$2:$R$1993,0)),"-")</f>
        <v>-</v>
      </c>
      <c r="D272" s="2" t="str">
        <f>IFERROR(INDEX(Movimientos!$E$2:$E$1993,MATCH(A272&amp;"ENTRADA",Movimientos!$R$2:$R$1993,0)),"-")</f>
        <v>-</v>
      </c>
      <c r="E272" s="2" t="str">
        <f>IFERROR(INDEX(Movimientos!$F$2:$F$1993,MATCH(A272&amp;"ENTRADA",Movimientos!$R$2:$R$1993,0)),"-")</f>
        <v>-</v>
      </c>
      <c r="F272" s="2" t="str">
        <f>IFERROR(INDEX(Movimientos!$G$2:$G$1993,MATCH(A272&amp;"ENTRADA",Movimientos!$R$2:$R$1993,0)),"-")</f>
        <v>-</v>
      </c>
      <c r="G272" s="2" t="str">
        <f>IFERROR(INDEX(Movimientos!$L$2:$L$1993,MATCH(A272&amp;"ENTRADA",Movimientos!$R$2:$R$1993,0)),"-")</f>
        <v>-</v>
      </c>
      <c r="H272" s="17" t="str">
        <f>IFERROR(IF(INDEX(Movimientos!$M$2:$M$1993,MATCH(A272&amp;"ENTRADA",Movimientos!$R$2:$R$1993,0))=0,"S/D",INDEX(Movimientos!$M$2:$M$1993,MATCH(A272&amp;"ENTRADA",Movimientos!$R$2:$R$1993,0))),"S/D")</f>
        <v>S/D</v>
      </c>
      <c r="I272" s="15" t="str">
        <f t="shared" ca="1" si="10"/>
        <v>S/D</v>
      </c>
      <c r="J272" s="5">
        <f>IF(A272="","",SUMIFS(Movimientos!$K:$K,Movimientos!$H:$H,A272))</f>
        <v>0</v>
      </c>
      <c r="K272" s="13" t="str">
        <f t="shared" ca="1" si="9"/>
        <v>SIN STOCK</v>
      </c>
    </row>
    <row r="273" spans="1:11">
      <c r="A273" s="16" t="s">
        <v>2578</v>
      </c>
      <c r="B273" s="2" t="str">
        <f>IFERROR(INDEX(Movimientos!$C$2:$C$1993,MATCH(A273&amp;"ENTRADA",Movimientos!$R$2:$R$1993,0)),"-")</f>
        <v>-</v>
      </c>
      <c r="C273" s="2" t="str">
        <f>IFERROR(INDEX(Movimientos!$D$2:$D$1993,MATCH(A273&amp;"ENTRADA",Movimientos!$R$2:$R$1993,0)),"-")</f>
        <v>-</v>
      </c>
      <c r="D273" s="2" t="str">
        <f>IFERROR(INDEX(Movimientos!$E$2:$E$1993,MATCH(A273&amp;"ENTRADA",Movimientos!$R$2:$R$1993,0)),"-")</f>
        <v>-</v>
      </c>
      <c r="E273" s="2" t="str">
        <f>IFERROR(INDEX(Movimientos!$F$2:$F$1993,MATCH(A273&amp;"ENTRADA",Movimientos!$R$2:$R$1993,0)),"-")</f>
        <v>-</v>
      </c>
      <c r="F273" s="2" t="str">
        <f>IFERROR(INDEX(Movimientos!$G$2:$G$1993,MATCH(A273&amp;"ENTRADA",Movimientos!$R$2:$R$1993,0)),"-")</f>
        <v>-</v>
      </c>
      <c r="G273" s="2" t="str">
        <f>IFERROR(INDEX(Movimientos!$L$2:$L$1993,MATCH(A273&amp;"ENTRADA",Movimientos!$R$2:$R$1993,0)),"-")</f>
        <v>-</v>
      </c>
      <c r="H273" s="17" t="str">
        <f>IFERROR(IF(INDEX(Movimientos!$M$2:$M$1993,MATCH(A273&amp;"ENTRADA",Movimientos!$R$2:$R$1993,0))=0,"S/D",INDEX(Movimientos!$M$2:$M$1993,MATCH(A273&amp;"ENTRADA",Movimientos!$R$2:$R$1993,0))),"S/D")</f>
        <v>S/D</v>
      </c>
      <c r="I273" s="15" t="str">
        <f t="shared" ca="1" si="10"/>
        <v>S/D</v>
      </c>
      <c r="J273" s="5">
        <f>IF(A273="","",SUMIFS(Movimientos!$K:$K,Movimientos!$H:$H,A273))</f>
        <v>0</v>
      </c>
      <c r="K273" s="13" t="str">
        <f t="shared" ca="1" si="9"/>
        <v>SIN STOCK</v>
      </c>
    </row>
    <row r="274" spans="1:11">
      <c r="A274" s="16" t="s">
        <v>2579</v>
      </c>
      <c r="B274" s="2" t="str">
        <f>IFERROR(INDEX(Movimientos!$C$2:$C$1993,MATCH(A274&amp;"ENTRADA",Movimientos!$R$2:$R$1993,0)),"-")</f>
        <v>-</v>
      </c>
      <c r="C274" s="2" t="str">
        <f>IFERROR(INDEX(Movimientos!$D$2:$D$1993,MATCH(A274&amp;"ENTRADA",Movimientos!$R$2:$R$1993,0)),"-")</f>
        <v>-</v>
      </c>
      <c r="D274" s="2" t="str">
        <f>IFERROR(INDEX(Movimientos!$E$2:$E$1993,MATCH(A274&amp;"ENTRADA",Movimientos!$R$2:$R$1993,0)),"-")</f>
        <v>-</v>
      </c>
      <c r="E274" s="2" t="str">
        <f>IFERROR(INDEX(Movimientos!$F$2:$F$1993,MATCH(A274&amp;"ENTRADA",Movimientos!$R$2:$R$1993,0)),"-")</f>
        <v>-</v>
      </c>
      <c r="F274" s="2" t="str">
        <f>IFERROR(INDEX(Movimientos!$G$2:$G$1993,MATCH(A274&amp;"ENTRADA",Movimientos!$R$2:$R$1993,0)),"-")</f>
        <v>-</v>
      </c>
      <c r="G274" s="2" t="str">
        <f>IFERROR(INDEX(Movimientos!$L$2:$L$1993,MATCH(A274&amp;"ENTRADA",Movimientos!$R$2:$R$1993,0)),"-")</f>
        <v>-</v>
      </c>
      <c r="H274" s="17" t="str">
        <f>IFERROR(IF(INDEX(Movimientos!$M$2:$M$1993,MATCH(A274&amp;"ENTRADA",Movimientos!$R$2:$R$1993,0))=0,"S/D",INDEX(Movimientos!$M$2:$M$1993,MATCH(A274&amp;"ENTRADA",Movimientos!$R$2:$R$1993,0))),"S/D")</f>
        <v>S/D</v>
      </c>
      <c r="I274" s="15" t="str">
        <f t="shared" ca="1" si="10"/>
        <v>S/D</v>
      </c>
      <c r="J274" s="5">
        <f>IF(A274="","",SUMIFS(Movimientos!$K:$K,Movimientos!$H:$H,A274))</f>
        <v>0</v>
      </c>
      <c r="K274" s="13" t="str">
        <f t="shared" ca="1" si="9"/>
        <v>SIN STOCK</v>
      </c>
    </row>
    <row r="275" spans="1:11">
      <c r="A275" s="16" t="s">
        <v>2580</v>
      </c>
      <c r="B275" s="2" t="str">
        <f>IFERROR(INDEX(Movimientos!$C$2:$C$1993,MATCH(A275&amp;"ENTRADA",Movimientos!$R$2:$R$1993,0)),"-")</f>
        <v>-</v>
      </c>
      <c r="C275" s="2" t="str">
        <f>IFERROR(INDEX(Movimientos!$D$2:$D$1993,MATCH(A275&amp;"ENTRADA",Movimientos!$R$2:$R$1993,0)),"-")</f>
        <v>-</v>
      </c>
      <c r="D275" s="2" t="str">
        <f>IFERROR(INDEX(Movimientos!$E$2:$E$1993,MATCH(A275&amp;"ENTRADA",Movimientos!$R$2:$R$1993,0)),"-")</f>
        <v>-</v>
      </c>
      <c r="E275" s="2" t="str">
        <f>IFERROR(INDEX(Movimientos!$F$2:$F$1993,MATCH(A275&amp;"ENTRADA",Movimientos!$R$2:$R$1993,0)),"-")</f>
        <v>-</v>
      </c>
      <c r="F275" s="2" t="str">
        <f>IFERROR(INDEX(Movimientos!$G$2:$G$1993,MATCH(A275&amp;"ENTRADA",Movimientos!$R$2:$R$1993,0)),"-")</f>
        <v>-</v>
      </c>
      <c r="G275" s="2" t="str">
        <f>IFERROR(INDEX(Movimientos!$L$2:$L$1993,MATCH(A275&amp;"ENTRADA",Movimientos!$R$2:$R$1993,0)),"-")</f>
        <v>-</v>
      </c>
      <c r="H275" s="17" t="str">
        <f>IFERROR(IF(INDEX(Movimientos!$M$2:$M$1993,MATCH(A275&amp;"ENTRADA",Movimientos!$R$2:$R$1993,0))=0,"S/D",INDEX(Movimientos!$M$2:$M$1993,MATCH(A275&amp;"ENTRADA",Movimientos!$R$2:$R$1993,0))),"S/D")</f>
        <v>S/D</v>
      </c>
      <c r="I275" s="15" t="str">
        <f t="shared" ca="1" si="10"/>
        <v>S/D</v>
      </c>
      <c r="J275" s="5">
        <f>IF(A275="","",SUMIFS(Movimientos!$K:$K,Movimientos!$H:$H,A275))</f>
        <v>0</v>
      </c>
      <c r="K275" s="13" t="str">
        <f t="shared" ca="1" si="9"/>
        <v>SIN STOCK</v>
      </c>
    </row>
    <row r="276" spans="1:11">
      <c r="A276" s="16" t="s">
        <v>2581</v>
      </c>
      <c r="B276" s="2" t="str">
        <f>IFERROR(INDEX(Movimientos!$C$2:$C$1993,MATCH(A276&amp;"ENTRADA",Movimientos!$R$2:$R$1993,0)),"-")</f>
        <v>-</v>
      </c>
      <c r="C276" s="2" t="str">
        <f>IFERROR(INDEX(Movimientos!$D$2:$D$1993,MATCH(A276&amp;"ENTRADA",Movimientos!$R$2:$R$1993,0)),"-")</f>
        <v>-</v>
      </c>
      <c r="D276" s="2" t="str">
        <f>IFERROR(INDEX(Movimientos!$E$2:$E$1993,MATCH(A276&amp;"ENTRADA",Movimientos!$R$2:$R$1993,0)),"-")</f>
        <v>-</v>
      </c>
      <c r="E276" s="2" t="str">
        <f>IFERROR(INDEX(Movimientos!$F$2:$F$1993,MATCH(A276&amp;"ENTRADA",Movimientos!$R$2:$R$1993,0)),"-")</f>
        <v>-</v>
      </c>
      <c r="F276" s="2" t="str">
        <f>IFERROR(INDEX(Movimientos!$G$2:$G$1993,MATCH(A276&amp;"ENTRADA",Movimientos!$R$2:$R$1993,0)),"-")</f>
        <v>-</v>
      </c>
      <c r="G276" s="2" t="str">
        <f>IFERROR(INDEX(Movimientos!$L$2:$L$1993,MATCH(A276&amp;"ENTRADA",Movimientos!$R$2:$R$1993,0)),"-")</f>
        <v>-</v>
      </c>
      <c r="H276" s="17" t="str">
        <f>IFERROR(IF(INDEX(Movimientos!$M$2:$M$1993,MATCH(A276&amp;"ENTRADA",Movimientos!$R$2:$R$1993,0))=0,"S/D",INDEX(Movimientos!$M$2:$M$1993,MATCH(A276&amp;"ENTRADA",Movimientos!$R$2:$R$1993,0))),"S/D")</f>
        <v>S/D</v>
      </c>
      <c r="I276" s="15" t="str">
        <f t="shared" ca="1" si="10"/>
        <v>S/D</v>
      </c>
      <c r="J276" s="5">
        <f>IF(A276="","",SUMIFS(Movimientos!$K:$K,Movimientos!$H:$H,A276))</f>
        <v>0</v>
      </c>
      <c r="K276" s="13" t="str">
        <f t="shared" ca="1" si="9"/>
        <v>SIN STOCK</v>
      </c>
    </row>
    <row r="277" spans="1:11">
      <c r="A277" s="16" t="s">
        <v>2582</v>
      </c>
      <c r="B277" s="2" t="str">
        <f>IFERROR(INDEX(Movimientos!$C$2:$C$1993,MATCH(A277&amp;"ENTRADA",Movimientos!$R$2:$R$1993,0)),"-")</f>
        <v>-</v>
      </c>
      <c r="C277" s="2" t="str">
        <f>IFERROR(INDEX(Movimientos!$D$2:$D$1993,MATCH(A277&amp;"ENTRADA",Movimientos!$R$2:$R$1993,0)),"-")</f>
        <v>-</v>
      </c>
      <c r="D277" s="2" t="str">
        <f>IFERROR(INDEX(Movimientos!$E$2:$E$1993,MATCH(A277&amp;"ENTRADA",Movimientos!$R$2:$R$1993,0)),"-")</f>
        <v>-</v>
      </c>
      <c r="E277" s="2" t="str">
        <f>IFERROR(INDEX(Movimientos!$F$2:$F$1993,MATCH(A277&amp;"ENTRADA",Movimientos!$R$2:$R$1993,0)),"-")</f>
        <v>-</v>
      </c>
      <c r="F277" s="2" t="str">
        <f>IFERROR(INDEX(Movimientos!$G$2:$G$1993,MATCH(A277&amp;"ENTRADA",Movimientos!$R$2:$R$1993,0)),"-")</f>
        <v>-</v>
      </c>
      <c r="G277" s="2" t="str">
        <f>IFERROR(INDEX(Movimientos!$L$2:$L$1993,MATCH(A277&amp;"ENTRADA",Movimientos!$R$2:$R$1993,0)),"-")</f>
        <v>-</v>
      </c>
      <c r="H277" s="17" t="str">
        <f>IFERROR(IF(INDEX(Movimientos!$M$2:$M$1993,MATCH(A277&amp;"ENTRADA",Movimientos!$R$2:$R$1993,0))=0,"S/D",INDEX(Movimientos!$M$2:$M$1993,MATCH(A277&amp;"ENTRADA",Movimientos!$R$2:$R$1993,0))),"S/D")</f>
        <v>S/D</v>
      </c>
      <c r="I277" s="15" t="str">
        <f t="shared" ca="1" si="10"/>
        <v>S/D</v>
      </c>
      <c r="J277" s="5">
        <f>IF(A277="","",SUMIFS(Movimientos!$K:$K,Movimientos!$H:$H,A277))</f>
        <v>0</v>
      </c>
      <c r="K277" s="13" t="str">
        <f t="shared" ca="1" si="9"/>
        <v>SIN STOCK</v>
      </c>
    </row>
    <row r="278" spans="1:11">
      <c r="A278" s="16" t="s">
        <v>2583</v>
      </c>
      <c r="B278" s="2" t="str">
        <f>IFERROR(INDEX(Movimientos!$C$2:$C$1993,MATCH(A278&amp;"ENTRADA",Movimientos!$R$2:$R$1993,0)),"-")</f>
        <v>-</v>
      </c>
      <c r="C278" s="2" t="str">
        <f>IFERROR(INDEX(Movimientos!$D$2:$D$1993,MATCH(A278&amp;"ENTRADA",Movimientos!$R$2:$R$1993,0)),"-")</f>
        <v>-</v>
      </c>
      <c r="D278" s="2" t="str">
        <f>IFERROR(INDEX(Movimientos!$E$2:$E$1993,MATCH(A278&amp;"ENTRADA",Movimientos!$R$2:$R$1993,0)),"-")</f>
        <v>-</v>
      </c>
      <c r="E278" s="2" t="str">
        <f>IFERROR(INDEX(Movimientos!$F$2:$F$1993,MATCH(A278&amp;"ENTRADA",Movimientos!$R$2:$R$1993,0)),"-")</f>
        <v>-</v>
      </c>
      <c r="F278" s="2" t="str">
        <f>IFERROR(INDEX(Movimientos!$G$2:$G$1993,MATCH(A278&amp;"ENTRADA",Movimientos!$R$2:$R$1993,0)),"-")</f>
        <v>-</v>
      </c>
      <c r="G278" s="2" t="str">
        <f>IFERROR(INDEX(Movimientos!$L$2:$L$1993,MATCH(A278&amp;"ENTRADA",Movimientos!$R$2:$R$1993,0)),"-")</f>
        <v>-</v>
      </c>
      <c r="H278" s="17" t="str">
        <f>IFERROR(IF(INDEX(Movimientos!$M$2:$M$1993,MATCH(A278&amp;"ENTRADA",Movimientos!$R$2:$R$1993,0))=0,"S/D",INDEX(Movimientos!$M$2:$M$1993,MATCH(A278&amp;"ENTRADA",Movimientos!$R$2:$R$1993,0))),"S/D")</f>
        <v>S/D</v>
      </c>
      <c r="I278" s="15" t="str">
        <f t="shared" ca="1" si="10"/>
        <v>S/D</v>
      </c>
      <c r="J278" s="5">
        <f>IF(A278="","",SUMIFS(Movimientos!$K:$K,Movimientos!$H:$H,A278))</f>
        <v>0</v>
      </c>
      <c r="K278" s="13" t="str">
        <f t="shared" ca="1" si="9"/>
        <v>SIN STOCK</v>
      </c>
    </row>
    <row r="279" spans="1:11">
      <c r="A279" s="16" t="s">
        <v>2584</v>
      </c>
      <c r="B279" s="2" t="str">
        <f>IFERROR(INDEX(Movimientos!$C$2:$C$1993,MATCH(A279&amp;"ENTRADA",Movimientos!$R$2:$R$1993,0)),"-")</f>
        <v>-</v>
      </c>
      <c r="C279" s="2" t="str">
        <f>IFERROR(INDEX(Movimientos!$D$2:$D$1993,MATCH(A279&amp;"ENTRADA",Movimientos!$R$2:$R$1993,0)),"-")</f>
        <v>-</v>
      </c>
      <c r="D279" s="2" t="str">
        <f>IFERROR(INDEX(Movimientos!$E$2:$E$1993,MATCH(A279&amp;"ENTRADA",Movimientos!$R$2:$R$1993,0)),"-")</f>
        <v>-</v>
      </c>
      <c r="E279" s="2" t="str">
        <f>IFERROR(INDEX(Movimientos!$F$2:$F$1993,MATCH(A279&amp;"ENTRADA",Movimientos!$R$2:$R$1993,0)),"-")</f>
        <v>-</v>
      </c>
      <c r="F279" s="2" t="str">
        <f>IFERROR(INDEX(Movimientos!$G$2:$G$1993,MATCH(A279&amp;"ENTRADA",Movimientos!$R$2:$R$1993,0)),"-")</f>
        <v>-</v>
      </c>
      <c r="G279" s="2" t="str">
        <f>IFERROR(INDEX(Movimientos!$L$2:$L$1993,MATCH(A279&amp;"ENTRADA",Movimientos!$R$2:$R$1993,0)),"-")</f>
        <v>-</v>
      </c>
      <c r="H279" s="17" t="str">
        <f>IFERROR(IF(INDEX(Movimientos!$M$2:$M$1993,MATCH(A279&amp;"ENTRADA",Movimientos!$R$2:$R$1993,0))=0,"S/D",INDEX(Movimientos!$M$2:$M$1993,MATCH(A279&amp;"ENTRADA",Movimientos!$R$2:$R$1993,0))),"S/D")</f>
        <v>S/D</v>
      </c>
      <c r="I279" s="15" t="str">
        <f t="shared" ca="1" si="10"/>
        <v>S/D</v>
      </c>
      <c r="J279" s="5">
        <f>IF(A279="","",SUMIFS(Movimientos!$K:$K,Movimientos!$H:$H,A279))</f>
        <v>0</v>
      </c>
      <c r="K279" s="13" t="str">
        <f t="shared" ca="1" si="9"/>
        <v>SIN STOCK</v>
      </c>
    </row>
    <row r="280" spans="1:11">
      <c r="A280" s="16" t="s">
        <v>2585</v>
      </c>
      <c r="B280" s="2" t="str">
        <f>IFERROR(INDEX(Movimientos!$C$2:$C$1993,MATCH(A280&amp;"ENTRADA",Movimientos!$R$2:$R$1993,0)),"-")</f>
        <v>-</v>
      </c>
      <c r="C280" s="2" t="str">
        <f>IFERROR(INDEX(Movimientos!$D$2:$D$1993,MATCH(A280&amp;"ENTRADA",Movimientos!$R$2:$R$1993,0)),"-")</f>
        <v>-</v>
      </c>
      <c r="D280" s="2" t="str">
        <f>IFERROR(INDEX(Movimientos!$E$2:$E$1993,MATCH(A280&amp;"ENTRADA",Movimientos!$R$2:$R$1993,0)),"-")</f>
        <v>-</v>
      </c>
      <c r="E280" s="2" t="str">
        <f>IFERROR(INDEX(Movimientos!$F$2:$F$1993,MATCH(A280&amp;"ENTRADA",Movimientos!$R$2:$R$1993,0)),"-")</f>
        <v>-</v>
      </c>
      <c r="F280" s="2" t="str">
        <f>IFERROR(INDEX(Movimientos!$G$2:$G$1993,MATCH(A280&amp;"ENTRADA",Movimientos!$R$2:$R$1993,0)),"-")</f>
        <v>-</v>
      </c>
      <c r="G280" s="2" t="str">
        <f>IFERROR(INDEX(Movimientos!$L$2:$L$1993,MATCH(A280&amp;"ENTRADA",Movimientos!$R$2:$R$1993,0)),"-")</f>
        <v>-</v>
      </c>
      <c r="H280" s="17" t="str">
        <f>IFERROR(IF(INDEX(Movimientos!$M$2:$M$1993,MATCH(A280&amp;"ENTRADA",Movimientos!$R$2:$R$1993,0))=0,"S/D",INDEX(Movimientos!$M$2:$M$1993,MATCH(A280&amp;"ENTRADA",Movimientos!$R$2:$R$1993,0))),"S/D")</f>
        <v>S/D</v>
      </c>
      <c r="I280" s="15" t="str">
        <f t="shared" ca="1" si="10"/>
        <v>S/D</v>
      </c>
      <c r="J280" s="5">
        <f>IF(A280="","",SUMIFS(Movimientos!$K:$K,Movimientos!$H:$H,A280))</f>
        <v>0</v>
      </c>
      <c r="K280" s="13" t="str">
        <f t="shared" ca="1" si="9"/>
        <v>SIN STOCK</v>
      </c>
    </row>
    <row r="281" spans="1:11">
      <c r="A281" s="16" t="s">
        <v>2586</v>
      </c>
      <c r="B281" s="2" t="str">
        <f>IFERROR(INDEX(Movimientos!$C$2:$C$1993,MATCH(A281&amp;"ENTRADA",Movimientos!$R$2:$R$1993,0)),"-")</f>
        <v>-</v>
      </c>
      <c r="C281" s="2" t="str">
        <f>IFERROR(INDEX(Movimientos!$D$2:$D$1993,MATCH(A281&amp;"ENTRADA",Movimientos!$R$2:$R$1993,0)),"-")</f>
        <v>-</v>
      </c>
      <c r="D281" s="2" t="str">
        <f>IFERROR(INDEX(Movimientos!$E$2:$E$1993,MATCH(A281&amp;"ENTRADA",Movimientos!$R$2:$R$1993,0)),"-")</f>
        <v>-</v>
      </c>
      <c r="E281" s="2" t="str">
        <f>IFERROR(INDEX(Movimientos!$F$2:$F$1993,MATCH(A281&amp;"ENTRADA",Movimientos!$R$2:$R$1993,0)),"-")</f>
        <v>-</v>
      </c>
      <c r="F281" s="2" t="str">
        <f>IFERROR(INDEX(Movimientos!$G$2:$G$1993,MATCH(A281&amp;"ENTRADA",Movimientos!$R$2:$R$1993,0)),"-")</f>
        <v>-</v>
      </c>
      <c r="G281" s="2" t="str">
        <f>IFERROR(INDEX(Movimientos!$L$2:$L$1993,MATCH(A281&amp;"ENTRADA",Movimientos!$R$2:$R$1993,0)),"-")</f>
        <v>-</v>
      </c>
      <c r="H281" s="17" t="str">
        <f>IFERROR(IF(INDEX(Movimientos!$M$2:$M$1993,MATCH(A281&amp;"ENTRADA",Movimientos!$R$2:$R$1993,0))=0,"S/D",INDEX(Movimientos!$M$2:$M$1993,MATCH(A281&amp;"ENTRADA",Movimientos!$R$2:$R$1993,0))),"S/D")</f>
        <v>S/D</v>
      </c>
      <c r="I281" s="15" t="str">
        <f t="shared" ca="1" si="10"/>
        <v>S/D</v>
      </c>
      <c r="J281" s="5">
        <f>IF(A281="","",SUMIFS(Movimientos!$K:$K,Movimientos!$H:$H,A281))</f>
        <v>0</v>
      </c>
      <c r="K281" s="13" t="str">
        <f t="shared" ca="1" si="9"/>
        <v>SIN STOCK</v>
      </c>
    </row>
    <row r="282" spans="1:11">
      <c r="A282" s="16" t="s">
        <v>2587</v>
      </c>
      <c r="B282" s="2" t="str">
        <f>IFERROR(INDEX(Movimientos!$C$2:$C$1993,MATCH(A282&amp;"ENTRADA",Movimientos!$R$2:$R$1993,0)),"-")</f>
        <v>-</v>
      </c>
      <c r="C282" s="2" t="str">
        <f>IFERROR(INDEX(Movimientos!$D$2:$D$1993,MATCH(A282&amp;"ENTRADA",Movimientos!$R$2:$R$1993,0)),"-")</f>
        <v>-</v>
      </c>
      <c r="D282" s="2" t="str">
        <f>IFERROR(INDEX(Movimientos!$E$2:$E$1993,MATCH(A282&amp;"ENTRADA",Movimientos!$R$2:$R$1993,0)),"-")</f>
        <v>-</v>
      </c>
      <c r="E282" s="2" t="str">
        <f>IFERROR(INDEX(Movimientos!$F$2:$F$1993,MATCH(A282&amp;"ENTRADA",Movimientos!$R$2:$R$1993,0)),"-")</f>
        <v>-</v>
      </c>
      <c r="F282" s="2" t="str">
        <f>IFERROR(INDEX(Movimientos!$G$2:$G$1993,MATCH(A282&amp;"ENTRADA",Movimientos!$R$2:$R$1993,0)),"-")</f>
        <v>-</v>
      </c>
      <c r="G282" s="2" t="str">
        <f>IFERROR(INDEX(Movimientos!$L$2:$L$1993,MATCH(A282&amp;"ENTRADA",Movimientos!$R$2:$R$1993,0)),"-")</f>
        <v>-</v>
      </c>
      <c r="H282" s="17" t="str">
        <f>IFERROR(IF(INDEX(Movimientos!$M$2:$M$1993,MATCH(A282&amp;"ENTRADA",Movimientos!$R$2:$R$1993,0))=0,"S/D",INDEX(Movimientos!$M$2:$M$1993,MATCH(A282&amp;"ENTRADA",Movimientos!$R$2:$R$1993,0))),"S/D")</f>
        <v>S/D</v>
      </c>
      <c r="I282" s="15" t="str">
        <f t="shared" ca="1" si="10"/>
        <v>S/D</v>
      </c>
      <c r="J282" s="5">
        <f>IF(A282="","",SUMIFS(Movimientos!$K:$K,Movimientos!$H:$H,A282))</f>
        <v>0</v>
      </c>
      <c r="K282" s="13" t="str">
        <f t="shared" ca="1" si="9"/>
        <v>SIN STOCK</v>
      </c>
    </row>
    <row r="283" spans="1:11">
      <c r="A283" s="16" t="s">
        <v>2588</v>
      </c>
      <c r="B283" s="2" t="str">
        <f>IFERROR(INDEX(Movimientos!$C$2:$C$1993,MATCH(A283&amp;"ENTRADA",Movimientos!$R$2:$R$1993,0)),"-")</f>
        <v>-</v>
      </c>
      <c r="C283" s="2" t="str">
        <f>IFERROR(INDEX(Movimientos!$D$2:$D$1993,MATCH(A283&amp;"ENTRADA",Movimientos!$R$2:$R$1993,0)),"-")</f>
        <v>-</v>
      </c>
      <c r="D283" s="2" t="str">
        <f>IFERROR(INDEX(Movimientos!$E$2:$E$1993,MATCH(A283&amp;"ENTRADA",Movimientos!$R$2:$R$1993,0)),"-")</f>
        <v>-</v>
      </c>
      <c r="E283" s="2" t="str">
        <f>IFERROR(INDEX(Movimientos!$F$2:$F$1993,MATCH(A283&amp;"ENTRADA",Movimientos!$R$2:$R$1993,0)),"-")</f>
        <v>-</v>
      </c>
      <c r="F283" s="2" t="str">
        <f>IFERROR(INDEX(Movimientos!$G$2:$G$1993,MATCH(A283&amp;"ENTRADA",Movimientos!$R$2:$R$1993,0)),"-")</f>
        <v>-</v>
      </c>
      <c r="G283" s="2" t="str">
        <f>IFERROR(INDEX(Movimientos!$L$2:$L$1993,MATCH(A283&amp;"ENTRADA",Movimientos!$R$2:$R$1993,0)),"-")</f>
        <v>-</v>
      </c>
      <c r="H283" s="17" t="str">
        <f>IFERROR(IF(INDEX(Movimientos!$M$2:$M$1993,MATCH(A283&amp;"ENTRADA",Movimientos!$R$2:$R$1993,0))=0,"S/D",INDEX(Movimientos!$M$2:$M$1993,MATCH(A283&amp;"ENTRADA",Movimientos!$R$2:$R$1993,0))),"S/D")</f>
        <v>S/D</v>
      </c>
      <c r="I283" s="15" t="str">
        <f t="shared" ca="1" si="10"/>
        <v>S/D</v>
      </c>
      <c r="J283" s="5">
        <f>IF(A283="","",SUMIFS(Movimientos!$K:$K,Movimientos!$H:$H,A283))</f>
        <v>0</v>
      </c>
      <c r="K283" s="13" t="str">
        <f t="shared" ca="1" si="9"/>
        <v>SIN STOCK</v>
      </c>
    </row>
    <row r="284" spans="1:11">
      <c r="A284" s="16" t="s">
        <v>2589</v>
      </c>
      <c r="B284" s="2" t="str">
        <f>IFERROR(INDEX(Movimientos!$C$2:$C$1993,MATCH(A284&amp;"ENTRADA",Movimientos!$R$2:$R$1993,0)),"-")</f>
        <v>-</v>
      </c>
      <c r="C284" s="2" t="str">
        <f>IFERROR(INDEX(Movimientos!$D$2:$D$1993,MATCH(A284&amp;"ENTRADA",Movimientos!$R$2:$R$1993,0)),"-")</f>
        <v>-</v>
      </c>
      <c r="D284" s="2" t="str">
        <f>IFERROR(INDEX(Movimientos!$E$2:$E$1993,MATCH(A284&amp;"ENTRADA",Movimientos!$R$2:$R$1993,0)),"-")</f>
        <v>-</v>
      </c>
      <c r="E284" s="2" t="str">
        <f>IFERROR(INDEX(Movimientos!$F$2:$F$1993,MATCH(A284&amp;"ENTRADA",Movimientos!$R$2:$R$1993,0)),"-")</f>
        <v>-</v>
      </c>
      <c r="F284" s="2" t="str">
        <f>IFERROR(INDEX(Movimientos!$G$2:$G$1993,MATCH(A284&amp;"ENTRADA",Movimientos!$R$2:$R$1993,0)),"-")</f>
        <v>-</v>
      </c>
      <c r="G284" s="2" t="str">
        <f>IFERROR(INDEX(Movimientos!$L$2:$L$1993,MATCH(A284&amp;"ENTRADA",Movimientos!$R$2:$R$1993,0)),"-")</f>
        <v>-</v>
      </c>
      <c r="H284" s="17" t="str">
        <f>IFERROR(IF(INDEX(Movimientos!$M$2:$M$1993,MATCH(A284&amp;"ENTRADA",Movimientos!$R$2:$R$1993,0))=0,"S/D",INDEX(Movimientos!$M$2:$M$1993,MATCH(A284&amp;"ENTRADA",Movimientos!$R$2:$R$1993,0))),"S/D")</f>
        <v>S/D</v>
      </c>
      <c r="I284" s="15" t="str">
        <f t="shared" ca="1" si="10"/>
        <v>S/D</v>
      </c>
      <c r="J284" s="5">
        <f>IF(A284="","",SUMIFS(Movimientos!$K:$K,Movimientos!$H:$H,A284))</f>
        <v>0</v>
      </c>
      <c r="K284" s="13" t="str">
        <f t="shared" ca="1" si="9"/>
        <v>SIN STOCK</v>
      </c>
    </row>
    <row r="285" spans="1:11">
      <c r="A285" s="16" t="s">
        <v>2590</v>
      </c>
      <c r="B285" s="2" t="str">
        <f>IFERROR(INDEX(Movimientos!$C$2:$C$1993,MATCH(A285&amp;"ENTRADA",Movimientos!$R$2:$R$1993,0)),"-")</f>
        <v>-</v>
      </c>
      <c r="C285" s="2" t="str">
        <f>IFERROR(INDEX(Movimientos!$D$2:$D$1993,MATCH(A285&amp;"ENTRADA",Movimientos!$R$2:$R$1993,0)),"-")</f>
        <v>-</v>
      </c>
      <c r="D285" s="2" t="str">
        <f>IFERROR(INDEX(Movimientos!$E$2:$E$1993,MATCH(A285&amp;"ENTRADA",Movimientos!$R$2:$R$1993,0)),"-")</f>
        <v>-</v>
      </c>
      <c r="E285" s="2" t="str">
        <f>IFERROR(INDEX(Movimientos!$F$2:$F$1993,MATCH(A285&amp;"ENTRADA",Movimientos!$R$2:$R$1993,0)),"-")</f>
        <v>-</v>
      </c>
      <c r="F285" s="2" t="str">
        <f>IFERROR(INDEX(Movimientos!$G$2:$G$1993,MATCH(A285&amp;"ENTRADA",Movimientos!$R$2:$R$1993,0)),"-")</f>
        <v>-</v>
      </c>
      <c r="G285" s="2" t="str">
        <f>IFERROR(INDEX(Movimientos!$L$2:$L$1993,MATCH(A285&amp;"ENTRADA",Movimientos!$R$2:$R$1993,0)),"-")</f>
        <v>-</v>
      </c>
      <c r="H285" s="17" t="str">
        <f>IFERROR(IF(INDEX(Movimientos!$M$2:$M$1993,MATCH(A285&amp;"ENTRADA",Movimientos!$R$2:$R$1993,0))=0,"S/D",INDEX(Movimientos!$M$2:$M$1993,MATCH(A285&amp;"ENTRADA",Movimientos!$R$2:$R$1993,0))),"S/D")</f>
        <v>S/D</v>
      </c>
      <c r="I285" s="15" t="str">
        <f t="shared" ca="1" si="10"/>
        <v>S/D</v>
      </c>
      <c r="J285" s="5">
        <f>IF(A285="","",SUMIFS(Movimientos!$K:$K,Movimientos!$H:$H,A285))</f>
        <v>0</v>
      </c>
      <c r="K285" s="13" t="str">
        <f t="shared" ca="1" si="9"/>
        <v>SIN STOCK</v>
      </c>
    </row>
    <row r="286" spans="1:11">
      <c r="A286" s="16" t="s">
        <v>2591</v>
      </c>
      <c r="B286" s="2" t="str">
        <f>IFERROR(INDEX(Movimientos!$C$2:$C$1993,MATCH(A286&amp;"ENTRADA",Movimientos!$R$2:$R$1993,0)),"-")</f>
        <v>-</v>
      </c>
      <c r="C286" s="2" t="str">
        <f>IFERROR(INDEX(Movimientos!$D$2:$D$1993,MATCH(A286&amp;"ENTRADA",Movimientos!$R$2:$R$1993,0)),"-")</f>
        <v>-</v>
      </c>
      <c r="D286" s="2" t="str">
        <f>IFERROR(INDEX(Movimientos!$E$2:$E$1993,MATCH(A286&amp;"ENTRADA",Movimientos!$R$2:$R$1993,0)),"-")</f>
        <v>-</v>
      </c>
      <c r="E286" s="2" t="str">
        <f>IFERROR(INDEX(Movimientos!$F$2:$F$1993,MATCH(A286&amp;"ENTRADA",Movimientos!$R$2:$R$1993,0)),"-")</f>
        <v>-</v>
      </c>
      <c r="F286" s="2" t="str">
        <f>IFERROR(INDEX(Movimientos!$G$2:$G$1993,MATCH(A286&amp;"ENTRADA",Movimientos!$R$2:$R$1993,0)),"-")</f>
        <v>-</v>
      </c>
      <c r="G286" s="2" t="str">
        <f>IFERROR(INDEX(Movimientos!$L$2:$L$1993,MATCH(A286&amp;"ENTRADA",Movimientos!$R$2:$R$1993,0)),"-")</f>
        <v>-</v>
      </c>
      <c r="H286" s="17" t="str">
        <f>IFERROR(IF(INDEX(Movimientos!$M$2:$M$1993,MATCH(A286&amp;"ENTRADA",Movimientos!$R$2:$R$1993,0))=0,"S/D",INDEX(Movimientos!$M$2:$M$1993,MATCH(A286&amp;"ENTRADA",Movimientos!$R$2:$R$1993,0))),"S/D")</f>
        <v>S/D</v>
      </c>
      <c r="I286" s="15" t="str">
        <f t="shared" ca="1" si="10"/>
        <v>S/D</v>
      </c>
      <c r="J286" s="5">
        <f>IF(A286="","",SUMIFS(Movimientos!$K:$K,Movimientos!$H:$H,A286))</f>
        <v>0</v>
      </c>
      <c r="K286" s="13" t="str">
        <f t="shared" ca="1" si="9"/>
        <v>SIN STOCK</v>
      </c>
    </row>
    <row r="287" spans="1:11">
      <c r="A287" s="16" t="s">
        <v>2592</v>
      </c>
      <c r="B287" s="2" t="str">
        <f>IFERROR(INDEX(Movimientos!$C$2:$C$1993,MATCH(A287&amp;"ENTRADA",Movimientos!$R$2:$R$1993,0)),"-")</f>
        <v>-</v>
      </c>
      <c r="C287" s="2" t="str">
        <f>IFERROR(INDEX(Movimientos!$D$2:$D$1993,MATCH(A287&amp;"ENTRADA",Movimientos!$R$2:$R$1993,0)),"-")</f>
        <v>-</v>
      </c>
      <c r="D287" s="2" t="str">
        <f>IFERROR(INDEX(Movimientos!$E$2:$E$1993,MATCH(A287&amp;"ENTRADA",Movimientos!$R$2:$R$1993,0)),"-")</f>
        <v>-</v>
      </c>
      <c r="E287" s="2" t="str">
        <f>IFERROR(INDEX(Movimientos!$F$2:$F$1993,MATCH(A287&amp;"ENTRADA",Movimientos!$R$2:$R$1993,0)),"-")</f>
        <v>-</v>
      </c>
      <c r="F287" s="2" t="str">
        <f>IFERROR(INDEX(Movimientos!$G$2:$G$1993,MATCH(A287&amp;"ENTRADA",Movimientos!$R$2:$R$1993,0)),"-")</f>
        <v>-</v>
      </c>
      <c r="G287" s="2" t="str">
        <f>IFERROR(INDEX(Movimientos!$L$2:$L$1993,MATCH(A287&amp;"ENTRADA",Movimientos!$R$2:$R$1993,0)),"-")</f>
        <v>-</v>
      </c>
      <c r="H287" s="17" t="str">
        <f>IFERROR(IF(INDEX(Movimientos!$M$2:$M$1993,MATCH(A287&amp;"ENTRADA",Movimientos!$R$2:$R$1993,0))=0,"S/D",INDEX(Movimientos!$M$2:$M$1993,MATCH(A287&amp;"ENTRADA",Movimientos!$R$2:$R$1993,0))),"S/D")</f>
        <v>S/D</v>
      </c>
      <c r="I287" s="15" t="str">
        <f t="shared" ca="1" si="10"/>
        <v>S/D</v>
      </c>
      <c r="J287" s="5">
        <f>IF(A287="","",SUMIFS(Movimientos!$K:$K,Movimientos!$H:$H,A287))</f>
        <v>0</v>
      </c>
      <c r="K287" s="13" t="str">
        <f t="shared" ca="1" si="9"/>
        <v>SIN STOCK</v>
      </c>
    </row>
    <row r="288" spans="1:11">
      <c r="A288" s="16" t="s">
        <v>2593</v>
      </c>
      <c r="B288" s="2" t="str">
        <f>IFERROR(INDEX(Movimientos!$C$2:$C$1993,MATCH(A288&amp;"ENTRADA",Movimientos!$R$2:$R$1993,0)),"-")</f>
        <v>-</v>
      </c>
      <c r="C288" s="2" t="str">
        <f>IFERROR(INDEX(Movimientos!$D$2:$D$1993,MATCH(A288&amp;"ENTRADA",Movimientos!$R$2:$R$1993,0)),"-")</f>
        <v>-</v>
      </c>
      <c r="D288" s="2" t="str">
        <f>IFERROR(INDEX(Movimientos!$E$2:$E$1993,MATCH(A288&amp;"ENTRADA",Movimientos!$R$2:$R$1993,0)),"-")</f>
        <v>-</v>
      </c>
      <c r="E288" s="2" t="str">
        <f>IFERROR(INDEX(Movimientos!$F$2:$F$1993,MATCH(A288&amp;"ENTRADA",Movimientos!$R$2:$R$1993,0)),"-")</f>
        <v>-</v>
      </c>
      <c r="F288" s="2" t="str">
        <f>IFERROR(INDEX(Movimientos!$G$2:$G$1993,MATCH(A288&amp;"ENTRADA",Movimientos!$R$2:$R$1993,0)),"-")</f>
        <v>-</v>
      </c>
      <c r="G288" s="2" t="str">
        <f>IFERROR(INDEX(Movimientos!$L$2:$L$1993,MATCH(A288&amp;"ENTRADA",Movimientos!$R$2:$R$1993,0)),"-")</f>
        <v>-</v>
      </c>
      <c r="H288" s="17" t="str">
        <f>IFERROR(IF(INDEX(Movimientos!$M$2:$M$1993,MATCH(A288&amp;"ENTRADA",Movimientos!$R$2:$R$1993,0))=0,"S/D",INDEX(Movimientos!$M$2:$M$1993,MATCH(A288&amp;"ENTRADA",Movimientos!$R$2:$R$1993,0))),"S/D")</f>
        <v>S/D</v>
      </c>
      <c r="I288" s="15" t="str">
        <f t="shared" ca="1" si="10"/>
        <v>S/D</v>
      </c>
      <c r="J288" s="5">
        <f>IF(A288="","",SUMIFS(Movimientos!$K:$K,Movimientos!$H:$H,A288))</f>
        <v>0</v>
      </c>
      <c r="K288" s="13" t="str">
        <f t="shared" ca="1" si="9"/>
        <v>SIN STOCK</v>
      </c>
    </row>
    <row r="289" spans="1:11">
      <c r="A289" s="16" t="s">
        <v>2594</v>
      </c>
      <c r="B289" s="2" t="str">
        <f>IFERROR(INDEX(Movimientos!$C$2:$C$1993,MATCH(A289&amp;"ENTRADA",Movimientos!$R$2:$R$1993,0)),"-")</f>
        <v>-</v>
      </c>
      <c r="C289" s="2" t="str">
        <f>IFERROR(INDEX(Movimientos!$D$2:$D$1993,MATCH(A289&amp;"ENTRADA",Movimientos!$R$2:$R$1993,0)),"-")</f>
        <v>-</v>
      </c>
      <c r="D289" s="2" t="str">
        <f>IFERROR(INDEX(Movimientos!$E$2:$E$1993,MATCH(A289&amp;"ENTRADA",Movimientos!$R$2:$R$1993,0)),"-")</f>
        <v>-</v>
      </c>
      <c r="E289" s="2" t="str">
        <f>IFERROR(INDEX(Movimientos!$F$2:$F$1993,MATCH(A289&amp;"ENTRADA",Movimientos!$R$2:$R$1993,0)),"-")</f>
        <v>-</v>
      </c>
      <c r="F289" s="2" t="str">
        <f>IFERROR(INDEX(Movimientos!$G$2:$G$1993,MATCH(A289&amp;"ENTRADA",Movimientos!$R$2:$R$1993,0)),"-")</f>
        <v>-</v>
      </c>
      <c r="G289" s="2" t="str">
        <f>IFERROR(INDEX(Movimientos!$L$2:$L$1993,MATCH(A289&amp;"ENTRADA",Movimientos!$R$2:$R$1993,0)),"-")</f>
        <v>-</v>
      </c>
      <c r="H289" s="17" t="str">
        <f>IFERROR(IF(INDEX(Movimientos!$M$2:$M$1993,MATCH(A289&amp;"ENTRADA",Movimientos!$R$2:$R$1993,0))=0,"S/D",INDEX(Movimientos!$M$2:$M$1993,MATCH(A289&amp;"ENTRADA",Movimientos!$R$2:$R$1993,0))),"S/D")</f>
        <v>S/D</v>
      </c>
      <c r="I289" s="15" t="str">
        <f t="shared" ca="1" si="10"/>
        <v>S/D</v>
      </c>
      <c r="J289" s="5">
        <f>IF(A289="","",SUMIFS(Movimientos!$K:$K,Movimientos!$H:$H,A289))</f>
        <v>0</v>
      </c>
      <c r="K289" s="13" t="str">
        <f t="shared" ca="1" si="9"/>
        <v>SIN STOCK</v>
      </c>
    </row>
    <row r="290" spans="1:11">
      <c r="A290" s="16" t="s">
        <v>2595</v>
      </c>
      <c r="B290" s="2" t="str">
        <f>IFERROR(INDEX(Movimientos!$C$2:$C$1993,MATCH(A290&amp;"ENTRADA",Movimientos!$R$2:$R$1993,0)),"-")</f>
        <v>-</v>
      </c>
      <c r="C290" s="2" t="str">
        <f>IFERROR(INDEX(Movimientos!$D$2:$D$1993,MATCH(A290&amp;"ENTRADA",Movimientos!$R$2:$R$1993,0)),"-")</f>
        <v>-</v>
      </c>
      <c r="D290" s="2" t="str">
        <f>IFERROR(INDEX(Movimientos!$E$2:$E$1993,MATCH(A290&amp;"ENTRADA",Movimientos!$R$2:$R$1993,0)),"-")</f>
        <v>-</v>
      </c>
      <c r="E290" s="2" t="str">
        <f>IFERROR(INDEX(Movimientos!$F$2:$F$1993,MATCH(A290&amp;"ENTRADA",Movimientos!$R$2:$R$1993,0)),"-")</f>
        <v>-</v>
      </c>
      <c r="F290" s="2" t="str">
        <f>IFERROR(INDEX(Movimientos!$G$2:$G$1993,MATCH(A290&amp;"ENTRADA",Movimientos!$R$2:$R$1993,0)),"-")</f>
        <v>-</v>
      </c>
      <c r="G290" s="2" t="str">
        <f>IFERROR(INDEX(Movimientos!$L$2:$L$1993,MATCH(A290&amp;"ENTRADA",Movimientos!$R$2:$R$1993,0)),"-")</f>
        <v>-</v>
      </c>
      <c r="H290" s="17" t="str">
        <f>IFERROR(IF(INDEX(Movimientos!$M$2:$M$1993,MATCH(A290&amp;"ENTRADA",Movimientos!$R$2:$R$1993,0))=0,"S/D",INDEX(Movimientos!$M$2:$M$1993,MATCH(A290&amp;"ENTRADA",Movimientos!$R$2:$R$1993,0))),"S/D")</f>
        <v>S/D</v>
      </c>
      <c r="I290" s="15" t="str">
        <f t="shared" ca="1" si="10"/>
        <v>S/D</v>
      </c>
      <c r="J290" s="5">
        <f>IF(A290="","",SUMIFS(Movimientos!$K:$K,Movimientos!$H:$H,A290))</f>
        <v>0</v>
      </c>
      <c r="K290" s="13" t="str">
        <f t="shared" ca="1" si="9"/>
        <v>SIN STOCK</v>
      </c>
    </row>
    <row r="291" spans="1:11">
      <c r="A291" s="16" t="s">
        <v>2596</v>
      </c>
      <c r="B291" s="2" t="str">
        <f>IFERROR(INDEX(Movimientos!$C$2:$C$1993,MATCH(A291&amp;"ENTRADA",Movimientos!$R$2:$R$1993,0)),"-")</f>
        <v>-</v>
      </c>
      <c r="C291" s="2" t="str">
        <f>IFERROR(INDEX(Movimientos!$D$2:$D$1993,MATCH(A291&amp;"ENTRADA",Movimientos!$R$2:$R$1993,0)),"-")</f>
        <v>-</v>
      </c>
      <c r="D291" s="2" t="str">
        <f>IFERROR(INDEX(Movimientos!$E$2:$E$1993,MATCH(A291&amp;"ENTRADA",Movimientos!$R$2:$R$1993,0)),"-")</f>
        <v>-</v>
      </c>
      <c r="E291" s="2" t="str">
        <f>IFERROR(INDEX(Movimientos!$F$2:$F$1993,MATCH(A291&amp;"ENTRADA",Movimientos!$R$2:$R$1993,0)),"-")</f>
        <v>-</v>
      </c>
      <c r="F291" s="2" t="str">
        <f>IFERROR(INDEX(Movimientos!$G$2:$G$1993,MATCH(A291&amp;"ENTRADA",Movimientos!$R$2:$R$1993,0)),"-")</f>
        <v>-</v>
      </c>
      <c r="G291" s="2" t="str">
        <f>IFERROR(INDEX(Movimientos!$L$2:$L$1993,MATCH(A291&amp;"ENTRADA",Movimientos!$R$2:$R$1993,0)),"-")</f>
        <v>-</v>
      </c>
      <c r="H291" s="17" t="str">
        <f>IFERROR(IF(INDEX(Movimientos!$M$2:$M$1993,MATCH(A291&amp;"ENTRADA",Movimientos!$R$2:$R$1993,0))=0,"S/D",INDEX(Movimientos!$M$2:$M$1993,MATCH(A291&amp;"ENTRADA",Movimientos!$R$2:$R$1993,0))),"S/D")</f>
        <v>S/D</v>
      </c>
      <c r="I291" s="15" t="str">
        <f t="shared" ca="1" si="10"/>
        <v>S/D</v>
      </c>
      <c r="J291" s="5">
        <f>IF(A291="","",SUMIFS(Movimientos!$K:$K,Movimientos!$H:$H,A291))</f>
        <v>0</v>
      </c>
      <c r="K291" s="13" t="str">
        <f t="shared" ca="1" si="9"/>
        <v>SIN STOCK</v>
      </c>
    </row>
    <row r="292" spans="1:11">
      <c r="A292" s="16" t="s">
        <v>2597</v>
      </c>
      <c r="B292" s="2" t="str">
        <f>IFERROR(INDEX(Movimientos!$C$2:$C$1993,MATCH(A292&amp;"ENTRADA",Movimientos!$R$2:$R$1993,0)),"-")</f>
        <v>-</v>
      </c>
      <c r="C292" s="2" t="str">
        <f>IFERROR(INDEX(Movimientos!$D$2:$D$1993,MATCH(A292&amp;"ENTRADA",Movimientos!$R$2:$R$1993,0)),"-")</f>
        <v>-</v>
      </c>
      <c r="D292" s="2" t="str">
        <f>IFERROR(INDEX(Movimientos!$E$2:$E$1993,MATCH(A292&amp;"ENTRADA",Movimientos!$R$2:$R$1993,0)),"-")</f>
        <v>-</v>
      </c>
      <c r="E292" s="2" t="str">
        <f>IFERROR(INDEX(Movimientos!$F$2:$F$1993,MATCH(A292&amp;"ENTRADA",Movimientos!$R$2:$R$1993,0)),"-")</f>
        <v>-</v>
      </c>
      <c r="F292" s="2" t="str">
        <f>IFERROR(INDEX(Movimientos!$G$2:$G$1993,MATCH(A292&amp;"ENTRADA",Movimientos!$R$2:$R$1993,0)),"-")</f>
        <v>-</v>
      </c>
      <c r="G292" s="2" t="str">
        <f>IFERROR(INDEX(Movimientos!$L$2:$L$1993,MATCH(A292&amp;"ENTRADA",Movimientos!$R$2:$R$1993,0)),"-")</f>
        <v>-</v>
      </c>
      <c r="H292" s="17" t="str">
        <f>IFERROR(IF(INDEX(Movimientos!$M$2:$M$1993,MATCH(A292&amp;"ENTRADA",Movimientos!$R$2:$R$1993,0))=0,"S/D",INDEX(Movimientos!$M$2:$M$1993,MATCH(A292&amp;"ENTRADA",Movimientos!$R$2:$R$1993,0))),"S/D")</f>
        <v>S/D</v>
      </c>
      <c r="I292" s="15" t="str">
        <f t="shared" ca="1" si="10"/>
        <v>S/D</v>
      </c>
      <c r="J292" s="5">
        <f>IF(A292="","",SUMIFS(Movimientos!$K:$K,Movimientos!$H:$H,A292))</f>
        <v>0</v>
      </c>
      <c r="K292" s="13" t="str">
        <f t="shared" ca="1" si="9"/>
        <v>SIN STOCK</v>
      </c>
    </row>
    <row r="293" spans="1:11">
      <c r="A293" s="16" t="s">
        <v>2598</v>
      </c>
      <c r="B293" s="2" t="str">
        <f>IFERROR(INDEX(Movimientos!$C$2:$C$1993,MATCH(A293&amp;"ENTRADA",Movimientos!$R$2:$R$1993,0)),"-")</f>
        <v>-</v>
      </c>
      <c r="C293" s="2" t="str">
        <f>IFERROR(INDEX(Movimientos!$D$2:$D$1993,MATCH(A293&amp;"ENTRADA",Movimientos!$R$2:$R$1993,0)),"-")</f>
        <v>-</v>
      </c>
      <c r="D293" s="2" t="str">
        <f>IFERROR(INDEX(Movimientos!$E$2:$E$1993,MATCH(A293&amp;"ENTRADA",Movimientos!$R$2:$R$1993,0)),"-")</f>
        <v>-</v>
      </c>
      <c r="E293" s="2" t="str">
        <f>IFERROR(INDEX(Movimientos!$F$2:$F$1993,MATCH(A293&amp;"ENTRADA",Movimientos!$R$2:$R$1993,0)),"-")</f>
        <v>-</v>
      </c>
      <c r="F293" s="2" t="str">
        <f>IFERROR(INDEX(Movimientos!$G$2:$G$1993,MATCH(A293&amp;"ENTRADA",Movimientos!$R$2:$R$1993,0)),"-")</f>
        <v>-</v>
      </c>
      <c r="G293" s="2" t="str">
        <f>IFERROR(INDEX(Movimientos!$L$2:$L$1993,MATCH(A293&amp;"ENTRADA",Movimientos!$R$2:$R$1993,0)),"-")</f>
        <v>-</v>
      </c>
      <c r="H293" s="17" t="str">
        <f>IFERROR(IF(INDEX(Movimientos!$M$2:$M$1993,MATCH(A293&amp;"ENTRADA",Movimientos!$R$2:$R$1993,0))=0,"S/D",INDEX(Movimientos!$M$2:$M$1993,MATCH(A293&amp;"ENTRADA",Movimientos!$R$2:$R$1993,0))),"S/D")</f>
        <v>S/D</v>
      </c>
      <c r="I293" s="15" t="str">
        <f t="shared" ca="1" si="10"/>
        <v>S/D</v>
      </c>
      <c r="J293" s="5">
        <f>IF(A293="","",SUMIFS(Movimientos!$K:$K,Movimientos!$H:$H,A293))</f>
        <v>0</v>
      </c>
      <c r="K293" s="13" t="str">
        <f t="shared" ca="1" si="9"/>
        <v>SIN STOCK</v>
      </c>
    </row>
    <row r="294" spans="1:11">
      <c r="A294" s="16" t="s">
        <v>2599</v>
      </c>
      <c r="B294" s="2" t="str">
        <f>IFERROR(INDEX(Movimientos!$C$2:$C$1993,MATCH(A294&amp;"ENTRADA",Movimientos!$R$2:$R$1993,0)),"-")</f>
        <v>-</v>
      </c>
      <c r="C294" s="2" t="str">
        <f>IFERROR(INDEX(Movimientos!$D$2:$D$1993,MATCH(A294&amp;"ENTRADA",Movimientos!$R$2:$R$1993,0)),"-")</f>
        <v>-</v>
      </c>
      <c r="D294" s="2" t="str">
        <f>IFERROR(INDEX(Movimientos!$E$2:$E$1993,MATCH(A294&amp;"ENTRADA",Movimientos!$R$2:$R$1993,0)),"-")</f>
        <v>-</v>
      </c>
      <c r="E294" s="2" t="str">
        <f>IFERROR(INDEX(Movimientos!$F$2:$F$1993,MATCH(A294&amp;"ENTRADA",Movimientos!$R$2:$R$1993,0)),"-")</f>
        <v>-</v>
      </c>
      <c r="F294" s="2" t="str">
        <f>IFERROR(INDEX(Movimientos!$G$2:$G$1993,MATCH(A294&amp;"ENTRADA",Movimientos!$R$2:$R$1993,0)),"-")</f>
        <v>-</v>
      </c>
      <c r="G294" s="2" t="str">
        <f>IFERROR(INDEX(Movimientos!$L$2:$L$1993,MATCH(A294&amp;"ENTRADA",Movimientos!$R$2:$R$1993,0)),"-")</f>
        <v>-</v>
      </c>
      <c r="H294" s="17" t="str">
        <f>IFERROR(IF(INDEX(Movimientos!$M$2:$M$1993,MATCH(A294&amp;"ENTRADA",Movimientos!$R$2:$R$1993,0))=0,"S/D",INDEX(Movimientos!$M$2:$M$1993,MATCH(A294&amp;"ENTRADA",Movimientos!$R$2:$R$1993,0))),"S/D")</f>
        <v>S/D</v>
      </c>
      <c r="I294" s="15" t="str">
        <f t="shared" ca="1" si="10"/>
        <v>S/D</v>
      </c>
      <c r="J294" s="5">
        <f>IF(A294="","",SUMIFS(Movimientos!$K:$K,Movimientos!$H:$H,A294))</f>
        <v>0</v>
      </c>
      <c r="K294" s="13" t="str">
        <f t="shared" ca="1" si="9"/>
        <v>SIN STOCK</v>
      </c>
    </row>
    <row r="295" spans="1:11">
      <c r="A295" s="16" t="s">
        <v>2600</v>
      </c>
      <c r="B295" s="2" t="str">
        <f>IFERROR(INDEX(Movimientos!$C$2:$C$1993,MATCH(A295&amp;"ENTRADA",Movimientos!$R$2:$R$1993,0)),"-")</f>
        <v>-</v>
      </c>
      <c r="C295" s="2" t="str">
        <f>IFERROR(INDEX(Movimientos!$D$2:$D$1993,MATCH(A295&amp;"ENTRADA",Movimientos!$R$2:$R$1993,0)),"-")</f>
        <v>-</v>
      </c>
      <c r="D295" s="2" t="str">
        <f>IFERROR(INDEX(Movimientos!$E$2:$E$1993,MATCH(A295&amp;"ENTRADA",Movimientos!$R$2:$R$1993,0)),"-")</f>
        <v>-</v>
      </c>
      <c r="E295" s="2" t="str">
        <f>IFERROR(INDEX(Movimientos!$F$2:$F$1993,MATCH(A295&amp;"ENTRADA",Movimientos!$R$2:$R$1993,0)),"-")</f>
        <v>-</v>
      </c>
      <c r="F295" s="2" t="str">
        <f>IFERROR(INDEX(Movimientos!$G$2:$G$1993,MATCH(A295&amp;"ENTRADA",Movimientos!$R$2:$R$1993,0)),"-")</f>
        <v>-</v>
      </c>
      <c r="G295" s="2" t="str">
        <f>IFERROR(INDEX(Movimientos!$L$2:$L$1993,MATCH(A295&amp;"ENTRADA",Movimientos!$R$2:$R$1993,0)),"-")</f>
        <v>-</v>
      </c>
      <c r="H295" s="17" t="str">
        <f>IFERROR(IF(INDEX(Movimientos!$M$2:$M$1993,MATCH(A295&amp;"ENTRADA",Movimientos!$R$2:$R$1993,0))=0,"S/D",INDEX(Movimientos!$M$2:$M$1993,MATCH(A295&amp;"ENTRADA",Movimientos!$R$2:$R$1993,0))),"S/D")</f>
        <v>S/D</v>
      </c>
      <c r="I295" s="15" t="str">
        <f t="shared" ca="1" si="10"/>
        <v>S/D</v>
      </c>
      <c r="J295" s="5">
        <f>IF(A295="","",SUMIFS(Movimientos!$K:$K,Movimientos!$H:$H,A295))</f>
        <v>0</v>
      </c>
      <c r="K295" s="13" t="str">
        <f t="shared" ca="1" si="9"/>
        <v>SIN STOCK</v>
      </c>
    </row>
    <row r="296" spans="1:11">
      <c r="A296" s="16" t="s">
        <v>2601</v>
      </c>
      <c r="B296" s="2" t="str">
        <f>IFERROR(INDEX(Movimientos!$C$2:$C$1993,MATCH(A296&amp;"ENTRADA",Movimientos!$R$2:$R$1993,0)),"-")</f>
        <v>-</v>
      </c>
      <c r="C296" s="2" t="str">
        <f>IFERROR(INDEX(Movimientos!$D$2:$D$1993,MATCH(A296&amp;"ENTRADA",Movimientos!$R$2:$R$1993,0)),"-")</f>
        <v>-</v>
      </c>
      <c r="D296" s="2" t="str">
        <f>IFERROR(INDEX(Movimientos!$E$2:$E$1993,MATCH(A296&amp;"ENTRADA",Movimientos!$R$2:$R$1993,0)),"-")</f>
        <v>-</v>
      </c>
      <c r="E296" s="2" t="str">
        <f>IFERROR(INDEX(Movimientos!$F$2:$F$1993,MATCH(A296&amp;"ENTRADA",Movimientos!$R$2:$R$1993,0)),"-")</f>
        <v>-</v>
      </c>
      <c r="F296" s="2" t="str">
        <f>IFERROR(INDEX(Movimientos!$G$2:$G$1993,MATCH(A296&amp;"ENTRADA",Movimientos!$R$2:$R$1993,0)),"-")</f>
        <v>-</v>
      </c>
      <c r="G296" s="2" t="str">
        <f>IFERROR(INDEX(Movimientos!$L$2:$L$1993,MATCH(A296&amp;"ENTRADA",Movimientos!$R$2:$R$1993,0)),"-")</f>
        <v>-</v>
      </c>
      <c r="H296" s="17" t="str">
        <f>IFERROR(IF(INDEX(Movimientos!$M$2:$M$1993,MATCH(A296&amp;"ENTRADA",Movimientos!$R$2:$R$1993,0))=0,"S/D",INDEX(Movimientos!$M$2:$M$1993,MATCH(A296&amp;"ENTRADA",Movimientos!$R$2:$R$1993,0))),"S/D")</f>
        <v>S/D</v>
      </c>
      <c r="I296" s="15" t="str">
        <f t="shared" ca="1" si="10"/>
        <v>S/D</v>
      </c>
      <c r="J296" s="5">
        <f>IF(A296="","",SUMIFS(Movimientos!$K:$K,Movimientos!$H:$H,A296))</f>
        <v>0</v>
      </c>
      <c r="K296" s="13" t="str">
        <f t="shared" ca="1" si="9"/>
        <v>SIN STOCK</v>
      </c>
    </row>
    <row r="297" spans="1:11">
      <c r="A297" s="16" t="s">
        <v>2602</v>
      </c>
      <c r="B297" s="2" t="str">
        <f>IFERROR(INDEX(Movimientos!$C$2:$C$1993,MATCH(A297&amp;"ENTRADA",Movimientos!$R$2:$R$1993,0)),"-")</f>
        <v>-</v>
      </c>
      <c r="C297" s="2" t="str">
        <f>IFERROR(INDEX(Movimientos!$D$2:$D$1993,MATCH(A297&amp;"ENTRADA",Movimientos!$R$2:$R$1993,0)),"-")</f>
        <v>-</v>
      </c>
      <c r="D297" s="2" t="str">
        <f>IFERROR(INDEX(Movimientos!$E$2:$E$1993,MATCH(A297&amp;"ENTRADA",Movimientos!$R$2:$R$1993,0)),"-")</f>
        <v>-</v>
      </c>
      <c r="E297" s="2" t="str">
        <f>IFERROR(INDEX(Movimientos!$F$2:$F$1993,MATCH(A297&amp;"ENTRADA",Movimientos!$R$2:$R$1993,0)),"-")</f>
        <v>-</v>
      </c>
      <c r="F297" s="2" t="str">
        <f>IFERROR(INDEX(Movimientos!$G$2:$G$1993,MATCH(A297&amp;"ENTRADA",Movimientos!$R$2:$R$1993,0)),"-")</f>
        <v>-</v>
      </c>
      <c r="G297" s="2" t="str">
        <f>IFERROR(INDEX(Movimientos!$L$2:$L$1993,MATCH(A297&amp;"ENTRADA",Movimientos!$R$2:$R$1993,0)),"-")</f>
        <v>-</v>
      </c>
      <c r="H297" s="17" t="str">
        <f>IFERROR(IF(INDEX(Movimientos!$M$2:$M$1993,MATCH(A297&amp;"ENTRADA",Movimientos!$R$2:$R$1993,0))=0,"S/D",INDEX(Movimientos!$M$2:$M$1993,MATCH(A297&amp;"ENTRADA",Movimientos!$R$2:$R$1993,0))),"S/D")</f>
        <v>S/D</v>
      </c>
      <c r="I297" s="15" t="str">
        <f t="shared" ca="1" si="10"/>
        <v>S/D</v>
      </c>
      <c r="J297" s="5">
        <f>IF(A297="","",SUMIFS(Movimientos!$K:$K,Movimientos!$H:$H,A297))</f>
        <v>0</v>
      </c>
      <c r="K297" s="13" t="str">
        <f t="shared" ca="1" si="9"/>
        <v>SIN STOCK</v>
      </c>
    </row>
    <row r="298" spans="1:11">
      <c r="A298" s="16" t="s">
        <v>2603</v>
      </c>
      <c r="B298" s="2" t="str">
        <f>IFERROR(INDEX(Movimientos!$C$2:$C$1993,MATCH(A298&amp;"ENTRADA",Movimientos!$R$2:$R$1993,0)),"-")</f>
        <v>-</v>
      </c>
      <c r="C298" s="2" t="str">
        <f>IFERROR(INDEX(Movimientos!$D$2:$D$1993,MATCH(A298&amp;"ENTRADA",Movimientos!$R$2:$R$1993,0)),"-")</f>
        <v>-</v>
      </c>
      <c r="D298" s="2" t="str">
        <f>IFERROR(INDEX(Movimientos!$E$2:$E$1993,MATCH(A298&amp;"ENTRADA",Movimientos!$R$2:$R$1993,0)),"-")</f>
        <v>-</v>
      </c>
      <c r="E298" s="2" t="str">
        <f>IFERROR(INDEX(Movimientos!$F$2:$F$1993,MATCH(A298&amp;"ENTRADA",Movimientos!$R$2:$R$1993,0)),"-")</f>
        <v>-</v>
      </c>
      <c r="F298" s="2" t="str">
        <f>IFERROR(INDEX(Movimientos!$G$2:$G$1993,MATCH(A298&amp;"ENTRADA",Movimientos!$R$2:$R$1993,0)),"-")</f>
        <v>-</v>
      </c>
      <c r="G298" s="2" t="str">
        <f>IFERROR(INDEX(Movimientos!$L$2:$L$1993,MATCH(A298&amp;"ENTRADA",Movimientos!$R$2:$R$1993,0)),"-")</f>
        <v>-</v>
      </c>
      <c r="H298" s="17" t="str">
        <f>IFERROR(IF(INDEX(Movimientos!$M$2:$M$1993,MATCH(A298&amp;"ENTRADA",Movimientos!$R$2:$R$1993,0))=0,"S/D",INDEX(Movimientos!$M$2:$M$1993,MATCH(A298&amp;"ENTRADA",Movimientos!$R$2:$R$1993,0))),"S/D")</f>
        <v>S/D</v>
      </c>
      <c r="I298" s="15" t="str">
        <f t="shared" ca="1" si="10"/>
        <v>S/D</v>
      </c>
      <c r="J298" s="5">
        <f>IF(A298="","",SUMIFS(Movimientos!$K:$K,Movimientos!$H:$H,A298))</f>
        <v>0</v>
      </c>
      <c r="K298" s="13" t="str">
        <f t="shared" ca="1" si="9"/>
        <v>SIN STOCK</v>
      </c>
    </row>
    <row r="299" spans="1:11">
      <c r="A299" s="16" t="s">
        <v>2604</v>
      </c>
      <c r="B299" s="2" t="str">
        <f>IFERROR(INDEX(Movimientos!$C$2:$C$1993,MATCH(A299&amp;"ENTRADA",Movimientos!$R$2:$R$1993,0)),"-")</f>
        <v>-</v>
      </c>
      <c r="C299" s="2" t="str">
        <f>IFERROR(INDEX(Movimientos!$D$2:$D$1993,MATCH(A299&amp;"ENTRADA",Movimientos!$R$2:$R$1993,0)),"-")</f>
        <v>-</v>
      </c>
      <c r="D299" s="2" t="str">
        <f>IFERROR(INDEX(Movimientos!$E$2:$E$1993,MATCH(A299&amp;"ENTRADA",Movimientos!$R$2:$R$1993,0)),"-")</f>
        <v>-</v>
      </c>
      <c r="E299" s="2" t="str">
        <f>IFERROR(INDEX(Movimientos!$F$2:$F$1993,MATCH(A299&amp;"ENTRADA",Movimientos!$R$2:$R$1993,0)),"-")</f>
        <v>-</v>
      </c>
      <c r="F299" s="2" t="str">
        <f>IFERROR(INDEX(Movimientos!$G$2:$G$1993,MATCH(A299&amp;"ENTRADA",Movimientos!$R$2:$R$1993,0)),"-")</f>
        <v>-</v>
      </c>
      <c r="G299" s="2" t="str">
        <f>IFERROR(INDEX(Movimientos!$L$2:$L$1993,MATCH(A299&amp;"ENTRADA",Movimientos!$R$2:$R$1993,0)),"-")</f>
        <v>-</v>
      </c>
      <c r="H299" s="17" t="str">
        <f>IFERROR(IF(INDEX(Movimientos!$M$2:$M$1993,MATCH(A299&amp;"ENTRADA",Movimientos!$R$2:$R$1993,0))=0,"S/D",INDEX(Movimientos!$M$2:$M$1993,MATCH(A299&amp;"ENTRADA",Movimientos!$R$2:$R$1993,0))),"S/D")</f>
        <v>S/D</v>
      </c>
      <c r="I299" s="15" t="str">
        <f t="shared" ca="1" si="10"/>
        <v>S/D</v>
      </c>
      <c r="J299" s="5">
        <f>IF(A299="","",SUMIFS(Movimientos!$K:$K,Movimientos!$H:$H,A299))</f>
        <v>0</v>
      </c>
      <c r="K299" s="13" t="str">
        <f t="shared" ca="1" si="9"/>
        <v>SIN STOCK</v>
      </c>
    </row>
    <row r="300" spans="1:11">
      <c r="A300" s="16" t="s">
        <v>2605</v>
      </c>
      <c r="B300" s="2" t="str">
        <f>IFERROR(INDEX(Movimientos!$C$2:$C$1993,MATCH(A300&amp;"ENTRADA",Movimientos!$R$2:$R$1993,0)),"-")</f>
        <v>-</v>
      </c>
      <c r="C300" s="2" t="str">
        <f>IFERROR(INDEX(Movimientos!$D$2:$D$1993,MATCH(A300&amp;"ENTRADA",Movimientos!$R$2:$R$1993,0)),"-")</f>
        <v>-</v>
      </c>
      <c r="D300" s="2" t="str">
        <f>IFERROR(INDEX(Movimientos!$E$2:$E$1993,MATCH(A300&amp;"ENTRADA",Movimientos!$R$2:$R$1993,0)),"-")</f>
        <v>-</v>
      </c>
      <c r="E300" s="2" t="str">
        <f>IFERROR(INDEX(Movimientos!$F$2:$F$1993,MATCH(A300&amp;"ENTRADA",Movimientos!$R$2:$R$1993,0)),"-")</f>
        <v>-</v>
      </c>
      <c r="F300" s="2" t="str">
        <f>IFERROR(INDEX(Movimientos!$G$2:$G$1993,MATCH(A300&amp;"ENTRADA",Movimientos!$R$2:$R$1993,0)),"-")</f>
        <v>-</v>
      </c>
      <c r="G300" s="2" t="str">
        <f>IFERROR(INDEX(Movimientos!$L$2:$L$1993,MATCH(A300&amp;"ENTRADA",Movimientos!$R$2:$R$1993,0)),"-")</f>
        <v>-</v>
      </c>
      <c r="H300" s="17" t="str">
        <f>IFERROR(IF(INDEX(Movimientos!$M$2:$M$1993,MATCH(A300&amp;"ENTRADA",Movimientos!$R$2:$R$1993,0))=0,"S/D",INDEX(Movimientos!$M$2:$M$1993,MATCH(A300&amp;"ENTRADA",Movimientos!$R$2:$R$1993,0))),"S/D")</f>
        <v>S/D</v>
      </c>
      <c r="I300" s="15" t="str">
        <f t="shared" ca="1" si="10"/>
        <v>S/D</v>
      </c>
      <c r="J300" s="5">
        <f>IF(A300="","",SUMIFS(Movimientos!$K:$K,Movimientos!$H:$H,A300))</f>
        <v>0</v>
      </c>
      <c r="K300" s="13" t="str">
        <f t="shared" ca="1" si="9"/>
        <v>SIN STOCK</v>
      </c>
    </row>
    <row r="301" spans="1:11">
      <c r="A301" s="16" t="s">
        <v>2606</v>
      </c>
      <c r="B301" s="2" t="str">
        <f>IFERROR(INDEX(Movimientos!$C$2:$C$1993,MATCH(A301&amp;"ENTRADA",Movimientos!$R$2:$R$1993,0)),"-")</f>
        <v>-</v>
      </c>
      <c r="C301" s="2" t="str">
        <f>IFERROR(INDEX(Movimientos!$D$2:$D$1993,MATCH(A301&amp;"ENTRADA",Movimientos!$R$2:$R$1993,0)),"-")</f>
        <v>-</v>
      </c>
      <c r="D301" s="2" t="str">
        <f>IFERROR(INDEX(Movimientos!$E$2:$E$1993,MATCH(A301&amp;"ENTRADA",Movimientos!$R$2:$R$1993,0)),"-")</f>
        <v>-</v>
      </c>
      <c r="E301" s="2" t="str">
        <f>IFERROR(INDEX(Movimientos!$F$2:$F$1993,MATCH(A301&amp;"ENTRADA",Movimientos!$R$2:$R$1993,0)),"-")</f>
        <v>-</v>
      </c>
      <c r="F301" s="2" t="str">
        <f>IFERROR(INDEX(Movimientos!$G$2:$G$1993,MATCH(A301&amp;"ENTRADA",Movimientos!$R$2:$R$1993,0)),"-")</f>
        <v>-</v>
      </c>
      <c r="G301" s="2" t="str">
        <f>IFERROR(INDEX(Movimientos!$L$2:$L$1993,MATCH(A301&amp;"ENTRADA",Movimientos!$R$2:$R$1993,0)),"-")</f>
        <v>-</v>
      </c>
      <c r="H301" s="17" t="str">
        <f>IFERROR(IF(INDEX(Movimientos!$M$2:$M$1993,MATCH(A301&amp;"ENTRADA",Movimientos!$R$2:$R$1993,0))=0,"S/D",INDEX(Movimientos!$M$2:$M$1993,MATCH(A301&amp;"ENTRADA",Movimientos!$R$2:$R$1993,0))),"S/D")</f>
        <v>S/D</v>
      </c>
      <c r="I301" s="15" t="str">
        <f t="shared" ca="1" si="10"/>
        <v>S/D</v>
      </c>
      <c r="J301" s="5">
        <f>IF(A301="","",SUMIFS(Movimientos!$K:$K,Movimientos!$H:$H,A301))</f>
        <v>0</v>
      </c>
      <c r="K301" s="13" t="str">
        <f t="shared" ca="1" si="9"/>
        <v>SIN STOCK</v>
      </c>
    </row>
    <row r="302" spans="1:11">
      <c r="A302" s="16" t="s">
        <v>2607</v>
      </c>
      <c r="B302" s="2" t="str">
        <f>IFERROR(INDEX(Movimientos!$C$2:$C$1993,MATCH(A302&amp;"ENTRADA",Movimientos!$R$2:$R$1993,0)),"-")</f>
        <v>-</v>
      </c>
      <c r="C302" s="2" t="str">
        <f>IFERROR(INDEX(Movimientos!$D$2:$D$1993,MATCH(A302&amp;"ENTRADA",Movimientos!$R$2:$R$1993,0)),"-")</f>
        <v>-</v>
      </c>
      <c r="D302" s="2" t="str">
        <f>IFERROR(INDEX(Movimientos!$E$2:$E$1993,MATCH(A302&amp;"ENTRADA",Movimientos!$R$2:$R$1993,0)),"-")</f>
        <v>-</v>
      </c>
      <c r="E302" s="2" t="str">
        <f>IFERROR(INDEX(Movimientos!$F$2:$F$1993,MATCH(A302&amp;"ENTRADA",Movimientos!$R$2:$R$1993,0)),"-")</f>
        <v>-</v>
      </c>
      <c r="F302" s="2" t="str">
        <f>IFERROR(INDEX(Movimientos!$G$2:$G$1993,MATCH(A302&amp;"ENTRADA",Movimientos!$R$2:$R$1993,0)),"-")</f>
        <v>-</v>
      </c>
      <c r="G302" s="2" t="str">
        <f>IFERROR(INDEX(Movimientos!$L$2:$L$1993,MATCH(A302&amp;"ENTRADA",Movimientos!$R$2:$R$1993,0)),"-")</f>
        <v>-</v>
      </c>
      <c r="H302" s="17" t="str">
        <f>IFERROR(IF(INDEX(Movimientos!$M$2:$M$1993,MATCH(A302&amp;"ENTRADA",Movimientos!$R$2:$R$1993,0))=0,"S/D",INDEX(Movimientos!$M$2:$M$1993,MATCH(A302&amp;"ENTRADA",Movimientos!$R$2:$R$1993,0))),"S/D")</f>
        <v>S/D</v>
      </c>
      <c r="I302" s="15" t="str">
        <f t="shared" ca="1" si="10"/>
        <v>S/D</v>
      </c>
      <c r="J302" s="5">
        <f>IF(A302="","",SUMIFS(Movimientos!$K:$K,Movimientos!$H:$H,A302))</f>
        <v>0</v>
      </c>
      <c r="K302" s="13" t="str">
        <f t="shared" ca="1" si="9"/>
        <v>SIN STOCK</v>
      </c>
    </row>
    <row r="303" spans="1:11">
      <c r="A303" s="16" t="s">
        <v>2608</v>
      </c>
      <c r="B303" s="2" t="str">
        <f>IFERROR(INDEX(Movimientos!$C$2:$C$1993,MATCH(A303&amp;"ENTRADA",Movimientos!$R$2:$R$1993,0)),"-")</f>
        <v>-</v>
      </c>
      <c r="C303" s="2" t="str">
        <f>IFERROR(INDEX(Movimientos!$D$2:$D$1993,MATCH(A303&amp;"ENTRADA",Movimientos!$R$2:$R$1993,0)),"-")</f>
        <v>-</v>
      </c>
      <c r="D303" s="2" t="str">
        <f>IFERROR(INDEX(Movimientos!$E$2:$E$1993,MATCH(A303&amp;"ENTRADA",Movimientos!$R$2:$R$1993,0)),"-")</f>
        <v>-</v>
      </c>
      <c r="E303" s="2" t="str">
        <f>IFERROR(INDEX(Movimientos!$F$2:$F$1993,MATCH(A303&amp;"ENTRADA",Movimientos!$R$2:$R$1993,0)),"-")</f>
        <v>-</v>
      </c>
      <c r="F303" s="2" t="str">
        <f>IFERROR(INDEX(Movimientos!$G$2:$G$1993,MATCH(A303&amp;"ENTRADA",Movimientos!$R$2:$R$1993,0)),"-")</f>
        <v>-</v>
      </c>
      <c r="G303" s="2" t="str">
        <f>IFERROR(INDEX(Movimientos!$L$2:$L$1993,MATCH(A303&amp;"ENTRADA",Movimientos!$R$2:$R$1993,0)),"-")</f>
        <v>-</v>
      </c>
      <c r="H303" s="17" t="str">
        <f>IFERROR(IF(INDEX(Movimientos!$M$2:$M$1993,MATCH(A303&amp;"ENTRADA",Movimientos!$R$2:$R$1993,0))=0,"S/D",INDEX(Movimientos!$M$2:$M$1993,MATCH(A303&amp;"ENTRADA",Movimientos!$R$2:$R$1993,0))),"S/D")</f>
        <v>S/D</v>
      </c>
      <c r="I303" s="15" t="str">
        <f t="shared" ca="1" si="10"/>
        <v>S/D</v>
      </c>
      <c r="J303" s="5">
        <f>IF(A303="","",SUMIFS(Movimientos!$K:$K,Movimientos!$H:$H,A303))</f>
        <v>0</v>
      </c>
      <c r="K303" s="13" t="str">
        <f t="shared" ca="1" si="9"/>
        <v>SIN STOCK</v>
      </c>
    </row>
    <row r="304" spans="1:11">
      <c r="A304" s="16" t="s">
        <v>2609</v>
      </c>
      <c r="B304" s="2" t="str">
        <f>IFERROR(INDEX(Movimientos!$C$2:$C$1993,MATCH(A304&amp;"ENTRADA",Movimientos!$R$2:$R$1993,0)),"-")</f>
        <v>-</v>
      </c>
      <c r="C304" s="2" t="str">
        <f>IFERROR(INDEX(Movimientos!$D$2:$D$1993,MATCH(A304&amp;"ENTRADA",Movimientos!$R$2:$R$1993,0)),"-")</f>
        <v>-</v>
      </c>
      <c r="D304" s="2" t="str">
        <f>IFERROR(INDEX(Movimientos!$E$2:$E$1993,MATCH(A304&amp;"ENTRADA",Movimientos!$R$2:$R$1993,0)),"-")</f>
        <v>-</v>
      </c>
      <c r="E304" s="2" t="str">
        <f>IFERROR(INDEX(Movimientos!$F$2:$F$1993,MATCH(A304&amp;"ENTRADA",Movimientos!$R$2:$R$1993,0)),"-")</f>
        <v>-</v>
      </c>
      <c r="F304" s="2" t="str">
        <f>IFERROR(INDEX(Movimientos!$G$2:$G$1993,MATCH(A304&amp;"ENTRADA",Movimientos!$R$2:$R$1993,0)),"-")</f>
        <v>-</v>
      </c>
      <c r="G304" s="2" t="str">
        <f>IFERROR(INDEX(Movimientos!$L$2:$L$1993,MATCH(A304&amp;"ENTRADA",Movimientos!$R$2:$R$1993,0)),"-")</f>
        <v>-</v>
      </c>
      <c r="H304" s="17" t="str">
        <f>IFERROR(IF(INDEX(Movimientos!$M$2:$M$1993,MATCH(A304&amp;"ENTRADA",Movimientos!$R$2:$R$1993,0))=0,"S/D",INDEX(Movimientos!$M$2:$M$1993,MATCH(A304&amp;"ENTRADA",Movimientos!$R$2:$R$1993,0))),"S/D")</f>
        <v>S/D</v>
      </c>
      <c r="I304" s="15" t="str">
        <f t="shared" ca="1" si="10"/>
        <v>S/D</v>
      </c>
      <c r="J304" s="5">
        <f>IF(A304="","",SUMIFS(Movimientos!$K:$K,Movimientos!$H:$H,A304))</f>
        <v>0</v>
      </c>
      <c r="K304" s="13" t="str">
        <f t="shared" ca="1" si="9"/>
        <v>SIN STOCK</v>
      </c>
    </row>
    <row r="305" spans="1:11">
      <c r="A305" s="16" t="s">
        <v>2610</v>
      </c>
      <c r="B305" s="2" t="str">
        <f>IFERROR(INDEX(Movimientos!$C$2:$C$1993,MATCH(A305&amp;"ENTRADA",Movimientos!$R$2:$R$1993,0)),"-")</f>
        <v>-</v>
      </c>
      <c r="C305" s="2" t="str">
        <f>IFERROR(INDEX(Movimientos!$D$2:$D$1993,MATCH(A305&amp;"ENTRADA",Movimientos!$R$2:$R$1993,0)),"-")</f>
        <v>-</v>
      </c>
      <c r="D305" s="2" t="str">
        <f>IFERROR(INDEX(Movimientos!$E$2:$E$1993,MATCH(A305&amp;"ENTRADA",Movimientos!$R$2:$R$1993,0)),"-")</f>
        <v>-</v>
      </c>
      <c r="E305" s="2" t="str">
        <f>IFERROR(INDEX(Movimientos!$F$2:$F$1993,MATCH(A305&amp;"ENTRADA",Movimientos!$R$2:$R$1993,0)),"-")</f>
        <v>-</v>
      </c>
      <c r="F305" s="2" t="str">
        <f>IFERROR(INDEX(Movimientos!$G$2:$G$1993,MATCH(A305&amp;"ENTRADA",Movimientos!$R$2:$R$1993,0)),"-")</f>
        <v>-</v>
      </c>
      <c r="G305" s="2" t="str">
        <f>IFERROR(INDEX(Movimientos!$L$2:$L$1993,MATCH(A305&amp;"ENTRADA",Movimientos!$R$2:$R$1993,0)),"-")</f>
        <v>-</v>
      </c>
      <c r="H305" s="17" t="str">
        <f>IFERROR(IF(INDEX(Movimientos!$M$2:$M$1993,MATCH(A305&amp;"ENTRADA",Movimientos!$R$2:$R$1993,0))=0,"S/D",INDEX(Movimientos!$M$2:$M$1993,MATCH(A305&amp;"ENTRADA",Movimientos!$R$2:$R$1993,0))),"S/D")</f>
        <v>S/D</v>
      </c>
      <c r="I305" s="15" t="str">
        <f t="shared" ca="1" si="10"/>
        <v>S/D</v>
      </c>
      <c r="J305" s="5">
        <f>IF(A305="","",SUMIFS(Movimientos!$K:$K,Movimientos!$H:$H,A305))</f>
        <v>0</v>
      </c>
      <c r="K305" s="13" t="str">
        <f t="shared" ca="1" si="9"/>
        <v>SIN STOCK</v>
      </c>
    </row>
    <row r="306" spans="1:11">
      <c r="A306" s="16" t="s">
        <v>2611</v>
      </c>
      <c r="B306" s="2" t="str">
        <f>IFERROR(INDEX(Movimientos!$C$2:$C$1993,MATCH(A306&amp;"ENTRADA",Movimientos!$R$2:$R$1993,0)),"-")</f>
        <v>-</v>
      </c>
      <c r="C306" s="2" t="str">
        <f>IFERROR(INDEX(Movimientos!$D$2:$D$1993,MATCH(A306&amp;"ENTRADA",Movimientos!$R$2:$R$1993,0)),"-")</f>
        <v>-</v>
      </c>
      <c r="D306" s="2" t="str">
        <f>IFERROR(INDEX(Movimientos!$E$2:$E$1993,MATCH(A306&amp;"ENTRADA",Movimientos!$R$2:$R$1993,0)),"-")</f>
        <v>-</v>
      </c>
      <c r="E306" s="2" t="str">
        <f>IFERROR(INDEX(Movimientos!$F$2:$F$1993,MATCH(A306&amp;"ENTRADA",Movimientos!$R$2:$R$1993,0)),"-")</f>
        <v>-</v>
      </c>
      <c r="F306" s="2" t="str">
        <f>IFERROR(INDEX(Movimientos!$G$2:$G$1993,MATCH(A306&amp;"ENTRADA",Movimientos!$R$2:$R$1993,0)),"-")</f>
        <v>-</v>
      </c>
      <c r="G306" s="2" t="str">
        <f>IFERROR(INDEX(Movimientos!$L$2:$L$1993,MATCH(A306&amp;"ENTRADA",Movimientos!$R$2:$R$1993,0)),"-")</f>
        <v>-</v>
      </c>
      <c r="H306" s="17" t="str">
        <f>IFERROR(IF(INDEX(Movimientos!$M$2:$M$1993,MATCH(A306&amp;"ENTRADA",Movimientos!$R$2:$R$1993,0))=0,"S/D",INDEX(Movimientos!$M$2:$M$1993,MATCH(A306&amp;"ENTRADA",Movimientos!$R$2:$R$1993,0))),"S/D")</f>
        <v>S/D</v>
      </c>
      <c r="I306" s="15" t="str">
        <f t="shared" ca="1" si="10"/>
        <v>S/D</v>
      </c>
      <c r="J306" s="5">
        <f>IF(A306="","",SUMIFS(Movimientos!$K:$K,Movimientos!$H:$H,A306))</f>
        <v>0</v>
      </c>
      <c r="K306" s="13" t="str">
        <f t="shared" ca="1" si="9"/>
        <v>SIN STOCK</v>
      </c>
    </row>
    <row r="307" spans="1:11">
      <c r="A307" s="16" t="s">
        <v>2612</v>
      </c>
      <c r="B307" s="2" t="str">
        <f>IFERROR(INDEX(Movimientos!$C$2:$C$1993,MATCH(A307&amp;"ENTRADA",Movimientos!$R$2:$R$1993,0)),"-")</f>
        <v>-</v>
      </c>
      <c r="C307" s="2" t="str">
        <f>IFERROR(INDEX(Movimientos!$D$2:$D$1993,MATCH(A307&amp;"ENTRADA",Movimientos!$R$2:$R$1993,0)),"-")</f>
        <v>-</v>
      </c>
      <c r="D307" s="2" t="str">
        <f>IFERROR(INDEX(Movimientos!$E$2:$E$1993,MATCH(A307&amp;"ENTRADA",Movimientos!$R$2:$R$1993,0)),"-")</f>
        <v>-</v>
      </c>
      <c r="E307" s="2" t="str">
        <f>IFERROR(INDEX(Movimientos!$F$2:$F$1993,MATCH(A307&amp;"ENTRADA",Movimientos!$R$2:$R$1993,0)),"-")</f>
        <v>-</v>
      </c>
      <c r="F307" s="2" t="str">
        <f>IFERROR(INDEX(Movimientos!$G$2:$G$1993,MATCH(A307&amp;"ENTRADA",Movimientos!$R$2:$R$1993,0)),"-")</f>
        <v>-</v>
      </c>
      <c r="G307" s="2" t="str">
        <f>IFERROR(INDEX(Movimientos!$L$2:$L$1993,MATCH(A307&amp;"ENTRADA",Movimientos!$R$2:$R$1993,0)),"-")</f>
        <v>-</v>
      </c>
      <c r="H307" s="17" t="str">
        <f>IFERROR(IF(INDEX(Movimientos!$M$2:$M$1993,MATCH(A307&amp;"ENTRADA",Movimientos!$R$2:$R$1993,0))=0,"S/D",INDEX(Movimientos!$M$2:$M$1993,MATCH(A307&amp;"ENTRADA",Movimientos!$R$2:$R$1993,0))),"S/D")</f>
        <v>S/D</v>
      </c>
      <c r="I307" s="15" t="str">
        <f t="shared" ca="1" si="10"/>
        <v>S/D</v>
      </c>
      <c r="J307" s="5">
        <f>IF(A307="","",SUMIFS(Movimientos!$K:$K,Movimientos!$H:$H,A307))</f>
        <v>0</v>
      </c>
      <c r="K307" s="13" t="str">
        <f t="shared" ca="1" si="9"/>
        <v>SIN STOCK</v>
      </c>
    </row>
    <row r="308" spans="1:11">
      <c r="A308" s="16" t="s">
        <v>2613</v>
      </c>
      <c r="B308" s="2" t="str">
        <f>IFERROR(INDEX(Movimientos!$C$2:$C$1993,MATCH(A308&amp;"ENTRADA",Movimientos!$R$2:$R$1993,0)),"-")</f>
        <v>-</v>
      </c>
      <c r="C308" s="2" t="str">
        <f>IFERROR(INDEX(Movimientos!$D$2:$D$1993,MATCH(A308&amp;"ENTRADA",Movimientos!$R$2:$R$1993,0)),"-")</f>
        <v>-</v>
      </c>
      <c r="D308" s="2" t="str">
        <f>IFERROR(INDEX(Movimientos!$E$2:$E$1993,MATCH(A308&amp;"ENTRADA",Movimientos!$R$2:$R$1993,0)),"-")</f>
        <v>-</v>
      </c>
      <c r="E308" s="2" t="str">
        <f>IFERROR(INDEX(Movimientos!$F$2:$F$1993,MATCH(A308&amp;"ENTRADA",Movimientos!$R$2:$R$1993,0)),"-")</f>
        <v>-</v>
      </c>
      <c r="F308" s="2" t="str">
        <f>IFERROR(INDEX(Movimientos!$G$2:$G$1993,MATCH(A308&amp;"ENTRADA",Movimientos!$R$2:$R$1993,0)),"-")</f>
        <v>-</v>
      </c>
      <c r="G308" s="2" t="str">
        <f>IFERROR(INDEX(Movimientos!$L$2:$L$1993,MATCH(A308&amp;"ENTRADA",Movimientos!$R$2:$R$1993,0)),"-")</f>
        <v>-</v>
      </c>
      <c r="H308" s="17" t="str">
        <f>IFERROR(IF(INDEX(Movimientos!$M$2:$M$1993,MATCH(A308&amp;"ENTRADA",Movimientos!$R$2:$R$1993,0))=0,"S/D",INDEX(Movimientos!$M$2:$M$1993,MATCH(A308&amp;"ENTRADA",Movimientos!$R$2:$R$1993,0))),"S/D")</f>
        <v>S/D</v>
      </c>
      <c r="I308" s="15" t="str">
        <f t="shared" ca="1" si="10"/>
        <v>S/D</v>
      </c>
      <c r="J308" s="5">
        <f>IF(A308="","",SUMIFS(Movimientos!$K:$K,Movimientos!$H:$H,A308))</f>
        <v>0</v>
      </c>
      <c r="K308" s="13" t="str">
        <f t="shared" ca="1" si="9"/>
        <v>SIN STOCK</v>
      </c>
    </row>
    <row r="309" spans="1:11">
      <c r="A309" s="16" t="s">
        <v>2614</v>
      </c>
      <c r="B309" s="2" t="str">
        <f>IFERROR(INDEX(Movimientos!$C$2:$C$1993,MATCH(A309&amp;"ENTRADA",Movimientos!$R$2:$R$1993,0)),"-")</f>
        <v>-</v>
      </c>
      <c r="C309" s="2" t="str">
        <f>IFERROR(INDEX(Movimientos!$D$2:$D$1993,MATCH(A309&amp;"ENTRADA",Movimientos!$R$2:$R$1993,0)),"-")</f>
        <v>-</v>
      </c>
      <c r="D309" s="2" t="str">
        <f>IFERROR(INDEX(Movimientos!$E$2:$E$1993,MATCH(A309&amp;"ENTRADA",Movimientos!$R$2:$R$1993,0)),"-")</f>
        <v>-</v>
      </c>
      <c r="E309" s="2" t="str">
        <f>IFERROR(INDEX(Movimientos!$F$2:$F$1993,MATCH(A309&amp;"ENTRADA",Movimientos!$R$2:$R$1993,0)),"-")</f>
        <v>-</v>
      </c>
      <c r="F309" s="2" t="str">
        <f>IFERROR(INDEX(Movimientos!$G$2:$G$1993,MATCH(A309&amp;"ENTRADA",Movimientos!$R$2:$R$1993,0)),"-")</f>
        <v>-</v>
      </c>
      <c r="G309" s="2" t="str">
        <f>IFERROR(INDEX(Movimientos!$L$2:$L$1993,MATCH(A309&amp;"ENTRADA",Movimientos!$R$2:$R$1993,0)),"-")</f>
        <v>-</v>
      </c>
      <c r="H309" s="17" t="str">
        <f>IFERROR(IF(INDEX(Movimientos!$M$2:$M$1993,MATCH(A309&amp;"ENTRADA",Movimientos!$R$2:$R$1993,0))=0,"S/D",INDEX(Movimientos!$M$2:$M$1993,MATCH(A309&amp;"ENTRADA",Movimientos!$R$2:$R$1993,0))),"S/D")</f>
        <v>S/D</v>
      </c>
      <c r="I309" s="15" t="str">
        <f t="shared" ca="1" si="10"/>
        <v>S/D</v>
      </c>
      <c r="J309" s="5">
        <f>IF(A309="","",SUMIFS(Movimientos!$K:$K,Movimientos!$H:$H,A309))</f>
        <v>0</v>
      </c>
      <c r="K309" s="13" t="str">
        <f t="shared" ca="1" si="9"/>
        <v>SIN STOCK</v>
      </c>
    </row>
    <row r="310" spans="1:11">
      <c r="A310" s="16" t="s">
        <v>2615</v>
      </c>
      <c r="B310" s="2" t="str">
        <f>IFERROR(INDEX(Movimientos!$C$2:$C$1993,MATCH(A310&amp;"ENTRADA",Movimientos!$R$2:$R$1993,0)),"-")</f>
        <v>-</v>
      </c>
      <c r="C310" s="2" t="str">
        <f>IFERROR(INDEX(Movimientos!$D$2:$D$1993,MATCH(A310&amp;"ENTRADA",Movimientos!$R$2:$R$1993,0)),"-")</f>
        <v>-</v>
      </c>
      <c r="D310" s="2" t="str">
        <f>IFERROR(INDEX(Movimientos!$E$2:$E$1993,MATCH(A310&amp;"ENTRADA",Movimientos!$R$2:$R$1993,0)),"-")</f>
        <v>-</v>
      </c>
      <c r="E310" s="2" t="str">
        <f>IFERROR(INDEX(Movimientos!$F$2:$F$1993,MATCH(A310&amp;"ENTRADA",Movimientos!$R$2:$R$1993,0)),"-")</f>
        <v>-</v>
      </c>
      <c r="F310" s="2" t="str">
        <f>IFERROR(INDEX(Movimientos!$G$2:$G$1993,MATCH(A310&amp;"ENTRADA",Movimientos!$R$2:$R$1993,0)),"-")</f>
        <v>-</v>
      </c>
      <c r="G310" s="2" t="str">
        <f>IFERROR(INDEX(Movimientos!$L$2:$L$1993,MATCH(A310&amp;"ENTRADA",Movimientos!$R$2:$R$1993,0)),"-")</f>
        <v>-</v>
      </c>
      <c r="H310" s="17" t="str">
        <f>IFERROR(IF(INDEX(Movimientos!$M$2:$M$1993,MATCH(A310&amp;"ENTRADA",Movimientos!$R$2:$R$1993,0))=0,"S/D",INDEX(Movimientos!$M$2:$M$1993,MATCH(A310&amp;"ENTRADA",Movimientos!$R$2:$R$1993,0))),"S/D")</f>
        <v>S/D</v>
      </c>
      <c r="I310" s="15" t="str">
        <f t="shared" ca="1" si="10"/>
        <v>S/D</v>
      </c>
      <c r="J310" s="5">
        <f>IF(A310="","",SUMIFS(Movimientos!$K:$K,Movimientos!$H:$H,A310))</f>
        <v>0</v>
      </c>
      <c r="K310" s="13" t="str">
        <f t="shared" ca="1" si="9"/>
        <v>SIN STOCK</v>
      </c>
    </row>
    <row r="311" spans="1:11">
      <c r="A311" s="16" t="s">
        <v>2616</v>
      </c>
      <c r="B311" s="2" t="str">
        <f>IFERROR(INDEX(Movimientos!$C$2:$C$1993,MATCH(A311&amp;"ENTRADA",Movimientos!$R$2:$R$1993,0)),"-")</f>
        <v>-</v>
      </c>
      <c r="C311" s="2" t="str">
        <f>IFERROR(INDEX(Movimientos!$D$2:$D$1993,MATCH(A311&amp;"ENTRADA",Movimientos!$R$2:$R$1993,0)),"-")</f>
        <v>-</v>
      </c>
      <c r="D311" s="2" t="str">
        <f>IFERROR(INDEX(Movimientos!$E$2:$E$1993,MATCH(A311&amp;"ENTRADA",Movimientos!$R$2:$R$1993,0)),"-")</f>
        <v>-</v>
      </c>
      <c r="E311" s="2" t="str">
        <f>IFERROR(INDEX(Movimientos!$F$2:$F$1993,MATCH(A311&amp;"ENTRADA",Movimientos!$R$2:$R$1993,0)),"-")</f>
        <v>-</v>
      </c>
      <c r="F311" s="2" t="str">
        <f>IFERROR(INDEX(Movimientos!$G$2:$G$1993,MATCH(A311&amp;"ENTRADA",Movimientos!$R$2:$R$1993,0)),"-")</f>
        <v>-</v>
      </c>
      <c r="G311" s="2" t="str">
        <f>IFERROR(INDEX(Movimientos!$L$2:$L$1993,MATCH(A311&amp;"ENTRADA",Movimientos!$R$2:$R$1993,0)),"-")</f>
        <v>-</v>
      </c>
      <c r="H311" s="17" t="str">
        <f>IFERROR(IF(INDEX(Movimientos!$M$2:$M$1993,MATCH(A311&amp;"ENTRADA",Movimientos!$R$2:$R$1993,0))=0,"S/D",INDEX(Movimientos!$M$2:$M$1993,MATCH(A311&amp;"ENTRADA",Movimientos!$R$2:$R$1993,0))),"S/D")</f>
        <v>S/D</v>
      </c>
      <c r="I311" s="15" t="str">
        <f t="shared" ca="1" si="10"/>
        <v>S/D</v>
      </c>
      <c r="J311" s="5">
        <f>IF(A311="","",SUMIFS(Movimientos!$K:$K,Movimientos!$H:$H,A311))</f>
        <v>0</v>
      </c>
      <c r="K311" s="13" t="str">
        <f t="shared" ca="1" si="9"/>
        <v>SIN STOCK</v>
      </c>
    </row>
    <row r="312" spans="1:11">
      <c r="A312" s="16" t="s">
        <v>2617</v>
      </c>
      <c r="B312" s="2" t="str">
        <f>IFERROR(INDEX(Movimientos!$C$2:$C$1993,MATCH(A312&amp;"ENTRADA",Movimientos!$R$2:$R$1993,0)),"-")</f>
        <v>-</v>
      </c>
      <c r="C312" s="2" t="str">
        <f>IFERROR(INDEX(Movimientos!$D$2:$D$1993,MATCH(A312&amp;"ENTRADA",Movimientos!$R$2:$R$1993,0)),"-")</f>
        <v>-</v>
      </c>
      <c r="D312" s="2" t="str">
        <f>IFERROR(INDEX(Movimientos!$E$2:$E$1993,MATCH(A312&amp;"ENTRADA",Movimientos!$R$2:$R$1993,0)),"-")</f>
        <v>-</v>
      </c>
      <c r="E312" s="2" t="str">
        <f>IFERROR(INDEX(Movimientos!$F$2:$F$1993,MATCH(A312&amp;"ENTRADA",Movimientos!$R$2:$R$1993,0)),"-")</f>
        <v>-</v>
      </c>
      <c r="F312" s="2" t="str">
        <f>IFERROR(INDEX(Movimientos!$G$2:$G$1993,MATCH(A312&amp;"ENTRADA",Movimientos!$R$2:$R$1993,0)),"-")</f>
        <v>-</v>
      </c>
      <c r="G312" s="2" t="str">
        <f>IFERROR(INDEX(Movimientos!$L$2:$L$1993,MATCH(A312&amp;"ENTRADA",Movimientos!$R$2:$R$1993,0)),"-")</f>
        <v>-</v>
      </c>
      <c r="H312" s="17" t="str">
        <f>IFERROR(IF(INDEX(Movimientos!$M$2:$M$1993,MATCH(A312&amp;"ENTRADA",Movimientos!$R$2:$R$1993,0))=0,"S/D",INDEX(Movimientos!$M$2:$M$1993,MATCH(A312&amp;"ENTRADA",Movimientos!$R$2:$R$1993,0))),"S/D")</f>
        <v>S/D</v>
      </c>
      <c r="I312" s="15" t="str">
        <f t="shared" ca="1" si="10"/>
        <v>S/D</v>
      </c>
      <c r="J312" s="5">
        <f>IF(A312="","",SUMIFS(Movimientos!$K:$K,Movimientos!$H:$H,A312))</f>
        <v>0</v>
      </c>
      <c r="K312" s="13" t="str">
        <f t="shared" ca="1" si="9"/>
        <v>SIN STOCK</v>
      </c>
    </row>
    <row r="313" spans="1:11">
      <c r="A313" s="16" t="s">
        <v>2618</v>
      </c>
      <c r="B313" s="2" t="str">
        <f>IFERROR(INDEX(Movimientos!$C$2:$C$1993,MATCH(A313&amp;"ENTRADA",Movimientos!$R$2:$R$1993,0)),"-")</f>
        <v>-</v>
      </c>
      <c r="C313" s="2" t="str">
        <f>IFERROR(INDEX(Movimientos!$D$2:$D$1993,MATCH(A313&amp;"ENTRADA",Movimientos!$R$2:$R$1993,0)),"-")</f>
        <v>-</v>
      </c>
      <c r="D313" s="2" t="str">
        <f>IFERROR(INDEX(Movimientos!$E$2:$E$1993,MATCH(A313&amp;"ENTRADA",Movimientos!$R$2:$R$1993,0)),"-")</f>
        <v>-</v>
      </c>
      <c r="E313" s="2" t="str">
        <f>IFERROR(INDEX(Movimientos!$F$2:$F$1993,MATCH(A313&amp;"ENTRADA",Movimientos!$R$2:$R$1993,0)),"-")</f>
        <v>-</v>
      </c>
      <c r="F313" s="2" t="str">
        <f>IFERROR(INDEX(Movimientos!$G$2:$G$1993,MATCH(A313&amp;"ENTRADA",Movimientos!$R$2:$R$1993,0)),"-")</f>
        <v>-</v>
      </c>
      <c r="G313" s="2" t="str">
        <f>IFERROR(INDEX(Movimientos!$L$2:$L$1993,MATCH(A313&amp;"ENTRADA",Movimientos!$R$2:$R$1993,0)),"-")</f>
        <v>-</v>
      </c>
      <c r="H313" s="17" t="str">
        <f>IFERROR(IF(INDEX(Movimientos!$M$2:$M$1993,MATCH(A313&amp;"ENTRADA",Movimientos!$R$2:$R$1993,0))=0,"S/D",INDEX(Movimientos!$M$2:$M$1993,MATCH(A313&amp;"ENTRADA",Movimientos!$R$2:$R$1993,0))),"S/D")</f>
        <v>S/D</v>
      </c>
      <c r="I313" s="15" t="str">
        <f t="shared" ca="1" si="10"/>
        <v>S/D</v>
      </c>
      <c r="J313" s="5">
        <f>IF(A313="","",SUMIFS(Movimientos!$K:$K,Movimientos!$H:$H,A313))</f>
        <v>0</v>
      </c>
      <c r="K313" s="13" t="str">
        <f t="shared" ca="1" si="9"/>
        <v>SIN STOCK</v>
      </c>
    </row>
    <row r="314" spans="1:11">
      <c r="A314" s="16" t="s">
        <v>2619</v>
      </c>
      <c r="B314" s="2" t="str">
        <f>IFERROR(INDEX(Movimientos!$C$2:$C$1993,MATCH(A314&amp;"ENTRADA",Movimientos!$R$2:$R$1993,0)),"-")</f>
        <v>-</v>
      </c>
      <c r="C314" s="2" t="str">
        <f>IFERROR(INDEX(Movimientos!$D$2:$D$1993,MATCH(A314&amp;"ENTRADA",Movimientos!$R$2:$R$1993,0)),"-")</f>
        <v>-</v>
      </c>
      <c r="D314" s="2" t="str">
        <f>IFERROR(INDEX(Movimientos!$E$2:$E$1993,MATCH(A314&amp;"ENTRADA",Movimientos!$R$2:$R$1993,0)),"-")</f>
        <v>-</v>
      </c>
      <c r="E314" s="2" t="str">
        <f>IFERROR(INDEX(Movimientos!$F$2:$F$1993,MATCH(A314&amp;"ENTRADA",Movimientos!$R$2:$R$1993,0)),"-")</f>
        <v>-</v>
      </c>
      <c r="F314" s="2" t="str">
        <f>IFERROR(INDEX(Movimientos!$G$2:$G$1993,MATCH(A314&amp;"ENTRADA",Movimientos!$R$2:$R$1993,0)),"-")</f>
        <v>-</v>
      </c>
      <c r="G314" s="2" t="str">
        <f>IFERROR(INDEX(Movimientos!$L$2:$L$1993,MATCH(A314&amp;"ENTRADA",Movimientos!$R$2:$R$1993,0)),"-")</f>
        <v>-</v>
      </c>
      <c r="H314" s="17" t="str">
        <f>IFERROR(IF(INDEX(Movimientos!$M$2:$M$1993,MATCH(A314&amp;"ENTRADA",Movimientos!$R$2:$R$1993,0))=0,"S/D",INDEX(Movimientos!$M$2:$M$1993,MATCH(A314&amp;"ENTRADA",Movimientos!$R$2:$R$1993,0))),"S/D")</f>
        <v>S/D</v>
      </c>
      <c r="I314" s="15" t="str">
        <f t="shared" ca="1" si="10"/>
        <v>S/D</v>
      </c>
      <c r="J314" s="5">
        <f>IF(A314="","",SUMIFS(Movimientos!$K:$K,Movimientos!$H:$H,A314))</f>
        <v>0</v>
      </c>
      <c r="K314" s="13" t="str">
        <f t="shared" ca="1" si="9"/>
        <v>SIN STOCK</v>
      </c>
    </row>
    <row r="315" spans="1:11">
      <c r="A315" s="16" t="s">
        <v>2620</v>
      </c>
      <c r="B315" s="2" t="str">
        <f>IFERROR(INDEX(Movimientos!$C$2:$C$1993,MATCH(A315&amp;"ENTRADA",Movimientos!$R$2:$R$1993,0)),"-")</f>
        <v>-</v>
      </c>
      <c r="C315" s="2" t="str">
        <f>IFERROR(INDEX(Movimientos!$D$2:$D$1993,MATCH(A315&amp;"ENTRADA",Movimientos!$R$2:$R$1993,0)),"-")</f>
        <v>-</v>
      </c>
      <c r="D315" s="2" t="str">
        <f>IFERROR(INDEX(Movimientos!$E$2:$E$1993,MATCH(A315&amp;"ENTRADA",Movimientos!$R$2:$R$1993,0)),"-")</f>
        <v>-</v>
      </c>
      <c r="E315" s="2" t="str">
        <f>IFERROR(INDEX(Movimientos!$F$2:$F$1993,MATCH(A315&amp;"ENTRADA",Movimientos!$R$2:$R$1993,0)),"-")</f>
        <v>-</v>
      </c>
      <c r="F315" s="2" t="str">
        <f>IFERROR(INDEX(Movimientos!$G$2:$G$1993,MATCH(A315&amp;"ENTRADA",Movimientos!$R$2:$R$1993,0)),"-")</f>
        <v>-</v>
      </c>
      <c r="G315" s="2" t="str">
        <f>IFERROR(INDEX(Movimientos!$L$2:$L$1993,MATCH(A315&amp;"ENTRADA",Movimientos!$R$2:$R$1993,0)),"-")</f>
        <v>-</v>
      </c>
      <c r="H315" s="17" t="str">
        <f>IFERROR(IF(INDEX(Movimientos!$M$2:$M$1993,MATCH(A315&amp;"ENTRADA",Movimientos!$R$2:$R$1993,0))=0,"S/D",INDEX(Movimientos!$M$2:$M$1993,MATCH(A315&amp;"ENTRADA",Movimientos!$R$2:$R$1993,0))),"S/D")</f>
        <v>S/D</v>
      </c>
      <c r="I315" s="15" t="str">
        <f t="shared" ca="1" si="10"/>
        <v>S/D</v>
      </c>
      <c r="J315" s="5">
        <f>IF(A315="","",SUMIFS(Movimientos!$K:$K,Movimientos!$H:$H,A315))</f>
        <v>0</v>
      </c>
      <c r="K315" s="13" t="str">
        <f t="shared" ca="1" si="9"/>
        <v>SIN STOCK</v>
      </c>
    </row>
    <row r="316" spans="1:11">
      <c r="A316" s="16" t="s">
        <v>2621</v>
      </c>
      <c r="B316" s="2" t="str">
        <f>IFERROR(INDEX(Movimientos!$C$2:$C$1993,MATCH(A316&amp;"ENTRADA",Movimientos!$R$2:$R$1993,0)),"-")</f>
        <v>-</v>
      </c>
      <c r="C316" s="2" t="str">
        <f>IFERROR(INDEX(Movimientos!$D$2:$D$1993,MATCH(A316&amp;"ENTRADA",Movimientos!$R$2:$R$1993,0)),"-")</f>
        <v>-</v>
      </c>
      <c r="D316" s="2" t="str">
        <f>IFERROR(INDEX(Movimientos!$E$2:$E$1993,MATCH(A316&amp;"ENTRADA",Movimientos!$R$2:$R$1993,0)),"-")</f>
        <v>-</v>
      </c>
      <c r="E316" s="2" t="str">
        <f>IFERROR(INDEX(Movimientos!$F$2:$F$1993,MATCH(A316&amp;"ENTRADA",Movimientos!$R$2:$R$1993,0)),"-")</f>
        <v>-</v>
      </c>
      <c r="F316" s="2" t="str">
        <f>IFERROR(INDEX(Movimientos!$G$2:$G$1993,MATCH(A316&amp;"ENTRADA",Movimientos!$R$2:$R$1993,0)),"-")</f>
        <v>-</v>
      </c>
      <c r="G316" s="2" t="str">
        <f>IFERROR(INDEX(Movimientos!$L$2:$L$1993,MATCH(A316&amp;"ENTRADA",Movimientos!$R$2:$R$1993,0)),"-")</f>
        <v>-</v>
      </c>
      <c r="H316" s="17" t="str">
        <f>IFERROR(IF(INDEX(Movimientos!$M$2:$M$1993,MATCH(A316&amp;"ENTRADA",Movimientos!$R$2:$R$1993,0))=0,"S/D",INDEX(Movimientos!$M$2:$M$1993,MATCH(A316&amp;"ENTRADA",Movimientos!$R$2:$R$1993,0))),"S/D")</f>
        <v>S/D</v>
      </c>
      <c r="I316" s="15" t="str">
        <f t="shared" ca="1" si="10"/>
        <v>S/D</v>
      </c>
      <c r="J316" s="5">
        <f>IF(A316="","",SUMIFS(Movimientos!$K:$K,Movimientos!$H:$H,A316))</f>
        <v>0</v>
      </c>
      <c r="K316" s="13" t="str">
        <f t="shared" ca="1" si="9"/>
        <v>SIN STOCK</v>
      </c>
    </row>
    <row r="317" spans="1:11">
      <c r="A317" s="16" t="s">
        <v>2622</v>
      </c>
      <c r="B317" s="2" t="str">
        <f>IFERROR(INDEX(Movimientos!$C$2:$C$1993,MATCH(A317&amp;"ENTRADA",Movimientos!$R$2:$R$1993,0)),"-")</f>
        <v>-</v>
      </c>
      <c r="C317" s="2" t="str">
        <f>IFERROR(INDEX(Movimientos!$D$2:$D$1993,MATCH(A317&amp;"ENTRADA",Movimientos!$R$2:$R$1993,0)),"-")</f>
        <v>-</v>
      </c>
      <c r="D317" s="2" t="str">
        <f>IFERROR(INDEX(Movimientos!$E$2:$E$1993,MATCH(A317&amp;"ENTRADA",Movimientos!$R$2:$R$1993,0)),"-")</f>
        <v>-</v>
      </c>
      <c r="E317" s="2" t="str">
        <f>IFERROR(INDEX(Movimientos!$F$2:$F$1993,MATCH(A317&amp;"ENTRADA",Movimientos!$R$2:$R$1993,0)),"-")</f>
        <v>-</v>
      </c>
      <c r="F317" s="2" t="str">
        <f>IFERROR(INDEX(Movimientos!$G$2:$G$1993,MATCH(A317&amp;"ENTRADA",Movimientos!$R$2:$R$1993,0)),"-")</f>
        <v>-</v>
      </c>
      <c r="G317" s="2" t="str">
        <f>IFERROR(INDEX(Movimientos!$L$2:$L$1993,MATCH(A317&amp;"ENTRADA",Movimientos!$R$2:$R$1993,0)),"-")</f>
        <v>-</v>
      </c>
      <c r="H317" s="17" t="str">
        <f>IFERROR(IF(INDEX(Movimientos!$M$2:$M$1993,MATCH(A317&amp;"ENTRADA",Movimientos!$R$2:$R$1993,0))=0,"S/D",INDEX(Movimientos!$M$2:$M$1993,MATCH(A317&amp;"ENTRADA",Movimientos!$R$2:$R$1993,0))),"S/D")</f>
        <v>S/D</v>
      </c>
      <c r="I317" s="15" t="str">
        <f t="shared" ca="1" si="10"/>
        <v>S/D</v>
      </c>
      <c r="J317" s="5">
        <f>IF(A317="","",SUMIFS(Movimientos!$K:$K,Movimientos!$H:$H,A317))</f>
        <v>0</v>
      </c>
      <c r="K317" s="13" t="str">
        <f t="shared" ca="1" si="9"/>
        <v>SIN STOCK</v>
      </c>
    </row>
    <row r="318" spans="1:11">
      <c r="A318" s="16" t="s">
        <v>2623</v>
      </c>
      <c r="B318" s="2" t="str">
        <f>IFERROR(INDEX(Movimientos!$C$2:$C$1993,MATCH(A318&amp;"ENTRADA",Movimientos!$R$2:$R$1993,0)),"-")</f>
        <v>-</v>
      </c>
      <c r="C318" s="2" t="str">
        <f>IFERROR(INDEX(Movimientos!$D$2:$D$1993,MATCH(A318&amp;"ENTRADA",Movimientos!$R$2:$R$1993,0)),"-")</f>
        <v>-</v>
      </c>
      <c r="D318" s="2" t="str">
        <f>IFERROR(INDEX(Movimientos!$E$2:$E$1993,MATCH(A318&amp;"ENTRADA",Movimientos!$R$2:$R$1993,0)),"-")</f>
        <v>-</v>
      </c>
      <c r="E318" s="2" t="str">
        <f>IFERROR(INDEX(Movimientos!$F$2:$F$1993,MATCH(A318&amp;"ENTRADA",Movimientos!$R$2:$R$1993,0)),"-")</f>
        <v>-</v>
      </c>
      <c r="F318" s="2" t="str">
        <f>IFERROR(INDEX(Movimientos!$G$2:$G$1993,MATCH(A318&amp;"ENTRADA",Movimientos!$R$2:$R$1993,0)),"-")</f>
        <v>-</v>
      </c>
      <c r="G318" s="2" t="str">
        <f>IFERROR(INDEX(Movimientos!$L$2:$L$1993,MATCH(A318&amp;"ENTRADA",Movimientos!$R$2:$R$1993,0)),"-")</f>
        <v>-</v>
      </c>
      <c r="H318" s="17" t="str">
        <f>IFERROR(IF(INDEX(Movimientos!$M$2:$M$1993,MATCH(A318&amp;"ENTRADA",Movimientos!$R$2:$R$1993,0))=0,"S/D",INDEX(Movimientos!$M$2:$M$1993,MATCH(A318&amp;"ENTRADA",Movimientos!$R$2:$R$1993,0))),"S/D")</f>
        <v>S/D</v>
      </c>
      <c r="I318" s="15" t="str">
        <f t="shared" ca="1" si="10"/>
        <v>S/D</v>
      </c>
      <c r="J318" s="5">
        <f>IF(A318="","",SUMIFS(Movimientos!$K:$K,Movimientos!$H:$H,A318))</f>
        <v>0</v>
      </c>
      <c r="K318" s="13" t="str">
        <f t="shared" ref="K318:K381" ca="1" si="11">IF(A318="","",IF(J318&lt;0.01,"SIN STOCK",IF(H318="S/D","OK",IF(H318&lt;TODAY(),"VENCIDO",IF(I318&gt;=180,"OK","PRÓXIMO A VENCER")))))</f>
        <v>SIN STOCK</v>
      </c>
    </row>
    <row r="319" spans="1:11">
      <c r="A319" s="16" t="s">
        <v>2624</v>
      </c>
      <c r="B319" s="2" t="str">
        <f>IFERROR(INDEX(Movimientos!$C$2:$C$1993,MATCH(A319&amp;"ENTRADA",Movimientos!$R$2:$R$1993,0)),"-")</f>
        <v>-</v>
      </c>
      <c r="C319" s="2" t="str">
        <f>IFERROR(INDEX(Movimientos!$D$2:$D$1993,MATCH(A319&amp;"ENTRADA",Movimientos!$R$2:$R$1993,0)),"-")</f>
        <v>-</v>
      </c>
      <c r="D319" s="2" t="str">
        <f>IFERROR(INDEX(Movimientos!$E$2:$E$1993,MATCH(A319&amp;"ENTRADA",Movimientos!$R$2:$R$1993,0)),"-")</f>
        <v>-</v>
      </c>
      <c r="E319" s="2" t="str">
        <f>IFERROR(INDEX(Movimientos!$F$2:$F$1993,MATCH(A319&amp;"ENTRADA",Movimientos!$R$2:$R$1993,0)),"-")</f>
        <v>-</v>
      </c>
      <c r="F319" s="2" t="str">
        <f>IFERROR(INDEX(Movimientos!$G$2:$G$1993,MATCH(A319&amp;"ENTRADA",Movimientos!$R$2:$R$1993,0)),"-")</f>
        <v>-</v>
      </c>
      <c r="G319" s="2" t="str">
        <f>IFERROR(INDEX(Movimientos!$L$2:$L$1993,MATCH(A319&amp;"ENTRADA",Movimientos!$R$2:$R$1993,0)),"-")</f>
        <v>-</v>
      </c>
      <c r="H319" s="17" t="str">
        <f>IFERROR(IF(INDEX(Movimientos!$M$2:$M$1993,MATCH(A319&amp;"ENTRADA",Movimientos!$R$2:$R$1993,0))=0,"S/D",INDEX(Movimientos!$M$2:$M$1993,MATCH(A319&amp;"ENTRADA",Movimientos!$R$2:$R$1993,0))),"S/D")</f>
        <v>S/D</v>
      </c>
      <c r="I319" s="15" t="str">
        <f t="shared" ca="1" si="10"/>
        <v>S/D</v>
      </c>
      <c r="J319" s="5">
        <f>IF(A319="","",SUMIFS(Movimientos!$K:$K,Movimientos!$H:$H,A319))</f>
        <v>0</v>
      </c>
      <c r="K319" s="13" t="str">
        <f t="shared" ca="1" si="11"/>
        <v>SIN STOCK</v>
      </c>
    </row>
    <row r="320" spans="1:11">
      <c r="A320" s="16" t="s">
        <v>2625</v>
      </c>
      <c r="B320" s="2" t="str">
        <f>IFERROR(INDEX(Movimientos!$C$2:$C$1993,MATCH(A320&amp;"ENTRADA",Movimientos!$R$2:$R$1993,0)),"-")</f>
        <v>-</v>
      </c>
      <c r="C320" s="2" t="str">
        <f>IFERROR(INDEX(Movimientos!$D$2:$D$1993,MATCH(A320&amp;"ENTRADA",Movimientos!$R$2:$R$1993,0)),"-")</f>
        <v>-</v>
      </c>
      <c r="D320" s="2" t="str">
        <f>IFERROR(INDEX(Movimientos!$E$2:$E$1993,MATCH(A320&amp;"ENTRADA",Movimientos!$R$2:$R$1993,0)),"-")</f>
        <v>-</v>
      </c>
      <c r="E320" s="2" t="str">
        <f>IFERROR(INDEX(Movimientos!$F$2:$F$1993,MATCH(A320&amp;"ENTRADA",Movimientos!$R$2:$R$1993,0)),"-")</f>
        <v>-</v>
      </c>
      <c r="F320" s="2" t="str">
        <f>IFERROR(INDEX(Movimientos!$G$2:$G$1993,MATCH(A320&amp;"ENTRADA",Movimientos!$R$2:$R$1993,0)),"-")</f>
        <v>-</v>
      </c>
      <c r="G320" s="2" t="str">
        <f>IFERROR(INDEX(Movimientos!$L$2:$L$1993,MATCH(A320&amp;"ENTRADA",Movimientos!$R$2:$R$1993,0)),"-")</f>
        <v>-</v>
      </c>
      <c r="H320" s="17" t="str">
        <f>IFERROR(IF(INDEX(Movimientos!$M$2:$M$1993,MATCH(A320&amp;"ENTRADA",Movimientos!$R$2:$R$1993,0))=0,"S/D",INDEX(Movimientos!$M$2:$M$1993,MATCH(A320&amp;"ENTRADA",Movimientos!$R$2:$R$1993,0))),"S/D")</f>
        <v>S/D</v>
      </c>
      <c r="I320" s="15" t="str">
        <f t="shared" ca="1" si="10"/>
        <v>S/D</v>
      </c>
      <c r="J320" s="5">
        <f>IF(A320="","",SUMIFS(Movimientos!$K:$K,Movimientos!$H:$H,A320))</f>
        <v>0</v>
      </c>
      <c r="K320" s="13" t="str">
        <f t="shared" ca="1" si="11"/>
        <v>SIN STOCK</v>
      </c>
    </row>
    <row r="321" spans="1:11">
      <c r="A321" s="16" t="s">
        <v>2626</v>
      </c>
      <c r="B321" s="2" t="str">
        <f>IFERROR(INDEX(Movimientos!$C$2:$C$1993,MATCH(A321&amp;"ENTRADA",Movimientos!$R$2:$R$1993,0)),"-")</f>
        <v>-</v>
      </c>
      <c r="C321" s="2" t="str">
        <f>IFERROR(INDEX(Movimientos!$D$2:$D$1993,MATCH(A321&amp;"ENTRADA",Movimientos!$R$2:$R$1993,0)),"-")</f>
        <v>-</v>
      </c>
      <c r="D321" s="2" t="str">
        <f>IFERROR(INDEX(Movimientos!$E$2:$E$1993,MATCH(A321&amp;"ENTRADA",Movimientos!$R$2:$R$1993,0)),"-")</f>
        <v>-</v>
      </c>
      <c r="E321" s="2" t="str">
        <f>IFERROR(INDEX(Movimientos!$F$2:$F$1993,MATCH(A321&amp;"ENTRADA",Movimientos!$R$2:$R$1993,0)),"-")</f>
        <v>-</v>
      </c>
      <c r="F321" s="2" t="str">
        <f>IFERROR(INDEX(Movimientos!$G$2:$G$1993,MATCH(A321&amp;"ENTRADA",Movimientos!$R$2:$R$1993,0)),"-")</f>
        <v>-</v>
      </c>
      <c r="G321" s="2" t="str">
        <f>IFERROR(INDEX(Movimientos!$L$2:$L$1993,MATCH(A321&amp;"ENTRADA",Movimientos!$R$2:$R$1993,0)),"-")</f>
        <v>-</v>
      </c>
      <c r="H321" s="17" t="str">
        <f>IFERROR(IF(INDEX(Movimientos!$M$2:$M$1993,MATCH(A321&amp;"ENTRADA",Movimientos!$R$2:$R$1993,0))=0,"S/D",INDEX(Movimientos!$M$2:$M$1993,MATCH(A321&amp;"ENTRADA",Movimientos!$R$2:$R$1993,0))),"S/D")</f>
        <v>S/D</v>
      </c>
      <c r="I321" s="15" t="str">
        <f t="shared" ca="1" si="10"/>
        <v>S/D</v>
      </c>
      <c r="J321" s="5">
        <f>IF(A321="","",SUMIFS(Movimientos!$K:$K,Movimientos!$H:$H,A321))</f>
        <v>0</v>
      </c>
      <c r="K321" s="13" t="str">
        <f t="shared" ca="1" si="11"/>
        <v>SIN STOCK</v>
      </c>
    </row>
    <row r="322" spans="1:11">
      <c r="A322" s="16" t="s">
        <v>2627</v>
      </c>
      <c r="B322" s="2" t="str">
        <f>IFERROR(INDEX(Movimientos!$C$2:$C$1993,MATCH(A322&amp;"ENTRADA",Movimientos!$R$2:$R$1993,0)),"-")</f>
        <v>-</v>
      </c>
      <c r="C322" s="2" t="str">
        <f>IFERROR(INDEX(Movimientos!$D$2:$D$1993,MATCH(A322&amp;"ENTRADA",Movimientos!$R$2:$R$1993,0)),"-")</f>
        <v>-</v>
      </c>
      <c r="D322" s="2" t="str">
        <f>IFERROR(INDEX(Movimientos!$E$2:$E$1993,MATCH(A322&amp;"ENTRADA",Movimientos!$R$2:$R$1993,0)),"-")</f>
        <v>-</v>
      </c>
      <c r="E322" s="2" t="str">
        <f>IFERROR(INDEX(Movimientos!$F$2:$F$1993,MATCH(A322&amp;"ENTRADA",Movimientos!$R$2:$R$1993,0)),"-")</f>
        <v>-</v>
      </c>
      <c r="F322" s="2" t="str">
        <f>IFERROR(INDEX(Movimientos!$G$2:$G$1993,MATCH(A322&amp;"ENTRADA",Movimientos!$R$2:$R$1993,0)),"-")</f>
        <v>-</v>
      </c>
      <c r="G322" s="2" t="str">
        <f>IFERROR(INDEX(Movimientos!$L$2:$L$1993,MATCH(A322&amp;"ENTRADA",Movimientos!$R$2:$R$1993,0)),"-")</f>
        <v>-</v>
      </c>
      <c r="H322" s="17" t="str">
        <f>IFERROR(IF(INDEX(Movimientos!$M$2:$M$1993,MATCH(A322&amp;"ENTRADA",Movimientos!$R$2:$R$1993,0))=0,"S/D",INDEX(Movimientos!$M$2:$M$1993,MATCH(A322&amp;"ENTRADA",Movimientos!$R$2:$R$1993,0))),"S/D")</f>
        <v>S/D</v>
      </c>
      <c r="I322" s="15" t="str">
        <f t="shared" ca="1" si="10"/>
        <v>S/D</v>
      </c>
      <c r="J322" s="5">
        <f>IF(A322="","",SUMIFS(Movimientos!$K:$K,Movimientos!$H:$H,A322))</f>
        <v>0</v>
      </c>
      <c r="K322" s="13" t="str">
        <f t="shared" ca="1" si="11"/>
        <v>SIN STOCK</v>
      </c>
    </row>
    <row r="323" spans="1:11">
      <c r="A323" s="16" t="s">
        <v>2628</v>
      </c>
      <c r="B323" s="2" t="str">
        <f>IFERROR(INDEX(Movimientos!$C$2:$C$1993,MATCH(A323&amp;"ENTRADA",Movimientos!$R$2:$R$1993,0)),"-")</f>
        <v>-</v>
      </c>
      <c r="C323" s="2" t="str">
        <f>IFERROR(INDEX(Movimientos!$D$2:$D$1993,MATCH(A323&amp;"ENTRADA",Movimientos!$R$2:$R$1993,0)),"-")</f>
        <v>-</v>
      </c>
      <c r="D323" s="2" t="str">
        <f>IFERROR(INDEX(Movimientos!$E$2:$E$1993,MATCH(A323&amp;"ENTRADA",Movimientos!$R$2:$R$1993,0)),"-")</f>
        <v>-</v>
      </c>
      <c r="E323" s="2" t="str">
        <f>IFERROR(INDEX(Movimientos!$F$2:$F$1993,MATCH(A323&amp;"ENTRADA",Movimientos!$R$2:$R$1993,0)),"-")</f>
        <v>-</v>
      </c>
      <c r="F323" s="2" t="str">
        <f>IFERROR(INDEX(Movimientos!$G$2:$G$1993,MATCH(A323&amp;"ENTRADA",Movimientos!$R$2:$R$1993,0)),"-")</f>
        <v>-</v>
      </c>
      <c r="G323" s="2" t="str">
        <f>IFERROR(INDEX(Movimientos!$L$2:$L$1993,MATCH(A323&amp;"ENTRADA",Movimientos!$R$2:$R$1993,0)),"-")</f>
        <v>-</v>
      </c>
      <c r="H323" s="17" t="str">
        <f>IFERROR(IF(INDEX(Movimientos!$M$2:$M$1993,MATCH(A323&amp;"ENTRADA",Movimientos!$R$2:$R$1993,0))=0,"S/D",INDEX(Movimientos!$M$2:$M$1993,MATCH(A323&amp;"ENTRADA",Movimientos!$R$2:$R$1993,0))),"S/D")</f>
        <v>S/D</v>
      </c>
      <c r="I323" s="15" t="str">
        <f t="shared" ca="1" si="10"/>
        <v>S/D</v>
      </c>
      <c r="J323" s="5">
        <f>IF(A323="","",SUMIFS(Movimientos!$K:$K,Movimientos!$H:$H,A323))</f>
        <v>0</v>
      </c>
      <c r="K323" s="13" t="str">
        <f t="shared" ca="1" si="11"/>
        <v>SIN STOCK</v>
      </c>
    </row>
    <row r="324" spans="1:11">
      <c r="A324" s="16" t="s">
        <v>2629</v>
      </c>
      <c r="B324" s="2" t="str">
        <f>IFERROR(INDEX(Movimientos!$C$2:$C$1993,MATCH(A324&amp;"ENTRADA",Movimientos!$R$2:$R$1993,0)),"-")</f>
        <v>-</v>
      </c>
      <c r="C324" s="2" t="str">
        <f>IFERROR(INDEX(Movimientos!$D$2:$D$1993,MATCH(A324&amp;"ENTRADA",Movimientos!$R$2:$R$1993,0)),"-")</f>
        <v>-</v>
      </c>
      <c r="D324" s="2" t="str">
        <f>IFERROR(INDEX(Movimientos!$E$2:$E$1993,MATCH(A324&amp;"ENTRADA",Movimientos!$R$2:$R$1993,0)),"-")</f>
        <v>-</v>
      </c>
      <c r="E324" s="2" t="str">
        <f>IFERROR(INDEX(Movimientos!$F$2:$F$1993,MATCH(A324&amp;"ENTRADA",Movimientos!$R$2:$R$1993,0)),"-")</f>
        <v>-</v>
      </c>
      <c r="F324" s="2" t="str">
        <f>IFERROR(INDEX(Movimientos!$G$2:$G$1993,MATCH(A324&amp;"ENTRADA",Movimientos!$R$2:$R$1993,0)),"-")</f>
        <v>-</v>
      </c>
      <c r="G324" s="2" t="str">
        <f>IFERROR(INDEX(Movimientos!$L$2:$L$1993,MATCH(A324&amp;"ENTRADA",Movimientos!$R$2:$R$1993,0)),"-")</f>
        <v>-</v>
      </c>
      <c r="H324" s="17" t="str">
        <f>IFERROR(IF(INDEX(Movimientos!$M$2:$M$1993,MATCH(A324&amp;"ENTRADA",Movimientos!$R$2:$R$1993,0))=0,"S/D",INDEX(Movimientos!$M$2:$M$1993,MATCH(A324&amp;"ENTRADA",Movimientos!$R$2:$R$1993,0))),"S/D")</f>
        <v>S/D</v>
      </c>
      <c r="I324" s="15" t="str">
        <f t="shared" ca="1" si="10"/>
        <v>S/D</v>
      </c>
      <c r="J324" s="5">
        <f>IF(A324="","",SUMIFS(Movimientos!$K:$K,Movimientos!$H:$H,A324))</f>
        <v>0</v>
      </c>
      <c r="K324" s="13" t="str">
        <f t="shared" ca="1" si="11"/>
        <v>SIN STOCK</v>
      </c>
    </row>
    <row r="325" spans="1:11">
      <c r="A325" s="16" t="s">
        <v>2630</v>
      </c>
      <c r="B325" s="2" t="str">
        <f>IFERROR(INDEX(Movimientos!$C$2:$C$1993,MATCH(A325&amp;"ENTRADA",Movimientos!$R$2:$R$1993,0)),"-")</f>
        <v>-</v>
      </c>
      <c r="C325" s="2" t="str">
        <f>IFERROR(INDEX(Movimientos!$D$2:$D$1993,MATCH(A325&amp;"ENTRADA",Movimientos!$R$2:$R$1993,0)),"-")</f>
        <v>-</v>
      </c>
      <c r="D325" s="2" t="str">
        <f>IFERROR(INDEX(Movimientos!$E$2:$E$1993,MATCH(A325&amp;"ENTRADA",Movimientos!$R$2:$R$1993,0)),"-")</f>
        <v>-</v>
      </c>
      <c r="E325" s="2" t="str">
        <f>IFERROR(INDEX(Movimientos!$F$2:$F$1993,MATCH(A325&amp;"ENTRADA",Movimientos!$R$2:$R$1993,0)),"-")</f>
        <v>-</v>
      </c>
      <c r="F325" s="2" t="str">
        <f>IFERROR(INDEX(Movimientos!$G$2:$G$1993,MATCH(A325&amp;"ENTRADA",Movimientos!$R$2:$R$1993,0)),"-")</f>
        <v>-</v>
      </c>
      <c r="G325" s="2" t="str">
        <f>IFERROR(INDEX(Movimientos!$L$2:$L$1993,MATCH(A325&amp;"ENTRADA",Movimientos!$R$2:$R$1993,0)),"-")</f>
        <v>-</v>
      </c>
      <c r="H325" s="17" t="str">
        <f>IFERROR(IF(INDEX(Movimientos!$M$2:$M$1993,MATCH(A325&amp;"ENTRADA",Movimientos!$R$2:$R$1993,0))=0,"S/D",INDEX(Movimientos!$M$2:$M$1993,MATCH(A325&amp;"ENTRADA",Movimientos!$R$2:$R$1993,0))),"S/D")</f>
        <v>S/D</v>
      </c>
      <c r="I325" s="15" t="str">
        <f t="shared" ref="I325:I388" ca="1" si="12">IF(OR(A325="",H325="S/D"),"S/D",H325-TODAY())</f>
        <v>S/D</v>
      </c>
      <c r="J325" s="5">
        <f>IF(A325="","",SUMIFS(Movimientos!$K:$K,Movimientos!$H:$H,A325))</f>
        <v>0</v>
      </c>
      <c r="K325" s="13" t="str">
        <f t="shared" ca="1" si="11"/>
        <v>SIN STOCK</v>
      </c>
    </row>
    <row r="326" spans="1:11">
      <c r="A326" s="16" t="s">
        <v>2631</v>
      </c>
      <c r="B326" s="2" t="str">
        <f>IFERROR(INDEX(Movimientos!$C$2:$C$1993,MATCH(A326&amp;"ENTRADA",Movimientos!$R$2:$R$1993,0)),"-")</f>
        <v>-</v>
      </c>
      <c r="C326" s="2" t="str">
        <f>IFERROR(INDEX(Movimientos!$D$2:$D$1993,MATCH(A326&amp;"ENTRADA",Movimientos!$R$2:$R$1993,0)),"-")</f>
        <v>-</v>
      </c>
      <c r="D326" s="2" t="str">
        <f>IFERROR(INDEX(Movimientos!$E$2:$E$1993,MATCH(A326&amp;"ENTRADA",Movimientos!$R$2:$R$1993,0)),"-")</f>
        <v>-</v>
      </c>
      <c r="E326" s="2" t="str">
        <f>IFERROR(INDEX(Movimientos!$F$2:$F$1993,MATCH(A326&amp;"ENTRADA",Movimientos!$R$2:$R$1993,0)),"-")</f>
        <v>-</v>
      </c>
      <c r="F326" s="2" t="str">
        <f>IFERROR(INDEX(Movimientos!$G$2:$G$1993,MATCH(A326&amp;"ENTRADA",Movimientos!$R$2:$R$1993,0)),"-")</f>
        <v>-</v>
      </c>
      <c r="G326" s="2" t="str">
        <f>IFERROR(INDEX(Movimientos!$L$2:$L$1993,MATCH(A326&amp;"ENTRADA",Movimientos!$R$2:$R$1993,0)),"-")</f>
        <v>-</v>
      </c>
      <c r="H326" s="17" t="str">
        <f>IFERROR(IF(INDEX(Movimientos!$M$2:$M$1993,MATCH(A326&amp;"ENTRADA",Movimientos!$R$2:$R$1993,0))=0,"S/D",INDEX(Movimientos!$M$2:$M$1993,MATCH(A326&amp;"ENTRADA",Movimientos!$R$2:$R$1993,0))),"S/D")</f>
        <v>S/D</v>
      </c>
      <c r="I326" s="15" t="str">
        <f t="shared" ca="1" si="12"/>
        <v>S/D</v>
      </c>
      <c r="J326" s="5">
        <f>IF(A326="","",SUMIFS(Movimientos!$K:$K,Movimientos!$H:$H,A326))</f>
        <v>0</v>
      </c>
      <c r="K326" s="13" t="str">
        <f t="shared" ca="1" si="11"/>
        <v>SIN STOCK</v>
      </c>
    </row>
    <row r="327" spans="1:11">
      <c r="A327" s="16" t="s">
        <v>2632</v>
      </c>
      <c r="B327" s="2" t="str">
        <f>IFERROR(INDEX(Movimientos!$C$2:$C$1993,MATCH(A327&amp;"ENTRADA",Movimientos!$R$2:$R$1993,0)),"-")</f>
        <v>-</v>
      </c>
      <c r="C327" s="2" t="str">
        <f>IFERROR(INDEX(Movimientos!$D$2:$D$1993,MATCH(A327&amp;"ENTRADA",Movimientos!$R$2:$R$1993,0)),"-")</f>
        <v>-</v>
      </c>
      <c r="D327" s="2" t="str">
        <f>IFERROR(INDEX(Movimientos!$E$2:$E$1993,MATCH(A327&amp;"ENTRADA",Movimientos!$R$2:$R$1993,0)),"-")</f>
        <v>-</v>
      </c>
      <c r="E327" s="2" t="str">
        <f>IFERROR(INDEX(Movimientos!$F$2:$F$1993,MATCH(A327&amp;"ENTRADA",Movimientos!$R$2:$R$1993,0)),"-")</f>
        <v>-</v>
      </c>
      <c r="F327" s="2" t="str">
        <f>IFERROR(INDEX(Movimientos!$G$2:$G$1993,MATCH(A327&amp;"ENTRADA",Movimientos!$R$2:$R$1993,0)),"-")</f>
        <v>-</v>
      </c>
      <c r="G327" s="2" t="str">
        <f>IFERROR(INDEX(Movimientos!$L$2:$L$1993,MATCH(A327&amp;"ENTRADA",Movimientos!$R$2:$R$1993,0)),"-")</f>
        <v>-</v>
      </c>
      <c r="H327" s="17" t="str">
        <f>IFERROR(IF(INDEX(Movimientos!$M$2:$M$1993,MATCH(A327&amp;"ENTRADA",Movimientos!$R$2:$R$1993,0))=0,"S/D",INDEX(Movimientos!$M$2:$M$1993,MATCH(A327&amp;"ENTRADA",Movimientos!$R$2:$R$1993,0))),"S/D")</f>
        <v>S/D</v>
      </c>
      <c r="I327" s="15" t="str">
        <f t="shared" ca="1" si="12"/>
        <v>S/D</v>
      </c>
      <c r="J327" s="5">
        <f>IF(A327="","",SUMIFS(Movimientos!$K:$K,Movimientos!$H:$H,A327))</f>
        <v>0</v>
      </c>
      <c r="K327" s="13" t="str">
        <f t="shared" ca="1" si="11"/>
        <v>SIN STOCK</v>
      </c>
    </row>
    <row r="328" spans="1:11">
      <c r="A328" s="16" t="s">
        <v>2633</v>
      </c>
      <c r="B328" s="2" t="str">
        <f>IFERROR(INDEX(Movimientos!$C$2:$C$1993,MATCH(A328&amp;"ENTRADA",Movimientos!$R$2:$R$1993,0)),"-")</f>
        <v>-</v>
      </c>
      <c r="C328" s="2" t="str">
        <f>IFERROR(INDEX(Movimientos!$D$2:$D$1993,MATCH(A328&amp;"ENTRADA",Movimientos!$R$2:$R$1993,0)),"-")</f>
        <v>-</v>
      </c>
      <c r="D328" s="2" t="str">
        <f>IFERROR(INDEX(Movimientos!$E$2:$E$1993,MATCH(A328&amp;"ENTRADA",Movimientos!$R$2:$R$1993,0)),"-")</f>
        <v>-</v>
      </c>
      <c r="E328" s="2" t="str">
        <f>IFERROR(INDEX(Movimientos!$F$2:$F$1993,MATCH(A328&amp;"ENTRADA",Movimientos!$R$2:$R$1993,0)),"-")</f>
        <v>-</v>
      </c>
      <c r="F328" s="2" t="str">
        <f>IFERROR(INDEX(Movimientos!$G$2:$G$1993,MATCH(A328&amp;"ENTRADA",Movimientos!$R$2:$R$1993,0)),"-")</f>
        <v>-</v>
      </c>
      <c r="G328" s="2" t="str">
        <f>IFERROR(INDEX(Movimientos!$L$2:$L$1993,MATCH(A328&amp;"ENTRADA",Movimientos!$R$2:$R$1993,0)),"-")</f>
        <v>-</v>
      </c>
      <c r="H328" s="17" t="str">
        <f>IFERROR(IF(INDEX(Movimientos!$M$2:$M$1993,MATCH(A328&amp;"ENTRADA",Movimientos!$R$2:$R$1993,0))=0,"S/D",INDEX(Movimientos!$M$2:$M$1993,MATCH(A328&amp;"ENTRADA",Movimientos!$R$2:$R$1993,0))),"S/D")</f>
        <v>S/D</v>
      </c>
      <c r="I328" s="15" t="str">
        <f t="shared" ca="1" si="12"/>
        <v>S/D</v>
      </c>
      <c r="J328" s="5">
        <f>IF(A328="","",SUMIFS(Movimientos!$K:$K,Movimientos!$H:$H,A328))</f>
        <v>0</v>
      </c>
      <c r="K328" s="13" t="str">
        <f t="shared" ca="1" si="11"/>
        <v>SIN STOCK</v>
      </c>
    </row>
    <row r="329" spans="1:11">
      <c r="A329" s="16" t="s">
        <v>2634</v>
      </c>
      <c r="B329" s="2" t="str">
        <f>IFERROR(INDEX(Movimientos!$C$2:$C$1993,MATCH(A329&amp;"ENTRADA",Movimientos!$R$2:$R$1993,0)),"-")</f>
        <v>-</v>
      </c>
      <c r="C329" s="2" t="str">
        <f>IFERROR(INDEX(Movimientos!$D$2:$D$1993,MATCH(A329&amp;"ENTRADA",Movimientos!$R$2:$R$1993,0)),"-")</f>
        <v>-</v>
      </c>
      <c r="D329" s="2" t="str">
        <f>IFERROR(INDEX(Movimientos!$E$2:$E$1993,MATCH(A329&amp;"ENTRADA",Movimientos!$R$2:$R$1993,0)),"-")</f>
        <v>-</v>
      </c>
      <c r="E329" s="2" t="str">
        <f>IFERROR(INDEX(Movimientos!$F$2:$F$1993,MATCH(A329&amp;"ENTRADA",Movimientos!$R$2:$R$1993,0)),"-")</f>
        <v>-</v>
      </c>
      <c r="F329" s="2" t="str">
        <f>IFERROR(INDEX(Movimientos!$G$2:$G$1993,MATCH(A329&amp;"ENTRADA",Movimientos!$R$2:$R$1993,0)),"-")</f>
        <v>-</v>
      </c>
      <c r="G329" s="2" t="str">
        <f>IFERROR(INDEX(Movimientos!$L$2:$L$1993,MATCH(A329&amp;"ENTRADA",Movimientos!$R$2:$R$1993,0)),"-")</f>
        <v>-</v>
      </c>
      <c r="H329" s="17" t="str">
        <f>IFERROR(IF(INDEX(Movimientos!$M$2:$M$1993,MATCH(A329&amp;"ENTRADA",Movimientos!$R$2:$R$1993,0))=0,"S/D",INDEX(Movimientos!$M$2:$M$1993,MATCH(A329&amp;"ENTRADA",Movimientos!$R$2:$R$1993,0))),"S/D")</f>
        <v>S/D</v>
      </c>
      <c r="I329" s="15" t="str">
        <f t="shared" ca="1" si="12"/>
        <v>S/D</v>
      </c>
      <c r="J329" s="5">
        <f>IF(A329="","",SUMIFS(Movimientos!$K:$K,Movimientos!$H:$H,A329))</f>
        <v>0</v>
      </c>
      <c r="K329" s="13" t="str">
        <f t="shared" ca="1" si="11"/>
        <v>SIN STOCK</v>
      </c>
    </row>
    <row r="330" spans="1:11">
      <c r="A330" s="16" t="s">
        <v>2635</v>
      </c>
      <c r="B330" s="2" t="str">
        <f>IFERROR(INDEX(Movimientos!$C$2:$C$1993,MATCH(A330&amp;"ENTRADA",Movimientos!$R$2:$R$1993,0)),"-")</f>
        <v>-</v>
      </c>
      <c r="C330" s="2" t="str">
        <f>IFERROR(INDEX(Movimientos!$D$2:$D$1993,MATCH(A330&amp;"ENTRADA",Movimientos!$R$2:$R$1993,0)),"-")</f>
        <v>-</v>
      </c>
      <c r="D330" s="2" t="str">
        <f>IFERROR(INDEX(Movimientos!$E$2:$E$1993,MATCH(A330&amp;"ENTRADA",Movimientos!$R$2:$R$1993,0)),"-")</f>
        <v>-</v>
      </c>
      <c r="E330" s="2" t="str">
        <f>IFERROR(INDEX(Movimientos!$F$2:$F$1993,MATCH(A330&amp;"ENTRADA",Movimientos!$R$2:$R$1993,0)),"-")</f>
        <v>-</v>
      </c>
      <c r="F330" s="2" t="str">
        <f>IFERROR(INDEX(Movimientos!$G$2:$G$1993,MATCH(A330&amp;"ENTRADA",Movimientos!$R$2:$R$1993,0)),"-")</f>
        <v>-</v>
      </c>
      <c r="G330" s="2" t="str">
        <f>IFERROR(INDEX(Movimientos!$L$2:$L$1993,MATCH(A330&amp;"ENTRADA",Movimientos!$R$2:$R$1993,0)),"-")</f>
        <v>-</v>
      </c>
      <c r="H330" s="17" t="str">
        <f>IFERROR(IF(INDEX(Movimientos!$M$2:$M$1993,MATCH(A330&amp;"ENTRADA",Movimientos!$R$2:$R$1993,0))=0,"S/D",INDEX(Movimientos!$M$2:$M$1993,MATCH(A330&amp;"ENTRADA",Movimientos!$R$2:$R$1993,0))),"S/D")</f>
        <v>S/D</v>
      </c>
      <c r="I330" s="15" t="str">
        <f t="shared" ca="1" si="12"/>
        <v>S/D</v>
      </c>
      <c r="J330" s="5">
        <f>IF(A330="","",SUMIFS(Movimientos!$K:$K,Movimientos!$H:$H,A330))</f>
        <v>0</v>
      </c>
      <c r="K330" s="13" t="str">
        <f t="shared" ca="1" si="11"/>
        <v>SIN STOCK</v>
      </c>
    </row>
    <row r="331" spans="1:11">
      <c r="A331" s="16" t="s">
        <v>2636</v>
      </c>
      <c r="B331" s="2" t="str">
        <f>IFERROR(INDEX(Movimientos!$C$2:$C$1993,MATCH(A331&amp;"ENTRADA",Movimientos!$R$2:$R$1993,0)),"-")</f>
        <v>-</v>
      </c>
      <c r="C331" s="2" t="str">
        <f>IFERROR(INDEX(Movimientos!$D$2:$D$1993,MATCH(A331&amp;"ENTRADA",Movimientos!$R$2:$R$1993,0)),"-")</f>
        <v>-</v>
      </c>
      <c r="D331" s="2" t="str">
        <f>IFERROR(INDEX(Movimientos!$E$2:$E$1993,MATCH(A331&amp;"ENTRADA",Movimientos!$R$2:$R$1993,0)),"-")</f>
        <v>-</v>
      </c>
      <c r="E331" s="2" t="str">
        <f>IFERROR(INDEX(Movimientos!$F$2:$F$1993,MATCH(A331&amp;"ENTRADA",Movimientos!$R$2:$R$1993,0)),"-")</f>
        <v>-</v>
      </c>
      <c r="F331" s="2" t="str">
        <f>IFERROR(INDEX(Movimientos!$G$2:$G$1993,MATCH(A331&amp;"ENTRADA",Movimientos!$R$2:$R$1993,0)),"-")</f>
        <v>-</v>
      </c>
      <c r="G331" s="2" t="str">
        <f>IFERROR(INDEX(Movimientos!$L$2:$L$1993,MATCH(A331&amp;"ENTRADA",Movimientos!$R$2:$R$1993,0)),"-")</f>
        <v>-</v>
      </c>
      <c r="H331" s="17" t="str">
        <f>IFERROR(IF(INDEX(Movimientos!$M$2:$M$1993,MATCH(A331&amp;"ENTRADA",Movimientos!$R$2:$R$1993,0))=0,"S/D",INDEX(Movimientos!$M$2:$M$1993,MATCH(A331&amp;"ENTRADA",Movimientos!$R$2:$R$1993,0))),"S/D")</f>
        <v>S/D</v>
      </c>
      <c r="I331" s="15" t="str">
        <f t="shared" ca="1" si="12"/>
        <v>S/D</v>
      </c>
      <c r="J331" s="5">
        <f>IF(A331="","",SUMIFS(Movimientos!$K:$K,Movimientos!$H:$H,A331))</f>
        <v>0</v>
      </c>
      <c r="K331" s="13" t="str">
        <f t="shared" ca="1" si="11"/>
        <v>SIN STOCK</v>
      </c>
    </row>
    <row r="332" spans="1:11">
      <c r="A332" s="16" t="s">
        <v>2637</v>
      </c>
      <c r="B332" s="2" t="str">
        <f>IFERROR(INDEX(Movimientos!$C$2:$C$1993,MATCH(A332&amp;"ENTRADA",Movimientos!$R$2:$R$1993,0)),"-")</f>
        <v>-</v>
      </c>
      <c r="C332" s="2" t="str">
        <f>IFERROR(INDEX(Movimientos!$D$2:$D$1993,MATCH(A332&amp;"ENTRADA",Movimientos!$R$2:$R$1993,0)),"-")</f>
        <v>-</v>
      </c>
      <c r="D332" s="2" t="str">
        <f>IFERROR(INDEX(Movimientos!$E$2:$E$1993,MATCH(A332&amp;"ENTRADA",Movimientos!$R$2:$R$1993,0)),"-")</f>
        <v>-</v>
      </c>
      <c r="E332" s="2" t="str">
        <f>IFERROR(INDEX(Movimientos!$F$2:$F$1993,MATCH(A332&amp;"ENTRADA",Movimientos!$R$2:$R$1993,0)),"-")</f>
        <v>-</v>
      </c>
      <c r="F332" s="2" t="str">
        <f>IFERROR(INDEX(Movimientos!$G$2:$G$1993,MATCH(A332&amp;"ENTRADA",Movimientos!$R$2:$R$1993,0)),"-")</f>
        <v>-</v>
      </c>
      <c r="G332" s="2" t="str">
        <f>IFERROR(INDEX(Movimientos!$L$2:$L$1993,MATCH(A332&amp;"ENTRADA",Movimientos!$R$2:$R$1993,0)),"-")</f>
        <v>-</v>
      </c>
      <c r="H332" s="17" t="str">
        <f>IFERROR(IF(INDEX(Movimientos!$M$2:$M$1993,MATCH(A332&amp;"ENTRADA",Movimientos!$R$2:$R$1993,0))=0,"S/D",INDEX(Movimientos!$M$2:$M$1993,MATCH(A332&amp;"ENTRADA",Movimientos!$R$2:$R$1993,0))),"S/D")</f>
        <v>S/D</v>
      </c>
      <c r="I332" s="15" t="str">
        <f t="shared" ca="1" si="12"/>
        <v>S/D</v>
      </c>
      <c r="J332" s="5">
        <f>IF(A332="","",SUMIFS(Movimientos!$K:$K,Movimientos!$H:$H,A332))</f>
        <v>0</v>
      </c>
      <c r="K332" s="13" t="str">
        <f t="shared" ca="1" si="11"/>
        <v>SIN STOCK</v>
      </c>
    </row>
    <row r="333" spans="1:11">
      <c r="A333" s="16" t="s">
        <v>2638</v>
      </c>
      <c r="B333" s="2" t="str">
        <f>IFERROR(INDEX(Movimientos!$C$2:$C$1993,MATCH(A333&amp;"ENTRADA",Movimientos!$R$2:$R$1993,0)),"-")</f>
        <v>-</v>
      </c>
      <c r="C333" s="2" t="str">
        <f>IFERROR(INDEX(Movimientos!$D$2:$D$1993,MATCH(A333&amp;"ENTRADA",Movimientos!$R$2:$R$1993,0)),"-")</f>
        <v>-</v>
      </c>
      <c r="D333" s="2" t="str">
        <f>IFERROR(INDEX(Movimientos!$E$2:$E$1993,MATCH(A333&amp;"ENTRADA",Movimientos!$R$2:$R$1993,0)),"-")</f>
        <v>-</v>
      </c>
      <c r="E333" s="2" t="str">
        <f>IFERROR(INDEX(Movimientos!$F$2:$F$1993,MATCH(A333&amp;"ENTRADA",Movimientos!$R$2:$R$1993,0)),"-")</f>
        <v>-</v>
      </c>
      <c r="F333" s="2" t="str">
        <f>IFERROR(INDEX(Movimientos!$G$2:$G$1993,MATCH(A333&amp;"ENTRADA",Movimientos!$R$2:$R$1993,0)),"-")</f>
        <v>-</v>
      </c>
      <c r="G333" s="2" t="str">
        <f>IFERROR(INDEX(Movimientos!$L$2:$L$1993,MATCH(A333&amp;"ENTRADA",Movimientos!$R$2:$R$1993,0)),"-")</f>
        <v>-</v>
      </c>
      <c r="H333" s="17" t="str">
        <f>IFERROR(IF(INDEX(Movimientos!$M$2:$M$1993,MATCH(A333&amp;"ENTRADA",Movimientos!$R$2:$R$1993,0))=0,"S/D",INDEX(Movimientos!$M$2:$M$1993,MATCH(A333&amp;"ENTRADA",Movimientos!$R$2:$R$1993,0))),"S/D")</f>
        <v>S/D</v>
      </c>
      <c r="I333" s="15" t="str">
        <f t="shared" ca="1" si="12"/>
        <v>S/D</v>
      </c>
      <c r="J333" s="5">
        <f>IF(A333="","",SUMIFS(Movimientos!$K:$K,Movimientos!$H:$H,A333))</f>
        <v>0</v>
      </c>
      <c r="K333" s="13" t="str">
        <f t="shared" ca="1" si="11"/>
        <v>SIN STOCK</v>
      </c>
    </row>
    <row r="334" spans="1:11">
      <c r="A334" s="16" t="s">
        <v>2639</v>
      </c>
      <c r="B334" s="2" t="str">
        <f>IFERROR(INDEX(Movimientos!$C$2:$C$1993,MATCH(A334&amp;"ENTRADA",Movimientos!$R$2:$R$1993,0)),"-")</f>
        <v>-</v>
      </c>
      <c r="C334" s="2" t="str">
        <f>IFERROR(INDEX(Movimientos!$D$2:$D$1993,MATCH(A334&amp;"ENTRADA",Movimientos!$R$2:$R$1993,0)),"-")</f>
        <v>-</v>
      </c>
      <c r="D334" s="2" t="str">
        <f>IFERROR(INDEX(Movimientos!$E$2:$E$1993,MATCH(A334&amp;"ENTRADA",Movimientos!$R$2:$R$1993,0)),"-")</f>
        <v>-</v>
      </c>
      <c r="E334" s="2" t="str">
        <f>IFERROR(INDEX(Movimientos!$F$2:$F$1993,MATCH(A334&amp;"ENTRADA",Movimientos!$R$2:$R$1993,0)),"-")</f>
        <v>-</v>
      </c>
      <c r="F334" s="2" t="str">
        <f>IFERROR(INDEX(Movimientos!$G$2:$G$1993,MATCH(A334&amp;"ENTRADA",Movimientos!$R$2:$R$1993,0)),"-")</f>
        <v>-</v>
      </c>
      <c r="G334" s="2" t="str">
        <f>IFERROR(INDEX(Movimientos!$L$2:$L$1993,MATCH(A334&amp;"ENTRADA",Movimientos!$R$2:$R$1993,0)),"-")</f>
        <v>-</v>
      </c>
      <c r="H334" s="17" t="str">
        <f>IFERROR(IF(INDEX(Movimientos!$M$2:$M$1993,MATCH(A334&amp;"ENTRADA",Movimientos!$R$2:$R$1993,0))=0,"S/D",INDEX(Movimientos!$M$2:$M$1993,MATCH(A334&amp;"ENTRADA",Movimientos!$R$2:$R$1993,0))),"S/D")</f>
        <v>S/D</v>
      </c>
      <c r="I334" s="15" t="str">
        <f t="shared" ca="1" si="12"/>
        <v>S/D</v>
      </c>
      <c r="J334" s="5">
        <f>IF(A334="","",SUMIFS(Movimientos!$K:$K,Movimientos!$H:$H,A334))</f>
        <v>0</v>
      </c>
      <c r="K334" s="13" t="str">
        <f t="shared" ca="1" si="11"/>
        <v>SIN STOCK</v>
      </c>
    </row>
    <row r="335" spans="1:11">
      <c r="A335" s="16" t="s">
        <v>2640</v>
      </c>
      <c r="B335" s="2" t="str">
        <f>IFERROR(INDEX(Movimientos!$C$2:$C$1993,MATCH(A335&amp;"ENTRADA",Movimientos!$R$2:$R$1993,0)),"-")</f>
        <v>-</v>
      </c>
      <c r="C335" s="2" t="str">
        <f>IFERROR(INDEX(Movimientos!$D$2:$D$1993,MATCH(A335&amp;"ENTRADA",Movimientos!$R$2:$R$1993,0)),"-")</f>
        <v>-</v>
      </c>
      <c r="D335" s="2" t="str">
        <f>IFERROR(INDEX(Movimientos!$E$2:$E$1993,MATCH(A335&amp;"ENTRADA",Movimientos!$R$2:$R$1993,0)),"-")</f>
        <v>-</v>
      </c>
      <c r="E335" s="2" t="str">
        <f>IFERROR(INDEX(Movimientos!$F$2:$F$1993,MATCH(A335&amp;"ENTRADA",Movimientos!$R$2:$R$1993,0)),"-")</f>
        <v>-</v>
      </c>
      <c r="F335" s="2" t="str">
        <f>IFERROR(INDEX(Movimientos!$G$2:$G$1993,MATCH(A335&amp;"ENTRADA",Movimientos!$R$2:$R$1993,0)),"-")</f>
        <v>-</v>
      </c>
      <c r="G335" s="2" t="str">
        <f>IFERROR(INDEX(Movimientos!$L$2:$L$1993,MATCH(A335&amp;"ENTRADA",Movimientos!$R$2:$R$1993,0)),"-")</f>
        <v>-</v>
      </c>
      <c r="H335" s="17" t="str">
        <f>IFERROR(IF(INDEX(Movimientos!$M$2:$M$1993,MATCH(A335&amp;"ENTRADA",Movimientos!$R$2:$R$1993,0))=0,"S/D",INDEX(Movimientos!$M$2:$M$1993,MATCH(A335&amp;"ENTRADA",Movimientos!$R$2:$R$1993,0))),"S/D")</f>
        <v>S/D</v>
      </c>
      <c r="I335" s="15" t="str">
        <f t="shared" ca="1" si="12"/>
        <v>S/D</v>
      </c>
      <c r="J335" s="5">
        <f>IF(A335="","",SUMIFS(Movimientos!$K:$K,Movimientos!$H:$H,A335))</f>
        <v>0</v>
      </c>
      <c r="K335" s="13" t="str">
        <f t="shared" ca="1" si="11"/>
        <v>SIN STOCK</v>
      </c>
    </row>
    <row r="336" spans="1:11">
      <c r="A336" s="16" t="s">
        <v>2641</v>
      </c>
      <c r="B336" s="2" t="str">
        <f>IFERROR(INDEX(Movimientos!$C$2:$C$1993,MATCH(A336&amp;"ENTRADA",Movimientos!$R$2:$R$1993,0)),"-")</f>
        <v>-</v>
      </c>
      <c r="C336" s="2" t="str">
        <f>IFERROR(INDEX(Movimientos!$D$2:$D$1993,MATCH(A336&amp;"ENTRADA",Movimientos!$R$2:$R$1993,0)),"-")</f>
        <v>-</v>
      </c>
      <c r="D336" s="2" t="str">
        <f>IFERROR(INDEX(Movimientos!$E$2:$E$1993,MATCH(A336&amp;"ENTRADA",Movimientos!$R$2:$R$1993,0)),"-")</f>
        <v>-</v>
      </c>
      <c r="E336" s="2" t="str">
        <f>IFERROR(INDEX(Movimientos!$F$2:$F$1993,MATCH(A336&amp;"ENTRADA",Movimientos!$R$2:$R$1993,0)),"-")</f>
        <v>-</v>
      </c>
      <c r="F336" s="2" t="str">
        <f>IFERROR(INDEX(Movimientos!$G$2:$G$1993,MATCH(A336&amp;"ENTRADA",Movimientos!$R$2:$R$1993,0)),"-")</f>
        <v>-</v>
      </c>
      <c r="G336" s="2" t="str">
        <f>IFERROR(INDEX(Movimientos!$L$2:$L$1993,MATCH(A336&amp;"ENTRADA",Movimientos!$R$2:$R$1993,0)),"-")</f>
        <v>-</v>
      </c>
      <c r="H336" s="17" t="str">
        <f>IFERROR(IF(INDEX(Movimientos!$M$2:$M$1993,MATCH(A336&amp;"ENTRADA",Movimientos!$R$2:$R$1993,0))=0,"S/D",INDEX(Movimientos!$M$2:$M$1993,MATCH(A336&amp;"ENTRADA",Movimientos!$R$2:$R$1993,0))),"S/D")</f>
        <v>S/D</v>
      </c>
      <c r="I336" s="15" t="str">
        <f t="shared" ca="1" si="12"/>
        <v>S/D</v>
      </c>
      <c r="J336" s="5">
        <f>IF(A336="","",SUMIFS(Movimientos!$K:$K,Movimientos!$H:$H,A336))</f>
        <v>0</v>
      </c>
      <c r="K336" s="13" t="str">
        <f t="shared" ca="1" si="11"/>
        <v>SIN STOCK</v>
      </c>
    </row>
    <row r="337" spans="1:11">
      <c r="A337" s="16" t="s">
        <v>2642</v>
      </c>
      <c r="B337" s="2" t="str">
        <f>IFERROR(INDEX(Movimientos!$C$2:$C$1993,MATCH(A337&amp;"ENTRADA",Movimientos!$R$2:$R$1993,0)),"-")</f>
        <v>-</v>
      </c>
      <c r="C337" s="2" t="str">
        <f>IFERROR(INDEX(Movimientos!$D$2:$D$1993,MATCH(A337&amp;"ENTRADA",Movimientos!$R$2:$R$1993,0)),"-")</f>
        <v>-</v>
      </c>
      <c r="D337" s="2" t="str">
        <f>IFERROR(INDEX(Movimientos!$E$2:$E$1993,MATCH(A337&amp;"ENTRADA",Movimientos!$R$2:$R$1993,0)),"-")</f>
        <v>-</v>
      </c>
      <c r="E337" s="2" t="str">
        <f>IFERROR(INDEX(Movimientos!$F$2:$F$1993,MATCH(A337&amp;"ENTRADA",Movimientos!$R$2:$R$1993,0)),"-")</f>
        <v>-</v>
      </c>
      <c r="F337" s="2" t="str">
        <f>IFERROR(INDEX(Movimientos!$G$2:$G$1993,MATCH(A337&amp;"ENTRADA",Movimientos!$R$2:$R$1993,0)),"-")</f>
        <v>-</v>
      </c>
      <c r="G337" s="2" t="str">
        <f>IFERROR(INDEX(Movimientos!$L$2:$L$1993,MATCH(A337&amp;"ENTRADA",Movimientos!$R$2:$R$1993,0)),"-")</f>
        <v>-</v>
      </c>
      <c r="H337" s="17" t="str">
        <f>IFERROR(IF(INDEX(Movimientos!$M$2:$M$1993,MATCH(A337&amp;"ENTRADA",Movimientos!$R$2:$R$1993,0))=0,"S/D",INDEX(Movimientos!$M$2:$M$1993,MATCH(A337&amp;"ENTRADA",Movimientos!$R$2:$R$1993,0))),"S/D")</f>
        <v>S/D</v>
      </c>
      <c r="I337" s="15" t="str">
        <f t="shared" ca="1" si="12"/>
        <v>S/D</v>
      </c>
      <c r="J337" s="5">
        <f>IF(A337="","",SUMIFS(Movimientos!$K:$K,Movimientos!$H:$H,A337))</f>
        <v>0</v>
      </c>
      <c r="K337" s="13" t="str">
        <f t="shared" ca="1" si="11"/>
        <v>SIN STOCK</v>
      </c>
    </row>
    <row r="338" spans="1:11">
      <c r="A338" s="16" t="s">
        <v>2643</v>
      </c>
      <c r="B338" s="2" t="str">
        <f>IFERROR(INDEX(Movimientos!$C$2:$C$1993,MATCH(A338&amp;"ENTRADA",Movimientos!$R$2:$R$1993,0)),"-")</f>
        <v>-</v>
      </c>
      <c r="C338" s="2" t="str">
        <f>IFERROR(INDEX(Movimientos!$D$2:$D$1993,MATCH(A338&amp;"ENTRADA",Movimientos!$R$2:$R$1993,0)),"-")</f>
        <v>-</v>
      </c>
      <c r="D338" s="2" t="str">
        <f>IFERROR(INDEX(Movimientos!$E$2:$E$1993,MATCH(A338&amp;"ENTRADA",Movimientos!$R$2:$R$1993,0)),"-")</f>
        <v>-</v>
      </c>
      <c r="E338" s="2" t="str">
        <f>IFERROR(INDEX(Movimientos!$F$2:$F$1993,MATCH(A338&amp;"ENTRADA",Movimientos!$R$2:$R$1993,0)),"-")</f>
        <v>-</v>
      </c>
      <c r="F338" s="2" t="str">
        <f>IFERROR(INDEX(Movimientos!$G$2:$G$1993,MATCH(A338&amp;"ENTRADA",Movimientos!$R$2:$R$1993,0)),"-")</f>
        <v>-</v>
      </c>
      <c r="G338" s="2" t="str">
        <f>IFERROR(INDEX(Movimientos!$L$2:$L$1993,MATCH(A338&amp;"ENTRADA",Movimientos!$R$2:$R$1993,0)),"-")</f>
        <v>-</v>
      </c>
      <c r="H338" s="17" t="str">
        <f>IFERROR(IF(INDEX(Movimientos!$M$2:$M$1993,MATCH(A338&amp;"ENTRADA",Movimientos!$R$2:$R$1993,0))=0,"S/D",INDEX(Movimientos!$M$2:$M$1993,MATCH(A338&amp;"ENTRADA",Movimientos!$R$2:$R$1993,0))),"S/D")</f>
        <v>S/D</v>
      </c>
      <c r="I338" s="15" t="str">
        <f t="shared" ca="1" si="12"/>
        <v>S/D</v>
      </c>
      <c r="J338" s="5">
        <f>IF(A338="","",SUMIFS(Movimientos!$K:$K,Movimientos!$H:$H,A338))</f>
        <v>0</v>
      </c>
      <c r="K338" s="13" t="str">
        <f t="shared" ca="1" si="11"/>
        <v>SIN STOCK</v>
      </c>
    </row>
    <row r="339" spans="1:11">
      <c r="A339" s="16" t="s">
        <v>2644</v>
      </c>
      <c r="B339" s="2" t="str">
        <f>IFERROR(INDEX(Movimientos!$C$2:$C$1993,MATCH(A339&amp;"ENTRADA",Movimientos!$R$2:$R$1993,0)),"-")</f>
        <v>-</v>
      </c>
      <c r="C339" s="2" t="str">
        <f>IFERROR(INDEX(Movimientos!$D$2:$D$1993,MATCH(A339&amp;"ENTRADA",Movimientos!$R$2:$R$1993,0)),"-")</f>
        <v>-</v>
      </c>
      <c r="D339" s="2" t="str">
        <f>IFERROR(INDEX(Movimientos!$E$2:$E$1993,MATCH(A339&amp;"ENTRADA",Movimientos!$R$2:$R$1993,0)),"-")</f>
        <v>-</v>
      </c>
      <c r="E339" s="2" t="str">
        <f>IFERROR(INDEX(Movimientos!$F$2:$F$1993,MATCH(A339&amp;"ENTRADA",Movimientos!$R$2:$R$1993,0)),"-")</f>
        <v>-</v>
      </c>
      <c r="F339" s="2" t="str">
        <f>IFERROR(INDEX(Movimientos!$G$2:$G$1993,MATCH(A339&amp;"ENTRADA",Movimientos!$R$2:$R$1993,0)),"-")</f>
        <v>-</v>
      </c>
      <c r="G339" s="2" t="str">
        <f>IFERROR(INDEX(Movimientos!$L$2:$L$1993,MATCH(A339&amp;"ENTRADA",Movimientos!$R$2:$R$1993,0)),"-")</f>
        <v>-</v>
      </c>
      <c r="H339" s="17" t="str">
        <f>IFERROR(IF(INDEX(Movimientos!$M$2:$M$1993,MATCH(A339&amp;"ENTRADA",Movimientos!$R$2:$R$1993,0))=0,"S/D",INDEX(Movimientos!$M$2:$M$1993,MATCH(A339&amp;"ENTRADA",Movimientos!$R$2:$R$1993,0))),"S/D")</f>
        <v>S/D</v>
      </c>
      <c r="I339" s="15" t="str">
        <f t="shared" ca="1" si="12"/>
        <v>S/D</v>
      </c>
      <c r="J339" s="5">
        <f>IF(A339="","",SUMIFS(Movimientos!$K:$K,Movimientos!$H:$H,A339))</f>
        <v>0</v>
      </c>
      <c r="K339" s="13" t="str">
        <f t="shared" ca="1" si="11"/>
        <v>SIN STOCK</v>
      </c>
    </row>
    <row r="340" spans="1:11">
      <c r="A340" s="16" t="s">
        <v>2645</v>
      </c>
      <c r="B340" s="2" t="str">
        <f>IFERROR(INDEX(Movimientos!$C$2:$C$1993,MATCH(A340&amp;"ENTRADA",Movimientos!$R$2:$R$1993,0)),"-")</f>
        <v>-</v>
      </c>
      <c r="C340" s="2" t="str">
        <f>IFERROR(INDEX(Movimientos!$D$2:$D$1993,MATCH(A340&amp;"ENTRADA",Movimientos!$R$2:$R$1993,0)),"-")</f>
        <v>-</v>
      </c>
      <c r="D340" s="2" t="str">
        <f>IFERROR(INDEX(Movimientos!$E$2:$E$1993,MATCH(A340&amp;"ENTRADA",Movimientos!$R$2:$R$1993,0)),"-")</f>
        <v>-</v>
      </c>
      <c r="E340" s="2" t="str">
        <f>IFERROR(INDEX(Movimientos!$F$2:$F$1993,MATCH(A340&amp;"ENTRADA",Movimientos!$R$2:$R$1993,0)),"-")</f>
        <v>-</v>
      </c>
      <c r="F340" s="2" t="str">
        <f>IFERROR(INDEX(Movimientos!$G$2:$G$1993,MATCH(A340&amp;"ENTRADA",Movimientos!$R$2:$R$1993,0)),"-")</f>
        <v>-</v>
      </c>
      <c r="G340" s="2" t="str">
        <f>IFERROR(INDEX(Movimientos!$L$2:$L$1993,MATCH(A340&amp;"ENTRADA",Movimientos!$R$2:$R$1993,0)),"-")</f>
        <v>-</v>
      </c>
      <c r="H340" s="17" t="str">
        <f>IFERROR(IF(INDEX(Movimientos!$M$2:$M$1993,MATCH(A340&amp;"ENTRADA",Movimientos!$R$2:$R$1993,0))=0,"S/D",INDEX(Movimientos!$M$2:$M$1993,MATCH(A340&amp;"ENTRADA",Movimientos!$R$2:$R$1993,0))),"S/D")</f>
        <v>S/D</v>
      </c>
      <c r="I340" s="15" t="str">
        <f t="shared" ca="1" si="12"/>
        <v>S/D</v>
      </c>
      <c r="J340" s="5">
        <f>IF(A340="","",SUMIFS(Movimientos!$K:$K,Movimientos!$H:$H,A340))</f>
        <v>0</v>
      </c>
      <c r="K340" s="13" t="str">
        <f t="shared" ca="1" si="11"/>
        <v>SIN STOCK</v>
      </c>
    </row>
    <row r="341" spans="1:11">
      <c r="A341" s="16" t="s">
        <v>2646</v>
      </c>
      <c r="B341" s="2" t="str">
        <f>IFERROR(INDEX(Movimientos!$C$2:$C$1993,MATCH(A341&amp;"ENTRADA",Movimientos!$R$2:$R$1993,0)),"-")</f>
        <v>-</v>
      </c>
      <c r="C341" s="2" t="str">
        <f>IFERROR(INDEX(Movimientos!$D$2:$D$1993,MATCH(A341&amp;"ENTRADA",Movimientos!$R$2:$R$1993,0)),"-")</f>
        <v>-</v>
      </c>
      <c r="D341" s="2" t="str">
        <f>IFERROR(INDEX(Movimientos!$E$2:$E$1993,MATCH(A341&amp;"ENTRADA",Movimientos!$R$2:$R$1993,0)),"-")</f>
        <v>-</v>
      </c>
      <c r="E341" s="2" t="str">
        <f>IFERROR(INDEX(Movimientos!$F$2:$F$1993,MATCH(A341&amp;"ENTRADA",Movimientos!$R$2:$R$1993,0)),"-")</f>
        <v>-</v>
      </c>
      <c r="F341" s="2" t="str">
        <f>IFERROR(INDEX(Movimientos!$G$2:$G$1993,MATCH(A341&amp;"ENTRADA",Movimientos!$R$2:$R$1993,0)),"-")</f>
        <v>-</v>
      </c>
      <c r="G341" s="2" t="str">
        <f>IFERROR(INDEX(Movimientos!$L$2:$L$1993,MATCH(A341&amp;"ENTRADA",Movimientos!$R$2:$R$1993,0)),"-")</f>
        <v>-</v>
      </c>
      <c r="H341" s="17" t="str">
        <f>IFERROR(IF(INDEX(Movimientos!$M$2:$M$1993,MATCH(A341&amp;"ENTRADA",Movimientos!$R$2:$R$1993,0))=0,"S/D",INDEX(Movimientos!$M$2:$M$1993,MATCH(A341&amp;"ENTRADA",Movimientos!$R$2:$R$1993,0))),"S/D")</f>
        <v>S/D</v>
      </c>
      <c r="I341" s="15" t="str">
        <f t="shared" ca="1" si="12"/>
        <v>S/D</v>
      </c>
      <c r="J341" s="5">
        <f>IF(A341="","",SUMIFS(Movimientos!$K:$K,Movimientos!$H:$H,A341))</f>
        <v>0</v>
      </c>
      <c r="K341" s="13" t="str">
        <f t="shared" ca="1" si="11"/>
        <v>SIN STOCK</v>
      </c>
    </row>
    <row r="342" spans="1:11">
      <c r="A342" s="16" t="s">
        <v>2647</v>
      </c>
      <c r="B342" s="2" t="str">
        <f>IFERROR(INDEX(Movimientos!$C$2:$C$1993,MATCH(A342&amp;"ENTRADA",Movimientos!$R$2:$R$1993,0)),"-")</f>
        <v>-</v>
      </c>
      <c r="C342" s="2" t="str">
        <f>IFERROR(INDEX(Movimientos!$D$2:$D$1993,MATCH(A342&amp;"ENTRADA",Movimientos!$R$2:$R$1993,0)),"-")</f>
        <v>-</v>
      </c>
      <c r="D342" s="2" t="str">
        <f>IFERROR(INDEX(Movimientos!$E$2:$E$1993,MATCH(A342&amp;"ENTRADA",Movimientos!$R$2:$R$1993,0)),"-")</f>
        <v>-</v>
      </c>
      <c r="E342" s="2" t="str">
        <f>IFERROR(INDEX(Movimientos!$F$2:$F$1993,MATCH(A342&amp;"ENTRADA",Movimientos!$R$2:$R$1993,0)),"-")</f>
        <v>-</v>
      </c>
      <c r="F342" s="2" t="str">
        <f>IFERROR(INDEX(Movimientos!$G$2:$G$1993,MATCH(A342&amp;"ENTRADA",Movimientos!$R$2:$R$1993,0)),"-")</f>
        <v>-</v>
      </c>
      <c r="G342" s="2" t="str">
        <f>IFERROR(INDEX(Movimientos!$L$2:$L$1993,MATCH(A342&amp;"ENTRADA",Movimientos!$R$2:$R$1993,0)),"-")</f>
        <v>-</v>
      </c>
      <c r="H342" s="17" t="str">
        <f>IFERROR(IF(INDEX(Movimientos!$M$2:$M$1993,MATCH(A342&amp;"ENTRADA",Movimientos!$R$2:$R$1993,0))=0,"S/D",INDEX(Movimientos!$M$2:$M$1993,MATCH(A342&amp;"ENTRADA",Movimientos!$R$2:$R$1993,0))),"S/D")</f>
        <v>S/D</v>
      </c>
      <c r="I342" s="15" t="str">
        <f t="shared" ca="1" si="12"/>
        <v>S/D</v>
      </c>
      <c r="J342" s="5">
        <f>IF(A342="","",SUMIFS(Movimientos!$K:$K,Movimientos!$H:$H,A342))</f>
        <v>0</v>
      </c>
      <c r="K342" s="13" t="str">
        <f t="shared" ca="1" si="11"/>
        <v>SIN STOCK</v>
      </c>
    </row>
    <row r="343" spans="1:11">
      <c r="A343" s="16" t="s">
        <v>2648</v>
      </c>
      <c r="B343" s="2" t="str">
        <f>IFERROR(INDEX(Movimientos!$C$2:$C$1993,MATCH(A343&amp;"ENTRADA",Movimientos!$R$2:$R$1993,0)),"-")</f>
        <v>-</v>
      </c>
      <c r="C343" s="2" t="str">
        <f>IFERROR(INDEX(Movimientos!$D$2:$D$1993,MATCH(A343&amp;"ENTRADA",Movimientos!$R$2:$R$1993,0)),"-")</f>
        <v>-</v>
      </c>
      <c r="D343" s="2" t="str">
        <f>IFERROR(INDEX(Movimientos!$E$2:$E$1993,MATCH(A343&amp;"ENTRADA",Movimientos!$R$2:$R$1993,0)),"-")</f>
        <v>-</v>
      </c>
      <c r="E343" s="2" t="str">
        <f>IFERROR(INDEX(Movimientos!$F$2:$F$1993,MATCH(A343&amp;"ENTRADA",Movimientos!$R$2:$R$1993,0)),"-")</f>
        <v>-</v>
      </c>
      <c r="F343" s="2" t="str">
        <f>IFERROR(INDEX(Movimientos!$G$2:$G$1993,MATCH(A343&amp;"ENTRADA",Movimientos!$R$2:$R$1993,0)),"-")</f>
        <v>-</v>
      </c>
      <c r="G343" s="2" t="str">
        <f>IFERROR(INDEX(Movimientos!$L$2:$L$1993,MATCH(A343&amp;"ENTRADA",Movimientos!$R$2:$R$1993,0)),"-")</f>
        <v>-</v>
      </c>
      <c r="H343" s="17" t="str">
        <f>IFERROR(IF(INDEX(Movimientos!$M$2:$M$1993,MATCH(A343&amp;"ENTRADA",Movimientos!$R$2:$R$1993,0))=0,"S/D",INDEX(Movimientos!$M$2:$M$1993,MATCH(A343&amp;"ENTRADA",Movimientos!$R$2:$R$1993,0))),"S/D")</f>
        <v>S/D</v>
      </c>
      <c r="I343" s="15" t="str">
        <f t="shared" ca="1" si="12"/>
        <v>S/D</v>
      </c>
      <c r="J343" s="5">
        <f>IF(A343="","",SUMIFS(Movimientos!$K:$K,Movimientos!$H:$H,A343))</f>
        <v>0</v>
      </c>
      <c r="K343" s="13" t="str">
        <f t="shared" ca="1" si="11"/>
        <v>SIN STOCK</v>
      </c>
    </row>
    <row r="344" spans="1:11">
      <c r="A344" s="16" t="s">
        <v>2649</v>
      </c>
      <c r="B344" s="2" t="str">
        <f>IFERROR(INDEX(Movimientos!$C$2:$C$1993,MATCH(A344&amp;"ENTRADA",Movimientos!$R$2:$R$1993,0)),"-")</f>
        <v>-</v>
      </c>
      <c r="C344" s="2" t="str">
        <f>IFERROR(INDEX(Movimientos!$D$2:$D$1993,MATCH(A344&amp;"ENTRADA",Movimientos!$R$2:$R$1993,0)),"-")</f>
        <v>-</v>
      </c>
      <c r="D344" s="2" t="str">
        <f>IFERROR(INDEX(Movimientos!$E$2:$E$1993,MATCH(A344&amp;"ENTRADA",Movimientos!$R$2:$R$1993,0)),"-")</f>
        <v>-</v>
      </c>
      <c r="E344" s="2" t="str">
        <f>IFERROR(INDEX(Movimientos!$F$2:$F$1993,MATCH(A344&amp;"ENTRADA",Movimientos!$R$2:$R$1993,0)),"-")</f>
        <v>-</v>
      </c>
      <c r="F344" s="2" t="str">
        <f>IFERROR(INDEX(Movimientos!$G$2:$G$1993,MATCH(A344&amp;"ENTRADA",Movimientos!$R$2:$R$1993,0)),"-")</f>
        <v>-</v>
      </c>
      <c r="G344" s="2" t="str">
        <f>IFERROR(INDEX(Movimientos!$L$2:$L$1993,MATCH(A344&amp;"ENTRADA",Movimientos!$R$2:$R$1993,0)),"-")</f>
        <v>-</v>
      </c>
      <c r="H344" s="17" t="str">
        <f>IFERROR(IF(INDEX(Movimientos!$M$2:$M$1993,MATCH(A344&amp;"ENTRADA",Movimientos!$R$2:$R$1993,0))=0,"S/D",INDEX(Movimientos!$M$2:$M$1993,MATCH(A344&amp;"ENTRADA",Movimientos!$R$2:$R$1993,0))),"S/D")</f>
        <v>S/D</v>
      </c>
      <c r="I344" s="15" t="str">
        <f t="shared" ca="1" si="12"/>
        <v>S/D</v>
      </c>
      <c r="J344" s="5">
        <f>IF(A344="","",SUMIFS(Movimientos!$K:$K,Movimientos!$H:$H,A344))</f>
        <v>0</v>
      </c>
      <c r="K344" s="13" t="str">
        <f t="shared" ca="1" si="11"/>
        <v>SIN STOCK</v>
      </c>
    </row>
    <row r="345" spans="1:11">
      <c r="A345" s="16" t="s">
        <v>2650</v>
      </c>
      <c r="B345" s="2" t="str">
        <f>IFERROR(INDEX(Movimientos!$C$2:$C$1993,MATCH(A345&amp;"ENTRADA",Movimientos!$R$2:$R$1993,0)),"-")</f>
        <v>-</v>
      </c>
      <c r="C345" s="2" t="str">
        <f>IFERROR(INDEX(Movimientos!$D$2:$D$1993,MATCH(A345&amp;"ENTRADA",Movimientos!$R$2:$R$1993,0)),"-")</f>
        <v>-</v>
      </c>
      <c r="D345" s="2" t="str">
        <f>IFERROR(INDEX(Movimientos!$E$2:$E$1993,MATCH(A345&amp;"ENTRADA",Movimientos!$R$2:$R$1993,0)),"-")</f>
        <v>-</v>
      </c>
      <c r="E345" s="2" t="str">
        <f>IFERROR(INDEX(Movimientos!$F$2:$F$1993,MATCH(A345&amp;"ENTRADA",Movimientos!$R$2:$R$1993,0)),"-")</f>
        <v>-</v>
      </c>
      <c r="F345" s="2" t="str">
        <f>IFERROR(INDEX(Movimientos!$G$2:$G$1993,MATCH(A345&amp;"ENTRADA",Movimientos!$R$2:$R$1993,0)),"-")</f>
        <v>-</v>
      </c>
      <c r="G345" s="2" t="str">
        <f>IFERROR(INDEX(Movimientos!$L$2:$L$1993,MATCH(A345&amp;"ENTRADA",Movimientos!$R$2:$R$1993,0)),"-")</f>
        <v>-</v>
      </c>
      <c r="H345" s="17" t="str">
        <f>IFERROR(IF(INDEX(Movimientos!$M$2:$M$1993,MATCH(A345&amp;"ENTRADA",Movimientos!$R$2:$R$1993,0))=0,"S/D",INDEX(Movimientos!$M$2:$M$1993,MATCH(A345&amp;"ENTRADA",Movimientos!$R$2:$R$1993,0))),"S/D")</f>
        <v>S/D</v>
      </c>
      <c r="I345" s="15" t="str">
        <f t="shared" ca="1" si="12"/>
        <v>S/D</v>
      </c>
      <c r="J345" s="5">
        <f>IF(A345="","",SUMIFS(Movimientos!$K:$K,Movimientos!$H:$H,A345))</f>
        <v>0</v>
      </c>
      <c r="K345" s="13" t="str">
        <f t="shared" ca="1" si="11"/>
        <v>SIN STOCK</v>
      </c>
    </row>
    <row r="346" spans="1:11">
      <c r="A346" s="16" t="s">
        <v>2651</v>
      </c>
      <c r="B346" s="2" t="str">
        <f>IFERROR(INDEX(Movimientos!$C$2:$C$1993,MATCH(A346&amp;"ENTRADA",Movimientos!$R$2:$R$1993,0)),"-")</f>
        <v>-</v>
      </c>
      <c r="C346" s="2" t="str">
        <f>IFERROR(INDEX(Movimientos!$D$2:$D$1993,MATCH(A346&amp;"ENTRADA",Movimientos!$R$2:$R$1993,0)),"-")</f>
        <v>-</v>
      </c>
      <c r="D346" s="2" t="str">
        <f>IFERROR(INDEX(Movimientos!$E$2:$E$1993,MATCH(A346&amp;"ENTRADA",Movimientos!$R$2:$R$1993,0)),"-")</f>
        <v>-</v>
      </c>
      <c r="E346" s="2" t="str">
        <f>IFERROR(INDEX(Movimientos!$F$2:$F$1993,MATCH(A346&amp;"ENTRADA",Movimientos!$R$2:$R$1993,0)),"-")</f>
        <v>-</v>
      </c>
      <c r="F346" s="2" t="str">
        <f>IFERROR(INDEX(Movimientos!$G$2:$G$1993,MATCH(A346&amp;"ENTRADA",Movimientos!$R$2:$R$1993,0)),"-")</f>
        <v>-</v>
      </c>
      <c r="G346" s="2" t="str">
        <f>IFERROR(INDEX(Movimientos!$L$2:$L$1993,MATCH(A346&amp;"ENTRADA",Movimientos!$R$2:$R$1993,0)),"-")</f>
        <v>-</v>
      </c>
      <c r="H346" s="17" t="str">
        <f>IFERROR(IF(INDEX(Movimientos!$M$2:$M$1993,MATCH(A346&amp;"ENTRADA",Movimientos!$R$2:$R$1993,0))=0,"S/D",INDEX(Movimientos!$M$2:$M$1993,MATCH(A346&amp;"ENTRADA",Movimientos!$R$2:$R$1993,0))),"S/D")</f>
        <v>S/D</v>
      </c>
      <c r="I346" s="15" t="str">
        <f t="shared" ca="1" si="12"/>
        <v>S/D</v>
      </c>
      <c r="J346" s="5">
        <f>IF(A346="","",SUMIFS(Movimientos!$K:$K,Movimientos!$H:$H,A346))</f>
        <v>0</v>
      </c>
      <c r="K346" s="13" t="str">
        <f t="shared" ca="1" si="11"/>
        <v>SIN STOCK</v>
      </c>
    </row>
    <row r="347" spans="1:11">
      <c r="A347" s="16" t="s">
        <v>2652</v>
      </c>
      <c r="B347" s="2" t="str">
        <f>IFERROR(INDEX(Movimientos!$C$2:$C$1993,MATCH(A347&amp;"ENTRADA",Movimientos!$R$2:$R$1993,0)),"-")</f>
        <v>-</v>
      </c>
      <c r="C347" s="2" t="str">
        <f>IFERROR(INDEX(Movimientos!$D$2:$D$1993,MATCH(A347&amp;"ENTRADA",Movimientos!$R$2:$R$1993,0)),"-")</f>
        <v>-</v>
      </c>
      <c r="D347" s="2" t="str">
        <f>IFERROR(INDEX(Movimientos!$E$2:$E$1993,MATCH(A347&amp;"ENTRADA",Movimientos!$R$2:$R$1993,0)),"-")</f>
        <v>-</v>
      </c>
      <c r="E347" s="2" t="str">
        <f>IFERROR(INDEX(Movimientos!$F$2:$F$1993,MATCH(A347&amp;"ENTRADA",Movimientos!$R$2:$R$1993,0)),"-")</f>
        <v>-</v>
      </c>
      <c r="F347" s="2" t="str">
        <f>IFERROR(INDEX(Movimientos!$G$2:$G$1993,MATCH(A347&amp;"ENTRADA",Movimientos!$R$2:$R$1993,0)),"-")</f>
        <v>-</v>
      </c>
      <c r="G347" s="2" t="str">
        <f>IFERROR(INDEX(Movimientos!$L$2:$L$1993,MATCH(A347&amp;"ENTRADA",Movimientos!$R$2:$R$1993,0)),"-")</f>
        <v>-</v>
      </c>
      <c r="H347" s="17" t="str">
        <f>IFERROR(IF(INDEX(Movimientos!$M$2:$M$1993,MATCH(A347&amp;"ENTRADA",Movimientos!$R$2:$R$1993,0))=0,"S/D",INDEX(Movimientos!$M$2:$M$1993,MATCH(A347&amp;"ENTRADA",Movimientos!$R$2:$R$1993,0))),"S/D")</f>
        <v>S/D</v>
      </c>
      <c r="I347" s="15" t="str">
        <f t="shared" ca="1" si="12"/>
        <v>S/D</v>
      </c>
      <c r="J347" s="5">
        <f>IF(A347="","",SUMIFS(Movimientos!$K:$K,Movimientos!$H:$H,A347))</f>
        <v>0</v>
      </c>
      <c r="K347" s="13" t="str">
        <f t="shared" ca="1" si="11"/>
        <v>SIN STOCK</v>
      </c>
    </row>
    <row r="348" spans="1:11">
      <c r="A348" s="16" t="s">
        <v>2653</v>
      </c>
      <c r="B348" s="2" t="str">
        <f>IFERROR(INDEX(Movimientos!$C$2:$C$1993,MATCH(A348&amp;"ENTRADA",Movimientos!$R$2:$R$1993,0)),"-")</f>
        <v>-</v>
      </c>
      <c r="C348" s="2" t="str">
        <f>IFERROR(INDEX(Movimientos!$D$2:$D$1993,MATCH(A348&amp;"ENTRADA",Movimientos!$R$2:$R$1993,0)),"-")</f>
        <v>-</v>
      </c>
      <c r="D348" s="2" t="str">
        <f>IFERROR(INDEX(Movimientos!$E$2:$E$1993,MATCH(A348&amp;"ENTRADA",Movimientos!$R$2:$R$1993,0)),"-")</f>
        <v>-</v>
      </c>
      <c r="E348" s="2" t="str">
        <f>IFERROR(INDEX(Movimientos!$F$2:$F$1993,MATCH(A348&amp;"ENTRADA",Movimientos!$R$2:$R$1993,0)),"-")</f>
        <v>-</v>
      </c>
      <c r="F348" s="2" t="str">
        <f>IFERROR(INDEX(Movimientos!$G$2:$G$1993,MATCH(A348&amp;"ENTRADA",Movimientos!$R$2:$R$1993,0)),"-")</f>
        <v>-</v>
      </c>
      <c r="G348" s="2" t="str">
        <f>IFERROR(INDEX(Movimientos!$L$2:$L$1993,MATCH(A348&amp;"ENTRADA",Movimientos!$R$2:$R$1993,0)),"-")</f>
        <v>-</v>
      </c>
      <c r="H348" s="17" t="str">
        <f>IFERROR(IF(INDEX(Movimientos!$M$2:$M$1993,MATCH(A348&amp;"ENTRADA",Movimientos!$R$2:$R$1993,0))=0,"S/D",INDEX(Movimientos!$M$2:$M$1993,MATCH(A348&amp;"ENTRADA",Movimientos!$R$2:$R$1993,0))),"S/D")</f>
        <v>S/D</v>
      </c>
      <c r="I348" s="15" t="str">
        <f t="shared" ca="1" si="12"/>
        <v>S/D</v>
      </c>
      <c r="J348" s="5">
        <f>IF(A348="","",SUMIFS(Movimientos!$K:$K,Movimientos!$H:$H,A348))</f>
        <v>0</v>
      </c>
      <c r="K348" s="13" t="str">
        <f t="shared" ca="1" si="11"/>
        <v>SIN STOCK</v>
      </c>
    </row>
    <row r="349" spans="1:11">
      <c r="A349" s="16" t="s">
        <v>2654</v>
      </c>
      <c r="B349" s="2" t="str">
        <f>IFERROR(INDEX(Movimientos!$C$2:$C$1993,MATCH(A349&amp;"ENTRADA",Movimientos!$R$2:$R$1993,0)),"-")</f>
        <v>-</v>
      </c>
      <c r="C349" s="2" t="str">
        <f>IFERROR(INDEX(Movimientos!$D$2:$D$1993,MATCH(A349&amp;"ENTRADA",Movimientos!$R$2:$R$1993,0)),"-")</f>
        <v>-</v>
      </c>
      <c r="D349" s="2" t="str">
        <f>IFERROR(INDEX(Movimientos!$E$2:$E$1993,MATCH(A349&amp;"ENTRADA",Movimientos!$R$2:$R$1993,0)),"-")</f>
        <v>-</v>
      </c>
      <c r="E349" s="2" t="str">
        <f>IFERROR(INDEX(Movimientos!$F$2:$F$1993,MATCH(A349&amp;"ENTRADA",Movimientos!$R$2:$R$1993,0)),"-")</f>
        <v>-</v>
      </c>
      <c r="F349" s="2" t="str">
        <f>IFERROR(INDEX(Movimientos!$G$2:$G$1993,MATCH(A349&amp;"ENTRADA",Movimientos!$R$2:$R$1993,0)),"-")</f>
        <v>-</v>
      </c>
      <c r="G349" s="2" t="str">
        <f>IFERROR(INDEX(Movimientos!$L$2:$L$1993,MATCH(A349&amp;"ENTRADA",Movimientos!$R$2:$R$1993,0)),"-")</f>
        <v>-</v>
      </c>
      <c r="H349" s="17" t="str">
        <f>IFERROR(IF(INDEX(Movimientos!$M$2:$M$1993,MATCH(A349&amp;"ENTRADA",Movimientos!$R$2:$R$1993,0))=0,"S/D",INDEX(Movimientos!$M$2:$M$1993,MATCH(A349&amp;"ENTRADA",Movimientos!$R$2:$R$1993,0))),"S/D")</f>
        <v>S/D</v>
      </c>
      <c r="I349" s="15" t="str">
        <f t="shared" ca="1" si="12"/>
        <v>S/D</v>
      </c>
      <c r="J349" s="5">
        <f>IF(A349="","",SUMIFS(Movimientos!$K:$K,Movimientos!$H:$H,A349))</f>
        <v>0</v>
      </c>
      <c r="K349" s="13" t="str">
        <f t="shared" ca="1" si="11"/>
        <v>SIN STOCK</v>
      </c>
    </row>
    <row r="350" spans="1:11">
      <c r="A350" s="16" t="s">
        <v>2655</v>
      </c>
      <c r="B350" s="2" t="str">
        <f>IFERROR(INDEX(Movimientos!$C$2:$C$1993,MATCH(A350&amp;"ENTRADA",Movimientos!$R$2:$R$1993,0)),"-")</f>
        <v>-</v>
      </c>
      <c r="C350" s="2" t="str">
        <f>IFERROR(INDEX(Movimientos!$D$2:$D$1993,MATCH(A350&amp;"ENTRADA",Movimientos!$R$2:$R$1993,0)),"-")</f>
        <v>-</v>
      </c>
      <c r="D350" s="2" t="str">
        <f>IFERROR(INDEX(Movimientos!$E$2:$E$1993,MATCH(A350&amp;"ENTRADA",Movimientos!$R$2:$R$1993,0)),"-")</f>
        <v>-</v>
      </c>
      <c r="E350" s="2" t="str">
        <f>IFERROR(INDEX(Movimientos!$F$2:$F$1993,MATCH(A350&amp;"ENTRADA",Movimientos!$R$2:$R$1993,0)),"-")</f>
        <v>-</v>
      </c>
      <c r="F350" s="2" t="str">
        <f>IFERROR(INDEX(Movimientos!$G$2:$G$1993,MATCH(A350&amp;"ENTRADA",Movimientos!$R$2:$R$1993,0)),"-")</f>
        <v>-</v>
      </c>
      <c r="G350" s="2" t="str">
        <f>IFERROR(INDEX(Movimientos!$L$2:$L$1993,MATCH(A350&amp;"ENTRADA",Movimientos!$R$2:$R$1993,0)),"-")</f>
        <v>-</v>
      </c>
      <c r="H350" s="17" t="str">
        <f>IFERROR(IF(INDEX(Movimientos!$M$2:$M$1993,MATCH(A350&amp;"ENTRADA",Movimientos!$R$2:$R$1993,0))=0,"S/D",INDEX(Movimientos!$M$2:$M$1993,MATCH(A350&amp;"ENTRADA",Movimientos!$R$2:$R$1993,0))),"S/D")</f>
        <v>S/D</v>
      </c>
      <c r="I350" s="15" t="str">
        <f t="shared" ca="1" si="12"/>
        <v>S/D</v>
      </c>
      <c r="J350" s="5">
        <f>IF(A350="","",SUMIFS(Movimientos!$K:$K,Movimientos!$H:$H,A350))</f>
        <v>0</v>
      </c>
      <c r="K350" s="13" t="str">
        <f t="shared" ca="1" si="11"/>
        <v>SIN STOCK</v>
      </c>
    </row>
    <row r="351" spans="1:11">
      <c r="A351" s="16" t="s">
        <v>2656</v>
      </c>
      <c r="B351" s="2" t="str">
        <f>IFERROR(INDEX(Movimientos!$C$2:$C$1993,MATCH(A351&amp;"ENTRADA",Movimientos!$R$2:$R$1993,0)),"-")</f>
        <v>-</v>
      </c>
      <c r="C351" s="2" t="str">
        <f>IFERROR(INDEX(Movimientos!$D$2:$D$1993,MATCH(A351&amp;"ENTRADA",Movimientos!$R$2:$R$1993,0)),"-")</f>
        <v>-</v>
      </c>
      <c r="D351" s="2" t="str">
        <f>IFERROR(INDEX(Movimientos!$E$2:$E$1993,MATCH(A351&amp;"ENTRADA",Movimientos!$R$2:$R$1993,0)),"-")</f>
        <v>-</v>
      </c>
      <c r="E351" s="2" t="str">
        <f>IFERROR(INDEX(Movimientos!$F$2:$F$1993,MATCH(A351&amp;"ENTRADA",Movimientos!$R$2:$R$1993,0)),"-")</f>
        <v>-</v>
      </c>
      <c r="F351" s="2" t="str">
        <f>IFERROR(INDEX(Movimientos!$G$2:$G$1993,MATCH(A351&amp;"ENTRADA",Movimientos!$R$2:$R$1993,0)),"-")</f>
        <v>-</v>
      </c>
      <c r="G351" s="2" t="str">
        <f>IFERROR(INDEX(Movimientos!$L$2:$L$1993,MATCH(A351&amp;"ENTRADA",Movimientos!$R$2:$R$1993,0)),"-")</f>
        <v>-</v>
      </c>
      <c r="H351" s="17" t="str">
        <f>IFERROR(IF(INDEX(Movimientos!$M$2:$M$1993,MATCH(A351&amp;"ENTRADA",Movimientos!$R$2:$R$1993,0))=0,"S/D",INDEX(Movimientos!$M$2:$M$1993,MATCH(A351&amp;"ENTRADA",Movimientos!$R$2:$R$1993,0))),"S/D")</f>
        <v>S/D</v>
      </c>
      <c r="I351" s="15" t="str">
        <f t="shared" ca="1" si="12"/>
        <v>S/D</v>
      </c>
      <c r="J351" s="5">
        <f>IF(A351="","",SUMIFS(Movimientos!$K:$K,Movimientos!$H:$H,A351))</f>
        <v>0</v>
      </c>
      <c r="K351" s="13" t="str">
        <f t="shared" ca="1" si="11"/>
        <v>SIN STOCK</v>
      </c>
    </row>
    <row r="352" spans="1:11">
      <c r="A352" s="16" t="s">
        <v>2657</v>
      </c>
      <c r="B352" s="2" t="str">
        <f>IFERROR(INDEX(Movimientos!$C$2:$C$1993,MATCH(A352&amp;"ENTRADA",Movimientos!$R$2:$R$1993,0)),"-")</f>
        <v>-</v>
      </c>
      <c r="C352" s="2" t="str">
        <f>IFERROR(INDEX(Movimientos!$D$2:$D$1993,MATCH(A352&amp;"ENTRADA",Movimientos!$R$2:$R$1993,0)),"-")</f>
        <v>-</v>
      </c>
      <c r="D352" s="2" t="str">
        <f>IFERROR(INDEX(Movimientos!$E$2:$E$1993,MATCH(A352&amp;"ENTRADA",Movimientos!$R$2:$R$1993,0)),"-")</f>
        <v>-</v>
      </c>
      <c r="E352" s="2" t="str">
        <f>IFERROR(INDEX(Movimientos!$F$2:$F$1993,MATCH(A352&amp;"ENTRADA",Movimientos!$R$2:$R$1993,0)),"-")</f>
        <v>-</v>
      </c>
      <c r="F352" s="2" t="str">
        <f>IFERROR(INDEX(Movimientos!$G$2:$G$1993,MATCH(A352&amp;"ENTRADA",Movimientos!$R$2:$R$1993,0)),"-")</f>
        <v>-</v>
      </c>
      <c r="G352" s="2" t="str">
        <f>IFERROR(INDEX(Movimientos!$L$2:$L$1993,MATCH(A352&amp;"ENTRADA",Movimientos!$R$2:$R$1993,0)),"-")</f>
        <v>-</v>
      </c>
      <c r="H352" s="17" t="str">
        <f>IFERROR(IF(INDEX(Movimientos!$M$2:$M$1993,MATCH(A352&amp;"ENTRADA",Movimientos!$R$2:$R$1993,0))=0,"S/D",INDEX(Movimientos!$M$2:$M$1993,MATCH(A352&amp;"ENTRADA",Movimientos!$R$2:$R$1993,0))),"S/D")</f>
        <v>S/D</v>
      </c>
      <c r="I352" s="15" t="str">
        <f t="shared" ca="1" si="12"/>
        <v>S/D</v>
      </c>
      <c r="J352" s="5">
        <f>IF(A352="","",SUMIFS(Movimientos!$K:$K,Movimientos!$H:$H,A352))</f>
        <v>0</v>
      </c>
      <c r="K352" s="13" t="str">
        <f t="shared" ca="1" si="11"/>
        <v>SIN STOCK</v>
      </c>
    </row>
    <row r="353" spans="1:11">
      <c r="A353" s="16" t="s">
        <v>2658</v>
      </c>
      <c r="B353" s="2" t="str">
        <f>IFERROR(INDEX(Movimientos!$C$2:$C$1993,MATCH(A353&amp;"ENTRADA",Movimientos!$R$2:$R$1993,0)),"-")</f>
        <v>-</v>
      </c>
      <c r="C353" s="2" t="str">
        <f>IFERROR(INDEX(Movimientos!$D$2:$D$1993,MATCH(A353&amp;"ENTRADA",Movimientos!$R$2:$R$1993,0)),"-")</f>
        <v>-</v>
      </c>
      <c r="D353" s="2" t="str">
        <f>IFERROR(INDEX(Movimientos!$E$2:$E$1993,MATCH(A353&amp;"ENTRADA",Movimientos!$R$2:$R$1993,0)),"-")</f>
        <v>-</v>
      </c>
      <c r="E353" s="2" t="str">
        <f>IFERROR(INDEX(Movimientos!$F$2:$F$1993,MATCH(A353&amp;"ENTRADA",Movimientos!$R$2:$R$1993,0)),"-")</f>
        <v>-</v>
      </c>
      <c r="F353" s="2" t="str">
        <f>IFERROR(INDEX(Movimientos!$G$2:$G$1993,MATCH(A353&amp;"ENTRADA",Movimientos!$R$2:$R$1993,0)),"-")</f>
        <v>-</v>
      </c>
      <c r="G353" s="2" t="str">
        <f>IFERROR(INDEX(Movimientos!$L$2:$L$1993,MATCH(A353&amp;"ENTRADA",Movimientos!$R$2:$R$1993,0)),"-")</f>
        <v>-</v>
      </c>
      <c r="H353" s="17" t="str">
        <f>IFERROR(IF(INDEX(Movimientos!$M$2:$M$1993,MATCH(A353&amp;"ENTRADA",Movimientos!$R$2:$R$1993,0))=0,"S/D",INDEX(Movimientos!$M$2:$M$1993,MATCH(A353&amp;"ENTRADA",Movimientos!$R$2:$R$1993,0))),"S/D")</f>
        <v>S/D</v>
      </c>
      <c r="I353" s="15" t="str">
        <f t="shared" ca="1" si="12"/>
        <v>S/D</v>
      </c>
      <c r="J353" s="5">
        <f>IF(A353="","",SUMIFS(Movimientos!$K:$K,Movimientos!$H:$H,A353))</f>
        <v>0</v>
      </c>
      <c r="K353" s="13" t="str">
        <f t="shared" ca="1" si="11"/>
        <v>SIN STOCK</v>
      </c>
    </row>
    <row r="354" spans="1:11">
      <c r="A354" s="16" t="s">
        <v>2659</v>
      </c>
      <c r="B354" s="2" t="str">
        <f>IFERROR(INDEX(Movimientos!$C$2:$C$1993,MATCH(A354&amp;"ENTRADA",Movimientos!$R$2:$R$1993,0)),"-")</f>
        <v>-</v>
      </c>
      <c r="C354" s="2" t="str">
        <f>IFERROR(INDEX(Movimientos!$D$2:$D$1993,MATCH(A354&amp;"ENTRADA",Movimientos!$R$2:$R$1993,0)),"-")</f>
        <v>-</v>
      </c>
      <c r="D354" s="2" t="str">
        <f>IFERROR(INDEX(Movimientos!$E$2:$E$1993,MATCH(A354&amp;"ENTRADA",Movimientos!$R$2:$R$1993,0)),"-")</f>
        <v>-</v>
      </c>
      <c r="E354" s="2" t="str">
        <f>IFERROR(INDEX(Movimientos!$F$2:$F$1993,MATCH(A354&amp;"ENTRADA",Movimientos!$R$2:$R$1993,0)),"-")</f>
        <v>-</v>
      </c>
      <c r="F354" s="2" t="str">
        <f>IFERROR(INDEX(Movimientos!$G$2:$G$1993,MATCH(A354&amp;"ENTRADA",Movimientos!$R$2:$R$1993,0)),"-")</f>
        <v>-</v>
      </c>
      <c r="G354" s="2" t="str">
        <f>IFERROR(INDEX(Movimientos!$L$2:$L$1993,MATCH(A354&amp;"ENTRADA",Movimientos!$R$2:$R$1993,0)),"-")</f>
        <v>-</v>
      </c>
      <c r="H354" s="17" t="str">
        <f>IFERROR(IF(INDEX(Movimientos!$M$2:$M$1993,MATCH(A354&amp;"ENTRADA",Movimientos!$R$2:$R$1993,0))=0,"S/D",INDEX(Movimientos!$M$2:$M$1993,MATCH(A354&amp;"ENTRADA",Movimientos!$R$2:$R$1993,0))),"S/D")</f>
        <v>S/D</v>
      </c>
      <c r="I354" s="15" t="str">
        <f t="shared" ca="1" si="12"/>
        <v>S/D</v>
      </c>
      <c r="J354" s="5">
        <f>IF(A354="","",SUMIFS(Movimientos!$K:$K,Movimientos!$H:$H,A354))</f>
        <v>0</v>
      </c>
      <c r="K354" s="13" t="str">
        <f t="shared" ca="1" si="11"/>
        <v>SIN STOCK</v>
      </c>
    </row>
    <row r="355" spans="1:11">
      <c r="A355" s="16" t="s">
        <v>2660</v>
      </c>
      <c r="B355" s="2" t="str">
        <f>IFERROR(INDEX(Movimientos!$C$2:$C$1993,MATCH(A355&amp;"ENTRADA",Movimientos!$R$2:$R$1993,0)),"-")</f>
        <v>-</v>
      </c>
      <c r="C355" s="2" t="str">
        <f>IFERROR(INDEX(Movimientos!$D$2:$D$1993,MATCH(A355&amp;"ENTRADA",Movimientos!$R$2:$R$1993,0)),"-")</f>
        <v>-</v>
      </c>
      <c r="D355" s="2" t="str">
        <f>IFERROR(INDEX(Movimientos!$E$2:$E$1993,MATCH(A355&amp;"ENTRADA",Movimientos!$R$2:$R$1993,0)),"-")</f>
        <v>-</v>
      </c>
      <c r="E355" s="2" t="str">
        <f>IFERROR(INDEX(Movimientos!$F$2:$F$1993,MATCH(A355&amp;"ENTRADA",Movimientos!$R$2:$R$1993,0)),"-")</f>
        <v>-</v>
      </c>
      <c r="F355" s="2" t="str">
        <f>IFERROR(INDEX(Movimientos!$G$2:$G$1993,MATCH(A355&amp;"ENTRADA",Movimientos!$R$2:$R$1993,0)),"-")</f>
        <v>-</v>
      </c>
      <c r="G355" s="2" t="str">
        <f>IFERROR(INDEX(Movimientos!$L$2:$L$1993,MATCH(A355&amp;"ENTRADA",Movimientos!$R$2:$R$1993,0)),"-")</f>
        <v>-</v>
      </c>
      <c r="H355" s="17" t="str">
        <f>IFERROR(IF(INDEX(Movimientos!$M$2:$M$1993,MATCH(A355&amp;"ENTRADA",Movimientos!$R$2:$R$1993,0))=0,"S/D",INDEX(Movimientos!$M$2:$M$1993,MATCH(A355&amp;"ENTRADA",Movimientos!$R$2:$R$1993,0))),"S/D")</f>
        <v>S/D</v>
      </c>
      <c r="I355" s="15" t="str">
        <f t="shared" ca="1" si="12"/>
        <v>S/D</v>
      </c>
      <c r="J355" s="5">
        <f>IF(A355="","",SUMIFS(Movimientos!$K:$K,Movimientos!$H:$H,A355))</f>
        <v>0</v>
      </c>
      <c r="K355" s="13" t="str">
        <f t="shared" ca="1" si="11"/>
        <v>SIN STOCK</v>
      </c>
    </row>
    <row r="356" spans="1:11">
      <c r="A356" s="16" t="s">
        <v>2661</v>
      </c>
      <c r="B356" s="2" t="str">
        <f>IFERROR(INDEX(Movimientos!$C$2:$C$1993,MATCH(A356&amp;"ENTRADA",Movimientos!$R$2:$R$1993,0)),"-")</f>
        <v>-</v>
      </c>
      <c r="C356" s="2" t="str">
        <f>IFERROR(INDEX(Movimientos!$D$2:$D$1993,MATCH(A356&amp;"ENTRADA",Movimientos!$R$2:$R$1993,0)),"-")</f>
        <v>-</v>
      </c>
      <c r="D356" s="2" t="str">
        <f>IFERROR(INDEX(Movimientos!$E$2:$E$1993,MATCH(A356&amp;"ENTRADA",Movimientos!$R$2:$R$1993,0)),"-")</f>
        <v>-</v>
      </c>
      <c r="E356" s="2" t="str">
        <f>IFERROR(INDEX(Movimientos!$F$2:$F$1993,MATCH(A356&amp;"ENTRADA",Movimientos!$R$2:$R$1993,0)),"-")</f>
        <v>-</v>
      </c>
      <c r="F356" s="2" t="str">
        <f>IFERROR(INDEX(Movimientos!$G$2:$G$1993,MATCH(A356&amp;"ENTRADA",Movimientos!$R$2:$R$1993,0)),"-")</f>
        <v>-</v>
      </c>
      <c r="G356" s="2" t="str">
        <f>IFERROR(INDEX(Movimientos!$L$2:$L$1993,MATCH(A356&amp;"ENTRADA",Movimientos!$R$2:$R$1993,0)),"-")</f>
        <v>-</v>
      </c>
      <c r="H356" s="17" t="str">
        <f>IFERROR(IF(INDEX(Movimientos!$M$2:$M$1993,MATCH(A356&amp;"ENTRADA",Movimientos!$R$2:$R$1993,0))=0,"S/D",INDEX(Movimientos!$M$2:$M$1993,MATCH(A356&amp;"ENTRADA",Movimientos!$R$2:$R$1993,0))),"S/D")</f>
        <v>S/D</v>
      </c>
      <c r="I356" s="15" t="str">
        <f t="shared" ca="1" si="12"/>
        <v>S/D</v>
      </c>
      <c r="J356" s="5">
        <f>IF(A356="","",SUMIFS(Movimientos!$K:$K,Movimientos!$H:$H,A356))</f>
        <v>0</v>
      </c>
      <c r="K356" s="13" t="str">
        <f t="shared" ca="1" si="11"/>
        <v>SIN STOCK</v>
      </c>
    </row>
    <row r="357" spans="1:11">
      <c r="A357" s="16" t="s">
        <v>2662</v>
      </c>
      <c r="B357" s="2" t="str">
        <f>IFERROR(INDEX(Movimientos!$C$2:$C$1993,MATCH(A357&amp;"ENTRADA",Movimientos!$R$2:$R$1993,0)),"-")</f>
        <v>-</v>
      </c>
      <c r="C357" s="2" t="str">
        <f>IFERROR(INDEX(Movimientos!$D$2:$D$1993,MATCH(A357&amp;"ENTRADA",Movimientos!$R$2:$R$1993,0)),"-")</f>
        <v>-</v>
      </c>
      <c r="D357" s="2" t="str">
        <f>IFERROR(INDEX(Movimientos!$E$2:$E$1993,MATCH(A357&amp;"ENTRADA",Movimientos!$R$2:$R$1993,0)),"-")</f>
        <v>-</v>
      </c>
      <c r="E357" s="2" t="str">
        <f>IFERROR(INDEX(Movimientos!$F$2:$F$1993,MATCH(A357&amp;"ENTRADA",Movimientos!$R$2:$R$1993,0)),"-")</f>
        <v>-</v>
      </c>
      <c r="F357" s="2" t="str">
        <f>IFERROR(INDEX(Movimientos!$G$2:$G$1993,MATCH(A357&amp;"ENTRADA",Movimientos!$R$2:$R$1993,0)),"-")</f>
        <v>-</v>
      </c>
      <c r="G357" s="2" t="str">
        <f>IFERROR(INDEX(Movimientos!$L$2:$L$1993,MATCH(A357&amp;"ENTRADA",Movimientos!$R$2:$R$1993,0)),"-")</f>
        <v>-</v>
      </c>
      <c r="H357" s="17" t="str">
        <f>IFERROR(IF(INDEX(Movimientos!$M$2:$M$1993,MATCH(A357&amp;"ENTRADA",Movimientos!$R$2:$R$1993,0))=0,"S/D",INDEX(Movimientos!$M$2:$M$1993,MATCH(A357&amp;"ENTRADA",Movimientos!$R$2:$R$1993,0))),"S/D")</f>
        <v>S/D</v>
      </c>
      <c r="I357" s="15" t="str">
        <f t="shared" ca="1" si="12"/>
        <v>S/D</v>
      </c>
      <c r="J357" s="5">
        <f>IF(A357="","",SUMIFS(Movimientos!$K:$K,Movimientos!$H:$H,A357))</f>
        <v>0</v>
      </c>
      <c r="K357" s="13" t="str">
        <f t="shared" ca="1" si="11"/>
        <v>SIN STOCK</v>
      </c>
    </row>
    <row r="358" spans="1:11">
      <c r="A358" s="16" t="s">
        <v>2663</v>
      </c>
      <c r="B358" s="2" t="str">
        <f>IFERROR(INDEX(Movimientos!$C$2:$C$1993,MATCH(A358&amp;"ENTRADA",Movimientos!$R$2:$R$1993,0)),"-")</f>
        <v>-</v>
      </c>
      <c r="C358" s="2" t="str">
        <f>IFERROR(INDEX(Movimientos!$D$2:$D$1993,MATCH(A358&amp;"ENTRADA",Movimientos!$R$2:$R$1993,0)),"-")</f>
        <v>-</v>
      </c>
      <c r="D358" s="2" t="str">
        <f>IFERROR(INDEX(Movimientos!$E$2:$E$1993,MATCH(A358&amp;"ENTRADA",Movimientos!$R$2:$R$1993,0)),"-")</f>
        <v>-</v>
      </c>
      <c r="E358" s="2" t="str">
        <f>IFERROR(INDEX(Movimientos!$F$2:$F$1993,MATCH(A358&amp;"ENTRADA",Movimientos!$R$2:$R$1993,0)),"-")</f>
        <v>-</v>
      </c>
      <c r="F358" s="2" t="str">
        <f>IFERROR(INDEX(Movimientos!$G$2:$G$1993,MATCH(A358&amp;"ENTRADA",Movimientos!$R$2:$R$1993,0)),"-")</f>
        <v>-</v>
      </c>
      <c r="G358" s="2" t="str">
        <f>IFERROR(INDEX(Movimientos!$L$2:$L$1993,MATCH(A358&amp;"ENTRADA",Movimientos!$R$2:$R$1993,0)),"-")</f>
        <v>-</v>
      </c>
      <c r="H358" s="17" t="str">
        <f>IFERROR(IF(INDEX(Movimientos!$M$2:$M$1993,MATCH(A358&amp;"ENTRADA",Movimientos!$R$2:$R$1993,0))=0,"S/D",INDEX(Movimientos!$M$2:$M$1993,MATCH(A358&amp;"ENTRADA",Movimientos!$R$2:$R$1993,0))),"S/D")</f>
        <v>S/D</v>
      </c>
      <c r="I358" s="15" t="str">
        <f t="shared" ca="1" si="12"/>
        <v>S/D</v>
      </c>
      <c r="J358" s="5">
        <f>IF(A358="","",SUMIFS(Movimientos!$K:$K,Movimientos!$H:$H,A358))</f>
        <v>0</v>
      </c>
      <c r="K358" s="13" t="str">
        <f t="shared" ca="1" si="11"/>
        <v>SIN STOCK</v>
      </c>
    </row>
    <row r="359" spans="1:11">
      <c r="A359" s="16" t="s">
        <v>2664</v>
      </c>
      <c r="B359" s="2" t="str">
        <f>IFERROR(INDEX(Movimientos!$C$2:$C$1993,MATCH(A359&amp;"ENTRADA",Movimientos!$R$2:$R$1993,0)),"-")</f>
        <v>-</v>
      </c>
      <c r="C359" s="2" t="str">
        <f>IFERROR(INDEX(Movimientos!$D$2:$D$1993,MATCH(A359&amp;"ENTRADA",Movimientos!$R$2:$R$1993,0)),"-")</f>
        <v>-</v>
      </c>
      <c r="D359" s="2" t="str">
        <f>IFERROR(INDEX(Movimientos!$E$2:$E$1993,MATCH(A359&amp;"ENTRADA",Movimientos!$R$2:$R$1993,0)),"-")</f>
        <v>-</v>
      </c>
      <c r="E359" s="2" t="str">
        <f>IFERROR(INDEX(Movimientos!$F$2:$F$1993,MATCH(A359&amp;"ENTRADA",Movimientos!$R$2:$R$1993,0)),"-")</f>
        <v>-</v>
      </c>
      <c r="F359" s="2" t="str">
        <f>IFERROR(INDEX(Movimientos!$G$2:$G$1993,MATCH(A359&amp;"ENTRADA",Movimientos!$R$2:$R$1993,0)),"-")</f>
        <v>-</v>
      </c>
      <c r="G359" s="2" t="str">
        <f>IFERROR(INDEX(Movimientos!$L$2:$L$1993,MATCH(A359&amp;"ENTRADA",Movimientos!$R$2:$R$1993,0)),"-")</f>
        <v>-</v>
      </c>
      <c r="H359" s="17" t="str">
        <f>IFERROR(IF(INDEX(Movimientos!$M$2:$M$1993,MATCH(A359&amp;"ENTRADA",Movimientos!$R$2:$R$1993,0))=0,"S/D",INDEX(Movimientos!$M$2:$M$1993,MATCH(A359&amp;"ENTRADA",Movimientos!$R$2:$R$1993,0))),"S/D")</f>
        <v>S/D</v>
      </c>
      <c r="I359" s="15" t="str">
        <f t="shared" ca="1" si="12"/>
        <v>S/D</v>
      </c>
      <c r="J359" s="5">
        <f>IF(A359="","",SUMIFS(Movimientos!$K:$K,Movimientos!$H:$H,A359))</f>
        <v>0</v>
      </c>
      <c r="K359" s="13" t="str">
        <f t="shared" ca="1" si="11"/>
        <v>SIN STOCK</v>
      </c>
    </row>
    <row r="360" spans="1:11">
      <c r="A360" s="16" t="s">
        <v>2665</v>
      </c>
      <c r="B360" s="2" t="str">
        <f>IFERROR(INDEX(Movimientos!$C$2:$C$1993,MATCH(A360&amp;"ENTRADA",Movimientos!$R$2:$R$1993,0)),"-")</f>
        <v>-</v>
      </c>
      <c r="C360" s="2" t="str">
        <f>IFERROR(INDEX(Movimientos!$D$2:$D$1993,MATCH(A360&amp;"ENTRADA",Movimientos!$R$2:$R$1993,0)),"-")</f>
        <v>-</v>
      </c>
      <c r="D360" s="2" t="str">
        <f>IFERROR(INDEX(Movimientos!$E$2:$E$1993,MATCH(A360&amp;"ENTRADA",Movimientos!$R$2:$R$1993,0)),"-")</f>
        <v>-</v>
      </c>
      <c r="E360" s="2" t="str">
        <f>IFERROR(INDEX(Movimientos!$F$2:$F$1993,MATCH(A360&amp;"ENTRADA",Movimientos!$R$2:$R$1993,0)),"-")</f>
        <v>-</v>
      </c>
      <c r="F360" s="2" t="str">
        <f>IFERROR(INDEX(Movimientos!$G$2:$G$1993,MATCH(A360&amp;"ENTRADA",Movimientos!$R$2:$R$1993,0)),"-")</f>
        <v>-</v>
      </c>
      <c r="G360" s="2" t="str">
        <f>IFERROR(INDEX(Movimientos!$L$2:$L$1993,MATCH(A360&amp;"ENTRADA",Movimientos!$R$2:$R$1993,0)),"-")</f>
        <v>-</v>
      </c>
      <c r="H360" s="17" t="str">
        <f>IFERROR(IF(INDEX(Movimientos!$M$2:$M$1993,MATCH(A360&amp;"ENTRADA",Movimientos!$R$2:$R$1993,0))=0,"S/D",INDEX(Movimientos!$M$2:$M$1993,MATCH(A360&amp;"ENTRADA",Movimientos!$R$2:$R$1993,0))),"S/D")</f>
        <v>S/D</v>
      </c>
      <c r="I360" s="15" t="str">
        <f t="shared" ca="1" si="12"/>
        <v>S/D</v>
      </c>
      <c r="J360" s="5">
        <f>IF(A360="","",SUMIFS(Movimientos!$K:$K,Movimientos!$H:$H,A360))</f>
        <v>0</v>
      </c>
      <c r="K360" s="13" t="str">
        <f t="shared" ca="1" si="11"/>
        <v>SIN STOCK</v>
      </c>
    </row>
    <row r="361" spans="1:11">
      <c r="A361" s="16" t="s">
        <v>2666</v>
      </c>
      <c r="B361" s="2" t="str">
        <f>IFERROR(INDEX(Movimientos!$C$2:$C$1993,MATCH(A361&amp;"ENTRADA",Movimientos!$R$2:$R$1993,0)),"-")</f>
        <v>-</v>
      </c>
      <c r="C361" s="2" t="str">
        <f>IFERROR(INDEX(Movimientos!$D$2:$D$1993,MATCH(A361&amp;"ENTRADA",Movimientos!$R$2:$R$1993,0)),"-")</f>
        <v>-</v>
      </c>
      <c r="D361" s="2" t="str">
        <f>IFERROR(INDEX(Movimientos!$E$2:$E$1993,MATCH(A361&amp;"ENTRADA",Movimientos!$R$2:$R$1993,0)),"-")</f>
        <v>-</v>
      </c>
      <c r="E361" s="2" t="str">
        <f>IFERROR(INDEX(Movimientos!$F$2:$F$1993,MATCH(A361&amp;"ENTRADA",Movimientos!$R$2:$R$1993,0)),"-")</f>
        <v>-</v>
      </c>
      <c r="F361" s="2" t="str">
        <f>IFERROR(INDEX(Movimientos!$G$2:$G$1993,MATCH(A361&amp;"ENTRADA",Movimientos!$R$2:$R$1993,0)),"-")</f>
        <v>-</v>
      </c>
      <c r="G361" s="2" t="str">
        <f>IFERROR(INDEX(Movimientos!$L$2:$L$1993,MATCH(A361&amp;"ENTRADA",Movimientos!$R$2:$R$1993,0)),"-")</f>
        <v>-</v>
      </c>
      <c r="H361" s="17" t="str">
        <f>IFERROR(IF(INDEX(Movimientos!$M$2:$M$1993,MATCH(A361&amp;"ENTRADA",Movimientos!$R$2:$R$1993,0))=0,"S/D",INDEX(Movimientos!$M$2:$M$1993,MATCH(A361&amp;"ENTRADA",Movimientos!$R$2:$R$1993,0))),"S/D")</f>
        <v>S/D</v>
      </c>
      <c r="I361" s="15" t="str">
        <f t="shared" ca="1" si="12"/>
        <v>S/D</v>
      </c>
      <c r="J361" s="5">
        <f>IF(A361="","",SUMIFS(Movimientos!$K:$K,Movimientos!$H:$H,A361))</f>
        <v>0</v>
      </c>
      <c r="K361" s="13" t="str">
        <f t="shared" ca="1" si="11"/>
        <v>SIN STOCK</v>
      </c>
    </row>
    <row r="362" spans="1:11">
      <c r="A362" s="16" t="s">
        <v>2667</v>
      </c>
      <c r="B362" s="2" t="str">
        <f>IFERROR(INDEX(Movimientos!$C$2:$C$1993,MATCH(A362&amp;"ENTRADA",Movimientos!$R$2:$R$1993,0)),"-")</f>
        <v>-</v>
      </c>
      <c r="C362" s="2" t="str">
        <f>IFERROR(INDEX(Movimientos!$D$2:$D$1993,MATCH(A362&amp;"ENTRADA",Movimientos!$R$2:$R$1993,0)),"-")</f>
        <v>-</v>
      </c>
      <c r="D362" s="2" t="str">
        <f>IFERROR(INDEX(Movimientos!$E$2:$E$1993,MATCH(A362&amp;"ENTRADA",Movimientos!$R$2:$R$1993,0)),"-")</f>
        <v>-</v>
      </c>
      <c r="E362" s="2" t="str">
        <f>IFERROR(INDEX(Movimientos!$F$2:$F$1993,MATCH(A362&amp;"ENTRADA",Movimientos!$R$2:$R$1993,0)),"-")</f>
        <v>-</v>
      </c>
      <c r="F362" s="2" t="str">
        <f>IFERROR(INDEX(Movimientos!$G$2:$G$1993,MATCH(A362&amp;"ENTRADA",Movimientos!$R$2:$R$1993,0)),"-")</f>
        <v>-</v>
      </c>
      <c r="G362" s="2" t="str">
        <f>IFERROR(INDEX(Movimientos!$L$2:$L$1993,MATCH(A362&amp;"ENTRADA",Movimientos!$R$2:$R$1993,0)),"-")</f>
        <v>-</v>
      </c>
      <c r="H362" s="17" t="str">
        <f>IFERROR(IF(INDEX(Movimientos!$M$2:$M$1993,MATCH(A362&amp;"ENTRADA",Movimientos!$R$2:$R$1993,0))=0,"S/D",INDEX(Movimientos!$M$2:$M$1993,MATCH(A362&amp;"ENTRADA",Movimientos!$R$2:$R$1993,0))),"S/D")</f>
        <v>S/D</v>
      </c>
      <c r="I362" s="15" t="str">
        <f t="shared" ca="1" si="12"/>
        <v>S/D</v>
      </c>
      <c r="J362" s="5">
        <f>IF(A362="","",SUMIFS(Movimientos!$K:$K,Movimientos!$H:$H,A362))</f>
        <v>0</v>
      </c>
      <c r="K362" s="13" t="str">
        <f t="shared" ca="1" si="11"/>
        <v>SIN STOCK</v>
      </c>
    </row>
    <row r="363" spans="1:11">
      <c r="A363" s="16" t="s">
        <v>2668</v>
      </c>
      <c r="B363" s="2" t="str">
        <f>IFERROR(INDEX(Movimientos!$C$2:$C$1993,MATCH(A363&amp;"ENTRADA",Movimientos!$R$2:$R$1993,0)),"-")</f>
        <v>-</v>
      </c>
      <c r="C363" s="2" t="str">
        <f>IFERROR(INDEX(Movimientos!$D$2:$D$1993,MATCH(A363&amp;"ENTRADA",Movimientos!$R$2:$R$1993,0)),"-")</f>
        <v>-</v>
      </c>
      <c r="D363" s="2" t="str">
        <f>IFERROR(INDEX(Movimientos!$E$2:$E$1993,MATCH(A363&amp;"ENTRADA",Movimientos!$R$2:$R$1993,0)),"-")</f>
        <v>-</v>
      </c>
      <c r="E363" s="2" t="str">
        <f>IFERROR(INDEX(Movimientos!$F$2:$F$1993,MATCH(A363&amp;"ENTRADA",Movimientos!$R$2:$R$1993,0)),"-")</f>
        <v>-</v>
      </c>
      <c r="F363" s="2" t="str">
        <f>IFERROR(INDEX(Movimientos!$G$2:$G$1993,MATCH(A363&amp;"ENTRADA",Movimientos!$R$2:$R$1993,0)),"-")</f>
        <v>-</v>
      </c>
      <c r="G363" s="2" t="str">
        <f>IFERROR(INDEX(Movimientos!$L$2:$L$1993,MATCH(A363&amp;"ENTRADA",Movimientos!$R$2:$R$1993,0)),"-")</f>
        <v>-</v>
      </c>
      <c r="H363" s="17" t="str">
        <f>IFERROR(IF(INDEX(Movimientos!$M$2:$M$1993,MATCH(A363&amp;"ENTRADA",Movimientos!$R$2:$R$1993,0))=0,"S/D",INDEX(Movimientos!$M$2:$M$1993,MATCH(A363&amp;"ENTRADA",Movimientos!$R$2:$R$1993,0))),"S/D")</f>
        <v>S/D</v>
      </c>
      <c r="I363" s="15" t="str">
        <f t="shared" ca="1" si="12"/>
        <v>S/D</v>
      </c>
      <c r="J363" s="5">
        <f>IF(A363="","",SUMIFS(Movimientos!$K:$K,Movimientos!$H:$H,A363))</f>
        <v>0</v>
      </c>
      <c r="K363" s="13" t="str">
        <f t="shared" ca="1" si="11"/>
        <v>SIN STOCK</v>
      </c>
    </row>
    <row r="364" spans="1:11">
      <c r="A364" s="16" t="s">
        <v>2669</v>
      </c>
      <c r="B364" s="2" t="str">
        <f>IFERROR(INDEX(Movimientos!$C$2:$C$1993,MATCH(A364&amp;"ENTRADA",Movimientos!$R$2:$R$1993,0)),"-")</f>
        <v>-</v>
      </c>
      <c r="C364" s="2" t="str">
        <f>IFERROR(INDEX(Movimientos!$D$2:$D$1993,MATCH(A364&amp;"ENTRADA",Movimientos!$R$2:$R$1993,0)),"-")</f>
        <v>-</v>
      </c>
      <c r="D364" s="2" t="str">
        <f>IFERROR(INDEX(Movimientos!$E$2:$E$1993,MATCH(A364&amp;"ENTRADA",Movimientos!$R$2:$R$1993,0)),"-")</f>
        <v>-</v>
      </c>
      <c r="E364" s="2" t="str">
        <f>IFERROR(INDEX(Movimientos!$F$2:$F$1993,MATCH(A364&amp;"ENTRADA",Movimientos!$R$2:$R$1993,0)),"-")</f>
        <v>-</v>
      </c>
      <c r="F364" s="2" t="str">
        <f>IFERROR(INDEX(Movimientos!$G$2:$G$1993,MATCH(A364&amp;"ENTRADA",Movimientos!$R$2:$R$1993,0)),"-")</f>
        <v>-</v>
      </c>
      <c r="G364" s="2" t="str">
        <f>IFERROR(INDEX(Movimientos!$L$2:$L$1993,MATCH(A364&amp;"ENTRADA",Movimientos!$R$2:$R$1993,0)),"-")</f>
        <v>-</v>
      </c>
      <c r="H364" s="17" t="str">
        <f>IFERROR(IF(INDEX(Movimientos!$M$2:$M$1993,MATCH(A364&amp;"ENTRADA",Movimientos!$R$2:$R$1993,0))=0,"S/D",INDEX(Movimientos!$M$2:$M$1993,MATCH(A364&amp;"ENTRADA",Movimientos!$R$2:$R$1993,0))),"S/D")</f>
        <v>S/D</v>
      </c>
      <c r="I364" s="15" t="str">
        <f t="shared" ca="1" si="12"/>
        <v>S/D</v>
      </c>
      <c r="J364" s="5">
        <f>IF(A364="","",SUMIFS(Movimientos!$K:$K,Movimientos!$H:$H,A364))</f>
        <v>0</v>
      </c>
      <c r="K364" s="13" t="str">
        <f t="shared" ca="1" si="11"/>
        <v>SIN STOCK</v>
      </c>
    </row>
    <row r="365" spans="1:11">
      <c r="A365" s="16" t="s">
        <v>2670</v>
      </c>
      <c r="B365" s="2" t="str">
        <f>IFERROR(INDEX(Movimientos!$C$2:$C$1993,MATCH(A365&amp;"ENTRADA",Movimientos!$R$2:$R$1993,0)),"-")</f>
        <v>-</v>
      </c>
      <c r="C365" s="2" t="str">
        <f>IFERROR(INDEX(Movimientos!$D$2:$D$1993,MATCH(A365&amp;"ENTRADA",Movimientos!$R$2:$R$1993,0)),"-")</f>
        <v>-</v>
      </c>
      <c r="D365" s="2" t="str">
        <f>IFERROR(INDEX(Movimientos!$E$2:$E$1993,MATCH(A365&amp;"ENTRADA",Movimientos!$R$2:$R$1993,0)),"-")</f>
        <v>-</v>
      </c>
      <c r="E365" s="2" t="str">
        <f>IFERROR(INDEX(Movimientos!$F$2:$F$1993,MATCH(A365&amp;"ENTRADA",Movimientos!$R$2:$R$1993,0)),"-")</f>
        <v>-</v>
      </c>
      <c r="F365" s="2" t="str">
        <f>IFERROR(INDEX(Movimientos!$G$2:$G$1993,MATCH(A365&amp;"ENTRADA",Movimientos!$R$2:$R$1993,0)),"-")</f>
        <v>-</v>
      </c>
      <c r="G365" s="2" t="str">
        <f>IFERROR(INDEX(Movimientos!$L$2:$L$1993,MATCH(A365&amp;"ENTRADA",Movimientos!$R$2:$R$1993,0)),"-")</f>
        <v>-</v>
      </c>
      <c r="H365" s="17" t="str">
        <f>IFERROR(IF(INDEX(Movimientos!$M$2:$M$1993,MATCH(A365&amp;"ENTRADA",Movimientos!$R$2:$R$1993,0))=0,"S/D",INDEX(Movimientos!$M$2:$M$1993,MATCH(A365&amp;"ENTRADA",Movimientos!$R$2:$R$1993,0))),"S/D")</f>
        <v>S/D</v>
      </c>
      <c r="I365" s="15" t="str">
        <f t="shared" ca="1" si="12"/>
        <v>S/D</v>
      </c>
      <c r="J365" s="5">
        <f>IF(A365="","",SUMIFS(Movimientos!$K:$K,Movimientos!$H:$H,A365))</f>
        <v>0</v>
      </c>
      <c r="K365" s="13" t="str">
        <f t="shared" ca="1" si="11"/>
        <v>SIN STOCK</v>
      </c>
    </row>
    <row r="366" spans="1:11">
      <c r="A366" s="16" t="s">
        <v>2671</v>
      </c>
      <c r="B366" s="2" t="str">
        <f>IFERROR(INDEX(Movimientos!$C$2:$C$1993,MATCH(A366&amp;"ENTRADA",Movimientos!$R$2:$R$1993,0)),"-")</f>
        <v>-</v>
      </c>
      <c r="C366" s="2" t="str">
        <f>IFERROR(INDEX(Movimientos!$D$2:$D$1993,MATCH(A366&amp;"ENTRADA",Movimientos!$R$2:$R$1993,0)),"-")</f>
        <v>-</v>
      </c>
      <c r="D366" s="2" t="str">
        <f>IFERROR(INDEX(Movimientos!$E$2:$E$1993,MATCH(A366&amp;"ENTRADA",Movimientos!$R$2:$R$1993,0)),"-")</f>
        <v>-</v>
      </c>
      <c r="E366" s="2" t="str">
        <f>IFERROR(INDEX(Movimientos!$F$2:$F$1993,MATCH(A366&amp;"ENTRADA",Movimientos!$R$2:$R$1993,0)),"-")</f>
        <v>-</v>
      </c>
      <c r="F366" s="2" t="str">
        <f>IFERROR(INDEX(Movimientos!$G$2:$G$1993,MATCH(A366&amp;"ENTRADA",Movimientos!$R$2:$R$1993,0)),"-")</f>
        <v>-</v>
      </c>
      <c r="G366" s="2" t="str">
        <f>IFERROR(INDEX(Movimientos!$L$2:$L$1993,MATCH(A366&amp;"ENTRADA",Movimientos!$R$2:$R$1993,0)),"-")</f>
        <v>-</v>
      </c>
      <c r="H366" s="17" t="str">
        <f>IFERROR(IF(INDEX(Movimientos!$M$2:$M$1993,MATCH(A366&amp;"ENTRADA",Movimientos!$R$2:$R$1993,0))=0,"S/D",INDEX(Movimientos!$M$2:$M$1993,MATCH(A366&amp;"ENTRADA",Movimientos!$R$2:$R$1993,0))),"S/D")</f>
        <v>S/D</v>
      </c>
      <c r="I366" s="15" t="str">
        <f t="shared" ca="1" si="12"/>
        <v>S/D</v>
      </c>
      <c r="J366" s="5">
        <f>IF(A366="","",SUMIFS(Movimientos!$K:$K,Movimientos!$H:$H,A366))</f>
        <v>0</v>
      </c>
      <c r="K366" s="13" t="str">
        <f t="shared" ca="1" si="11"/>
        <v>SIN STOCK</v>
      </c>
    </row>
    <row r="367" spans="1:11">
      <c r="A367" s="16" t="s">
        <v>2672</v>
      </c>
      <c r="B367" s="2" t="str">
        <f>IFERROR(INDEX(Movimientos!$C$2:$C$1993,MATCH(A367&amp;"ENTRADA",Movimientos!$R$2:$R$1993,0)),"-")</f>
        <v>-</v>
      </c>
      <c r="C367" s="2" t="str">
        <f>IFERROR(INDEX(Movimientos!$D$2:$D$1993,MATCH(A367&amp;"ENTRADA",Movimientos!$R$2:$R$1993,0)),"-")</f>
        <v>-</v>
      </c>
      <c r="D367" s="2" t="str">
        <f>IFERROR(INDEX(Movimientos!$E$2:$E$1993,MATCH(A367&amp;"ENTRADA",Movimientos!$R$2:$R$1993,0)),"-")</f>
        <v>-</v>
      </c>
      <c r="E367" s="2" t="str">
        <f>IFERROR(INDEX(Movimientos!$F$2:$F$1993,MATCH(A367&amp;"ENTRADA",Movimientos!$R$2:$R$1993,0)),"-")</f>
        <v>-</v>
      </c>
      <c r="F367" s="2" t="str">
        <f>IFERROR(INDEX(Movimientos!$G$2:$G$1993,MATCH(A367&amp;"ENTRADA",Movimientos!$R$2:$R$1993,0)),"-")</f>
        <v>-</v>
      </c>
      <c r="G367" s="2" t="str">
        <f>IFERROR(INDEX(Movimientos!$L$2:$L$1993,MATCH(A367&amp;"ENTRADA",Movimientos!$R$2:$R$1993,0)),"-")</f>
        <v>-</v>
      </c>
      <c r="H367" s="17" t="str">
        <f>IFERROR(IF(INDEX(Movimientos!$M$2:$M$1993,MATCH(A367&amp;"ENTRADA",Movimientos!$R$2:$R$1993,0))=0,"S/D",INDEX(Movimientos!$M$2:$M$1993,MATCH(A367&amp;"ENTRADA",Movimientos!$R$2:$R$1993,0))),"S/D")</f>
        <v>S/D</v>
      </c>
      <c r="I367" s="15" t="str">
        <f t="shared" ca="1" si="12"/>
        <v>S/D</v>
      </c>
      <c r="J367" s="5">
        <f>IF(A367="","",SUMIFS(Movimientos!$K:$K,Movimientos!$H:$H,A367))</f>
        <v>0</v>
      </c>
      <c r="K367" s="13" t="str">
        <f t="shared" ca="1" si="11"/>
        <v>SIN STOCK</v>
      </c>
    </row>
    <row r="368" spans="1:11">
      <c r="A368" s="16" t="s">
        <v>2673</v>
      </c>
      <c r="B368" s="2" t="str">
        <f>IFERROR(INDEX(Movimientos!$C$2:$C$1993,MATCH(A368&amp;"ENTRADA",Movimientos!$R$2:$R$1993,0)),"-")</f>
        <v>-</v>
      </c>
      <c r="C368" s="2" t="str">
        <f>IFERROR(INDEX(Movimientos!$D$2:$D$1993,MATCH(A368&amp;"ENTRADA",Movimientos!$R$2:$R$1993,0)),"-")</f>
        <v>-</v>
      </c>
      <c r="D368" s="2" t="str">
        <f>IFERROR(INDEX(Movimientos!$E$2:$E$1993,MATCH(A368&amp;"ENTRADA",Movimientos!$R$2:$R$1993,0)),"-")</f>
        <v>-</v>
      </c>
      <c r="E368" s="2" t="str">
        <f>IFERROR(INDEX(Movimientos!$F$2:$F$1993,MATCH(A368&amp;"ENTRADA",Movimientos!$R$2:$R$1993,0)),"-")</f>
        <v>-</v>
      </c>
      <c r="F368" s="2" t="str">
        <f>IFERROR(INDEX(Movimientos!$G$2:$G$1993,MATCH(A368&amp;"ENTRADA",Movimientos!$R$2:$R$1993,0)),"-")</f>
        <v>-</v>
      </c>
      <c r="G368" s="2" t="str">
        <f>IFERROR(INDEX(Movimientos!$L$2:$L$1993,MATCH(A368&amp;"ENTRADA",Movimientos!$R$2:$R$1993,0)),"-")</f>
        <v>-</v>
      </c>
      <c r="H368" s="17" t="str">
        <f>IFERROR(IF(INDEX(Movimientos!$M$2:$M$1993,MATCH(A368&amp;"ENTRADA",Movimientos!$R$2:$R$1993,0))=0,"S/D",INDEX(Movimientos!$M$2:$M$1993,MATCH(A368&amp;"ENTRADA",Movimientos!$R$2:$R$1993,0))),"S/D")</f>
        <v>S/D</v>
      </c>
      <c r="I368" s="15" t="str">
        <f t="shared" ca="1" si="12"/>
        <v>S/D</v>
      </c>
      <c r="J368" s="5">
        <f>IF(A368="","",SUMIFS(Movimientos!$K:$K,Movimientos!$H:$H,A368))</f>
        <v>0</v>
      </c>
      <c r="K368" s="13" t="str">
        <f t="shared" ca="1" si="11"/>
        <v>SIN STOCK</v>
      </c>
    </row>
    <row r="369" spans="1:11">
      <c r="A369" s="16" t="s">
        <v>2674</v>
      </c>
      <c r="B369" s="2" t="str">
        <f>IFERROR(INDEX(Movimientos!$C$2:$C$1993,MATCH(A369&amp;"ENTRADA",Movimientos!$R$2:$R$1993,0)),"-")</f>
        <v>-</v>
      </c>
      <c r="C369" s="2" t="str">
        <f>IFERROR(INDEX(Movimientos!$D$2:$D$1993,MATCH(A369&amp;"ENTRADA",Movimientos!$R$2:$R$1993,0)),"-")</f>
        <v>-</v>
      </c>
      <c r="D369" s="2" t="str">
        <f>IFERROR(INDEX(Movimientos!$E$2:$E$1993,MATCH(A369&amp;"ENTRADA",Movimientos!$R$2:$R$1993,0)),"-")</f>
        <v>-</v>
      </c>
      <c r="E369" s="2" t="str">
        <f>IFERROR(INDEX(Movimientos!$F$2:$F$1993,MATCH(A369&amp;"ENTRADA",Movimientos!$R$2:$R$1993,0)),"-")</f>
        <v>-</v>
      </c>
      <c r="F369" s="2" t="str">
        <f>IFERROR(INDEX(Movimientos!$G$2:$G$1993,MATCH(A369&amp;"ENTRADA",Movimientos!$R$2:$R$1993,0)),"-")</f>
        <v>-</v>
      </c>
      <c r="G369" s="2" t="str">
        <f>IFERROR(INDEX(Movimientos!$L$2:$L$1993,MATCH(A369&amp;"ENTRADA",Movimientos!$R$2:$R$1993,0)),"-")</f>
        <v>-</v>
      </c>
      <c r="H369" s="17" t="str">
        <f>IFERROR(IF(INDEX(Movimientos!$M$2:$M$1993,MATCH(A369&amp;"ENTRADA",Movimientos!$R$2:$R$1993,0))=0,"S/D",INDEX(Movimientos!$M$2:$M$1993,MATCH(A369&amp;"ENTRADA",Movimientos!$R$2:$R$1993,0))),"S/D")</f>
        <v>S/D</v>
      </c>
      <c r="I369" s="15" t="str">
        <f t="shared" ca="1" si="12"/>
        <v>S/D</v>
      </c>
      <c r="J369" s="5">
        <f>IF(A369="","",SUMIFS(Movimientos!$K:$K,Movimientos!$H:$H,A369))</f>
        <v>0</v>
      </c>
      <c r="K369" s="13" t="str">
        <f t="shared" ca="1" si="11"/>
        <v>SIN STOCK</v>
      </c>
    </row>
    <row r="370" spans="1:11">
      <c r="A370" s="16" t="s">
        <v>2675</v>
      </c>
      <c r="B370" s="2" t="str">
        <f>IFERROR(INDEX(Movimientos!$C$2:$C$1993,MATCH(A370&amp;"ENTRADA",Movimientos!$R$2:$R$1993,0)),"-")</f>
        <v>-</v>
      </c>
      <c r="C370" s="2" t="str">
        <f>IFERROR(INDEX(Movimientos!$D$2:$D$1993,MATCH(A370&amp;"ENTRADA",Movimientos!$R$2:$R$1993,0)),"-")</f>
        <v>-</v>
      </c>
      <c r="D370" s="2" t="str">
        <f>IFERROR(INDEX(Movimientos!$E$2:$E$1993,MATCH(A370&amp;"ENTRADA",Movimientos!$R$2:$R$1993,0)),"-")</f>
        <v>-</v>
      </c>
      <c r="E370" s="2" t="str">
        <f>IFERROR(INDEX(Movimientos!$F$2:$F$1993,MATCH(A370&amp;"ENTRADA",Movimientos!$R$2:$R$1993,0)),"-")</f>
        <v>-</v>
      </c>
      <c r="F370" s="2" t="str">
        <f>IFERROR(INDEX(Movimientos!$G$2:$G$1993,MATCH(A370&amp;"ENTRADA",Movimientos!$R$2:$R$1993,0)),"-")</f>
        <v>-</v>
      </c>
      <c r="G370" s="2" t="str">
        <f>IFERROR(INDEX(Movimientos!$L$2:$L$1993,MATCH(A370&amp;"ENTRADA",Movimientos!$R$2:$R$1993,0)),"-")</f>
        <v>-</v>
      </c>
      <c r="H370" s="17" t="str">
        <f>IFERROR(IF(INDEX(Movimientos!$M$2:$M$1993,MATCH(A370&amp;"ENTRADA",Movimientos!$R$2:$R$1993,0))=0,"S/D",INDEX(Movimientos!$M$2:$M$1993,MATCH(A370&amp;"ENTRADA",Movimientos!$R$2:$R$1993,0))),"S/D")</f>
        <v>S/D</v>
      </c>
      <c r="I370" s="15" t="str">
        <f t="shared" ca="1" si="12"/>
        <v>S/D</v>
      </c>
      <c r="J370" s="5">
        <f>IF(A370="","",SUMIFS(Movimientos!$K:$K,Movimientos!$H:$H,A370))</f>
        <v>0</v>
      </c>
      <c r="K370" s="13" t="str">
        <f t="shared" ca="1" si="11"/>
        <v>SIN STOCK</v>
      </c>
    </row>
    <row r="371" spans="1:11">
      <c r="A371" s="16" t="s">
        <v>2676</v>
      </c>
      <c r="B371" s="2" t="str">
        <f>IFERROR(INDEX(Movimientos!$C$2:$C$1993,MATCH(A371&amp;"ENTRADA",Movimientos!$R$2:$R$1993,0)),"-")</f>
        <v>-</v>
      </c>
      <c r="C371" s="2" t="str">
        <f>IFERROR(INDEX(Movimientos!$D$2:$D$1993,MATCH(A371&amp;"ENTRADA",Movimientos!$R$2:$R$1993,0)),"-")</f>
        <v>-</v>
      </c>
      <c r="D371" s="2" t="str">
        <f>IFERROR(INDEX(Movimientos!$E$2:$E$1993,MATCH(A371&amp;"ENTRADA",Movimientos!$R$2:$R$1993,0)),"-")</f>
        <v>-</v>
      </c>
      <c r="E371" s="2" t="str">
        <f>IFERROR(INDEX(Movimientos!$F$2:$F$1993,MATCH(A371&amp;"ENTRADA",Movimientos!$R$2:$R$1993,0)),"-")</f>
        <v>-</v>
      </c>
      <c r="F371" s="2" t="str">
        <f>IFERROR(INDEX(Movimientos!$G$2:$G$1993,MATCH(A371&amp;"ENTRADA",Movimientos!$R$2:$R$1993,0)),"-")</f>
        <v>-</v>
      </c>
      <c r="G371" s="2" t="str">
        <f>IFERROR(INDEX(Movimientos!$L$2:$L$1993,MATCH(A371&amp;"ENTRADA",Movimientos!$R$2:$R$1993,0)),"-")</f>
        <v>-</v>
      </c>
      <c r="H371" s="17" t="str">
        <f>IFERROR(IF(INDEX(Movimientos!$M$2:$M$1993,MATCH(A371&amp;"ENTRADA",Movimientos!$R$2:$R$1993,0))=0,"S/D",INDEX(Movimientos!$M$2:$M$1993,MATCH(A371&amp;"ENTRADA",Movimientos!$R$2:$R$1993,0))),"S/D")</f>
        <v>S/D</v>
      </c>
      <c r="I371" s="15" t="str">
        <f t="shared" ca="1" si="12"/>
        <v>S/D</v>
      </c>
      <c r="J371" s="5">
        <f>IF(A371="","",SUMIFS(Movimientos!$K:$K,Movimientos!$H:$H,A371))</f>
        <v>0</v>
      </c>
      <c r="K371" s="13" t="str">
        <f t="shared" ca="1" si="11"/>
        <v>SIN STOCK</v>
      </c>
    </row>
    <row r="372" spans="1:11">
      <c r="A372" s="16" t="s">
        <v>2677</v>
      </c>
      <c r="B372" s="2" t="str">
        <f>IFERROR(INDEX(Movimientos!$C$2:$C$1993,MATCH(A372&amp;"ENTRADA",Movimientos!$R$2:$R$1993,0)),"-")</f>
        <v>-</v>
      </c>
      <c r="C372" s="2" t="str">
        <f>IFERROR(INDEX(Movimientos!$D$2:$D$1993,MATCH(A372&amp;"ENTRADA",Movimientos!$R$2:$R$1993,0)),"-")</f>
        <v>-</v>
      </c>
      <c r="D372" s="2" t="str">
        <f>IFERROR(INDEX(Movimientos!$E$2:$E$1993,MATCH(A372&amp;"ENTRADA",Movimientos!$R$2:$R$1993,0)),"-")</f>
        <v>-</v>
      </c>
      <c r="E372" s="2" t="str">
        <f>IFERROR(INDEX(Movimientos!$F$2:$F$1993,MATCH(A372&amp;"ENTRADA",Movimientos!$R$2:$R$1993,0)),"-")</f>
        <v>-</v>
      </c>
      <c r="F372" s="2" t="str">
        <f>IFERROR(INDEX(Movimientos!$G$2:$G$1993,MATCH(A372&amp;"ENTRADA",Movimientos!$R$2:$R$1993,0)),"-")</f>
        <v>-</v>
      </c>
      <c r="G372" s="2" t="str">
        <f>IFERROR(INDEX(Movimientos!$L$2:$L$1993,MATCH(A372&amp;"ENTRADA",Movimientos!$R$2:$R$1993,0)),"-")</f>
        <v>-</v>
      </c>
      <c r="H372" s="17" t="str">
        <f>IFERROR(IF(INDEX(Movimientos!$M$2:$M$1993,MATCH(A372&amp;"ENTRADA",Movimientos!$R$2:$R$1993,0))=0,"S/D",INDEX(Movimientos!$M$2:$M$1993,MATCH(A372&amp;"ENTRADA",Movimientos!$R$2:$R$1993,0))),"S/D")</f>
        <v>S/D</v>
      </c>
      <c r="I372" s="15" t="str">
        <f t="shared" ca="1" si="12"/>
        <v>S/D</v>
      </c>
      <c r="J372" s="5">
        <f>IF(A372="","",SUMIFS(Movimientos!$K:$K,Movimientos!$H:$H,A372))</f>
        <v>0</v>
      </c>
      <c r="K372" s="13" t="str">
        <f t="shared" ca="1" si="11"/>
        <v>SIN STOCK</v>
      </c>
    </row>
    <row r="373" spans="1:11">
      <c r="A373" s="16" t="s">
        <v>2678</v>
      </c>
      <c r="B373" s="2" t="str">
        <f>IFERROR(INDEX(Movimientos!$C$2:$C$1993,MATCH(A373&amp;"ENTRADA",Movimientos!$R$2:$R$1993,0)),"-")</f>
        <v>-</v>
      </c>
      <c r="C373" s="2" t="str">
        <f>IFERROR(INDEX(Movimientos!$D$2:$D$1993,MATCH(A373&amp;"ENTRADA",Movimientos!$R$2:$R$1993,0)),"-")</f>
        <v>-</v>
      </c>
      <c r="D373" s="2" t="str">
        <f>IFERROR(INDEX(Movimientos!$E$2:$E$1993,MATCH(A373&amp;"ENTRADA",Movimientos!$R$2:$R$1993,0)),"-")</f>
        <v>-</v>
      </c>
      <c r="E373" s="2" t="str">
        <f>IFERROR(INDEX(Movimientos!$F$2:$F$1993,MATCH(A373&amp;"ENTRADA",Movimientos!$R$2:$R$1993,0)),"-")</f>
        <v>-</v>
      </c>
      <c r="F373" s="2" t="str">
        <f>IFERROR(INDEX(Movimientos!$G$2:$G$1993,MATCH(A373&amp;"ENTRADA",Movimientos!$R$2:$R$1993,0)),"-")</f>
        <v>-</v>
      </c>
      <c r="G373" s="2" t="str">
        <f>IFERROR(INDEX(Movimientos!$L$2:$L$1993,MATCH(A373&amp;"ENTRADA",Movimientos!$R$2:$R$1993,0)),"-")</f>
        <v>-</v>
      </c>
      <c r="H373" s="17" t="str">
        <f>IFERROR(IF(INDEX(Movimientos!$M$2:$M$1993,MATCH(A373&amp;"ENTRADA",Movimientos!$R$2:$R$1993,0))=0,"S/D",INDEX(Movimientos!$M$2:$M$1993,MATCH(A373&amp;"ENTRADA",Movimientos!$R$2:$R$1993,0))),"S/D")</f>
        <v>S/D</v>
      </c>
      <c r="I373" s="15" t="str">
        <f t="shared" ca="1" si="12"/>
        <v>S/D</v>
      </c>
      <c r="J373" s="5">
        <f>IF(A373="","",SUMIFS(Movimientos!$K:$K,Movimientos!$H:$H,A373))</f>
        <v>0</v>
      </c>
      <c r="K373" s="13" t="str">
        <f t="shared" ca="1" si="11"/>
        <v>SIN STOCK</v>
      </c>
    </row>
    <row r="374" spans="1:11">
      <c r="A374" s="16" t="s">
        <v>2679</v>
      </c>
      <c r="B374" s="2" t="str">
        <f>IFERROR(INDEX(Movimientos!$C$2:$C$1993,MATCH(A374&amp;"ENTRADA",Movimientos!$R$2:$R$1993,0)),"-")</f>
        <v>-</v>
      </c>
      <c r="C374" s="2" t="str">
        <f>IFERROR(INDEX(Movimientos!$D$2:$D$1993,MATCH(A374&amp;"ENTRADA",Movimientos!$R$2:$R$1993,0)),"-")</f>
        <v>-</v>
      </c>
      <c r="D374" s="2" t="str">
        <f>IFERROR(INDEX(Movimientos!$E$2:$E$1993,MATCH(A374&amp;"ENTRADA",Movimientos!$R$2:$R$1993,0)),"-")</f>
        <v>-</v>
      </c>
      <c r="E374" s="2" t="str">
        <f>IFERROR(INDEX(Movimientos!$F$2:$F$1993,MATCH(A374&amp;"ENTRADA",Movimientos!$R$2:$R$1993,0)),"-")</f>
        <v>-</v>
      </c>
      <c r="F374" s="2" t="str">
        <f>IFERROR(INDEX(Movimientos!$G$2:$G$1993,MATCH(A374&amp;"ENTRADA",Movimientos!$R$2:$R$1993,0)),"-")</f>
        <v>-</v>
      </c>
      <c r="G374" s="2" t="str">
        <f>IFERROR(INDEX(Movimientos!$L$2:$L$1993,MATCH(A374&amp;"ENTRADA",Movimientos!$R$2:$R$1993,0)),"-")</f>
        <v>-</v>
      </c>
      <c r="H374" s="17" t="str">
        <f>IFERROR(IF(INDEX(Movimientos!$M$2:$M$1993,MATCH(A374&amp;"ENTRADA",Movimientos!$R$2:$R$1993,0))=0,"S/D",INDEX(Movimientos!$M$2:$M$1993,MATCH(A374&amp;"ENTRADA",Movimientos!$R$2:$R$1993,0))),"S/D")</f>
        <v>S/D</v>
      </c>
      <c r="I374" s="15" t="str">
        <f t="shared" ca="1" si="12"/>
        <v>S/D</v>
      </c>
      <c r="J374" s="5">
        <f>IF(A374="","",SUMIFS(Movimientos!$K:$K,Movimientos!$H:$H,A374))</f>
        <v>0</v>
      </c>
      <c r="K374" s="13" t="str">
        <f t="shared" ca="1" si="11"/>
        <v>SIN STOCK</v>
      </c>
    </row>
    <row r="375" spans="1:11">
      <c r="A375" s="16" t="s">
        <v>2680</v>
      </c>
      <c r="B375" s="2" t="str">
        <f>IFERROR(INDEX(Movimientos!$C$2:$C$1993,MATCH(A375&amp;"ENTRADA",Movimientos!$R$2:$R$1993,0)),"-")</f>
        <v>-</v>
      </c>
      <c r="C375" s="2" t="str">
        <f>IFERROR(INDEX(Movimientos!$D$2:$D$1993,MATCH(A375&amp;"ENTRADA",Movimientos!$R$2:$R$1993,0)),"-")</f>
        <v>-</v>
      </c>
      <c r="D375" s="2" t="str">
        <f>IFERROR(INDEX(Movimientos!$E$2:$E$1993,MATCH(A375&amp;"ENTRADA",Movimientos!$R$2:$R$1993,0)),"-")</f>
        <v>-</v>
      </c>
      <c r="E375" s="2" t="str">
        <f>IFERROR(INDEX(Movimientos!$F$2:$F$1993,MATCH(A375&amp;"ENTRADA",Movimientos!$R$2:$R$1993,0)),"-")</f>
        <v>-</v>
      </c>
      <c r="F375" s="2" t="str">
        <f>IFERROR(INDEX(Movimientos!$G$2:$G$1993,MATCH(A375&amp;"ENTRADA",Movimientos!$R$2:$R$1993,0)),"-")</f>
        <v>-</v>
      </c>
      <c r="G375" s="2" t="str">
        <f>IFERROR(INDEX(Movimientos!$L$2:$L$1993,MATCH(A375&amp;"ENTRADA",Movimientos!$R$2:$R$1993,0)),"-")</f>
        <v>-</v>
      </c>
      <c r="H375" s="17" t="str">
        <f>IFERROR(IF(INDEX(Movimientos!$M$2:$M$1993,MATCH(A375&amp;"ENTRADA",Movimientos!$R$2:$R$1993,0))=0,"S/D",INDEX(Movimientos!$M$2:$M$1993,MATCH(A375&amp;"ENTRADA",Movimientos!$R$2:$R$1993,0))),"S/D")</f>
        <v>S/D</v>
      </c>
      <c r="I375" s="15" t="str">
        <f t="shared" ca="1" si="12"/>
        <v>S/D</v>
      </c>
      <c r="J375" s="5">
        <f>IF(A375="","",SUMIFS(Movimientos!$K:$K,Movimientos!$H:$H,A375))</f>
        <v>0</v>
      </c>
      <c r="K375" s="13" t="str">
        <f t="shared" ca="1" si="11"/>
        <v>SIN STOCK</v>
      </c>
    </row>
    <row r="376" spans="1:11">
      <c r="A376" s="16" t="s">
        <v>2681</v>
      </c>
      <c r="B376" s="2" t="str">
        <f>IFERROR(INDEX(Movimientos!$C$2:$C$1993,MATCH(A376&amp;"ENTRADA",Movimientos!$R$2:$R$1993,0)),"-")</f>
        <v>-</v>
      </c>
      <c r="C376" s="2" t="str">
        <f>IFERROR(INDEX(Movimientos!$D$2:$D$1993,MATCH(A376&amp;"ENTRADA",Movimientos!$R$2:$R$1993,0)),"-")</f>
        <v>-</v>
      </c>
      <c r="D376" s="2" t="str">
        <f>IFERROR(INDEX(Movimientos!$E$2:$E$1993,MATCH(A376&amp;"ENTRADA",Movimientos!$R$2:$R$1993,0)),"-")</f>
        <v>-</v>
      </c>
      <c r="E376" s="2" t="str">
        <f>IFERROR(INDEX(Movimientos!$F$2:$F$1993,MATCH(A376&amp;"ENTRADA",Movimientos!$R$2:$R$1993,0)),"-")</f>
        <v>-</v>
      </c>
      <c r="F376" s="2" t="str">
        <f>IFERROR(INDEX(Movimientos!$G$2:$G$1993,MATCH(A376&amp;"ENTRADA",Movimientos!$R$2:$R$1993,0)),"-")</f>
        <v>-</v>
      </c>
      <c r="G376" s="2" t="str">
        <f>IFERROR(INDEX(Movimientos!$L$2:$L$1993,MATCH(A376&amp;"ENTRADA",Movimientos!$R$2:$R$1993,0)),"-")</f>
        <v>-</v>
      </c>
      <c r="H376" s="17" t="str">
        <f>IFERROR(IF(INDEX(Movimientos!$M$2:$M$1993,MATCH(A376&amp;"ENTRADA",Movimientos!$R$2:$R$1993,0))=0,"S/D",INDEX(Movimientos!$M$2:$M$1993,MATCH(A376&amp;"ENTRADA",Movimientos!$R$2:$R$1993,0))),"S/D")</f>
        <v>S/D</v>
      </c>
      <c r="I376" s="15" t="str">
        <f t="shared" ca="1" si="12"/>
        <v>S/D</v>
      </c>
      <c r="J376" s="5">
        <f>IF(A376="","",SUMIFS(Movimientos!$K:$K,Movimientos!$H:$H,A376))</f>
        <v>0</v>
      </c>
      <c r="K376" s="13" t="str">
        <f t="shared" ca="1" si="11"/>
        <v>SIN STOCK</v>
      </c>
    </row>
    <row r="377" spans="1:11">
      <c r="A377" s="16" t="s">
        <v>2682</v>
      </c>
      <c r="B377" s="2" t="str">
        <f>IFERROR(INDEX(Movimientos!$C$2:$C$1993,MATCH(A377&amp;"ENTRADA",Movimientos!$R$2:$R$1993,0)),"-")</f>
        <v>-</v>
      </c>
      <c r="C377" s="2" t="str">
        <f>IFERROR(INDEX(Movimientos!$D$2:$D$1993,MATCH(A377&amp;"ENTRADA",Movimientos!$R$2:$R$1993,0)),"-")</f>
        <v>-</v>
      </c>
      <c r="D377" s="2" t="str">
        <f>IFERROR(INDEX(Movimientos!$E$2:$E$1993,MATCH(A377&amp;"ENTRADA",Movimientos!$R$2:$R$1993,0)),"-")</f>
        <v>-</v>
      </c>
      <c r="E377" s="2" t="str">
        <f>IFERROR(INDEX(Movimientos!$F$2:$F$1993,MATCH(A377&amp;"ENTRADA",Movimientos!$R$2:$R$1993,0)),"-")</f>
        <v>-</v>
      </c>
      <c r="F377" s="2" t="str">
        <f>IFERROR(INDEX(Movimientos!$G$2:$G$1993,MATCH(A377&amp;"ENTRADA",Movimientos!$R$2:$R$1993,0)),"-")</f>
        <v>-</v>
      </c>
      <c r="G377" s="2" t="str">
        <f>IFERROR(INDEX(Movimientos!$L$2:$L$1993,MATCH(A377&amp;"ENTRADA",Movimientos!$R$2:$R$1993,0)),"-")</f>
        <v>-</v>
      </c>
      <c r="H377" s="17" t="str">
        <f>IFERROR(IF(INDEX(Movimientos!$M$2:$M$1993,MATCH(A377&amp;"ENTRADA",Movimientos!$R$2:$R$1993,0))=0,"S/D",INDEX(Movimientos!$M$2:$M$1993,MATCH(A377&amp;"ENTRADA",Movimientos!$R$2:$R$1993,0))),"S/D")</f>
        <v>S/D</v>
      </c>
      <c r="I377" s="15" t="str">
        <f t="shared" ca="1" si="12"/>
        <v>S/D</v>
      </c>
      <c r="J377" s="5">
        <f>IF(A377="","",SUMIFS(Movimientos!$K:$K,Movimientos!$H:$H,A377))</f>
        <v>0</v>
      </c>
      <c r="K377" s="13" t="str">
        <f t="shared" ca="1" si="11"/>
        <v>SIN STOCK</v>
      </c>
    </row>
    <row r="378" spans="1:11">
      <c r="A378" s="16" t="s">
        <v>2683</v>
      </c>
      <c r="B378" s="2" t="str">
        <f>IFERROR(INDEX(Movimientos!$C$2:$C$1993,MATCH(A378&amp;"ENTRADA",Movimientos!$R$2:$R$1993,0)),"-")</f>
        <v>-</v>
      </c>
      <c r="C378" s="2" t="str">
        <f>IFERROR(INDEX(Movimientos!$D$2:$D$1993,MATCH(A378&amp;"ENTRADA",Movimientos!$R$2:$R$1993,0)),"-")</f>
        <v>-</v>
      </c>
      <c r="D378" s="2" t="str">
        <f>IFERROR(INDEX(Movimientos!$E$2:$E$1993,MATCH(A378&amp;"ENTRADA",Movimientos!$R$2:$R$1993,0)),"-")</f>
        <v>-</v>
      </c>
      <c r="E378" s="2" t="str">
        <f>IFERROR(INDEX(Movimientos!$F$2:$F$1993,MATCH(A378&amp;"ENTRADA",Movimientos!$R$2:$R$1993,0)),"-")</f>
        <v>-</v>
      </c>
      <c r="F378" s="2" t="str">
        <f>IFERROR(INDEX(Movimientos!$G$2:$G$1993,MATCH(A378&amp;"ENTRADA",Movimientos!$R$2:$R$1993,0)),"-")</f>
        <v>-</v>
      </c>
      <c r="G378" s="2" t="str">
        <f>IFERROR(INDEX(Movimientos!$L$2:$L$1993,MATCH(A378&amp;"ENTRADA",Movimientos!$R$2:$R$1993,0)),"-")</f>
        <v>-</v>
      </c>
      <c r="H378" s="17" t="str">
        <f>IFERROR(IF(INDEX(Movimientos!$M$2:$M$1993,MATCH(A378&amp;"ENTRADA",Movimientos!$R$2:$R$1993,0))=0,"S/D",INDEX(Movimientos!$M$2:$M$1993,MATCH(A378&amp;"ENTRADA",Movimientos!$R$2:$R$1993,0))),"S/D")</f>
        <v>S/D</v>
      </c>
      <c r="I378" s="15" t="str">
        <f t="shared" ca="1" si="12"/>
        <v>S/D</v>
      </c>
      <c r="J378" s="5">
        <f>IF(A378="","",SUMIFS(Movimientos!$K:$K,Movimientos!$H:$H,A378))</f>
        <v>0</v>
      </c>
      <c r="K378" s="13" t="str">
        <f t="shared" ca="1" si="11"/>
        <v>SIN STOCK</v>
      </c>
    </row>
    <row r="379" spans="1:11">
      <c r="A379" s="16" t="s">
        <v>2684</v>
      </c>
      <c r="B379" s="2" t="str">
        <f>IFERROR(INDEX(Movimientos!$C$2:$C$1993,MATCH(A379&amp;"ENTRADA",Movimientos!$R$2:$R$1993,0)),"-")</f>
        <v>-</v>
      </c>
      <c r="C379" s="2" t="str">
        <f>IFERROR(INDEX(Movimientos!$D$2:$D$1993,MATCH(A379&amp;"ENTRADA",Movimientos!$R$2:$R$1993,0)),"-")</f>
        <v>-</v>
      </c>
      <c r="D379" s="2" t="str">
        <f>IFERROR(INDEX(Movimientos!$E$2:$E$1993,MATCH(A379&amp;"ENTRADA",Movimientos!$R$2:$R$1993,0)),"-")</f>
        <v>-</v>
      </c>
      <c r="E379" s="2" t="str">
        <f>IFERROR(INDEX(Movimientos!$F$2:$F$1993,MATCH(A379&amp;"ENTRADA",Movimientos!$R$2:$R$1993,0)),"-")</f>
        <v>-</v>
      </c>
      <c r="F379" s="2" t="str">
        <f>IFERROR(INDEX(Movimientos!$G$2:$G$1993,MATCH(A379&amp;"ENTRADA",Movimientos!$R$2:$R$1993,0)),"-")</f>
        <v>-</v>
      </c>
      <c r="G379" s="2" t="str">
        <f>IFERROR(INDEX(Movimientos!$L$2:$L$1993,MATCH(A379&amp;"ENTRADA",Movimientos!$R$2:$R$1993,0)),"-")</f>
        <v>-</v>
      </c>
      <c r="H379" s="17" t="str">
        <f>IFERROR(IF(INDEX(Movimientos!$M$2:$M$1993,MATCH(A379&amp;"ENTRADA",Movimientos!$R$2:$R$1993,0))=0,"S/D",INDEX(Movimientos!$M$2:$M$1993,MATCH(A379&amp;"ENTRADA",Movimientos!$R$2:$R$1993,0))),"S/D")</f>
        <v>S/D</v>
      </c>
      <c r="I379" s="15" t="str">
        <f t="shared" ca="1" si="12"/>
        <v>S/D</v>
      </c>
      <c r="J379" s="5">
        <f>IF(A379="","",SUMIFS(Movimientos!$K:$K,Movimientos!$H:$H,A379))</f>
        <v>0</v>
      </c>
      <c r="K379" s="13" t="str">
        <f t="shared" ca="1" si="11"/>
        <v>SIN STOCK</v>
      </c>
    </row>
    <row r="380" spans="1:11">
      <c r="A380" s="16" t="s">
        <v>2685</v>
      </c>
      <c r="B380" s="2" t="str">
        <f>IFERROR(INDEX(Movimientos!$C$2:$C$1993,MATCH(A380&amp;"ENTRADA",Movimientos!$R$2:$R$1993,0)),"-")</f>
        <v>-</v>
      </c>
      <c r="C380" s="2" t="str">
        <f>IFERROR(INDEX(Movimientos!$D$2:$D$1993,MATCH(A380&amp;"ENTRADA",Movimientos!$R$2:$R$1993,0)),"-")</f>
        <v>-</v>
      </c>
      <c r="D380" s="2" t="str">
        <f>IFERROR(INDEX(Movimientos!$E$2:$E$1993,MATCH(A380&amp;"ENTRADA",Movimientos!$R$2:$R$1993,0)),"-")</f>
        <v>-</v>
      </c>
      <c r="E380" s="2" t="str">
        <f>IFERROR(INDEX(Movimientos!$F$2:$F$1993,MATCH(A380&amp;"ENTRADA",Movimientos!$R$2:$R$1993,0)),"-")</f>
        <v>-</v>
      </c>
      <c r="F380" s="2" t="str">
        <f>IFERROR(INDEX(Movimientos!$G$2:$G$1993,MATCH(A380&amp;"ENTRADA",Movimientos!$R$2:$R$1993,0)),"-")</f>
        <v>-</v>
      </c>
      <c r="G380" s="2" t="str">
        <f>IFERROR(INDEX(Movimientos!$L$2:$L$1993,MATCH(A380&amp;"ENTRADA",Movimientos!$R$2:$R$1993,0)),"-")</f>
        <v>-</v>
      </c>
      <c r="H380" s="17" t="str">
        <f>IFERROR(IF(INDEX(Movimientos!$M$2:$M$1993,MATCH(A380&amp;"ENTRADA",Movimientos!$R$2:$R$1993,0))=0,"S/D",INDEX(Movimientos!$M$2:$M$1993,MATCH(A380&amp;"ENTRADA",Movimientos!$R$2:$R$1993,0))),"S/D")</f>
        <v>S/D</v>
      </c>
      <c r="I380" s="15" t="str">
        <f t="shared" ca="1" si="12"/>
        <v>S/D</v>
      </c>
      <c r="J380" s="5">
        <f>IF(A380="","",SUMIFS(Movimientos!$K:$K,Movimientos!$H:$H,A380))</f>
        <v>0</v>
      </c>
      <c r="K380" s="13" t="str">
        <f t="shared" ca="1" si="11"/>
        <v>SIN STOCK</v>
      </c>
    </row>
    <row r="381" spans="1:11">
      <c r="A381" s="16" t="s">
        <v>2686</v>
      </c>
      <c r="B381" s="2" t="str">
        <f>IFERROR(INDEX(Movimientos!$C$2:$C$1993,MATCH(A381&amp;"ENTRADA",Movimientos!$R$2:$R$1993,0)),"-")</f>
        <v>-</v>
      </c>
      <c r="C381" s="2" t="str">
        <f>IFERROR(INDEX(Movimientos!$D$2:$D$1993,MATCH(A381&amp;"ENTRADA",Movimientos!$R$2:$R$1993,0)),"-")</f>
        <v>-</v>
      </c>
      <c r="D381" s="2" t="str">
        <f>IFERROR(INDEX(Movimientos!$E$2:$E$1993,MATCH(A381&amp;"ENTRADA",Movimientos!$R$2:$R$1993,0)),"-")</f>
        <v>-</v>
      </c>
      <c r="E381" s="2" t="str">
        <f>IFERROR(INDEX(Movimientos!$F$2:$F$1993,MATCH(A381&amp;"ENTRADA",Movimientos!$R$2:$R$1993,0)),"-")</f>
        <v>-</v>
      </c>
      <c r="F381" s="2" t="str">
        <f>IFERROR(INDEX(Movimientos!$G$2:$G$1993,MATCH(A381&amp;"ENTRADA",Movimientos!$R$2:$R$1993,0)),"-")</f>
        <v>-</v>
      </c>
      <c r="G381" s="2" t="str">
        <f>IFERROR(INDEX(Movimientos!$L$2:$L$1993,MATCH(A381&amp;"ENTRADA",Movimientos!$R$2:$R$1993,0)),"-")</f>
        <v>-</v>
      </c>
      <c r="H381" s="17" t="str">
        <f>IFERROR(IF(INDEX(Movimientos!$M$2:$M$1993,MATCH(A381&amp;"ENTRADA",Movimientos!$R$2:$R$1993,0))=0,"S/D",INDEX(Movimientos!$M$2:$M$1993,MATCH(A381&amp;"ENTRADA",Movimientos!$R$2:$R$1993,0))),"S/D")</f>
        <v>S/D</v>
      </c>
      <c r="I381" s="15" t="str">
        <f t="shared" ca="1" si="12"/>
        <v>S/D</v>
      </c>
      <c r="J381" s="5">
        <f>IF(A381="","",SUMIFS(Movimientos!$K:$K,Movimientos!$H:$H,A381))</f>
        <v>0</v>
      </c>
      <c r="K381" s="13" t="str">
        <f t="shared" ca="1" si="11"/>
        <v>SIN STOCK</v>
      </c>
    </row>
    <row r="382" spans="1:11">
      <c r="A382" s="16" t="s">
        <v>2687</v>
      </c>
      <c r="B382" s="2" t="str">
        <f>IFERROR(INDEX(Movimientos!$C$2:$C$1993,MATCH(A382&amp;"ENTRADA",Movimientos!$R$2:$R$1993,0)),"-")</f>
        <v>-</v>
      </c>
      <c r="C382" s="2" t="str">
        <f>IFERROR(INDEX(Movimientos!$D$2:$D$1993,MATCH(A382&amp;"ENTRADA",Movimientos!$R$2:$R$1993,0)),"-")</f>
        <v>-</v>
      </c>
      <c r="D382" s="2" t="str">
        <f>IFERROR(INDEX(Movimientos!$E$2:$E$1993,MATCH(A382&amp;"ENTRADA",Movimientos!$R$2:$R$1993,0)),"-")</f>
        <v>-</v>
      </c>
      <c r="E382" s="2" t="str">
        <f>IFERROR(INDEX(Movimientos!$F$2:$F$1993,MATCH(A382&amp;"ENTRADA",Movimientos!$R$2:$R$1993,0)),"-")</f>
        <v>-</v>
      </c>
      <c r="F382" s="2" t="str">
        <f>IFERROR(INDEX(Movimientos!$G$2:$G$1993,MATCH(A382&amp;"ENTRADA",Movimientos!$R$2:$R$1993,0)),"-")</f>
        <v>-</v>
      </c>
      <c r="G382" s="2" t="str">
        <f>IFERROR(INDEX(Movimientos!$L$2:$L$1993,MATCH(A382&amp;"ENTRADA",Movimientos!$R$2:$R$1993,0)),"-")</f>
        <v>-</v>
      </c>
      <c r="H382" s="17" t="str">
        <f>IFERROR(IF(INDEX(Movimientos!$M$2:$M$1993,MATCH(A382&amp;"ENTRADA",Movimientos!$R$2:$R$1993,0))=0,"S/D",INDEX(Movimientos!$M$2:$M$1993,MATCH(A382&amp;"ENTRADA",Movimientos!$R$2:$R$1993,0))),"S/D")</f>
        <v>S/D</v>
      </c>
      <c r="I382" s="15" t="str">
        <f t="shared" ca="1" si="12"/>
        <v>S/D</v>
      </c>
      <c r="J382" s="5">
        <f>IF(A382="","",SUMIFS(Movimientos!$K:$K,Movimientos!$H:$H,A382))</f>
        <v>0</v>
      </c>
      <c r="K382" s="13" t="str">
        <f t="shared" ref="K382:K445" ca="1" si="13">IF(A382="","",IF(J382&lt;0.01,"SIN STOCK",IF(H382="S/D","OK",IF(H382&lt;TODAY(),"VENCIDO",IF(I382&gt;=180,"OK","PRÓXIMO A VENCER")))))</f>
        <v>SIN STOCK</v>
      </c>
    </row>
    <row r="383" spans="1:11">
      <c r="A383" s="16" t="s">
        <v>2688</v>
      </c>
      <c r="B383" s="2" t="str">
        <f>IFERROR(INDEX(Movimientos!$C$2:$C$1993,MATCH(A383&amp;"ENTRADA",Movimientos!$R$2:$R$1993,0)),"-")</f>
        <v>-</v>
      </c>
      <c r="C383" s="2" t="str">
        <f>IFERROR(INDEX(Movimientos!$D$2:$D$1993,MATCH(A383&amp;"ENTRADA",Movimientos!$R$2:$R$1993,0)),"-")</f>
        <v>-</v>
      </c>
      <c r="D383" s="2" t="str">
        <f>IFERROR(INDEX(Movimientos!$E$2:$E$1993,MATCH(A383&amp;"ENTRADA",Movimientos!$R$2:$R$1993,0)),"-")</f>
        <v>-</v>
      </c>
      <c r="E383" s="2" t="str">
        <f>IFERROR(INDEX(Movimientos!$F$2:$F$1993,MATCH(A383&amp;"ENTRADA",Movimientos!$R$2:$R$1993,0)),"-")</f>
        <v>-</v>
      </c>
      <c r="F383" s="2" t="str">
        <f>IFERROR(INDEX(Movimientos!$G$2:$G$1993,MATCH(A383&amp;"ENTRADA",Movimientos!$R$2:$R$1993,0)),"-")</f>
        <v>-</v>
      </c>
      <c r="G383" s="2" t="str">
        <f>IFERROR(INDEX(Movimientos!$L$2:$L$1993,MATCH(A383&amp;"ENTRADA",Movimientos!$R$2:$R$1993,0)),"-")</f>
        <v>-</v>
      </c>
      <c r="H383" s="17" t="str">
        <f>IFERROR(IF(INDEX(Movimientos!$M$2:$M$1993,MATCH(A383&amp;"ENTRADA",Movimientos!$R$2:$R$1993,0))=0,"S/D",INDEX(Movimientos!$M$2:$M$1993,MATCH(A383&amp;"ENTRADA",Movimientos!$R$2:$R$1993,0))),"S/D")</f>
        <v>S/D</v>
      </c>
      <c r="I383" s="15" t="str">
        <f t="shared" ca="1" si="12"/>
        <v>S/D</v>
      </c>
      <c r="J383" s="5">
        <f>IF(A383="","",SUMIFS(Movimientos!$K:$K,Movimientos!$H:$H,A383))</f>
        <v>0</v>
      </c>
      <c r="K383" s="13" t="str">
        <f t="shared" ca="1" si="13"/>
        <v>SIN STOCK</v>
      </c>
    </row>
    <row r="384" spans="1:11">
      <c r="A384" s="16" t="s">
        <v>2689</v>
      </c>
      <c r="B384" s="2" t="str">
        <f>IFERROR(INDEX(Movimientos!$C$2:$C$1993,MATCH(A384&amp;"ENTRADA",Movimientos!$R$2:$R$1993,0)),"-")</f>
        <v>-</v>
      </c>
      <c r="C384" s="2" t="str">
        <f>IFERROR(INDEX(Movimientos!$D$2:$D$1993,MATCH(A384&amp;"ENTRADA",Movimientos!$R$2:$R$1993,0)),"-")</f>
        <v>-</v>
      </c>
      <c r="D384" s="2" t="str">
        <f>IFERROR(INDEX(Movimientos!$E$2:$E$1993,MATCH(A384&amp;"ENTRADA",Movimientos!$R$2:$R$1993,0)),"-")</f>
        <v>-</v>
      </c>
      <c r="E384" s="2" t="str">
        <f>IFERROR(INDEX(Movimientos!$F$2:$F$1993,MATCH(A384&amp;"ENTRADA",Movimientos!$R$2:$R$1993,0)),"-")</f>
        <v>-</v>
      </c>
      <c r="F384" s="2" t="str">
        <f>IFERROR(INDEX(Movimientos!$G$2:$G$1993,MATCH(A384&amp;"ENTRADA",Movimientos!$R$2:$R$1993,0)),"-")</f>
        <v>-</v>
      </c>
      <c r="G384" s="2" t="str">
        <f>IFERROR(INDEX(Movimientos!$L$2:$L$1993,MATCH(A384&amp;"ENTRADA",Movimientos!$R$2:$R$1993,0)),"-")</f>
        <v>-</v>
      </c>
      <c r="H384" s="17" t="str">
        <f>IFERROR(IF(INDEX(Movimientos!$M$2:$M$1993,MATCH(A384&amp;"ENTRADA",Movimientos!$R$2:$R$1993,0))=0,"S/D",INDEX(Movimientos!$M$2:$M$1993,MATCH(A384&amp;"ENTRADA",Movimientos!$R$2:$R$1993,0))),"S/D")</f>
        <v>S/D</v>
      </c>
      <c r="I384" s="15" t="str">
        <f t="shared" ca="1" si="12"/>
        <v>S/D</v>
      </c>
      <c r="J384" s="5">
        <f>IF(A384="","",SUMIFS(Movimientos!$K:$K,Movimientos!$H:$H,A384))</f>
        <v>0</v>
      </c>
      <c r="K384" s="13" t="str">
        <f t="shared" ca="1" si="13"/>
        <v>SIN STOCK</v>
      </c>
    </row>
    <row r="385" spans="1:11">
      <c r="A385" s="16" t="s">
        <v>2690</v>
      </c>
      <c r="B385" s="2" t="str">
        <f>IFERROR(INDEX(Movimientos!$C$2:$C$1993,MATCH(A385&amp;"ENTRADA",Movimientos!$R$2:$R$1993,0)),"-")</f>
        <v>-</v>
      </c>
      <c r="C385" s="2" t="str">
        <f>IFERROR(INDEX(Movimientos!$D$2:$D$1993,MATCH(A385&amp;"ENTRADA",Movimientos!$R$2:$R$1993,0)),"-")</f>
        <v>-</v>
      </c>
      <c r="D385" s="2" t="str">
        <f>IFERROR(INDEX(Movimientos!$E$2:$E$1993,MATCH(A385&amp;"ENTRADA",Movimientos!$R$2:$R$1993,0)),"-")</f>
        <v>-</v>
      </c>
      <c r="E385" s="2" t="str">
        <f>IFERROR(INDEX(Movimientos!$F$2:$F$1993,MATCH(A385&amp;"ENTRADA",Movimientos!$R$2:$R$1993,0)),"-")</f>
        <v>-</v>
      </c>
      <c r="F385" s="2" t="str">
        <f>IFERROR(INDEX(Movimientos!$G$2:$G$1993,MATCH(A385&amp;"ENTRADA",Movimientos!$R$2:$R$1993,0)),"-")</f>
        <v>-</v>
      </c>
      <c r="G385" s="2" t="str">
        <f>IFERROR(INDEX(Movimientos!$L$2:$L$1993,MATCH(A385&amp;"ENTRADA",Movimientos!$R$2:$R$1993,0)),"-")</f>
        <v>-</v>
      </c>
      <c r="H385" s="17" t="str">
        <f>IFERROR(IF(INDEX(Movimientos!$M$2:$M$1993,MATCH(A385&amp;"ENTRADA",Movimientos!$R$2:$R$1993,0))=0,"S/D",INDEX(Movimientos!$M$2:$M$1993,MATCH(A385&amp;"ENTRADA",Movimientos!$R$2:$R$1993,0))),"S/D")</f>
        <v>S/D</v>
      </c>
      <c r="I385" s="15" t="str">
        <f t="shared" ca="1" si="12"/>
        <v>S/D</v>
      </c>
      <c r="J385" s="5">
        <f>IF(A385="","",SUMIFS(Movimientos!$K:$K,Movimientos!$H:$H,A385))</f>
        <v>0</v>
      </c>
      <c r="K385" s="13" t="str">
        <f t="shared" ca="1" si="13"/>
        <v>SIN STOCK</v>
      </c>
    </row>
    <row r="386" spans="1:11">
      <c r="A386" s="16" t="s">
        <v>2691</v>
      </c>
      <c r="B386" s="2" t="str">
        <f>IFERROR(INDEX(Movimientos!$C$2:$C$1993,MATCH(A386&amp;"ENTRADA",Movimientos!$R$2:$R$1993,0)),"-")</f>
        <v>-</v>
      </c>
      <c r="C386" s="2" t="str">
        <f>IFERROR(INDEX(Movimientos!$D$2:$D$1993,MATCH(A386&amp;"ENTRADA",Movimientos!$R$2:$R$1993,0)),"-")</f>
        <v>-</v>
      </c>
      <c r="D386" s="2" t="str">
        <f>IFERROR(INDEX(Movimientos!$E$2:$E$1993,MATCH(A386&amp;"ENTRADA",Movimientos!$R$2:$R$1993,0)),"-")</f>
        <v>-</v>
      </c>
      <c r="E386" s="2" t="str">
        <f>IFERROR(INDEX(Movimientos!$F$2:$F$1993,MATCH(A386&amp;"ENTRADA",Movimientos!$R$2:$R$1993,0)),"-")</f>
        <v>-</v>
      </c>
      <c r="F386" s="2" t="str">
        <f>IFERROR(INDEX(Movimientos!$G$2:$G$1993,MATCH(A386&amp;"ENTRADA",Movimientos!$R$2:$R$1993,0)),"-")</f>
        <v>-</v>
      </c>
      <c r="G386" s="2" t="str">
        <f>IFERROR(INDEX(Movimientos!$L$2:$L$1993,MATCH(A386&amp;"ENTRADA",Movimientos!$R$2:$R$1993,0)),"-")</f>
        <v>-</v>
      </c>
      <c r="H386" s="17" t="str">
        <f>IFERROR(IF(INDEX(Movimientos!$M$2:$M$1993,MATCH(A386&amp;"ENTRADA",Movimientos!$R$2:$R$1993,0))=0,"S/D",INDEX(Movimientos!$M$2:$M$1993,MATCH(A386&amp;"ENTRADA",Movimientos!$R$2:$R$1993,0))),"S/D")</f>
        <v>S/D</v>
      </c>
      <c r="I386" s="15" t="str">
        <f t="shared" ca="1" si="12"/>
        <v>S/D</v>
      </c>
      <c r="J386" s="5">
        <f>IF(A386="","",SUMIFS(Movimientos!$K:$K,Movimientos!$H:$H,A386))</f>
        <v>0</v>
      </c>
      <c r="K386" s="13" t="str">
        <f t="shared" ca="1" si="13"/>
        <v>SIN STOCK</v>
      </c>
    </row>
    <row r="387" spans="1:11">
      <c r="A387" s="16" t="s">
        <v>2692</v>
      </c>
      <c r="B387" s="2" t="str">
        <f>IFERROR(INDEX(Movimientos!$C$2:$C$1993,MATCH(A387&amp;"ENTRADA",Movimientos!$R$2:$R$1993,0)),"-")</f>
        <v>-</v>
      </c>
      <c r="C387" s="2" t="str">
        <f>IFERROR(INDEX(Movimientos!$D$2:$D$1993,MATCH(A387&amp;"ENTRADA",Movimientos!$R$2:$R$1993,0)),"-")</f>
        <v>-</v>
      </c>
      <c r="D387" s="2" t="str">
        <f>IFERROR(INDEX(Movimientos!$E$2:$E$1993,MATCH(A387&amp;"ENTRADA",Movimientos!$R$2:$R$1993,0)),"-")</f>
        <v>-</v>
      </c>
      <c r="E387" s="2" t="str">
        <f>IFERROR(INDEX(Movimientos!$F$2:$F$1993,MATCH(A387&amp;"ENTRADA",Movimientos!$R$2:$R$1993,0)),"-")</f>
        <v>-</v>
      </c>
      <c r="F387" s="2" t="str">
        <f>IFERROR(INDEX(Movimientos!$G$2:$G$1993,MATCH(A387&amp;"ENTRADA",Movimientos!$R$2:$R$1993,0)),"-")</f>
        <v>-</v>
      </c>
      <c r="G387" s="2" t="str">
        <f>IFERROR(INDEX(Movimientos!$L$2:$L$1993,MATCH(A387&amp;"ENTRADA",Movimientos!$R$2:$R$1993,0)),"-")</f>
        <v>-</v>
      </c>
      <c r="H387" s="17" t="str">
        <f>IFERROR(IF(INDEX(Movimientos!$M$2:$M$1993,MATCH(A387&amp;"ENTRADA",Movimientos!$R$2:$R$1993,0))=0,"S/D",INDEX(Movimientos!$M$2:$M$1993,MATCH(A387&amp;"ENTRADA",Movimientos!$R$2:$R$1993,0))),"S/D")</f>
        <v>S/D</v>
      </c>
      <c r="I387" s="15" t="str">
        <f t="shared" ca="1" si="12"/>
        <v>S/D</v>
      </c>
      <c r="J387" s="5">
        <f>IF(A387="","",SUMIFS(Movimientos!$K:$K,Movimientos!$H:$H,A387))</f>
        <v>0</v>
      </c>
      <c r="K387" s="13" t="str">
        <f t="shared" ca="1" si="13"/>
        <v>SIN STOCK</v>
      </c>
    </row>
    <row r="388" spans="1:11">
      <c r="A388" s="16" t="s">
        <v>2693</v>
      </c>
      <c r="B388" s="2" t="str">
        <f>IFERROR(INDEX(Movimientos!$C$2:$C$1993,MATCH(A388&amp;"ENTRADA",Movimientos!$R$2:$R$1993,0)),"-")</f>
        <v>-</v>
      </c>
      <c r="C388" s="2" t="str">
        <f>IFERROR(INDEX(Movimientos!$D$2:$D$1993,MATCH(A388&amp;"ENTRADA",Movimientos!$R$2:$R$1993,0)),"-")</f>
        <v>-</v>
      </c>
      <c r="D388" s="2" t="str">
        <f>IFERROR(INDEX(Movimientos!$E$2:$E$1993,MATCH(A388&amp;"ENTRADA",Movimientos!$R$2:$R$1993,0)),"-")</f>
        <v>-</v>
      </c>
      <c r="E388" s="2" t="str">
        <f>IFERROR(INDEX(Movimientos!$F$2:$F$1993,MATCH(A388&amp;"ENTRADA",Movimientos!$R$2:$R$1993,0)),"-")</f>
        <v>-</v>
      </c>
      <c r="F388" s="2" t="str">
        <f>IFERROR(INDEX(Movimientos!$G$2:$G$1993,MATCH(A388&amp;"ENTRADA",Movimientos!$R$2:$R$1993,0)),"-")</f>
        <v>-</v>
      </c>
      <c r="G388" s="2" t="str">
        <f>IFERROR(INDEX(Movimientos!$L$2:$L$1993,MATCH(A388&amp;"ENTRADA",Movimientos!$R$2:$R$1993,0)),"-")</f>
        <v>-</v>
      </c>
      <c r="H388" s="17" t="str">
        <f>IFERROR(IF(INDEX(Movimientos!$M$2:$M$1993,MATCH(A388&amp;"ENTRADA",Movimientos!$R$2:$R$1993,0))=0,"S/D",INDEX(Movimientos!$M$2:$M$1993,MATCH(A388&amp;"ENTRADA",Movimientos!$R$2:$R$1993,0))),"S/D")</f>
        <v>S/D</v>
      </c>
      <c r="I388" s="15" t="str">
        <f t="shared" ca="1" si="12"/>
        <v>S/D</v>
      </c>
      <c r="J388" s="5">
        <f>IF(A388="","",SUMIFS(Movimientos!$K:$K,Movimientos!$H:$H,A388))</f>
        <v>0</v>
      </c>
      <c r="K388" s="13" t="str">
        <f t="shared" ca="1" si="13"/>
        <v>SIN STOCK</v>
      </c>
    </row>
    <row r="389" spans="1:11">
      <c r="A389" s="16" t="s">
        <v>2694</v>
      </c>
      <c r="B389" s="2" t="str">
        <f>IFERROR(INDEX(Movimientos!$C$2:$C$1993,MATCH(A389&amp;"ENTRADA",Movimientos!$R$2:$R$1993,0)),"-")</f>
        <v>-</v>
      </c>
      <c r="C389" s="2" t="str">
        <f>IFERROR(INDEX(Movimientos!$D$2:$D$1993,MATCH(A389&amp;"ENTRADA",Movimientos!$R$2:$R$1993,0)),"-")</f>
        <v>-</v>
      </c>
      <c r="D389" s="2" t="str">
        <f>IFERROR(INDEX(Movimientos!$E$2:$E$1993,MATCH(A389&amp;"ENTRADA",Movimientos!$R$2:$R$1993,0)),"-")</f>
        <v>-</v>
      </c>
      <c r="E389" s="2" t="str">
        <f>IFERROR(INDEX(Movimientos!$F$2:$F$1993,MATCH(A389&amp;"ENTRADA",Movimientos!$R$2:$R$1993,0)),"-")</f>
        <v>-</v>
      </c>
      <c r="F389" s="2" t="str">
        <f>IFERROR(INDEX(Movimientos!$G$2:$G$1993,MATCH(A389&amp;"ENTRADA",Movimientos!$R$2:$R$1993,0)),"-")</f>
        <v>-</v>
      </c>
      <c r="G389" s="2" t="str">
        <f>IFERROR(INDEX(Movimientos!$L$2:$L$1993,MATCH(A389&amp;"ENTRADA",Movimientos!$R$2:$R$1993,0)),"-")</f>
        <v>-</v>
      </c>
      <c r="H389" s="17" t="str">
        <f>IFERROR(IF(INDEX(Movimientos!$M$2:$M$1993,MATCH(A389&amp;"ENTRADA",Movimientos!$R$2:$R$1993,0))=0,"S/D",INDEX(Movimientos!$M$2:$M$1993,MATCH(A389&amp;"ENTRADA",Movimientos!$R$2:$R$1993,0))),"S/D")</f>
        <v>S/D</v>
      </c>
      <c r="I389" s="15" t="str">
        <f t="shared" ref="I389:I452" ca="1" si="14">IF(OR(A389="",H389="S/D"),"S/D",H389-TODAY())</f>
        <v>S/D</v>
      </c>
      <c r="J389" s="5">
        <f>IF(A389="","",SUMIFS(Movimientos!$K:$K,Movimientos!$H:$H,A389))</f>
        <v>0</v>
      </c>
      <c r="K389" s="13" t="str">
        <f t="shared" ca="1" si="13"/>
        <v>SIN STOCK</v>
      </c>
    </row>
    <row r="390" spans="1:11">
      <c r="A390" s="16" t="s">
        <v>2695</v>
      </c>
      <c r="B390" s="2" t="str">
        <f>IFERROR(INDEX(Movimientos!$C$2:$C$1993,MATCH(A390&amp;"ENTRADA",Movimientos!$R$2:$R$1993,0)),"-")</f>
        <v>-</v>
      </c>
      <c r="C390" s="2" t="str">
        <f>IFERROR(INDEX(Movimientos!$D$2:$D$1993,MATCH(A390&amp;"ENTRADA",Movimientos!$R$2:$R$1993,0)),"-")</f>
        <v>-</v>
      </c>
      <c r="D390" s="2" t="str">
        <f>IFERROR(INDEX(Movimientos!$E$2:$E$1993,MATCH(A390&amp;"ENTRADA",Movimientos!$R$2:$R$1993,0)),"-")</f>
        <v>-</v>
      </c>
      <c r="E390" s="2" t="str">
        <f>IFERROR(INDEX(Movimientos!$F$2:$F$1993,MATCH(A390&amp;"ENTRADA",Movimientos!$R$2:$R$1993,0)),"-")</f>
        <v>-</v>
      </c>
      <c r="F390" s="2" t="str">
        <f>IFERROR(INDEX(Movimientos!$G$2:$G$1993,MATCH(A390&amp;"ENTRADA",Movimientos!$R$2:$R$1993,0)),"-")</f>
        <v>-</v>
      </c>
      <c r="G390" s="2" t="str">
        <f>IFERROR(INDEX(Movimientos!$L$2:$L$1993,MATCH(A390&amp;"ENTRADA",Movimientos!$R$2:$R$1993,0)),"-")</f>
        <v>-</v>
      </c>
      <c r="H390" s="17" t="str">
        <f>IFERROR(IF(INDEX(Movimientos!$M$2:$M$1993,MATCH(A390&amp;"ENTRADA",Movimientos!$R$2:$R$1993,0))=0,"S/D",INDEX(Movimientos!$M$2:$M$1993,MATCH(A390&amp;"ENTRADA",Movimientos!$R$2:$R$1993,0))),"S/D")</f>
        <v>S/D</v>
      </c>
      <c r="I390" s="15" t="str">
        <f t="shared" ca="1" si="14"/>
        <v>S/D</v>
      </c>
      <c r="J390" s="5">
        <f>IF(A390="","",SUMIFS(Movimientos!$K:$K,Movimientos!$H:$H,A390))</f>
        <v>0</v>
      </c>
      <c r="K390" s="13" t="str">
        <f t="shared" ca="1" si="13"/>
        <v>SIN STOCK</v>
      </c>
    </row>
    <row r="391" spans="1:11">
      <c r="A391" s="16" t="s">
        <v>2696</v>
      </c>
      <c r="B391" s="2" t="str">
        <f>IFERROR(INDEX(Movimientos!$C$2:$C$1993,MATCH(A391&amp;"ENTRADA",Movimientos!$R$2:$R$1993,0)),"-")</f>
        <v>-</v>
      </c>
      <c r="C391" s="2" t="str">
        <f>IFERROR(INDEX(Movimientos!$D$2:$D$1993,MATCH(A391&amp;"ENTRADA",Movimientos!$R$2:$R$1993,0)),"-")</f>
        <v>-</v>
      </c>
      <c r="D391" s="2" t="str">
        <f>IFERROR(INDEX(Movimientos!$E$2:$E$1993,MATCH(A391&amp;"ENTRADA",Movimientos!$R$2:$R$1993,0)),"-")</f>
        <v>-</v>
      </c>
      <c r="E391" s="2" t="str">
        <f>IFERROR(INDEX(Movimientos!$F$2:$F$1993,MATCH(A391&amp;"ENTRADA",Movimientos!$R$2:$R$1993,0)),"-")</f>
        <v>-</v>
      </c>
      <c r="F391" s="2" t="str">
        <f>IFERROR(INDEX(Movimientos!$G$2:$G$1993,MATCH(A391&amp;"ENTRADA",Movimientos!$R$2:$R$1993,0)),"-")</f>
        <v>-</v>
      </c>
      <c r="G391" s="2" t="str">
        <f>IFERROR(INDEX(Movimientos!$L$2:$L$1993,MATCH(A391&amp;"ENTRADA",Movimientos!$R$2:$R$1993,0)),"-")</f>
        <v>-</v>
      </c>
      <c r="H391" s="17" t="str">
        <f>IFERROR(IF(INDEX(Movimientos!$M$2:$M$1993,MATCH(A391&amp;"ENTRADA",Movimientos!$R$2:$R$1993,0))=0,"S/D",INDEX(Movimientos!$M$2:$M$1993,MATCH(A391&amp;"ENTRADA",Movimientos!$R$2:$R$1993,0))),"S/D")</f>
        <v>S/D</v>
      </c>
      <c r="I391" s="15" t="str">
        <f t="shared" ca="1" si="14"/>
        <v>S/D</v>
      </c>
      <c r="J391" s="5">
        <f>IF(A391="","",SUMIFS(Movimientos!$K:$K,Movimientos!$H:$H,A391))</f>
        <v>0</v>
      </c>
      <c r="K391" s="13" t="str">
        <f t="shared" ca="1" si="13"/>
        <v>SIN STOCK</v>
      </c>
    </row>
    <row r="392" spans="1:11">
      <c r="A392" s="16" t="s">
        <v>2697</v>
      </c>
      <c r="B392" s="2" t="str">
        <f>IFERROR(INDEX(Movimientos!$C$2:$C$1993,MATCH(A392&amp;"ENTRADA",Movimientos!$R$2:$R$1993,0)),"-")</f>
        <v>-</v>
      </c>
      <c r="C392" s="2" t="str">
        <f>IFERROR(INDEX(Movimientos!$D$2:$D$1993,MATCH(A392&amp;"ENTRADA",Movimientos!$R$2:$R$1993,0)),"-")</f>
        <v>-</v>
      </c>
      <c r="D392" s="2" t="str">
        <f>IFERROR(INDEX(Movimientos!$E$2:$E$1993,MATCH(A392&amp;"ENTRADA",Movimientos!$R$2:$R$1993,0)),"-")</f>
        <v>-</v>
      </c>
      <c r="E392" s="2" t="str">
        <f>IFERROR(INDEX(Movimientos!$F$2:$F$1993,MATCH(A392&amp;"ENTRADA",Movimientos!$R$2:$R$1993,0)),"-")</f>
        <v>-</v>
      </c>
      <c r="F392" s="2" t="str">
        <f>IFERROR(INDEX(Movimientos!$G$2:$G$1993,MATCH(A392&amp;"ENTRADA",Movimientos!$R$2:$R$1993,0)),"-")</f>
        <v>-</v>
      </c>
      <c r="G392" s="2" t="str">
        <f>IFERROR(INDEX(Movimientos!$L$2:$L$1993,MATCH(A392&amp;"ENTRADA",Movimientos!$R$2:$R$1993,0)),"-")</f>
        <v>-</v>
      </c>
      <c r="H392" s="17" t="str">
        <f>IFERROR(IF(INDEX(Movimientos!$M$2:$M$1993,MATCH(A392&amp;"ENTRADA",Movimientos!$R$2:$R$1993,0))=0,"S/D",INDEX(Movimientos!$M$2:$M$1993,MATCH(A392&amp;"ENTRADA",Movimientos!$R$2:$R$1993,0))),"S/D")</f>
        <v>S/D</v>
      </c>
      <c r="I392" s="15" t="str">
        <f t="shared" ca="1" si="14"/>
        <v>S/D</v>
      </c>
      <c r="J392" s="5">
        <f>IF(A392="","",SUMIFS(Movimientos!$K:$K,Movimientos!$H:$H,A392))</f>
        <v>0</v>
      </c>
      <c r="K392" s="13" t="str">
        <f t="shared" ca="1" si="13"/>
        <v>SIN STOCK</v>
      </c>
    </row>
    <row r="393" spans="1:11">
      <c r="A393" s="16" t="s">
        <v>2698</v>
      </c>
      <c r="B393" s="2" t="str">
        <f>IFERROR(INDEX(Movimientos!$C$2:$C$1993,MATCH(A393&amp;"ENTRADA",Movimientos!$R$2:$R$1993,0)),"-")</f>
        <v>-</v>
      </c>
      <c r="C393" s="2" t="str">
        <f>IFERROR(INDEX(Movimientos!$D$2:$D$1993,MATCH(A393&amp;"ENTRADA",Movimientos!$R$2:$R$1993,0)),"-")</f>
        <v>-</v>
      </c>
      <c r="D393" s="2" t="str">
        <f>IFERROR(INDEX(Movimientos!$E$2:$E$1993,MATCH(A393&amp;"ENTRADA",Movimientos!$R$2:$R$1993,0)),"-")</f>
        <v>-</v>
      </c>
      <c r="E393" s="2" t="str">
        <f>IFERROR(INDEX(Movimientos!$F$2:$F$1993,MATCH(A393&amp;"ENTRADA",Movimientos!$R$2:$R$1993,0)),"-")</f>
        <v>-</v>
      </c>
      <c r="F393" s="2" t="str">
        <f>IFERROR(INDEX(Movimientos!$G$2:$G$1993,MATCH(A393&amp;"ENTRADA",Movimientos!$R$2:$R$1993,0)),"-")</f>
        <v>-</v>
      </c>
      <c r="G393" s="2" t="str">
        <f>IFERROR(INDEX(Movimientos!$L$2:$L$1993,MATCH(A393&amp;"ENTRADA",Movimientos!$R$2:$R$1993,0)),"-")</f>
        <v>-</v>
      </c>
      <c r="H393" s="17" t="str">
        <f>IFERROR(IF(INDEX(Movimientos!$M$2:$M$1993,MATCH(A393&amp;"ENTRADA",Movimientos!$R$2:$R$1993,0))=0,"S/D",INDEX(Movimientos!$M$2:$M$1993,MATCH(A393&amp;"ENTRADA",Movimientos!$R$2:$R$1993,0))),"S/D")</f>
        <v>S/D</v>
      </c>
      <c r="I393" s="15" t="str">
        <f t="shared" ca="1" si="14"/>
        <v>S/D</v>
      </c>
      <c r="J393" s="5">
        <f>IF(A393="","",SUMIFS(Movimientos!$K:$K,Movimientos!$H:$H,A393))</f>
        <v>0</v>
      </c>
      <c r="K393" s="13" t="str">
        <f t="shared" ca="1" si="13"/>
        <v>SIN STOCK</v>
      </c>
    </row>
    <row r="394" spans="1:11">
      <c r="A394" s="16" t="s">
        <v>2699</v>
      </c>
      <c r="B394" s="2" t="str">
        <f>IFERROR(INDEX(Movimientos!$C$2:$C$1993,MATCH(A394&amp;"ENTRADA",Movimientos!$R$2:$R$1993,0)),"-")</f>
        <v>-</v>
      </c>
      <c r="C394" s="2" t="str">
        <f>IFERROR(INDEX(Movimientos!$D$2:$D$1993,MATCH(A394&amp;"ENTRADA",Movimientos!$R$2:$R$1993,0)),"-")</f>
        <v>-</v>
      </c>
      <c r="D394" s="2" t="str">
        <f>IFERROR(INDEX(Movimientos!$E$2:$E$1993,MATCH(A394&amp;"ENTRADA",Movimientos!$R$2:$R$1993,0)),"-")</f>
        <v>-</v>
      </c>
      <c r="E394" s="2" t="str">
        <f>IFERROR(INDEX(Movimientos!$F$2:$F$1993,MATCH(A394&amp;"ENTRADA",Movimientos!$R$2:$R$1993,0)),"-")</f>
        <v>-</v>
      </c>
      <c r="F394" s="2" t="str">
        <f>IFERROR(INDEX(Movimientos!$G$2:$G$1993,MATCH(A394&amp;"ENTRADA",Movimientos!$R$2:$R$1993,0)),"-")</f>
        <v>-</v>
      </c>
      <c r="G394" s="2" t="str">
        <f>IFERROR(INDEX(Movimientos!$L$2:$L$1993,MATCH(A394&amp;"ENTRADA",Movimientos!$R$2:$R$1993,0)),"-")</f>
        <v>-</v>
      </c>
      <c r="H394" s="17" t="str">
        <f>IFERROR(IF(INDEX(Movimientos!$M$2:$M$1993,MATCH(A394&amp;"ENTRADA",Movimientos!$R$2:$R$1993,0))=0,"S/D",INDEX(Movimientos!$M$2:$M$1993,MATCH(A394&amp;"ENTRADA",Movimientos!$R$2:$R$1993,0))),"S/D")</f>
        <v>S/D</v>
      </c>
      <c r="I394" s="15" t="str">
        <f t="shared" ca="1" si="14"/>
        <v>S/D</v>
      </c>
      <c r="J394" s="5">
        <f>IF(A394="","",SUMIFS(Movimientos!$K:$K,Movimientos!$H:$H,A394))</f>
        <v>0</v>
      </c>
      <c r="K394" s="13" t="str">
        <f t="shared" ca="1" si="13"/>
        <v>SIN STOCK</v>
      </c>
    </row>
    <row r="395" spans="1:11">
      <c r="A395" s="16" t="s">
        <v>2700</v>
      </c>
      <c r="B395" s="2" t="str">
        <f>IFERROR(INDEX(Movimientos!$C$2:$C$1993,MATCH(A395&amp;"ENTRADA",Movimientos!$R$2:$R$1993,0)),"-")</f>
        <v>-</v>
      </c>
      <c r="C395" s="2" t="str">
        <f>IFERROR(INDEX(Movimientos!$D$2:$D$1993,MATCH(A395&amp;"ENTRADA",Movimientos!$R$2:$R$1993,0)),"-")</f>
        <v>-</v>
      </c>
      <c r="D395" s="2" t="str">
        <f>IFERROR(INDEX(Movimientos!$E$2:$E$1993,MATCH(A395&amp;"ENTRADA",Movimientos!$R$2:$R$1993,0)),"-")</f>
        <v>-</v>
      </c>
      <c r="E395" s="2" t="str">
        <f>IFERROR(INDEX(Movimientos!$F$2:$F$1993,MATCH(A395&amp;"ENTRADA",Movimientos!$R$2:$R$1993,0)),"-")</f>
        <v>-</v>
      </c>
      <c r="F395" s="2" t="str">
        <f>IFERROR(INDEX(Movimientos!$G$2:$G$1993,MATCH(A395&amp;"ENTRADA",Movimientos!$R$2:$R$1993,0)),"-")</f>
        <v>-</v>
      </c>
      <c r="G395" s="2" t="str">
        <f>IFERROR(INDEX(Movimientos!$L$2:$L$1993,MATCH(A395&amp;"ENTRADA",Movimientos!$R$2:$R$1993,0)),"-")</f>
        <v>-</v>
      </c>
      <c r="H395" s="17" t="str">
        <f>IFERROR(IF(INDEX(Movimientos!$M$2:$M$1993,MATCH(A395&amp;"ENTRADA",Movimientos!$R$2:$R$1993,0))=0,"S/D",INDEX(Movimientos!$M$2:$M$1993,MATCH(A395&amp;"ENTRADA",Movimientos!$R$2:$R$1993,0))),"S/D")</f>
        <v>S/D</v>
      </c>
      <c r="I395" s="15" t="str">
        <f t="shared" ca="1" si="14"/>
        <v>S/D</v>
      </c>
      <c r="J395" s="5">
        <f>IF(A395="","",SUMIFS(Movimientos!$K:$K,Movimientos!$H:$H,A395))</f>
        <v>0</v>
      </c>
      <c r="K395" s="13" t="str">
        <f t="shared" ca="1" si="13"/>
        <v>SIN STOCK</v>
      </c>
    </row>
    <row r="396" spans="1:11">
      <c r="A396" s="16" t="s">
        <v>2701</v>
      </c>
      <c r="B396" s="2" t="str">
        <f>IFERROR(INDEX(Movimientos!$C$2:$C$1993,MATCH(A396&amp;"ENTRADA",Movimientos!$R$2:$R$1993,0)),"-")</f>
        <v>-</v>
      </c>
      <c r="C396" s="2" t="str">
        <f>IFERROR(INDEX(Movimientos!$D$2:$D$1993,MATCH(A396&amp;"ENTRADA",Movimientos!$R$2:$R$1993,0)),"-")</f>
        <v>-</v>
      </c>
      <c r="D396" s="2" t="str">
        <f>IFERROR(INDEX(Movimientos!$E$2:$E$1993,MATCH(A396&amp;"ENTRADA",Movimientos!$R$2:$R$1993,0)),"-")</f>
        <v>-</v>
      </c>
      <c r="E396" s="2" t="str">
        <f>IFERROR(INDEX(Movimientos!$F$2:$F$1993,MATCH(A396&amp;"ENTRADA",Movimientos!$R$2:$R$1993,0)),"-")</f>
        <v>-</v>
      </c>
      <c r="F396" s="2" t="str">
        <f>IFERROR(INDEX(Movimientos!$G$2:$G$1993,MATCH(A396&amp;"ENTRADA",Movimientos!$R$2:$R$1993,0)),"-")</f>
        <v>-</v>
      </c>
      <c r="G396" s="2" t="str">
        <f>IFERROR(INDEX(Movimientos!$L$2:$L$1993,MATCH(A396&amp;"ENTRADA",Movimientos!$R$2:$R$1993,0)),"-")</f>
        <v>-</v>
      </c>
      <c r="H396" s="17" t="str">
        <f>IFERROR(IF(INDEX(Movimientos!$M$2:$M$1993,MATCH(A396&amp;"ENTRADA",Movimientos!$R$2:$R$1993,0))=0,"S/D",INDEX(Movimientos!$M$2:$M$1993,MATCH(A396&amp;"ENTRADA",Movimientos!$R$2:$R$1993,0))),"S/D")</f>
        <v>S/D</v>
      </c>
      <c r="I396" s="15" t="str">
        <f t="shared" ca="1" si="14"/>
        <v>S/D</v>
      </c>
      <c r="J396" s="5">
        <f>IF(A396="","",SUMIFS(Movimientos!$K:$K,Movimientos!$H:$H,A396))</f>
        <v>0</v>
      </c>
      <c r="K396" s="13" t="str">
        <f t="shared" ca="1" si="13"/>
        <v>SIN STOCK</v>
      </c>
    </row>
    <row r="397" spans="1:11">
      <c r="A397" s="16" t="s">
        <v>2702</v>
      </c>
      <c r="B397" s="2" t="str">
        <f>IFERROR(INDEX(Movimientos!$C$2:$C$1993,MATCH(A397&amp;"ENTRADA",Movimientos!$R$2:$R$1993,0)),"-")</f>
        <v>-</v>
      </c>
      <c r="C397" s="2" t="str">
        <f>IFERROR(INDEX(Movimientos!$D$2:$D$1993,MATCH(A397&amp;"ENTRADA",Movimientos!$R$2:$R$1993,0)),"-")</f>
        <v>-</v>
      </c>
      <c r="D397" s="2" t="str">
        <f>IFERROR(INDEX(Movimientos!$E$2:$E$1993,MATCH(A397&amp;"ENTRADA",Movimientos!$R$2:$R$1993,0)),"-")</f>
        <v>-</v>
      </c>
      <c r="E397" s="2" t="str">
        <f>IFERROR(INDEX(Movimientos!$F$2:$F$1993,MATCH(A397&amp;"ENTRADA",Movimientos!$R$2:$R$1993,0)),"-")</f>
        <v>-</v>
      </c>
      <c r="F397" s="2" t="str">
        <f>IFERROR(INDEX(Movimientos!$G$2:$G$1993,MATCH(A397&amp;"ENTRADA",Movimientos!$R$2:$R$1993,0)),"-")</f>
        <v>-</v>
      </c>
      <c r="G397" s="2" t="str">
        <f>IFERROR(INDEX(Movimientos!$L$2:$L$1993,MATCH(A397&amp;"ENTRADA",Movimientos!$R$2:$R$1993,0)),"-")</f>
        <v>-</v>
      </c>
      <c r="H397" s="17" t="str">
        <f>IFERROR(IF(INDEX(Movimientos!$M$2:$M$1993,MATCH(A397&amp;"ENTRADA",Movimientos!$R$2:$R$1993,0))=0,"S/D",INDEX(Movimientos!$M$2:$M$1993,MATCH(A397&amp;"ENTRADA",Movimientos!$R$2:$R$1993,0))),"S/D")</f>
        <v>S/D</v>
      </c>
      <c r="I397" s="15" t="str">
        <f t="shared" ca="1" si="14"/>
        <v>S/D</v>
      </c>
      <c r="J397" s="5">
        <f>IF(A397="","",SUMIFS(Movimientos!$K:$K,Movimientos!$H:$H,A397))</f>
        <v>0</v>
      </c>
      <c r="K397" s="13" t="str">
        <f t="shared" ca="1" si="13"/>
        <v>SIN STOCK</v>
      </c>
    </row>
    <row r="398" spans="1:11">
      <c r="A398" s="16" t="s">
        <v>2703</v>
      </c>
      <c r="B398" s="2" t="str">
        <f>IFERROR(INDEX(Movimientos!$C$2:$C$1993,MATCH(A398&amp;"ENTRADA",Movimientos!$R$2:$R$1993,0)),"-")</f>
        <v>-</v>
      </c>
      <c r="C398" s="2" t="str">
        <f>IFERROR(INDEX(Movimientos!$D$2:$D$1993,MATCH(A398&amp;"ENTRADA",Movimientos!$R$2:$R$1993,0)),"-")</f>
        <v>-</v>
      </c>
      <c r="D398" s="2" t="str">
        <f>IFERROR(INDEX(Movimientos!$E$2:$E$1993,MATCH(A398&amp;"ENTRADA",Movimientos!$R$2:$R$1993,0)),"-")</f>
        <v>-</v>
      </c>
      <c r="E398" s="2" t="str">
        <f>IFERROR(INDEX(Movimientos!$F$2:$F$1993,MATCH(A398&amp;"ENTRADA",Movimientos!$R$2:$R$1993,0)),"-")</f>
        <v>-</v>
      </c>
      <c r="F398" s="2" t="str">
        <f>IFERROR(INDEX(Movimientos!$G$2:$G$1993,MATCH(A398&amp;"ENTRADA",Movimientos!$R$2:$R$1993,0)),"-")</f>
        <v>-</v>
      </c>
      <c r="G398" s="2" t="str">
        <f>IFERROR(INDEX(Movimientos!$L$2:$L$1993,MATCH(A398&amp;"ENTRADA",Movimientos!$R$2:$R$1993,0)),"-")</f>
        <v>-</v>
      </c>
      <c r="H398" s="17" t="str">
        <f>IFERROR(IF(INDEX(Movimientos!$M$2:$M$1993,MATCH(A398&amp;"ENTRADA",Movimientos!$R$2:$R$1993,0))=0,"S/D",INDEX(Movimientos!$M$2:$M$1993,MATCH(A398&amp;"ENTRADA",Movimientos!$R$2:$R$1993,0))),"S/D")</f>
        <v>S/D</v>
      </c>
      <c r="I398" s="15" t="str">
        <f t="shared" ca="1" si="14"/>
        <v>S/D</v>
      </c>
      <c r="J398" s="5">
        <f>IF(A398="","",SUMIFS(Movimientos!$K:$K,Movimientos!$H:$H,A398))</f>
        <v>0</v>
      </c>
      <c r="K398" s="13" t="str">
        <f t="shared" ca="1" si="13"/>
        <v>SIN STOCK</v>
      </c>
    </row>
    <row r="399" spans="1:11">
      <c r="A399" s="16" t="s">
        <v>2704</v>
      </c>
      <c r="B399" s="2" t="str">
        <f>IFERROR(INDEX(Movimientos!$C$2:$C$1993,MATCH(A399&amp;"ENTRADA",Movimientos!$R$2:$R$1993,0)),"-")</f>
        <v>-</v>
      </c>
      <c r="C399" s="2" t="str">
        <f>IFERROR(INDEX(Movimientos!$D$2:$D$1993,MATCH(A399&amp;"ENTRADA",Movimientos!$R$2:$R$1993,0)),"-")</f>
        <v>-</v>
      </c>
      <c r="D399" s="2" t="str">
        <f>IFERROR(INDEX(Movimientos!$E$2:$E$1993,MATCH(A399&amp;"ENTRADA",Movimientos!$R$2:$R$1993,0)),"-")</f>
        <v>-</v>
      </c>
      <c r="E399" s="2" t="str">
        <f>IFERROR(INDEX(Movimientos!$F$2:$F$1993,MATCH(A399&amp;"ENTRADA",Movimientos!$R$2:$R$1993,0)),"-")</f>
        <v>-</v>
      </c>
      <c r="F399" s="2" t="str">
        <f>IFERROR(INDEX(Movimientos!$G$2:$G$1993,MATCH(A399&amp;"ENTRADA",Movimientos!$R$2:$R$1993,0)),"-")</f>
        <v>-</v>
      </c>
      <c r="G399" s="2" t="str">
        <f>IFERROR(INDEX(Movimientos!$L$2:$L$1993,MATCH(A399&amp;"ENTRADA",Movimientos!$R$2:$R$1993,0)),"-")</f>
        <v>-</v>
      </c>
      <c r="H399" s="17" t="str">
        <f>IFERROR(IF(INDEX(Movimientos!$M$2:$M$1993,MATCH(A399&amp;"ENTRADA",Movimientos!$R$2:$R$1993,0))=0,"S/D",INDEX(Movimientos!$M$2:$M$1993,MATCH(A399&amp;"ENTRADA",Movimientos!$R$2:$R$1993,0))),"S/D")</f>
        <v>S/D</v>
      </c>
      <c r="I399" s="15" t="str">
        <f t="shared" ca="1" si="14"/>
        <v>S/D</v>
      </c>
      <c r="J399" s="5">
        <f>IF(A399="","",SUMIFS(Movimientos!$K:$K,Movimientos!$H:$H,A399))</f>
        <v>0</v>
      </c>
      <c r="K399" s="13" t="str">
        <f t="shared" ca="1" si="13"/>
        <v>SIN STOCK</v>
      </c>
    </row>
    <row r="400" spans="1:11">
      <c r="A400" s="16" t="s">
        <v>2705</v>
      </c>
      <c r="B400" s="2" t="str">
        <f>IFERROR(INDEX(Movimientos!$C$2:$C$1993,MATCH(A400&amp;"ENTRADA",Movimientos!$R$2:$R$1993,0)),"-")</f>
        <v>-</v>
      </c>
      <c r="C400" s="2" t="str">
        <f>IFERROR(INDEX(Movimientos!$D$2:$D$1993,MATCH(A400&amp;"ENTRADA",Movimientos!$R$2:$R$1993,0)),"-")</f>
        <v>-</v>
      </c>
      <c r="D400" s="2" t="str">
        <f>IFERROR(INDEX(Movimientos!$E$2:$E$1993,MATCH(A400&amp;"ENTRADA",Movimientos!$R$2:$R$1993,0)),"-")</f>
        <v>-</v>
      </c>
      <c r="E400" s="2" t="str">
        <f>IFERROR(INDEX(Movimientos!$F$2:$F$1993,MATCH(A400&amp;"ENTRADA",Movimientos!$R$2:$R$1993,0)),"-")</f>
        <v>-</v>
      </c>
      <c r="F400" s="2" t="str">
        <f>IFERROR(INDEX(Movimientos!$G$2:$G$1993,MATCH(A400&amp;"ENTRADA",Movimientos!$R$2:$R$1993,0)),"-")</f>
        <v>-</v>
      </c>
      <c r="G400" s="2" t="str">
        <f>IFERROR(INDEX(Movimientos!$L$2:$L$1993,MATCH(A400&amp;"ENTRADA",Movimientos!$R$2:$R$1993,0)),"-")</f>
        <v>-</v>
      </c>
      <c r="H400" s="17" t="str">
        <f>IFERROR(IF(INDEX(Movimientos!$M$2:$M$1993,MATCH(A400&amp;"ENTRADA",Movimientos!$R$2:$R$1993,0))=0,"S/D",INDEX(Movimientos!$M$2:$M$1993,MATCH(A400&amp;"ENTRADA",Movimientos!$R$2:$R$1993,0))),"S/D")</f>
        <v>S/D</v>
      </c>
      <c r="I400" s="15" t="str">
        <f t="shared" ca="1" si="14"/>
        <v>S/D</v>
      </c>
      <c r="J400" s="5">
        <f>IF(A400="","",SUMIFS(Movimientos!$K:$K,Movimientos!$H:$H,A400))</f>
        <v>0</v>
      </c>
      <c r="K400" s="13" t="str">
        <f t="shared" ca="1" si="13"/>
        <v>SIN STOCK</v>
      </c>
    </row>
    <row r="401" spans="1:11">
      <c r="A401" s="16" t="s">
        <v>2706</v>
      </c>
      <c r="B401" s="2" t="str">
        <f>IFERROR(INDEX(Movimientos!$C$2:$C$1993,MATCH(A401&amp;"ENTRADA",Movimientos!$R$2:$R$1993,0)),"-")</f>
        <v>-</v>
      </c>
      <c r="C401" s="2" t="str">
        <f>IFERROR(INDEX(Movimientos!$D$2:$D$1993,MATCH(A401&amp;"ENTRADA",Movimientos!$R$2:$R$1993,0)),"-")</f>
        <v>-</v>
      </c>
      <c r="D401" s="2" t="str">
        <f>IFERROR(INDEX(Movimientos!$E$2:$E$1993,MATCH(A401&amp;"ENTRADA",Movimientos!$R$2:$R$1993,0)),"-")</f>
        <v>-</v>
      </c>
      <c r="E401" s="2" t="str">
        <f>IFERROR(INDEX(Movimientos!$F$2:$F$1993,MATCH(A401&amp;"ENTRADA",Movimientos!$R$2:$R$1993,0)),"-")</f>
        <v>-</v>
      </c>
      <c r="F401" s="2" t="str">
        <f>IFERROR(INDEX(Movimientos!$G$2:$G$1993,MATCH(A401&amp;"ENTRADA",Movimientos!$R$2:$R$1993,0)),"-")</f>
        <v>-</v>
      </c>
      <c r="G401" s="2" t="str">
        <f>IFERROR(INDEX(Movimientos!$L$2:$L$1993,MATCH(A401&amp;"ENTRADA",Movimientos!$R$2:$R$1993,0)),"-")</f>
        <v>-</v>
      </c>
      <c r="H401" s="17" t="str">
        <f>IFERROR(IF(INDEX(Movimientos!$M$2:$M$1993,MATCH(A401&amp;"ENTRADA",Movimientos!$R$2:$R$1993,0))=0,"S/D",INDEX(Movimientos!$M$2:$M$1993,MATCH(A401&amp;"ENTRADA",Movimientos!$R$2:$R$1993,0))),"S/D")</f>
        <v>S/D</v>
      </c>
      <c r="I401" s="15" t="str">
        <f t="shared" ca="1" si="14"/>
        <v>S/D</v>
      </c>
      <c r="J401" s="5">
        <f>IF(A401="","",SUMIFS(Movimientos!$K:$K,Movimientos!$H:$H,A401))</f>
        <v>0</v>
      </c>
      <c r="K401" s="13" t="str">
        <f t="shared" ca="1" si="13"/>
        <v>SIN STOCK</v>
      </c>
    </row>
    <row r="402" spans="1:11">
      <c r="A402" s="16" t="s">
        <v>2707</v>
      </c>
      <c r="B402" s="2" t="str">
        <f>IFERROR(INDEX(Movimientos!$C$2:$C$1993,MATCH(A402&amp;"ENTRADA",Movimientos!$R$2:$R$1993,0)),"-")</f>
        <v>-</v>
      </c>
      <c r="C402" s="2" t="str">
        <f>IFERROR(INDEX(Movimientos!$D$2:$D$1993,MATCH(A402&amp;"ENTRADA",Movimientos!$R$2:$R$1993,0)),"-")</f>
        <v>-</v>
      </c>
      <c r="D402" s="2" t="str">
        <f>IFERROR(INDEX(Movimientos!$E$2:$E$1993,MATCH(A402&amp;"ENTRADA",Movimientos!$R$2:$R$1993,0)),"-")</f>
        <v>-</v>
      </c>
      <c r="E402" s="2" t="str">
        <f>IFERROR(INDEX(Movimientos!$F$2:$F$1993,MATCH(A402&amp;"ENTRADA",Movimientos!$R$2:$R$1993,0)),"-")</f>
        <v>-</v>
      </c>
      <c r="F402" s="2" t="str">
        <f>IFERROR(INDEX(Movimientos!$G$2:$G$1993,MATCH(A402&amp;"ENTRADA",Movimientos!$R$2:$R$1993,0)),"-")</f>
        <v>-</v>
      </c>
      <c r="G402" s="2" t="str">
        <f>IFERROR(INDEX(Movimientos!$L$2:$L$1993,MATCH(A402&amp;"ENTRADA",Movimientos!$R$2:$R$1993,0)),"-")</f>
        <v>-</v>
      </c>
      <c r="H402" s="17" t="str">
        <f>IFERROR(IF(INDEX(Movimientos!$M$2:$M$1993,MATCH(A402&amp;"ENTRADA",Movimientos!$R$2:$R$1993,0))=0,"S/D",INDEX(Movimientos!$M$2:$M$1993,MATCH(A402&amp;"ENTRADA",Movimientos!$R$2:$R$1993,0))),"S/D")</f>
        <v>S/D</v>
      </c>
      <c r="I402" s="15" t="str">
        <f t="shared" ca="1" si="14"/>
        <v>S/D</v>
      </c>
      <c r="J402" s="5">
        <f>IF(A402="","",SUMIFS(Movimientos!$K:$K,Movimientos!$H:$H,A402))</f>
        <v>0</v>
      </c>
      <c r="K402" s="13" t="str">
        <f t="shared" ca="1" si="13"/>
        <v>SIN STOCK</v>
      </c>
    </row>
    <row r="403" spans="1:11">
      <c r="A403" s="16" t="s">
        <v>2708</v>
      </c>
      <c r="B403" s="2" t="str">
        <f>IFERROR(INDEX(Movimientos!$C$2:$C$1993,MATCH(A403&amp;"ENTRADA",Movimientos!$R$2:$R$1993,0)),"-")</f>
        <v>-</v>
      </c>
      <c r="C403" s="2" t="str">
        <f>IFERROR(INDEX(Movimientos!$D$2:$D$1993,MATCH(A403&amp;"ENTRADA",Movimientos!$R$2:$R$1993,0)),"-")</f>
        <v>-</v>
      </c>
      <c r="D403" s="2" t="str">
        <f>IFERROR(INDEX(Movimientos!$E$2:$E$1993,MATCH(A403&amp;"ENTRADA",Movimientos!$R$2:$R$1993,0)),"-")</f>
        <v>-</v>
      </c>
      <c r="E403" s="2" t="str">
        <f>IFERROR(INDEX(Movimientos!$F$2:$F$1993,MATCH(A403&amp;"ENTRADA",Movimientos!$R$2:$R$1993,0)),"-")</f>
        <v>-</v>
      </c>
      <c r="F403" s="2" t="str">
        <f>IFERROR(INDEX(Movimientos!$G$2:$G$1993,MATCH(A403&amp;"ENTRADA",Movimientos!$R$2:$R$1993,0)),"-")</f>
        <v>-</v>
      </c>
      <c r="G403" s="2" t="str">
        <f>IFERROR(INDEX(Movimientos!$L$2:$L$1993,MATCH(A403&amp;"ENTRADA",Movimientos!$R$2:$R$1993,0)),"-")</f>
        <v>-</v>
      </c>
      <c r="H403" s="17" t="str">
        <f>IFERROR(IF(INDEX(Movimientos!$M$2:$M$1993,MATCH(A403&amp;"ENTRADA",Movimientos!$R$2:$R$1993,0))=0,"S/D",INDEX(Movimientos!$M$2:$M$1993,MATCH(A403&amp;"ENTRADA",Movimientos!$R$2:$R$1993,0))),"S/D")</f>
        <v>S/D</v>
      </c>
      <c r="I403" s="15" t="str">
        <f t="shared" ca="1" si="14"/>
        <v>S/D</v>
      </c>
      <c r="J403" s="5">
        <f>IF(A403="","",SUMIFS(Movimientos!$K:$K,Movimientos!$H:$H,A403))</f>
        <v>0</v>
      </c>
      <c r="K403" s="13" t="str">
        <f t="shared" ca="1" si="13"/>
        <v>SIN STOCK</v>
      </c>
    </row>
    <row r="404" spans="1:11">
      <c r="A404" s="16" t="s">
        <v>2709</v>
      </c>
      <c r="B404" s="2" t="str">
        <f>IFERROR(INDEX(Movimientos!$C$2:$C$1993,MATCH(A404&amp;"ENTRADA",Movimientos!$R$2:$R$1993,0)),"-")</f>
        <v>-</v>
      </c>
      <c r="C404" s="2" t="str">
        <f>IFERROR(INDEX(Movimientos!$D$2:$D$1993,MATCH(A404&amp;"ENTRADA",Movimientos!$R$2:$R$1993,0)),"-")</f>
        <v>-</v>
      </c>
      <c r="D404" s="2" t="str">
        <f>IFERROR(INDEX(Movimientos!$E$2:$E$1993,MATCH(A404&amp;"ENTRADA",Movimientos!$R$2:$R$1993,0)),"-")</f>
        <v>-</v>
      </c>
      <c r="E404" s="2" t="str">
        <f>IFERROR(INDEX(Movimientos!$F$2:$F$1993,MATCH(A404&amp;"ENTRADA",Movimientos!$R$2:$R$1993,0)),"-")</f>
        <v>-</v>
      </c>
      <c r="F404" s="2" t="str">
        <f>IFERROR(INDEX(Movimientos!$G$2:$G$1993,MATCH(A404&amp;"ENTRADA",Movimientos!$R$2:$R$1993,0)),"-")</f>
        <v>-</v>
      </c>
      <c r="G404" s="2" t="str">
        <f>IFERROR(INDEX(Movimientos!$L$2:$L$1993,MATCH(A404&amp;"ENTRADA",Movimientos!$R$2:$R$1993,0)),"-")</f>
        <v>-</v>
      </c>
      <c r="H404" s="17" t="str">
        <f>IFERROR(IF(INDEX(Movimientos!$M$2:$M$1993,MATCH(A404&amp;"ENTRADA",Movimientos!$R$2:$R$1993,0))=0,"S/D",INDEX(Movimientos!$M$2:$M$1993,MATCH(A404&amp;"ENTRADA",Movimientos!$R$2:$R$1993,0))),"S/D")</f>
        <v>S/D</v>
      </c>
      <c r="I404" s="15" t="str">
        <f t="shared" ca="1" si="14"/>
        <v>S/D</v>
      </c>
      <c r="J404" s="5">
        <f>IF(A404="","",SUMIFS(Movimientos!$K:$K,Movimientos!$H:$H,A404))</f>
        <v>0</v>
      </c>
      <c r="K404" s="13" t="str">
        <f t="shared" ca="1" si="13"/>
        <v>SIN STOCK</v>
      </c>
    </row>
    <row r="405" spans="1:11">
      <c r="A405" s="16" t="s">
        <v>2710</v>
      </c>
      <c r="B405" s="2" t="str">
        <f>IFERROR(INDEX(Movimientos!$C$2:$C$1993,MATCH(A405&amp;"ENTRADA",Movimientos!$R$2:$R$1993,0)),"-")</f>
        <v>-</v>
      </c>
      <c r="C405" s="2" t="str">
        <f>IFERROR(INDEX(Movimientos!$D$2:$D$1993,MATCH(A405&amp;"ENTRADA",Movimientos!$R$2:$R$1993,0)),"-")</f>
        <v>-</v>
      </c>
      <c r="D405" s="2" t="str">
        <f>IFERROR(INDEX(Movimientos!$E$2:$E$1993,MATCH(A405&amp;"ENTRADA",Movimientos!$R$2:$R$1993,0)),"-")</f>
        <v>-</v>
      </c>
      <c r="E405" s="2" t="str">
        <f>IFERROR(INDEX(Movimientos!$F$2:$F$1993,MATCH(A405&amp;"ENTRADA",Movimientos!$R$2:$R$1993,0)),"-")</f>
        <v>-</v>
      </c>
      <c r="F405" s="2" t="str">
        <f>IFERROR(INDEX(Movimientos!$G$2:$G$1993,MATCH(A405&amp;"ENTRADA",Movimientos!$R$2:$R$1993,0)),"-")</f>
        <v>-</v>
      </c>
      <c r="G405" s="2" t="str">
        <f>IFERROR(INDEX(Movimientos!$L$2:$L$1993,MATCH(A405&amp;"ENTRADA",Movimientos!$R$2:$R$1993,0)),"-")</f>
        <v>-</v>
      </c>
      <c r="H405" s="17" t="str">
        <f>IFERROR(IF(INDEX(Movimientos!$M$2:$M$1993,MATCH(A405&amp;"ENTRADA",Movimientos!$R$2:$R$1993,0))=0,"S/D",INDEX(Movimientos!$M$2:$M$1993,MATCH(A405&amp;"ENTRADA",Movimientos!$R$2:$R$1993,0))),"S/D")</f>
        <v>S/D</v>
      </c>
      <c r="I405" s="15" t="str">
        <f t="shared" ca="1" si="14"/>
        <v>S/D</v>
      </c>
      <c r="J405" s="5">
        <f>IF(A405="","",SUMIFS(Movimientos!$K:$K,Movimientos!$H:$H,A405))</f>
        <v>0</v>
      </c>
      <c r="K405" s="13" t="str">
        <f t="shared" ca="1" si="13"/>
        <v>SIN STOCK</v>
      </c>
    </row>
    <row r="406" spans="1:11">
      <c r="A406" s="16" t="s">
        <v>2711</v>
      </c>
      <c r="B406" s="2" t="str">
        <f>IFERROR(INDEX(Movimientos!$C$2:$C$1993,MATCH(A406&amp;"ENTRADA",Movimientos!$R$2:$R$1993,0)),"-")</f>
        <v>-</v>
      </c>
      <c r="C406" s="2" t="str">
        <f>IFERROR(INDEX(Movimientos!$D$2:$D$1993,MATCH(A406&amp;"ENTRADA",Movimientos!$R$2:$R$1993,0)),"-")</f>
        <v>-</v>
      </c>
      <c r="D406" s="2" t="str">
        <f>IFERROR(INDEX(Movimientos!$E$2:$E$1993,MATCH(A406&amp;"ENTRADA",Movimientos!$R$2:$R$1993,0)),"-")</f>
        <v>-</v>
      </c>
      <c r="E406" s="2" t="str">
        <f>IFERROR(INDEX(Movimientos!$F$2:$F$1993,MATCH(A406&amp;"ENTRADA",Movimientos!$R$2:$R$1993,0)),"-")</f>
        <v>-</v>
      </c>
      <c r="F406" s="2" t="str">
        <f>IFERROR(INDEX(Movimientos!$G$2:$G$1993,MATCH(A406&amp;"ENTRADA",Movimientos!$R$2:$R$1993,0)),"-")</f>
        <v>-</v>
      </c>
      <c r="G406" s="2" t="str">
        <f>IFERROR(INDEX(Movimientos!$L$2:$L$1993,MATCH(A406&amp;"ENTRADA",Movimientos!$R$2:$R$1993,0)),"-")</f>
        <v>-</v>
      </c>
      <c r="H406" s="17" t="str">
        <f>IFERROR(IF(INDEX(Movimientos!$M$2:$M$1993,MATCH(A406&amp;"ENTRADA",Movimientos!$R$2:$R$1993,0))=0,"S/D",INDEX(Movimientos!$M$2:$M$1993,MATCH(A406&amp;"ENTRADA",Movimientos!$R$2:$R$1993,0))),"S/D")</f>
        <v>S/D</v>
      </c>
      <c r="I406" s="15" t="str">
        <f t="shared" ca="1" si="14"/>
        <v>S/D</v>
      </c>
      <c r="J406" s="5">
        <f>IF(A406="","",SUMIFS(Movimientos!$K:$K,Movimientos!$H:$H,A406))</f>
        <v>0</v>
      </c>
      <c r="K406" s="13" t="str">
        <f t="shared" ca="1" si="13"/>
        <v>SIN STOCK</v>
      </c>
    </row>
    <row r="407" spans="1:11">
      <c r="A407" s="16" t="s">
        <v>2712</v>
      </c>
      <c r="B407" s="2" t="str">
        <f>IFERROR(INDEX(Movimientos!$C$2:$C$1993,MATCH(A407&amp;"ENTRADA",Movimientos!$R$2:$R$1993,0)),"-")</f>
        <v>-</v>
      </c>
      <c r="C407" s="2" t="str">
        <f>IFERROR(INDEX(Movimientos!$D$2:$D$1993,MATCH(A407&amp;"ENTRADA",Movimientos!$R$2:$R$1993,0)),"-")</f>
        <v>-</v>
      </c>
      <c r="D407" s="2" t="str">
        <f>IFERROR(INDEX(Movimientos!$E$2:$E$1993,MATCH(A407&amp;"ENTRADA",Movimientos!$R$2:$R$1993,0)),"-")</f>
        <v>-</v>
      </c>
      <c r="E407" s="2" t="str">
        <f>IFERROR(INDEX(Movimientos!$F$2:$F$1993,MATCH(A407&amp;"ENTRADA",Movimientos!$R$2:$R$1993,0)),"-")</f>
        <v>-</v>
      </c>
      <c r="F407" s="2" t="str">
        <f>IFERROR(INDEX(Movimientos!$G$2:$G$1993,MATCH(A407&amp;"ENTRADA",Movimientos!$R$2:$R$1993,0)),"-")</f>
        <v>-</v>
      </c>
      <c r="G407" s="2" t="str">
        <f>IFERROR(INDEX(Movimientos!$L$2:$L$1993,MATCH(A407&amp;"ENTRADA",Movimientos!$R$2:$R$1993,0)),"-")</f>
        <v>-</v>
      </c>
      <c r="H407" s="17" t="str">
        <f>IFERROR(IF(INDEX(Movimientos!$M$2:$M$1993,MATCH(A407&amp;"ENTRADA",Movimientos!$R$2:$R$1993,0))=0,"S/D",INDEX(Movimientos!$M$2:$M$1993,MATCH(A407&amp;"ENTRADA",Movimientos!$R$2:$R$1993,0))),"S/D")</f>
        <v>S/D</v>
      </c>
      <c r="I407" s="15" t="str">
        <f t="shared" ca="1" si="14"/>
        <v>S/D</v>
      </c>
      <c r="J407" s="5">
        <f>IF(A407="","",SUMIFS(Movimientos!$K:$K,Movimientos!$H:$H,A407))</f>
        <v>0</v>
      </c>
      <c r="K407" s="13" t="str">
        <f t="shared" ca="1" si="13"/>
        <v>SIN STOCK</v>
      </c>
    </row>
    <row r="408" spans="1:11">
      <c r="A408" s="16" t="s">
        <v>2713</v>
      </c>
      <c r="B408" s="2" t="str">
        <f>IFERROR(INDEX(Movimientos!$C$2:$C$1993,MATCH(A408&amp;"ENTRADA",Movimientos!$R$2:$R$1993,0)),"-")</f>
        <v>-</v>
      </c>
      <c r="C408" s="2" t="str">
        <f>IFERROR(INDEX(Movimientos!$D$2:$D$1993,MATCH(A408&amp;"ENTRADA",Movimientos!$R$2:$R$1993,0)),"-")</f>
        <v>-</v>
      </c>
      <c r="D408" s="2" t="str">
        <f>IFERROR(INDEX(Movimientos!$E$2:$E$1993,MATCH(A408&amp;"ENTRADA",Movimientos!$R$2:$R$1993,0)),"-")</f>
        <v>-</v>
      </c>
      <c r="E408" s="2" t="str">
        <f>IFERROR(INDEX(Movimientos!$F$2:$F$1993,MATCH(A408&amp;"ENTRADA",Movimientos!$R$2:$R$1993,0)),"-")</f>
        <v>-</v>
      </c>
      <c r="F408" s="2" t="str">
        <f>IFERROR(INDEX(Movimientos!$G$2:$G$1993,MATCH(A408&amp;"ENTRADA",Movimientos!$R$2:$R$1993,0)),"-")</f>
        <v>-</v>
      </c>
      <c r="G408" s="2" t="str">
        <f>IFERROR(INDEX(Movimientos!$L$2:$L$1993,MATCH(A408&amp;"ENTRADA",Movimientos!$R$2:$R$1993,0)),"-")</f>
        <v>-</v>
      </c>
      <c r="H408" s="17" t="str">
        <f>IFERROR(IF(INDEX(Movimientos!$M$2:$M$1993,MATCH(A408&amp;"ENTRADA",Movimientos!$R$2:$R$1993,0))=0,"S/D",INDEX(Movimientos!$M$2:$M$1993,MATCH(A408&amp;"ENTRADA",Movimientos!$R$2:$R$1993,0))),"S/D")</f>
        <v>S/D</v>
      </c>
      <c r="I408" s="15" t="str">
        <f t="shared" ca="1" si="14"/>
        <v>S/D</v>
      </c>
      <c r="J408" s="5">
        <f>IF(A408="","",SUMIFS(Movimientos!$K:$K,Movimientos!$H:$H,A408))</f>
        <v>0</v>
      </c>
      <c r="K408" s="13" t="str">
        <f t="shared" ca="1" si="13"/>
        <v>SIN STOCK</v>
      </c>
    </row>
    <row r="409" spans="1:11">
      <c r="A409" s="16" t="s">
        <v>2714</v>
      </c>
      <c r="B409" s="2" t="str">
        <f>IFERROR(INDEX(Movimientos!$C$2:$C$1993,MATCH(A409&amp;"ENTRADA",Movimientos!$R$2:$R$1993,0)),"-")</f>
        <v>-</v>
      </c>
      <c r="C409" s="2" t="str">
        <f>IFERROR(INDEX(Movimientos!$D$2:$D$1993,MATCH(A409&amp;"ENTRADA",Movimientos!$R$2:$R$1993,0)),"-")</f>
        <v>-</v>
      </c>
      <c r="D409" s="2" t="str">
        <f>IFERROR(INDEX(Movimientos!$E$2:$E$1993,MATCH(A409&amp;"ENTRADA",Movimientos!$R$2:$R$1993,0)),"-")</f>
        <v>-</v>
      </c>
      <c r="E409" s="2" t="str">
        <f>IFERROR(INDEX(Movimientos!$F$2:$F$1993,MATCH(A409&amp;"ENTRADA",Movimientos!$R$2:$R$1993,0)),"-")</f>
        <v>-</v>
      </c>
      <c r="F409" s="2" t="str">
        <f>IFERROR(INDEX(Movimientos!$G$2:$G$1993,MATCH(A409&amp;"ENTRADA",Movimientos!$R$2:$R$1993,0)),"-")</f>
        <v>-</v>
      </c>
      <c r="G409" s="2" t="str">
        <f>IFERROR(INDEX(Movimientos!$L$2:$L$1993,MATCH(A409&amp;"ENTRADA",Movimientos!$R$2:$R$1993,0)),"-")</f>
        <v>-</v>
      </c>
      <c r="H409" s="17" t="str">
        <f>IFERROR(IF(INDEX(Movimientos!$M$2:$M$1993,MATCH(A409&amp;"ENTRADA",Movimientos!$R$2:$R$1993,0))=0,"S/D",INDEX(Movimientos!$M$2:$M$1993,MATCH(A409&amp;"ENTRADA",Movimientos!$R$2:$R$1993,0))),"S/D")</f>
        <v>S/D</v>
      </c>
      <c r="I409" s="15" t="str">
        <f t="shared" ca="1" si="14"/>
        <v>S/D</v>
      </c>
      <c r="J409" s="5">
        <f>IF(A409="","",SUMIFS(Movimientos!$K:$K,Movimientos!$H:$H,A409))</f>
        <v>0</v>
      </c>
      <c r="K409" s="13" t="str">
        <f t="shared" ca="1" si="13"/>
        <v>SIN STOCK</v>
      </c>
    </row>
    <row r="410" spans="1:11">
      <c r="A410" s="16" t="s">
        <v>2715</v>
      </c>
      <c r="B410" s="2" t="str">
        <f>IFERROR(INDEX(Movimientos!$C$2:$C$1993,MATCH(A410&amp;"ENTRADA",Movimientos!$R$2:$R$1993,0)),"-")</f>
        <v>-</v>
      </c>
      <c r="C410" s="2" t="str">
        <f>IFERROR(INDEX(Movimientos!$D$2:$D$1993,MATCH(A410&amp;"ENTRADA",Movimientos!$R$2:$R$1993,0)),"-")</f>
        <v>-</v>
      </c>
      <c r="D410" s="2" t="str">
        <f>IFERROR(INDEX(Movimientos!$E$2:$E$1993,MATCH(A410&amp;"ENTRADA",Movimientos!$R$2:$R$1993,0)),"-")</f>
        <v>-</v>
      </c>
      <c r="E410" s="2" t="str">
        <f>IFERROR(INDEX(Movimientos!$F$2:$F$1993,MATCH(A410&amp;"ENTRADA",Movimientos!$R$2:$R$1993,0)),"-")</f>
        <v>-</v>
      </c>
      <c r="F410" s="2" t="str">
        <f>IFERROR(INDEX(Movimientos!$G$2:$G$1993,MATCH(A410&amp;"ENTRADA",Movimientos!$R$2:$R$1993,0)),"-")</f>
        <v>-</v>
      </c>
      <c r="G410" s="2" t="str">
        <f>IFERROR(INDEX(Movimientos!$L$2:$L$1993,MATCH(A410&amp;"ENTRADA",Movimientos!$R$2:$R$1993,0)),"-")</f>
        <v>-</v>
      </c>
      <c r="H410" s="17" t="str">
        <f>IFERROR(IF(INDEX(Movimientos!$M$2:$M$1993,MATCH(A410&amp;"ENTRADA",Movimientos!$R$2:$R$1993,0))=0,"S/D",INDEX(Movimientos!$M$2:$M$1993,MATCH(A410&amp;"ENTRADA",Movimientos!$R$2:$R$1993,0))),"S/D")</f>
        <v>S/D</v>
      </c>
      <c r="I410" s="15" t="str">
        <f t="shared" ca="1" si="14"/>
        <v>S/D</v>
      </c>
      <c r="J410" s="5">
        <f>IF(A410="","",SUMIFS(Movimientos!$K:$K,Movimientos!$H:$H,A410))</f>
        <v>0</v>
      </c>
      <c r="K410" s="13" t="str">
        <f t="shared" ca="1" si="13"/>
        <v>SIN STOCK</v>
      </c>
    </row>
    <row r="411" spans="1:11">
      <c r="A411" s="16" t="s">
        <v>2716</v>
      </c>
      <c r="B411" s="2" t="str">
        <f>IFERROR(INDEX(Movimientos!$C$2:$C$1993,MATCH(A411&amp;"ENTRADA",Movimientos!$R$2:$R$1993,0)),"-")</f>
        <v>-</v>
      </c>
      <c r="C411" s="2" t="str">
        <f>IFERROR(INDEX(Movimientos!$D$2:$D$1993,MATCH(A411&amp;"ENTRADA",Movimientos!$R$2:$R$1993,0)),"-")</f>
        <v>-</v>
      </c>
      <c r="D411" s="2" t="str">
        <f>IFERROR(INDEX(Movimientos!$E$2:$E$1993,MATCH(A411&amp;"ENTRADA",Movimientos!$R$2:$R$1993,0)),"-")</f>
        <v>-</v>
      </c>
      <c r="E411" s="2" t="str">
        <f>IFERROR(INDEX(Movimientos!$F$2:$F$1993,MATCH(A411&amp;"ENTRADA",Movimientos!$R$2:$R$1993,0)),"-")</f>
        <v>-</v>
      </c>
      <c r="F411" s="2" t="str">
        <f>IFERROR(INDEX(Movimientos!$G$2:$G$1993,MATCH(A411&amp;"ENTRADA",Movimientos!$R$2:$R$1993,0)),"-")</f>
        <v>-</v>
      </c>
      <c r="G411" s="2" t="str">
        <f>IFERROR(INDEX(Movimientos!$L$2:$L$1993,MATCH(A411&amp;"ENTRADA",Movimientos!$R$2:$R$1993,0)),"-")</f>
        <v>-</v>
      </c>
      <c r="H411" s="17" t="str">
        <f>IFERROR(IF(INDEX(Movimientos!$M$2:$M$1993,MATCH(A411&amp;"ENTRADA",Movimientos!$R$2:$R$1993,0))=0,"S/D",INDEX(Movimientos!$M$2:$M$1993,MATCH(A411&amp;"ENTRADA",Movimientos!$R$2:$R$1993,0))),"S/D")</f>
        <v>S/D</v>
      </c>
      <c r="I411" s="15" t="str">
        <f t="shared" ca="1" si="14"/>
        <v>S/D</v>
      </c>
      <c r="J411" s="5">
        <f>IF(A411="","",SUMIFS(Movimientos!$K:$K,Movimientos!$H:$H,A411))</f>
        <v>0</v>
      </c>
      <c r="K411" s="13" t="str">
        <f t="shared" ca="1" si="13"/>
        <v>SIN STOCK</v>
      </c>
    </row>
    <row r="412" spans="1:11">
      <c r="A412" s="16" t="s">
        <v>2717</v>
      </c>
      <c r="B412" s="2" t="str">
        <f>IFERROR(INDEX(Movimientos!$C$2:$C$1993,MATCH(A412&amp;"ENTRADA",Movimientos!$R$2:$R$1993,0)),"-")</f>
        <v>-</v>
      </c>
      <c r="C412" s="2" t="str">
        <f>IFERROR(INDEX(Movimientos!$D$2:$D$1993,MATCH(A412&amp;"ENTRADA",Movimientos!$R$2:$R$1993,0)),"-")</f>
        <v>-</v>
      </c>
      <c r="D412" s="2" t="str">
        <f>IFERROR(INDEX(Movimientos!$E$2:$E$1993,MATCH(A412&amp;"ENTRADA",Movimientos!$R$2:$R$1993,0)),"-")</f>
        <v>-</v>
      </c>
      <c r="E412" s="2" t="str">
        <f>IFERROR(INDEX(Movimientos!$F$2:$F$1993,MATCH(A412&amp;"ENTRADA",Movimientos!$R$2:$R$1993,0)),"-")</f>
        <v>-</v>
      </c>
      <c r="F412" s="2" t="str">
        <f>IFERROR(INDEX(Movimientos!$G$2:$G$1993,MATCH(A412&amp;"ENTRADA",Movimientos!$R$2:$R$1993,0)),"-")</f>
        <v>-</v>
      </c>
      <c r="G412" s="2" t="str">
        <f>IFERROR(INDEX(Movimientos!$L$2:$L$1993,MATCH(A412&amp;"ENTRADA",Movimientos!$R$2:$R$1993,0)),"-")</f>
        <v>-</v>
      </c>
      <c r="H412" s="17" t="str">
        <f>IFERROR(IF(INDEX(Movimientos!$M$2:$M$1993,MATCH(A412&amp;"ENTRADA",Movimientos!$R$2:$R$1993,0))=0,"S/D",INDEX(Movimientos!$M$2:$M$1993,MATCH(A412&amp;"ENTRADA",Movimientos!$R$2:$R$1993,0))),"S/D")</f>
        <v>S/D</v>
      </c>
      <c r="I412" s="15" t="str">
        <f t="shared" ca="1" si="14"/>
        <v>S/D</v>
      </c>
      <c r="J412" s="5">
        <f>IF(A412="","",SUMIFS(Movimientos!$K:$K,Movimientos!$H:$H,A412))</f>
        <v>0</v>
      </c>
      <c r="K412" s="13" t="str">
        <f t="shared" ca="1" si="13"/>
        <v>SIN STOCK</v>
      </c>
    </row>
    <row r="413" spans="1:11">
      <c r="A413" s="16" t="s">
        <v>2718</v>
      </c>
      <c r="B413" s="2" t="str">
        <f>IFERROR(INDEX(Movimientos!$C$2:$C$1993,MATCH(A413&amp;"ENTRADA",Movimientos!$R$2:$R$1993,0)),"-")</f>
        <v>-</v>
      </c>
      <c r="C413" s="2" t="str">
        <f>IFERROR(INDEX(Movimientos!$D$2:$D$1993,MATCH(A413&amp;"ENTRADA",Movimientos!$R$2:$R$1993,0)),"-")</f>
        <v>-</v>
      </c>
      <c r="D413" s="2" t="str">
        <f>IFERROR(INDEX(Movimientos!$E$2:$E$1993,MATCH(A413&amp;"ENTRADA",Movimientos!$R$2:$R$1993,0)),"-")</f>
        <v>-</v>
      </c>
      <c r="E413" s="2" t="str">
        <f>IFERROR(INDEX(Movimientos!$F$2:$F$1993,MATCH(A413&amp;"ENTRADA",Movimientos!$R$2:$R$1993,0)),"-")</f>
        <v>-</v>
      </c>
      <c r="F413" s="2" t="str">
        <f>IFERROR(INDEX(Movimientos!$G$2:$G$1993,MATCH(A413&amp;"ENTRADA",Movimientos!$R$2:$R$1993,0)),"-")</f>
        <v>-</v>
      </c>
      <c r="G413" s="2" t="str">
        <f>IFERROR(INDEX(Movimientos!$L$2:$L$1993,MATCH(A413&amp;"ENTRADA",Movimientos!$R$2:$R$1993,0)),"-")</f>
        <v>-</v>
      </c>
      <c r="H413" s="17" t="str">
        <f>IFERROR(IF(INDEX(Movimientos!$M$2:$M$1993,MATCH(A413&amp;"ENTRADA",Movimientos!$R$2:$R$1993,0))=0,"S/D",INDEX(Movimientos!$M$2:$M$1993,MATCH(A413&amp;"ENTRADA",Movimientos!$R$2:$R$1993,0))),"S/D")</f>
        <v>S/D</v>
      </c>
      <c r="I413" s="15" t="str">
        <f t="shared" ca="1" si="14"/>
        <v>S/D</v>
      </c>
      <c r="J413" s="5">
        <f>IF(A413="","",SUMIFS(Movimientos!$K:$K,Movimientos!$H:$H,A413))</f>
        <v>0</v>
      </c>
      <c r="K413" s="13" t="str">
        <f t="shared" ca="1" si="13"/>
        <v>SIN STOCK</v>
      </c>
    </row>
    <row r="414" spans="1:11">
      <c r="A414" s="16" t="s">
        <v>2719</v>
      </c>
      <c r="B414" s="2" t="str">
        <f>IFERROR(INDEX(Movimientos!$C$2:$C$1993,MATCH(A414&amp;"ENTRADA",Movimientos!$R$2:$R$1993,0)),"-")</f>
        <v>-</v>
      </c>
      <c r="C414" s="2" t="str">
        <f>IFERROR(INDEX(Movimientos!$D$2:$D$1993,MATCH(A414&amp;"ENTRADA",Movimientos!$R$2:$R$1993,0)),"-")</f>
        <v>-</v>
      </c>
      <c r="D414" s="2" t="str">
        <f>IFERROR(INDEX(Movimientos!$E$2:$E$1993,MATCH(A414&amp;"ENTRADA",Movimientos!$R$2:$R$1993,0)),"-")</f>
        <v>-</v>
      </c>
      <c r="E414" s="2" t="str">
        <f>IFERROR(INDEX(Movimientos!$F$2:$F$1993,MATCH(A414&amp;"ENTRADA",Movimientos!$R$2:$R$1993,0)),"-")</f>
        <v>-</v>
      </c>
      <c r="F414" s="2" t="str">
        <f>IFERROR(INDEX(Movimientos!$G$2:$G$1993,MATCH(A414&amp;"ENTRADA",Movimientos!$R$2:$R$1993,0)),"-")</f>
        <v>-</v>
      </c>
      <c r="G414" s="2" t="str">
        <f>IFERROR(INDEX(Movimientos!$L$2:$L$1993,MATCH(A414&amp;"ENTRADA",Movimientos!$R$2:$R$1993,0)),"-")</f>
        <v>-</v>
      </c>
      <c r="H414" s="17" t="str">
        <f>IFERROR(IF(INDEX(Movimientos!$M$2:$M$1993,MATCH(A414&amp;"ENTRADA",Movimientos!$R$2:$R$1993,0))=0,"S/D",INDEX(Movimientos!$M$2:$M$1993,MATCH(A414&amp;"ENTRADA",Movimientos!$R$2:$R$1993,0))),"S/D")</f>
        <v>S/D</v>
      </c>
      <c r="I414" s="15" t="str">
        <f t="shared" ca="1" si="14"/>
        <v>S/D</v>
      </c>
      <c r="J414" s="5">
        <f>IF(A414="","",SUMIFS(Movimientos!$K:$K,Movimientos!$H:$H,A414))</f>
        <v>0</v>
      </c>
      <c r="K414" s="13" t="str">
        <f t="shared" ca="1" si="13"/>
        <v>SIN STOCK</v>
      </c>
    </row>
    <row r="415" spans="1:11">
      <c r="A415" s="16" t="s">
        <v>2720</v>
      </c>
      <c r="B415" s="2" t="str">
        <f>IFERROR(INDEX(Movimientos!$C$2:$C$1993,MATCH(A415&amp;"ENTRADA",Movimientos!$R$2:$R$1993,0)),"-")</f>
        <v>-</v>
      </c>
      <c r="C415" s="2" t="str">
        <f>IFERROR(INDEX(Movimientos!$D$2:$D$1993,MATCH(A415&amp;"ENTRADA",Movimientos!$R$2:$R$1993,0)),"-")</f>
        <v>-</v>
      </c>
      <c r="D415" s="2" t="str">
        <f>IFERROR(INDEX(Movimientos!$E$2:$E$1993,MATCH(A415&amp;"ENTRADA",Movimientos!$R$2:$R$1993,0)),"-")</f>
        <v>-</v>
      </c>
      <c r="E415" s="2" t="str">
        <f>IFERROR(INDEX(Movimientos!$F$2:$F$1993,MATCH(A415&amp;"ENTRADA",Movimientos!$R$2:$R$1993,0)),"-")</f>
        <v>-</v>
      </c>
      <c r="F415" s="2" t="str">
        <f>IFERROR(INDEX(Movimientos!$G$2:$G$1993,MATCH(A415&amp;"ENTRADA",Movimientos!$R$2:$R$1993,0)),"-")</f>
        <v>-</v>
      </c>
      <c r="G415" s="2" t="str">
        <f>IFERROR(INDEX(Movimientos!$L$2:$L$1993,MATCH(A415&amp;"ENTRADA",Movimientos!$R$2:$R$1993,0)),"-")</f>
        <v>-</v>
      </c>
      <c r="H415" s="17" t="str">
        <f>IFERROR(IF(INDEX(Movimientos!$M$2:$M$1993,MATCH(A415&amp;"ENTRADA",Movimientos!$R$2:$R$1993,0))=0,"S/D",INDEX(Movimientos!$M$2:$M$1993,MATCH(A415&amp;"ENTRADA",Movimientos!$R$2:$R$1993,0))),"S/D")</f>
        <v>S/D</v>
      </c>
      <c r="I415" s="15" t="str">
        <f t="shared" ca="1" si="14"/>
        <v>S/D</v>
      </c>
      <c r="J415" s="5">
        <f>IF(A415="","",SUMIFS(Movimientos!$K:$K,Movimientos!$H:$H,A415))</f>
        <v>0</v>
      </c>
      <c r="K415" s="13" t="str">
        <f t="shared" ca="1" si="13"/>
        <v>SIN STOCK</v>
      </c>
    </row>
    <row r="416" spans="1:11">
      <c r="A416" s="16" t="s">
        <v>2721</v>
      </c>
      <c r="B416" s="2" t="str">
        <f>IFERROR(INDEX(Movimientos!$C$2:$C$1993,MATCH(A416&amp;"ENTRADA",Movimientos!$R$2:$R$1993,0)),"-")</f>
        <v>-</v>
      </c>
      <c r="C416" s="2" t="str">
        <f>IFERROR(INDEX(Movimientos!$D$2:$D$1993,MATCH(A416&amp;"ENTRADA",Movimientos!$R$2:$R$1993,0)),"-")</f>
        <v>-</v>
      </c>
      <c r="D416" s="2" t="str">
        <f>IFERROR(INDEX(Movimientos!$E$2:$E$1993,MATCH(A416&amp;"ENTRADA",Movimientos!$R$2:$R$1993,0)),"-")</f>
        <v>-</v>
      </c>
      <c r="E416" s="2" t="str">
        <f>IFERROR(INDEX(Movimientos!$F$2:$F$1993,MATCH(A416&amp;"ENTRADA",Movimientos!$R$2:$R$1993,0)),"-")</f>
        <v>-</v>
      </c>
      <c r="F416" s="2" t="str">
        <f>IFERROR(INDEX(Movimientos!$G$2:$G$1993,MATCH(A416&amp;"ENTRADA",Movimientos!$R$2:$R$1993,0)),"-")</f>
        <v>-</v>
      </c>
      <c r="G416" s="2" t="str">
        <f>IFERROR(INDEX(Movimientos!$L$2:$L$1993,MATCH(A416&amp;"ENTRADA",Movimientos!$R$2:$R$1993,0)),"-")</f>
        <v>-</v>
      </c>
      <c r="H416" s="17" t="str">
        <f>IFERROR(IF(INDEX(Movimientos!$M$2:$M$1993,MATCH(A416&amp;"ENTRADA",Movimientos!$R$2:$R$1993,0))=0,"S/D",INDEX(Movimientos!$M$2:$M$1993,MATCH(A416&amp;"ENTRADA",Movimientos!$R$2:$R$1993,0))),"S/D")</f>
        <v>S/D</v>
      </c>
      <c r="I416" s="15" t="str">
        <f t="shared" ca="1" si="14"/>
        <v>S/D</v>
      </c>
      <c r="J416" s="5">
        <f>IF(A416="","",SUMIFS(Movimientos!$K:$K,Movimientos!$H:$H,A416))</f>
        <v>0</v>
      </c>
      <c r="K416" s="13" t="str">
        <f t="shared" ca="1" si="13"/>
        <v>SIN STOCK</v>
      </c>
    </row>
    <row r="417" spans="1:11">
      <c r="A417" s="16" t="s">
        <v>2722</v>
      </c>
      <c r="B417" s="2" t="str">
        <f>IFERROR(INDEX(Movimientos!$C$2:$C$1993,MATCH(A417&amp;"ENTRADA",Movimientos!$R$2:$R$1993,0)),"-")</f>
        <v>-</v>
      </c>
      <c r="C417" s="2" t="str">
        <f>IFERROR(INDEX(Movimientos!$D$2:$D$1993,MATCH(A417&amp;"ENTRADA",Movimientos!$R$2:$R$1993,0)),"-")</f>
        <v>-</v>
      </c>
      <c r="D417" s="2" t="str">
        <f>IFERROR(INDEX(Movimientos!$E$2:$E$1993,MATCH(A417&amp;"ENTRADA",Movimientos!$R$2:$R$1993,0)),"-")</f>
        <v>-</v>
      </c>
      <c r="E417" s="2" t="str">
        <f>IFERROR(INDEX(Movimientos!$F$2:$F$1993,MATCH(A417&amp;"ENTRADA",Movimientos!$R$2:$R$1993,0)),"-")</f>
        <v>-</v>
      </c>
      <c r="F417" s="2" t="str">
        <f>IFERROR(INDEX(Movimientos!$G$2:$G$1993,MATCH(A417&amp;"ENTRADA",Movimientos!$R$2:$R$1993,0)),"-")</f>
        <v>-</v>
      </c>
      <c r="G417" s="2" t="str">
        <f>IFERROR(INDEX(Movimientos!$L$2:$L$1993,MATCH(A417&amp;"ENTRADA",Movimientos!$R$2:$R$1993,0)),"-")</f>
        <v>-</v>
      </c>
      <c r="H417" s="17" t="str">
        <f>IFERROR(IF(INDEX(Movimientos!$M$2:$M$1993,MATCH(A417&amp;"ENTRADA",Movimientos!$R$2:$R$1993,0))=0,"S/D",INDEX(Movimientos!$M$2:$M$1993,MATCH(A417&amp;"ENTRADA",Movimientos!$R$2:$R$1993,0))),"S/D")</f>
        <v>S/D</v>
      </c>
      <c r="I417" s="15" t="str">
        <f t="shared" ca="1" si="14"/>
        <v>S/D</v>
      </c>
      <c r="J417" s="5">
        <f>IF(A417="","",SUMIFS(Movimientos!$K:$K,Movimientos!$H:$H,A417))</f>
        <v>0</v>
      </c>
      <c r="K417" s="13" t="str">
        <f t="shared" ca="1" si="13"/>
        <v>SIN STOCK</v>
      </c>
    </row>
    <row r="418" spans="1:11">
      <c r="A418" s="16" t="s">
        <v>2723</v>
      </c>
      <c r="B418" s="2" t="str">
        <f>IFERROR(INDEX(Movimientos!$C$2:$C$1993,MATCH(A418&amp;"ENTRADA",Movimientos!$R$2:$R$1993,0)),"-")</f>
        <v>-</v>
      </c>
      <c r="C418" s="2" t="str">
        <f>IFERROR(INDEX(Movimientos!$D$2:$D$1993,MATCH(A418&amp;"ENTRADA",Movimientos!$R$2:$R$1993,0)),"-")</f>
        <v>-</v>
      </c>
      <c r="D418" s="2" t="str">
        <f>IFERROR(INDEX(Movimientos!$E$2:$E$1993,MATCH(A418&amp;"ENTRADA",Movimientos!$R$2:$R$1993,0)),"-")</f>
        <v>-</v>
      </c>
      <c r="E418" s="2" t="str">
        <f>IFERROR(INDEX(Movimientos!$F$2:$F$1993,MATCH(A418&amp;"ENTRADA",Movimientos!$R$2:$R$1993,0)),"-")</f>
        <v>-</v>
      </c>
      <c r="F418" s="2" t="str">
        <f>IFERROR(INDEX(Movimientos!$G$2:$G$1993,MATCH(A418&amp;"ENTRADA",Movimientos!$R$2:$R$1993,0)),"-")</f>
        <v>-</v>
      </c>
      <c r="G418" s="2" t="str">
        <f>IFERROR(INDEX(Movimientos!$L$2:$L$1993,MATCH(A418&amp;"ENTRADA",Movimientos!$R$2:$R$1993,0)),"-")</f>
        <v>-</v>
      </c>
      <c r="H418" s="17" t="str">
        <f>IFERROR(IF(INDEX(Movimientos!$M$2:$M$1993,MATCH(A418&amp;"ENTRADA",Movimientos!$R$2:$R$1993,0))=0,"S/D",INDEX(Movimientos!$M$2:$M$1993,MATCH(A418&amp;"ENTRADA",Movimientos!$R$2:$R$1993,0))),"S/D")</f>
        <v>S/D</v>
      </c>
      <c r="I418" s="15" t="str">
        <f t="shared" ca="1" si="14"/>
        <v>S/D</v>
      </c>
      <c r="J418" s="5">
        <f>IF(A418="","",SUMIFS(Movimientos!$K:$K,Movimientos!$H:$H,A418))</f>
        <v>0</v>
      </c>
      <c r="K418" s="13" t="str">
        <f t="shared" ca="1" si="13"/>
        <v>SIN STOCK</v>
      </c>
    </row>
    <row r="419" spans="1:11">
      <c r="A419" s="16" t="s">
        <v>2724</v>
      </c>
      <c r="B419" s="2" t="str">
        <f>IFERROR(INDEX(Movimientos!$C$2:$C$1993,MATCH(A419&amp;"ENTRADA",Movimientos!$R$2:$R$1993,0)),"-")</f>
        <v>-</v>
      </c>
      <c r="C419" s="2" t="str">
        <f>IFERROR(INDEX(Movimientos!$D$2:$D$1993,MATCH(A419&amp;"ENTRADA",Movimientos!$R$2:$R$1993,0)),"-")</f>
        <v>-</v>
      </c>
      <c r="D419" s="2" t="str">
        <f>IFERROR(INDEX(Movimientos!$E$2:$E$1993,MATCH(A419&amp;"ENTRADA",Movimientos!$R$2:$R$1993,0)),"-")</f>
        <v>-</v>
      </c>
      <c r="E419" s="2" t="str">
        <f>IFERROR(INDEX(Movimientos!$F$2:$F$1993,MATCH(A419&amp;"ENTRADA",Movimientos!$R$2:$R$1993,0)),"-")</f>
        <v>-</v>
      </c>
      <c r="F419" s="2" t="str">
        <f>IFERROR(INDEX(Movimientos!$G$2:$G$1993,MATCH(A419&amp;"ENTRADA",Movimientos!$R$2:$R$1993,0)),"-")</f>
        <v>-</v>
      </c>
      <c r="G419" s="2" t="str">
        <f>IFERROR(INDEX(Movimientos!$L$2:$L$1993,MATCH(A419&amp;"ENTRADA",Movimientos!$R$2:$R$1993,0)),"-")</f>
        <v>-</v>
      </c>
      <c r="H419" s="17" t="str">
        <f>IFERROR(IF(INDEX(Movimientos!$M$2:$M$1993,MATCH(A419&amp;"ENTRADA",Movimientos!$R$2:$R$1993,0))=0,"S/D",INDEX(Movimientos!$M$2:$M$1993,MATCH(A419&amp;"ENTRADA",Movimientos!$R$2:$R$1993,0))),"S/D")</f>
        <v>S/D</v>
      </c>
      <c r="I419" s="15" t="str">
        <f t="shared" ca="1" si="14"/>
        <v>S/D</v>
      </c>
      <c r="J419" s="5">
        <f>IF(A419="","",SUMIFS(Movimientos!$K:$K,Movimientos!$H:$H,A419))</f>
        <v>0</v>
      </c>
      <c r="K419" s="13" t="str">
        <f t="shared" ca="1" si="13"/>
        <v>SIN STOCK</v>
      </c>
    </row>
    <row r="420" spans="1:11">
      <c r="A420" s="16" t="s">
        <v>2725</v>
      </c>
      <c r="B420" s="2" t="str">
        <f>IFERROR(INDEX(Movimientos!$C$2:$C$1993,MATCH(A420&amp;"ENTRADA",Movimientos!$R$2:$R$1993,0)),"-")</f>
        <v>-</v>
      </c>
      <c r="C420" s="2" t="str">
        <f>IFERROR(INDEX(Movimientos!$D$2:$D$1993,MATCH(A420&amp;"ENTRADA",Movimientos!$R$2:$R$1993,0)),"-")</f>
        <v>-</v>
      </c>
      <c r="D420" s="2" t="str">
        <f>IFERROR(INDEX(Movimientos!$E$2:$E$1993,MATCH(A420&amp;"ENTRADA",Movimientos!$R$2:$R$1993,0)),"-")</f>
        <v>-</v>
      </c>
      <c r="E420" s="2" t="str">
        <f>IFERROR(INDEX(Movimientos!$F$2:$F$1993,MATCH(A420&amp;"ENTRADA",Movimientos!$R$2:$R$1993,0)),"-")</f>
        <v>-</v>
      </c>
      <c r="F420" s="2" t="str">
        <f>IFERROR(INDEX(Movimientos!$G$2:$G$1993,MATCH(A420&amp;"ENTRADA",Movimientos!$R$2:$R$1993,0)),"-")</f>
        <v>-</v>
      </c>
      <c r="G420" s="2" t="str">
        <f>IFERROR(INDEX(Movimientos!$L$2:$L$1993,MATCH(A420&amp;"ENTRADA",Movimientos!$R$2:$R$1993,0)),"-")</f>
        <v>-</v>
      </c>
      <c r="H420" s="17" t="str">
        <f>IFERROR(IF(INDEX(Movimientos!$M$2:$M$1993,MATCH(A420&amp;"ENTRADA",Movimientos!$R$2:$R$1993,0))=0,"S/D",INDEX(Movimientos!$M$2:$M$1993,MATCH(A420&amp;"ENTRADA",Movimientos!$R$2:$R$1993,0))),"S/D")</f>
        <v>S/D</v>
      </c>
      <c r="I420" s="15" t="str">
        <f t="shared" ca="1" si="14"/>
        <v>S/D</v>
      </c>
      <c r="J420" s="5">
        <f>IF(A420="","",SUMIFS(Movimientos!$K:$K,Movimientos!$H:$H,A420))</f>
        <v>0</v>
      </c>
      <c r="K420" s="13" t="str">
        <f t="shared" ca="1" si="13"/>
        <v>SIN STOCK</v>
      </c>
    </row>
    <row r="421" spans="1:11">
      <c r="A421" s="16" t="s">
        <v>2726</v>
      </c>
      <c r="B421" s="2" t="str">
        <f>IFERROR(INDEX(Movimientos!$C$2:$C$1993,MATCH(A421&amp;"ENTRADA",Movimientos!$R$2:$R$1993,0)),"-")</f>
        <v>-</v>
      </c>
      <c r="C421" s="2" t="str">
        <f>IFERROR(INDEX(Movimientos!$D$2:$D$1993,MATCH(A421&amp;"ENTRADA",Movimientos!$R$2:$R$1993,0)),"-")</f>
        <v>-</v>
      </c>
      <c r="D421" s="2" t="str">
        <f>IFERROR(INDEX(Movimientos!$E$2:$E$1993,MATCH(A421&amp;"ENTRADA",Movimientos!$R$2:$R$1993,0)),"-")</f>
        <v>-</v>
      </c>
      <c r="E421" s="2" t="str">
        <f>IFERROR(INDEX(Movimientos!$F$2:$F$1993,MATCH(A421&amp;"ENTRADA",Movimientos!$R$2:$R$1993,0)),"-")</f>
        <v>-</v>
      </c>
      <c r="F421" s="2" t="str">
        <f>IFERROR(INDEX(Movimientos!$G$2:$G$1993,MATCH(A421&amp;"ENTRADA",Movimientos!$R$2:$R$1993,0)),"-")</f>
        <v>-</v>
      </c>
      <c r="G421" s="2" t="str">
        <f>IFERROR(INDEX(Movimientos!$L$2:$L$1993,MATCH(A421&amp;"ENTRADA",Movimientos!$R$2:$R$1993,0)),"-")</f>
        <v>-</v>
      </c>
      <c r="H421" s="17" t="str">
        <f>IFERROR(IF(INDEX(Movimientos!$M$2:$M$1993,MATCH(A421&amp;"ENTRADA",Movimientos!$R$2:$R$1993,0))=0,"S/D",INDEX(Movimientos!$M$2:$M$1993,MATCH(A421&amp;"ENTRADA",Movimientos!$R$2:$R$1993,0))),"S/D")</f>
        <v>S/D</v>
      </c>
      <c r="I421" s="15" t="str">
        <f t="shared" ca="1" si="14"/>
        <v>S/D</v>
      </c>
      <c r="J421" s="5">
        <f>IF(A421="","",SUMIFS(Movimientos!$K:$K,Movimientos!$H:$H,A421))</f>
        <v>0</v>
      </c>
      <c r="K421" s="13" t="str">
        <f t="shared" ca="1" si="13"/>
        <v>SIN STOCK</v>
      </c>
    </row>
    <row r="422" spans="1:11">
      <c r="A422" s="16" t="s">
        <v>2727</v>
      </c>
      <c r="B422" s="2" t="str">
        <f>IFERROR(INDEX(Movimientos!$C$2:$C$1993,MATCH(A422&amp;"ENTRADA",Movimientos!$R$2:$R$1993,0)),"-")</f>
        <v>-</v>
      </c>
      <c r="C422" s="2" t="str">
        <f>IFERROR(INDEX(Movimientos!$D$2:$D$1993,MATCH(A422&amp;"ENTRADA",Movimientos!$R$2:$R$1993,0)),"-")</f>
        <v>-</v>
      </c>
      <c r="D422" s="2" t="str">
        <f>IFERROR(INDEX(Movimientos!$E$2:$E$1993,MATCH(A422&amp;"ENTRADA",Movimientos!$R$2:$R$1993,0)),"-")</f>
        <v>-</v>
      </c>
      <c r="E422" s="2" t="str">
        <f>IFERROR(INDEX(Movimientos!$F$2:$F$1993,MATCH(A422&amp;"ENTRADA",Movimientos!$R$2:$R$1993,0)),"-")</f>
        <v>-</v>
      </c>
      <c r="F422" s="2" t="str">
        <f>IFERROR(INDEX(Movimientos!$G$2:$G$1993,MATCH(A422&amp;"ENTRADA",Movimientos!$R$2:$R$1993,0)),"-")</f>
        <v>-</v>
      </c>
      <c r="G422" s="2" t="str">
        <f>IFERROR(INDEX(Movimientos!$L$2:$L$1993,MATCH(A422&amp;"ENTRADA",Movimientos!$R$2:$R$1993,0)),"-")</f>
        <v>-</v>
      </c>
      <c r="H422" s="17" t="str">
        <f>IFERROR(IF(INDEX(Movimientos!$M$2:$M$1993,MATCH(A422&amp;"ENTRADA",Movimientos!$R$2:$R$1993,0))=0,"S/D",INDEX(Movimientos!$M$2:$M$1993,MATCH(A422&amp;"ENTRADA",Movimientos!$R$2:$R$1993,0))),"S/D")</f>
        <v>S/D</v>
      </c>
      <c r="I422" s="15" t="str">
        <f t="shared" ca="1" si="14"/>
        <v>S/D</v>
      </c>
      <c r="J422" s="5">
        <f>IF(A422="","",SUMIFS(Movimientos!$K:$K,Movimientos!$H:$H,A422))</f>
        <v>0</v>
      </c>
      <c r="K422" s="13" t="str">
        <f t="shared" ca="1" si="13"/>
        <v>SIN STOCK</v>
      </c>
    </row>
    <row r="423" spans="1:11">
      <c r="A423" s="16" t="s">
        <v>2728</v>
      </c>
      <c r="B423" s="2" t="str">
        <f>IFERROR(INDEX(Movimientos!$C$2:$C$1993,MATCH(A423&amp;"ENTRADA",Movimientos!$R$2:$R$1993,0)),"-")</f>
        <v>-</v>
      </c>
      <c r="C423" s="2" t="str">
        <f>IFERROR(INDEX(Movimientos!$D$2:$D$1993,MATCH(A423&amp;"ENTRADA",Movimientos!$R$2:$R$1993,0)),"-")</f>
        <v>-</v>
      </c>
      <c r="D423" s="2" t="str">
        <f>IFERROR(INDEX(Movimientos!$E$2:$E$1993,MATCH(A423&amp;"ENTRADA",Movimientos!$R$2:$R$1993,0)),"-")</f>
        <v>-</v>
      </c>
      <c r="E423" s="2" t="str">
        <f>IFERROR(INDEX(Movimientos!$F$2:$F$1993,MATCH(A423&amp;"ENTRADA",Movimientos!$R$2:$R$1993,0)),"-")</f>
        <v>-</v>
      </c>
      <c r="F423" s="2" t="str">
        <f>IFERROR(INDEX(Movimientos!$G$2:$G$1993,MATCH(A423&amp;"ENTRADA",Movimientos!$R$2:$R$1993,0)),"-")</f>
        <v>-</v>
      </c>
      <c r="G423" s="2" t="str">
        <f>IFERROR(INDEX(Movimientos!$L$2:$L$1993,MATCH(A423&amp;"ENTRADA",Movimientos!$R$2:$R$1993,0)),"-")</f>
        <v>-</v>
      </c>
      <c r="H423" s="17" t="str">
        <f>IFERROR(IF(INDEX(Movimientos!$M$2:$M$1993,MATCH(A423&amp;"ENTRADA",Movimientos!$R$2:$R$1993,0))=0,"S/D",INDEX(Movimientos!$M$2:$M$1993,MATCH(A423&amp;"ENTRADA",Movimientos!$R$2:$R$1993,0))),"S/D")</f>
        <v>S/D</v>
      </c>
      <c r="I423" s="15" t="str">
        <f t="shared" ca="1" si="14"/>
        <v>S/D</v>
      </c>
      <c r="J423" s="5">
        <f>IF(A423="","",SUMIFS(Movimientos!$K:$K,Movimientos!$H:$H,A423))</f>
        <v>0</v>
      </c>
      <c r="K423" s="13" t="str">
        <f t="shared" ca="1" si="13"/>
        <v>SIN STOCK</v>
      </c>
    </row>
    <row r="424" spans="1:11">
      <c r="A424" s="16" t="s">
        <v>2729</v>
      </c>
      <c r="B424" s="2" t="str">
        <f>IFERROR(INDEX(Movimientos!$C$2:$C$1993,MATCH(A424&amp;"ENTRADA",Movimientos!$R$2:$R$1993,0)),"-")</f>
        <v>-</v>
      </c>
      <c r="C424" s="2" t="str">
        <f>IFERROR(INDEX(Movimientos!$D$2:$D$1993,MATCH(A424&amp;"ENTRADA",Movimientos!$R$2:$R$1993,0)),"-")</f>
        <v>-</v>
      </c>
      <c r="D424" s="2" t="str">
        <f>IFERROR(INDEX(Movimientos!$E$2:$E$1993,MATCH(A424&amp;"ENTRADA",Movimientos!$R$2:$R$1993,0)),"-")</f>
        <v>-</v>
      </c>
      <c r="E424" s="2" t="str">
        <f>IFERROR(INDEX(Movimientos!$F$2:$F$1993,MATCH(A424&amp;"ENTRADA",Movimientos!$R$2:$R$1993,0)),"-")</f>
        <v>-</v>
      </c>
      <c r="F424" s="2" t="str">
        <f>IFERROR(INDEX(Movimientos!$G$2:$G$1993,MATCH(A424&amp;"ENTRADA",Movimientos!$R$2:$R$1993,0)),"-")</f>
        <v>-</v>
      </c>
      <c r="G424" s="2" t="str">
        <f>IFERROR(INDEX(Movimientos!$L$2:$L$1993,MATCH(A424&amp;"ENTRADA",Movimientos!$R$2:$R$1993,0)),"-")</f>
        <v>-</v>
      </c>
      <c r="H424" s="17" t="str">
        <f>IFERROR(IF(INDEX(Movimientos!$M$2:$M$1993,MATCH(A424&amp;"ENTRADA",Movimientos!$R$2:$R$1993,0))=0,"S/D",INDEX(Movimientos!$M$2:$M$1993,MATCH(A424&amp;"ENTRADA",Movimientos!$R$2:$R$1993,0))),"S/D")</f>
        <v>S/D</v>
      </c>
      <c r="I424" s="15" t="str">
        <f t="shared" ca="1" si="14"/>
        <v>S/D</v>
      </c>
      <c r="J424" s="5">
        <f>IF(A424="","",SUMIFS(Movimientos!$K:$K,Movimientos!$H:$H,A424))</f>
        <v>0</v>
      </c>
      <c r="K424" s="13" t="str">
        <f t="shared" ca="1" si="13"/>
        <v>SIN STOCK</v>
      </c>
    </row>
    <row r="425" spans="1:11">
      <c r="A425" s="16" t="s">
        <v>2730</v>
      </c>
      <c r="B425" s="2" t="str">
        <f>IFERROR(INDEX(Movimientos!$C$2:$C$1993,MATCH(A425&amp;"ENTRADA",Movimientos!$R$2:$R$1993,0)),"-")</f>
        <v>-</v>
      </c>
      <c r="C425" s="2" t="str">
        <f>IFERROR(INDEX(Movimientos!$D$2:$D$1993,MATCH(A425&amp;"ENTRADA",Movimientos!$R$2:$R$1993,0)),"-")</f>
        <v>-</v>
      </c>
      <c r="D425" s="2" t="str">
        <f>IFERROR(INDEX(Movimientos!$E$2:$E$1993,MATCH(A425&amp;"ENTRADA",Movimientos!$R$2:$R$1993,0)),"-")</f>
        <v>-</v>
      </c>
      <c r="E425" s="2" t="str">
        <f>IFERROR(INDEX(Movimientos!$F$2:$F$1993,MATCH(A425&amp;"ENTRADA",Movimientos!$R$2:$R$1993,0)),"-")</f>
        <v>-</v>
      </c>
      <c r="F425" s="2" t="str">
        <f>IFERROR(INDEX(Movimientos!$G$2:$G$1993,MATCH(A425&amp;"ENTRADA",Movimientos!$R$2:$R$1993,0)),"-")</f>
        <v>-</v>
      </c>
      <c r="G425" s="2" t="str">
        <f>IFERROR(INDEX(Movimientos!$L$2:$L$1993,MATCH(A425&amp;"ENTRADA",Movimientos!$R$2:$R$1993,0)),"-")</f>
        <v>-</v>
      </c>
      <c r="H425" s="17" t="str">
        <f>IFERROR(IF(INDEX(Movimientos!$M$2:$M$1993,MATCH(A425&amp;"ENTRADA",Movimientos!$R$2:$R$1993,0))=0,"S/D",INDEX(Movimientos!$M$2:$M$1993,MATCH(A425&amp;"ENTRADA",Movimientos!$R$2:$R$1993,0))),"S/D")</f>
        <v>S/D</v>
      </c>
      <c r="I425" s="15" t="str">
        <f t="shared" ca="1" si="14"/>
        <v>S/D</v>
      </c>
      <c r="J425" s="5">
        <f>IF(A425="","",SUMIFS(Movimientos!$K:$K,Movimientos!$H:$H,A425))</f>
        <v>0</v>
      </c>
      <c r="K425" s="13" t="str">
        <f t="shared" ca="1" si="13"/>
        <v>SIN STOCK</v>
      </c>
    </row>
    <row r="426" spans="1:11">
      <c r="A426" s="16" t="s">
        <v>2731</v>
      </c>
      <c r="B426" s="2" t="str">
        <f>IFERROR(INDEX(Movimientos!$C$2:$C$1993,MATCH(A426&amp;"ENTRADA",Movimientos!$R$2:$R$1993,0)),"-")</f>
        <v>-</v>
      </c>
      <c r="C426" s="2" t="str">
        <f>IFERROR(INDEX(Movimientos!$D$2:$D$1993,MATCH(A426&amp;"ENTRADA",Movimientos!$R$2:$R$1993,0)),"-")</f>
        <v>-</v>
      </c>
      <c r="D426" s="2" t="str">
        <f>IFERROR(INDEX(Movimientos!$E$2:$E$1993,MATCH(A426&amp;"ENTRADA",Movimientos!$R$2:$R$1993,0)),"-")</f>
        <v>-</v>
      </c>
      <c r="E426" s="2" t="str">
        <f>IFERROR(INDEX(Movimientos!$F$2:$F$1993,MATCH(A426&amp;"ENTRADA",Movimientos!$R$2:$R$1993,0)),"-")</f>
        <v>-</v>
      </c>
      <c r="F426" s="2" t="str">
        <f>IFERROR(INDEX(Movimientos!$G$2:$G$1993,MATCH(A426&amp;"ENTRADA",Movimientos!$R$2:$R$1993,0)),"-")</f>
        <v>-</v>
      </c>
      <c r="G426" s="2" t="str">
        <f>IFERROR(INDEX(Movimientos!$L$2:$L$1993,MATCH(A426&amp;"ENTRADA",Movimientos!$R$2:$R$1993,0)),"-")</f>
        <v>-</v>
      </c>
      <c r="H426" s="17" t="str">
        <f>IFERROR(IF(INDEX(Movimientos!$M$2:$M$1993,MATCH(A426&amp;"ENTRADA",Movimientos!$R$2:$R$1993,0))=0,"S/D",INDEX(Movimientos!$M$2:$M$1993,MATCH(A426&amp;"ENTRADA",Movimientos!$R$2:$R$1993,0))),"S/D")</f>
        <v>S/D</v>
      </c>
      <c r="I426" s="15" t="str">
        <f t="shared" ca="1" si="14"/>
        <v>S/D</v>
      </c>
      <c r="J426" s="5">
        <f>IF(A426="","",SUMIFS(Movimientos!$K:$K,Movimientos!$H:$H,A426))</f>
        <v>0</v>
      </c>
      <c r="K426" s="13" t="str">
        <f t="shared" ca="1" si="13"/>
        <v>SIN STOCK</v>
      </c>
    </row>
    <row r="427" spans="1:11">
      <c r="A427" s="16" t="s">
        <v>2732</v>
      </c>
      <c r="B427" s="2" t="str">
        <f>IFERROR(INDEX(Movimientos!$C$2:$C$1993,MATCH(A427&amp;"ENTRADA",Movimientos!$R$2:$R$1993,0)),"-")</f>
        <v>-</v>
      </c>
      <c r="C427" s="2" t="str">
        <f>IFERROR(INDEX(Movimientos!$D$2:$D$1993,MATCH(A427&amp;"ENTRADA",Movimientos!$R$2:$R$1993,0)),"-")</f>
        <v>-</v>
      </c>
      <c r="D427" s="2" t="str">
        <f>IFERROR(INDEX(Movimientos!$E$2:$E$1993,MATCH(A427&amp;"ENTRADA",Movimientos!$R$2:$R$1993,0)),"-")</f>
        <v>-</v>
      </c>
      <c r="E427" s="2" t="str">
        <f>IFERROR(INDEX(Movimientos!$F$2:$F$1993,MATCH(A427&amp;"ENTRADA",Movimientos!$R$2:$R$1993,0)),"-")</f>
        <v>-</v>
      </c>
      <c r="F427" s="2" t="str">
        <f>IFERROR(INDEX(Movimientos!$G$2:$G$1993,MATCH(A427&amp;"ENTRADA",Movimientos!$R$2:$R$1993,0)),"-")</f>
        <v>-</v>
      </c>
      <c r="G427" s="2" t="str">
        <f>IFERROR(INDEX(Movimientos!$L$2:$L$1993,MATCH(A427&amp;"ENTRADA",Movimientos!$R$2:$R$1993,0)),"-")</f>
        <v>-</v>
      </c>
      <c r="H427" s="17" t="str">
        <f>IFERROR(IF(INDEX(Movimientos!$M$2:$M$1993,MATCH(A427&amp;"ENTRADA",Movimientos!$R$2:$R$1993,0))=0,"S/D",INDEX(Movimientos!$M$2:$M$1993,MATCH(A427&amp;"ENTRADA",Movimientos!$R$2:$R$1993,0))),"S/D")</f>
        <v>S/D</v>
      </c>
      <c r="I427" s="15" t="str">
        <f t="shared" ca="1" si="14"/>
        <v>S/D</v>
      </c>
      <c r="J427" s="5">
        <f>IF(A427="","",SUMIFS(Movimientos!$K:$K,Movimientos!$H:$H,A427))</f>
        <v>0</v>
      </c>
      <c r="K427" s="13" t="str">
        <f t="shared" ca="1" si="13"/>
        <v>SIN STOCK</v>
      </c>
    </row>
    <row r="428" spans="1:11">
      <c r="A428" s="16" t="s">
        <v>2733</v>
      </c>
      <c r="B428" s="2" t="str">
        <f>IFERROR(INDEX(Movimientos!$C$2:$C$1993,MATCH(A428&amp;"ENTRADA",Movimientos!$R$2:$R$1993,0)),"-")</f>
        <v>-</v>
      </c>
      <c r="C428" s="2" t="str">
        <f>IFERROR(INDEX(Movimientos!$D$2:$D$1993,MATCH(A428&amp;"ENTRADA",Movimientos!$R$2:$R$1993,0)),"-")</f>
        <v>-</v>
      </c>
      <c r="D428" s="2" t="str">
        <f>IFERROR(INDEX(Movimientos!$E$2:$E$1993,MATCH(A428&amp;"ENTRADA",Movimientos!$R$2:$R$1993,0)),"-")</f>
        <v>-</v>
      </c>
      <c r="E428" s="2" t="str">
        <f>IFERROR(INDEX(Movimientos!$F$2:$F$1993,MATCH(A428&amp;"ENTRADA",Movimientos!$R$2:$R$1993,0)),"-")</f>
        <v>-</v>
      </c>
      <c r="F428" s="2" t="str">
        <f>IFERROR(INDEX(Movimientos!$G$2:$G$1993,MATCH(A428&amp;"ENTRADA",Movimientos!$R$2:$R$1993,0)),"-")</f>
        <v>-</v>
      </c>
      <c r="G428" s="2" t="str">
        <f>IFERROR(INDEX(Movimientos!$L$2:$L$1993,MATCH(A428&amp;"ENTRADA",Movimientos!$R$2:$R$1993,0)),"-")</f>
        <v>-</v>
      </c>
      <c r="H428" s="17" t="str">
        <f>IFERROR(IF(INDEX(Movimientos!$M$2:$M$1993,MATCH(A428&amp;"ENTRADA",Movimientos!$R$2:$R$1993,0))=0,"S/D",INDEX(Movimientos!$M$2:$M$1993,MATCH(A428&amp;"ENTRADA",Movimientos!$R$2:$R$1993,0))),"S/D")</f>
        <v>S/D</v>
      </c>
      <c r="I428" s="15" t="str">
        <f t="shared" ca="1" si="14"/>
        <v>S/D</v>
      </c>
      <c r="J428" s="5">
        <f>IF(A428="","",SUMIFS(Movimientos!$K:$K,Movimientos!$H:$H,A428))</f>
        <v>0</v>
      </c>
      <c r="K428" s="13" t="str">
        <f t="shared" ca="1" si="13"/>
        <v>SIN STOCK</v>
      </c>
    </row>
    <row r="429" spans="1:11">
      <c r="A429" s="16" t="s">
        <v>2734</v>
      </c>
      <c r="B429" s="2" t="str">
        <f>IFERROR(INDEX(Movimientos!$C$2:$C$1993,MATCH(A429&amp;"ENTRADA",Movimientos!$R$2:$R$1993,0)),"-")</f>
        <v>-</v>
      </c>
      <c r="C429" s="2" t="str">
        <f>IFERROR(INDEX(Movimientos!$D$2:$D$1993,MATCH(A429&amp;"ENTRADA",Movimientos!$R$2:$R$1993,0)),"-")</f>
        <v>-</v>
      </c>
      <c r="D429" s="2" t="str">
        <f>IFERROR(INDEX(Movimientos!$E$2:$E$1993,MATCH(A429&amp;"ENTRADA",Movimientos!$R$2:$R$1993,0)),"-")</f>
        <v>-</v>
      </c>
      <c r="E429" s="2" t="str">
        <f>IFERROR(INDEX(Movimientos!$F$2:$F$1993,MATCH(A429&amp;"ENTRADA",Movimientos!$R$2:$R$1993,0)),"-")</f>
        <v>-</v>
      </c>
      <c r="F429" s="2" t="str">
        <f>IFERROR(INDEX(Movimientos!$G$2:$G$1993,MATCH(A429&amp;"ENTRADA",Movimientos!$R$2:$R$1993,0)),"-")</f>
        <v>-</v>
      </c>
      <c r="G429" s="2" t="str">
        <f>IFERROR(INDEX(Movimientos!$L$2:$L$1993,MATCH(A429&amp;"ENTRADA",Movimientos!$R$2:$R$1993,0)),"-")</f>
        <v>-</v>
      </c>
      <c r="H429" s="17" t="str">
        <f>IFERROR(IF(INDEX(Movimientos!$M$2:$M$1993,MATCH(A429&amp;"ENTRADA",Movimientos!$R$2:$R$1993,0))=0,"S/D",INDEX(Movimientos!$M$2:$M$1993,MATCH(A429&amp;"ENTRADA",Movimientos!$R$2:$R$1993,0))),"S/D")</f>
        <v>S/D</v>
      </c>
      <c r="I429" s="15" t="str">
        <f t="shared" ca="1" si="14"/>
        <v>S/D</v>
      </c>
      <c r="J429" s="5">
        <f>IF(A429="","",SUMIFS(Movimientos!$K:$K,Movimientos!$H:$H,A429))</f>
        <v>0</v>
      </c>
      <c r="K429" s="13" t="str">
        <f t="shared" ca="1" si="13"/>
        <v>SIN STOCK</v>
      </c>
    </row>
    <row r="430" spans="1:11">
      <c r="A430" s="16" t="s">
        <v>2735</v>
      </c>
      <c r="B430" s="2" t="str">
        <f>IFERROR(INDEX(Movimientos!$C$2:$C$1993,MATCH(A430&amp;"ENTRADA",Movimientos!$R$2:$R$1993,0)),"-")</f>
        <v>-</v>
      </c>
      <c r="C430" s="2" t="str">
        <f>IFERROR(INDEX(Movimientos!$D$2:$D$1993,MATCH(A430&amp;"ENTRADA",Movimientos!$R$2:$R$1993,0)),"-")</f>
        <v>-</v>
      </c>
      <c r="D430" s="2" t="str">
        <f>IFERROR(INDEX(Movimientos!$E$2:$E$1993,MATCH(A430&amp;"ENTRADA",Movimientos!$R$2:$R$1993,0)),"-")</f>
        <v>-</v>
      </c>
      <c r="E430" s="2" t="str">
        <f>IFERROR(INDEX(Movimientos!$F$2:$F$1993,MATCH(A430&amp;"ENTRADA",Movimientos!$R$2:$R$1993,0)),"-")</f>
        <v>-</v>
      </c>
      <c r="F430" s="2" t="str">
        <f>IFERROR(INDEX(Movimientos!$G$2:$G$1993,MATCH(A430&amp;"ENTRADA",Movimientos!$R$2:$R$1993,0)),"-")</f>
        <v>-</v>
      </c>
      <c r="G430" s="2" t="str">
        <f>IFERROR(INDEX(Movimientos!$L$2:$L$1993,MATCH(A430&amp;"ENTRADA",Movimientos!$R$2:$R$1993,0)),"-")</f>
        <v>-</v>
      </c>
      <c r="H430" s="17" t="str">
        <f>IFERROR(IF(INDEX(Movimientos!$M$2:$M$1993,MATCH(A430&amp;"ENTRADA",Movimientos!$R$2:$R$1993,0))=0,"S/D",INDEX(Movimientos!$M$2:$M$1993,MATCH(A430&amp;"ENTRADA",Movimientos!$R$2:$R$1993,0))),"S/D")</f>
        <v>S/D</v>
      </c>
      <c r="I430" s="15" t="str">
        <f t="shared" ca="1" si="14"/>
        <v>S/D</v>
      </c>
      <c r="J430" s="5">
        <f>IF(A430="","",SUMIFS(Movimientos!$K:$K,Movimientos!$H:$H,A430))</f>
        <v>0</v>
      </c>
      <c r="K430" s="13" t="str">
        <f t="shared" ca="1" si="13"/>
        <v>SIN STOCK</v>
      </c>
    </row>
    <row r="431" spans="1:11">
      <c r="A431" s="16" t="s">
        <v>2736</v>
      </c>
      <c r="B431" s="2" t="str">
        <f>IFERROR(INDEX(Movimientos!$C$2:$C$1993,MATCH(A431&amp;"ENTRADA",Movimientos!$R$2:$R$1993,0)),"-")</f>
        <v>-</v>
      </c>
      <c r="C431" s="2" t="str">
        <f>IFERROR(INDEX(Movimientos!$D$2:$D$1993,MATCH(A431&amp;"ENTRADA",Movimientos!$R$2:$R$1993,0)),"-")</f>
        <v>-</v>
      </c>
      <c r="D431" s="2" t="str">
        <f>IFERROR(INDEX(Movimientos!$E$2:$E$1993,MATCH(A431&amp;"ENTRADA",Movimientos!$R$2:$R$1993,0)),"-")</f>
        <v>-</v>
      </c>
      <c r="E431" s="2" t="str">
        <f>IFERROR(INDEX(Movimientos!$F$2:$F$1993,MATCH(A431&amp;"ENTRADA",Movimientos!$R$2:$R$1993,0)),"-")</f>
        <v>-</v>
      </c>
      <c r="F431" s="2" t="str">
        <f>IFERROR(INDEX(Movimientos!$G$2:$G$1993,MATCH(A431&amp;"ENTRADA",Movimientos!$R$2:$R$1993,0)),"-")</f>
        <v>-</v>
      </c>
      <c r="G431" s="2" t="str">
        <f>IFERROR(INDEX(Movimientos!$L$2:$L$1993,MATCH(A431&amp;"ENTRADA",Movimientos!$R$2:$R$1993,0)),"-")</f>
        <v>-</v>
      </c>
      <c r="H431" s="17" t="str">
        <f>IFERROR(IF(INDEX(Movimientos!$M$2:$M$1993,MATCH(A431&amp;"ENTRADA",Movimientos!$R$2:$R$1993,0))=0,"S/D",INDEX(Movimientos!$M$2:$M$1993,MATCH(A431&amp;"ENTRADA",Movimientos!$R$2:$R$1993,0))),"S/D")</f>
        <v>S/D</v>
      </c>
      <c r="I431" s="15" t="str">
        <f t="shared" ca="1" si="14"/>
        <v>S/D</v>
      </c>
      <c r="J431" s="5">
        <f>IF(A431="","",SUMIFS(Movimientos!$K:$K,Movimientos!$H:$H,A431))</f>
        <v>0</v>
      </c>
      <c r="K431" s="13" t="str">
        <f t="shared" ca="1" si="13"/>
        <v>SIN STOCK</v>
      </c>
    </row>
    <row r="432" spans="1:11">
      <c r="A432" s="16" t="s">
        <v>2737</v>
      </c>
      <c r="B432" s="2" t="str">
        <f>IFERROR(INDEX(Movimientos!$C$2:$C$1993,MATCH(A432&amp;"ENTRADA",Movimientos!$R$2:$R$1993,0)),"-")</f>
        <v>-</v>
      </c>
      <c r="C432" s="2" t="str">
        <f>IFERROR(INDEX(Movimientos!$D$2:$D$1993,MATCH(A432&amp;"ENTRADA",Movimientos!$R$2:$R$1993,0)),"-")</f>
        <v>-</v>
      </c>
      <c r="D432" s="2" t="str">
        <f>IFERROR(INDEX(Movimientos!$E$2:$E$1993,MATCH(A432&amp;"ENTRADA",Movimientos!$R$2:$R$1993,0)),"-")</f>
        <v>-</v>
      </c>
      <c r="E432" s="2" t="str">
        <f>IFERROR(INDEX(Movimientos!$F$2:$F$1993,MATCH(A432&amp;"ENTRADA",Movimientos!$R$2:$R$1993,0)),"-")</f>
        <v>-</v>
      </c>
      <c r="F432" s="2" t="str">
        <f>IFERROR(INDEX(Movimientos!$G$2:$G$1993,MATCH(A432&amp;"ENTRADA",Movimientos!$R$2:$R$1993,0)),"-")</f>
        <v>-</v>
      </c>
      <c r="G432" s="2" t="str">
        <f>IFERROR(INDEX(Movimientos!$L$2:$L$1993,MATCH(A432&amp;"ENTRADA",Movimientos!$R$2:$R$1993,0)),"-")</f>
        <v>-</v>
      </c>
      <c r="H432" s="17" t="str">
        <f>IFERROR(IF(INDEX(Movimientos!$M$2:$M$1993,MATCH(A432&amp;"ENTRADA",Movimientos!$R$2:$R$1993,0))=0,"S/D",INDEX(Movimientos!$M$2:$M$1993,MATCH(A432&amp;"ENTRADA",Movimientos!$R$2:$R$1993,0))),"S/D")</f>
        <v>S/D</v>
      </c>
      <c r="I432" s="15" t="str">
        <f t="shared" ca="1" si="14"/>
        <v>S/D</v>
      </c>
      <c r="J432" s="5">
        <f>IF(A432="","",SUMIFS(Movimientos!$K:$K,Movimientos!$H:$H,A432))</f>
        <v>0</v>
      </c>
      <c r="K432" s="13" t="str">
        <f t="shared" ca="1" si="13"/>
        <v>SIN STOCK</v>
      </c>
    </row>
    <row r="433" spans="1:11">
      <c r="A433" s="16" t="s">
        <v>2738</v>
      </c>
      <c r="B433" s="2" t="str">
        <f>IFERROR(INDEX(Movimientos!$C$2:$C$1993,MATCH(A433&amp;"ENTRADA",Movimientos!$R$2:$R$1993,0)),"-")</f>
        <v>-</v>
      </c>
      <c r="C433" s="2" t="str">
        <f>IFERROR(INDEX(Movimientos!$D$2:$D$1993,MATCH(A433&amp;"ENTRADA",Movimientos!$R$2:$R$1993,0)),"-")</f>
        <v>-</v>
      </c>
      <c r="D433" s="2" t="str">
        <f>IFERROR(INDEX(Movimientos!$E$2:$E$1993,MATCH(A433&amp;"ENTRADA",Movimientos!$R$2:$R$1993,0)),"-")</f>
        <v>-</v>
      </c>
      <c r="E433" s="2" t="str">
        <f>IFERROR(INDEX(Movimientos!$F$2:$F$1993,MATCH(A433&amp;"ENTRADA",Movimientos!$R$2:$R$1993,0)),"-")</f>
        <v>-</v>
      </c>
      <c r="F433" s="2" t="str">
        <f>IFERROR(INDEX(Movimientos!$G$2:$G$1993,MATCH(A433&amp;"ENTRADA",Movimientos!$R$2:$R$1993,0)),"-")</f>
        <v>-</v>
      </c>
      <c r="G433" s="2" t="str">
        <f>IFERROR(INDEX(Movimientos!$L$2:$L$1993,MATCH(A433&amp;"ENTRADA",Movimientos!$R$2:$R$1993,0)),"-")</f>
        <v>-</v>
      </c>
      <c r="H433" s="17" t="str">
        <f>IFERROR(IF(INDEX(Movimientos!$M$2:$M$1993,MATCH(A433&amp;"ENTRADA",Movimientos!$R$2:$R$1993,0))=0,"S/D",INDEX(Movimientos!$M$2:$M$1993,MATCH(A433&amp;"ENTRADA",Movimientos!$R$2:$R$1993,0))),"S/D")</f>
        <v>S/D</v>
      </c>
      <c r="I433" s="15" t="str">
        <f t="shared" ca="1" si="14"/>
        <v>S/D</v>
      </c>
      <c r="J433" s="5">
        <f>IF(A433="","",SUMIFS(Movimientos!$K:$K,Movimientos!$H:$H,A433))</f>
        <v>0</v>
      </c>
      <c r="K433" s="13" t="str">
        <f t="shared" ca="1" si="13"/>
        <v>SIN STOCK</v>
      </c>
    </row>
    <row r="434" spans="1:11">
      <c r="A434" s="16" t="s">
        <v>2739</v>
      </c>
      <c r="B434" s="2" t="str">
        <f>IFERROR(INDEX(Movimientos!$C$2:$C$1993,MATCH(A434&amp;"ENTRADA",Movimientos!$R$2:$R$1993,0)),"-")</f>
        <v>-</v>
      </c>
      <c r="C434" s="2" t="str">
        <f>IFERROR(INDEX(Movimientos!$D$2:$D$1993,MATCH(A434&amp;"ENTRADA",Movimientos!$R$2:$R$1993,0)),"-")</f>
        <v>-</v>
      </c>
      <c r="D434" s="2" t="str">
        <f>IFERROR(INDEX(Movimientos!$E$2:$E$1993,MATCH(A434&amp;"ENTRADA",Movimientos!$R$2:$R$1993,0)),"-")</f>
        <v>-</v>
      </c>
      <c r="E434" s="2" t="str">
        <f>IFERROR(INDEX(Movimientos!$F$2:$F$1993,MATCH(A434&amp;"ENTRADA",Movimientos!$R$2:$R$1993,0)),"-")</f>
        <v>-</v>
      </c>
      <c r="F434" s="2" t="str">
        <f>IFERROR(INDEX(Movimientos!$G$2:$G$1993,MATCH(A434&amp;"ENTRADA",Movimientos!$R$2:$R$1993,0)),"-")</f>
        <v>-</v>
      </c>
      <c r="G434" s="2" t="str">
        <f>IFERROR(INDEX(Movimientos!$L$2:$L$1993,MATCH(A434&amp;"ENTRADA",Movimientos!$R$2:$R$1993,0)),"-")</f>
        <v>-</v>
      </c>
      <c r="H434" s="17" t="str">
        <f>IFERROR(IF(INDEX(Movimientos!$M$2:$M$1993,MATCH(A434&amp;"ENTRADA",Movimientos!$R$2:$R$1993,0))=0,"S/D",INDEX(Movimientos!$M$2:$M$1993,MATCH(A434&amp;"ENTRADA",Movimientos!$R$2:$R$1993,0))),"S/D")</f>
        <v>S/D</v>
      </c>
      <c r="I434" s="15" t="str">
        <f t="shared" ca="1" si="14"/>
        <v>S/D</v>
      </c>
      <c r="J434" s="5">
        <f>IF(A434="","",SUMIFS(Movimientos!$K:$K,Movimientos!$H:$H,A434))</f>
        <v>0</v>
      </c>
      <c r="K434" s="13" t="str">
        <f t="shared" ca="1" si="13"/>
        <v>SIN STOCK</v>
      </c>
    </row>
    <row r="435" spans="1:11">
      <c r="A435" s="16" t="s">
        <v>2740</v>
      </c>
      <c r="B435" s="2" t="str">
        <f>IFERROR(INDEX(Movimientos!$C$2:$C$1993,MATCH(A435&amp;"ENTRADA",Movimientos!$R$2:$R$1993,0)),"-")</f>
        <v>-</v>
      </c>
      <c r="C435" s="2" t="str">
        <f>IFERROR(INDEX(Movimientos!$D$2:$D$1993,MATCH(A435&amp;"ENTRADA",Movimientos!$R$2:$R$1993,0)),"-")</f>
        <v>-</v>
      </c>
      <c r="D435" s="2" t="str">
        <f>IFERROR(INDEX(Movimientos!$E$2:$E$1993,MATCH(A435&amp;"ENTRADA",Movimientos!$R$2:$R$1993,0)),"-")</f>
        <v>-</v>
      </c>
      <c r="E435" s="2" t="str">
        <f>IFERROR(INDEX(Movimientos!$F$2:$F$1993,MATCH(A435&amp;"ENTRADA",Movimientos!$R$2:$R$1993,0)),"-")</f>
        <v>-</v>
      </c>
      <c r="F435" s="2" t="str">
        <f>IFERROR(INDEX(Movimientos!$G$2:$G$1993,MATCH(A435&amp;"ENTRADA",Movimientos!$R$2:$R$1993,0)),"-")</f>
        <v>-</v>
      </c>
      <c r="G435" s="2" t="str">
        <f>IFERROR(INDEX(Movimientos!$L$2:$L$1993,MATCH(A435&amp;"ENTRADA",Movimientos!$R$2:$R$1993,0)),"-")</f>
        <v>-</v>
      </c>
      <c r="H435" s="17" t="str">
        <f>IFERROR(IF(INDEX(Movimientos!$M$2:$M$1993,MATCH(A435&amp;"ENTRADA",Movimientos!$R$2:$R$1993,0))=0,"S/D",INDEX(Movimientos!$M$2:$M$1993,MATCH(A435&amp;"ENTRADA",Movimientos!$R$2:$R$1993,0))),"S/D")</f>
        <v>S/D</v>
      </c>
      <c r="I435" s="15" t="str">
        <f t="shared" ca="1" si="14"/>
        <v>S/D</v>
      </c>
      <c r="J435" s="5">
        <f>IF(A435="","",SUMIFS(Movimientos!$K:$K,Movimientos!$H:$H,A435))</f>
        <v>0</v>
      </c>
      <c r="K435" s="13" t="str">
        <f t="shared" ca="1" si="13"/>
        <v>SIN STOCK</v>
      </c>
    </row>
    <row r="436" spans="1:11">
      <c r="A436" s="16" t="s">
        <v>2741</v>
      </c>
      <c r="B436" s="2" t="str">
        <f>IFERROR(INDEX(Movimientos!$C$2:$C$1993,MATCH(A436&amp;"ENTRADA",Movimientos!$R$2:$R$1993,0)),"-")</f>
        <v>-</v>
      </c>
      <c r="C436" s="2" t="str">
        <f>IFERROR(INDEX(Movimientos!$D$2:$D$1993,MATCH(A436&amp;"ENTRADA",Movimientos!$R$2:$R$1993,0)),"-")</f>
        <v>-</v>
      </c>
      <c r="D436" s="2" t="str">
        <f>IFERROR(INDEX(Movimientos!$E$2:$E$1993,MATCH(A436&amp;"ENTRADA",Movimientos!$R$2:$R$1993,0)),"-")</f>
        <v>-</v>
      </c>
      <c r="E436" s="2" t="str">
        <f>IFERROR(INDEX(Movimientos!$F$2:$F$1993,MATCH(A436&amp;"ENTRADA",Movimientos!$R$2:$R$1993,0)),"-")</f>
        <v>-</v>
      </c>
      <c r="F436" s="2" t="str">
        <f>IFERROR(INDEX(Movimientos!$G$2:$G$1993,MATCH(A436&amp;"ENTRADA",Movimientos!$R$2:$R$1993,0)),"-")</f>
        <v>-</v>
      </c>
      <c r="G436" s="2" t="str">
        <f>IFERROR(INDEX(Movimientos!$L$2:$L$1993,MATCH(A436&amp;"ENTRADA",Movimientos!$R$2:$R$1993,0)),"-")</f>
        <v>-</v>
      </c>
      <c r="H436" s="17" t="str">
        <f>IFERROR(IF(INDEX(Movimientos!$M$2:$M$1993,MATCH(A436&amp;"ENTRADA",Movimientos!$R$2:$R$1993,0))=0,"S/D",INDEX(Movimientos!$M$2:$M$1993,MATCH(A436&amp;"ENTRADA",Movimientos!$R$2:$R$1993,0))),"S/D")</f>
        <v>S/D</v>
      </c>
      <c r="I436" s="15" t="str">
        <f t="shared" ca="1" si="14"/>
        <v>S/D</v>
      </c>
      <c r="J436" s="5">
        <f>IF(A436="","",SUMIFS(Movimientos!$K:$K,Movimientos!$H:$H,A436))</f>
        <v>0</v>
      </c>
      <c r="K436" s="13" t="str">
        <f t="shared" ca="1" si="13"/>
        <v>SIN STOCK</v>
      </c>
    </row>
    <row r="437" spans="1:11">
      <c r="A437" s="16" t="s">
        <v>2742</v>
      </c>
      <c r="B437" s="2" t="str">
        <f>IFERROR(INDEX(Movimientos!$C$2:$C$1993,MATCH(A437&amp;"ENTRADA",Movimientos!$R$2:$R$1993,0)),"-")</f>
        <v>-</v>
      </c>
      <c r="C437" s="2" t="str">
        <f>IFERROR(INDEX(Movimientos!$D$2:$D$1993,MATCH(A437&amp;"ENTRADA",Movimientos!$R$2:$R$1993,0)),"-")</f>
        <v>-</v>
      </c>
      <c r="D437" s="2" t="str">
        <f>IFERROR(INDEX(Movimientos!$E$2:$E$1993,MATCH(A437&amp;"ENTRADA",Movimientos!$R$2:$R$1993,0)),"-")</f>
        <v>-</v>
      </c>
      <c r="E437" s="2" t="str">
        <f>IFERROR(INDEX(Movimientos!$F$2:$F$1993,MATCH(A437&amp;"ENTRADA",Movimientos!$R$2:$R$1993,0)),"-")</f>
        <v>-</v>
      </c>
      <c r="F437" s="2" t="str">
        <f>IFERROR(INDEX(Movimientos!$G$2:$G$1993,MATCH(A437&amp;"ENTRADA",Movimientos!$R$2:$R$1993,0)),"-")</f>
        <v>-</v>
      </c>
      <c r="G437" s="2" t="str">
        <f>IFERROR(INDEX(Movimientos!$L$2:$L$1993,MATCH(A437&amp;"ENTRADA",Movimientos!$R$2:$R$1993,0)),"-")</f>
        <v>-</v>
      </c>
      <c r="H437" s="17" t="str">
        <f>IFERROR(IF(INDEX(Movimientos!$M$2:$M$1993,MATCH(A437&amp;"ENTRADA",Movimientos!$R$2:$R$1993,0))=0,"S/D",INDEX(Movimientos!$M$2:$M$1993,MATCH(A437&amp;"ENTRADA",Movimientos!$R$2:$R$1993,0))),"S/D")</f>
        <v>S/D</v>
      </c>
      <c r="I437" s="15" t="str">
        <f t="shared" ca="1" si="14"/>
        <v>S/D</v>
      </c>
      <c r="J437" s="5">
        <f>IF(A437="","",SUMIFS(Movimientos!$K:$K,Movimientos!$H:$H,A437))</f>
        <v>0</v>
      </c>
      <c r="K437" s="13" t="str">
        <f t="shared" ca="1" si="13"/>
        <v>SIN STOCK</v>
      </c>
    </row>
    <row r="438" spans="1:11">
      <c r="A438" s="16" t="s">
        <v>2743</v>
      </c>
      <c r="B438" s="2" t="str">
        <f>IFERROR(INDEX(Movimientos!$C$2:$C$1993,MATCH(A438&amp;"ENTRADA",Movimientos!$R$2:$R$1993,0)),"-")</f>
        <v>-</v>
      </c>
      <c r="C438" s="2" t="str">
        <f>IFERROR(INDEX(Movimientos!$D$2:$D$1993,MATCH(A438&amp;"ENTRADA",Movimientos!$R$2:$R$1993,0)),"-")</f>
        <v>-</v>
      </c>
      <c r="D438" s="2" t="str">
        <f>IFERROR(INDEX(Movimientos!$E$2:$E$1993,MATCH(A438&amp;"ENTRADA",Movimientos!$R$2:$R$1993,0)),"-")</f>
        <v>-</v>
      </c>
      <c r="E438" s="2" t="str">
        <f>IFERROR(INDEX(Movimientos!$F$2:$F$1993,MATCH(A438&amp;"ENTRADA",Movimientos!$R$2:$R$1993,0)),"-")</f>
        <v>-</v>
      </c>
      <c r="F438" s="2" t="str">
        <f>IFERROR(INDEX(Movimientos!$G$2:$G$1993,MATCH(A438&amp;"ENTRADA",Movimientos!$R$2:$R$1993,0)),"-")</f>
        <v>-</v>
      </c>
      <c r="G438" s="2" t="str">
        <f>IFERROR(INDEX(Movimientos!$L$2:$L$1993,MATCH(A438&amp;"ENTRADA",Movimientos!$R$2:$R$1993,0)),"-")</f>
        <v>-</v>
      </c>
      <c r="H438" s="17" t="str">
        <f>IFERROR(IF(INDEX(Movimientos!$M$2:$M$1993,MATCH(A438&amp;"ENTRADA",Movimientos!$R$2:$R$1993,0))=0,"S/D",INDEX(Movimientos!$M$2:$M$1993,MATCH(A438&amp;"ENTRADA",Movimientos!$R$2:$R$1993,0))),"S/D")</f>
        <v>S/D</v>
      </c>
      <c r="I438" s="15" t="str">
        <f t="shared" ca="1" si="14"/>
        <v>S/D</v>
      </c>
      <c r="J438" s="5">
        <f>IF(A438="","",SUMIFS(Movimientos!$K:$K,Movimientos!$H:$H,A438))</f>
        <v>0</v>
      </c>
      <c r="K438" s="13" t="str">
        <f t="shared" ca="1" si="13"/>
        <v>SIN STOCK</v>
      </c>
    </row>
    <row r="439" spans="1:11">
      <c r="A439" s="16" t="s">
        <v>2744</v>
      </c>
      <c r="B439" s="2" t="str">
        <f>IFERROR(INDEX(Movimientos!$C$2:$C$1993,MATCH(A439&amp;"ENTRADA",Movimientos!$R$2:$R$1993,0)),"-")</f>
        <v>-</v>
      </c>
      <c r="C439" s="2" t="str">
        <f>IFERROR(INDEX(Movimientos!$D$2:$D$1993,MATCH(A439&amp;"ENTRADA",Movimientos!$R$2:$R$1993,0)),"-")</f>
        <v>-</v>
      </c>
      <c r="D439" s="2" t="str">
        <f>IFERROR(INDEX(Movimientos!$E$2:$E$1993,MATCH(A439&amp;"ENTRADA",Movimientos!$R$2:$R$1993,0)),"-")</f>
        <v>-</v>
      </c>
      <c r="E439" s="2" t="str">
        <f>IFERROR(INDEX(Movimientos!$F$2:$F$1993,MATCH(A439&amp;"ENTRADA",Movimientos!$R$2:$R$1993,0)),"-")</f>
        <v>-</v>
      </c>
      <c r="F439" s="2" t="str">
        <f>IFERROR(INDEX(Movimientos!$G$2:$G$1993,MATCH(A439&amp;"ENTRADA",Movimientos!$R$2:$R$1993,0)),"-")</f>
        <v>-</v>
      </c>
      <c r="G439" s="2" t="str">
        <f>IFERROR(INDEX(Movimientos!$L$2:$L$1993,MATCH(A439&amp;"ENTRADA",Movimientos!$R$2:$R$1993,0)),"-")</f>
        <v>-</v>
      </c>
      <c r="H439" s="17" t="str">
        <f>IFERROR(IF(INDEX(Movimientos!$M$2:$M$1993,MATCH(A439&amp;"ENTRADA",Movimientos!$R$2:$R$1993,0))=0,"S/D",INDEX(Movimientos!$M$2:$M$1993,MATCH(A439&amp;"ENTRADA",Movimientos!$R$2:$R$1993,0))),"S/D")</f>
        <v>S/D</v>
      </c>
      <c r="I439" s="15" t="str">
        <f t="shared" ca="1" si="14"/>
        <v>S/D</v>
      </c>
      <c r="J439" s="5">
        <f>IF(A439="","",SUMIFS(Movimientos!$K:$K,Movimientos!$H:$H,A439))</f>
        <v>0</v>
      </c>
      <c r="K439" s="13" t="str">
        <f t="shared" ca="1" si="13"/>
        <v>SIN STOCK</v>
      </c>
    </row>
    <row r="440" spans="1:11">
      <c r="A440" s="16" t="s">
        <v>2745</v>
      </c>
      <c r="B440" s="2" t="str">
        <f>IFERROR(INDEX(Movimientos!$C$2:$C$1993,MATCH(A440&amp;"ENTRADA",Movimientos!$R$2:$R$1993,0)),"-")</f>
        <v>-</v>
      </c>
      <c r="C440" s="2" t="str">
        <f>IFERROR(INDEX(Movimientos!$D$2:$D$1993,MATCH(A440&amp;"ENTRADA",Movimientos!$R$2:$R$1993,0)),"-")</f>
        <v>-</v>
      </c>
      <c r="D440" s="2" t="str">
        <f>IFERROR(INDEX(Movimientos!$E$2:$E$1993,MATCH(A440&amp;"ENTRADA",Movimientos!$R$2:$R$1993,0)),"-")</f>
        <v>-</v>
      </c>
      <c r="E440" s="2" t="str">
        <f>IFERROR(INDEX(Movimientos!$F$2:$F$1993,MATCH(A440&amp;"ENTRADA",Movimientos!$R$2:$R$1993,0)),"-")</f>
        <v>-</v>
      </c>
      <c r="F440" s="2" t="str">
        <f>IFERROR(INDEX(Movimientos!$G$2:$G$1993,MATCH(A440&amp;"ENTRADA",Movimientos!$R$2:$R$1993,0)),"-")</f>
        <v>-</v>
      </c>
      <c r="G440" s="2" t="str">
        <f>IFERROR(INDEX(Movimientos!$L$2:$L$1993,MATCH(A440&amp;"ENTRADA",Movimientos!$R$2:$R$1993,0)),"-")</f>
        <v>-</v>
      </c>
      <c r="H440" s="17" t="str">
        <f>IFERROR(IF(INDEX(Movimientos!$M$2:$M$1993,MATCH(A440&amp;"ENTRADA",Movimientos!$R$2:$R$1993,0))=0,"S/D",INDEX(Movimientos!$M$2:$M$1993,MATCH(A440&amp;"ENTRADA",Movimientos!$R$2:$R$1993,0))),"S/D")</f>
        <v>S/D</v>
      </c>
      <c r="I440" s="15" t="str">
        <f t="shared" ca="1" si="14"/>
        <v>S/D</v>
      </c>
      <c r="J440" s="5">
        <f>IF(A440="","",SUMIFS(Movimientos!$K:$K,Movimientos!$H:$H,A440))</f>
        <v>0</v>
      </c>
      <c r="K440" s="13" t="str">
        <f t="shared" ca="1" si="13"/>
        <v>SIN STOCK</v>
      </c>
    </row>
    <row r="441" spans="1:11">
      <c r="A441" s="16" t="s">
        <v>2746</v>
      </c>
      <c r="B441" s="2" t="str">
        <f>IFERROR(INDEX(Movimientos!$C$2:$C$1993,MATCH(A441&amp;"ENTRADA",Movimientos!$R$2:$R$1993,0)),"-")</f>
        <v>-</v>
      </c>
      <c r="C441" s="2" t="str">
        <f>IFERROR(INDEX(Movimientos!$D$2:$D$1993,MATCH(A441&amp;"ENTRADA",Movimientos!$R$2:$R$1993,0)),"-")</f>
        <v>-</v>
      </c>
      <c r="D441" s="2" t="str">
        <f>IFERROR(INDEX(Movimientos!$E$2:$E$1993,MATCH(A441&amp;"ENTRADA",Movimientos!$R$2:$R$1993,0)),"-")</f>
        <v>-</v>
      </c>
      <c r="E441" s="2" t="str">
        <f>IFERROR(INDEX(Movimientos!$F$2:$F$1993,MATCH(A441&amp;"ENTRADA",Movimientos!$R$2:$R$1993,0)),"-")</f>
        <v>-</v>
      </c>
      <c r="F441" s="2" t="str">
        <f>IFERROR(INDEX(Movimientos!$G$2:$G$1993,MATCH(A441&amp;"ENTRADA",Movimientos!$R$2:$R$1993,0)),"-")</f>
        <v>-</v>
      </c>
      <c r="G441" s="2" t="str">
        <f>IFERROR(INDEX(Movimientos!$L$2:$L$1993,MATCH(A441&amp;"ENTRADA",Movimientos!$R$2:$R$1993,0)),"-")</f>
        <v>-</v>
      </c>
      <c r="H441" s="17" t="str">
        <f>IFERROR(IF(INDEX(Movimientos!$M$2:$M$1993,MATCH(A441&amp;"ENTRADA",Movimientos!$R$2:$R$1993,0))=0,"S/D",INDEX(Movimientos!$M$2:$M$1993,MATCH(A441&amp;"ENTRADA",Movimientos!$R$2:$R$1993,0))),"S/D")</f>
        <v>S/D</v>
      </c>
      <c r="I441" s="15" t="str">
        <f t="shared" ca="1" si="14"/>
        <v>S/D</v>
      </c>
      <c r="J441" s="5">
        <f>IF(A441="","",SUMIFS(Movimientos!$K:$K,Movimientos!$H:$H,A441))</f>
        <v>0</v>
      </c>
      <c r="K441" s="13" t="str">
        <f t="shared" ca="1" si="13"/>
        <v>SIN STOCK</v>
      </c>
    </row>
    <row r="442" spans="1:11">
      <c r="A442" s="16" t="s">
        <v>2747</v>
      </c>
      <c r="B442" s="2" t="str">
        <f>IFERROR(INDEX(Movimientos!$C$2:$C$1993,MATCH(A442&amp;"ENTRADA",Movimientos!$R$2:$R$1993,0)),"-")</f>
        <v>-</v>
      </c>
      <c r="C442" s="2" t="str">
        <f>IFERROR(INDEX(Movimientos!$D$2:$D$1993,MATCH(A442&amp;"ENTRADA",Movimientos!$R$2:$R$1993,0)),"-")</f>
        <v>-</v>
      </c>
      <c r="D442" s="2" t="str">
        <f>IFERROR(INDEX(Movimientos!$E$2:$E$1993,MATCH(A442&amp;"ENTRADA",Movimientos!$R$2:$R$1993,0)),"-")</f>
        <v>-</v>
      </c>
      <c r="E442" s="2" t="str">
        <f>IFERROR(INDEX(Movimientos!$F$2:$F$1993,MATCH(A442&amp;"ENTRADA",Movimientos!$R$2:$R$1993,0)),"-")</f>
        <v>-</v>
      </c>
      <c r="F442" s="2" t="str">
        <f>IFERROR(INDEX(Movimientos!$G$2:$G$1993,MATCH(A442&amp;"ENTRADA",Movimientos!$R$2:$R$1993,0)),"-")</f>
        <v>-</v>
      </c>
      <c r="G442" s="2" t="str">
        <f>IFERROR(INDEX(Movimientos!$L$2:$L$1993,MATCH(A442&amp;"ENTRADA",Movimientos!$R$2:$R$1993,0)),"-")</f>
        <v>-</v>
      </c>
      <c r="H442" s="17" t="str">
        <f>IFERROR(IF(INDEX(Movimientos!$M$2:$M$1993,MATCH(A442&amp;"ENTRADA",Movimientos!$R$2:$R$1993,0))=0,"S/D",INDEX(Movimientos!$M$2:$M$1993,MATCH(A442&amp;"ENTRADA",Movimientos!$R$2:$R$1993,0))),"S/D")</f>
        <v>S/D</v>
      </c>
      <c r="I442" s="15" t="str">
        <f t="shared" ca="1" si="14"/>
        <v>S/D</v>
      </c>
      <c r="J442" s="5">
        <f>IF(A442="","",SUMIFS(Movimientos!$K:$K,Movimientos!$H:$H,A442))</f>
        <v>0</v>
      </c>
      <c r="K442" s="13" t="str">
        <f t="shared" ca="1" si="13"/>
        <v>SIN STOCK</v>
      </c>
    </row>
    <row r="443" spans="1:11">
      <c r="A443" s="16" t="s">
        <v>2748</v>
      </c>
      <c r="B443" s="2" t="str">
        <f>IFERROR(INDEX(Movimientos!$C$2:$C$1993,MATCH(A443&amp;"ENTRADA",Movimientos!$R$2:$R$1993,0)),"-")</f>
        <v>-</v>
      </c>
      <c r="C443" s="2" t="str">
        <f>IFERROR(INDEX(Movimientos!$D$2:$D$1993,MATCH(A443&amp;"ENTRADA",Movimientos!$R$2:$R$1993,0)),"-")</f>
        <v>-</v>
      </c>
      <c r="D443" s="2" t="str">
        <f>IFERROR(INDEX(Movimientos!$E$2:$E$1993,MATCH(A443&amp;"ENTRADA",Movimientos!$R$2:$R$1993,0)),"-")</f>
        <v>-</v>
      </c>
      <c r="E443" s="2" t="str">
        <f>IFERROR(INDEX(Movimientos!$F$2:$F$1993,MATCH(A443&amp;"ENTRADA",Movimientos!$R$2:$R$1993,0)),"-")</f>
        <v>-</v>
      </c>
      <c r="F443" s="2" t="str">
        <f>IFERROR(INDEX(Movimientos!$G$2:$G$1993,MATCH(A443&amp;"ENTRADA",Movimientos!$R$2:$R$1993,0)),"-")</f>
        <v>-</v>
      </c>
      <c r="G443" s="2" t="str">
        <f>IFERROR(INDEX(Movimientos!$L$2:$L$1993,MATCH(A443&amp;"ENTRADA",Movimientos!$R$2:$R$1993,0)),"-")</f>
        <v>-</v>
      </c>
      <c r="H443" s="17" t="str">
        <f>IFERROR(IF(INDEX(Movimientos!$M$2:$M$1993,MATCH(A443&amp;"ENTRADA",Movimientos!$R$2:$R$1993,0))=0,"S/D",INDEX(Movimientos!$M$2:$M$1993,MATCH(A443&amp;"ENTRADA",Movimientos!$R$2:$R$1993,0))),"S/D")</f>
        <v>S/D</v>
      </c>
      <c r="I443" s="15" t="str">
        <f t="shared" ca="1" si="14"/>
        <v>S/D</v>
      </c>
      <c r="J443" s="5">
        <f>IF(A443="","",SUMIFS(Movimientos!$K:$K,Movimientos!$H:$H,A443))</f>
        <v>0</v>
      </c>
      <c r="K443" s="13" t="str">
        <f t="shared" ca="1" si="13"/>
        <v>SIN STOCK</v>
      </c>
    </row>
    <row r="444" spans="1:11">
      <c r="A444" s="16" t="s">
        <v>2749</v>
      </c>
      <c r="B444" s="2" t="str">
        <f>IFERROR(INDEX(Movimientos!$C$2:$C$1993,MATCH(A444&amp;"ENTRADA",Movimientos!$R$2:$R$1993,0)),"-")</f>
        <v>-</v>
      </c>
      <c r="C444" s="2" t="str">
        <f>IFERROR(INDEX(Movimientos!$D$2:$D$1993,MATCH(A444&amp;"ENTRADA",Movimientos!$R$2:$R$1993,0)),"-")</f>
        <v>-</v>
      </c>
      <c r="D444" s="2" t="str">
        <f>IFERROR(INDEX(Movimientos!$E$2:$E$1993,MATCH(A444&amp;"ENTRADA",Movimientos!$R$2:$R$1993,0)),"-")</f>
        <v>-</v>
      </c>
      <c r="E444" s="2" t="str">
        <f>IFERROR(INDEX(Movimientos!$F$2:$F$1993,MATCH(A444&amp;"ENTRADA",Movimientos!$R$2:$R$1993,0)),"-")</f>
        <v>-</v>
      </c>
      <c r="F444" s="2" t="str">
        <f>IFERROR(INDEX(Movimientos!$G$2:$G$1993,MATCH(A444&amp;"ENTRADA",Movimientos!$R$2:$R$1993,0)),"-")</f>
        <v>-</v>
      </c>
      <c r="G444" s="2" t="str">
        <f>IFERROR(INDEX(Movimientos!$L$2:$L$1993,MATCH(A444&amp;"ENTRADA",Movimientos!$R$2:$R$1993,0)),"-")</f>
        <v>-</v>
      </c>
      <c r="H444" s="17" t="str">
        <f>IFERROR(IF(INDEX(Movimientos!$M$2:$M$1993,MATCH(A444&amp;"ENTRADA",Movimientos!$R$2:$R$1993,0))=0,"S/D",INDEX(Movimientos!$M$2:$M$1993,MATCH(A444&amp;"ENTRADA",Movimientos!$R$2:$R$1993,0))),"S/D")</f>
        <v>S/D</v>
      </c>
      <c r="I444" s="15" t="str">
        <f t="shared" ca="1" si="14"/>
        <v>S/D</v>
      </c>
      <c r="J444" s="5">
        <f>IF(A444="","",SUMIFS(Movimientos!$K:$K,Movimientos!$H:$H,A444))</f>
        <v>0</v>
      </c>
      <c r="K444" s="13" t="str">
        <f t="shared" ca="1" si="13"/>
        <v>SIN STOCK</v>
      </c>
    </row>
    <row r="445" spans="1:11">
      <c r="A445" s="16" t="s">
        <v>2750</v>
      </c>
      <c r="B445" s="2" t="str">
        <f>IFERROR(INDEX(Movimientos!$C$2:$C$1993,MATCH(A445&amp;"ENTRADA",Movimientos!$R$2:$R$1993,0)),"-")</f>
        <v>-</v>
      </c>
      <c r="C445" s="2" t="str">
        <f>IFERROR(INDEX(Movimientos!$D$2:$D$1993,MATCH(A445&amp;"ENTRADA",Movimientos!$R$2:$R$1993,0)),"-")</f>
        <v>-</v>
      </c>
      <c r="D445" s="2" t="str">
        <f>IFERROR(INDEX(Movimientos!$E$2:$E$1993,MATCH(A445&amp;"ENTRADA",Movimientos!$R$2:$R$1993,0)),"-")</f>
        <v>-</v>
      </c>
      <c r="E445" s="2" t="str">
        <f>IFERROR(INDEX(Movimientos!$F$2:$F$1993,MATCH(A445&amp;"ENTRADA",Movimientos!$R$2:$R$1993,0)),"-")</f>
        <v>-</v>
      </c>
      <c r="F445" s="2" t="str">
        <f>IFERROR(INDEX(Movimientos!$G$2:$G$1993,MATCH(A445&amp;"ENTRADA",Movimientos!$R$2:$R$1993,0)),"-")</f>
        <v>-</v>
      </c>
      <c r="G445" s="2" t="str">
        <f>IFERROR(INDEX(Movimientos!$L$2:$L$1993,MATCH(A445&amp;"ENTRADA",Movimientos!$R$2:$R$1993,0)),"-")</f>
        <v>-</v>
      </c>
      <c r="H445" s="17" t="str">
        <f>IFERROR(IF(INDEX(Movimientos!$M$2:$M$1993,MATCH(A445&amp;"ENTRADA",Movimientos!$R$2:$R$1993,0))=0,"S/D",INDEX(Movimientos!$M$2:$M$1993,MATCH(A445&amp;"ENTRADA",Movimientos!$R$2:$R$1993,0))),"S/D")</f>
        <v>S/D</v>
      </c>
      <c r="I445" s="15" t="str">
        <f t="shared" ca="1" si="14"/>
        <v>S/D</v>
      </c>
      <c r="J445" s="5">
        <f>IF(A445="","",SUMIFS(Movimientos!$K:$K,Movimientos!$H:$H,A445))</f>
        <v>0</v>
      </c>
      <c r="K445" s="13" t="str">
        <f t="shared" ca="1" si="13"/>
        <v>SIN STOCK</v>
      </c>
    </row>
    <row r="446" spans="1:11">
      <c r="A446" s="16" t="s">
        <v>2751</v>
      </c>
      <c r="B446" s="2" t="str">
        <f>IFERROR(INDEX(Movimientos!$C$2:$C$1993,MATCH(A446&amp;"ENTRADA",Movimientos!$R$2:$R$1993,0)),"-")</f>
        <v>-</v>
      </c>
      <c r="C446" s="2" t="str">
        <f>IFERROR(INDEX(Movimientos!$D$2:$D$1993,MATCH(A446&amp;"ENTRADA",Movimientos!$R$2:$R$1993,0)),"-")</f>
        <v>-</v>
      </c>
      <c r="D446" s="2" t="str">
        <f>IFERROR(INDEX(Movimientos!$E$2:$E$1993,MATCH(A446&amp;"ENTRADA",Movimientos!$R$2:$R$1993,0)),"-")</f>
        <v>-</v>
      </c>
      <c r="E446" s="2" t="str">
        <f>IFERROR(INDEX(Movimientos!$F$2:$F$1993,MATCH(A446&amp;"ENTRADA",Movimientos!$R$2:$R$1993,0)),"-")</f>
        <v>-</v>
      </c>
      <c r="F446" s="2" t="str">
        <f>IFERROR(INDEX(Movimientos!$G$2:$G$1993,MATCH(A446&amp;"ENTRADA",Movimientos!$R$2:$R$1993,0)),"-")</f>
        <v>-</v>
      </c>
      <c r="G446" s="2" t="str">
        <f>IFERROR(INDEX(Movimientos!$L$2:$L$1993,MATCH(A446&amp;"ENTRADA",Movimientos!$R$2:$R$1993,0)),"-")</f>
        <v>-</v>
      </c>
      <c r="H446" s="17" t="str">
        <f>IFERROR(IF(INDEX(Movimientos!$M$2:$M$1993,MATCH(A446&amp;"ENTRADA",Movimientos!$R$2:$R$1993,0))=0,"S/D",INDEX(Movimientos!$M$2:$M$1993,MATCH(A446&amp;"ENTRADA",Movimientos!$R$2:$R$1993,0))),"S/D")</f>
        <v>S/D</v>
      </c>
      <c r="I446" s="15" t="str">
        <f t="shared" ca="1" si="14"/>
        <v>S/D</v>
      </c>
      <c r="J446" s="5">
        <f>IF(A446="","",SUMIFS(Movimientos!$K:$K,Movimientos!$H:$H,A446))</f>
        <v>0</v>
      </c>
      <c r="K446" s="13" t="str">
        <f t="shared" ref="K446:K509" ca="1" si="15">IF(A446="","",IF(J446&lt;0.01,"SIN STOCK",IF(H446="S/D","OK",IF(H446&lt;TODAY(),"VENCIDO",IF(I446&gt;=180,"OK","PRÓXIMO A VENCER")))))</f>
        <v>SIN STOCK</v>
      </c>
    </row>
    <row r="447" spans="1:11">
      <c r="A447" s="16" t="s">
        <v>2752</v>
      </c>
      <c r="B447" s="2" t="str">
        <f>IFERROR(INDEX(Movimientos!$C$2:$C$1993,MATCH(A447&amp;"ENTRADA",Movimientos!$R$2:$R$1993,0)),"-")</f>
        <v>-</v>
      </c>
      <c r="C447" s="2" t="str">
        <f>IFERROR(INDEX(Movimientos!$D$2:$D$1993,MATCH(A447&amp;"ENTRADA",Movimientos!$R$2:$R$1993,0)),"-")</f>
        <v>-</v>
      </c>
      <c r="D447" s="2" t="str">
        <f>IFERROR(INDEX(Movimientos!$E$2:$E$1993,MATCH(A447&amp;"ENTRADA",Movimientos!$R$2:$R$1993,0)),"-")</f>
        <v>-</v>
      </c>
      <c r="E447" s="2" t="str">
        <f>IFERROR(INDEX(Movimientos!$F$2:$F$1993,MATCH(A447&amp;"ENTRADA",Movimientos!$R$2:$R$1993,0)),"-")</f>
        <v>-</v>
      </c>
      <c r="F447" s="2" t="str">
        <f>IFERROR(INDEX(Movimientos!$G$2:$G$1993,MATCH(A447&amp;"ENTRADA",Movimientos!$R$2:$R$1993,0)),"-")</f>
        <v>-</v>
      </c>
      <c r="G447" s="2" t="str">
        <f>IFERROR(INDEX(Movimientos!$L$2:$L$1993,MATCH(A447&amp;"ENTRADA",Movimientos!$R$2:$R$1993,0)),"-")</f>
        <v>-</v>
      </c>
      <c r="H447" s="17" t="str">
        <f>IFERROR(IF(INDEX(Movimientos!$M$2:$M$1993,MATCH(A447&amp;"ENTRADA",Movimientos!$R$2:$R$1993,0))=0,"S/D",INDEX(Movimientos!$M$2:$M$1993,MATCH(A447&amp;"ENTRADA",Movimientos!$R$2:$R$1993,0))),"S/D")</f>
        <v>S/D</v>
      </c>
      <c r="I447" s="15" t="str">
        <f t="shared" ca="1" si="14"/>
        <v>S/D</v>
      </c>
      <c r="J447" s="5">
        <f>IF(A447="","",SUMIFS(Movimientos!$K:$K,Movimientos!$H:$H,A447))</f>
        <v>0</v>
      </c>
      <c r="K447" s="13" t="str">
        <f t="shared" ca="1" si="15"/>
        <v>SIN STOCK</v>
      </c>
    </row>
    <row r="448" spans="1:11">
      <c r="A448" s="16" t="s">
        <v>2753</v>
      </c>
      <c r="B448" s="2" t="str">
        <f>IFERROR(INDEX(Movimientos!$C$2:$C$1993,MATCH(A448&amp;"ENTRADA",Movimientos!$R$2:$R$1993,0)),"-")</f>
        <v>-</v>
      </c>
      <c r="C448" s="2" t="str">
        <f>IFERROR(INDEX(Movimientos!$D$2:$D$1993,MATCH(A448&amp;"ENTRADA",Movimientos!$R$2:$R$1993,0)),"-")</f>
        <v>-</v>
      </c>
      <c r="D448" s="2" t="str">
        <f>IFERROR(INDEX(Movimientos!$E$2:$E$1993,MATCH(A448&amp;"ENTRADA",Movimientos!$R$2:$R$1993,0)),"-")</f>
        <v>-</v>
      </c>
      <c r="E448" s="2" t="str">
        <f>IFERROR(INDEX(Movimientos!$F$2:$F$1993,MATCH(A448&amp;"ENTRADA",Movimientos!$R$2:$R$1993,0)),"-")</f>
        <v>-</v>
      </c>
      <c r="F448" s="2" t="str">
        <f>IFERROR(INDEX(Movimientos!$G$2:$G$1993,MATCH(A448&amp;"ENTRADA",Movimientos!$R$2:$R$1993,0)),"-")</f>
        <v>-</v>
      </c>
      <c r="G448" s="2" t="str">
        <f>IFERROR(INDEX(Movimientos!$L$2:$L$1993,MATCH(A448&amp;"ENTRADA",Movimientos!$R$2:$R$1993,0)),"-")</f>
        <v>-</v>
      </c>
      <c r="H448" s="17" t="str">
        <f>IFERROR(IF(INDEX(Movimientos!$M$2:$M$1993,MATCH(A448&amp;"ENTRADA",Movimientos!$R$2:$R$1993,0))=0,"S/D",INDEX(Movimientos!$M$2:$M$1993,MATCH(A448&amp;"ENTRADA",Movimientos!$R$2:$R$1993,0))),"S/D")</f>
        <v>S/D</v>
      </c>
      <c r="I448" s="15" t="str">
        <f t="shared" ca="1" si="14"/>
        <v>S/D</v>
      </c>
      <c r="J448" s="5">
        <f>IF(A448="","",SUMIFS(Movimientos!$K:$K,Movimientos!$H:$H,A448))</f>
        <v>0</v>
      </c>
      <c r="K448" s="13" t="str">
        <f t="shared" ca="1" si="15"/>
        <v>SIN STOCK</v>
      </c>
    </row>
    <row r="449" spans="1:11">
      <c r="A449" s="16" t="s">
        <v>2754</v>
      </c>
      <c r="B449" s="2" t="str">
        <f>IFERROR(INDEX(Movimientos!$C$2:$C$1993,MATCH(A449&amp;"ENTRADA",Movimientos!$R$2:$R$1993,0)),"-")</f>
        <v>-</v>
      </c>
      <c r="C449" s="2" t="str">
        <f>IFERROR(INDEX(Movimientos!$D$2:$D$1993,MATCH(A449&amp;"ENTRADA",Movimientos!$R$2:$R$1993,0)),"-")</f>
        <v>-</v>
      </c>
      <c r="D449" s="2" t="str">
        <f>IFERROR(INDEX(Movimientos!$E$2:$E$1993,MATCH(A449&amp;"ENTRADA",Movimientos!$R$2:$R$1993,0)),"-")</f>
        <v>-</v>
      </c>
      <c r="E449" s="2" t="str">
        <f>IFERROR(INDEX(Movimientos!$F$2:$F$1993,MATCH(A449&amp;"ENTRADA",Movimientos!$R$2:$R$1993,0)),"-")</f>
        <v>-</v>
      </c>
      <c r="F449" s="2" t="str">
        <f>IFERROR(INDEX(Movimientos!$G$2:$G$1993,MATCH(A449&amp;"ENTRADA",Movimientos!$R$2:$R$1993,0)),"-")</f>
        <v>-</v>
      </c>
      <c r="G449" s="2" t="str">
        <f>IFERROR(INDEX(Movimientos!$L$2:$L$1993,MATCH(A449&amp;"ENTRADA",Movimientos!$R$2:$R$1993,0)),"-")</f>
        <v>-</v>
      </c>
      <c r="H449" s="17" t="str">
        <f>IFERROR(IF(INDEX(Movimientos!$M$2:$M$1993,MATCH(A449&amp;"ENTRADA",Movimientos!$R$2:$R$1993,0))=0,"S/D",INDEX(Movimientos!$M$2:$M$1993,MATCH(A449&amp;"ENTRADA",Movimientos!$R$2:$R$1993,0))),"S/D")</f>
        <v>S/D</v>
      </c>
      <c r="I449" s="15" t="str">
        <f t="shared" ca="1" si="14"/>
        <v>S/D</v>
      </c>
      <c r="J449" s="5">
        <f>IF(A449="","",SUMIFS(Movimientos!$K:$K,Movimientos!$H:$H,A449))</f>
        <v>0</v>
      </c>
      <c r="K449" s="13" t="str">
        <f t="shared" ca="1" si="15"/>
        <v>SIN STOCK</v>
      </c>
    </row>
    <row r="450" spans="1:11">
      <c r="A450" s="16" t="s">
        <v>2755</v>
      </c>
      <c r="B450" s="2" t="str">
        <f>IFERROR(INDEX(Movimientos!$C$2:$C$1993,MATCH(A450&amp;"ENTRADA",Movimientos!$R$2:$R$1993,0)),"-")</f>
        <v>-</v>
      </c>
      <c r="C450" s="2" t="str">
        <f>IFERROR(INDEX(Movimientos!$D$2:$D$1993,MATCH(A450&amp;"ENTRADA",Movimientos!$R$2:$R$1993,0)),"-")</f>
        <v>-</v>
      </c>
      <c r="D450" s="2" t="str">
        <f>IFERROR(INDEX(Movimientos!$E$2:$E$1993,MATCH(A450&amp;"ENTRADA",Movimientos!$R$2:$R$1993,0)),"-")</f>
        <v>-</v>
      </c>
      <c r="E450" s="2" t="str">
        <f>IFERROR(INDEX(Movimientos!$F$2:$F$1993,MATCH(A450&amp;"ENTRADA",Movimientos!$R$2:$R$1993,0)),"-")</f>
        <v>-</v>
      </c>
      <c r="F450" s="2" t="str">
        <f>IFERROR(INDEX(Movimientos!$G$2:$G$1993,MATCH(A450&amp;"ENTRADA",Movimientos!$R$2:$R$1993,0)),"-")</f>
        <v>-</v>
      </c>
      <c r="G450" s="2" t="str">
        <f>IFERROR(INDEX(Movimientos!$L$2:$L$1993,MATCH(A450&amp;"ENTRADA",Movimientos!$R$2:$R$1993,0)),"-")</f>
        <v>-</v>
      </c>
      <c r="H450" s="17" t="str">
        <f>IFERROR(IF(INDEX(Movimientos!$M$2:$M$1993,MATCH(A450&amp;"ENTRADA",Movimientos!$R$2:$R$1993,0))=0,"S/D",INDEX(Movimientos!$M$2:$M$1993,MATCH(A450&amp;"ENTRADA",Movimientos!$R$2:$R$1993,0))),"S/D")</f>
        <v>S/D</v>
      </c>
      <c r="I450" s="15" t="str">
        <f t="shared" ca="1" si="14"/>
        <v>S/D</v>
      </c>
      <c r="J450" s="5">
        <f>IF(A450="","",SUMIFS(Movimientos!$K:$K,Movimientos!$H:$H,A450))</f>
        <v>0</v>
      </c>
      <c r="K450" s="13" t="str">
        <f t="shared" ca="1" si="15"/>
        <v>SIN STOCK</v>
      </c>
    </row>
    <row r="451" spans="1:11">
      <c r="A451" s="16" t="s">
        <v>2756</v>
      </c>
      <c r="B451" s="2" t="str">
        <f>IFERROR(INDEX(Movimientos!$C$2:$C$1993,MATCH(A451&amp;"ENTRADA",Movimientos!$R$2:$R$1993,0)),"-")</f>
        <v>-</v>
      </c>
      <c r="C451" s="2" t="str">
        <f>IFERROR(INDEX(Movimientos!$D$2:$D$1993,MATCH(A451&amp;"ENTRADA",Movimientos!$R$2:$R$1993,0)),"-")</f>
        <v>-</v>
      </c>
      <c r="D451" s="2" t="str">
        <f>IFERROR(INDEX(Movimientos!$E$2:$E$1993,MATCH(A451&amp;"ENTRADA",Movimientos!$R$2:$R$1993,0)),"-")</f>
        <v>-</v>
      </c>
      <c r="E451" s="2" t="str">
        <f>IFERROR(INDEX(Movimientos!$F$2:$F$1993,MATCH(A451&amp;"ENTRADA",Movimientos!$R$2:$R$1993,0)),"-")</f>
        <v>-</v>
      </c>
      <c r="F451" s="2" t="str">
        <f>IFERROR(INDEX(Movimientos!$G$2:$G$1993,MATCH(A451&amp;"ENTRADA",Movimientos!$R$2:$R$1993,0)),"-")</f>
        <v>-</v>
      </c>
      <c r="G451" s="2" t="str">
        <f>IFERROR(INDEX(Movimientos!$L$2:$L$1993,MATCH(A451&amp;"ENTRADA",Movimientos!$R$2:$R$1993,0)),"-")</f>
        <v>-</v>
      </c>
      <c r="H451" s="17" t="str">
        <f>IFERROR(IF(INDEX(Movimientos!$M$2:$M$1993,MATCH(A451&amp;"ENTRADA",Movimientos!$R$2:$R$1993,0))=0,"S/D",INDEX(Movimientos!$M$2:$M$1993,MATCH(A451&amp;"ENTRADA",Movimientos!$R$2:$R$1993,0))),"S/D")</f>
        <v>S/D</v>
      </c>
      <c r="I451" s="15" t="str">
        <f t="shared" ca="1" si="14"/>
        <v>S/D</v>
      </c>
      <c r="J451" s="5">
        <f>IF(A451="","",SUMIFS(Movimientos!$K:$K,Movimientos!$H:$H,A451))</f>
        <v>0</v>
      </c>
      <c r="K451" s="13" t="str">
        <f t="shared" ca="1" si="15"/>
        <v>SIN STOCK</v>
      </c>
    </row>
    <row r="452" spans="1:11">
      <c r="A452" s="16" t="s">
        <v>2757</v>
      </c>
      <c r="B452" s="2" t="str">
        <f>IFERROR(INDEX(Movimientos!$C$2:$C$1993,MATCH(A452&amp;"ENTRADA",Movimientos!$R$2:$R$1993,0)),"-")</f>
        <v>-</v>
      </c>
      <c r="C452" s="2" t="str">
        <f>IFERROR(INDEX(Movimientos!$D$2:$D$1993,MATCH(A452&amp;"ENTRADA",Movimientos!$R$2:$R$1993,0)),"-")</f>
        <v>-</v>
      </c>
      <c r="D452" s="2" t="str">
        <f>IFERROR(INDEX(Movimientos!$E$2:$E$1993,MATCH(A452&amp;"ENTRADA",Movimientos!$R$2:$R$1993,0)),"-")</f>
        <v>-</v>
      </c>
      <c r="E452" s="2" t="str">
        <f>IFERROR(INDEX(Movimientos!$F$2:$F$1993,MATCH(A452&amp;"ENTRADA",Movimientos!$R$2:$R$1993,0)),"-")</f>
        <v>-</v>
      </c>
      <c r="F452" s="2" t="str">
        <f>IFERROR(INDEX(Movimientos!$G$2:$G$1993,MATCH(A452&amp;"ENTRADA",Movimientos!$R$2:$R$1993,0)),"-")</f>
        <v>-</v>
      </c>
      <c r="G452" s="2" t="str">
        <f>IFERROR(INDEX(Movimientos!$L$2:$L$1993,MATCH(A452&amp;"ENTRADA",Movimientos!$R$2:$R$1993,0)),"-")</f>
        <v>-</v>
      </c>
      <c r="H452" s="17" t="str">
        <f>IFERROR(IF(INDEX(Movimientos!$M$2:$M$1993,MATCH(A452&amp;"ENTRADA",Movimientos!$R$2:$R$1993,0))=0,"S/D",INDEX(Movimientos!$M$2:$M$1993,MATCH(A452&amp;"ENTRADA",Movimientos!$R$2:$R$1993,0))),"S/D")</f>
        <v>S/D</v>
      </c>
      <c r="I452" s="15" t="str">
        <f t="shared" ca="1" si="14"/>
        <v>S/D</v>
      </c>
      <c r="J452" s="5">
        <f>IF(A452="","",SUMIFS(Movimientos!$K:$K,Movimientos!$H:$H,A452))</f>
        <v>0</v>
      </c>
      <c r="K452" s="13" t="str">
        <f t="shared" ca="1" si="15"/>
        <v>SIN STOCK</v>
      </c>
    </row>
    <row r="453" spans="1:11">
      <c r="A453" s="16" t="s">
        <v>2758</v>
      </c>
      <c r="B453" s="2" t="str">
        <f>IFERROR(INDEX(Movimientos!$C$2:$C$1993,MATCH(A453&amp;"ENTRADA",Movimientos!$R$2:$R$1993,0)),"-")</f>
        <v>-</v>
      </c>
      <c r="C453" s="2" t="str">
        <f>IFERROR(INDEX(Movimientos!$D$2:$D$1993,MATCH(A453&amp;"ENTRADA",Movimientos!$R$2:$R$1993,0)),"-")</f>
        <v>-</v>
      </c>
      <c r="D453" s="2" t="str">
        <f>IFERROR(INDEX(Movimientos!$E$2:$E$1993,MATCH(A453&amp;"ENTRADA",Movimientos!$R$2:$R$1993,0)),"-")</f>
        <v>-</v>
      </c>
      <c r="E453" s="2" t="str">
        <f>IFERROR(INDEX(Movimientos!$F$2:$F$1993,MATCH(A453&amp;"ENTRADA",Movimientos!$R$2:$R$1993,0)),"-")</f>
        <v>-</v>
      </c>
      <c r="F453" s="2" t="str">
        <f>IFERROR(INDEX(Movimientos!$G$2:$G$1993,MATCH(A453&amp;"ENTRADA",Movimientos!$R$2:$R$1993,0)),"-")</f>
        <v>-</v>
      </c>
      <c r="G453" s="2" t="str">
        <f>IFERROR(INDEX(Movimientos!$L$2:$L$1993,MATCH(A453&amp;"ENTRADA",Movimientos!$R$2:$R$1993,0)),"-")</f>
        <v>-</v>
      </c>
      <c r="H453" s="17" t="str">
        <f>IFERROR(IF(INDEX(Movimientos!$M$2:$M$1993,MATCH(A453&amp;"ENTRADA",Movimientos!$R$2:$R$1993,0))=0,"S/D",INDEX(Movimientos!$M$2:$M$1993,MATCH(A453&amp;"ENTRADA",Movimientos!$R$2:$R$1993,0))),"S/D")</f>
        <v>S/D</v>
      </c>
      <c r="I453" s="15" t="str">
        <f t="shared" ref="I453:I516" ca="1" si="16">IF(OR(A453="",H453="S/D"),"S/D",H453-TODAY())</f>
        <v>S/D</v>
      </c>
      <c r="J453" s="5">
        <f>IF(A453="","",SUMIFS(Movimientos!$K:$K,Movimientos!$H:$H,A453))</f>
        <v>0</v>
      </c>
      <c r="K453" s="13" t="str">
        <f t="shared" ca="1" si="15"/>
        <v>SIN STOCK</v>
      </c>
    </row>
    <row r="454" spans="1:11">
      <c r="A454" s="16" t="s">
        <v>2759</v>
      </c>
      <c r="B454" s="2" t="str">
        <f>IFERROR(INDEX(Movimientos!$C$2:$C$1993,MATCH(A454&amp;"ENTRADA",Movimientos!$R$2:$R$1993,0)),"-")</f>
        <v>-</v>
      </c>
      <c r="C454" s="2" t="str">
        <f>IFERROR(INDEX(Movimientos!$D$2:$D$1993,MATCH(A454&amp;"ENTRADA",Movimientos!$R$2:$R$1993,0)),"-")</f>
        <v>-</v>
      </c>
      <c r="D454" s="2" t="str">
        <f>IFERROR(INDEX(Movimientos!$E$2:$E$1993,MATCH(A454&amp;"ENTRADA",Movimientos!$R$2:$R$1993,0)),"-")</f>
        <v>-</v>
      </c>
      <c r="E454" s="2" t="str">
        <f>IFERROR(INDEX(Movimientos!$F$2:$F$1993,MATCH(A454&amp;"ENTRADA",Movimientos!$R$2:$R$1993,0)),"-")</f>
        <v>-</v>
      </c>
      <c r="F454" s="2" t="str">
        <f>IFERROR(INDEX(Movimientos!$G$2:$G$1993,MATCH(A454&amp;"ENTRADA",Movimientos!$R$2:$R$1993,0)),"-")</f>
        <v>-</v>
      </c>
      <c r="G454" s="2" t="str">
        <f>IFERROR(INDEX(Movimientos!$L$2:$L$1993,MATCH(A454&amp;"ENTRADA",Movimientos!$R$2:$R$1993,0)),"-")</f>
        <v>-</v>
      </c>
      <c r="H454" s="17" t="str">
        <f>IFERROR(IF(INDEX(Movimientos!$M$2:$M$1993,MATCH(A454&amp;"ENTRADA",Movimientos!$R$2:$R$1993,0))=0,"S/D",INDEX(Movimientos!$M$2:$M$1993,MATCH(A454&amp;"ENTRADA",Movimientos!$R$2:$R$1993,0))),"S/D")</f>
        <v>S/D</v>
      </c>
      <c r="I454" s="15" t="str">
        <f t="shared" ca="1" si="16"/>
        <v>S/D</v>
      </c>
      <c r="J454" s="5">
        <f>IF(A454="","",SUMIFS(Movimientos!$K:$K,Movimientos!$H:$H,A454))</f>
        <v>0</v>
      </c>
      <c r="K454" s="13" t="str">
        <f t="shared" ca="1" si="15"/>
        <v>SIN STOCK</v>
      </c>
    </row>
    <row r="455" spans="1:11">
      <c r="A455" s="16" t="s">
        <v>2760</v>
      </c>
      <c r="B455" s="2" t="str">
        <f>IFERROR(INDEX(Movimientos!$C$2:$C$1993,MATCH(A455&amp;"ENTRADA",Movimientos!$R$2:$R$1993,0)),"-")</f>
        <v>-</v>
      </c>
      <c r="C455" s="2" t="str">
        <f>IFERROR(INDEX(Movimientos!$D$2:$D$1993,MATCH(A455&amp;"ENTRADA",Movimientos!$R$2:$R$1993,0)),"-")</f>
        <v>-</v>
      </c>
      <c r="D455" s="2" t="str">
        <f>IFERROR(INDEX(Movimientos!$E$2:$E$1993,MATCH(A455&amp;"ENTRADA",Movimientos!$R$2:$R$1993,0)),"-")</f>
        <v>-</v>
      </c>
      <c r="E455" s="2" t="str">
        <f>IFERROR(INDEX(Movimientos!$F$2:$F$1993,MATCH(A455&amp;"ENTRADA",Movimientos!$R$2:$R$1993,0)),"-")</f>
        <v>-</v>
      </c>
      <c r="F455" s="2" t="str">
        <f>IFERROR(INDEX(Movimientos!$G$2:$G$1993,MATCH(A455&amp;"ENTRADA",Movimientos!$R$2:$R$1993,0)),"-")</f>
        <v>-</v>
      </c>
      <c r="G455" s="2" t="str">
        <f>IFERROR(INDEX(Movimientos!$L$2:$L$1993,MATCH(A455&amp;"ENTRADA",Movimientos!$R$2:$R$1993,0)),"-")</f>
        <v>-</v>
      </c>
      <c r="H455" s="17" t="str">
        <f>IFERROR(IF(INDEX(Movimientos!$M$2:$M$1993,MATCH(A455&amp;"ENTRADA",Movimientos!$R$2:$R$1993,0))=0,"S/D",INDEX(Movimientos!$M$2:$M$1993,MATCH(A455&amp;"ENTRADA",Movimientos!$R$2:$R$1993,0))),"S/D")</f>
        <v>S/D</v>
      </c>
      <c r="I455" s="15" t="str">
        <f t="shared" ca="1" si="16"/>
        <v>S/D</v>
      </c>
      <c r="J455" s="5">
        <f>IF(A455="","",SUMIFS(Movimientos!$K:$K,Movimientos!$H:$H,A455))</f>
        <v>0</v>
      </c>
      <c r="K455" s="13" t="str">
        <f t="shared" ca="1" si="15"/>
        <v>SIN STOCK</v>
      </c>
    </row>
    <row r="456" spans="1:11">
      <c r="A456" s="16" t="s">
        <v>2761</v>
      </c>
      <c r="B456" s="2" t="str">
        <f>IFERROR(INDEX(Movimientos!$C$2:$C$1993,MATCH(A456&amp;"ENTRADA",Movimientos!$R$2:$R$1993,0)),"-")</f>
        <v>-</v>
      </c>
      <c r="C456" s="2" t="str">
        <f>IFERROR(INDEX(Movimientos!$D$2:$D$1993,MATCH(A456&amp;"ENTRADA",Movimientos!$R$2:$R$1993,0)),"-")</f>
        <v>-</v>
      </c>
      <c r="D456" s="2" t="str">
        <f>IFERROR(INDEX(Movimientos!$E$2:$E$1993,MATCH(A456&amp;"ENTRADA",Movimientos!$R$2:$R$1993,0)),"-")</f>
        <v>-</v>
      </c>
      <c r="E456" s="2" t="str">
        <f>IFERROR(INDEX(Movimientos!$F$2:$F$1993,MATCH(A456&amp;"ENTRADA",Movimientos!$R$2:$R$1993,0)),"-")</f>
        <v>-</v>
      </c>
      <c r="F456" s="2" t="str">
        <f>IFERROR(INDEX(Movimientos!$G$2:$G$1993,MATCH(A456&amp;"ENTRADA",Movimientos!$R$2:$R$1993,0)),"-")</f>
        <v>-</v>
      </c>
      <c r="G456" s="2" t="str">
        <f>IFERROR(INDEX(Movimientos!$L$2:$L$1993,MATCH(A456&amp;"ENTRADA",Movimientos!$R$2:$R$1993,0)),"-")</f>
        <v>-</v>
      </c>
      <c r="H456" s="17" t="str">
        <f>IFERROR(IF(INDEX(Movimientos!$M$2:$M$1993,MATCH(A456&amp;"ENTRADA",Movimientos!$R$2:$R$1993,0))=0,"S/D",INDEX(Movimientos!$M$2:$M$1993,MATCH(A456&amp;"ENTRADA",Movimientos!$R$2:$R$1993,0))),"S/D")</f>
        <v>S/D</v>
      </c>
      <c r="I456" s="15" t="str">
        <f t="shared" ca="1" si="16"/>
        <v>S/D</v>
      </c>
      <c r="J456" s="5">
        <f>IF(A456="","",SUMIFS(Movimientos!$K:$K,Movimientos!$H:$H,A456))</f>
        <v>0</v>
      </c>
      <c r="K456" s="13" t="str">
        <f t="shared" ca="1" si="15"/>
        <v>SIN STOCK</v>
      </c>
    </row>
    <row r="457" spans="1:11">
      <c r="A457" s="16" t="s">
        <v>2762</v>
      </c>
      <c r="B457" s="2" t="str">
        <f>IFERROR(INDEX(Movimientos!$C$2:$C$1993,MATCH(A457&amp;"ENTRADA",Movimientos!$R$2:$R$1993,0)),"-")</f>
        <v>-</v>
      </c>
      <c r="C457" s="2" t="str">
        <f>IFERROR(INDEX(Movimientos!$D$2:$D$1993,MATCH(A457&amp;"ENTRADA",Movimientos!$R$2:$R$1993,0)),"-")</f>
        <v>-</v>
      </c>
      <c r="D457" s="2" t="str">
        <f>IFERROR(INDEX(Movimientos!$E$2:$E$1993,MATCH(A457&amp;"ENTRADA",Movimientos!$R$2:$R$1993,0)),"-")</f>
        <v>-</v>
      </c>
      <c r="E457" s="2" t="str">
        <f>IFERROR(INDEX(Movimientos!$F$2:$F$1993,MATCH(A457&amp;"ENTRADA",Movimientos!$R$2:$R$1993,0)),"-")</f>
        <v>-</v>
      </c>
      <c r="F457" s="2" t="str">
        <f>IFERROR(INDEX(Movimientos!$G$2:$G$1993,MATCH(A457&amp;"ENTRADA",Movimientos!$R$2:$R$1993,0)),"-")</f>
        <v>-</v>
      </c>
      <c r="G457" s="2" t="str">
        <f>IFERROR(INDEX(Movimientos!$L$2:$L$1993,MATCH(A457&amp;"ENTRADA",Movimientos!$R$2:$R$1993,0)),"-")</f>
        <v>-</v>
      </c>
      <c r="H457" s="17" t="str">
        <f>IFERROR(IF(INDEX(Movimientos!$M$2:$M$1993,MATCH(A457&amp;"ENTRADA",Movimientos!$R$2:$R$1993,0))=0,"S/D",INDEX(Movimientos!$M$2:$M$1993,MATCH(A457&amp;"ENTRADA",Movimientos!$R$2:$R$1993,0))),"S/D")</f>
        <v>S/D</v>
      </c>
      <c r="I457" s="15" t="str">
        <f t="shared" ca="1" si="16"/>
        <v>S/D</v>
      </c>
      <c r="J457" s="5">
        <f>IF(A457="","",SUMIFS(Movimientos!$K:$K,Movimientos!$H:$H,A457))</f>
        <v>0</v>
      </c>
      <c r="K457" s="13" t="str">
        <f t="shared" ca="1" si="15"/>
        <v>SIN STOCK</v>
      </c>
    </row>
    <row r="458" spans="1:11">
      <c r="A458" s="16" t="s">
        <v>2763</v>
      </c>
      <c r="B458" s="2" t="str">
        <f>IFERROR(INDEX(Movimientos!$C$2:$C$1993,MATCH(A458&amp;"ENTRADA",Movimientos!$R$2:$R$1993,0)),"-")</f>
        <v>-</v>
      </c>
      <c r="C458" s="2" t="str">
        <f>IFERROR(INDEX(Movimientos!$D$2:$D$1993,MATCH(A458&amp;"ENTRADA",Movimientos!$R$2:$R$1993,0)),"-")</f>
        <v>-</v>
      </c>
      <c r="D458" s="2" t="str">
        <f>IFERROR(INDEX(Movimientos!$E$2:$E$1993,MATCH(A458&amp;"ENTRADA",Movimientos!$R$2:$R$1993,0)),"-")</f>
        <v>-</v>
      </c>
      <c r="E458" s="2" t="str">
        <f>IFERROR(INDEX(Movimientos!$F$2:$F$1993,MATCH(A458&amp;"ENTRADA",Movimientos!$R$2:$R$1993,0)),"-")</f>
        <v>-</v>
      </c>
      <c r="F458" s="2" t="str">
        <f>IFERROR(INDEX(Movimientos!$G$2:$G$1993,MATCH(A458&amp;"ENTRADA",Movimientos!$R$2:$R$1993,0)),"-")</f>
        <v>-</v>
      </c>
      <c r="G458" s="2" t="str">
        <f>IFERROR(INDEX(Movimientos!$L$2:$L$1993,MATCH(A458&amp;"ENTRADA",Movimientos!$R$2:$R$1993,0)),"-")</f>
        <v>-</v>
      </c>
      <c r="H458" s="17" t="str">
        <f>IFERROR(IF(INDEX(Movimientos!$M$2:$M$1993,MATCH(A458&amp;"ENTRADA",Movimientos!$R$2:$R$1993,0))=0,"S/D",INDEX(Movimientos!$M$2:$M$1993,MATCH(A458&amp;"ENTRADA",Movimientos!$R$2:$R$1993,0))),"S/D")</f>
        <v>S/D</v>
      </c>
      <c r="I458" s="15" t="str">
        <f t="shared" ca="1" si="16"/>
        <v>S/D</v>
      </c>
      <c r="J458" s="5">
        <f>IF(A458="","",SUMIFS(Movimientos!$K:$K,Movimientos!$H:$H,A458))</f>
        <v>0</v>
      </c>
      <c r="K458" s="13" t="str">
        <f t="shared" ca="1" si="15"/>
        <v>SIN STOCK</v>
      </c>
    </row>
    <row r="459" spans="1:11">
      <c r="A459" s="16" t="s">
        <v>2764</v>
      </c>
      <c r="B459" s="2" t="str">
        <f>IFERROR(INDEX(Movimientos!$C$2:$C$1993,MATCH(A459&amp;"ENTRADA",Movimientos!$R$2:$R$1993,0)),"-")</f>
        <v>-</v>
      </c>
      <c r="C459" s="2" t="str">
        <f>IFERROR(INDEX(Movimientos!$D$2:$D$1993,MATCH(A459&amp;"ENTRADA",Movimientos!$R$2:$R$1993,0)),"-")</f>
        <v>-</v>
      </c>
      <c r="D459" s="2" t="str">
        <f>IFERROR(INDEX(Movimientos!$E$2:$E$1993,MATCH(A459&amp;"ENTRADA",Movimientos!$R$2:$R$1993,0)),"-")</f>
        <v>-</v>
      </c>
      <c r="E459" s="2" t="str">
        <f>IFERROR(INDEX(Movimientos!$F$2:$F$1993,MATCH(A459&amp;"ENTRADA",Movimientos!$R$2:$R$1993,0)),"-")</f>
        <v>-</v>
      </c>
      <c r="F459" s="2" t="str">
        <f>IFERROR(INDEX(Movimientos!$G$2:$G$1993,MATCH(A459&amp;"ENTRADA",Movimientos!$R$2:$R$1993,0)),"-")</f>
        <v>-</v>
      </c>
      <c r="G459" s="2" t="str">
        <f>IFERROR(INDEX(Movimientos!$L$2:$L$1993,MATCH(A459&amp;"ENTRADA",Movimientos!$R$2:$R$1993,0)),"-")</f>
        <v>-</v>
      </c>
      <c r="H459" s="17" t="str">
        <f>IFERROR(IF(INDEX(Movimientos!$M$2:$M$1993,MATCH(A459&amp;"ENTRADA",Movimientos!$R$2:$R$1993,0))=0,"S/D",INDEX(Movimientos!$M$2:$M$1993,MATCH(A459&amp;"ENTRADA",Movimientos!$R$2:$R$1993,0))),"S/D")</f>
        <v>S/D</v>
      </c>
      <c r="I459" s="15" t="str">
        <f t="shared" ca="1" si="16"/>
        <v>S/D</v>
      </c>
      <c r="J459" s="5">
        <f>IF(A459="","",SUMIFS(Movimientos!$K:$K,Movimientos!$H:$H,A459))</f>
        <v>0</v>
      </c>
      <c r="K459" s="13" t="str">
        <f t="shared" ca="1" si="15"/>
        <v>SIN STOCK</v>
      </c>
    </row>
    <row r="460" spans="1:11">
      <c r="A460" s="16" t="s">
        <v>2765</v>
      </c>
      <c r="B460" s="2" t="str">
        <f>IFERROR(INDEX(Movimientos!$C$2:$C$1993,MATCH(A460&amp;"ENTRADA",Movimientos!$R$2:$R$1993,0)),"-")</f>
        <v>-</v>
      </c>
      <c r="C460" s="2" t="str">
        <f>IFERROR(INDEX(Movimientos!$D$2:$D$1993,MATCH(A460&amp;"ENTRADA",Movimientos!$R$2:$R$1993,0)),"-")</f>
        <v>-</v>
      </c>
      <c r="D460" s="2" t="str">
        <f>IFERROR(INDEX(Movimientos!$E$2:$E$1993,MATCH(A460&amp;"ENTRADA",Movimientos!$R$2:$R$1993,0)),"-")</f>
        <v>-</v>
      </c>
      <c r="E460" s="2" t="str">
        <f>IFERROR(INDEX(Movimientos!$F$2:$F$1993,MATCH(A460&amp;"ENTRADA",Movimientos!$R$2:$R$1993,0)),"-")</f>
        <v>-</v>
      </c>
      <c r="F460" s="2" t="str">
        <f>IFERROR(INDEX(Movimientos!$G$2:$G$1993,MATCH(A460&amp;"ENTRADA",Movimientos!$R$2:$R$1993,0)),"-")</f>
        <v>-</v>
      </c>
      <c r="G460" s="2" t="str">
        <f>IFERROR(INDEX(Movimientos!$L$2:$L$1993,MATCH(A460&amp;"ENTRADA",Movimientos!$R$2:$R$1993,0)),"-")</f>
        <v>-</v>
      </c>
      <c r="H460" s="17" t="str">
        <f>IFERROR(IF(INDEX(Movimientos!$M$2:$M$1993,MATCH(A460&amp;"ENTRADA",Movimientos!$R$2:$R$1993,0))=0,"S/D",INDEX(Movimientos!$M$2:$M$1993,MATCH(A460&amp;"ENTRADA",Movimientos!$R$2:$R$1993,0))),"S/D")</f>
        <v>S/D</v>
      </c>
      <c r="I460" s="15" t="str">
        <f t="shared" ca="1" si="16"/>
        <v>S/D</v>
      </c>
      <c r="J460" s="5">
        <f>IF(A460="","",SUMIFS(Movimientos!$K:$K,Movimientos!$H:$H,A460))</f>
        <v>0</v>
      </c>
      <c r="K460" s="13" t="str">
        <f t="shared" ca="1" si="15"/>
        <v>SIN STOCK</v>
      </c>
    </row>
    <row r="461" spans="1:11">
      <c r="A461" s="16" t="s">
        <v>2766</v>
      </c>
      <c r="B461" s="2" t="str">
        <f>IFERROR(INDEX(Movimientos!$C$2:$C$1993,MATCH(A461&amp;"ENTRADA",Movimientos!$R$2:$R$1993,0)),"-")</f>
        <v>-</v>
      </c>
      <c r="C461" s="2" t="str">
        <f>IFERROR(INDEX(Movimientos!$D$2:$D$1993,MATCH(A461&amp;"ENTRADA",Movimientos!$R$2:$R$1993,0)),"-")</f>
        <v>-</v>
      </c>
      <c r="D461" s="2" t="str">
        <f>IFERROR(INDEX(Movimientos!$E$2:$E$1993,MATCH(A461&amp;"ENTRADA",Movimientos!$R$2:$R$1993,0)),"-")</f>
        <v>-</v>
      </c>
      <c r="E461" s="2" t="str">
        <f>IFERROR(INDEX(Movimientos!$F$2:$F$1993,MATCH(A461&amp;"ENTRADA",Movimientos!$R$2:$R$1993,0)),"-")</f>
        <v>-</v>
      </c>
      <c r="F461" s="2" t="str">
        <f>IFERROR(INDEX(Movimientos!$G$2:$G$1993,MATCH(A461&amp;"ENTRADA",Movimientos!$R$2:$R$1993,0)),"-")</f>
        <v>-</v>
      </c>
      <c r="G461" s="2" t="str">
        <f>IFERROR(INDEX(Movimientos!$L$2:$L$1993,MATCH(A461&amp;"ENTRADA",Movimientos!$R$2:$R$1993,0)),"-")</f>
        <v>-</v>
      </c>
      <c r="H461" s="17" t="str">
        <f>IFERROR(IF(INDEX(Movimientos!$M$2:$M$1993,MATCH(A461&amp;"ENTRADA",Movimientos!$R$2:$R$1993,0))=0,"S/D",INDEX(Movimientos!$M$2:$M$1993,MATCH(A461&amp;"ENTRADA",Movimientos!$R$2:$R$1993,0))),"S/D")</f>
        <v>S/D</v>
      </c>
      <c r="I461" s="15" t="str">
        <f t="shared" ca="1" si="16"/>
        <v>S/D</v>
      </c>
      <c r="J461" s="5">
        <f>IF(A461="","",SUMIFS(Movimientos!$K:$K,Movimientos!$H:$H,A461))</f>
        <v>0</v>
      </c>
      <c r="K461" s="13" t="str">
        <f t="shared" ca="1" si="15"/>
        <v>SIN STOCK</v>
      </c>
    </row>
    <row r="462" spans="1:11">
      <c r="A462" s="16" t="s">
        <v>2767</v>
      </c>
      <c r="B462" s="2" t="str">
        <f>IFERROR(INDEX(Movimientos!$C$2:$C$1993,MATCH(A462&amp;"ENTRADA",Movimientos!$R$2:$R$1993,0)),"-")</f>
        <v>-</v>
      </c>
      <c r="C462" s="2" t="str">
        <f>IFERROR(INDEX(Movimientos!$D$2:$D$1993,MATCH(A462&amp;"ENTRADA",Movimientos!$R$2:$R$1993,0)),"-")</f>
        <v>-</v>
      </c>
      <c r="D462" s="2" t="str">
        <f>IFERROR(INDEX(Movimientos!$E$2:$E$1993,MATCH(A462&amp;"ENTRADA",Movimientos!$R$2:$R$1993,0)),"-")</f>
        <v>-</v>
      </c>
      <c r="E462" s="2" t="str">
        <f>IFERROR(INDEX(Movimientos!$F$2:$F$1993,MATCH(A462&amp;"ENTRADA",Movimientos!$R$2:$R$1993,0)),"-")</f>
        <v>-</v>
      </c>
      <c r="F462" s="2" t="str">
        <f>IFERROR(INDEX(Movimientos!$G$2:$G$1993,MATCH(A462&amp;"ENTRADA",Movimientos!$R$2:$R$1993,0)),"-")</f>
        <v>-</v>
      </c>
      <c r="G462" s="2" t="str">
        <f>IFERROR(INDEX(Movimientos!$L$2:$L$1993,MATCH(A462&amp;"ENTRADA",Movimientos!$R$2:$R$1993,0)),"-")</f>
        <v>-</v>
      </c>
      <c r="H462" s="17" t="str">
        <f>IFERROR(IF(INDEX(Movimientos!$M$2:$M$1993,MATCH(A462&amp;"ENTRADA",Movimientos!$R$2:$R$1993,0))=0,"S/D",INDEX(Movimientos!$M$2:$M$1993,MATCH(A462&amp;"ENTRADA",Movimientos!$R$2:$R$1993,0))),"S/D")</f>
        <v>S/D</v>
      </c>
      <c r="I462" s="15" t="str">
        <f t="shared" ca="1" si="16"/>
        <v>S/D</v>
      </c>
      <c r="J462" s="5">
        <f>IF(A462="","",SUMIFS(Movimientos!$K:$K,Movimientos!$H:$H,A462))</f>
        <v>0</v>
      </c>
      <c r="K462" s="13" t="str">
        <f t="shared" ca="1" si="15"/>
        <v>SIN STOCK</v>
      </c>
    </row>
    <row r="463" spans="1:11">
      <c r="A463" s="16" t="s">
        <v>2768</v>
      </c>
      <c r="B463" s="2" t="str">
        <f>IFERROR(INDEX(Movimientos!$C$2:$C$1993,MATCH(A463&amp;"ENTRADA",Movimientos!$R$2:$R$1993,0)),"-")</f>
        <v>-</v>
      </c>
      <c r="C463" s="2" t="str">
        <f>IFERROR(INDEX(Movimientos!$D$2:$D$1993,MATCH(A463&amp;"ENTRADA",Movimientos!$R$2:$R$1993,0)),"-")</f>
        <v>-</v>
      </c>
      <c r="D463" s="2" t="str">
        <f>IFERROR(INDEX(Movimientos!$E$2:$E$1993,MATCH(A463&amp;"ENTRADA",Movimientos!$R$2:$R$1993,0)),"-")</f>
        <v>-</v>
      </c>
      <c r="E463" s="2" t="str">
        <f>IFERROR(INDEX(Movimientos!$F$2:$F$1993,MATCH(A463&amp;"ENTRADA",Movimientos!$R$2:$R$1993,0)),"-")</f>
        <v>-</v>
      </c>
      <c r="F463" s="2" t="str">
        <f>IFERROR(INDEX(Movimientos!$G$2:$G$1993,MATCH(A463&amp;"ENTRADA",Movimientos!$R$2:$R$1993,0)),"-")</f>
        <v>-</v>
      </c>
      <c r="G463" s="2" t="str">
        <f>IFERROR(INDEX(Movimientos!$L$2:$L$1993,MATCH(A463&amp;"ENTRADA",Movimientos!$R$2:$R$1993,0)),"-")</f>
        <v>-</v>
      </c>
      <c r="H463" s="17" t="str">
        <f>IFERROR(IF(INDEX(Movimientos!$M$2:$M$1993,MATCH(A463&amp;"ENTRADA",Movimientos!$R$2:$R$1993,0))=0,"S/D",INDEX(Movimientos!$M$2:$M$1993,MATCH(A463&amp;"ENTRADA",Movimientos!$R$2:$R$1993,0))),"S/D")</f>
        <v>S/D</v>
      </c>
      <c r="I463" s="15" t="str">
        <f t="shared" ca="1" si="16"/>
        <v>S/D</v>
      </c>
      <c r="J463" s="5">
        <f>IF(A463="","",SUMIFS(Movimientos!$K:$K,Movimientos!$H:$H,A463))</f>
        <v>0</v>
      </c>
      <c r="K463" s="13" t="str">
        <f t="shared" ca="1" si="15"/>
        <v>SIN STOCK</v>
      </c>
    </row>
    <row r="464" spans="1:11">
      <c r="A464" s="16" t="s">
        <v>2769</v>
      </c>
      <c r="B464" s="2" t="str">
        <f>IFERROR(INDEX(Movimientos!$C$2:$C$1993,MATCH(A464&amp;"ENTRADA",Movimientos!$R$2:$R$1993,0)),"-")</f>
        <v>-</v>
      </c>
      <c r="C464" s="2" t="str">
        <f>IFERROR(INDEX(Movimientos!$D$2:$D$1993,MATCH(A464&amp;"ENTRADA",Movimientos!$R$2:$R$1993,0)),"-")</f>
        <v>-</v>
      </c>
      <c r="D464" s="2" t="str">
        <f>IFERROR(INDEX(Movimientos!$E$2:$E$1993,MATCH(A464&amp;"ENTRADA",Movimientos!$R$2:$R$1993,0)),"-")</f>
        <v>-</v>
      </c>
      <c r="E464" s="2" t="str">
        <f>IFERROR(INDEX(Movimientos!$F$2:$F$1993,MATCH(A464&amp;"ENTRADA",Movimientos!$R$2:$R$1993,0)),"-")</f>
        <v>-</v>
      </c>
      <c r="F464" s="2" t="str">
        <f>IFERROR(INDEX(Movimientos!$G$2:$G$1993,MATCH(A464&amp;"ENTRADA",Movimientos!$R$2:$R$1993,0)),"-")</f>
        <v>-</v>
      </c>
      <c r="G464" s="2" t="str">
        <f>IFERROR(INDEX(Movimientos!$L$2:$L$1993,MATCH(A464&amp;"ENTRADA",Movimientos!$R$2:$R$1993,0)),"-")</f>
        <v>-</v>
      </c>
      <c r="H464" s="17" t="str">
        <f>IFERROR(IF(INDEX(Movimientos!$M$2:$M$1993,MATCH(A464&amp;"ENTRADA",Movimientos!$R$2:$R$1993,0))=0,"S/D",INDEX(Movimientos!$M$2:$M$1993,MATCH(A464&amp;"ENTRADA",Movimientos!$R$2:$R$1993,0))),"S/D")</f>
        <v>S/D</v>
      </c>
      <c r="I464" s="15" t="str">
        <f t="shared" ca="1" si="16"/>
        <v>S/D</v>
      </c>
      <c r="J464" s="5">
        <f>IF(A464="","",SUMIFS(Movimientos!$K:$K,Movimientos!$H:$H,A464))</f>
        <v>0</v>
      </c>
      <c r="K464" s="13" t="str">
        <f t="shared" ca="1" si="15"/>
        <v>SIN STOCK</v>
      </c>
    </row>
    <row r="465" spans="1:11">
      <c r="A465" s="16" t="s">
        <v>2770</v>
      </c>
      <c r="B465" s="2" t="str">
        <f>IFERROR(INDEX(Movimientos!$C$2:$C$1993,MATCH(A465&amp;"ENTRADA",Movimientos!$R$2:$R$1993,0)),"-")</f>
        <v>-</v>
      </c>
      <c r="C465" s="2" t="str">
        <f>IFERROR(INDEX(Movimientos!$D$2:$D$1993,MATCH(A465&amp;"ENTRADA",Movimientos!$R$2:$R$1993,0)),"-")</f>
        <v>-</v>
      </c>
      <c r="D465" s="2" t="str">
        <f>IFERROR(INDEX(Movimientos!$E$2:$E$1993,MATCH(A465&amp;"ENTRADA",Movimientos!$R$2:$R$1993,0)),"-")</f>
        <v>-</v>
      </c>
      <c r="E465" s="2" t="str">
        <f>IFERROR(INDEX(Movimientos!$F$2:$F$1993,MATCH(A465&amp;"ENTRADA",Movimientos!$R$2:$R$1993,0)),"-")</f>
        <v>-</v>
      </c>
      <c r="F465" s="2" t="str">
        <f>IFERROR(INDEX(Movimientos!$G$2:$G$1993,MATCH(A465&amp;"ENTRADA",Movimientos!$R$2:$R$1993,0)),"-")</f>
        <v>-</v>
      </c>
      <c r="G465" s="2" t="str">
        <f>IFERROR(INDEX(Movimientos!$L$2:$L$1993,MATCH(A465&amp;"ENTRADA",Movimientos!$R$2:$R$1993,0)),"-")</f>
        <v>-</v>
      </c>
      <c r="H465" s="17" t="str">
        <f>IFERROR(IF(INDEX(Movimientos!$M$2:$M$1993,MATCH(A465&amp;"ENTRADA",Movimientos!$R$2:$R$1993,0))=0,"S/D",INDEX(Movimientos!$M$2:$M$1993,MATCH(A465&amp;"ENTRADA",Movimientos!$R$2:$R$1993,0))),"S/D")</f>
        <v>S/D</v>
      </c>
      <c r="I465" s="15" t="str">
        <f t="shared" ca="1" si="16"/>
        <v>S/D</v>
      </c>
      <c r="J465" s="5">
        <f>IF(A465="","",SUMIFS(Movimientos!$K:$K,Movimientos!$H:$H,A465))</f>
        <v>0</v>
      </c>
      <c r="K465" s="13" t="str">
        <f t="shared" ca="1" si="15"/>
        <v>SIN STOCK</v>
      </c>
    </row>
    <row r="466" spans="1:11">
      <c r="A466" s="16" t="s">
        <v>2771</v>
      </c>
      <c r="B466" s="2" t="str">
        <f>IFERROR(INDEX(Movimientos!$C$2:$C$1993,MATCH(A466&amp;"ENTRADA",Movimientos!$R$2:$R$1993,0)),"-")</f>
        <v>-</v>
      </c>
      <c r="C466" s="2" t="str">
        <f>IFERROR(INDEX(Movimientos!$D$2:$D$1993,MATCH(A466&amp;"ENTRADA",Movimientos!$R$2:$R$1993,0)),"-")</f>
        <v>-</v>
      </c>
      <c r="D466" s="2" t="str">
        <f>IFERROR(INDEX(Movimientos!$E$2:$E$1993,MATCH(A466&amp;"ENTRADA",Movimientos!$R$2:$R$1993,0)),"-")</f>
        <v>-</v>
      </c>
      <c r="E466" s="2" t="str">
        <f>IFERROR(INDEX(Movimientos!$F$2:$F$1993,MATCH(A466&amp;"ENTRADA",Movimientos!$R$2:$R$1993,0)),"-")</f>
        <v>-</v>
      </c>
      <c r="F466" s="2" t="str">
        <f>IFERROR(INDEX(Movimientos!$G$2:$G$1993,MATCH(A466&amp;"ENTRADA",Movimientos!$R$2:$R$1993,0)),"-")</f>
        <v>-</v>
      </c>
      <c r="G466" s="2" t="str">
        <f>IFERROR(INDEX(Movimientos!$L$2:$L$1993,MATCH(A466&amp;"ENTRADA",Movimientos!$R$2:$R$1993,0)),"-")</f>
        <v>-</v>
      </c>
      <c r="H466" s="17" t="str">
        <f>IFERROR(IF(INDEX(Movimientos!$M$2:$M$1993,MATCH(A466&amp;"ENTRADA",Movimientos!$R$2:$R$1993,0))=0,"S/D",INDEX(Movimientos!$M$2:$M$1993,MATCH(A466&amp;"ENTRADA",Movimientos!$R$2:$R$1993,0))),"S/D")</f>
        <v>S/D</v>
      </c>
      <c r="I466" s="15" t="str">
        <f t="shared" ca="1" si="16"/>
        <v>S/D</v>
      </c>
      <c r="J466" s="5">
        <f>IF(A466="","",SUMIFS(Movimientos!$K:$K,Movimientos!$H:$H,A466))</f>
        <v>0</v>
      </c>
      <c r="K466" s="13" t="str">
        <f t="shared" ca="1" si="15"/>
        <v>SIN STOCK</v>
      </c>
    </row>
    <row r="467" spans="1:11">
      <c r="A467" s="16" t="s">
        <v>2772</v>
      </c>
      <c r="B467" s="2" t="str">
        <f>IFERROR(INDEX(Movimientos!$C$2:$C$1993,MATCH(A467&amp;"ENTRADA",Movimientos!$R$2:$R$1993,0)),"-")</f>
        <v>-</v>
      </c>
      <c r="C467" s="2" t="str">
        <f>IFERROR(INDEX(Movimientos!$D$2:$D$1993,MATCH(A467&amp;"ENTRADA",Movimientos!$R$2:$R$1993,0)),"-")</f>
        <v>-</v>
      </c>
      <c r="D467" s="2" t="str">
        <f>IFERROR(INDEX(Movimientos!$E$2:$E$1993,MATCH(A467&amp;"ENTRADA",Movimientos!$R$2:$R$1993,0)),"-")</f>
        <v>-</v>
      </c>
      <c r="E467" s="2" t="str">
        <f>IFERROR(INDEX(Movimientos!$F$2:$F$1993,MATCH(A467&amp;"ENTRADA",Movimientos!$R$2:$R$1993,0)),"-")</f>
        <v>-</v>
      </c>
      <c r="F467" s="2" t="str">
        <f>IFERROR(INDEX(Movimientos!$G$2:$G$1993,MATCH(A467&amp;"ENTRADA",Movimientos!$R$2:$R$1993,0)),"-")</f>
        <v>-</v>
      </c>
      <c r="G467" s="2" t="str">
        <f>IFERROR(INDEX(Movimientos!$L$2:$L$1993,MATCH(A467&amp;"ENTRADA",Movimientos!$R$2:$R$1993,0)),"-")</f>
        <v>-</v>
      </c>
      <c r="H467" s="17" t="str">
        <f>IFERROR(IF(INDEX(Movimientos!$M$2:$M$1993,MATCH(A467&amp;"ENTRADA",Movimientos!$R$2:$R$1993,0))=0,"S/D",INDEX(Movimientos!$M$2:$M$1993,MATCH(A467&amp;"ENTRADA",Movimientos!$R$2:$R$1993,0))),"S/D")</f>
        <v>S/D</v>
      </c>
      <c r="I467" s="15" t="str">
        <f t="shared" ca="1" si="16"/>
        <v>S/D</v>
      </c>
      <c r="J467" s="5">
        <f>IF(A467="","",SUMIFS(Movimientos!$K:$K,Movimientos!$H:$H,A467))</f>
        <v>0</v>
      </c>
      <c r="K467" s="13" t="str">
        <f t="shared" ca="1" si="15"/>
        <v>SIN STOCK</v>
      </c>
    </row>
    <row r="468" spans="1:11">
      <c r="A468" s="16" t="s">
        <v>2773</v>
      </c>
      <c r="B468" s="2" t="str">
        <f>IFERROR(INDEX(Movimientos!$C$2:$C$1993,MATCH(A468&amp;"ENTRADA",Movimientos!$R$2:$R$1993,0)),"-")</f>
        <v>-</v>
      </c>
      <c r="C468" s="2" t="str">
        <f>IFERROR(INDEX(Movimientos!$D$2:$D$1993,MATCH(A468&amp;"ENTRADA",Movimientos!$R$2:$R$1993,0)),"-")</f>
        <v>-</v>
      </c>
      <c r="D468" s="2" t="str">
        <f>IFERROR(INDEX(Movimientos!$E$2:$E$1993,MATCH(A468&amp;"ENTRADA",Movimientos!$R$2:$R$1993,0)),"-")</f>
        <v>-</v>
      </c>
      <c r="E468" s="2" t="str">
        <f>IFERROR(INDEX(Movimientos!$F$2:$F$1993,MATCH(A468&amp;"ENTRADA",Movimientos!$R$2:$R$1993,0)),"-")</f>
        <v>-</v>
      </c>
      <c r="F468" s="2" t="str">
        <f>IFERROR(INDEX(Movimientos!$G$2:$G$1993,MATCH(A468&amp;"ENTRADA",Movimientos!$R$2:$R$1993,0)),"-")</f>
        <v>-</v>
      </c>
      <c r="G468" s="2" t="str">
        <f>IFERROR(INDEX(Movimientos!$L$2:$L$1993,MATCH(A468&amp;"ENTRADA",Movimientos!$R$2:$R$1993,0)),"-")</f>
        <v>-</v>
      </c>
      <c r="H468" s="17" t="str">
        <f>IFERROR(IF(INDEX(Movimientos!$M$2:$M$1993,MATCH(A468&amp;"ENTRADA",Movimientos!$R$2:$R$1993,0))=0,"S/D",INDEX(Movimientos!$M$2:$M$1993,MATCH(A468&amp;"ENTRADA",Movimientos!$R$2:$R$1993,0))),"S/D")</f>
        <v>S/D</v>
      </c>
      <c r="I468" s="15" t="str">
        <f t="shared" ca="1" si="16"/>
        <v>S/D</v>
      </c>
      <c r="J468" s="5">
        <f>IF(A468="","",SUMIFS(Movimientos!$K:$K,Movimientos!$H:$H,A468))</f>
        <v>0</v>
      </c>
      <c r="K468" s="13" t="str">
        <f t="shared" ca="1" si="15"/>
        <v>SIN STOCK</v>
      </c>
    </row>
    <row r="469" spans="1:11">
      <c r="A469" s="16" t="s">
        <v>2774</v>
      </c>
      <c r="B469" s="2" t="str">
        <f>IFERROR(INDEX(Movimientos!$C$2:$C$1993,MATCH(A469&amp;"ENTRADA",Movimientos!$R$2:$R$1993,0)),"-")</f>
        <v>-</v>
      </c>
      <c r="C469" s="2" t="str">
        <f>IFERROR(INDEX(Movimientos!$D$2:$D$1993,MATCH(A469&amp;"ENTRADA",Movimientos!$R$2:$R$1993,0)),"-")</f>
        <v>-</v>
      </c>
      <c r="D469" s="2" t="str">
        <f>IFERROR(INDEX(Movimientos!$E$2:$E$1993,MATCH(A469&amp;"ENTRADA",Movimientos!$R$2:$R$1993,0)),"-")</f>
        <v>-</v>
      </c>
      <c r="E469" s="2" t="str">
        <f>IFERROR(INDEX(Movimientos!$F$2:$F$1993,MATCH(A469&amp;"ENTRADA",Movimientos!$R$2:$R$1993,0)),"-")</f>
        <v>-</v>
      </c>
      <c r="F469" s="2" t="str">
        <f>IFERROR(INDEX(Movimientos!$G$2:$G$1993,MATCH(A469&amp;"ENTRADA",Movimientos!$R$2:$R$1993,0)),"-")</f>
        <v>-</v>
      </c>
      <c r="G469" s="2" t="str">
        <f>IFERROR(INDEX(Movimientos!$L$2:$L$1993,MATCH(A469&amp;"ENTRADA",Movimientos!$R$2:$R$1993,0)),"-")</f>
        <v>-</v>
      </c>
      <c r="H469" s="17" t="str">
        <f>IFERROR(IF(INDEX(Movimientos!$M$2:$M$1993,MATCH(A469&amp;"ENTRADA",Movimientos!$R$2:$R$1993,0))=0,"S/D",INDEX(Movimientos!$M$2:$M$1993,MATCH(A469&amp;"ENTRADA",Movimientos!$R$2:$R$1993,0))),"S/D")</f>
        <v>S/D</v>
      </c>
      <c r="I469" s="15" t="str">
        <f t="shared" ca="1" si="16"/>
        <v>S/D</v>
      </c>
      <c r="J469" s="5">
        <f>IF(A469="","",SUMIFS(Movimientos!$K:$K,Movimientos!$H:$H,A469))</f>
        <v>0</v>
      </c>
      <c r="K469" s="13" t="str">
        <f t="shared" ca="1" si="15"/>
        <v>SIN STOCK</v>
      </c>
    </row>
    <row r="470" spans="1:11">
      <c r="A470" s="16" t="s">
        <v>2775</v>
      </c>
      <c r="B470" s="2" t="str">
        <f>IFERROR(INDEX(Movimientos!$C$2:$C$1993,MATCH(A470&amp;"ENTRADA",Movimientos!$R$2:$R$1993,0)),"-")</f>
        <v>-</v>
      </c>
      <c r="C470" s="2" t="str">
        <f>IFERROR(INDEX(Movimientos!$D$2:$D$1993,MATCH(A470&amp;"ENTRADA",Movimientos!$R$2:$R$1993,0)),"-")</f>
        <v>-</v>
      </c>
      <c r="D470" s="2" t="str">
        <f>IFERROR(INDEX(Movimientos!$E$2:$E$1993,MATCH(A470&amp;"ENTRADA",Movimientos!$R$2:$R$1993,0)),"-")</f>
        <v>-</v>
      </c>
      <c r="E470" s="2" t="str">
        <f>IFERROR(INDEX(Movimientos!$F$2:$F$1993,MATCH(A470&amp;"ENTRADA",Movimientos!$R$2:$R$1993,0)),"-")</f>
        <v>-</v>
      </c>
      <c r="F470" s="2" t="str">
        <f>IFERROR(INDEX(Movimientos!$G$2:$G$1993,MATCH(A470&amp;"ENTRADA",Movimientos!$R$2:$R$1993,0)),"-")</f>
        <v>-</v>
      </c>
      <c r="G470" s="2" t="str">
        <f>IFERROR(INDEX(Movimientos!$L$2:$L$1993,MATCH(A470&amp;"ENTRADA",Movimientos!$R$2:$R$1993,0)),"-")</f>
        <v>-</v>
      </c>
      <c r="H470" s="17" t="str">
        <f>IFERROR(IF(INDEX(Movimientos!$M$2:$M$1993,MATCH(A470&amp;"ENTRADA",Movimientos!$R$2:$R$1993,0))=0,"S/D",INDEX(Movimientos!$M$2:$M$1993,MATCH(A470&amp;"ENTRADA",Movimientos!$R$2:$R$1993,0))),"S/D")</f>
        <v>S/D</v>
      </c>
      <c r="I470" s="15" t="str">
        <f t="shared" ca="1" si="16"/>
        <v>S/D</v>
      </c>
      <c r="J470" s="5">
        <f>IF(A470="","",SUMIFS(Movimientos!$K:$K,Movimientos!$H:$H,A470))</f>
        <v>0</v>
      </c>
      <c r="K470" s="13" t="str">
        <f t="shared" ca="1" si="15"/>
        <v>SIN STOCK</v>
      </c>
    </row>
    <row r="471" spans="1:11">
      <c r="A471" s="16" t="s">
        <v>2776</v>
      </c>
      <c r="B471" s="2" t="str">
        <f>IFERROR(INDEX(Movimientos!$C$2:$C$1993,MATCH(A471&amp;"ENTRADA",Movimientos!$R$2:$R$1993,0)),"-")</f>
        <v>-</v>
      </c>
      <c r="C471" s="2" t="str">
        <f>IFERROR(INDEX(Movimientos!$D$2:$D$1993,MATCH(A471&amp;"ENTRADA",Movimientos!$R$2:$R$1993,0)),"-")</f>
        <v>-</v>
      </c>
      <c r="D471" s="2" t="str">
        <f>IFERROR(INDEX(Movimientos!$E$2:$E$1993,MATCH(A471&amp;"ENTRADA",Movimientos!$R$2:$R$1993,0)),"-")</f>
        <v>-</v>
      </c>
      <c r="E471" s="2" t="str">
        <f>IFERROR(INDEX(Movimientos!$F$2:$F$1993,MATCH(A471&amp;"ENTRADA",Movimientos!$R$2:$R$1993,0)),"-")</f>
        <v>-</v>
      </c>
      <c r="F471" s="2" t="str">
        <f>IFERROR(INDEX(Movimientos!$G$2:$G$1993,MATCH(A471&amp;"ENTRADA",Movimientos!$R$2:$R$1993,0)),"-")</f>
        <v>-</v>
      </c>
      <c r="G471" s="2" t="str">
        <f>IFERROR(INDEX(Movimientos!$L$2:$L$1993,MATCH(A471&amp;"ENTRADA",Movimientos!$R$2:$R$1993,0)),"-")</f>
        <v>-</v>
      </c>
      <c r="H471" s="17" t="str">
        <f>IFERROR(IF(INDEX(Movimientos!$M$2:$M$1993,MATCH(A471&amp;"ENTRADA",Movimientos!$R$2:$R$1993,0))=0,"S/D",INDEX(Movimientos!$M$2:$M$1993,MATCH(A471&amp;"ENTRADA",Movimientos!$R$2:$R$1993,0))),"S/D")</f>
        <v>S/D</v>
      </c>
      <c r="I471" s="15" t="str">
        <f t="shared" ca="1" si="16"/>
        <v>S/D</v>
      </c>
      <c r="J471" s="5">
        <f>IF(A471="","",SUMIFS(Movimientos!$K:$K,Movimientos!$H:$H,A471))</f>
        <v>0</v>
      </c>
      <c r="K471" s="13" t="str">
        <f t="shared" ca="1" si="15"/>
        <v>SIN STOCK</v>
      </c>
    </row>
    <row r="472" spans="1:11">
      <c r="A472" s="16" t="s">
        <v>2777</v>
      </c>
      <c r="B472" s="2" t="str">
        <f>IFERROR(INDEX(Movimientos!$C$2:$C$1993,MATCH(A472&amp;"ENTRADA",Movimientos!$R$2:$R$1993,0)),"-")</f>
        <v>-</v>
      </c>
      <c r="C472" s="2" t="str">
        <f>IFERROR(INDEX(Movimientos!$D$2:$D$1993,MATCH(A472&amp;"ENTRADA",Movimientos!$R$2:$R$1993,0)),"-")</f>
        <v>-</v>
      </c>
      <c r="D472" s="2" t="str">
        <f>IFERROR(INDEX(Movimientos!$E$2:$E$1993,MATCH(A472&amp;"ENTRADA",Movimientos!$R$2:$R$1993,0)),"-")</f>
        <v>-</v>
      </c>
      <c r="E472" s="2" t="str">
        <f>IFERROR(INDEX(Movimientos!$F$2:$F$1993,MATCH(A472&amp;"ENTRADA",Movimientos!$R$2:$R$1993,0)),"-")</f>
        <v>-</v>
      </c>
      <c r="F472" s="2" t="str">
        <f>IFERROR(INDEX(Movimientos!$G$2:$G$1993,MATCH(A472&amp;"ENTRADA",Movimientos!$R$2:$R$1993,0)),"-")</f>
        <v>-</v>
      </c>
      <c r="G472" s="2" t="str">
        <f>IFERROR(INDEX(Movimientos!$L$2:$L$1993,MATCH(A472&amp;"ENTRADA",Movimientos!$R$2:$R$1993,0)),"-")</f>
        <v>-</v>
      </c>
      <c r="H472" s="17" t="str">
        <f>IFERROR(IF(INDEX(Movimientos!$M$2:$M$1993,MATCH(A472&amp;"ENTRADA",Movimientos!$R$2:$R$1993,0))=0,"S/D",INDEX(Movimientos!$M$2:$M$1993,MATCH(A472&amp;"ENTRADA",Movimientos!$R$2:$R$1993,0))),"S/D")</f>
        <v>S/D</v>
      </c>
      <c r="I472" s="15" t="str">
        <f t="shared" ca="1" si="16"/>
        <v>S/D</v>
      </c>
      <c r="J472" s="5">
        <f>IF(A472="","",SUMIFS(Movimientos!$K:$K,Movimientos!$H:$H,A472))</f>
        <v>0</v>
      </c>
      <c r="K472" s="13" t="str">
        <f t="shared" ca="1" si="15"/>
        <v>SIN STOCK</v>
      </c>
    </row>
    <row r="473" spans="1:11">
      <c r="A473" s="16" t="s">
        <v>2778</v>
      </c>
      <c r="B473" s="2" t="str">
        <f>IFERROR(INDEX(Movimientos!$C$2:$C$1993,MATCH(A473&amp;"ENTRADA",Movimientos!$R$2:$R$1993,0)),"-")</f>
        <v>-</v>
      </c>
      <c r="C473" s="2" t="str">
        <f>IFERROR(INDEX(Movimientos!$D$2:$D$1993,MATCH(A473&amp;"ENTRADA",Movimientos!$R$2:$R$1993,0)),"-")</f>
        <v>-</v>
      </c>
      <c r="D473" s="2" t="str">
        <f>IFERROR(INDEX(Movimientos!$E$2:$E$1993,MATCH(A473&amp;"ENTRADA",Movimientos!$R$2:$R$1993,0)),"-")</f>
        <v>-</v>
      </c>
      <c r="E473" s="2" t="str">
        <f>IFERROR(INDEX(Movimientos!$F$2:$F$1993,MATCH(A473&amp;"ENTRADA",Movimientos!$R$2:$R$1993,0)),"-")</f>
        <v>-</v>
      </c>
      <c r="F473" s="2" t="str">
        <f>IFERROR(INDEX(Movimientos!$G$2:$G$1993,MATCH(A473&amp;"ENTRADA",Movimientos!$R$2:$R$1993,0)),"-")</f>
        <v>-</v>
      </c>
      <c r="G473" s="2" t="str">
        <f>IFERROR(INDEX(Movimientos!$L$2:$L$1993,MATCH(A473&amp;"ENTRADA",Movimientos!$R$2:$R$1993,0)),"-")</f>
        <v>-</v>
      </c>
      <c r="H473" s="17" t="str">
        <f>IFERROR(IF(INDEX(Movimientos!$M$2:$M$1993,MATCH(A473&amp;"ENTRADA",Movimientos!$R$2:$R$1993,0))=0,"S/D",INDEX(Movimientos!$M$2:$M$1993,MATCH(A473&amp;"ENTRADA",Movimientos!$R$2:$R$1993,0))),"S/D")</f>
        <v>S/D</v>
      </c>
      <c r="I473" s="15" t="str">
        <f t="shared" ca="1" si="16"/>
        <v>S/D</v>
      </c>
      <c r="J473" s="5">
        <f>IF(A473="","",SUMIFS(Movimientos!$K:$K,Movimientos!$H:$H,A473))</f>
        <v>0</v>
      </c>
      <c r="K473" s="13" t="str">
        <f t="shared" ca="1" si="15"/>
        <v>SIN STOCK</v>
      </c>
    </row>
    <row r="474" spans="1:11">
      <c r="A474" s="16" t="s">
        <v>2779</v>
      </c>
      <c r="B474" s="2" t="str">
        <f>IFERROR(INDEX(Movimientos!$C$2:$C$1993,MATCH(A474&amp;"ENTRADA",Movimientos!$R$2:$R$1993,0)),"-")</f>
        <v>-</v>
      </c>
      <c r="C474" s="2" t="str">
        <f>IFERROR(INDEX(Movimientos!$D$2:$D$1993,MATCH(A474&amp;"ENTRADA",Movimientos!$R$2:$R$1993,0)),"-")</f>
        <v>-</v>
      </c>
      <c r="D474" s="2" t="str">
        <f>IFERROR(INDEX(Movimientos!$E$2:$E$1993,MATCH(A474&amp;"ENTRADA",Movimientos!$R$2:$R$1993,0)),"-")</f>
        <v>-</v>
      </c>
      <c r="E474" s="2" t="str">
        <f>IFERROR(INDEX(Movimientos!$F$2:$F$1993,MATCH(A474&amp;"ENTRADA",Movimientos!$R$2:$R$1993,0)),"-")</f>
        <v>-</v>
      </c>
      <c r="F474" s="2" t="str">
        <f>IFERROR(INDEX(Movimientos!$G$2:$G$1993,MATCH(A474&amp;"ENTRADA",Movimientos!$R$2:$R$1993,0)),"-")</f>
        <v>-</v>
      </c>
      <c r="G474" s="2" t="str">
        <f>IFERROR(INDEX(Movimientos!$L$2:$L$1993,MATCH(A474&amp;"ENTRADA",Movimientos!$R$2:$R$1993,0)),"-")</f>
        <v>-</v>
      </c>
      <c r="H474" s="17" t="str">
        <f>IFERROR(IF(INDEX(Movimientos!$M$2:$M$1993,MATCH(A474&amp;"ENTRADA",Movimientos!$R$2:$R$1993,0))=0,"S/D",INDEX(Movimientos!$M$2:$M$1993,MATCH(A474&amp;"ENTRADA",Movimientos!$R$2:$R$1993,0))),"S/D")</f>
        <v>S/D</v>
      </c>
      <c r="I474" s="15" t="str">
        <f t="shared" ca="1" si="16"/>
        <v>S/D</v>
      </c>
      <c r="J474" s="5">
        <f>IF(A474="","",SUMIFS(Movimientos!$K:$K,Movimientos!$H:$H,A474))</f>
        <v>0</v>
      </c>
      <c r="K474" s="13" t="str">
        <f t="shared" ca="1" si="15"/>
        <v>SIN STOCK</v>
      </c>
    </row>
    <row r="475" spans="1:11">
      <c r="A475" s="16" t="s">
        <v>2780</v>
      </c>
      <c r="B475" s="2" t="str">
        <f>IFERROR(INDEX(Movimientos!$C$2:$C$1993,MATCH(A475&amp;"ENTRADA",Movimientos!$R$2:$R$1993,0)),"-")</f>
        <v>-</v>
      </c>
      <c r="C475" s="2" t="str">
        <f>IFERROR(INDEX(Movimientos!$D$2:$D$1993,MATCH(A475&amp;"ENTRADA",Movimientos!$R$2:$R$1993,0)),"-")</f>
        <v>-</v>
      </c>
      <c r="D475" s="2" t="str">
        <f>IFERROR(INDEX(Movimientos!$E$2:$E$1993,MATCH(A475&amp;"ENTRADA",Movimientos!$R$2:$R$1993,0)),"-")</f>
        <v>-</v>
      </c>
      <c r="E475" s="2" t="str">
        <f>IFERROR(INDEX(Movimientos!$F$2:$F$1993,MATCH(A475&amp;"ENTRADA",Movimientos!$R$2:$R$1993,0)),"-")</f>
        <v>-</v>
      </c>
      <c r="F475" s="2" t="str">
        <f>IFERROR(INDEX(Movimientos!$G$2:$G$1993,MATCH(A475&amp;"ENTRADA",Movimientos!$R$2:$R$1993,0)),"-")</f>
        <v>-</v>
      </c>
      <c r="G475" s="2" t="str">
        <f>IFERROR(INDEX(Movimientos!$L$2:$L$1993,MATCH(A475&amp;"ENTRADA",Movimientos!$R$2:$R$1993,0)),"-")</f>
        <v>-</v>
      </c>
      <c r="H475" s="17" t="str">
        <f>IFERROR(IF(INDEX(Movimientos!$M$2:$M$1993,MATCH(A475&amp;"ENTRADA",Movimientos!$R$2:$R$1993,0))=0,"S/D",INDEX(Movimientos!$M$2:$M$1993,MATCH(A475&amp;"ENTRADA",Movimientos!$R$2:$R$1993,0))),"S/D")</f>
        <v>S/D</v>
      </c>
      <c r="I475" s="15" t="str">
        <f t="shared" ca="1" si="16"/>
        <v>S/D</v>
      </c>
      <c r="J475" s="5">
        <f>IF(A475="","",SUMIFS(Movimientos!$K:$K,Movimientos!$H:$H,A475))</f>
        <v>0</v>
      </c>
      <c r="K475" s="13" t="str">
        <f t="shared" ca="1" si="15"/>
        <v>SIN STOCK</v>
      </c>
    </row>
    <row r="476" spans="1:11">
      <c r="A476" s="16" t="s">
        <v>2781</v>
      </c>
      <c r="B476" s="2" t="str">
        <f>IFERROR(INDEX(Movimientos!$C$2:$C$1993,MATCH(A476&amp;"ENTRADA",Movimientos!$R$2:$R$1993,0)),"-")</f>
        <v>-</v>
      </c>
      <c r="C476" s="2" t="str">
        <f>IFERROR(INDEX(Movimientos!$D$2:$D$1993,MATCH(A476&amp;"ENTRADA",Movimientos!$R$2:$R$1993,0)),"-")</f>
        <v>-</v>
      </c>
      <c r="D476" s="2" t="str">
        <f>IFERROR(INDEX(Movimientos!$E$2:$E$1993,MATCH(A476&amp;"ENTRADA",Movimientos!$R$2:$R$1993,0)),"-")</f>
        <v>-</v>
      </c>
      <c r="E476" s="2" t="str">
        <f>IFERROR(INDEX(Movimientos!$F$2:$F$1993,MATCH(A476&amp;"ENTRADA",Movimientos!$R$2:$R$1993,0)),"-")</f>
        <v>-</v>
      </c>
      <c r="F476" s="2" t="str">
        <f>IFERROR(INDEX(Movimientos!$G$2:$G$1993,MATCH(A476&amp;"ENTRADA",Movimientos!$R$2:$R$1993,0)),"-")</f>
        <v>-</v>
      </c>
      <c r="G476" s="2" t="str">
        <f>IFERROR(INDEX(Movimientos!$L$2:$L$1993,MATCH(A476&amp;"ENTRADA",Movimientos!$R$2:$R$1993,0)),"-")</f>
        <v>-</v>
      </c>
      <c r="H476" s="17" t="str">
        <f>IFERROR(IF(INDEX(Movimientos!$M$2:$M$1993,MATCH(A476&amp;"ENTRADA",Movimientos!$R$2:$R$1993,0))=0,"S/D",INDEX(Movimientos!$M$2:$M$1993,MATCH(A476&amp;"ENTRADA",Movimientos!$R$2:$R$1993,0))),"S/D")</f>
        <v>S/D</v>
      </c>
      <c r="I476" s="15" t="str">
        <f t="shared" ca="1" si="16"/>
        <v>S/D</v>
      </c>
      <c r="J476" s="5">
        <f>IF(A476="","",SUMIFS(Movimientos!$K:$K,Movimientos!$H:$H,A476))</f>
        <v>0</v>
      </c>
      <c r="K476" s="13" t="str">
        <f t="shared" ca="1" si="15"/>
        <v>SIN STOCK</v>
      </c>
    </row>
    <row r="477" spans="1:11">
      <c r="A477" s="16" t="s">
        <v>2782</v>
      </c>
      <c r="B477" s="2" t="str">
        <f>IFERROR(INDEX(Movimientos!$C$2:$C$1993,MATCH(A477&amp;"ENTRADA",Movimientos!$R$2:$R$1993,0)),"-")</f>
        <v>-</v>
      </c>
      <c r="C477" s="2" t="str">
        <f>IFERROR(INDEX(Movimientos!$D$2:$D$1993,MATCH(A477&amp;"ENTRADA",Movimientos!$R$2:$R$1993,0)),"-")</f>
        <v>-</v>
      </c>
      <c r="D477" s="2" t="str">
        <f>IFERROR(INDEX(Movimientos!$E$2:$E$1993,MATCH(A477&amp;"ENTRADA",Movimientos!$R$2:$R$1993,0)),"-")</f>
        <v>-</v>
      </c>
      <c r="E477" s="2" t="str">
        <f>IFERROR(INDEX(Movimientos!$F$2:$F$1993,MATCH(A477&amp;"ENTRADA",Movimientos!$R$2:$R$1993,0)),"-")</f>
        <v>-</v>
      </c>
      <c r="F477" s="2" t="str">
        <f>IFERROR(INDEX(Movimientos!$G$2:$G$1993,MATCH(A477&amp;"ENTRADA",Movimientos!$R$2:$R$1993,0)),"-")</f>
        <v>-</v>
      </c>
      <c r="G477" s="2" t="str">
        <f>IFERROR(INDEX(Movimientos!$L$2:$L$1993,MATCH(A477&amp;"ENTRADA",Movimientos!$R$2:$R$1993,0)),"-")</f>
        <v>-</v>
      </c>
      <c r="H477" s="17" t="str">
        <f>IFERROR(IF(INDEX(Movimientos!$M$2:$M$1993,MATCH(A477&amp;"ENTRADA",Movimientos!$R$2:$R$1993,0))=0,"S/D",INDEX(Movimientos!$M$2:$M$1993,MATCH(A477&amp;"ENTRADA",Movimientos!$R$2:$R$1993,0))),"S/D")</f>
        <v>S/D</v>
      </c>
      <c r="I477" s="15" t="str">
        <f t="shared" ca="1" si="16"/>
        <v>S/D</v>
      </c>
      <c r="J477" s="5">
        <f>IF(A477="","",SUMIFS(Movimientos!$K:$K,Movimientos!$H:$H,A477))</f>
        <v>0</v>
      </c>
      <c r="K477" s="13" t="str">
        <f t="shared" ca="1" si="15"/>
        <v>SIN STOCK</v>
      </c>
    </row>
    <row r="478" spans="1:11">
      <c r="A478" s="16" t="s">
        <v>2783</v>
      </c>
      <c r="B478" s="2" t="str">
        <f>IFERROR(INDEX(Movimientos!$C$2:$C$1993,MATCH(A478&amp;"ENTRADA",Movimientos!$R$2:$R$1993,0)),"-")</f>
        <v>-</v>
      </c>
      <c r="C478" s="2" t="str">
        <f>IFERROR(INDEX(Movimientos!$D$2:$D$1993,MATCH(A478&amp;"ENTRADA",Movimientos!$R$2:$R$1993,0)),"-")</f>
        <v>-</v>
      </c>
      <c r="D478" s="2" t="str">
        <f>IFERROR(INDEX(Movimientos!$E$2:$E$1993,MATCH(A478&amp;"ENTRADA",Movimientos!$R$2:$R$1993,0)),"-")</f>
        <v>-</v>
      </c>
      <c r="E478" s="2" t="str">
        <f>IFERROR(INDEX(Movimientos!$F$2:$F$1993,MATCH(A478&amp;"ENTRADA",Movimientos!$R$2:$R$1993,0)),"-")</f>
        <v>-</v>
      </c>
      <c r="F478" s="2" t="str">
        <f>IFERROR(INDEX(Movimientos!$G$2:$G$1993,MATCH(A478&amp;"ENTRADA",Movimientos!$R$2:$R$1993,0)),"-")</f>
        <v>-</v>
      </c>
      <c r="G478" s="2" t="str">
        <f>IFERROR(INDEX(Movimientos!$L$2:$L$1993,MATCH(A478&amp;"ENTRADA",Movimientos!$R$2:$R$1993,0)),"-")</f>
        <v>-</v>
      </c>
      <c r="H478" s="17" t="str">
        <f>IFERROR(IF(INDEX(Movimientos!$M$2:$M$1993,MATCH(A478&amp;"ENTRADA",Movimientos!$R$2:$R$1993,0))=0,"S/D",INDEX(Movimientos!$M$2:$M$1993,MATCH(A478&amp;"ENTRADA",Movimientos!$R$2:$R$1993,0))),"S/D")</f>
        <v>S/D</v>
      </c>
      <c r="I478" s="15" t="str">
        <f t="shared" ca="1" si="16"/>
        <v>S/D</v>
      </c>
      <c r="J478" s="5">
        <f>IF(A478="","",SUMIFS(Movimientos!$K:$K,Movimientos!$H:$H,A478))</f>
        <v>0</v>
      </c>
      <c r="K478" s="13" t="str">
        <f t="shared" ca="1" si="15"/>
        <v>SIN STOCK</v>
      </c>
    </row>
    <row r="479" spans="1:11">
      <c r="A479" s="16" t="s">
        <v>2784</v>
      </c>
      <c r="B479" s="2" t="str">
        <f>IFERROR(INDEX(Movimientos!$C$2:$C$1993,MATCH(A479&amp;"ENTRADA",Movimientos!$R$2:$R$1993,0)),"-")</f>
        <v>-</v>
      </c>
      <c r="C479" s="2" t="str">
        <f>IFERROR(INDEX(Movimientos!$D$2:$D$1993,MATCH(A479&amp;"ENTRADA",Movimientos!$R$2:$R$1993,0)),"-")</f>
        <v>-</v>
      </c>
      <c r="D479" s="2" t="str">
        <f>IFERROR(INDEX(Movimientos!$E$2:$E$1993,MATCH(A479&amp;"ENTRADA",Movimientos!$R$2:$R$1993,0)),"-")</f>
        <v>-</v>
      </c>
      <c r="E479" s="2" t="str">
        <f>IFERROR(INDEX(Movimientos!$F$2:$F$1993,MATCH(A479&amp;"ENTRADA",Movimientos!$R$2:$R$1993,0)),"-")</f>
        <v>-</v>
      </c>
      <c r="F479" s="2" t="str">
        <f>IFERROR(INDEX(Movimientos!$G$2:$G$1993,MATCH(A479&amp;"ENTRADA",Movimientos!$R$2:$R$1993,0)),"-")</f>
        <v>-</v>
      </c>
      <c r="G479" s="2" t="str">
        <f>IFERROR(INDEX(Movimientos!$L$2:$L$1993,MATCH(A479&amp;"ENTRADA",Movimientos!$R$2:$R$1993,0)),"-")</f>
        <v>-</v>
      </c>
      <c r="H479" s="17" t="str">
        <f>IFERROR(IF(INDEX(Movimientos!$M$2:$M$1993,MATCH(A479&amp;"ENTRADA",Movimientos!$R$2:$R$1993,0))=0,"S/D",INDEX(Movimientos!$M$2:$M$1993,MATCH(A479&amp;"ENTRADA",Movimientos!$R$2:$R$1993,0))),"S/D")</f>
        <v>S/D</v>
      </c>
      <c r="I479" s="15" t="str">
        <f t="shared" ca="1" si="16"/>
        <v>S/D</v>
      </c>
      <c r="J479" s="5">
        <f>IF(A479="","",SUMIFS(Movimientos!$K:$K,Movimientos!$H:$H,A479))</f>
        <v>0</v>
      </c>
      <c r="K479" s="13" t="str">
        <f t="shared" ca="1" si="15"/>
        <v>SIN STOCK</v>
      </c>
    </row>
    <row r="480" spans="1:11">
      <c r="A480" s="16" t="s">
        <v>2785</v>
      </c>
      <c r="B480" s="2" t="str">
        <f>IFERROR(INDEX(Movimientos!$C$2:$C$1993,MATCH(A480&amp;"ENTRADA",Movimientos!$R$2:$R$1993,0)),"-")</f>
        <v>-</v>
      </c>
      <c r="C480" s="2" t="str">
        <f>IFERROR(INDEX(Movimientos!$D$2:$D$1993,MATCH(A480&amp;"ENTRADA",Movimientos!$R$2:$R$1993,0)),"-")</f>
        <v>-</v>
      </c>
      <c r="D480" s="2" t="str">
        <f>IFERROR(INDEX(Movimientos!$E$2:$E$1993,MATCH(A480&amp;"ENTRADA",Movimientos!$R$2:$R$1993,0)),"-")</f>
        <v>-</v>
      </c>
      <c r="E480" s="2" t="str">
        <f>IFERROR(INDEX(Movimientos!$F$2:$F$1993,MATCH(A480&amp;"ENTRADA",Movimientos!$R$2:$R$1993,0)),"-")</f>
        <v>-</v>
      </c>
      <c r="F480" s="2" t="str">
        <f>IFERROR(INDEX(Movimientos!$G$2:$G$1993,MATCH(A480&amp;"ENTRADA",Movimientos!$R$2:$R$1993,0)),"-")</f>
        <v>-</v>
      </c>
      <c r="G480" s="2" t="str">
        <f>IFERROR(INDEX(Movimientos!$L$2:$L$1993,MATCH(A480&amp;"ENTRADA",Movimientos!$R$2:$R$1993,0)),"-")</f>
        <v>-</v>
      </c>
      <c r="H480" s="17" t="str">
        <f>IFERROR(IF(INDEX(Movimientos!$M$2:$M$1993,MATCH(A480&amp;"ENTRADA",Movimientos!$R$2:$R$1993,0))=0,"S/D",INDEX(Movimientos!$M$2:$M$1993,MATCH(A480&amp;"ENTRADA",Movimientos!$R$2:$R$1993,0))),"S/D")</f>
        <v>S/D</v>
      </c>
      <c r="I480" s="15" t="str">
        <f t="shared" ca="1" si="16"/>
        <v>S/D</v>
      </c>
      <c r="J480" s="5">
        <f>IF(A480="","",SUMIFS(Movimientos!$K:$K,Movimientos!$H:$H,A480))</f>
        <v>0</v>
      </c>
      <c r="K480" s="13" t="str">
        <f t="shared" ca="1" si="15"/>
        <v>SIN STOCK</v>
      </c>
    </row>
    <row r="481" spans="1:11">
      <c r="A481" s="16" t="s">
        <v>2786</v>
      </c>
      <c r="B481" s="2" t="str">
        <f>IFERROR(INDEX(Movimientos!$C$2:$C$1993,MATCH(A481&amp;"ENTRADA",Movimientos!$R$2:$R$1993,0)),"-")</f>
        <v>-</v>
      </c>
      <c r="C481" s="2" t="str">
        <f>IFERROR(INDEX(Movimientos!$D$2:$D$1993,MATCH(A481&amp;"ENTRADA",Movimientos!$R$2:$R$1993,0)),"-")</f>
        <v>-</v>
      </c>
      <c r="D481" s="2" t="str">
        <f>IFERROR(INDEX(Movimientos!$E$2:$E$1993,MATCH(A481&amp;"ENTRADA",Movimientos!$R$2:$R$1993,0)),"-")</f>
        <v>-</v>
      </c>
      <c r="E481" s="2" t="str">
        <f>IFERROR(INDEX(Movimientos!$F$2:$F$1993,MATCH(A481&amp;"ENTRADA",Movimientos!$R$2:$R$1993,0)),"-")</f>
        <v>-</v>
      </c>
      <c r="F481" s="2" t="str">
        <f>IFERROR(INDEX(Movimientos!$G$2:$G$1993,MATCH(A481&amp;"ENTRADA",Movimientos!$R$2:$R$1993,0)),"-")</f>
        <v>-</v>
      </c>
      <c r="G481" s="2" t="str">
        <f>IFERROR(INDEX(Movimientos!$L$2:$L$1993,MATCH(A481&amp;"ENTRADA",Movimientos!$R$2:$R$1993,0)),"-")</f>
        <v>-</v>
      </c>
      <c r="H481" s="17" t="str">
        <f>IFERROR(IF(INDEX(Movimientos!$M$2:$M$1993,MATCH(A481&amp;"ENTRADA",Movimientos!$R$2:$R$1993,0))=0,"S/D",INDEX(Movimientos!$M$2:$M$1993,MATCH(A481&amp;"ENTRADA",Movimientos!$R$2:$R$1993,0))),"S/D")</f>
        <v>S/D</v>
      </c>
      <c r="I481" s="15" t="str">
        <f t="shared" ca="1" si="16"/>
        <v>S/D</v>
      </c>
      <c r="J481" s="5">
        <f>IF(A481="","",SUMIFS(Movimientos!$K:$K,Movimientos!$H:$H,A481))</f>
        <v>0</v>
      </c>
      <c r="K481" s="13" t="str">
        <f t="shared" ca="1" si="15"/>
        <v>SIN STOCK</v>
      </c>
    </row>
    <row r="482" spans="1:11">
      <c r="A482" s="16" t="s">
        <v>2787</v>
      </c>
      <c r="B482" s="2" t="str">
        <f>IFERROR(INDEX(Movimientos!$C$2:$C$1993,MATCH(A482&amp;"ENTRADA",Movimientos!$R$2:$R$1993,0)),"-")</f>
        <v>-</v>
      </c>
      <c r="C482" s="2" t="str">
        <f>IFERROR(INDEX(Movimientos!$D$2:$D$1993,MATCH(A482&amp;"ENTRADA",Movimientos!$R$2:$R$1993,0)),"-")</f>
        <v>-</v>
      </c>
      <c r="D482" s="2" t="str">
        <f>IFERROR(INDEX(Movimientos!$E$2:$E$1993,MATCH(A482&amp;"ENTRADA",Movimientos!$R$2:$R$1993,0)),"-")</f>
        <v>-</v>
      </c>
      <c r="E482" s="2" t="str">
        <f>IFERROR(INDEX(Movimientos!$F$2:$F$1993,MATCH(A482&amp;"ENTRADA",Movimientos!$R$2:$R$1993,0)),"-")</f>
        <v>-</v>
      </c>
      <c r="F482" s="2" t="str">
        <f>IFERROR(INDEX(Movimientos!$G$2:$G$1993,MATCH(A482&amp;"ENTRADA",Movimientos!$R$2:$R$1993,0)),"-")</f>
        <v>-</v>
      </c>
      <c r="G482" s="2" t="str">
        <f>IFERROR(INDEX(Movimientos!$L$2:$L$1993,MATCH(A482&amp;"ENTRADA",Movimientos!$R$2:$R$1993,0)),"-")</f>
        <v>-</v>
      </c>
      <c r="H482" s="17" t="str">
        <f>IFERROR(IF(INDEX(Movimientos!$M$2:$M$1993,MATCH(A482&amp;"ENTRADA",Movimientos!$R$2:$R$1993,0))=0,"S/D",INDEX(Movimientos!$M$2:$M$1993,MATCH(A482&amp;"ENTRADA",Movimientos!$R$2:$R$1993,0))),"S/D")</f>
        <v>S/D</v>
      </c>
      <c r="I482" s="15" t="str">
        <f t="shared" ca="1" si="16"/>
        <v>S/D</v>
      </c>
      <c r="J482" s="5">
        <f>IF(A482="","",SUMIFS(Movimientos!$K:$K,Movimientos!$H:$H,A482))</f>
        <v>0</v>
      </c>
      <c r="K482" s="13" t="str">
        <f t="shared" ca="1" si="15"/>
        <v>SIN STOCK</v>
      </c>
    </row>
    <row r="483" spans="1:11">
      <c r="A483" s="16" t="s">
        <v>2788</v>
      </c>
      <c r="B483" s="2" t="str">
        <f>IFERROR(INDEX(Movimientos!$C$2:$C$1993,MATCH(A483&amp;"ENTRADA",Movimientos!$R$2:$R$1993,0)),"-")</f>
        <v>-</v>
      </c>
      <c r="C483" s="2" t="str">
        <f>IFERROR(INDEX(Movimientos!$D$2:$D$1993,MATCH(A483&amp;"ENTRADA",Movimientos!$R$2:$R$1993,0)),"-")</f>
        <v>-</v>
      </c>
      <c r="D483" s="2" t="str">
        <f>IFERROR(INDEX(Movimientos!$E$2:$E$1993,MATCH(A483&amp;"ENTRADA",Movimientos!$R$2:$R$1993,0)),"-")</f>
        <v>-</v>
      </c>
      <c r="E483" s="2" t="str">
        <f>IFERROR(INDEX(Movimientos!$F$2:$F$1993,MATCH(A483&amp;"ENTRADA",Movimientos!$R$2:$R$1993,0)),"-")</f>
        <v>-</v>
      </c>
      <c r="F483" s="2" t="str">
        <f>IFERROR(INDEX(Movimientos!$G$2:$G$1993,MATCH(A483&amp;"ENTRADA",Movimientos!$R$2:$R$1993,0)),"-")</f>
        <v>-</v>
      </c>
      <c r="G483" s="2" t="str">
        <f>IFERROR(INDEX(Movimientos!$L$2:$L$1993,MATCH(A483&amp;"ENTRADA",Movimientos!$R$2:$R$1993,0)),"-")</f>
        <v>-</v>
      </c>
      <c r="H483" s="17" t="str">
        <f>IFERROR(IF(INDEX(Movimientos!$M$2:$M$1993,MATCH(A483&amp;"ENTRADA",Movimientos!$R$2:$R$1993,0))=0,"S/D",INDEX(Movimientos!$M$2:$M$1993,MATCH(A483&amp;"ENTRADA",Movimientos!$R$2:$R$1993,0))),"S/D")</f>
        <v>S/D</v>
      </c>
      <c r="I483" s="15" t="str">
        <f t="shared" ca="1" si="16"/>
        <v>S/D</v>
      </c>
      <c r="J483" s="5">
        <f>IF(A483="","",SUMIFS(Movimientos!$K:$K,Movimientos!$H:$H,A483))</f>
        <v>0</v>
      </c>
      <c r="K483" s="13" t="str">
        <f t="shared" ca="1" si="15"/>
        <v>SIN STOCK</v>
      </c>
    </row>
    <row r="484" spans="1:11">
      <c r="A484" s="16" t="s">
        <v>2789</v>
      </c>
      <c r="B484" s="2" t="str">
        <f>IFERROR(INDEX(Movimientos!$C$2:$C$1993,MATCH(A484&amp;"ENTRADA",Movimientos!$R$2:$R$1993,0)),"-")</f>
        <v>-</v>
      </c>
      <c r="C484" s="2" t="str">
        <f>IFERROR(INDEX(Movimientos!$D$2:$D$1993,MATCH(A484&amp;"ENTRADA",Movimientos!$R$2:$R$1993,0)),"-")</f>
        <v>-</v>
      </c>
      <c r="D484" s="2" t="str">
        <f>IFERROR(INDEX(Movimientos!$E$2:$E$1993,MATCH(A484&amp;"ENTRADA",Movimientos!$R$2:$R$1993,0)),"-")</f>
        <v>-</v>
      </c>
      <c r="E484" s="2" t="str">
        <f>IFERROR(INDEX(Movimientos!$F$2:$F$1993,MATCH(A484&amp;"ENTRADA",Movimientos!$R$2:$R$1993,0)),"-")</f>
        <v>-</v>
      </c>
      <c r="F484" s="2" t="str">
        <f>IFERROR(INDEX(Movimientos!$G$2:$G$1993,MATCH(A484&amp;"ENTRADA",Movimientos!$R$2:$R$1993,0)),"-")</f>
        <v>-</v>
      </c>
      <c r="G484" s="2" t="str">
        <f>IFERROR(INDEX(Movimientos!$L$2:$L$1993,MATCH(A484&amp;"ENTRADA",Movimientos!$R$2:$R$1993,0)),"-")</f>
        <v>-</v>
      </c>
      <c r="H484" s="17" t="str">
        <f>IFERROR(IF(INDEX(Movimientos!$M$2:$M$1993,MATCH(A484&amp;"ENTRADA",Movimientos!$R$2:$R$1993,0))=0,"S/D",INDEX(Movimientos!$M$2:$M$1993,MATCH(A484&amp;"ENTRADA",Movimientos!$R$2:$R$1993,0))),"S/D")</f>
        <v>S/D</v>
      </c>
      <c r="I484" s="15" t="str">
        <f t="shared" ca="1" si="16"/>
        <v>S/D</v>
      </c>
      <c r="J484" s="5">
        <f>IF(A484="","",SUMIFS(Movimientos!$K:$K,Movimientos!$H:$H,A484))</f>
        <v>0</v>
      </c>
      <c r="K484" s="13" t="str">
        <f t="shared" ca="1" si="15"/>
        <v>SIN STOCK</v>
      </c>
    </row>
    <row r="485" spans="1:11">
      <c r="A485" s="16" t="s">
        <v>2790</v>
      </c>
      <c r="B485" s="2" t="str">
        <f>IFERROR(INDEX(Movimientos!$C$2:$C$1993,MATCH(A485&amp;"ENTRADA",Movimientos!$R$2:$R$1993,0)),"-")</f>
        <v>-</v>
      </c>
      <c r="C485" s="2" t="str">
        <f>IFERROR(INDEX(Movimientos!$D$2:$D$1993,MATCH(A485&amp;"ENTRADA",Movimientos!$R$2:$R$1993,0)),"-")</f>
        <v>-</v>
      </c>
      <c r="D485" s="2" t="str">
        <f>IFERROR(INDEX(Movimientos!$E$2:$E$1993,MATCH(A485&amp;"ENTRADA",Movimientos!$R$2:$R$1993,0)),"-")</f>
        <v>-</v>
      </c>
      <c r="E485" s="2" t="str">
        <f>IFERROR(INDEX(Movimientos!$F$2:$F$1993,MATCH(A485&amp;"ENTRADA",Movimientos!$R$2:$R$1993,0)),"-")</f>
        <v>-</v>
      </c>
      <c r="F485" s="2" t="str">
        <f>IFERROR(INDEX(Movimientos!$G$2:$G$1993,MATCH(A485&amp;"ENTRADA",Movimientos!$R$2:$R$1993,0)),"-")</f>
        <v>-</v>
      </c>
      <c r="G485" s="2" t="str">
        <f>IFERROR(INDEX(Movimientos!$L$2:$L$1993,MATCH(A485&amp;"ENTRADA",Movimientos!$R$2:$R$1993,0)),"-")</f>
        <v>-</v>
      </c>
      <c r="H485" s="17" t="str">
        <f>IFERROR(IF(INDEX(Movimientos!$M$2:$M$1993,MATCH(A485&amp;"ENTRADA",Movimientos!$R$2:$R$1993,0))=0,"S/D",INDEX(Movimientos!$M$2:$M$1993,MATCH(A485&amp;"ENTRADA",Movimientos!$R$2:$R$1993,0))),"S/D")</f>
        <v>S/D</v>
      </c>
      <c r="I485" s="15" t="str">
        <f t="shared" ca="1" si="16"/>
        <v>S/D</v>
      </c>
      <c r="J485" s="5">
        <f>IF(A485="","",SUMIFS(Movimientos!$K:$K,Movimientos!$H:$H,A485))</f>
        <v>0</v>
      </c>
      <c r="K485" s="13" t="str">
        <f t="shared" ca="1" si="15"/>
        <v>SIN STOCK</v>
      </c>
    </row>
    <row r="486" spans="1:11">
      <c r="A486" s="16" t="s">
        <v>2791</v>
      </c>
      <c r="B486" s="2" t="str">
        <f>IFERROR(INDEX(Movimientos!$C$2:$C$1993,MATCH(A486&amp;"ENTRADA",Movimientos!$R$2:$R$1993,0)),"-")</f>
        <v>-</v>
      </c>
      <c r="C486" s="2" t="str">
        <f>IFERROR(INDEX(Movimientos!$D$2:$D$1993,MATCH(A486&amp;"ENTRADA",Movimientos!$R$2:$R$1993,0)),"-")</f>
        <v>-</v>
      </c>
      <c r="D486" s="2" t="str">
        <f>IFERROR(INDEX(Movimientos!$E$2:$E$1993,MATCH(A486&amp;"ENTRADA",Movimientos!$R$2:$R$1993,0)),"-")</f>
        <v>-</v>
      </c>
      <c r="E486" s="2" t="str">
        <f>IFERROR(INDEX(Movimientos!$F$2:$F$1993,MATCH(A486&amp;"ENTRADA",Movimientos!$R$2:$R$1993,0)),"-")</f>
        <v>-</v>
      </c>
      <c r="F486" s="2" t="str">
        <f>IFERROR(INDEX(Movimientos!$G$2:$G$1993,MATCH(A486&amp;"ENTRADA",Movimientos!$R$2:$R$1993,0)),"-")</f>
        <v>-</v>
      </c>
      <c r="G486" s="2" t="str">
        <f>IFERROR(INDEX(Movimientos!$L$2:$L$1993,MATCH(A486&amp;"ENTRADA",Movimientos!$R$2:$R$1993,0)),"-")</f>
        <v>-</v>
      </c>
      <c r="H486" s="17" t="str">
        <f>IFERROR(IF(INDEX(Movimientos!$M$2:$M$1993,MATCH(A486&amp;"ENTRADA",Movimientos!$R$2:$R$1993,0))=0,"S/D",INDEX(Movimientos!$M$2:$M$1993,MATCH(A486&amp;"ENTRADA",Movimientos!$R$2:$R$1993,0))),"S/D")</f>
        <v>S/D</v>
      </c>
      <c r="I486" s="15" t="str">
        <f t="shared" ca="1" si="16"/>
        <v>S/D</v>
      </c>
      <c r="J486" s="5">
        <f>IF(A486="","",SUMIFS(Movimientos!$K:$K,Movimientos!$H:$H,A486))</f>
        <v>0</v>
      </c>
      <c r="K486" s="13" t="str">
        <f t="shared" ca="1" si="15"/>
        <v>SIN STOCK</v>
      </c>
    </row>
    <row r="487" spans="1:11">
      <c r="A487" s="16" t="s">
        <v>2792</v>
      </c>
      <c r="B487" s="2" t="str">
        <f>IFERROR(INDEX(Movimientos!$C$2:$C$1993,MATCH(A487&amp;"ENTRADA",Movimientos!$R$2:$R$1993,0)),"-")</f>
        <v>-</v>
      </c>
      <c r="C487" s="2" t="str">
        <f>IFERROR(INDEX(Movimientos!$D$2:$D$1993,MATCH(A487&amp;"ENTRADA",Movimientos!$R$2:$R$1993,0)),"-")</f>
        <v>-</v>
      </c>
      <c r="D487" s="2" t="str">
        <f>IFERROR(INDEX(Movimientos!$E$2:$E$1993,MATCH(A487&amp;"ENTRADA",Movimientos!$R$2:$R$1993,0)),"-")</f>
        <v>-</v>
      </c>
      <c r="E487" s="2" t="str">
        <f>IFERROR(INDEX(Movimientos!$F$2:$F$1993,MATCH(A487&amp;"ENTRADA",Movimientos!$R$2:$R$1993,0)),"-")</f>
        <v>-</v>
      </c>
      <c r="F487" s="2" t="str">
        <f>IFERROR(INDEX(Movimientos!$G$2:$G$1993,MATCH(A487&amp;"ENTRADA",Movimientos!$R$2:$R$1993,0)),"-")</f>
        <v>-</v>
      </c>
      <c r="G487" s="2" t="str">
        <f>IFERROR(INDEX(Movimientos!$L$2:$L$1993,MATCH(A487&amp;"ENTRADA",Movimientos!$R$2:$R$1993,0)),"-")</f>
        <v>-</v>
      </c>
      <c r="H487" s="17" t="str">
        <f>IFERROR(IF(INDEX(Movimientos!$M$2:$M$1993,MATCH(A487&amp;"ENTRADA",Movimientos!$R$2:$R$1993,0))=0,"S/D",INDEX(Movimientos!$M$2:$M$1993,MATCH(A487&amp;"ENTRADA",Movimientos!$R$2:$R$1993,0))),"S/D")</f>
        <v>S/D</v>
      </c>
      <c r="I487" s="15" t="str">
        <f t="shared" ca="1" si="16"/>
        <v>S/D</v>
      </c>
      <c r="J487" s="5">
        <f>IF(A487="","",SUMIFS(Movimientos!$K:$K,Movimientos!$H:$H,A487))</f>
        <v>0</v>
      </c>
      <c r="K487" s="13" t="str">
        <f t="shared" ca="1" si="15"/>
        <v>SIN STOCK</v>
      </c>
    </row>
    <row r="488" spans="1:11">
      <c r="A488" s="16" t="s">
        <v>2793</v>
      </c>
      <c r="B488" s="2" t="str">
        <f>IFERROR(INDEX(Movimientos!$C$2:$C$1993,MATCH(A488&amp;"ENTRADA",Movimientos!$R$2:$R$1993,0)),"-")</f>
        <v>-</v>
      </c>
      <c r="C488" s="2" t="str">
        <f>IFERROR(INDEX(Movimientos!$D$2:$D$1993,MATCH(A488&amp;"ENTRADA",Movimientos!$R$2:$R$1993,0)),"-")</f>
        <v>-</v>
      </c>
      <c r="D488" s="2" t="str">
        <f>IFERROR(INDEX(Movimientos!$E$2:$E$1993,MATCH(A488&amp;"ENTRADA",Movimientos!$R$2:$R$1993,0)),"-")</f>
        <v>-</v>
      </c>
      <c r="E488" s="2" t="str">
        <f>IFERROR(INDEX(Movimientos!$F$2:$F$1993,MATCH(A488&amp;"ENTRADA",Movimientos!$R$2:$R$1993,0)),"-")</f>
        <v>-</v>
      </c>
      <c r="F488" s="2" t="str">
        <f>IFERROR(INDEX(Movimientos!$G$2:$G$1993,MATCH(A488&amp;"ENTRADA",Movimientos!$R$2:$R$1993,0)),"-")</f>
        <v>-</v>
      </c>
      <c r="G488" s="2" t="str">
        <f>IFERROR(INDEX(Movimientos!$L$2:$L$1993,MATCH(A488&amp;"ENTRADA",Movimientos!$R$2:$R$1993,0)),"-")</f>
        <v>-</v>
      </c>
      <c r="H488" s="17" t="str">
        <f>IFERROR(IF(INDEX(Movimientos!$M$2:$M$1993,MATCH(A488&amp;"ENTRADA",Movimientos!$R$2:$R$1993,0))=0,"S/D",INDEX(Movimientos!$M$2:$M$1993,MATCH(A488&amp;"ENTRADA",Movimientos!$R$2:$R$1993,0))),"S/D")</f>
        <v>S/D</v>
      </c>
      <c r="I488" s="15" t="str">
        <f t="shared" ca="1" si="16"/>
        <v>S/D</v>
      </c>
      <c r="J488" s="5">
        <f>IF(A488="","",SUMIFS(Movimientos!$K:$K,Movimientos!$H:$H,A488))</f>
        <v>0</v>
      </c>
      <c r="K488" s="13" t="str">
        <f t="shared" ca="1" si="15"/>
        <v>SIN STOCK</v>
      </c>
    </row>
    <row r="489" spans="1:11">
      <c r="A489" s="16" t="s">
        <v>2794</v>
      </c>
      <c r="B489" s="2" t="str">
        <f>IFERROR(INDEX(Movimientos!$C$2:$C$1993,MATCH(A489&amp;"ENTRADA",Movimientos!$R$2:$R$1993,0)),"-")</f>
        <v>-</v>
      </c>
      <c r="C489" s="2" t="str">
        <f>IFERROR(INDEX(Movimientos!$D$2:$D$1993,MATCH(A489&amp;"ENTRADA",Movimientos!$R$2:$R$1993,0)),"-")</f>
        <v>-</v>
      </c>
      <c r="D489" s="2" t="str">
        <f>IFERROR(INDEX(Movimientos!$E$2:$E$1993,MATCH(A489&amp;"ENTRADA",Movimientos!$R$2:$R$1993,0)),"-")</f>
        <v>-</v>
      </c>
      <c r="E489" s="2" t="str">
        <f>IFERROR(INDEX(Movimientos!$F$2:$F$1993,MATCH(A489&amp;"ENTRADA",Movimientos!$R$2:$R$1993,0)),"-")</f>
        <v>-</v>
      </c>
      <c r="F489" s="2" t="str">
        <f>IFERROR(INDEX(Movimientos!$G$2:$G$1993,MATCH(A489&amp;"ENTRADA",Movimientos!$R$2:$R$1993,0)),"-")</f>
        <v>-</v>
      </c>
      <c r="G489" s="2" t="str">
        <f>IFERROR(INDEX(Movimientos!$L$2:$L$1993,MATCH(A489&amp;"ENTRADA",Movimientos!$R$2:$R$1993,0)),"-")</f>
        <v>-</v>
      </c>
      <c r="H489" s="17" t="str">
        <f>IFERROR(IF(INDEX(Movimientos!$M$2:$M$1993,MATCH(A489&amp;"ENTRADA",Movimientos!$R$2:$R$1993,0))=0,"S/D",INDEX(Movimientos!$M$2:$M$1993,MATCH(A489&amp;"ENTRADA",Movimientos!$R$2:$R$1993,0))),"S/D")</f>
        <v>S/D</v>
      </c>
      <c r="I489" s="15" t="str">
        <f t="shared" ca="1" si="16"/>
        <v>S/D</v>
      </c>
      <c r="J489" s="5">
        <f>IF(A489="","",SUMIFS(Movimientos!$K:$K,Movimientos!$H:$H,A489))</f>
        <v>0</v>
      </c>
      <c r="K489" s="13" t="str">
        <f t="shared" ca="1" si="15"/>
        <v>SIN STOCK</v>
      </c>
    </row>
    <row r="490" spans="1:11">
      <c r="A490" s="16" t="s">
        <v>2795</v>
      </c>
      <c r="B490" s="2" t="str">
        <f>IFERROR(INDEX(Movimientos!$C$2:$C$1993,MATCH(A490&amp;"ENTRADA",Movimientos!$R$2:$R$1993,0)),"-")</f>
        <v>-</v>
      </c>
      <c r="C490" s="2" t="str">
        <f>IFERROR(INDEX(Movimientos!$D$2:$D$1993,MATCH(A490&amp;"ENTRADA",Movimientos!$R$2:$R$1993,0)),"-")</f>
        <v>-</v>
      </c>
      <c r="D490" s="2" t="str">
        <f>IFERROR(INDEX(Movimientos!$E$2:$E$1993,MATCH(A490&amp;"ENTRADA",Movimientos!$R$2:$R$1993,0)),"-")</f>
        <v>-</v>
      </c>
      <c r="E490" s="2" t="str">
        <f>IFERROR(INDEX(Movimientos!$F$2:$F$1993,MATCH(A490&amp;"ENTRADA",Movimientos!$R$2:$R$1993,0)),"-")</f>
        <v>-</v>
      </c>
      <c r="F490" s="2" t="str">
        <f>IFERROR(INDEX(Movimientos!$G$2:$G$1993,MATCH(A490&amp;"ENTRADA",Movimientos!$R$2:$R$1993,0)),"-")</f>
        <v>-</v>
      </c>
      <c r="G490" s="2" t="str">
        <f>IFERROR(INDEX(Movimientos!$L$2:$L$1993,MATCH(A490&amp;"ENTRADA",Movimientos!$R$2:$R$1993,0)),"-")</f>
        <v>-</v>
      </c>
      <c r="H490" s="17" t="str">
        <f>IFERROR(IF(INDEX(Movimientos!$M$2:$M$1993,MATCH(A490&amp;"ENTRADA",Movimientos!$R$2:$R$1993,0))=0,"S/D",INDEX(Movimientos!$M$2:$M$1993,MATCH(A490&amp;"ENTRADA",Movimientos!$R$2:$R$1993,0))),"S/D")</f>
        <v>S/D</v>
      </c>
      <c r="I490" s="15" t="str">
        <f t="shared" ca="1" si="16"/>
        <v>S/D</v>
      </c>
      <c r="J490" s="5">
        <f>IF(A490="","",SUMIFS(Movimientos!$K:$K,Movimientos!$H:$H,A490))</f>
        <v>0</v>
      </c>
      <c r="K490" s="13" t="str">
        <f t="shared" ca="1" si="15"/>
        <v>SIN STOCK</v>
      </c>
    </row>
    <row r="491" spans="1:11">
      <c r="A491" s="16" t="s">
        <v>2796</v>
      </c>
      <c r="B491" s="2" t="str">
        <f>IFERROR(INDEX(Movimientos!$C$2:$C$1993,MATCH(A491&amp;"ENTRADA",Movimientos!$R$2:$R$1993,0)),"-")</f>
        <v>-</v>
      </c>
      <c r="C491" s="2" t="str">
        <f>IFERROR(INDEX(Movimientos!$D$2:$D$1993,MATCH(A491&amp;"ENTRADA",Movimientos!$R$2:$R$1993,0)),"-")</f>
        <v>-</v>
      </c>
      <c r="D491" s="2" t="str">
        <f>IFERROR(INDEX(Movimientos!$E$2:$E$1993,MATCH(A491&amp;"ENTRADA",Movimientos!$R$2:$R$1993,0)),"-")</f>
        <v>-</v>
      </c>
      <c r="E491" s="2" t="str">
        <f>IFERROR(INDEX(Movimientos!$F$2:$F$1993,MATCH(A491&amp;"ENTRADA",Movimientos!$R$2:$R$1993,0)),"-")</f>
        <v>-</v>
      </c>
      <c r="F491" s="2" t="str">
        <f>IFERROR(INDEX(Movimientos!$G$2:$G$1993,MATCH(A491&amp;"ENTRADA",Movimientos!$R$2:$R$1993,0)),"-")</f>
        <v>-</v>
      </c>
      <c r="G491" s="2" t="str">
        <f>IFERROR(INDEX(Movimientos!$L$2:$L$1993,MATCH(A491&amp;"ENTRADA",Movimientos!$R$2:$R$1993,0)),"-")</f>
        <v>-</v>
      </c>
      <c r="H491" s="17" t="str">
        <f>IFERROR(IF(INDEX(Movimientos!$M$2:$M$1993,MATCH(A491&amp;"ENTRADA",Movimientos!$R$2:$R$1993,0))=0,"S/D",INDEX(Movimientos!$M$2:$M$1993,MATCH(A491&amp;"ENTRADA",Movimientos!$R$2:$R$1993,0))),"S/D")</f>
        <v>S/D</v>
      </c>
      <c r="I491" s="15" t="str">
        <f t="shared" ca="1" si="16"/>
        <v>S/D</v>
      </c>
      <c r="J491" s="5">
        <f>IF(A491="","",SUMIFS(Movimientos!$K:$K,Movimientos!$H:$H,A491))</f>
        <v>0</v>
      </c>
      <c r="K491" s="13" t="str">
        <f t="shared" ca="1" si="15"/>
        <v>SIN STOCK</v>
      </c>
    </row>
    <row r="492" spans="1:11">
      <c r="A492" s="16" t="s">
        <v>2797</v>
      </c>
      <c r="B492" s="2" t="str">
        <f>IFERROR(INDEX(Movimientos!$C$2:$C$1993,MATCH(A492&amp;"ENTRADA",Movimientos!$R$2:$R$1993,0)),"-")</f>
        <v>-</v>
      </c>
      <c r="C492" s="2" t="str">
        <f>IFERROR(INDEX(Movimientos!$D$2:$D$1993,MATCH(A492&amp;"ENTRADA",Movimientos!$R$2:$R$1993,0)),"-")</f>
        <v>-</v>
      </c>
      <c r="D492" s="2" t="str">
        <f>IFERROR(INDEX(Movimientos!$E$2:$E$1993,MATCH(A492&amp;"ENTRADA",Movimientos!$R$2:$R$1993,0)),"-")</f>
        <v>-</v>
      </c>
      <c r="E492" s="2" t="str">
        <f>IFERROR(INDEX(Movimientos!$F$2:$F$1993,MATCH(A492&amp;"ENTRADA",Movimientos!$R$2:$R$1993,0)),"-")</f>
        <v>-</v>
      </c>
      <c r="F492" s="2" t="str">
        <f>IFERROR(INDEX(Movimientos!$G$2:$G$1993,MATCH(A492&amp;"ENTRADA",Movimientos!$R$2:$R$1993,0)),"-")</f>
        <v>-</v>
      </c>
      <c r="G492" s="2" t="str">
        <f>IFERROR(INDEX(Movimientos!$L$2:$L$1993,MATCH(A492&amp;"ENTRADA",Movimientos!$R$2:$R$1993,0)),"-")</f>
        <v>-</v>
      </c>
      <c r="H492" s="17" t="str">
        <f>IFERROR(IF(INDEX(Movimientos!$M$2:$M$1993,MATCH(A492&amp;"ENTRADA",Movimientos!$R$2:$R$1993,0))=0,"S/D",INDEX(Movimientos!$M$2:$M$1993,MATCH(A492&amp;"ENTRADA",Movimientos!$R$2:$R$1993,0))),"S/D")</f>
        <v>S/D</v>
      </c>
      <c r="I492" s="15" t="str">
        <f t="shared" ca="1" si="16"/>
        <v>S/D</v>
      </c>
      <c r="J492" s="5">
        <f>IF(A492="","",SUMIFS(Movimientos!$K:$K,Movimientos!$H:$H,A492))</f>
        <v>0</v>
      </c>
      <c r="K492" s="13" t="str">
        <f t="shared" ca="1" si="15"/>
        <v>SIN STOCK</v>
      </c>
    </row>
    <row r="493" spans="1:11">
      <c r="A493" s="16" t="s">
        <v>2798</v>
      </c>
      <c r="B493" s="2" t="str">
        <f>IFERROR(INDEX(Movimientos!$C$2:$C$1993,MATCH(A493&amp;"ENTRADA",Movimientos!$R$2:$R$1993,0)),"-")</f>
        <v>-</v>
      </c>
      <c r="C493" s="2" t="str">
        <f>IFERROR(INDEX(Movimientos!$D$2:$D$1993,MATCH(A493&amp;"ENTRADA",Movimientos!$R$2:$R$1993,0)),"-")</f>
        <v>-</v>
      </c>
      <c r="D493" s="2" t="str">
        <f>IFERROR(INDEX(Movimientos!$E$2:$E$1993,MATCH(A493&amp;"ENTRADA",Movimientos!$R$2:$R$1993,0)),"-")</f>
        <v>-</v>
      </c>
      <c r="E493" s="2" t="str">
        <f>IFERROR(INDEX(Movimientos!$F$2:$F$1993,MATCH(A493&amp;"ENTRADA",Movimientos!$R$2:$R$1993,0)),"-")</f>
        <v>-</v>
      </c>
      <c r="F493" s="2" t="str">
        <f>IFERROR(INDEX(Movimientos!$G$2:$G$1993,MATCH(A493&amp;"ENTRADA",Movimientos!$R$2:$R$1993,0)),"-")</f>
        <v>-</v>
      </c>
      <c r="G493" s="2" t="str">
        <f>IFERROR(INDEX(Movimientos!$L$2:$L$1993,MATCH(A493&amp;"ENTRADA",Movimientos!$R$2:$R$1993,0)),"-")</f>
        <v>-</v>
      </c>
      <c r="H493" s="17" t="str">
        <f>IFERROR(IF(INDEX(Movimientos!$M$2:$M$1993,MATCH(A493&amp;"ENTRADA",Movimientos!$R$2:$R$1993,0))=0,"S/D",INDEX(Movimientos!$M$2:$M$1993,MATCH(A493&amp;"ENTRADA",Movimientos!$R$2:$R$1993,0))),"S/D")</f>
        <v>S/D</v>
      </c>
      <c r="I493" s="15" t="str">
        <f t="shared" ca="1" si="16"/>
        <v>S/D</v>
      </c>
      <c r="J493" s="5">
        <f>IF(A493="","",SUMIFS(Movimientos!$K:$K,Movimientos!$H:$H,A493))</f>
        <v>0</v>
      </c>
      <c r="K493" s="13" t="str">
        <f t="shared" ca="1" si="15"/>
        <v>SIN STOCK</v>
      </c>
    </row>
    <row r="494" spans="1:11">
      <c r="A494" s="16" t="s">
        <v>2799</v>
      </c>
      <c r="B494" s="2" t="str">
        <f>IFERROR(INDEX(Movimientos!$C$2:$C$1993,MATCH(A494&amp;"ENTRADA",Movimientos!$R$2:$R$1993,0)),"-")</f>
        <v>-</v>
      </c>
      <c r="C494" s="2" t="str">
        <f>IFERROR(INDEX(Movimientos!$D$2:$D$1993,MATCH(A494&amp;"ENTRADA",Movimientos!$R$2:$R$1993,0)),"-")</f>
        <v>-</v>
      </c>
      <c r="D494" s="2" t="str">
        <f>IFERROR(INDEX(Movimientos!$E$2:$E$1993,MATCH(A494&amp;"ENTRADA",Movimientos!$R$2:$R$1993,0)),"-")</f>
        <v>-</v>
      </c>
      <c r="E494" s="2" t="str">
        <f>IFERROR(INDEX(Movimientos!$F$2:$F$1993,MATCH(A494&amp;"ENTRADA",Movimientos!$R$2:$R$1993,0)),"-")</f>
        <v>-</v>
      </c>
      <c r="F494" s="2" t="str">
        <f>IFERROR(INDEX(Movimientos!$G$2:$G$1993,MATCH(A494&amp;"ENTRADA",Movimientos!$R$2:$R$1993,0)),"-")</f>
        <v>-</v>
      </c>
      <c r="G494" s="2" t="str">
        <f>IFERROR(INDEX(Movimientos!$L$2:$L$1993,MATCH(A494&amp;"ENTRADA",Movimientos!$R$2:$R$1993,0)),"-")</f>
        <v>-</v>
      </c>
      <c r="H494" s="17" t="str">
        <f>IFERROR(IF(INDEX(Movimientos!$M$2:$M$1993,MATCH(A494&amp;"ENTRADA",Movimientos!$R$2:$R$1993,0))=0,"S/D",INDEX(Movimientos!$M$2:$M$1993,MATCH(A494&amp;"ENTRADA",Movimientos!$R$2:$R$1993,0))),"S/D")</f>
        <v>S/D</v>
      </c>
      <c r="I494" s="15" t="str">
        <f t="shared" ca="1" si="16"/>
        <v>S/D</v>
      </c>
      <c r="J494" s="5">
        <f>IF(A494="","",SUMIFS(Movimientos!$K:$K,Movimientos!$H:$H,A494))</f>
        <v>0</v>
      </c>
      <c r="K494" s="13" t="str">
        <f t="shared" ca="1" si="15"/>
        <v>SIN STOCK</v>
      </c>
    </row>
    <row r="495" spans="1:11">
      <c r="A495" s="16" t="s">
        <v>2800</v>
      </c>
      <c r="B495" s="2" t="str">
        <f>IFERROR(INDEX(Movimientos!$C$2:$C$1993,MATCH(A495&amp;"ENTRADA",Movimientos!$R$2:$R$1993,0)),"-")</f>
        <v>-</v>
      </c>
      <c r="C495" s="2" t="str">
        <f>IFERROR(INDEX(Movimientos!$D$2:$D$1993,MATCH(A495&amp;"ENTRADA",Movimientos!$R$2:$R$1993,0)),"-")</f>
        <v>-</v>
      </c>
      <c r="D495" s="2" t="str">
        <f>IFERROR(INDEX(Movimientos!$E$2:$E$1993,MATCH(A495&amp;"ENTRADA",Movimientos!$R$2:$R$1993,0)),"-")</f>
        <v>-</v>
      </c>
      <c r="E495" s="2" t="str">
        <f>IFERROR(INDEX(Movimientos!$F$2:$F$1993,MATCH(A495&amp;"ENTRADA",Movimientos!$R$2:$R$1993,0)),"-")</f>
        <v>-</v>
      </c>
      <c r="F495" s="2" t="str">
        <f>IFERROR(INDEX(Movimientos!$G$2:$G$1993,MATCH(A495&amp;"ENTRADA",Movimientos!$R$2:$R$1993,0)),"-")</f>
        <v>-</v>
      </c>
      <c r="G495" s="2" t="str">
        <f>IFERROR(INDEX(Movimientos!$L$2:$L$1993,MATCH(A495&amp;"ENTRADA",Movimientos!$R$2:$R$1993,0)),"-")</f>
        <v>-</v>
      </c>
      <c r="H495" s="17" t="str">
        <f>IFERROR(IF(INDEX(Movimientos!$M$2:$M$1993,MATCH(A495&amp;"ENTRADA",Movimientos!$R$2:$R$1993,0))=0,"S/D",INDEX(Movimientos!$M$2:$M$1993,MATCH(A495&amp;"ENTRADA",Movimientos!$R$2:$R$1993,0))),"S/D")</f>
        <v>S/D</v>
      </c>
      <c r="I495" s="15" t="str">
        <f t="shared" ca="1" si="16"/>
        <v>S/D</v>
      </c>
      <c r="J495" s="5">
        <f>IF(A495="","",SUMIFS(Movimientos!$K:$K,Movimientos!$H:$H,A495))</f>
        <v>0</v>
      </c>
      <c r="K495" s="13" t="str">
        <f t="shared" ca="1" si="15"/>
        <v>SIN STOCK</v>
      </c>
    </row>
    <row r="496" spans="1:11">
      <c r="A496" s="16" t="s">
        <v>2801</v>
      </c>
      <c r="B496" s="2" t="str">
        <f>IFERROR(INDEX(Movimientos!$C$2:$C$1993,MATCH(A496&amp;"ENTRADA",Movimientos!$R$2:$R$1993,0)),"-")</f>
        <v>-</v>
      </c>
      <c r="C496" s="2" t="str">
        <f>IFERROR(INDEX(Movimientos!$D$2:$D$1993,MATCH(A496&amp;"ENTRADA",Movimientos!$R$2:$R$1993,0)),"-")</f>
        <v>-</v>
      </c>
      <c r="D496" s="2" t="str">
        <f>IFERROR(INDEX(Movimientos!$E$2:$E$1993,MATCH(A496&amp;"ENTRADA",Movimientos!$R$2:$R$1993,0)),"-")</f>
        <v>-</v>
      </c>
      <c r="E496" s="2" t="str">
        <f>IFERROR(INDEX(Movimientos!$F$2:$F$1993,MATCH(A496&amp;"ENTRADA",Movimientos!$R$2:$R$1993,0)),"-")</f>
        <v>-</v>
      </c>
      <c r="F496" s="2" t="str">
        <f>IFERROR(INDEX(Movimientos!$G$2:$G$1993,MATCH(A496&amp;"ENTRADA",Movimientos!$R$2:$R$1993,0)),"-")</f>
        <v>-</v>
      </c>
      <c r="G496" s="2" t="str">
        <f>IFERROR(INDEX(Movimientos!$L$2:$L$1993,MATCH(A496&amp;"ENTRADA",Movimientos!$R$2:$R$1993,0)),"-")</f>
        <v>-</v>
      </c>
      <c r="H496" s="17" t="str">
        <f>IFERROR(IF(INDEX(Movimientos!$M$2:$M$1993,MATCH(A496&amp;"ENTRADA",Movimientos!$R$2:$R$1993,0))=0,"S/D",INDEX(Movimientos!$M$2:$M$1993,MATCH(A496&amp;"ENTRADA",Movimientos!$R$2:$R$1993,0))),"S/D")</f>
        <v>S/D</v>
      </c>
      <c r="I496" s="15" t="str">
        <f t="shared" ca="1" si="16"/>
        <v>S/D</v>
      </c>
      <c r="J496" s="5">
        <f>IF(A496="","",SUMIFS(Movimientos!$K:$K,Movimientos!$H:$H,A496))</f>
        <v>0</v>
      </c>
      <c r="K496" s="13" t="str">
        <f t="shared" ca="1" si="15"/>
        <v>SIN STOCK</v>
      </c>
    </row>
    <row r="497" spans="1:11">
      <c r="A497" s="16" t="s">
        <v>2802</v>
      </c>
      <c r="B497" s="2" t="str">
        <f>IFERROR(INDEX(Movimientos!$C$2:$C$1993,MATCH(A497&amp;"ENTRADA",Movimientos!$R$2:$R$1993,0)),"-")</f>
        <v>-</v>
      </c>
      <c r="C497" s="2" t="str">
        <f>IFERROR(INDEX(Movimientos!$D$2:$D$1993,MATCH(A497&amp;"ENTRADA",Movimientos!$R$2:$R$1993,0)),"-")</f>
        <v>-</v>
      </c>
      <c r="D497" s="2" t="str">
        <f>IFERROR(INDEX(Movimientos!$E$2:$E$1993,MATCH(A497&amp;"ENTRADA",Movimientos!$R$2:$R$1993,0)),"-")</f>
        <v>-</v>
      </c>
      <c r="E497" s="2" t="str">
        <f>IFERROR(INDEX(Movimientos!$F$2:$F$1993,MATCH(A497&amp;"ENTRADA",Movimientos!$R$2:$R$1993,0)),"-")</f>
        <v>-</v>
      </c>
      <c r="F497" s="2" t="str">
        <f>IFERROR(INDEX(Movimientos!$G$2:$G$1993,MATCH(A497&amp;"ENTRADA",Movimientos!$R$2:$R$1993,0)),"-")</f>
        <v>-</v>
      </c>
      <c r="G497" s="2" t="str">
        <f>IFERROR(INDEX(Movimientos!$L$2:$L$1993,MATCH(A497&amp;"ENTRADA",Movimientos!$R$2:$R$1993,0)),"-")</f>
        <v>-</v>
      </c>
      <c r="H497" s="17" t="str">
        <f>IFERROR(IF(INDEX(Movimientos!$M$2:$M$1993,MATCH(A497&amp;"ENTRADA",Movimientos!$R$2:$R$1993,0))=0,"S/D",INDEX(Movimientos!$M$2:$M$1993,MATCH(A497&amp;"ENTRADA",Movimientos!$R$2:$R$1993,0))),"S/D")</f>
        <v>S/D</v>
      </c>
      <c r="I497" s="15" t="str">
        <f t="shared" ca="1" si="16"/>
        <v>S/D</v>
      </c>
      <c r="J497" s="5">
        <f>IF(A497="","",SUMIFS(Movimientos!$K:$K,Movimientos!$H:$H,A497))</f>
        <v>0</v>
      </c>
      <c r="K497" s="13" t="str">
        <f t="shared" ca="1" si="15"/>
        <v>SIN STOCK</v>
      </c>
    </row>
    <row r="498" spans="1:11">
      <c r="A498" s="16" t="s">
        <v>2803</v>
      </c>
      <c r="B498" s="2" t="str">
        <f>IFERROR(INDEX(Movimientos!$C$2:$C$1993,MATCH(A498&amp;"ENTRADA",Movimientos!$R$2:$R$1993,0)),"-")</f>
        <v>-</v>
      </c>
      <c r="C498" s="2" t="str">
        <f>IFERROR(INDEX(Movimientos!$D$2:$D$1993,MATCH(A498&amp;"ENTRADA",Movimientos!$R$2:$R$1993,0)),"-")</f>
        <v>-</v>
      </c>
      <c r="D498" s="2" t="str">
        <f>IFERROR(INDEX(Movimientos!$E$2:$E$1993,MATCH(A498&amp;"ENTRADA",Movimientos!$R$2:$R$1993,0)),"-")</f>
        <v>-</v>
      </c>
      <c r="E498" s="2" t="str">
        <f>IFERROR(INDEX(Movimientos!$F$2:$F$1993,MATCH(A498&amp;"ENTRADA",Movimientos!$R$2:$R$1993,0)),"-")</f>
        <v>-</v>
      </c>
      <c r="F498" s="2" t="str">
        <f>IFERROR(INDEX(Movimientos!$G$2:$G$1993,MATCH(A498&amp;"ENTRADA",Movimientos!$R$2:$R$1993,0)),"-")</f>
        <v>-</v>
      </c>
      <c r="G498" s="2" t="str">
        <f>IFERROR(INDEX(Movimientos!$L$2:$L$1993,MATCH(A498&amp;"ENTRADA",Movimientos!$R$2:$R$1993,0)),"-")</f>
        <v>-</v>
      </c>
      <c r="H498" s="17" t="str">
        <f>IFERROR(IF(INDEX(Movimientos!$M$2:$M$1993,MATCH(A498&amp;"ENTRADA",Movimientos!$R$2:$R$1993,0))=0,"S/D",INDEX(Movimientos!$M$2:$M$1993,MATCH(A498&amp;"ENTRADA",Movimientos!$R$2:$R$1993,0))),"S/D")</f>
        <v>S/D</v>
      </c>
      <c r="I498" s="15" t="str">
        <f t="shared" ca="1" si="16"/>
        <v>S/D</v>
      </c>
      <c r="J498" s="5">
        <f>IF(A498="","",SUMIFS(Movimientos!$K:$K,Movimientos!$H:$H,A498))</f>
        <v>0</v>
      </c>
      <c r="K498" s="13" t="str">
        <f t="shared" ca="1" si="15"/>
        <v>SIN STOCK</v>
      </c>
    </row>
    <row r="499" spans="1:11">
      <c r="A499" s="16" t="s">
        <v>2804</v>
      </c>
      <c r="B499" s="2" t="str">
        <f>IFERROR(INDEX(Movimientos!$C$2:$C$1993,MATCH(A499&amp;"ENTRADA",Movimientos!$R$2:$R$1993,0)),"-")</f>
        <v>-</v>
      </c>
      <c r="C499" s="2" t="str">
        <f>IFERROR(INDEX(Movimientos!$D$2:$D$1993,MATCH(A499&amp;"ENTRADA",Movimientos!$R$2:$R$1993,0)),"-")</f>
        <v>-</v>
      </c>
      <c r="D499" s="2" t="str">
        <f>IFERROR(INDEX(Movimientos!$E$2:$E$1993,MATCH(A499&amp;"ENTRADA",Movimientos!$R$2:$R$1993,0)),"-")</f>
        <v>-</v>
      </c>
      <c r="E499" s="2" t="str">
        <f>IFERROR(INDEX(Movimientos!$F$2:$F$1993,MATCH(A499&amp;"ENTRADA",Movimientos!$R$2:$R$1993,0)),"-")</f>
        <v>-</v>
      </c>
      <c r="F499" s="2" t="str">
        <f>IFERROR(INDEX(Movimientos!$G$2:$G$1993,MATCH(A499&amp;"ENTRADA",Movimientos!$R$2:$R$1993,0)),"-")</f>
        <v>-</v>
      </c>
      <c r="G499" s="2" t="str">
        <f>IFERROR(INDEX(Movimientos!$L$2:$L$1993,MATCH(A499&amp;"ENTRADA",Movimientos!$R$2:$R$1993,0)),"-")</f>
        <v>-</v>
      </c>
      <c r="H499" s="17" t="str">
        <f>IFERROR(IF(INDEX(Movimientos!$M$2:$M$1993,MATCH(A499&amp;"ENTRADA",Movimientos!$R$2:$R$1993,0))=0,"S/D",INDEX(Movimientos!$M$2:$M$1993,MATCH(A499&amp;"ENTRADA",Movimientos!$R$2:$R$1993,0))),"S/D")</f>
        <v>S/D</v>
      </c>
      <c r="I499" s="15" t="str">
        <f t="shared" ca="1" si="16"/>
        <v>S/D</v>
      </c>
      <c r="J499" s="5">
        <f>IF(A499="","",SUMIFS(Movimientos!$K:$K,Movimientos!$H:$H,A499))</f>
        <v>0</v>
      </c>
      <c r="K499" s="13" t="str">
        <f t="shared" ca="1" si="15"/>
        <v>SIN STOCK</v>
      </c>
    </row>
    <row r="500" spans="1:11">
      <c r="A500" s="16" t="s">
        <v>2805</v>
      </c>
      <c r="B500" s="2" t="str">
        <f>IFERROR(INDEX(Movimientos!$C$2:$C$1993,MATCH(A500&amp;"ENTRADA",Movimientos!$R$2:$R$1993,0)),"-")</f>
        <v>-</v>
      </c>
      <c r="C500" s="2" t="str">
        <f>IFERROR(INDEX(Movimientos!$D$2:$D$1993,MATCH(A500&amp;"ENTRADA",Movimientos!$R$2:$R$1993,0)),"-")</f>
        <v>-</v>
      </c>
      <c r="D500" s="2" t="str">
        <f>IFERROR(INDEX(Movimientos!$E$2:$E$1993,MATCH(A500&amp;"ENTRADA",Movimientos!$R$2:$R$1993,0)),"-")</f>
        <v>-</v>
      </c>
      <c r="E500" s="2" t="str">
        <f>IFERROR(INDEX(Movimientos!$F$2:$F$1993,MATCH(A500&amp;"ENTRADA",Movimientos!$R$2:$R$1993,0)),"-")</f>
        <v>-</v>
      </c>
      <c r="F500" s="2" t="str">
        <f>IFERROR(INDEX(Movimientos!$G$2:$G$1993,MATCH(A500&amp;"ENTRADA",Movimientos!$R$2:$R$1993,0)),"-")</f>
        <v>-</v>
      </c>
      <c r="G500" s="2" t="str">
        <f>IFERROR(INDEX(Movimientos!$L$2:$L$1993,MATCH(A500&amp;"ENTRADA",Movimientos!$R$2:$R$1993,0)),"-")</f>
        <v>-</v>
      </c>
      <c r="H500" s="17" t="str">
        <f>IFERROR(IF(INDEX(Movimientos!$M$2:$M$1993,MATCH(A500&amp;"ENTRADA",Movimientos!$R$2:$R$1993,0))=0,"S/D",INDEX(Movimientos!$M$2:$M$1993,MATCH(A500&amp;"ENTRADA",Movimientos!$R$2:$R$1993,0))),"S/D")</f>
        <v>S/D</v>
      </c>
      <c r="I500" s="15" t="str">
        <f t="shared" ca="1" si="16"/>
        <v>S/D</v>
      </c>
      <c r="J500" s="5">
        <f>IF(A500="","",SUMIFS(Movimientos!$K:$K,Movimientos!$H:$H,A500))</f>
        <v>0</v>
      </c>
      <c r="K500" s="13" t="str">
        <f t="shared" ca="1" si="15"/>
        <v>SIN STOCK</v>
      </c>
    </row>
    <row r="501" spans="1:11">
      <c r="A501" s="16" t="s">
        <v>2806</v>
      </c>
      <c r="B501" s="2" t="str">
        <f>IFERROR(INDEX(Movimientos!$C$2:$C$1993,MATCH(A501&amp;"ENTRADA",Movimientos!$R$2:$R$1993,0)),"-")</f>
        <v>-</v>
      </c>
      <c r="C501" s="2" t="str">
        <f>IFERROR(INDEX(Movimientos!$D$2:$D$1993,MATCH(A501&amp;"ENTRADA",Movimientos!$R$2:$R$1993,0)),"-")</f>
        <v>-</v>
      </c>
      <c r="D501" s="2" t="str">
        <f>IFERROR(INDEX(Movimientos!$E$2:$E$1993,MATCH(A501&amp;"ENTRADA",Movimientos!$R$2:$R$1993,0)),"-")</f>
        <v>-</v>
      </c>
      <c r="E501" s="2" t="str">
        <f>IFERROR(INDEX(Movimientos!$F$2:$F$1993,MATCH(A501&amp;"ENTRADA",Movimientos!$R$2:$R$1993,0)),"-")</f>
        <v>-</v>
      </c>
      <c r="F501" s="2" t="str">
        <f>IFERROR(INDEX(Movimientos!$G$2:$G$1993,MATCH(A501&amp;"ENTRADA",Movimientos!$R$2:$R$1993,0)),"-")</f>
        <v>-</v>
      </c>
      <c r="G501" s="2" t="str">
        <f>IFERROR(INDEX(Movimientos!$L$2:$L$1993,MATCH(A501&amp;"ENTRADA",Movimientos!$R$2:$R$1993,0)),"-")</f>
        <v>-</v>
      </c>
      <c r="H501" s="17" t="str">
        <f>IFERROR(IF(INDEX(Movimientos!$M$2:$M$1993,MATCH(A501&amp;"ENTRADA",Movimientos!$R$2:$R$1993,0))=0,"S/D",INDEX(Movimientos!$M$2:$M$1993,MATCH(A501&amp;"ENTRADA",Movimientos!$R$2:$R$1993,0))),"S/D")</f>
        <v>S/D</v>
      </c>
      <c r="I501" s="15" t="str">
        <f t="shared" ca="1" si="16"/>
        <v>S/D</v>
      </c>
      <c r="J501" s="5">
        <f>IF(A501="","",SUMIFS(Movimientos!$K:$K,Movimientos!$H:$H,A501))</f>
        <v>0</v>
      </c>
      <c r="K501" s="13" t="str">
        <f t="shared" ca="1" si="15"/>
        <v>SIN STOCK</v>
      </c>
    </row>
    <row r="502" spans="1:11">
      <c r="A502" s="16" t="s">
        <v>2807</v>
      </c>
      <c r="B502" s="2" t="str">
        <f>IFERROR(INDEX(Movimientos!$C$2:$C$1993,MATCH(A502&amp;"ENTRADA",Movimientos!$R$2:$R$1993,0)),"-")</f>
        <v>-</v>
      </c>
      <c r="C502" s="2" t="str">
        <f>IFERROR(INDEX(Movimientos!$D$2:$D$1993,MATCH(A502&amp;"ENTRADA",Movimientos!$R$2:$R$1993,0)),"-")</f>
        <v>-</v>
      </c>
      <c r="D502" s="2" t="str">
        <f>IFERROR(INDEX(Movimientos!$E$2:$E$1993,MATCH(A502&amp;"ENTRADA",Movimientos!$R$2:$R$1993,0)),"-")</f>
        <v>-</v>
      </c>
      <c r="E502" s="2" t="str">
        <f>IFERROR(INDEX(Movimientos!$F$2:$F$1993,MATCH(A502&amp;"ENTRADA",Movimientos!$R$2:$R$1993,0)),"-")</f>
        <v>-</v>
      </c>
      <c r="F502" s="2" t="str">
        <f>IFERROR(INDEX(Movimientos!$G$2:$G$1993,MATCH(A502&amp;"ENTRADA",Movimientos!$R$2:$R$1993,0)),"-")</f>
        <v>-</v>
      </c>
      <c r="G502" s="2" t="str">
        <f>IFERROR(INDEX(Movimientos!$L$2:$L$1993,MATCH(A502&amp;"ENTRADA",Movimientos!$R$2:$R$1993,0)),"-")</f>
        <v>-</v>
      </c>
      <c r="H502" s="17" t="str">
        <f>IFERROR(IF(INDEX(Movimientos!$M$2:$M$1993,MATCH(A502&amp;"ENTRADA",Movimientos!$R$2:$R$1993,0))=0,"S/D",INDEX(Movimientos!$M$2:$M$1993,MATCH(A502&amp;"ENTRADA",Movimientos!$R$2:$R$1993,0))),"S/D")</f>
        <v>S/D</v>
      </c>
      <c r="I502" s="15" t="str">
        <f t="shared" ca="1" si="16"/>
        <v>S/D</v>
      </c>
      <c r="J502" s="5">
        <f>IF(A502="","",SUMIFS(Movimientos!$K:$K,Movimientos!$H:$H,A502))</f>
        <v>0</v>
      </c>
      <c r="K502" s="13" t="str">
        <f t="shared" ca="1" si="15"/>
        <v>SIN STOCK</v>
      </c>
    </row>
    <row r="503" spans="1:11">
      <c r="A503" s="16" t="s">
        <v>2808</v>
      </c>
      <c r="B503" s="2" t="str">
        <f>IFERROR(INDEX(Movimientos!$C$2:$C$1993,MATCH(A503&amp;"ENTRADA",Movimientos!$R$2:$R$1993,0)),"-")</f>
        <v>-</v>
      </c>
      <c r="C503" s="2" t="str">
        <f>IFERROR(INDEX(Movimientos!$D$2:$D$1993,MATCH(A503&amp;"ENTRADA",Movimientos!$R$2:$R$1993,0)),"-")</f>
        <v>-</v>
      </c>
      <c r="D503" s="2" t="str">
        <f>IFERROR(INDEX(Movimientos!$E$2:$E$1993,MATCH(A503&amp;"ENTRADA",Movimientos!$R$2:$R$1993,0)),"-")</f>
        <v>-</v>
      </c>
      <c r="E503" s="2" t="str">
        <f>IFERROR(INDEX(Movimientos!$F$2:$F$1993,MATCH(A503&amp;"ENTRADA",Movimientos!$R$2:$R$1993,0)),"-")</f>
        <v>-</v>
      </c>
      <c r="F503" s="2" t="str">
        <f>IFERROR(INDEX(Movimientos!$G$2:$G$1993,MATCH(A503&amp;"ENTRADA",Movimientos!$R$2:$R$1993,0)),"-")</f>
        <v>-</v>
      </c>
      <c r="G503" s="2" t="str">
        <f>IFERROR(INDEX(Movimientos!$L$2:$L$1993,MATCH(A503&amp;"ENTRADA",Movimientos!$R$2:$R$1993,0)),"-")</f>
        <v>-</v>
      </c>
      <c r="H503" s="17" t="str">
        <f>IFERROR(IF(INDEX(Movimientos!$M$2:$M$1993,MATCH(A503&amp;"ENTRADA",Movimientos!$R$2:$R$1993,0))=0,"S/D",INDEX(Movimientos!$M$2:$M$1993,MATCH(A503&amp;"ENTRADA",Movimientos!$R$2:$R$1993,0))),"S/D")</f>
        <v>S/D</v>
      </c>
      <c r="I503" s="15" t="str">
        <f t="shared" ca="1" si="16"/>
        <v>S/D</v>
      </c>
      <c r="J503" s="5">
        <f>IF(A503="","",SUMIFS(Movimientos!$K:$K,Movimientos!$H:$H,A503))</f>
        <v>0</v>
      </c>
      <c r="K503" s="13" t="str">
        <f t="shared" ca="1" si="15"/>
        <v>SIN STOCK</v>
      </c>
    </row>
    <row r="504" spans="1:11">
      <c r="A504" s="16" t="s">
        <v>2809</v>
      </c>
      <c r="B504" s="2" t="str">
        <f>IFERROR(INDEX(Movimientos!$C$2:$C$1993,MATCH(A504&amp;"ENTRADA",Movimientos!$R$2:$R$1993,0)),"-")</f>
        <v>-</v>
      </c>
      <c r="C504" s="2" t="str">
        <f>IFERROR(INDEX(Movimientos!$D$2:$D$1993,MATCH(A504&amp;"ENTRADA",Movimientos!$R$2:$R$1993,0)),"-")</f>
        <v>-</v>
      </c>
      <c r="D504" s="2" t="str">
        <f>IFERROR(INDEX(Movimientos!$E$2:$E$1993,MATCH(A504&amp;"ENTRADA",Movimientos!$R$2:$R$1993,0)),"-")</f>
        <v>-</v>
      </c>
      <c r="E504" s="2" t="str">
        <f>IFERROR(INDEX(Movimientos!$F$2:$F$1993,MATCH(A504&amp;"ENTRADA",Movimientos!$R$2:$R$1993,0)),"-")</f>
        <v>-</v>
      </c>
      <c r="F504" s="2" t="str">
        <f>IFERROR(INDEX(Movimientos!$G$2:$G$1993,MATCH(A504&amp;"ENTRADA",Movimientos!$R$2:$R$1993,0)),"-")</f>
        <v>-</v>
      </c>
      <c r="G504" s="2" t="str">
        <f>IFERROR(INDEX(Movimientos!$L$2:$L$1993,MATCH(A504&amp;"ENTRADA",Movimientos!$R$2:$R$1993,0)),"-")</f>
        <v>-</v>
      </c>
      <c r="H504" s="17" t="str">
        <f>IFERROR(IF(INDEX(Movimientos!$M$2:$M$1993,MATCH(A504&amp;"ENTRADA",Movimientos!$R$2:$R$1993,0))=0,"S/D",INDEX(Movimientos!$M$2:$M$1993,MATCH(A504&amp;"ENTRADA",Movimientos!$R$2:$R$1993,0))),"S/D")</f>
        <v>S/D</v>
      </c>
      <c r="I504" s="15" t="str">
        <f t="shared" ca="1" si="16"/>
        <v>S/D</v>
      </c>
      <c r="J504" s="5">
        <f>IF(A504="","",SUMIFS(Movimientos!$K:$K,Movimientos!$H:$H,A504))</f>
        <v>0</v>
      </c>
      <c r="K504" s="13" t="str">
        <f t="shared" ca="1" si="15"/>
        <v>SIN STOCK</v>
      </c>
    </row>
    <row r="505" spans="1:11">
      <c r="A505" s="16" t="s">
        <v>2810</v>
      </c>
      <c r="B505" s="2" t="str">
        <f>IFERROR(INDEX(Movimientos!$C$2:$C$1993,MATCH(A505&amp;"ENTRADA",Movimientos!$R$2:$R$1993,0)),"-")</f>
        <v>-</v>
      </c>
      <c r="C505" s="2" t="str">
        <f>IFERROR(INDEX(Movimientos!$D$2:$D$1993,MATCH(A505&amp;"ENTRADA",Movimientos!$R$2:$R$1993,0)),"-")</f>
        <v>-</v>
      </c>
      <c r="D505" s="2" t="str">
        <f>IFERROR(INDEX(Movimientos!$E$2:$E$1993,MATCH(A505&amp;"ENTRADA",Movimientos!$R$2:$R$1993,0)),"-")</f>
        <v>-</v>
      </c>
      <c r="E505" s="2" t="str">
        <f>IFERROR(INDEX(Movimientos!$F$2:$F$1993,MATCH(A505&amp;"ENTRADA",Movimientos!$R$2:$R$1993,0)),"-")</f>
        <v>-</v>
      </c>
      <c r="F505" s="2" t="str">
        <f>IFERROR(INDEX(Movimientos!$G$2:$G$1993,MATCH(A505&amp;"ENTRADA",Movimientos!$R$2:$R$1993,0)),"-")</f>
        <v>-</v>
      </c>
      <c r="G505" s="2" t="str">
        <f>IFERROR(INDEX(Movimientos!$L$2:$L$1993,MATCH(A505&amp;"ENTRADA",Movimientos!$R$2:$R$1993,0)),"-")</f>
        <v>-</v>
      </c>
      <c r="H505" s="17" t="str">
        <f>IFERROR(IF(INDEX(Movimientos!$M$2:$M$1993,MATCH(A505&amp;"ENTRADA",Movimientos!$R$2:$R$1993,0))=0,"S/D",INDEX(Movimientos!$M$2:$M$1993,MATCH(A505&amp;"ENTRADA",Movimientos!$R$2:$R$1993,0))),"S/D")</f>
        <v>S/D</v>
      </c>
      <c r="I505" s="15" t="str">
        <f t="shared" ca="1" si="16"/>
        <v>S/D</v>
      </c>
      <c r="J505" s="5">
        <f>IF(A505="","",SUMIFS(Movimientos!$K:$K,Movimientos!$H:$H,A505))</f>
        <v>0</v>
      </c>
      <c r="K505" s="13" t="str">
        <f t="shared" ca="1" si="15"/>
        <v>SIN STOCK</v>
      </c>
    </row>
    <row r="506" spans="1:11">
      <c r="A506" s="16" t="s">
        <v>2811</v>
      </c>
      <c r="B506" s="2" t="str">
        <f>IFERROR(INDEX(Movimientos!$C$2:$C$1993,MATCH(A506&amp;"ENTRADA",Movimientos!$R$2:$R$1993,0)),"-")</f>
        <v>-</v>
      </c>
      <c r="C506" s="2" t="str">
        <f>IFERROR(INDEX(Movimientos!$D$2:$D$1993,MATCH(A506&amp;"ENTRADA",Movimientos!$R$2:$R$1993,0)),"-")</f>
        <v>-</v>
      </c>
      <c r="D506" s="2" t="str">
        <f>IFERROR(INDEX(Movimientos!$E$2:$E$1993,MATCH(A506&amp;"ENTRADA",Movimientos!$R$2:$R$1993,0)),"-")</f>
        <v>-</v>
      </c>
      <c r="E506" s="2" t="str">
        <f>IFERROR(INDEX(Movimientos!$F$2:$F$1993,MATCH(A506&amp;"ENTRADA",Movimientos!$R$2:$R$1993,0)),"-")</f>
        <v>-</v>
      </c>
      <c r="F506" s="2" t="str">
        <f>IFERROR(INDEX(Movimientos!$G$2:$G$1993,MATCH(A506&amp;"ENTRADA",Movimientos!$R$2:$R$1993,0)),"-")</f>
        <v>-</v>
      </c>
      <c r="G506" s="2" t="str">
        <f>IFERROR(INDEX(Movimientos!$L$2:$L$1993,MATCH(A506&amp;"ENTRADA",Movimientos!$R$2:$R$1993,0)),"-")</f>
        <v>-</v>
      </c>
      <c r="H506" s="17" t="str">
        <f>IFERROR(IF(INDEX(Movimientos!$M$2:$M$1993,MATCH(A506&amp;"ENTRADA",Movimientos!$R$2:$R$1993,0))=0,"S/D",INDEX(Movimientos!$M$2:$M$1993,MATCH(A506&amp;"ENTRADA",Movimientos!$R$2:$R$1993,0))),"S/D")</f>
        <v>S/D</v>
      </c>
      <c r="I506" s="15" t="str">
        <f t="shared" ca="1" si="16"/>
        <v>S/D</v>
      </c>
      <c r="J506" s="5">
        <f>IF(A506="","",SUMIFS(Movimientos!$K:$K,Movimientos!$H:$H,A506))</f>
        <v>0</v>
      </c>
      <c r="K506" s="13" t="str">
        <f t="shared" ca="1" si="15"/>
        <v>SIN STOCK</v>
      </c>
    </row>
    <row r="507" spans="1:11">
      <c r="A507" s="16" t="s">
        <v>2812</v>
      </c>
      <c r="B507" s="2" t="str">
        <f>IFERROR(INDEX(Movimientos!$C$2:$C$1993,MATCH(A507&amp;"ENTRADA",Movimientos!$R$2:$R$1993,0)),"-")</f>
        <v>-</v>
      </c>
      <c r="C507" s="2" t="str">
        <f>IFERROR(INDEX(Movimientos!$D$2:$D$1993,MATCH(A507&amp;"ENTRADA",Movimientos!$R$2:$R$1993,0)),"-")</f>
        <v>-</v>
      </c>
      <c r="D507" s="2" t="str">
        <f>IFERROR(INDEX(Movimientos!$E$2:$E$1993,MATCH(A507&amp;"ENTRADA",Movimientos!$R$2:$R$1993,0)),"-")</f>
        <v>-</v>
      </c>
      <c r="E507" s="2" t="str">
        <f>IFERROR(INDEX(Movimientos!$F$2:$F$1993,MATCH(A507&amp;"ENTRADA",Movimientos!$R$2:$R$1993,0)),"-")</f>
        <v>-</v>
      </c>
      <c r="F507" s="2" t="str">
        <f>IFERROR(INDEX(Movimientos!$G$2:$G$1993,MATCH(A507&amp;"ENTRADA",Movimientos!$R$2:$R$1993,0)),"-")</f>
        <v>-</v>
      </c>
      <c r="G507" s="2" t="str">
        <f>IFERROR(INDEX(Movimientos!$L$2:$L$1993,MATCH(A507&amp;"ENTRADA",Movimientos!$R$2:$R$1993,0)),"-")</f>
        <v>-</v>
      </c>
      <c r="H507" s="17" t="str">
        <f>IFERROR(IF(INDEX(Movimientos!$M$2:$M$1993,MATCH(A507&amp;"ENTRADA",Movimientos!$R$2:$R$1993,0))=0,"S/D",INDEX(Movimientos!$M$2:$M$1993,MATCH(A507&amp;"ENTRADA",Movimientos!$R$2:$R$1993,0))),"S/D")</f>
        <v>S/D</v>
      </c>
      <c r="I507" s="15" t="str">
        <f t="shared" ca="1" si="16"/>
        <v>S/D</v>
      </c>
      <c r="J507" s="5">
        <f>IF(A507="","",SUMIFS(Movimientos!$K:$K,Movimientos!$H:$H,A507))</f>
        <v>0</v>
      </c>
      <c r="K507" s="13" t="str">
        <f t="shared" ca="1" si="15"/>
        <v>SIN STOCK</v>
      </c>
    </row>
    <row r="508" spans="1:11">
      <c r="A508" s="16" t="s">
        <v>2813</v>
      </c>
      <c r="B508" s="2" t="str">
        <f>IFERROR(INDEX(Movimientos!$C$2:$C$1993,MATCH(A508&amp;"ENTRADA",Movimientos!$R$2:$R$1993,0)),"-")</f>
        <v>-</v>
      </c>
      <c r="C508" s="2" t="str">
        <f>IFERROR(INDEX(Movimientos!$D$2:$D$1993,MATCH(A508&amp;"ENTRADA",Movimientos!$R$2:$R$1993,0)),"-")</f>
        <v>-</v>
      </c>
      <c r="D508" s="2" t="str">
        <f>IFERROR(INDEX(Movimientos!$E$2:$E$1993,MATCH(A508&amp;"ENTRADA",Movimientos!$R$2:$R$1993,0)),"-")</f>
        <v>-</v>
      </c>
      <c r="E508" s="2" t="str">
        <f>IFERROR(INDEX(Movimientos!$F$2:$F$1993,MATCH(A508&amp;"ENTRADA",Movimientos!$R$2:$R$1993,0)),"-")</f>
        <v>-</v>
      </c>
      <c r="F508" s="2" t="str">
        <f>IFERROR(INDEX(Movimientos!$G$2:$G$1993,MATCH(A508&amp;"ENTRADA",Movimientos!$R$2:$R$1993,0)),"-")</f>
        <v>-</v>
      </c>
      <c r="G508" s="2" t="str">
        <f>IFERROR(INDEX(Movimientos!$L$2:$L$1993,MATCH(A508&amp;"ENTRADA",Movimientos!$R$2:$R$1993,0)),"-")</f>
        <v>-</v>
      </c>
      <c r="H508" s="17" t="str">
        <f>IFERROR(IF(INDEX(Movimientos!$M$2:$M$1993,MATCH(A508&amp;"ENTRADA",Movimientos!$R$2:$R$1993,0))=0,"S/D",INDEX(Movimientos!$M$2:$M$1993,MATCH(A508&amp;"ENTRADA",Movimientos!$R$2:$R$1993,0))),"S/D")</f>
        <v>S/D</v>
      </c>
      <c r="I508" s="15" t="str">
        <f t="shared" ca="1" si="16"/>
        <v>S/D</v>
      </c>
      <c r="J508" s="5">
        <f>IF(A508="","",SUMIFS(Movimientos!$K:$K,Movimientos!$H:$H,A508))</f>
        <v>0</v>
      </c>
      <c r="K508" s="13" t="str">
        <f t="shared" ca="1" si="15"/>
        <v>SIN STOCK</v>
      </c>
    </row>
    <row r="509" spans="1:11">
      <c r="A509" s="16" t="s">
        <v>2814</v>
      </c>
      <c r="B509" s="2" t="str">
        <f>IFERROR(INDEX(Movimientos!$C$2:$C$1993,MATCH(A509&amp;"ENTRADA",Movimientos!$R$2:$R$1993,0)),"-")</f>
        <v>-</v>
      </c>
      <c r="C509" s="2" t="str">
        <f>IFERROR(INDEX(Movimientos!$D$2:$D$1993,MATCH(A509&amp;"ENTRADA",Movimientos!$R$2:$R$1993,0)),"-")</f>
        <v>-</v>
      </c>
      <c r="D509" s="2" t="str">
        <f>IFERROR(INDEX(Movimientos!$E$2:$E$1993,MATCH(A509&amp;"ENTRADA",Movimientos!$R$2:$R$1993,0)),"-")</f>
        <v>-</v>
      </c>
      <c r="E509" s="2" t="str">
        <f>IFERROR(INDEX(Movimientos!$F$2:$F$1993,MATCH(A509&amp;"ENTRADA",Movimientos!$R$2:$R$1993,0)),"-")</f>
        <v>-</v>
      </c>
      <c r="F509" s="2" t="str">
        <f>IFERROR(INDEX(Movimientos!$G$2:$G$1993,MATCH(A509&amp;"ENTRADA",Movimientos!$R$2:$R$1993,0)),"-")</f>
        <v>-</v>
      </c>
      <c r="G509" s="2" t="str">
        <f>IFERROR(INDEX(Movimientos!$L$2:$L$1993,MATCH(A509&amp;"ENTRADA",Movimientos!$R$2:$R$1993,0)),"-")</f>
        <v>-</v>
      </c>
      <c r="H509" s="17" t="str">
        <f>IFERROR(IF(INDEX(Movimientos!$M$2:$M$1993,MATCH(A509&amp;"ENTRADA",Movimientos!$R$2:$R$1993,0))=0,"S/D",INDEX(Movimientos!$M$2:$M$1993,MATCH(A509&amp;"ENTRADA",Movimientos!$R$2:$R$1993,0))),"S/D")</f>
        <v>S/D</v>
      </c>
      <c r="I509" s="15" t="str">
        <f t="shared" ca="1" si="16"/>
        <v>S/D</v>
      </c>
      <c r="J509" s="5">
        <f>IF(A509="","",SUMIFS(Movimientos!$K:$K,Movimientos!$H:$H,A509))</f>
        <v>0</v>
      </c>
      <c r="K509" s="13" t="str">
        <f t="shared" ca="1" si="15"/>
        <v>SIN STOCK</v>
      </c>
    </row>
    <row r="510" spans="1:11">
      <c r="A510" s="16" t="s">
        <v>2815</v>
      </c>
      <c r="B510" s="2" t="str">
        <f>IFERROR(INDEX(Movimientos!$C$2:$C$1993,MATCH(A510&amp;"ENTRADA",Movimientos!$R$2:$R$1993,0)),"-")</f>
        <v>-</v>
      </c>
      <c r="C510" s="2" t="str">
        <f>IFERROR(INDEX(Movimientos!$D$2:$D$1993,MATCH(A510&amp;"ENTRADA",Movimientos!$R$2:$R$1993,0)),"-")</f>
        <v>-</v>
      </c>
      <c r="D510" s="2" t="str">
        <f>IFERROR(INDEX(Movimientos!$E$2:$E$1993,MATCH(A510&amp;"ENTRADA",Movimientos!$R$2:$R$1993,0)),"-")</f>
        <v>-</v>
      </c>
      <c r="E510" s="2" t="str">
        <f>IFERROR(INDEX(Movimientos!$F$2:$F$1993,MATCH(A510&amp;"ENTRADA",Movimientos!$R$2:$R$1993,0)),"-")</f>
        <v>-</v>
      </c>
      <c r="F510" s="2" t="str">
        <f>IFERROR(INDEX(Movimientos!$G$2:$G$1993,MATCH(A510&amp;"ENTRADA",Movimientos!$R$2:$R$1993,0)),"-")</f>
        <v>-</v>
      </c>
      <c r="G510" s="2" t="str">
        <f>IFERROR(INDEX(Movimientos!$L$2:$L$1993,MATCH(A510&amp;"ENTRADA",Movimientos!$R$2:$R$1993,0)),"-")</f>
        <v>-</v>
      </c>
      <c r="H510" s="17" t="str">
        <f>IFERROR(IF(INDEX(Movimientos!$M$2:$M$1993,MATCH(A510&amp;"ENTRADA",Movimientos!$R$2:$R$1993,0))=0,"S/D",INDEX(Movimientos!$M$2:$M$1993,MATCH(A510&amp;"ENTRADA",Movimientos!$R$2:$R$1993,0))),"S/D")</f>
        <v>S/D</v>
      </c>
      <c r="I510" s="15" t="str">
        <f t="shared" ca="1" si="16"/>
        <v>S/D</v>
      </c>
      <c r="J510" s="5">
        <f>IF(A510="","",SUMIFS(Movimientos!$K:$K,Movimientos!$H:$H,A510))</f>
        <v>0</v>
      </c>
      <c r="K510" s="13" t="str">
        <f t="shared" ref="K510:K573" ca="1" si="17">IF(A510="","",IF(J510&lt;0.01,"SIN STOCK",IF(H510="S/D","OK",IF(H510&lt;TODAY(),"VENCIDO",IF(I510&gt;=180,"OK","PRÓXIMO A VENCER")))))</f>
        <v>SIN STOCK</v>
      </c>
    </row>
    <row r="511" spans="1:11">
      <c r="A511" s="16" t="s">
        <v>2816</v>
      </c>
      <c r="B511" s="2" t="str">
        <f>IFERROR(INDEX(Movimientos!$C$2:$C$1993,MATCH(A511&amp;"ENTRADA",Movimientos!$R$2:$R$1993,0)),"-")</f>
        <v>-</v>
      </c>
      <c r="C511" s="2" t="str">
        <f>IFERROR(INDEX(Movimientos!$D$2:$D$1993,MATCH(A511&amp;"ENTRADA",Movimientos!$R$2:$R$1993,0)),"-")</f>
        <v>-</v>
      </c>
      <c r="D511" s="2" t="str">
        <f>IFERROR(INDEX(Movimientos!$E$2:$E$1993,MATCH(A511&amp;"ENTRADA",Movimientos!$R$2:$R$1993,0)),"-")</f>
        <v>-</v>
      </c>
      <c r="E511" s="2" t="str">
        <f>IFERROR(INDEX(Movimientos!$F$2:$F$1993,MATCH(A511&amp;"ENTRADA",Movimientos!$R$2:$R$1993,0)),"-")</f>
        <v>-</v>
      </c>
      <c r="F511" s="2" t="str">
        <f>IFERROR(INDEX(Movimientos!$G$2:$G$1993,MATCH(A511&amp;"ENTRADA",Movimientos!$R$2:$R$1993,0)),"-")</f>
        <v>-</v>
      </c>
      <c r="G511" s="2" t="str">
        <f>IFERROR(INDEX(Movimientos!$L$2:$L$1993,MATCH(A511&amp;"ENTRADA",Movimientos!$R$2:$R$1993,0)),"-")</f>
        <v>-</v>
      </c>
      <c r="H511" s="17" t="str">
        <f>IFERROR(IF(INDEX(Movimientos!$M$2:$M$1993,MATCH(A511&amp;"ENTRADA",Movimientos!$R$2:$R$1993,0))=0,"S/D",INDEX(Movimientos!$M$2:$M$1993,MATCH(A511&amp;"ENTRADA",Movimientos!$R$2:$R$1993,0))),"S/D")</f>
        <v>S/D</v>
      </c>
      <c r="I511" s="15" t="str">
        <f t="shared" ca="1" si="16"/>
        <v>S/D</v>
      </c>
      <c r="J511" s="5">
        <f>IF(A511="","",SUMIFS(Movimientos!$K:$K,Movimientos!$H:$H,A511))</f>
        <v>0</v>
      </c>
      <c r="K511" s="13" t="str">
        <f t="shared" ca="1" si="17"/>
        <v>SIN STOCK</v>
      </c>
    </row>
    <row r="512" spans="1:11">
      <c r="A512" s="16" t="s">
        <v>2817</v>
      </c>
      <c r="B512" s="2" t="str">
        <f>IFERROR(INDEX(Movimientos!$C$2:$C$1993,MATCH(A512&amp;"ENTRADA",Movimientos!$R$2:$R$1993,0)),"-")</f>
        <v>-</v>
      </c>
      <c r="C512" s="2" t="str">
        <f>IFERROR(INDEX(Movimientos!$D$2:$D$1993,MATCH(A512&amp;"ENTRADA",Movimientos!$R$2:$R$1993,0)),"-")</f>
        <v>-</v>
      </c>
      <c r="D512" s="2" t="str">
        <f>IFERROR(INDEX(Movimientos!$E$2:$E$1993,MATCH(A512&amp;"ENTRADA",Movimientos!$R$2:$R$1993,0)),"-")</f>
        <v>-</v>
      </c>
      <c r="E512" s="2" t="str">
        <f>IFERROR(INDEX(Movimientos!$F$2:$F$1993,MATCH(A512&amp;"ENTRADA",Movimientos!$R$2:$R$1993,0)),"-")</f>
        <v>-</v>
      </c>
      <c r="F512" s="2" t="str">
        <f>IFERROR(INDEX(Movimientos!$G$2:$G$1993,MATCH(A512&amp;"ENTRADA",Movimientos!$R$2:$R$1993,0)),"-")</f>
        <v>-</v>
      </c>
      <c r="G512" s="2" t="str">
        <f>IFERROR(INDEX(Movimientos!$L$2:$L$1993,MATCH(A512&amp;"ENTRADA",Movimientos!$R$2:$R$1993,0)),"-")</f>
        <v>-</v>
      </c>
      <c r="H512" s="17" t="str">
        <f>IFERROR(IF(INDEX(Movimientos!$M$2:$M$1993,MATCH(A512&amp;"ENTRADA",Movimientos!$R$2:$R$1993,0))=0,"S/D",INDEX(Movimientos!$M$2:$M$1993,MATCH(A512&amp;"ENTRADA",Movimientos!$R$2:$R$1993,0))),"S/D")</f>
        <v>S/D</v>
      </c>
      <c r="I512" s="15" t="str">
        <f t="shared" ca="1" si="16"/>
        <v>S/D</v>
      </c>
      <c r="J512" s="5">
        <f>IF(A512="","",SUMIFS(Movimientos!$K:$K,Movimientos!$H:$H,A512))</f>
        <v>0</v>
      </c>
      <c r="K512" s="13" t="str">
        <f t="shared" ca="1" si="17"/>
        <v>SIN STOCK</v>
      </c>
    </row>
    <row r="513" spans="1:11">
      <c r="A513" s="16" t="s">
        <v>2818</v>
      </c>
      <c r="B513" s="2" t="str">
        <f>IFERROR(INDEX(Movimientos!$C$2:$C$1993,MATCH(A513&amp;"ENTRADA",Movimientos!$R$2:$R$1993,0)),"-")</f>
        <v>-</v>
      </c>
      <c r="C513" s="2" t="str">
        <f>IFERROR(INDEX(Movimientos!$D$2:$D$1993,MATCH(A513&amp;"ENTRADA",Movimientos!$R$2:$R$1993,0)),"-")</f>
        <v>-</v>
      </c>
      <c r="D513" s="2" t="str">
        <f>IFERROR(INDEX(Movimientos!$E$2:$E$1993,MATCH(A513&amp;"ENTRADA",Movimientos!$R$2:$R$1993,0)),"-")</f>
        <v>-</v>
      </c>
      <c r="E513" s="2" t="str">
        <f>IFERROR(INDEX(Movimientos!$F$2:$F$1993,MATCH(A513&amp;"ENTRADA",Movimientos!$R$2:$R$1993,0)),"-")</f>
        <v>-</v>
      </c>
      <c r="F513" s="2" t="str">
        <f>IFERROR(INDEX(Movimientos!$G$2:$G$1993,MATCH(A513&amp;"ENTRADA",Movimientos!$R$2:$R$1993,0)),"-")</f>
        <v>-</v>
      </c>
      <c r="G513" s="2" t="str">
        <f>IFERROR(INDEX(Movimientos!$L$2:$L$1993,MATCH(A513&amp;"ENTRADA",Movimientos!$R$2:$R$1993,0)),"-")</f>
        <v>-</v>
      </c>
      <c r="H513" s="17" t="str">
        <f>IFERROR(IF(INDEX(Movimientos!$M$2:$M$1993,MATCH(A513&amp;"ENTRADA",Movimientos!$R$2:$R$1993,0))=0,"S/D",INDEX(Movimientos!$M$2:$M$1993,MATCH(A513&amp;"ENTRADA",Movimientos!$R$2:$R$1993,0))),"S/D")</f>
        <v>S/D</v>
      </c>
      <c r="I513" s="15" t="str">
        <f t="shared" ca="1" si="16"/>
        <v>S/D</v>
      </c>
      <c r="J513" s="5">
        <f>IF(A513="","",SUMIFS(Movimientos!$K:$K,Movimientos!$H:$H,A513))</f>
        <v>0</v>
      </c>
      <c r="K513" s="13" t="str">
        <f t="shared" ca="1" si="17"/>
        <v>SIN STOCK</v>
      </c>
    </row>
    <row r="514" spans="1:11">
      <c r="A514" s="16" t="s">
        <v>2819</v>
      </c>
      <c r="B514" s="2" t="str">
        <f>IFERROR(INDEX(Movimientos!$C$2:$C$1993,MATCH(A514&amp;"ENTRADA",Movimientos!$R$2:$R$1993,0)),"-")</f>
        <v>-</v>
      </c>
      <c r="C514" s="2" t="str">
        <f>IFERROR(INDEX(Movimientos!$D$2:$D$1993,MATCH(A514&amp;"ENTRADA",Movimientos!$R$2:$R$1993,0)),"-")</f>
        <v>-</v>
      </c>
      <c r="D514" s="2" t="str">
        <f>IFERROR(INDEX(Movimientos!$E$2:$E$1993,MATCH(A514&amp;"ENTRADA",Movimientos!$R$2:$R$1993,0)),"-")</f>
        <v>-</v>
      </c>
      <c r="E514" s="2" t="str">
        <f>IFERROR(INDEX(Movimientos!$F$2:$F$1993,MATCH(A514&amp;"ENTRADA",Movimientos!$R$2:$R$1993,0)),"-")</f>
        <v>-</v>
      </c>
      <c r="F514" s="2" t="str">
        <f>IFERROR(INDEX(Movimientos!$G$2:$G$1993,MATCH(A514&amp;"ENTRADA",Movimientos!$R$2:$R$1993,0)),"-")</f>
        <v>-</v>
      </c>
      <c r="G514" s="2" t="str">
        <f>IFERROR(INDEX(Movimientos!$L$2:$L$1993,MATCH(A514&amp;"ENTRADA",Movimientos!$R$2:$R$1993,0)),"-")</f>
        <v>-</v>
      </c>
      <c r="H514" s="17" t="str">
        <f>IFERROR(IF(INDEX(Movimientos!$M$2:$M$1993,MATCH(A514&amp;"ENTRADA",Movimientos!$R$2:$R$1993,0))=0,"S/D",INDEX(Movimientos!$M$2:$M$1993,MATCH(A514&amp;"ENTRADA",Movimientos!$R$2:$R$1993,0))),"S/D")</f>
        <v>S/D</v>
      </c>
      <c r="I514" s="15" t="str">
        <f t="shared" ca="1" si="16"/>
        <v>S/D</v>
      </c>
      <c r="J514" s="5">
        <f>IF(A514="","",SUMIFS(Movimientos!$K:$K,Movimientos!$H:$H,A514))</f>
        <v>0</v>
      </c>
      <c r="K514" s="13" t="str">
        <f t="shared" ca="1" si="17"/>
        <v>SIN STOCK</v>
      </c>
    </row>
    <row r="515" spans="1:11">
      <c r="A515" s="16" t="s">
        <v>2820</v>
      </c>
      <c r="B515" s="2" t="str">
        <f>IFERROR(INDEX(Movimientos!$C$2:$C$1993,MATCH(A515&amp;"ENTRADA",Movimientos!$R$2:$R$1993,0)),"-")</f>
        <v>-</v>
      </c>
      <c r="C515" s="2" t="str">
        <f>IFERROR(INDEX(Movimientos!$D$2:$D$1993,MATCH(A515&amp;"ENTRADA",Movimientos!$R$2:$R$1993,0)),"-")</f>
        <v>-</v>
      </c>
      <c r="D515" s="2" t="str">
        <f>IFERROR(INDEX(Movimientos!$E$2:$E$1993,MATCH(A515&amp;"ENTRADA",Movimientos!$R$2:$R$1993,0)),"-")</f>
        <v>-</v>
      </c>
      <c r="E515" s="2" t="str">
        <f>IFERROR(INDEX(Movimientos!$F$2:$F$1993,MATCH(A515&amp;"ENTRADA",Movimientos!$R$2:$R$1993,0)),"-")</f>
        <v>-</v>
      </c>
      <c r="F515" s="2" t="str">
        <f>IFERROR(INDEX(Movimientos!$G$2:$G$1993,MATCH(A515&amp;"ENTRADA",Movimientos!$R$2:$R$1993,0)),"-")</f>
        <v>-</v>
      </c>
      <c r="G515" s="2" t="str">
        <f>IFERROR(INDEX(Movimientos!$L$2:$L$1993,MATCH(A515&amp;"ENTRADA",Movimientos!$R$2:$R$1993,0)),"-")</f>
        <v>-</v>
      </c>
      <c r="H515" s="17" t="str">
        <f>IFERROR(IF(INDEX(Movimientos!$M$2:$M$1993,MATCH(A515&amp;"ENTRADA",Movimientos!$R$2:$R$1993,0))=0,"S/D",INDEX(Movimientos!$M$2:$M$1993,MATCH(A515&amp;"ENTRADA",Movimientos!$R$2:$R$1993,0))),"S/D")</f>
        <v>S/D</v>
      </c>
      <c r="I515" s="15" t="str">
        <f t="shared" ca="1" si="16"/>
        <v>S/D</v>
      </c>
      <c r="J515" s="5">
        <f>IF(A515="","",SUMIFS(Movimientos!$K:$K,Movimientos!$H:$H,A515))</f>
        <v>0</v>
      </c>
      <c r="K515" s="13" t="str">
        <f t="shared" ca="1" si="17"/>
        <v>SIN STOCK</v>
      </c>
    </row>
    <row r="516" spans="1:11">
      <c r="A516" s="16" t="s">
        <v>2821</v>
      </c>
      <c r="B516" s="2" t="str">
        <f>IFERROR(INDEX(Movimientos!$C$2:$C$1993,MATCH(A516&amp;"ENTRADA",Movimientos!$R$2:$R$1993,0)),"-")</f>
        <v>-</v>
      </c>
      <c r="C516" s="2" t="str">
        <f>IFERROR(INDEX(Movimientos!$D$2:$D$1993,MATCH(A516&amp;"ENTRADA",Movimientos!$R$2:$R$1993,0)),"-")</f>
        <v>-</v>
      </c>
      <c r="D516" s="2" t="str">
        <f>IFERROR(INDEX(Movimientos!$E$2:$E$1993,MATCH(A516&amp;"ENTRADA",Movimientos!$R$2:$R$1993,0)),"-")</f>
        <v>-</v>
      </c>
      <c r="E516" s="2" t="str">
        <f>IFERROR(INDEX(Movimientos!$F$2:$F$1993,MATCH(A516&amp;"ENTRADA",Movimientos!$R$2:$R$1993,0)),"-")</f>
        <v>-</v>
      </c>
      <c r="F516" s="2" t="str">
        <f>IFERROR(INDEX(Movimientos!$G$2:$G$1993,MATCH(A516&amp;"ENTRADA",Movimientos!$R$2:$R$1993,0)),"-")</f>
        <v>-</v>
      </c>
      <c r="G516" s="2" t="str">
        <f>IFERROR(INDEX(Movimientos!$L$2:$L$1993,MATCH(A516&amp;"ENTRADA",Movimientos!$R$2:$R$1993,0)),"-")</f>
        <v>-</v>
      </c>
      <c r="H516" s="17" t="str">
        <f>IFERROR(IF(INDEX(Movimientos!$M$2:$M$1993,MATCH(A516&amp;"ENTRADA",Movimientos!$R$2:$R$1993,0))=0,"S/D",INDEX(Movimientos!$M$2:$M$1993,MATCH(A516&amp;"ENTRADA",Movimientos!$R$2:$R$1993,0))),"S/D")</f>
        <v>S/D</v>
      </c>
      <c r="I516" s="15" t="str">
        <f t="shared" ca="1" si="16"/>
        <v>S/D</v>
      </c>
      <c r="J516" s="5">
        <f>IF(A516="","",SUMIFS(Movimientos!$K:$K,Movimientos!$H:$H,A516))</f>
        <v>0</v>
      </c>
      <c r="K516" s="13" t="str">
        <f t="shared" ca="1" si="17"/>
        <v>SIN STOCK</v>
      </c>
    </row>
    <row r="517" spans="1:11">
      <c r="A517" s="16" t="s">
        <v>2822</v>
      </c>
      <c r="B517" s="2" t="str">
        <f>IFERROR(INDEX(Movimientos!$C$2:$C$1993,MATCH(A517&amp;"ENTRADA",Movimientos!$R$2:$R$1993,0)),"-")</f>
        <v>-</v>
      </c>
      <c r="C517" s="2" t="str">
        <f>IFERROR(INDEX(Movimientos!$D$2:$D$1993,MATCH(A517&amp;"ENTRADA",Movimientos!$R$2:$R$1993,0)),"-")</f>
        <v>-</v>
      </c>
      <c r="D517" s="2" t="str">
        <f>IFERROR(INDEX(Movimientos!$E$2:$E$1993,MATCH(A517&amp;"ENTRADA",Movimientos!$R$2:$R$1993,0)),"-")</f>
        <v>-</v>
      </c>
      <c r="E517" s="2" t="str">
        <f>IFERROR(INDEX(Movimientos!$F$2:$F$1993,MATCH(A517&amp;"ENTRADA",Movimientos!$R$2:$R$1993,0)),"-")</f>
        <v>-</v>
      </c>
      <c r="F517" s="2" t="str">
        <f>IFERROR(INDEX(Movimientos!$G$2:$G$1993,MATCH(A517&amp;"ENTRADA",Movimientos!$R$2:$R$1993,0)),"-")</f>
        <v>-</v>
      </c>
      <c r="G517" s="2" t="str">
        <f>IFERROR(INDEX(Movimientos!$L$2:$L$1993,MATCH(A517&amp;"ENTRADA",Movimientos!$R$2:$R$1993,0)),"-")</f>
        <v>-</v>
      </c>
      <c r="H517" s="17" t="str">
        <f>IFERROR(IF(INDEX(Movimientos!$M$2:$M$1993,MATCH(A517&amp;"ENTRADA",Movimientos!$R$2:$R$1993,0))=0,"S/D",INDEX(Movimientos!$M$2:$M$1993,MATCH(A517&amp;"ENTRADA",Movimientos!$R$2:$R$1993,0))),"S/D")</f>
        <v>S/D</v>
      </c>
      <c r="I517" s="15" t="str">
        <f t="shared" ref="I517:I580" ca="1" si="18">IF(OR(A517="",H517="S/D"),"S/D",H517-TODAY())</f>
        <v>S/D</v>
      </c>
      <c r="J517" s="5">
        <f>IF(A517="","",SUMIFS(Movimientos!$K:$K,Movimientos!$H:$H,A517))</f>
        <v>0</v>
      </c>
      <c r="K517" s="13" t="str">
        <f t="shared" ca="1" si="17"/>
        <v>SIN STOCK</v>
      </c>
    </row>
    <row r="518" spans="1:11">
      <c r="A518" s="16" t="s">
        <v>2823</v>
      </c>
      <c r="B518" s="2" t="str">
        <f>IFERROR(INDEX(Movimientos!$C$2:$C$1993,MATCH(A518&amp;"ENTRADA",Movimientos!$R$2:$R$1993,0)),"-")</f>
        <v>-</v>
      </c>
      <c r="C518" s="2" t="str">
        <f>IFERROR(INDEX(Movimientos!$D$2:$D$1993,MATCH(A518&amp;"ENTRADA",Movimientos!$R$2:$R$1993,0)),"-")</f>
        <v>-</v>
      </c>
      <c r="D518" s="2" t="str">
        <f>IFERROR(INDEX(Movimientos!$E$2:$E$1993,MATCH(A518&amp;"ENTRADA",Movimientos!$R$2:$R$1993,0)),"-")</f>
        <v>-</v>
      </c>
      <c r="E518" s="2" t="str">
        <f>IFERROR(INDEX(Movimientos!$F$2:$F$1993,MATCH(A518&amp;"ENTRADA",Movimientos!$R$2:$R$1993,0)),"-")</f>
        <v>-</v>
      </c>
      <c r="F518" s="2" t="str">
        <f>IFERROR(INDEX(Movimientos!$G$2:$G$1993,MATCH(A518&amp;"ENTRADA",Movimientos!$R$2:$R$1993,0)),"-")</f>
        <v>-</v>
      </c>
      <c r="G518" s="2" t="str">
        <f>IFERROR(INDEX(Movimientos!$L$2:$L$1993,MATCH(A518&amp;"ENTRADA",Movimientos!$R$2:$R$1993,0)),"-")</f>
        <v>-</v>
      </c>
      <c r="H518" s="17" t="str">
        <f>IFERROR(IF(INDEX(Movimientos!$M$2:$M$1993,MATCH(A518&amp;"ENTRADA",Movimientos!$R$2:$R$1993,0))=0,"S/D",INDEX(Movimientos!$M$2:$M$1993,MATCH(A518&amp;"ENTRADA",Movimientos!$R$2:$R$1993,0))),"S/D")</f>
        <v>S/D</v>
      </c>
      <c r="I518" s="15" t="str">
        <f t="shared" ca="1" si="18"/>
        <v>S/D</v>
      </c>
      <c r="J518" s="5">
        <f>IF(A518="","",SUMIFS(Movimientos!$K:$K,Movimientos!$H:$H,A518))</f>
        <v>0</v>
      </c>
      <c r="K518" s="13" t="str">
        <f t="shared" ca="1" si="17"/>
        <v>SIN STOCK</v>
      </c>
    </row>
    <row r="519" spans="1:11">
      <c r="A519" s="16" t="s">
        <v>2824</v>
      </c>
      <c r="B519" s="2" t="str">
        <f>IFERROR(INDEX(Movimientos!$C$2:$C$1993,MATCH(A519&amp;"ENTRADA",Movimientos!$R$2:$R$1993,0)),"-")</f>
        <v>-</v>
      </c>
      <c r="C519" s="2" t="str">
        <f>IFERROR(INDEX(Movimientos!$D$2:$D$1993,MATCH(A519&amp;"ENTRADA",Movimientos!$R$2:$R$1993,0)),"-")</f>
        <v>-</v>
      </c>
      <c r="D519" s="2" t="str">
        <f>IFERROR(INDEX(Movimientos!$E$2:$E$1993,MATCH(A519&amp;"ENTRADA",Movimientos!$R$2:$R$1993,0)),"-")</f>
        <v>-</v>
      </c>
      <c r="E519" s="2" t="str">
        <f>IFERROR(INDEX(Movimientos!$F$2:$F$1993,MATCH(A519&amp;"ENTRADA",Movimientos!$R$2:$R$1993,0)),"-")</f>
        <v>-</v>
      </c>
      <c r="F519" s="2" t="str">
        <f>IFERROR(INDEX(Movimientos!$G$2:$G$1993,MATCH(A519&amp;"ENTRADA",Movimientos!$R$2:$R$1993,0)),"-")</f>
        <v>-</v>
      </c>
      <c r="G519" s="2" t="str">
        <f>IFERROR(INDEX(Movimientos!$L$2:$L$1993,MATCH(A519&amp;"ENTRADA",Movimientos!$R$2:$R$1993,0)),"-")</f>
        <v>-</v>
      </c>
      <c r="H519" s="17" t="str">
        <f>IFERROR(IF(INDEX(Movimientos!$M$2:$M$1993,MATCH(A519&amp;"ENTRADA",Movimientos!$R$2:$R$1993,0))=0,"S/D",INDEX(Movimientos!$M$2:$M$1993,MATCH(A519&amp;"ENTRADA",Movimientos!$R$2:$R$1993,0))),"S/D")</f>
        <v>S/D</v>
      </c>
      <c r="I519" s="15" t="str">
        <f t="shared" ca="1" si="18"/>
        <v>S/D</v>
      </c>
      <c r="J519" s="5">
        <f>IF(A519="","",SUMIFS(Movimientos!$K:$K,Movimientos!$H:$H,A519))</f>
        <v>0</v>
      </c>
      <c r="K519" s="13" t="str">
        <f t="shared" ca="1" si="17"/>
        <v>SIN STOCK</v>
      </c>
    </row>
    <row r="520" spans="1:11">
      <c r="A520" s="16" t="s">
        <v>2825</v>
      </c>
      <c r="B520" s="2" t="str">
        <f>IFERROR(INDEX(Movimientos!$C$2:$C$1993,MATCH(A520&amp;"ENTRADA",Movimientos!$R$2:$R$1993,0)),"-")</f>
        <v>-</v>
      </c>
      <c r="C520" s="2" t="str">
        <f>IFERROR(INDEX(Movimientos!$D$2:$D$1993,MATCH(A520&amp;"ENTRADA",Movimientos!$R$2:$R$1993,0)),"-")</f>
        <v>-</v>
      </c>
      <c r="D520" s="2" t="str">
        <f>IFERROR(INDEX(Movimientos!$E$2:$E$1993,MATCH(A520&amp;"ENTRADA",Movimientos!$R$2:$R$1993,0)),"-")</f>
        <v>-</v>
      </c>
      <c r="E520" s="2" t="str">
        <f>IFERROR(INDEX(Movimientos!$F$2:$F$1993,MATCH(A520&amp;"ENTRADA",Movimientos!$R$2:$R$1993,0)),"-")</f>
        <v>-</v>
      </c>
      <c r="F520" s="2" t="str">
        <f>IFERROR(INDEX(Movimientos!$G$2:$G$1993,MATCH(A520&amp;"ENTRADA",Movimientos!$R$2:$R$1993,0)),"-")</f>
        <v>-</v>
      </c>
      <c r="G520" s="2" t="str">
        <f>IFERROR(INDEX(Movimientos!$L$2:$L$1993,MATCH(A520&amp;"ENTRADA",Movimientos!$R$2:$R$1993,0)),"-")</f>
        <v>-</v>
      </c>
      <c r="H520" s="17" t="str">
        <f>IFERROR(IF(INDEX(Movimientos!$M$2:$M$1993,MATCH(A520&amp;"ENTRADA",Movimientos!$R$2:$R$1993,0))=0,"S/D",INDEX(Movimientos!$M$2:$M$1993,MATCH(A520&amp;"ENTRADA",Movimientos!$R$2:$R$1993,0))),"S/D")</f>
        <v>S/D</v>
      </c>
      <c r="I520" s="15" t="str">
        <f t="shared" ca="1" si="18"/>
        <v>S/D</v>
      </c>
      <c r="J520" s="5">
        <f>IF(A520="","",SUMIFS(Movimientos!$K:$K,Movimientos!$H:$H,A520))</f>
        <v>0</v>
      </c>
      <c r="K520" s="13" t="str">
        <f t="shared" ca="1" si="17"/>
        <v>SIN STOCK</v>
      </c>
    </row>
    <row r="521" spans="1:11">
      <c r="A521" s="16" t="s">
        <v>2826</v>
      </c>
      <c r="B521" s="2" t="str">
        <f>IFERROR(INDEX(Movimientos!$C$2:$C$1993,MATCH(A521&amp;"ENTRADA",Movimientos!$R$2:$R$1993,0)),"-")</f>
        <v>-</v>
      </c>
      <c r="C521" s="2" t="str">
        <f>IFERROR(INDEX(Movimientos!$D$2:$D$1993,MATCH(A521&amp;"ENTRADA",Movimientos!$R$2:$R$1993,0)),"-")</f>
        <v>-</v>
      </c>
      <c r="D521" s="2" t="str">
        <f>IFERROR(INDEX(Movimientos!$E$2:$E$1993,MATCH(A521&amp;"ENTRADA",Movimientos!$R$2:$R$1993,0)),"-")</f>
        <v>-</v>
      </c>
      <c r="E521" s="2" t="str">
        <f>IFERROR(INDEX(Movimientos!$F$2:$F$1993,MATCH(A521&amp;"ENTRADA",Movimientos!$R$2:$R$1993,0)),"-")</f>
        <v>-</v>
      </c>
      <c r="F521" s="2" t="str">
        <f>IFERROR(INDEX(Movimientos!$G$2:$G$1993,MATCH(A521&amp;"ENTRADA",Movimientos!$R$2:$R$1993,0)),"-")</f>
        <v>-</v>
      </c>
      <c r="G521" s="2" t="str">
        <f>IFERROR(INDEX(Movimientos!$L$2:$L$1993,MATCH(A521&amp;"ENTRADA",Movimientos!$R$2:$R$1993,0)),"-")</f>
        <v>-</v>
      </c>
      <c r="H521" s="17" t="str">
        <f>IFERROR(IF(INDEX(Movimientos!$M$2:$M$1993,MATCH(A521&amp;"ENTRADA",Movimientos!$R$2:$R$1993,0))=0,"S/D",INDEX(Movimientos!$M$2:$M$1993,MATCH(A521&amp;"ENTRADA",Movimientos!$R$2:$R$1993,0))),"S/D")</f>
        <v>S/D</v>
      </c>
      <c r="I521" s="15" t="str">
        <f t="shared" ca="1" si="18"/>
        <v>S/D</v>
      </c>
      <c r="J521" s="5">
        <f>IF(A521="","",SUMIFS(Movimientos!$K:$K,Movimientos!$H:$H,A521))</f>
        <v>0</v>
      </c>
      <c r="K521" s="13" t="str">
        <f t="shared" ca="1" si="17"/>
        <v>SIN STOCK</v>
      </c>
    </row>
    <row r="522" spans="1:11">
      <c r="A522" s="16" t="s">
        <v>2827</v>
      </c>
      <c r="B522" s="2" t="str">
        <f>IFERROR(INDEX(Movimientos!$C$2:$C$1993,MATCH(A522&amp;"ENTRADA",Movimientos!$R$2:$R$1993,0)),"-")</f>
        <v>-</v>
      </c>
      <c r="C522" s="2" t="str">
        <f>IFERROR(INDEX(Movimientos!$D$2:$D$1993,MATCH(A522&amp;"ENTRADA",Movimientos!$R$2:$R$1993,0)),"-")</f>
        <v>-</v>
      </c>
      <c r="D522" s="2" t="str">
        <f>IFERROR(INDEX(Movimientos!$E$2:$E$1993,MATCH(A522&amp;"ENTRADA",Movimientos!$R$2:$R$1993,0)),"-")</f>
        <v>-</v>
      </c>
      <c r="E522" s="2" t="str">
        <f>IFERROR(INDEX(Movimientos!$F$2:$F$1993,MATCH(A522&amp;"ENTRADA",Movimientos!$R$2:$R$1993,0)),"-")</f>
        <v>-</v>
      </c>
      <c r="F522" s="2" t="str">
        <f>IFERROR(INDEX(Movimientos!$G$2:$G$1993,MATCH(A522&amp;"ENTRADA",Movimientos!$R$2:$R$1993,0)),"-")</f>
        <v>-</v>
      </c>
      <c r="G522" s="2" t="str">
        <f>IFERROR(INDEX(Movimientos!$L$2:$L$1993,MATCH(A522&amp;"ENTRADA",Movimientos!$R$2:$R$1993,0)),"-")</f>
        <v>-</v>
      </c>
      <c r="H522" s="17" t="str">
        <f>IFERROR(IF(INDEX(Movimientos!$M$2:$M$1993,MATCH(A522&amp;"ENTRADA",Movimientos!$R$2:$R$1993,0))=0,"S/D",INDEX(Movimientos!$M$2:$M$1993,MATCH(A522&amp;"ENTRADA",Movimientos!$R$2:$R$1993,0))),"S/D")</f>
        <v>S/D</v>
      </c>
      <c r="I522" s="15" t="str">
        <f t="shared" ca="1" si="18"/>
        <v>S/D</v>
      </c>
      <c r="J522" s="5">
        <f>IF(A522="","",SUMIFS(Movimientos!$K:$K,Movimientos!$H:$H,A522))</f>
        <v>0</v>
      </c>
      <c r="K522" s="13" t="str">
        <f t="shared" ca="1" si="17"/>
        <v>SIN STOCK</v>
      </c>
    </row>
    <row r="523" spans="1:11">
      <c r="A523" s="16" t="s">
        <v>2828</v>
      </c>
      <c r="B523" s="2" t="str">
        <f>IFERROR(INDEX(Movimientos!$C$2:$C$1993,MATCH(A523&amp;"ENTRADA",Movimientos!$R$2:$R$1993,0)),"-")</f>
        <v>-</v>
      </c>
      <c r="C523" s="2" t="str">
        <f>IFERROR(INDEX(Movimientos!$D$2:$D$1993,MATCH(A523&amp;"ENTRADA",Movimientos!$R$2:$R$1993,0)),"-")</f>
        <v>-</v>
      </c>
      <c r="D523" s="2" t="str">
        <f>IFERROR(INDEX(Movimientos!$E$2:$E$1993,MATCH(A523&amp;"ENTRADA",Movimientos!$R$2:$R$1993,0)),"-")</f>
        <v>-</v>
      </c>
      <c r="E523" s="2" t="str">
        <f>IFERROR(INDEX(Movimientos!$F$2:$F$1993,MATCH(A523&amp;"ENTRADA",Movimientos!$R$2:$R$1993,0)),"-")</f>
        <v>-</v>
      </c>
      <c r="F523" s="2" t="str">
        <f>IFERROR(INDEX(Movimientos!$G$2:$G$1993,MATCH(A523&amp;"ENTRADA",Movimientos!$R$2:$R$1993,0)),"-")</f>
        <v>-</v>
      </c>
      <c r="G523" s="2" t="str">
        <f>IFERROR(INDEX(Movimientos!$L$2:$L$1993,MATCH(A523&amp;"ENTRADA",Movimientos!$R$2:$R$1993,0)),"-")</f>
        <v>-</v>
      </c>
      <c r="H523" s="17" t="str">
        <f>IFERROR(IF(INDEX(Movimientos!$M$2:$M$1993,MATCH(A523&amp;"ENTRADA",Movimientos!$R$2:$R$1993,0))=0,"S/D",INDEX(Movimientos!$M$2:$M$1993,MATCH(A523&amp;"ENTRADA",Movimientos!$R$2:$R$1993,0))),"S/D")</f>
        <v>S/D</v>
      </c>
      <c r="I523" s="15" t="str">
        <f t="shared" ca="1" si="18"/>
        <v>S/D</v>
      </c>
      <c r="J523" s="5">
        <f>IF(A523="","",SUMIFS(Movimientos!$K:$K,Movimientos!$H:$H,A523))</f>
        <v>0</v>
      </c>
      <c r="K523" s="13" t="str">
        <f t="shared" ca="1" si="17"/>
        <v>SIN STOCK</v>
      </c>
    </row>
    <row r="524" spans="1:11">
      <c r="A524" s="16" t="s">
        <v>2829</v>
      </c>
      <c r="B524" s="2" t="str">
        <f>IFERROR(INDEX(Movimientos!$C$2:$C$1993,MATCH(A524&amp;"ENTRADA",Movimientos!$R$2:$R$1993,0)),"-")</f>
        <v>-</v>
      </c>
      <c r="C524" s="2" t="str">
        <f>IFERROR(INDEX(Movimientos!$D$2:$D$1993,MATCH(A524&amp;"ENTRADA",Movimientos!$R$2:$R$1993,0)),"-")</f>
        <v>-</v>
      </c>
      <c r="D524" s="2" t="str">
        <f>IFERROR(INDEX(Movimientos!$E$2:$E$1993,MATCH(A524&amp;"ENTRADA",Movimientos!$R$2:$R$1993,0)),"-")</f>
        <v>-</v>
      </c>
      <c r="E524" s="2" t="str">
        <f>IFERROR(INDEX(Movimientos!$F$2:$F$1993,MATCH(A524&amp;"ENTRADA",Movimientos!$R$2:$R$1993,0)),"-")</f>
        <v>-</v>
      </c>
      <c r="F524" s="2" t="str">
        <f>IFERROR(INDEX(Movimientos!$G$2:$G$1993,MATCH(A524&amp;"ENTRADA",Movimientos!$R$2:$R$1993,0)),"-")</f>
        <v>-</v>
      </c>
      <c r="G524" s="2" t="str">
        <f>IFERROR(INDEX(Movimientos!$L$2:$L$1993,MATCH(A524&amp;"ENTRADA",Movimientos!$R$2:$R$1993,0)),"-")</f>
        <v>-</v>
      </c>
      <c r="H524" s="17" t="str">
        <f>IFERROR(IF(INDEX(Movimientos!$M$2:$M$1993,MATCH(A524&amp;"ENTRADA",Movimientos!$R$2:$R$1993,0))=0,"S/D",INDEX(Movimientos!$M$2:$M$1993,MATCH(A524&amp;"ENTRADA",Movimientos!$R$2:$R$1993,0))),"S/D")</f>
        <v>S/D</v>
      </c>
      <c r="I524" s="15" t="str">
        <f t="shared" ca="1" si="18"/>
        <v>S/D</v>
      </c>
      <c r="J524" s="5">
        <f>IF(A524="","",SUMIFS(Movimientos!$K:$K,Movimientos!$H:$H,A524))</f>
        <v>0</v>
      </c>
      <c r="K524" s="13" t="str">
        <f t="shared" ca="1" si="17"/>
        <v>SIN STOCK</v>
      </c>
    </row>
    <row r="525" spans="1:11">
      <c r="A525" s="16" t="s">
        <v>2830</v>
      </c>
      <c r="B525" s="2" t="str">
        <f>IFERROR(INDEX(Movimientos!$C$2:$C$1993,MATCH(A525&amp;"ENTRADA",Movimientos!$R$2:$R$1993,0)),"-")</f>
        <v>-</v>
      </c>
      <c r="C525" s="2" t="str">
        <f>IFERROR(INDEX(Movimientos!$D$2:$D$1993,MATCH(A525&amp;"ENTRADA",Movimientos!$R$2:$R$1993,0)),"-")</f>
        <v>-</v>
      </c>
      <c r="D525" s="2" t="str">
        <f>IFERROR(INDEX(Movimientos!$E$2:$E$1993,MATCH(A525&amp;"ENTRADA",Movimientos!$R$2:$R$1993,0)),"-")</f>
        <v>-</v>
      </c>
      <c r="E525" s="2" t="str">
        <f>IFERROR(INDEX(Movimientos!$F$2:$F$1993,MATCH(A525&amp;"ENTRADA",Movimientos!$R$2:$R$1993,0)),"-")</f>
        <v>-</v>
      </c>
      <c r="F525" s="2" t="str">
        <f>IFERROR(INDEX(Movimientos!$G$2:$G$1993,MATCH(A525&amp;"ENTRADA",Movimientos!$R$2:$R$1993,0)),"-")</f>
        <v>-</v>
      </c>
      <c r="G525" s="2" t="str">
        <f>IFERROR(INDEX(Movimientos!$L$2:$L$1993,MATCH(A525&amp;"ENTRADA",Movimientos!$R$2:$R$1993,0)),"-")</f>
        <v>-</v>
      </c>
      <c r="H525" s="17" t="str">
        <f>IFERROR(IF(INDEX(Movimientos!$M$2:$M$1993,MATCH(A525&amp;"ENTRADA",Movimientos!$R$2:$R$1993,0))=0,"S/D",INDEX(Movimientos!$M$2:$M$1993,MATCH(A525&amp;"ENTRADA",Movimientos!$R$2:$R$1993,0))),"S/D")</f>
        <v>S/D</v>
      </c>
      <c r="I525" s="15" t="str">
        <f t="shared" ca="1" si="18"/>
        <v>S/D</v>
      </c>
      <c r="J525" s="5">
        <f>IF(A525="","",SUMIFS(Movimientos!$K:$K,Movimientos!$H:$H,A525))</f>
        <v>0</v>
      </c>
      <c r="K525" s="13" t="str">
        <f t="shared" ca="1" si="17"/>
        <v>SIN STOCK</v>
      </c>
    </row>
    <row r="526" spans="1:11">
      <c r="A526" s="16" t="s">
        <v>2831</v>
      </c>
      <c r="B526" s="2" t="str">
        <f>IFERROR(INDEX(Movimientos!$C$2:$C$1993,MATCH(A526&amp;"ENTRADA",Movimientos!$R$2:$R$1993,0)),"-")</f>
        <v>-</v>
      </c>
      <c r="C526" s="2" t="str">
        <f>IFERROR(INDEX(Movimientos!$D$2:$D$1993,MATCH(A526&amp;"ENTRADA",Movimientos!$R$2:$R$1993,0)),"-")</f>
        <v>-</v>
      </c>
      <c r="D526" s="2" t="str">
        <f>IFERROR(INDEX(Movimientos!$E$2:$E$1993,MATCH(A526&amp;"ENTRADA",Movimientos!$R$2:$R$1993,0)),"-")</f>
        <v>-</v>
      </c>
      <c r="E526" s="2" t="str">
        <f>IFERROR(INDEX(Movimientos!$F$2:$F$1993,MATCH(A526&amp;"ENTRADA",Movimientos!$R$2:$R$1993,0)),"-")</f>
        <v>-</v>
      </c>
      <c r="F526" s="2" t="str">
        <f>IFERROR(INDEX(Movimientos!$G$2:$G$1993,MATCH(A526&amp;"ENTRADA",Movimientos!$R$2:$R$1993,0)),"-")</f>
        <v>-</v>
      </c>
      <c r="G526" s="2" t="str">
        <f>IFERROR(INDEX(Movimientos!$L$2:$L$1993,MATCH(A526&amp;"ENTRADA",Movimientos!$R$2:$R$1993,0)),"-")</f>
        <v>-</v>
      </c>
      <c r="H526" s="17" t="str">
        <f>IFERROR(IF(INDEX(Movimientos!$M$2:$M$1993,MATCH(A526&amp;"ENTRADA",Movimientos!$R$2:$R$1993,0))=0,"S/D",INDEX(Movimientos!$M$2:$M$1993,MATCH(A526&amp;"ENTRADA",Movimientos!$R$2:$R$1993,0))),"S/D")</f>
        <v>S/D</v>
      </c>
      <c r="I526" s="15" t="str">
        <f t="shared" ca="1" si="18"/>
        <v>S/D</v>
      </c>
      <c r="J526" s="5">
        <f>IF(A526="","",SUMIFS(Movimientos!$K:$K,Movimientos!$H:$H,A526))</f>
        <v>0</v>
      </c>
      <c r="K526" s="13" t="str">
        <f t="shared" ca="1" si="17"/>
        <v>SIN STOCK</v>
      </c>
    </row>
    <row r="527" spans="1:11">
      <c r="A527" s="16" t="s">
        <v>2832</v>
      </c>
      <c r="B527" s="2" t="str">
        <f>IFERROR(INDEX(Movimientos!$C$2:$C$1993,MATCH(A527&amp;"ENTRADA",Movimientos!$R$2:$R$1993,0)),"-")</f>
        <v>-</v>
      </c>
      <c r="C527" s="2" t="str">
        <f>IFERROR(INDEX(Movimientos!$D$2:$D$1993,MATCH(A527&amp;"ENTRADA",Movimientos!$R$2:$R$1993,0)),"-")</f>
        <v>-</v>
      </c>
      <c r="D527" s="2" t="str">
        <f>IFERROR(INDEX(Movimientos!$E$2:$E$1993,MATCH(A527&amp;"ENTRADA",Movimientos!$R$2:$R$1993,0)),"-")</f>
        <v>-</v>
      </c>
      <c r="E527" s="2" t="str">
        <f>IFERROR(INDEX(Movimientos!$F$2:$F$1993,MATCH(A527&amp;"ENTRADA",Movimientos!$R$2:$R$1993,0)),"-")</f>
        <v>-</v>
      </c>
      <c r="F527" s="2" t="str">
        <f>IFERROR(INDEX(Movimientos!$G$2:$G$1993,MATCH(A527&amp;"ENTRADA",Movimientos!$R$2:$R$1993,0)),"-")</f>
        <v>-</v>
      </c>
      <c r="G527" s="2" t="str">
        <f>IFERROR(INDEX(Movimientos!$L$2:$L$1993,MATCH(A527&amp;"ENTRADA",Movimientos!$R$2:$R$1993,0)),"-")</f>
        <v>-</v>
      </c>
      <c r="H527" s="17" t="str">
        <f>IFERROR(IF(INDEX(Movimientos!$M$2:$M$1993,MATCH(A527&amp;"ENTRADA",Movimientos!$R$2:$R$1993,0))=0,"S/D",INDEX(Movimientos!$M$2:$M$1993,MATCH(A527&amp;"ENTRADA",Movimientos!$R$2:$R$1993,0))),"S/D")</f>
        <v>S/D</v>
      </c>
      <c r="I527" s="15" t="str">
        <f t="shared" ca="1" si="18"/>
        <v>S/D</v>
      </c>
      <c r="J527" s="5">
        <f>IF(A527="","",SUMIFS(Movimientos!$K:$K,Movimientos!$H:$H,A527))</f>
        <v>0</v>
      </c>
      <c r="K527" s="13" t="str">
        <f t="shared" ca="1" si="17"/>
        <v>SIN STOCK</v>
      </c>
    </row>
    <row r="528" spans="1:11">
      <c r="A528" s="16" t="s">
        <v>2833</v>
      </c>
      <c r="B528" s="2" t="str">
        <f>IFERROR(INDEX(Movimientos!$C$2:$C$1993,MATCH(A528&amp;"ENTRADA",Movimientos!$R$2:$R$1993,0)),"-")</f>
        <v>-</v>
      </c>
      <c r="C528" s="2" t="str">
        <f>IFERROR(INDEX(Movimientos!$D$2:$D$1993,MATCH(A528&amp;"ENTRADA",Movimientos!$R$2:$R$1993,0)),"-")</f>
        <v>-</v>
      </c>
      <c r="D528" s="2" t="str">
        <f>IFERROR(INDEX(Movimientos!$E$2:$E$1993,MATCH(A528&amp;"ENTRADA",Movimientos!$R$2:$R$1993,0)),"-")</f>
        <v>-</v>
      </c>
      <c r="E528" s="2" t="str">
        <f>IFERROR(INDEX(Movimientos!$F$2:$F$1993,MATCH(A528&amp;"ENTRADA",Movimientos!$R$2:$R$1993,0)),"-")</f>
        <v>-</v>
      </c>
      <c r="F528" s="2" t="str">
        <f>IFERROR(INDEX(Movimientos!$G$2:$G$1993,MATCH(A528&amp;"ENTRADA",Movimientos!$R$2:$R$1993,0)),"-")</f>
        <v>-</v>
      </c>
      <c r="G528" s="2" t="str">
        <f>IFERROR(INDEX(Movimientos!$L$2:$L$1993,MATCH(A528&amp;"ENTRADA",Movimientos!$R$2:$R$1993,0)),"-")</f>
        <v>-</v>
      </c>
      <c r="H528" s="17" t="str">
        <f>IFERROR(IF(INDEX(Movimientos!$M$2:$M$1993,MATCH(A528&amp;"ENTRADA",Movimientos!$R$2:$R$1993,0))=0,"S/D",INDEX(Movimientos!$M$2:$M$1993,MATCH(A528&amp;"ENTRADA",Movimientos!$R$2:$R$1993,0))),"S/D")</f>
        <v>S/D</v>
      </c>
      <c r="I528" s="15" t="str">
        <f t="shared" ca="1" si="18"/>
        <v>S/D</v>
      </c>
      <c r="J528" s="5">
        <f>IF(A528="","",SUMIFS(Movimientos!$K:$K,Movimientos!$H:$H,A528))</f>
        <v>0</v>
      </c>
      <c r="K528" s="13" t="str">
        <f t="shared" ca="1" si="17"/>
        <v>SIN STOCK</v>
      </c>
    </row>
    <row r="529" spans="1:11">
      <c r="A529" s="16" t="s">
        <v>2834</v>
      </c>
      <c r="B529" s="2" t="str">
        <f>IFERROR(INDEX(Movimientos!$C$2:$C$1993,MATCH(A529&amp;"ENTRADA",Movimientos!$R$2:$R$1993,0)),"-")</f>
        <v>-</v>
      </c>
      <c r="C529" s="2" t="str">
        <f>IFERROR(INDEX(Movimientos!$D$2:$D$1993,MATCH(A529&amp;"ENTRADA",Movimientos!$R$2:$R$1993,0)),"-")</f>
        <v>-</v>
      </c>
      <c r="D529" s="2" t="str">
        <f>IFERROR(INDEX(Movimientos!$E$2:$E$1993,MATCH(A529&amp;"ENTRADA",Movimientos!$R$2:$R$1993,0)),"-")</f>
        <v>-</v>
      </c>
      <c r="E529" s="2" t="str">
        <f>IFERROR(INDEX(Movimientos!$F$2:$F$1993,MATCH(A529&amp;"ENTRADA",Movimientos!$R$2:$R$1993,0)),"-")</f>
        <v>-</v>
      </c>
      <c r="F529" s="2" t="str">
        <f>IFERROR(INDEX(Movimientos!$G$2:$G$1993,MATCH(A529&amp;"ENTRADA",Movimientos!$R$2:$R$1993,0)),"-")</f>
        <v>-</v>
      </c>
      <c r="G529" s="2" t="str">
        <f>IFERROR(INDEX(Movimientos!$L$2:$L$1993,MATCH(A529&amp;"ENTRADA",Movimientos!$R$2:$R$1993,0)),"-")</f>
        <v>-</v>
      </c>
      <c r="H529" s="17" t="str">
        <f>IFERROR(IF(INDEX(Movimientos!$M$2:$M$1993,MATCH(A529&amp;"ENTRADA",Movimientos!$R$2:$R$1993,0))=0,"S/D",INDEX(Movimientos!$M$2:$M$1993,MATCH(A529&amp;"ENTRADA",Movimientos!$R$2:$R$1993,0))),"S/D")</f>
        <v>S/D</v>
      </c>
      <c r="I529" s="15" t="str">
        <f t="shared" ca="1" si="18"/>
        <v>S/D</v>
      </c>
      <c r="J529" s="5">
        <f>IF(A529="","",SUMIFS(Movimientos!$K:$K,Movimientos!$H:$H,A529))</f>
        <v>0</v>
      </c>
      <c r="K529" s="13" t="str">
        <f t="shared" ca="1" si="17"/>
        <v>SIN STOCK</v>
      </c>
    </row>
    <row r="530" spans="1:11">
      <c r="A530" s="16" t="s">
        <v>2835</v>
      </c>
      <c r="B530" s="2" t="str">
        <f>IFERROR(INDEX(Movimientos!$C$2:$C$1993,MATCH(A530&amp;"ENTRADA",Movimientos!$R$2:$R$1993,0)),"-")</f>
        <v>-</v>
      </c>
      <c r="C530" s="2" t="str">
        <f>IFERROR(INDEX(Movimientos!$D$2:$D$1993,MATCH(A530&amp;"ENTRADA",Movimientos!$R$2:$R$1993,0)),"-")</f>
        <v>-</v>
      </c>
      <c r="D530" s="2" t="str">
        <f>IFERROR(INDEX(Movimientos!$E$2:$E$1993,MATCH(A530&amp;"ENTRADA",Movimientos!$R$2:$R$1993,0)),"-")</f>
        <v>-</v>
      </c>
      <c r="E530" s="2" t="str">
        <f>IFERROR(INDEX(Movimientos!$F$2:$F$1993,MATCH(A530&amp;"ENTRADA",Movimientos!$R$2:$R$1993,0)),"-")</f>
        <v>-</v>
      </c>
      <c r="F530" s="2" t="str">
        <f>IFERROR(INDEX(Movimientos!$G$2:$G$1993,MATCH(A530&amp;"ENTRADA",Movimientos!$R$2:$R$1993,0)),"-")</f>
        <v>-</v>
      </c>
      <c r="G530" s="2" t="str">
        <f>IFERROR(INDEX(Movimientos!$L$2:$L$1993,MATCH(A530&amp;"ENTRADA",Movimientos!$R$2:$R$1993,0)),"-")</f>
        <v>-</v>
      </c>
      <c r="H530" s="17" t="str">
        <f>IFERROR(IF(INDEX(Movimientos!$M$2:$M$1993,MATCH(A530&amp;"ENTRADA",Movimientos!$R$2:$R$1993,0))=0,"S/D",INDEX(Movimientos!$M$2:$M$1993,MATCH(A530&amp;"ENTRADA",Movimientos!$R$2:$R$1993,0))),"S/D")</f>
        <v>S/D</v>
      </c>
      <c r="I530" s="15" t="str">
        <f t="shared" ca="1" si="18"/>
        <v>S/D</v>
      </c>
      <c r="J530" s="5">
        <f>IF(A530="","",SUMIFS(Movimientos!$K:$K,Movimientos!$H:$H,A530))</f>
        <v>0</v>
      </c>
      <c r="K530" s="13" t="str">
        <f t="shared" ca="1" si="17"/>
        <v>SIN STOCK</v>
      </c>
    </row>
    <row r="531" spans="1:11">
      <c r="A531" s="16" t="s">
        <v>2836</v>
      </c>
      <c r="B531" s="2" t="str">
        <f>IFERROR(INDEX(Movimientos!$C$2:$C$1993,MATCH(A531&amp;"ENTRADA",Movimientos!$R$2:$R$1993,0)),"-")</f>
        <v>-</v>
      </c>
      <c r="C531" s="2" t="str">
        <f>IFERROR(INDEX(Movimientos!$D$2:$D$1993,MATCH(A531&amp;"ENTRADA",Movimientos!$R$2:$R$1993,0)),"-")</f>
        <v>-</v>
      </c>
      <c r="D531" s="2" t="str">
        <f>IFERROR(INDEX(Movimientos!$E$2:$E$1993,MATCH(A531&amp;"ENTRADA",Movimientos!$R$2:$R$1993,0)),"-")</f>
        <v>-</v>
      </c>
      <c r="E531" s="2" t="str">
        <f>IFERROR(INDEX(Movimientos!$F$2:$F$1993,MATCH(A531&amp;"ENTRADA",Movimientos!$R$2:$R$1993,0)),"-")</f>
        <v>-</v>
      </c>
      <c r="F531" s="2" t="str">
        <f>IFERROR(INDEX(Movimientos!$G$2:$G$1993,MATCH(A531&amp;"ENTRADA",Movimientos!$R$2:$R$1993,0)),"-")</f>
        <v>-</v>
      </c>
      <c r="G531" s="2" t="str">
        <f>IFERROR(INDEX(Movimientos!$L$2:$L$1993,MATCH(A531&amp;"ENTRADA",Movimientos!$R$2:$R$1993,0)),"-")</f>
        <v>-</v>
      </c>
      <c r="H531" s="17" t="str">
        <f>IFERROR(IF(INDEX(Movimientos!$M$2:$M$1993,MATCH(A531&amp;"ENTRADA",Movimientos!$R$2:$R$1993,0))=0,"S/D",INDEX(Movimientos!$M$2:$M$1993,MATCH(A531&amp;"ENTRADA",Movimientos!$R$2:$R$1993,0))),"S/D")</f>
        <v>S/D</v>
      </c>
      <c r="I531" s="15" t="str">
        <f t="shared" ca="1" si="18"/>
        <v>S/D</v>
      </c>
      <c r="J531" s="5">
        <f>IF(A531="","",SUMIFS(Movimientos!$K:$K,Movimientos!$H:$H,A531))</f>
        <v>0</v>
      </c>
      <c r="K531" s="13" t="str">
        <f t="shared" ca="1" si="17"/>
        <v>SIN STOCK</v>
      </c>
    </row>
    <row r="532" spans="1:11">
      <c r="A532" s="16" t="s">
        <v>2837</v>
      </c>
      <c r="B532" s="2" t="str">
        <f>IFERROR(INDEX(Movimientos!$C$2:$C$1993,MATCH(A532&amp;"ENTRADA",Movimientos!$R$2:$R$1993,0)),"-")</f>
        <v>-</v>
      </c>
      <c r="C532" s="2" t="str">
        <f>IFERROR(INDEX(Movimientos!$D$2:$D$1993,MATCH(A532&amp;"ENTRADA",Movimientos!$R$2:$R$1993,0)),"-")</f>
        <v>-</v>
      </c>
      <c r="D532" s="2" t="str">
        <f>IFERROR(INDEX(Movimientos!$E$2:$E$1993,MATCH(A532&amp;"ENTRADA",Movimientos!$R$2:$R$1993,0)),"-")</f>
        <v>-</v>
      </c>
      <c r="E532" s="2" t="str">
        <f>IFERROR(INDEX(Movimientos!$F$2:$F$1993,MATCH(A532&amp;"ENTRADA",Movimientos!$R$2:$R$1993,0)),"-")</f>
        <v>-</v>
      </c>
      <c r="F532" s="2" t="str">
        <f>IFERROR(INDEX(Movimientos!$G$2:$G$1993,MATCH(A532&amp;"ENTRADA",Movimientos!$R$2:$R$1993,0)),"-")</f>
        <v>-</v>
      </c>
      <c r="G532" s="2" t="str">
        <f>IFERROR(INDEX(Movimientos!$L$2:$L$1993,MATCH(A532&amp;"ENTRADA",Movimientos!$R$2:$R$1993,0)),"-")</f>
        <v>-</v>
      </c>
      <c r="H532" s="17" t="str">
        <f>IFERROR(IF(INDEX(Movimientos!$M$2:$M$1993,MATCH(A532&amp;"ENTRADA",Movimientos!$R$2:$R$1993,0))=0,"S/D",INDEX(Movimientos!$M$2:$M$1993,MATCH(A532&amp;"ENTRADA",Movimientos!$R$2:$R$1993,0))),"S/D")</f>
        <v>S/D</v>
      </c>
      <c r="I532" s="15" t="str">
        <f t="shared" ca="1" si="18"/>
        <v>S/D</v>
      </c>
      <c r="J532" s="5">
        <f>IF(A532="","",SUMIFS(Movimientos!$K:$K,Movimientos!$H:$H,A532))</f>
        <v>0</v>
      </c>
      <c r="K532" s="13" t="str">
        <f t="shared" ca="1" si="17"/>
        <v>SIN STOCK</v>
      </c>
    </row>
    <row r="533" spans="1:11">
      <c r="A533" s="16" t="s">
        <v>2838</v>
      </c>
      <c r="B533" s="2" t="str">
        <f>IFERROR(INDEX(Movimientos!$C$2:$C$1993,MATCH(A533&amp;"ENTRADA",Movimientos!$R$2:$R$1993,0)),"-")</f>
        <v>-</v>
      </c>
      <c r="C533" s="2" t="str">
        <f>IFERROR(INDEX(Movimientos!$D$2:$D$1993,MATCH(A533&amp;"ENTRADA",Movimientos!$R$2:$R$1993,0)),"-")</f>
        <v>-</v>
      </c>
      <c r="D533" s="2" t="str">
        <f>IFERROR(INDEX(Movimientos!$E$2:$E$1993,MATCH(A533&amp;"ENTRADA",Movimientos!$R$2:$R$1993,0)),"-")</f>
        <v>-</v>
      </c>
      <c r="E533" s="2" t="str">
        <f>IFERROR(INDEX(Movimientos!$F$2:$F$1993,MATCH(A533&amp;"ENTRADA",Movimientos!$R$2:$R$1993,0)),"-")</f>
        <v>-</v>
      </c>
      <c r="F533" s="2" t="str">
        <f>IFERROR(INDEX(Movimientos!$G$2:$G$1993,MATCH(A533&amp;"ENTRADA",Movimientos!$R$2:$R$1993,0)),"-")</f>
        <v>-</v>
      </c>
      <c r="G533" s="2" t="str">
        <f>IFERROR(INDEX(Movimientos!$L$2:$L$1993,MATCH(A533&amp;"ENTRADA",Movimientos!$R$2:$R$1993,0)),"-")</f>
        <v>-</v>
      </c>
      <c r="H533" s="17" t="str">
        <f>IFERROR(IF(INDEX(Movimientos!$M$2:$M$1993,MATCH(A533&amp;"ENTRADA",Movimientos!$R$2:$R$1993,0))=0,"S/D",INDEX(Movimientos!$M$2:$M$1993,MATCH(A533&amp;"ENTRADA",Movimientos!$R$2:$R$1993,0))),"S/D")</f>
        <v>S/D</v>
      </c>
      <c r="I533" s="15" t="str">
        <f t="shared" ca="1" si="18"/>
        <v>S/D</v>
      </c>
      <c r="J533" s="5">
        <f>IF(A533="","",SUMIFS(Movimientos!$K:$K,Movimientos!$H:$H,A533))</f>
        <v>0</v>
      </c>
      <c r="K533" s="13" t="str">
        <f t="shared" ca="1" si="17"/>
        <v>SIN STOCK</v>
      </c>
    </row>
    <row r="534" spans="1:11">
      <c r="A534" s="16" t="s">
        <v>2839</v>
      </c>
      <c r="B534" s="2" t="str">
        <f>IFERROR(INDEX(Movimientos!$C$2:$C$1993,MATCH(A534&amp;"ENTRADA",Movimientos!$R$2:$R$1993,0)),"-")</f>
        <v>-</v>
      </c>
      <c r="C534" s="2" t="str">
        <f>IFERROR(INDEX(Movimientos!$D$2:$D$1993,MATCH(A534&amp;"ENTRADA",Movimientos!$R$2:$R$1993,0)),"-")</f>
        <v>-</v>
      </c>
      <c r="D534" s="2" t="str">
        <f>IFERROR(INDEX(Movimientos!$E$2:$E$1993,MATCH(A534&amp;"ENTRADA",Movimientos!$R$2:$R$1993,0)),"-")</f>
        <v>-</v>
      </c>
      <c r="E534" s="2" t="str">
        <f>IFERROR(INDEX(Movimientos!$F$2:$F$1993,MATCH(A534&amp;"ENTRADA",Movimientos!$R$2:$R$1993,0)),"-")</f>
        <v>-</v>
      </c>
      <c r="F534" s="2" t="str">
        <f>IFERROR(INDEX(Movimientos!$G$2:$G$1993,MATCH(A534&amp;"ENTRADA",Movimientos!$R$2:$R$1993,0)),"-")</f>
        <v>-</v>
      </c>
      <c r="G534" s="2" t="str">
        <f>IFERROR(INDEX(Movimientos!$L$2:$L$1993,MATCH(A534&amp;"ENTRADA",Movimientos!$R$2:$R$1993,0)),"-")</f>
        <v>-</v>
      </c>
      <c r="H534" s="17" t="str">
        <f>IFERROR(IF(INDEX(Movimientos!$M$2:$M$1993,MATCH(A534&amp;"ENTRADA",Movimientos!$R$2:$R$1993,0))=0,"S/D",INDEX(Movimientos!$M$2:$M$1993,MATCH(A534&amp;"ENTRADA",Movimientos!$R$2:$R$1993,0))),"S/D")</f>
        <v>S/D</v>
      </c>
      <c r="I534" s="15" t="str">
        <f t="shared" ca="1" si="18"/>
        <v>S/D</v>
      </c>
      <c r="J534" s="5">
        <f>IF(A534="","",SUMIFS(Movimientos!$K:$K,Movimientos!$H:$H,A534))</f>
        <v>0</v>
      </c>
      <c r="K534" s="13" t="str">
        <f t="shared" ca="1" si="17"/>
        <v>SIN STOCK</v>
      </c>
    </row>
    <row r="535" spans="1:11">
      <c r="A535" s="16" t="s">
        <v>2840</v>
      </c>
      <c r="B535" s="2" t="str">
        <f>IFERROR(INDEX(Movimientos!$C$2:$C$1993,MATCH(A535&amp;"ENTRADA",Movimientos!$R$2:$R$1993,0)),"-")</f>
        <v>-</v>
      </c>
      <c r="C535" s="2" t="str">
        <f>IFERROR(INDEX(Movimientos!$D$2:$D$1993,MATCH(A535&amp;"ENTRADA",Movimientos!$R$2:$R$1993,0)),"-")</f>
        <v>-</v>
      </c>
      <c r="D535" s="2" t="str">
        <f>IFERROR(INDEX(Movimientos!$E$2:$E$1993,MATCH(A535&amp;"ENTRADA",Movimientos!$R$2:$R$1993,0)),"-")</f>
        <v>-</v>
      </c>
      <c r="E535" s="2" t="str">
        <f>IFERROR(INDEX(Movimientos!$F$2:$F$1993,MATCH(A535&amp;"ENTRADA",Movimientos!$R$2:$R$1993,0)),"-")</f>
        <v>-</v>
      </c>
      <c r="F535" s="2" t="str">
        <f>IFERROR(INDEX(Movimientos!$G$2:$G$1993,MATCH(A535&amp;"ENTRADA",Movimientos!$R$2:$R$1993,0)),"-")</f>
        <v>-</v>
      </c>
      <c r="G535" s="2" t="str">
        <f>IFERROR(INDEX(Movimientos!$L$2:$L$1993,MATCH(A535&amp;"ENTRADA",Movimientos!$R$2:$R$1993,0)),"-")</f>
        <v>-</v>
      </c>
      <c r="H535" s="17" t="str">
        <f>IFERROR(IF(INDEX(Movimientos!$M$2:$M$1993,MATCH(A535&amp;"ENTRADA",Movimientos!$R$2:$R$1993,0))=0,"S/D",INDEX(Movimientos!$M$2:$M$1993,MATCH(A535&amp;"ENTRADA",Movimientos!$R$2:$R$1993,0))),"S/D")</f>
        <v>S/D</v>
      </c>
      <c r="I535" s="15" t="str">
        <f t="shared" ca="1" si="18"/>
        <v>S/D</v>
      </c>
      <c r="J535" s="5">
        <f>IF(A535="","",SUMIFS(Movimientos!$K:$K,Movimientos!$H:$H,A535))</f>
        <v>0</v>
      </c>
      <c r="K535" s="13" t="str">
        <f t="shared" ca="1" si="17"/>
        <v>SIN STOCK</v>
      </c>
    </row>
    <row r="536" spans="1:11">
      <c r="A536" s="16" t="s">
        <v>2841</v>
      </c>
      <c r="B536" s="2" t="str">
        <f>IFERROR(INDEX(Movimientos!$C$2:$C$1993,MATCH(A536&amp;"ENTRADA",Movimientos!$R$2:$R$1993,0)),"-")</f>
        <v>-</v>
      </c>
      <c r="C536" s="2" t="str">
        <f>IFERROR(INDEX(Movimientos!$D$2:$D$1993,MATCH(A536&amp;"ENTRADA",Movimientos!$R$2:$R$1993,0)),"-")</f>
        <v>-</v>
      </c>
      <c r="D536" s="2" t="str">
        <f>IFERROR(INDEX(Movimientos!$E$2:$E$1993,MATCH(A536&amp;"ENTRADA",Movimientos!$R$2:$R$1993,0)),"-")</f>
        <v>-</v>
      </c>
      <c r="E536" s="2" t="str">
        <f>IFERROR(INDEX(Movimientos!$F$2:$F$1993,MATCH(A536&amp;"ENTRADA",Movimientos!$R$2:$R$1993,0)),"-")</f>
        <v>-</v>
      </c>
      <c r="F536" s="2" t="str">
        <f>IFERROR(INDEX(Movimientos!$G$2:$G$1993,MATCH(A536&amp;"ENTRADA",Movimientos!$R$2:$R$1993,0)),"-")</f>
        <v>-</v>
      </c>
      <c r="G536" s="2" t="str">
        <f>IFERROR(INDEX(Movimientos!$L$2:$L$1993,MATCH(A536&amp;"ENTRADA",Movimientos!$R$2:$R$1993,0)),"-")</f>
        <v>-</v>
      </c>
      <c r="H536" s="17" t="str">
        <f>IFERROR(IF(INDEX(Movimientos!$M$2:$M$1993,MATCH(A536&amp;"ENTRADA",Movimientos!$R$2:$R$1993,0))=0,"S/D",INDEX(Movimientos!$M$2:$M$1993,MATCH(A536&amp;"ENTRADA",Movimientos!$R$2:$R$1993,0))),"S/D")</f>
        <v>S/D</v>
      </c>
      <c r="I536" s="15" t="str">
        <f t="shared" ca="1" si="18"/>
        <v>S/D</v>
      </c>
      <c r="J536" s="5">
        <f>IF(A536="","",SUMIFS(Movimientos!$K:$K,Movimientos!$H:$H,A536))</f>
        <v>0</v>
      </c>
      <c r="K536" s="13" t="str">
        <f t="shared" ca="1" si="17"/>
        <v>SIN STOCK</v>
      </c>
    </row>
    <row r="537" spans="1:11">
      <c r="A537" s="16" t="s">
        <v>2842</v>
      </c>
      <c r="B537" s="2" t="str">
        <f>IFERROR(INDEX(Movimientos!$C$2:$C$1993,MATCH(A537&amp;"ENTRADA",Movimientos!$R$2:$R$1993,0)),"-")</f>
        <v>-</v>
      </c>
      <c r="C537" s="2" t="str">
        <f>IFERROR(INDEX(Movimientos!$D$2:$D$1993,MATCH(A537&amp;"ENTRADA",Movimientos!$R$2:$R$1993,0)),"-")</f>
        <v>-</v>
      </c>
      <c r="D537" s="2" t="str">
        <f>IFERROR(INDEX(Movimientos!$E$2:$E$1993,MATCH(A537&amp;"ENTRADA",Movimientos!$R$2:$R$1993,0)),"-")</f>
        <v>-</v>
      </c>
      <c r="E537" s="2" t="str">
        <f>IFERROR(INDEX(Movimientos!$F$2:$F$1993,MATCH(A537&amp;"ENTRADA",Movimientos!$R$2:$R$1993,0)),"-")</f>
        <v>-</v>
      </c>
      <c r="F537" s="2" t="str">
        <f>IFERROR(INDEX(Movimientos!$G$2:$G$1993,MATCH(A537&amp;"ENTRADA",Movimientos!$R$2:$R$1993,0)),"-")</f>
        <v>-</v>
      </c>
      <c r="G537" s="2" t="str">
        <f>IFERROR(INDEX(Movimientos!$L$2:$L$1993,MATCH(A537&amp;"ENTRADA",Movimientos!$R$2:$R$1993,0)),"-")</f>
        <v>-</v>
      </c>
      <c r="H537" s="17" t="str">
        <f>IFERROR(IF(INDEX(Movimientos!$M$2:$M$1993,MATCH(A537&amp;"ENTRADA",Movimientos!$R$2:$R$1993,0))=0,"S/D",INDEX(Movimientos!$M$2:$M$1993,MATCH(A537&amp;"ENTRADA",Movimientos!$R$2:$R$1993,0))),"S/D")</f>
        <v>S/D</v>
      </c>
      <c r="I537" s="15" t="str">
        <f t="shared" ca="1" si="18"/>
        <v>S/D</v>
      </c>
      <c r="J537" s="5">
        <f>IF(A537="","",SUMIFS(Movimientos!$K:$K,Movimientos!$H:$H,A537))</f>
        <v>0</v>
      </c>
      <c r="K537" s="13" t="str">
        <f t="shared" ca="1" si="17"/>
        <v>SIN STOCK</v>
      </c>
    </row>
    <row r="538" spans="1:11">
      <c r="A538" s="16" t="s">
        <v>2843</v>
      </c>
      <c r="B538" s="2" t="str">
        <f>IFERROR(INDEX(Movimientos!$C$2:$C$1993,MATCH(A538&amp;"ENTRADA",Movimientos!$R$2:$R$1993,0)),"-")</f>
        <v>-</v>
      </c>
      <c r="C538" s="2" t="str">
        <f>IFERROR(INDEX(Movimientos!$D$2:$D$1993,MATCH(A538&amp;"ENTRADA",Movimientos!$R$2:$R$1993,0)),"-")</f>
        <v>-</v>
      </c>
      <c r="D538" s="2" t="str">
        <f>IFERROR(INDEX(Movimientos!$E$2:$E$1993,MATCH(A538&amp;"ENTRADA",Movimientos!$R$2:$R$1993,0)),"-")</f>
        <v>-</v>
      </c>
      <c r="E538" s="2" t="str">
        <f>IFERROR(INDEX(Movimientos!$F$2:$F$1993,MATCH(A538&amp;"ENTRADA",Movimientos!$R$2:$R$1993,0)),"-")</f>
        <v>-</v>
      </c>
      <c r="F538" s="2" t="str">
        <f>IFERROR(INDEX(Movimientos!$G$2:$G$1993,MATCH(A538&amp;"ENTRADA",Movimientos!$R$2:$R$1993,0)),"-")</f>
        <v>-</v>
      </c>
      <c r="G538" s="2" t="str">
        <f>IFERROR(INDEX(Movimientos!$L$2:$L$1993,MATCH(A538&amp;"ENTRADA",Movimientos!$R$2:$R$1993,0)),"-")</f>
        <v>-</v>
      </c>
      <c r="H538" s="17" t="str">
        <f>IFERROR(IF(INDEX(Movimientos!$M$2:$M$1993,MATCH(A538&amp;"ENTRADA",Movimientos!$R$2:$R$1993,0))=0,"S/D",INDEX(Movimientos!$M$2:$M$1993,MATCH(A538&amp;"ENTRADA",Movimientos!$R$2:$R$1993,0))),"S/D")</f>
        <v>S/D</v>
      </c>
      <c r="I538" s="15" t="str">
        <f t="shared" ca="1" si="18"/>
        <v>S/D</v>
      </c>
      <c r="J538" s="5">
        <f>IF(A538="","",SUMIFS(Movimientos!$K:$K,Movimientos!$H:$H,A538))</f>
        <v>0</v>
      </c>
      <c r="K538" s="13" t="str">
        <f t="shared" ca="1" si="17"/>
        <v>SIN STOCK</v>
      </c>
    </row>
    <row r="539" spans="1:11">
      <c r="A539" s="16" t="s">
        <v>2844</v>
      </c>
      <c r="B539" s="2" t="str">
        <f>IFERROR(INDEX(Movimientos!$C$2:$C$1993,MATCH(A539&amp;"ENTRADA",Movimientos!$R$2:$R$1993,0)),"-")</f>
        <v>-</v>
      </c>
      <c r="C539" s="2" t="str">
        <f>IFERROR(INDEX(Movimientos!$D$2:$D$1993,MATCH(A539&amp;"ENTRADA",Movimientos!$R$2:$R$1993,0)),"-")</f>
        <v>-</v>
      </c>
      <c r="D539" s="2" t="str">
        <f>IFERROR(INDEX(Movimientos!$E$2:$E$1993,MATCH(A539&amp;"ENTRADA",Movimientos!$R$2:$R$1993,0)),"-")</f>
        <v>-</v>
      </c>
      <c r="E539" s="2" t="str">
        <f>IFERROR(INDEX(Movimientos!$F$2:$F$1993,MATCH(A539&amp;"ENTRADA",Movimientos!$R$2:$R$1993,0)),"-")</f>
        <v>-</v>
      </c>
      <c r="F539" s="2" t="str">
        <f>IFERROR(INDEX(Movimientos!$G$2:$G$1993,MATCH(A539&amp;"ENTRADA",Movimientos!$R$2:$R$1993,0)),"-")</f>
        <v>-</v>
      </c>
      <c r="G539" s="2" t="str">
        <f>IFERROR(INDEX(Movimientos!$L$2:$L$1993,MATCH(A539&amp;"ENTRADA",Movimientos!$R$2:$R$1993,0)),"-")</f>
        <v>-</v>
      </c>
      <c r="H539" s="17" t="str">
        <f>IFERROR(IF(INDEX(Movimientos!$M$2:$M$1993,MATCH(A539&amp;"ENTRADA",Movimientos!$R$2:$R$1993,0))=0,"S/D",INDEX(Movimientos!$M$2:$M$1993,MATCH(A539&amp;"ENTRADA",Movimientos!$R$2:$R$1993,0))),"S/D")</f>
        <v>S/D</v>
      </c>
      <c r="I539" s="15" t="str">
        <f t="shared" ca="1" si="18"/>
        <v>S/D</v>
      </c>
      <c r="J539" s="5">
        <f>IF(A539="","",SUMIFS(Movimientos!$K:$K,Movimientos!$H:$H,A539))</f>
        <v>0</v>
      </c>
      <c r="K539" s="13" t="str">
        <f t="shared" ca="1" si="17"/>
        <v>SIN STOCK</v>
      </c>
    </row>
    <row r="540" spans="1:11">
      <c r="A540" s="16" t="s">
        <v>2845</v>
      </c>
      <c r="B540" s="2" t="str">
        <f>IFERROR(INDEX(Movimientos!$C$2:$C$1993,MATCH(A540&amp;"ENTRADA",Movimientos!$R$2:$R$1993,0)),"-")</f>
        <v>-</v>
      </c>
      <c r="C540" s="2" t="str">
        <f>IFERROR(INDEX(Movimientos!$D$2:$D$1993,MATCH(A540&amp;"ENTRADA",Movimientos!$R$2:$R$1993,0)),"-")</f>
        <v>-</v>
      </c>
      <c r="D540" s="2" t="str">
        <f>IFERROR(INDEX(Movimientos!$E$2:$E$1993,MATCH(A540&amp;"ENTRADA",Movimientos!$R$2:$R$1993,0)),"-")</f>
        <v>-</v>
      </c>
      <c r="E540" s="2" t="str">
        <f>IFERROR(INDEX(Movimientos!$F$2:$F$1993,MATCH(A540&amp;"ENTRADA",Movimientos!$R$2:$R$1993,0)),"-")</f>
        <v>-</v>
      </c>
      <c r="F540" s="2" t="str">
        <f>IFERROR(INDEX(Movimientos!$G$2:$G$1993,MATCH(A540&amp;"ENTRADA",Movimientos!$R$2:$R$1993,0)),"-")</f>
        <v>-</v>
      </c>
      <c r="G540" s="2" t="str">
        <f>IFERROR(INDEX(Movimientos!$L$2:$L$1993,MATCH(A540&amp;"ENTRADA",Movimientos!$R$2:$R$1993,0)),"-")</f>
        <v>-</v>
      </c>
      <c r="H540" s="17" t="str">
        <f>IFERROR(IF(INDEX(Movimientos!$M$2:$M$1993,MATCH(A540&amp;"ENTRADA",Movimientos!$R$2:$R$1993,0))=0,"S/D",INDEX(Movimientos!$M$2:$M$1993,MATCH(A540&amp;"ENTRADA",Movimientos!$R$2:$R$1993,0))),"S/D")</f>
        <v>S/D</v>
      </c>
      <c r="I540" s="15" t="str">
        <f t="shared" ca="1" si="18"/>
        <v>S/D</v>
      </c>
      <c r="J540" s="5">
        <f>IF(A540="","",SUMIFS(Movimientos!$K:$K,Movimientos!$H:$H,A540))</f>
        <v>0</v>
      </c>
      <c r="K540" s="13" t="str">
        <f t="shared" ca="1" si="17"/>
        <v>SIN STOCK</v>
      </c>
    </row>
    <row r="541" spans="1:11">
      <c r="A541" s="16" t="s">
        <v>2846</v>
      </c>
      <c r="B541" s="2" t="str">
        <f>IFERROR(INDEX(Movimientos!$C$2:$C$1993,MATCH(A541&amp;"ENTRADA",Movimientos!$R$2:$R$1993,0)),"-")</f>
        <v>-</v>
      </c>
      <c r="C541" s="2" t="str">
        <f>IFERROR(INDEX(Movimientos!$D$2:$D$1993,MATCH(A541&amp;"ENTRADA",Movimientos!$R$2:$R$1993,0)),"-")</f>
        <v>-</v>
      </c>
      <c r="D541" s="2" t="str">
        <f>IFERROR(INDEX(Movimientos!$E$2:$E$1993,MATCH(A541&amp;"ENTRADA",Movimientos!$R$2:$R$1993,0)),"-")</f>
        <v>-</v>
      </c>
      <c r="E541" s="2" t="str">
        <f>IFERROR(INDEX(Movimientos!$F$2:$F$1993,MATCH(A541&amp;"ENTRADA",Movimientos!$R$2:$R$1993,0)),"-")</f>
        <v>-</v>
      </c>
      <c r="F541" s="2" t="str">
        <f>IFERROR(INDEX(Movimientos!$G$2:$G$1993,MATCH(A541&amp;"ENTRADA",Movimientos!$R$2:$R$1993,0)),"-")</f>
        <v>-</v>
      </c>
      <c r="G541" s="2" t="str">
        <f>IFERROR(INDEX(Movimientos!$L$2:$L$1993,MATCH(A541&amp;"ENTRADA",Movimientos!$R$2:$R$1993,0)),"-")</f>
        <v>-</v>
      </c>
      <c r="H541" s="17" t="str">
        <f>IFERROR(IF(INDEX(Movimientos!$M$2:$M$1993,MATCH(A541&amp;"ENTRADA",Movimientos!$R$2:$R$1993,0))=0,"S/D",INDEX(Movimientos!$M$2:$M$1993,MATCH(A541&amp;"ENTRADA",Movimientos!$R$2:$R$1993,0))),"S/D")</f>
        <v>S/D</v>
      </c>
      <c r="I541" s="15" t="str">
        <f t="shared" ca="1" si="18"/>
        <v>S/D</v>
      </c>
      <c r="J541" s="5">
        <f>IF(A541="","",SUMIFS(Movimientos!$K:$K,Movimientos!$H:$H,A541))</f>
        <v>0</v>
      </c>
      <c r="K541" s="13" t="str">
        <f t="shared" ca="1" si="17"/>
        <v>SIN STOCK</v>
      </c>
    </row>
    <row r="542" spans="1:11">
      <c r="A542" s="16" t="s">
        <v>2847</v>
      </c>
      <c r="B542" s="2" t="str">
        <f>IFERROR(INDEX(Movimientos!$C$2:$C$1993,MATCH(A542&amp;"ENTRADA",Movimientos!$R$2:$R$1993,0)),"-")</f>
        <v>-</v>
      </c>
      <c r="C542" s="2" t="str">
        <f>IFERROR(INDEX(Movimientos!$D$2:$D$1993,MATCH(A542&amp;"ENTRADA",Movimientos!$R$2:$R$1993,0)),"-")</f>
        <v>-</v>
      </c>
      <c r="D542" s="2" t="str">
        <f>IFERROR(INDEX(Movimientos!$E$2:$E$1993,MATCH(A542&amp;"ENTRADA",Movimientos!$R$2:$R$1993,0)),"-")</f>
        <v>-</v>
      </c>
      <c r="E542" s="2" t="str">
        <f>IFERROR(INDEX(Movimientos!$F$2:$F$1993,MATCH(A542&amp;"ENTRADA",Movimientos!$R$2:$R$1993,0)),"-")</f>
        <v>-</v>
      </c>
      <c r="F542" s="2" t="str">
        <f>IFERROR(INDEX(Movimientos!$G$2:$G$1993,MATCH(A542&amp;"ENTRADA",Movimientos!$R$2:$R$1993,0)),"-")</f>
        <v>-</v>
      </c>
      <c r="G542" s="2" t="str">
        <f>IFERROR(INDEX(Movimientos!$L$2:$L$1993,MATCH(A542&amp;"ENTRADA",Movimientos!$R$2:$R$1993,0)),"-")</f>
        <v>-</v>
      </c>
      <c r="H542" s="17" t="str">
        <f>IFERROR(IF(INDEX(Movimientos!$M$2:$M$1993,MATCH(A542&amp;"ENTRADA",Movimientos!$R$2:$R$1993,0))=0,"S/D",INDEX(Movimientos!$M$2:$M$1993,MATCH(A542&amp;"ENTRADA",Movimientos!$R$2:$R$1993,0))),"S/D")</f>
        <v>S/D</v>
      </c>
      <c r="I542" s="15" t="str">
        <f t="shared" ca="1" si="18"/>
        <v>S/D</v>
      </c>
      <c r="J542" s="5">
        <f>IF(A542="","",SUMIFS(Movimientos!$K:$K,Movimientos!$H:$H,A542))</f>
        <v>0</v>
      </c>
      <c r="K542" s="13" t="str">
        <f t="shared" ca="1" si="17"/>
        <v>SIN STOCK</v>
      </c>
    </row>
    <row r="543" spans="1:11">
      <c r="A543" s="16" t="s">
        <v>2848</v>
      </c>
      <c r="B543" s="2" t="str">
        <f>IFERROR(INDEX(Movimientos!$C$2:$C$1993,MATCH(A543&amp;"ENTRADA",Movimientos!$R$2:$R$1993,0)),"-")</f>
        <v>-</v>
      </c>
      <c r="C543" s="2" t="str">
        <f>IFERROR(INDEX(Movimientos!$D$2:$D$1993,MATCH(A543&amp;"ENTRADA",Movimientos!$R$2:$R$1993,0)),"-")</f>
        <v>-</v>
      </c>
      <c r="D543" s="2" t="str">
        <f>IFERROR(INDEX(Movimientos!$E$2:$E$1993,MATCH(A543&amp;"ENTRADA",Movimientos!$R$2:$R$1993,0)),"-")</f>
        <v>-</v>
      </c>
      <c r="E543" s="2" t="str">
        <f>IFERROR(INDEX(Movimientos!$F$2:$F$1993,MATCH(A543&amp;"ENTRADA",Movimientos!$R$2:$R$1993,0)),"-")</f>
        <v>-</v>
      </c>
      <c r="F543" s="2" t="str">
        <f>IFERROR(INDEX(Movimientos!$G$2:$G$1993,MATCH(A543&amp;"ENTRADA",Movimientos!$R$2:$R$1993,0)),"-")</f>
        <v>-</v>
      </c>
      <c r="G543" s="2" t="str">
        <f>IFERROR(INDEX(Movimientos!$L$2:$L$1993,MATCH(A543&amp;"ENTRADA",Movimientos!$R$2:$R$1993,0)),"-")</f>
        <v>-</v>
      </c>
      <c r="H543" s="17" t="str">
        <f>IFERROR(IF(INDEX(Movimientos!$M$2:$M$1993,MATCH(A543&amp;"ENTRADA",Movimientos!$R$2:$R$1993,0))=0,"S/D",INDEX(Movimientos!$M$2:$M$1993,MATCH(A543&amp;"ENTRADA",Movimientos!$R$2:$R$1993,0))),"S/D")</f>
        <v>S/D</v>
      </c>
      <c r="I543" s="15" t="str">
        <f t="shared" ca="1" si="18"/>
        <v>S/D</v>
      </c>
      <c r="J543" s="5">
        <f>IF(A543="","",SUMIFS(Movimientos!$K:$K,Movimientos!$H:$H,A543))</f>
        <v>0</v>
      </c>
      <c r="K543" s="13" t="str">
        <f t="shared" ca="1" si="17"/>
        <v>SIN STOCK</v>
      </c>
    </row>
    <row r="544" spans="1:11">
      <c r="A544" s="16" t="s">
        <v>2849</v>
      </c>
      <c r="B544" s="2" t="str">
        <f>IFERROR(INDEX(Movimientos!$C$2:$C$1993,MATCH(A544&amp;"ENTRADA",Movimientos!$R$2:$R$1993,0)),"-")</f>
        <v>-</v>
      </c>
      <c r="C544" s="2" t="str">
        <f>IFERROR(INDEX(Movimientos!$D$2:$D$1993,MATCH(A544&amp;"ENTRADA",Movimientos!$R$2:$R$1993,0)),"-")</f>
        <v>-</v>
      </c>
      <c r="D544" s="2" t="str">
        <f>IFERROR(INDEX(Movimientos!$E$2:$E$1993,MATCH(A544&amp;"ENTRADA",Movimientos!$R$2:$R$1993,0)),"-")</f>
        <v>-</v>
      </c>
      <c r="E544" s="2" t="str">
        <f>IFERROR(INDEX(Movimientos!$F$2:$F$1993,MATCH(A544&amp;"ENTRADA",Movimientos!$R$2:$R$1993,0)),"-")</f>
        <v>-</v>
      </c>
      <c r="F544" s="2" t="str">
        <f>IFERROR(INDEX(Movimientos!$G$2:$G$1993,MATCH(A544&amp;"ENTRADA",Movimientos!$R$2:$R$1993,0)),"-")</f>
        <v>-</v>
      </c>
      <c r="G544" s="2" t="str">
        <f>IFERROR(INDEX(Movimientos!$L$2:$L$1993,MATCH(A544&amp;"ENTRADA",Movimientos!$R$2:$R$1993,0)),"-")</f>
        <v>-</v>
      </c>
      <c r="H544" s="17" t="str">
        <f>IFERROR(IF(INDEX(Movimientos!$M$2:$M$1993,MATCH(A544&amp;"ENTRADA",Movimientos!$R$2:$R$1993,0))=0,"S/D",INDEX(Movimientos!$M$2:$M$1993,MATCH(A544&amp;"ENTRADA",Movimientos!$R$2:$R$1993,0))),"S/D")</f>
        <v>S/D</v>
      </c>
      <c r="I544" s="15" t="str">
        <f t="shared" ca="1" si="18"/>
        <v>S/D</v>
      </c>
      <c r="J544" s="5">
        <f>IF(A544="","",SUMIFS(Movimientos!$K:$K,Movimientos!$H:$H,A544))</f>
        <v>0</v>
      </c>
      <c r="K544" s="13" t="str">
        <f t="shared" ca="1" si="17"/>
        <v>SIN STOCK</v>
      </c>
    </row>
    <row r="545" spans="1:11">
      <c r="A545" s="16" t="s">
        <v>2850</v>
      </c>
      <c r="B545" s="2" t="str">
        <f>IFERROR(INDEX(Movimientos!$C$2:$C$1993,MATCH(A545&amp;"ENTRADA",Movimientos!$R$2:$R$1993,0)),"-")</f>
        <v>-</v>
      </c>
      <c r="C545" s="2" t="str">
        <f>IFERROR(INDEX(Movimientos!$D$2:$D$1993,MATCH(A545&amp;"ENTRADA",Movimientos!$R$2:$R$1993,0)),"-")</f>
        <v>-</v>
      </c>
      <c r="D545" s="2" t="str">
        <f>IFERROR(INDEX(Movimientos!$E$2:$E$1993,MATCH(A545&amp;"ENTRADA",Movimientos!$R$2:$R$1993,0)),"-")</f>
        <v>-</v>
      </c>
      <c r="E545" s="2" t="str">
        <f>IFERROR(INDEX(Movimientos!$F$2:$F$1993,MATCH(A545&amp;"ENTRADA",Movimientos!$R$2:$R$1993,0)),"-")</f>
        <v>-</v>
      </c>
      <c r="F545" s="2" t="str">
        <f>IFERROR(INDEX(Movimientos!$G$2:$G$1993,MATCH(A545&amp;"ENTRADA",Movimientos!$R$2:$R$1993,0)),"-")</f>
        <v>-</v>
      </c>
      <c r="G545" s="2" t="str">
        <f>IFERROR(INDEX(Movimientos!$L$2:$L$1993,MATCH(A545&amp;"ENTRADA",Movimientos!$R$2:$R$1993,0)),"-")</f>
        <v>-</v>
      </c>
      <c r="H545" s="17" t="str">
        <f>IFERROR(IF(INDEX(Movimientos!$M$2:$M$1993,MATCH(A545&amp;"ENTRADA",Movimientos!$R$2:$R$1993,0))=0,"S/D",INDEX(Movimientos!$M$2:$M$1993,MATCH(A545&amp;"ENTRADA",Movimientos!$R$2:$R$1993,0))),"S/D")</f>
        <v>S/D</v>
      </c>
      <c r="I545" s="15" t="str">
        <f t="shared" ca="1" si="18"/>
        <v>S/D</v>
      </c>
      <c r="J545" s="5">
        <f>IF(A545="","",SUMIFS(Movimientos!$K:$K,Movimientos!$H:$H,A545))</f>
        <v>0</v>
      </c>
      <c r="K545" s="13" t="str">
        <f t="shared" ca="1" si="17"/>
        <v>SIN STOCK</v>
      </c>
    </row>
    <row r="546" spans="1:11">
      <c r="A546" s="16" t="s">
        <v>2851</v>
      </c>
      <c r="B546" s="2" t="str">
        <f>IFERROR(INDEX(Movimientos!$C$2:$C$1993,MATCH(A546&amp;"ENTRADA",Movimientos!$R$2:$R$1993,0)),"-")</f>
        <v>-</v>
      </c>
      <c r="C546" s="2" t="str">
        <f>IFERROR(INDEX(Movimientos!$D$2:$D$1993,MATCH(A546&amp;"ENTRADA",Movimientos!$R$2:$R$1993,0)),"-")</f>
        <v>-</v>
      </c>
      <c r="D546" s="2" t="str">
        <f>IFERROR(INDEX(Movimientos!$E$2:$E$1993,MATCH(A546&amp;"ENTRADA",Movimientos!$R$2:$R$1993,0)),"-")</f>
        <v>-</v>
      </c>
      <c r="E546" s="2" t="str">
        <f>IFERROR(INDEX(Movimientos!$F$2:$F$1993,MATCH(A546&amp;"ENTRADA",Movimientos!$R$2:$R$1993,0)),"-")</f>
        <v>-</v>
      </c>
      <c r="F546" s="2" t="str">
        <f>IFERROR(INDEX(Movimientos!$G$2:$G$1993,MATCH(A546&amp;"ENTRADA",Movimientos!$R$2:$R$1993,0)),"-")</f>
        <v>-</v>
      </c>
      <c r="G546" s="2" t="str">
        <f>IFERROR(INDEX(Movimientos!$L$2:$L$1993,MATCH(A546&amp;"ENTRADA",Movimientos!$R$2:$R$1993,0)),"-")</f>
        <v>-</v>
      </c>
      <c r="H546" s="17" t="str">
        <f>IFERROR(IF(INDEX(Movimientos!$M$2:$M$1993,MATCH(A546&amp;"ENTRADA",Movimientos!$R$2:$R$1993,0))=0,"S/D",INDEX(Movimientos!$M$2:$M$1993,MATCH(A546&amp;"ENTRADA",Movimientos!$R$2:$R$1993,0))),"S/D")</f>
        <v>S/D</v>
      </c>
      <c r="I546" s="15" t="str">
        <f t="shared" ca="1" si="18"/>
        <v>S/D</v>
      </c>
      <c r="J546" s="5">
        <f>IF(A546="","",SUMIFS(Movimientos!$K:$K,Movimientos!$H:$H,A546))</f>
        <v>0</v>
      </c>
      <c r="K546" s="13" t="str">
        <f t="shared" ca="1" si="17"/>
        <v>SIN STOCK</v>
      </c>
    </row>
    <row r="547" spans="1:11">
      <c r="A547" s="16" t="s">
        <v>2852</v>
      </c>
      <c r="B547" s="2" t="str">
        <f>IFERROR(INDEX(Movimientos!$C$2:$C$1993,MATCH(A547&amp;"ENTRADA",Movimientos!$R$2:$R$1993,0)),"-")</f>
        <v>-</v>
      </c>
      <c r="C547" s="2" t="str">
        <f>IFERROR(INDEX(Movimientos!$D$2:$D$1993,MATCH(A547&amp;"ENTRADA",Movimientos!$R$2:$R$1993,0)),"-")</f>
        <v>-</v>
      </c>
      <c r="D547" s="2" t="str">
        <f>IFERROR(INDEX(Movimientos!$E$2:$E$1993,MATCH(A547&amp;"ENTRADA",Movimientos!$R$2:$R$1993,0)),"-")</f>
        <v>-</v>
      </c>
      <c r="E547" s="2" t="str">
        <f>IFERROR(INDEX(Movimientos!$F$2:$F$1993,MATCH(A547&amp;"ENTRADA",Movimientos!$R$2:$R$1993,0)),"-")</f>
        <v>-</v>
      </c>
      <c r="F547" s="2" t="str">
        <f>IFERROR(INDEX(Movimientos!$G$2:$G$1993,MATCH(A547&amp;"ENTRADA",Movimientos!$R$2:$R$1993,0)),"-")</f>
        <v>-</v>
      </c>
      <c r="G547" s="2" t="str">
        <f>IFERROR(INDEX(Movimientos!$L$2:$L$1993,MATCH(A547&amp;"ENTRADA",Movimientos!$R$2:$R$1993,0)),"-")</f>
        <v>-</v>
      </c>
      <c r="H547" s="17" t="str">
        <f>IFERROR(IF(INDEX(Movimientos!$M$2:$M$1993,MATCH(A547&amp;"ENTRADA",Movimientos!$R$2:$R$1993,0))=0,"S/D",INDEX(Movimientos!$M$2:$M$1993,MATCH(A547&amp;"ENTRADA",Movimientos!$R$2:$R$1993,0))),"S/D")</f>
        <v>S/D</v>
      </c>
      <c r="I547" s="15" t="str">
        <f t="shared" ca="1" si="18"/>
        <v>S/D</v>
      </c>
      <c r="J547" s="5">
        <f>IF(A547="","",SUMIFS(Movimientos!$K:$K,Movimientos!$H:$H,A547))</f>
        <v>0</v>
      </c>
      <c r="K547" s="13" t="str">
        <f t="shared" ca="1" si="17"/>
        <v>SIN STOCK</v>
      </c>
    </row>
    <row r="548" spans="1:11">
      <c r="A548" s="16" t="s">
        <v>2853</v>
      </c>
      <c r="B548" s="2" t="str">
        <f>IFERROR(INDEX(Movimientos!$C$2:$C$1993,MATCH(A548&amp;"ENTRADA",Movimientos!$R$2:$R$1993,0)),"-")</f>
        <v>-</v>
      </c>
      <c r="C548" s="2" t="str">
        <f>IFERROR(INDEX(Movimientos!$D$2:$D$1993,MATCH(A548&amp;"ENTRADA",Movimientos!$R$2:$R$1993,0)),"-")</f>
        <v>-</v>
      </c>
      <c r="D548" s="2" t="str">
        <f>IFERROR(INDEX(Movimientos!$E$2:$E$1993,MATCH(A548&amp;"ENTRADA",Movimientos!$R$2:$R$1993,0)),"-")</f>
        <v>-</v>
      </c>
      <c r="E548" s="2" t="str">
        <f>IFERROR(INDEX(Movimientos!$F$2:$F$1993,MATCH(A548&amp;"ENTRADA",Movimientos!$R$2:$R$1993,0)),"-")</f>
        <v>-</v>
      </c>
      <c r="F548" s="2" t="str">
        <f>IFERROR(INDEX(Movimientos!$G$2:$G$1993,MATCH(A548&amp;"ENTRADA",Movimientos!$R$2:$R$1993,0)),"-")</f>
        <v>-</v>
      </c>
      <c r="G548" s="2" t="str">
        <f>IFERROR(INDEX(Movimientos!$L$2:$L$1993,MATCH(A548&amp;"ENTRADA",Movimientos!$R$2:$R$1993,0)),"-")</f>
        <v>-</v>
      </c>
      <c r="H548" s="17" t="str">
        <f>IFERROR(IF(INDEX(Movimientos!$M$2:$M$1993,MATCH(A548&amp;"ENTRADA",Movimientos!$R$2:$R$1993,0))=0,"S/D",INDEX(Movimientos!$M$2:$M$1993,MATCH(A548&amp;"ENTRADA",Movimientos!$R$2:$R$1993,0))),"S/D")</f>
        <v>S/D</v>
      </c>
      <c r="I548" s="15" t="str">
        <f t="shared" ca="1" si="18"/>
        <v>S/D</v>
      </c>
      <c r="J548" s="5">
        <f>IF(A548="","",SUMIFS(Movimientos!$K:$K,Movimientos!$H:$H,A548))</f>
        <v>0</v>
      </c>
      <c r="K548" s="13" t="str">
        <f t="shared" ca="1" si="17"/>
        <v>SIN STOCK</v>
      </c>
    </row>
    <row r="549" spans="1:11">
      <c r="A549" s="16" t="s">
        <v>2854</v>
      </c>
      <c r="B549" s="2" t="str">
        <f>IFERROR(INDEX(Movimientos!$C$2:$C$1993,MATCH(A549&amp;"ENTRADA",Movimientos!$R$2:$R$1993,0)),"-")</f>
        <v>-</v>
      </c>
      <c r="C549" s="2" t="str">
        <f>IFERROR(INDEX(Movimientos!$D$2:$D$1993,MATCH(A549&amp;"ENTRADA",Movimientos!$R$2:$R$1993,0)),"-")</f>
        <v>-</v>
      </c>
      <c r="D549" s="2" t="str">
        <f>IFERROR(INDEX(Movimientos!$E$2:$E$1993,MATCH(A549&amp;"ENTRADA",Movimientos!$R$2:$R$1993,0)),"-")</f>
        <v>-</v>
      </c>
      <c r="E549" s="2" t="str">
        <f>IFERROR(INDEX(Movimientos!$F$2:$F$1993,MATCH(A549&amp;"ENTRADA",Movimientos!$R$2:$R$1993,0)),"-")</f>
        <v>-</v>
      </c>
      <c r="F549" s="2" t="str">
        <f>IFERROR(INDEX(Movimientos!$G$2:$G$1993,MATCH(A549&amp;"ENTRADA",Movimientos!$R$2:$R$1993,0)),"-")</f>
        <v>-</v>
      </c>
      <c r="G549" s="2" t="str">
        <f>IFERROR(INDEX(Movimientos!$L$2:$L$1993,MATCH(A549&amp;"ENTRADA",Movimientos!$R$2:$R$1993,0)),"-")</f>
        <v>-</v>
      </c>
      <c r="H549" s="17" t="str">
        <f>IFERROR(IF(INDEX(Movimientos!$M$2:$M$1993,MATCH(A549&amp;"ENTRADA",Movimientos!$R$2:$R$1993,0))=0,"S/D",INDEX(Movimientos!$M$2:$M$1993,MATCH(A549&amp;"ENTRADA",Movimientos!$R$2:$R$1993,0))),"S/D")</f>
        <v>S/D</v>
      </c>
      <c r="I549" s="15" t="str">
        <f t="shared" ca="1" si="18"/>
        <v>S/D</v>
      </c>
      <c r="J549" s="5">
        <f>IF(A549="","",SUMIFS(Movimientos!$K:$K,Movimientos!$H:$H,A549))</f>
        <v>0</v>
      </c>
      <c r="K549" s="13" t="str">
        <f t="shared" ca="1" si="17"/>
        <v>SIN STOCK</v>
      </c>
    </row>
    <row r="550" spans="1:11">
      <c r="A550" s="16" t="s">
        <v>2855</v>
      </c>
      <c r="B550" s="2" t="str">
        <f>IFERROR(INDEX(Movimientos!$C$2:$C$1993,MATCH(A550&amp;"ENTRADA",Movimientos!$R$2:$R$1993,0)),"-")</f>
        <v>-</v>
      </c>
      <c r="C550" s="2" t="str">
        <f>IFERROR(INDEX(Movimientos!$D$2:$D$1993,MATCH(A550&amp;"ENTRADA",Movimientos!$R$2:$R$1993,0)),"-")</f>
        <v>-</v>
      </c>
      <c r="D550" s="2" t="str">
        <f>IFERROR(INDEX(Movimientos!$E$2:$E$1993,MATCH(A550&amp;"ENTRADA",Movimientos!$R$2:$R$1993,0)),"-")</f>
        <v>-</v>
      </c>
      <c r="E550" s="2" t="str">
        <f>IFERROR(INDEX(Movimientos!$F$2:$F$1993,MATCH(A550&amp;"ENTRADA",Movimientos!$R$2:$R$1993,0)),"-")</f>
        <v>-</v>
      </c>
      <c r="F550" s="2" t="str">
        <f>IFERROR(INDEX(Movimientos!$G$2:$G$1993,MATCH(A550&amp;"ENTRADA",Movimientos!$R$2:$R$1993,0)),"-")</f>
        <v>-</v>
      </c>
      <c r="G550" s="2" t="str">
        <f>IFERROR(INDEX(Movimientos!$L$2:$L$1993,MATCH(A550&amp;"ENTRADA",Movimientos!$R$2:$R$1993,0)),"-")</f>
        <v>-</v>
      </c>
      <c r="H550" s="17" t="str">
        <f>IFERROR(IF(INDEX(Movimientos!$M$2:$M$1993,MATCH(A550&amp;"ENTRADA",Movimientos!$R$2:$R$1993,0))=0,"S/D",INDEX(Movimientos!$M$2:$M$1993,MATCH(A550&amp;"ENTRADA",Movimientos!$R$2:$R$1993,0))),"S/D")</f>
        <v>S/D</v>
      </c>
      <c r="I550" s="15" t="str">
        <f t="shared" ca="1" si="18"/>
        <v>S/D</v>
      </c>
      <c r="J550" s="5">
        <f>IF(A550="","",SUMIFS(Movimientos!$K:$K,Movimientos!$H:$H,A550))</f>
        <v>0</v>
      </c>
      <c r="K550" s="13" t="str">
        <f t="shared" ca="1" si="17"/>
        <v>SIN STOCK</v>
      </c>
    </row>
    <row r="551" spans="1:11">
      <c r="A551" s="16" t="s">
        <v>2856</v>
      </c>
      <c r="B551" s="2" t="str">
        <f>IFERROR(INDEX(Movimientos!$C$2:$C$1993,MATCH(A551&amp;"ENTRADA",Movimientos!$R$2:$R$1993,0)),"-")</f>
        <v>-</v>
      </c>
      <c r="C551" s="2" t="str">
        <f>IFERROR(INDEX(Movimientos!$D$2:$D$1993,MATCH(A551&amp;"ENTRADA",Movimientos!$R$2:$R$1993,0)),"-")</f>
        <v>-</v>
      </c>
      <c r="D551" s="2" t="str">
        <f>IFERROR(INDEX(Movimientos!$E$2:$E$1993,MATCH(A551&amp;"ENTRADA",Movimientos!$R$2:$R$1993,0)),"-")</f>
        <v>-</v>
      </c>
      <c r="E551" s="2" t="str">
        <f>IFERROR(INDEX(Movimientos!$F$2:$F$1993,MATCH(A551&amp;"ENTRADA",Movimientos!$R$2:$R$1993,0)),"-")</f>
        <v>-</v>
      </c>
      <c r="F551" s="2" t="str">
        <f>IFERROR(INDEX(Movimientos!$G$2:$G$1993,MATCH(A551&amp;"ENTRADA",Movimientos!$R$2:$R$1993,0)),"-")</f>
        <v>-</v>
      </c>
      <c r="G551" s="2" t="str">
        <f>IFERROR(INDEX(Movimientos!$L$2:$L$1993,MATCH(A551&amp;"ENTRADA",Movimientos!$R$2:$R$1993,0)),"-")</f>
        <v>-</v>
      </c>
      <c r="H551" s="17" t="str">
        <f>IFERROR(IF(INDEX(Movimientos!$M$2:$M$1993,MATCH(A551&amp;"ENTRADA",Movimientos!$R$2:$R$1993,0))=0,"S/D",INDEX(Movimientos!$M$2:$M$1993,MATCH(A551&amp;"ENTRADA",Movimientos!$R$2:$R$1993,0))),"S/D")</f>
        <v>S/D</v>
      </c>
      <c r="I551" s="15" t="str">
        <f t="shared" ca="1" si="18"/>
        <v>S/D</v>
      </c>
      <c r="J551" s="5">
        <f>IF(A551="","",SUMIFS(Movimientos!$K:$K,Movimientos!$H:$H,A551))</f>
        <v>0</v>
      </c>
      <c r="K551" s="13" t="str">
        <f t="shared" ca="1" si="17"/>
        <v>SIN STOCK</v>
      </c>
    </row>
    <row r="552" spans="1:11">
      <c r="A552" s="16" t="s">
        <v>2857</v>
      </c>
      <c r="B552" s="2" t="str">
        <f>IFERROR(INDEX(Movimientos!$C$2:$C$1993,MATCH(A552&amp;"ENTRADA",Movimientos!$R$2:$R$1993,0)),"-")</f>
        <v>-</v>
      </c>
      <c r="C552" s="2" t="str">
        <f>IFERROR(INDEX(Movimientos!$D$2:$D$1993,MATCH(A552&amp;"ENTRADA",Movimientos!$R$2:$R$1993,0)),"-")</f>
        <v>-</v>
      </c>
      <c r="D552" s="2" t="str">
        <f>IFERROR(INDEX(Movimientos!$E$2:$E$1993,MATCH(A552&amp;"ENTRADA",Movimientos!$R$2:$R$1993,0)),"-")</f>
        <v>-</v>
      </c>
      <c r="E552" s="2" t="str">
        <f>IFERROR(INDEX(Movimientos!$F$2:$F$1993,MATCH(A552&amp;"ENTRADA",Movimientos!$R$2:$R$1993,0)),"-")</f>
        <v>-</v>
      </c>
      <c r="F552" s="2" t="str">
        <f>IFERROR(INDEX(Movimientos!$G$2:$G$1993,MATCH(A552&amp;"ENTRADA",Movimientos!$R$2:$R$1993,0)),"-")</f>
        <v>-</v>
      </c>
      <c r="G552" s="2" t="str">
        <f>IFERROR(INDEX(Movimientos!$L$2:$L$1993,MATCH(A552&amp;"ENTRADA",Movimientos!$R$2:$R$1993,0)),"-")</f>
        <v>-</v>
      </c>
      <c r="H552" s="17" t="str">
        <f>IFERROR(IF(INDEX(Movimientos!$M$2:$M$1993,MATCH(A552&amp;"ENTRADA",Movimientos!$R$2:$R$1993,0))=0,"S/D",INDEX(Movimientos!$M$2:$M$1993,MATCH(A552&amp;"ENTRADA",Movimientos!$R$2:$R$1993,0))),"S/D")</f>
        <v>S/D</v>
      </c>
      <c r="I552" s="15" t="str">
        <f t="shared" ca="1" si="18"/>
        <v>S/D</v>
      </c>
      <c r="J552" s="5">
        <f>IF(A552="","",SUMIFS(Movimientos!$K:$K,Movimientos!$H:$H,A552))</f>
        <v>0</v>
      </c>
      <c r="K552" s="13" t="str">
        <f t="shared" ca="1" si="17"/>
        <v>SIN STOCK</v>
      </c>
    </row>
    <row r="553" spans="1:11">
      <c r="A553" s="16" t="s">
        <v>2858</v>
      </c>
      <c r="B553" s="2" t="str">
        <f>IFERROR(INDEX(Movimientos!$C$2:$C$1993,MATCH(A553&amp;"ENTRADA",Movimientos!$R$2:$R$1993,0)),"-")</f>
        <v>-</v>
      </c>
      <c r="C553" s="2" t="str">
        <f>IFERROR(INDEX(Movimientos!$D$2:$D$1993,MATCH(A553&amp;"ENTRADA",Movimientos!$R$2:$R$1993,0)),"-")</f>
        <v>-</v>
      </c>
      <c r="D553" s="2" t="str">
        <f>IFERROR(INDEX(Movimientos!$E$2:$E$1993,MATCH(A553&amp;"ENTRADA",Movimientos!$R$2:$R$1993,0)),"-")</f>
        <v>-</v>
      </c>
      <c r="E553" s="2" t="str">
        <f>IFERROR(INDEX(Movimientos!$F$2:$F$1993,MATCH(A553&amp;"ENTRADA",Movimientos!$R$2:$R$1993,0)),"-")</f>
        <v>-</v>
      </c>
      <c r="F553" s="2" t="str">
        <f>IFERROR(INDEX(Movimientos!$G$2:$G$1993,MATCH(A553&amp;"ENTRADA",Movimientos!$R$2:$R$1993,0)),"-")</f>
        <v>-</v>
      </c>
      <c r="G553" s="2" t="str">
        <f>IFERROR(INDEX(Movimientos!$L$2:$L$1993,MATCH(A553&amp;"ENTRADA",Movimientos!$R$2:$R$1993,0)),"-")</f>
        <v>-</v>
      </c>
      <c r="H553" s="17" t="str">
        <f>IFERROR(IF(INDEX(Movimientos!$M$2:$M$1993,MATCH(A553&amp;"ENTRADA",Movimientos!$R$2:$R$1993,0))=0,"S/D",INDEX(Movimientos!$M$2:$M$1993,MATCH(A553&amp;"ENTRADA",Movimientos!$R$2:$R$1993,0))),"S/D")</f>
        <v>S/D</v>
      </c>
      <c r="I553" s="15" t="str">
        <f t="shared" ca="1" si="18"/>
        <v>S/D</v>
      </c>
      <c r="J553" s="5">
        <f>IF(A553="","",SUMIFS(Movimientos!$K:$K,Movimientos!$H:$H,A553))</f>
        <v>0</v>
      </c>
      <c r="K553" s="13" t="str">
        <f t="shared" ca="1" si="17"/>
        <v>SIN STOCK</v>
      </c>
    </row>
    <row r="554" spans="1:11">
      <c r="A554" s="16" t="s">
        <v>2859</v>
      </c>
      <c r="B554" s="2" t="str">
        <f>IFERROR(INDEX(Movimientos!$C$2:$C$1993,MATCH(A554&amp;"ENTRADA",Movimientos!$R$2:$R$1993,0)),"-")</f>
        <v>-</v>
      </c>
      <c r="C554" s="2" t="str">
        <f>IFERROR(INDEX(Movimientos!$D$2:$D$1993,MATCH(A554&amp;"ENTRADA",Movimientos!$R$2:$R$1993,0)),"-")</f>
        <v>-</v>
      </c>
      <c r="D554" s="2" t="str">
        <f>IFERROR(INDEX(Movimientos!$E$2:$E$1993,MATCH(A554&amp;"ENTRADA",Movimientos!$R$2:$R$1993,0)),"-")</f>
        <v>-</v>
      </c>
      <c r="E554" s="2" t="str">
        <f>IFERROR(INDEX(Movimientos!$F$2:$F$1993,MATCH(A554&amp;"ENTRADA",Movimientos!$R$2:$R$1993,0)),"-")</f>
        <v>-</v>
      </c>
      <c r="F554" s="2" t="str">
        <f>IFERROR(INDEX(Movimientos!$G$2:$G$1993,MATCH(A554&amp;"ENTRADA",Movimientos!$R$2:$R$1993,0)),"-")</f>
        <v>-</v>
      </c>
      <c r="G554" s="2" t="str">
        <f>IFERROR(INDEX(Movimientos!$L$2:$L$1993,MATCH(A554&amp;"ENTRADA",Movimientos!$R$2:$R$1993,0)),"-")</f>
        <v>-</v>
      </c>
      <c r="H554" s="17" t="str">
        <f>IFERROR(IF(INDEX(Movimientos!$M$2:$M$1993,MATCH(A554&amp;"ENTRADA",Movimientos!$R$2:$R$1993,0))=0,"S/D",INDEX(Movimientos!$M$2:$M$1993,MATCH(A554&amp;"ENTRADA",Movimientos!$R$2:$R$1993,0))),"S/D")</f>
        <v>S/D</v>
      </c>
      <c r="I554" s="15" t="str">
        <f t="shared" ca="1" si="18"/>
        <v>S/D</v>
      </c>
      <c r="J554" s="5">
        <f>IF(A554="","",SUMIFS(Movimientos!$K:$K,Movimientos!$H:$H,A554))</f>
        <v>0</v>
      </c>
      <c r="K554" s="13" t="str">
        <f t="shared" ca="1" si="17"/>
        <v>SIN STOCK</v>
      </c>
    </row>
    <row r="555" spans="1:11">
      <c r="A555" s="16" t="s">
        <v>2860</v>
      </c>
      <c r="B555" s="2" t="str">
        <f>IFERROR(INDEX(Movimientos!$C$2:$C$1993,MATCH(A555&amp;"ENTRADA",Movimientos!$R$2:$R$1993,0)),"-")</f>
        <v>-</v>
      </c>
      <c r="C555" s="2" t="str">
        <f>IFERROR(INDEX(Movimientos!$D$2:$D$1993,MATCH(A555&amp;"ENTRADA",Movimientos!$R$2:$R$1993,0)),"-")</f>
        <v>-</v>
      </c>
      <c r="D555" s="2" t="str">
        <f>IFERROR(INDEX(Movimientos!$E$2:$E$1993,MATCH(A555&amp;"ENTRADA",Movimientos!$R$2:$R$1993,0)),"-")</f>
        <v>-</v>
      </c>
      <c r="E555" s="2" t="str">
        <f>IFERROR(INDEX(Movimientos!$F$2:$F$1993,MATCH(A555&amp;"ENTRADA",Movimientos!$R$2:$R$1993,0)),"-")</f>
        <v>-</v>
      </c>
      <c r="F555" s="2" t="str">
        <f>IFERROR(INDEX(Movimientos!$G$2:$G$1993,MATCH(A555&amp;"ENTRADA",Movimientos!$R$2:$R$1993,0)),"-")</f>
        <v>-</v>
      </c>
      <c r="G555" s="2" t="str">
        <f>IFERROR(INDEX(Movimientos!$L$2:$L$1993,MATCH(A555&amp;"ENTRADA",Movimientos!$R$2:$R$1993,0)),"-")</f>
        <v>-</v>
      </c>
      <c r="H555" s="17" t="str">
        <f>IFERROR(IF(INDEX(Movimientos!$M$2:$M$1993,MATCH(A555&amp;"ENTRADA",Movimientos!$R$2:$R$1993,0))=0,"S/D",INDEX(Movimientos!$M$2:$M$1993,MATCH(A555&amp;"ENTRADA",Movimientos!$R$2:$R$1993,0))),"S/D")</f>
        <v>S/D</v>
      </c>
      <c r="I555" s="15" t="str">
        <f t="shared" ca="1" si="18"/>
        <v>S/D</v>
      </c>
      <c r="J555" s="5">
        <f>IF(A555="","",SUMIFS(Movimientos!$K:$K,Movimientos!$H:$H,A555))</f>
        <v>0</v>
      </c>
      <c r="K555" s="13" t="str">
        <f t="shared" ca="1" si="17"/>
        <v>SIN STOCK</v>
      </c>
    </row>
    <row r="556" spans="1:11">
      <c r="A556" s="16" t="s">
        <v>2861</v>
      </c>
      <c r="B556" s="2" t="str">
        <f>IFERROR(INDEX(Movimientos!$C$2:$C$1993,MATCH(A556&amp;"ENTRADA",Movimientos!$R$2:$R$1993,0)),"-")</f>
        <v>-</v>
      </c>
      <c r="C556" s="2" t="str">
        <f>IFERROR(INDEX(Movimientos!$D$2:$D$1993,MATCH(A556&amp;"ENTRADA",Movimientos!$R$2:$R$1993,0)),"-")</f>
        <v>-</v>
      </c>
      <c r="D556" s="2" t="str">
        <f>IFERROR(INDEX(Movimientos!$E$2:$E$1993,MATCH(A556&amp;"ENTRADA",Movimientos!$R$2:$R$1993,0)),"-")</f>
        <v>-</v>
      </c>
      <c r="E556" s="2" t="str">
        <f>IFERROR(INDEX(Movimientos!$F$2:$F$1993,MATCH(A556&amp;"ENTRADA",Movimientos!$R$2:$R$1993,0)),"-")</f>
        <v>-</v>
      </c>
      <c r="F556" s="2" t="str">
        <f>IFERROR(INDEX(Movimientos!$G$2:$G$1993,MATCH(A556&amp;"ENTRADA",Movimientos!$R$2:$R$1993,0)),"-")</f>
        <v>-</v>
      </c>
      <c r="G556" s="2" t="str">
        <f>IFERROR(INDEX(Movimientos!$L$2:$L$1993,MATCH(A556&amp;"ENTRADA",Movimientos!$R$2:$R$1993,0)),"-")</f>
        <v>-</v>
      </c>
      <c r="H556" s="17" t="str">
        <f>IFERROR(IF(INDEX(Movimientos!$M$2:$M$1993,MATCH(A556&amp;"ENTRADA",Movimientos!$R$2:$R$1993,0))=0,"S/D",INDEX(Movimientos!$M$2:$M$1993,MATCH(A556&amp;"ENTRADA",Movimientos!$R$2:$R$1993,0))),"S/D")</f>
        <v>S/D</v>
      </c>
      <c r="I556" s="15" t="str">
        <f t="shared" ca="1" si="18"/>
        <v>S/D</v>
      </c>
      <c r="J556" s="5">
        <f>IF(A556="","",SUMIFS(Movimientos!$K:$K,Movimientos!$H:$H,A556))</f>
        <v>0</v>
      </c>
      <c r="K556" s="13" t="str">
        <f t="shared" ca="1" si="17"/>
        <v>SIN STOCK</v>
      </c>
    </row>
    <row r="557" spans="1:11">
      <c r="A557" s="16" t="s">
        <v>2862</v>
      </c>
      <c r="B557" s="2" t="str">
        <f>IFERROR(INDEX(Movimientos!$C$2:$C$1993,MATCH(A557&amp;"ENTRADA",Movimientos!$R$2:$R$1993,0)),"-")</f>
        <v>-</v>
      </c>
      <c r="C557" s="2" t="str">
        <f>IFERROR(INDEX(Movimientos!$D$2:$D$1993,MATCH(A557&amp;"ENTRADA",Movimientos!$R$2:$R$1993,0)),"-")</f>
        <v>-</v>
      </c>
      <c r="D557" s="2" t="str">
        <f>IFERROR(INDEX(Movimientos!$E$2:$E$1993,MATCH(A557&amp;"ENTRADA",Movimientos!$R$2:$R$1993,0)),"-")</f>
        <v>-</v>
      </c>
      <c r="E557" s="2" t="str">
        <f>IFERROR(INDEX(Movimientos!$F$2:$F$1993,MATCH(A557&amp;"ENTRADA",Movimientos!$R$2:$R$1993,0)),"-")</f>
        <v>-</v>
      </c>
      <c r="F557" s="2" t="str">
        <f>IFERROR(INDEX(Movimientos!$G$2:$G$1993,MATCH(A557&amp;"ENTRADA",Movimientos!$R$2:$R$1993,0)),"-")</f>
        <v>-</v>
      </c>
      <c r="G557" s="2" t="str">
        <f>IFERROR(INDEX(Movimientos!$L$2:$L$1993,MATCH(A557&amp;"ENTRADA",Movimientos!$R$2:$R$1993,0)),"-")</f>
        <v>-</v>
      </c>
      <c r="H557" s="17" t="str">
        <f>IFERROR(IF(INDEX(Movimientos!$M$2:$M$1993,MATCH(A557&amp;"ENTRADA",Movimientos!$R$2:$R$1993,0))=0,"S/D",INDEX(Movimientos!$M$2:$M$1993,MATCH(A557&amp;"ENTRADA",Movimientos!$R$2:$R$1993,0))),"S/D")</f>
        <v>S/D</v>
      </c>
      <c r="I557" s="15" t="str">
        <f t="shared" ca="1" si="18"/>
        <v>S/D</v>
      </c>
      <c r="J557" s="5">
        <f>IF(A557="","",SUMIFS(Movimientos!$K:$K,Movimientos!$H:$H,A557))</f>
        <v>0</v>
      </c>
      <c r="K557" s="13" t="str">
        <f t="shared" ca="1" si="17"/>
        <v>SIN STOCK</v>
      </c>
    </row>
    <row r="558" spans="1:11">
      <c r="A558" s="16" t="s">
        <v>2863</v>
      </c>
      <c r="B558" s="2" t="str">
        <f>IFERROR(INDEX(Movimientos!$C$2:$C$1993,MATCH(A558&amp;"ENTRADA",Movimientos!$R$2:$R$1993,0)),"-")</f>
        <v>-</v>
      </c>
      <c r="C558" s="2" t="str">
        <f>IFERROR(INDEX(Movimientos!$D$2:$D$1993,MATCH(A558&amp;"ENTRADA",Movimientos!$R$2:$R$1993,0)),"-")</f>
        <v>-</v>
      </c>
      <c r="D558" s="2" t="str">
        <f>IFERROR(INDEX(Movimientos!$E$2:$E$1993,MATCH(A558&amp;"ENTRADA",Movimientos!$R$2:$R$1993,0)),"-")</f>
        <v>-</v>
      </c>
      <c r="E558" s="2" t="str">
        <f>IFERROR(INDEX(Movimientos!$F$2:$F$1993,MATCH(A558&amp;"ENTRADA",Movimientos!$R$2:$R$1993,0)),"-")</f>
        <v>-</v>
      </c>
      <c r="F558" s="2" t="str">
        <f>IFERROR(INDEX(Movimientos!$G$2:$G$1993,MATCH(A558&amp;"ENTRADA",Movimientos!$R$2:$R$1993,0)),"-")</f>
        <v>-</v>
      </c>
      <c r="G558" s="2" t="str">
        <f>IFERROR(INDEX(Movimientos!$L$2:$L$1993,MATCH(A558&amp;"ENTRADA",Movimientos!$R$2:$R$1993,0)),"-")</f>
        <v>-</v>
      </c>
      <c r="H558" s="17" t="str">
        <f>IFERROR(IF(INDEX(Movimientos!$M$2:$M$1993,MATCH(A558&amp;"ENTRADA",Movimientos!$R$2:$R$1993,0))=0,"S/D",INDEX(Movimientos!$M$2:$M$1993,MATCH(A558&amp;"ENTRADA",Movimientos!$R$2:$R$1993,0))),"S/D")</f>
        <v>S/D</v>
      </c>
      <c r="I558" s="15" t="str">
        <f t="shared" ca="1" si="18"/>
        <v>S/D</v>
      </c>
      <c r="J558" s="5">
        <f>IF(A558="","",SUMIFS(Movimientos!$K:$K,Movimientos!$H:$H,A558))</f>
        <v>0</v>
      </c>
      <c r="K558" s="13" t="str">
        <f t="shared" ca="1" si="17"/>
        <v>SIN STOCK</v>
      </c>
    </row>
    <row r="559" spans="1:11">
      <c r="A559" s="16" t="s">
        <v>2864</v>
      </c>
      <c r="B559" s="2" t="str">
        <f>IFERROR(INDEX(Movimientos!$C$2:$C$1993,MATCH(A559&amp;"ENTRADA",Movimientos!$R$2:$R$1993,0)),"-")</f>
        <v>-</v>
      </c>
      <c r="C559" s="2" t="str">
        <f>IFERROR(INDEX(Movimientos!$D$2:$D$1993,MATCH(A559&amp;"ENTRADA",Movimientos!$R$2:$R$1993,0)),"-")</f>
        <v>-</v>
      </c>
      <c r="D559" s="2" t="str">
        <f>IFERROR(INDEX(Movimientos!$E$2:$E$1993,MATCH(A559&amp;"ENTRADA",Movimientos!$R$2:$R$1993,0)),"-")</f>
        <v>-</v>
      </c>
      <c r="E559" s="2" t="str">
        <f>IFERROR(INDEX(Movimientos!$F$2:$F$1993,MATCH(A559&amp;"ENTRADA",Movimientos!$R$2:$R$1993,0)),"-")</f>
        <v>-</v>
      </c>
      <c r="F559" s="2" t="str">
        <f>IFERROR(INDEX(Movimientos!$G$2:$G$1993,MATCH(A559&amp;"ENTRADA",Movimientos!$R$2:$R$1993,0)),"-")</f>
        <v>-</v>
      </c>
      <c r="G559" s="2" t="str">
        <f>IFERROR(INDEX(Movimientos!$L$2:$L$1993,MATCH(A559&amp;"ENTRADA",Movimientos!$R$2:$R$1993,0)),"-")</f>
        <v>-</v>
      </c>
      <c r="H559" s="17" t="str">
        <f>IFERROR(IF(INDEX(Movimientos!$M$2:$M$1993,MATCH(A559&amp;"ENTRADA",Movimientos!$R$2:$R$1993,0))=0,"S/D",INDEX(Movimientos!$M$2:$M$1993,MATCH(A559&amp;"ENTRADA",Movimientos!$R$2:$R$1993,0))),"S/D")</f>
        <v>S/D</v>
      </c>
      <c r="I559" s="15" t="str">
        <f t="shared" ca="1" si="18"/>
        <v>S/D</v>
      </c>
      <c r="J559" s="5">
        <f>IF(A559="","",SUMIFS(Movimientos!$K:$K,Movimientos!$H:$H,A559))</f>
        <v>0</v>
      </c>
      <c r="K559" s="13" t="str">
        <f t="shared" ca="1" si="17"/>
        <v>SIN STOCK</v>
      </c>
    </row>
    <row r="560" spans="1:11">
      <c r="A560" s="16" t="s">
        <v>2865</v>
      </c>
      <c r="B560" s="2" t="str">
        <f>IFERROR(INDEX(Movimientos!$C$2:$C$1993,MATCH(A560&amp;"ENTRADA",Movimientos!$R$2:$R$1993,0)),"-")</f>
        <v>-</v>
      </c>
      <c r="C560" s="2" t="str">
        <f>IFERROR(INDEX(Movimientos!$D$2:$D$1993,MATCH(A560&amp;"ENTRADA",Movimientos!$R$2:$R$1993,0)),"-")</f>
        <v>-</v>
      </c>
      <c r="D560" s="2" t="str">
        <f>IFERROR(INDEX(Movimientos!$E$2:$E$1993,MATCH(A560&amp;"ENTRADA",Movimientos!$R$2:$R$1993,0)),"-")</f>
        <v>-</v>
      </c>
      <c r="E560" s="2" t="str">
        <f>IFERROR(INDEX(Movimientos!$F$2:$F$1993,MATCH(A560&amp;"ENTRADA",Movimientos!$R$2:$R$1993,0)),"-")</f>
        <v>-</v>
      </c>
      <c r="F560" s="2" t="str">
        <f>IFERROR(INDEX(Movimientos!$G$2:$G$1993,MATCH(A560&amp;"ENTRADA",Movimientos!$R$2:$R$1993,0)),"-")</f>
        <v>-</v>
      </c>
      <c r="G560" s="2" t="str">
        <f>IFERROR(INDEX(Movimientos!$L$2:$L$1993,MATCH(A560&amp;"ENTRADA",Movimientos!$R$2:$R$1993,0)),"-")</f>
        <v>-</v>
      </c>
      <c r="H560" s="17" t="str">
        <f>IFERROR(IF(INDEX(Movimientos!$M$2:$M$1993,MATCH(A560&amp;"ENTRADA",Movimientos!$R$2:$R$1993,0))=0,"S/D",INDEX(Movimientos!$M$2:$M$1993,MATCH(A560&amp;"ENTRADA",Movimientos!$R$2:$R$1993,0))),"S/D")</f>
        <v>S/D</v>
      </c>
      <c r="I560" s="15" t="str">
        <f t="shared" ca="1" si="18"/>
        <v>S/D</v>
      </c>
      <c r="J560" s="5">
        <f>IF(A560="","",SUMIFS(Movimientos!$K:$K,Movimientos!$H:$H,A560))</f>
        <v>0</v>
      </c>
      <c r="K560" s="13" t="str">
        <f t="shared" ca="1" si="17"/>
        <v>SIN STOCK</v>
      </c>
    </row>
    <row r="561" spans="1:11">
      <c r="A561" s="16" t="s">
        <v>2866</v>
      </c>
      <c r="B561" s="2" t="str">
        <f>IFERROR(INDEX(Movimientos!$C$2:$C$1993,MATCH(A561&amp;"ENTRADA",Movimientos!$R$2:$R$1993,0)),"-")</f>
        <v>-</v>
      </c>
      <c r="C561" s="2" t="str">
        <f>IFERROR(INDEX(Movimientos!$D$2:$D$1993,MATCH(A561&amp;"ENTRADA",Movimientos!$R$2:$R$1993,0)),"-")</f>
        <v>-</v>
      </c>
      <c r="D561" s="2" t="str">
        <f>IFERROR(INDEX(Movimientos!$E$2:$E$1993,MATCH(A561&amp;"ENTRADA",Movimientos!$R$2:$R$1993,0)),"-")</f>
        <v>-</v>
      </c>
      <c r="E561" s="2" t="str">
        <f>IFERROR(INDEX(Movimientos!$F$2:$F$1993,MATCH(A561&amp;"ENTRADA",Movimientos!$R$2:$R$1993,0)),"-")</f>
        <v>-</v>
      </c>
      <c r="F561" s="2" t="str">
        <f>IFERROR(INDEX(Movimientos!$G$2:$G$1993,MATCH(A561&amp;"ENTRADA",Movimientos!$R$2:$R$1993,0)),"-")</f>
        <v>-</v>
      </c>
      <c r="G561" s="2" t="str">
        <f>IFERROR(INDEX(Movimientos!$L$2:$L$1993,MATCH(A561&amp;"ENTRADA",Movimientos!$R$2:$R$1993,0)),"-")</f>
        <v>-</v>
      </c>
      <c r="H561" s="17" t="str">
        <f>IFERROR(IF(INDEX(Movimientos!$M$2:$M$1993,MATCH(A561&amp;"ENTRADA",Movimientos!$R$2:$R$1993,0))=0,"S/D",INDEX(Movimientos!$M$2:$M$1993,MATCH(A561&amp;"ENTRADA",Movimientos!$R$2:$R$1993,0))),"S/D")</f>
        <v>S/D</v>
      </c>
      <c r="I561" s="15" t="str">
        <f t="shared" ca="1" si="18"/>
        <v>S/D</v>
      </c>
      <c r="J561" s="5">
        <f>IF(A561="","",SUMIFS(Movimientos!$K:$K,Movimientos!$H:$H,A561))</f>
        <v>0</v>
      </c>
      <c r="K561" s="13" t="str">
        <f t="shared" ca="1" si="17"/>
        <v>SIN STOCK</v>
      </c>
    </row>
    <row r="562" spans="1:11">
      <c r="A562" s="16" t="s">
        <v>2867</v>
      </c>
      <c r="B562" s="2" t="str">
        <f>IFERROR(INDEX(Movimientos!$C$2:$C$1993,MATCH(A562&amp;"ENTRADA",Movimientos!$R$2:$R$1993,0)),"-")</f>
        <v>-</v>
      </c>
      <c r="C562" s="2" t="str">
        <f>IFERROR(INDEX(Movimientos!$D$2:$D$1993,MATCH(A562&amp;"ENTRADA",Movimientos!$R$2:$R$1993,0)),"-")</f>
        <v>-</v>
      </c>
      <c r="D562" s="2" t="str">
        <f>IFERROR(INDEX(Movimientos!$E$2:$E$1993,MATCH(A562&amp;"ENTRADA",Movimientos!$R$2:$R$1993,0)),"-")</f>
        <v>-</v>
      </c>
      <c r="E562" s="2" t="str">
        <f>IFERROR(INDEX(Movimientos!$F$2:$F$1993,MATCH(A562&amp;"ENTRADA",Movimientos!$R$2:$R$1993,0)),"-")</f>
        <v>-</v>
      </c>
      <c r="F562" s="2" t="str">
        <f>IFERROR(INDEX(Movimientos!$G$2:$G$1993,MATCH(A562&amp;"ENTRADA",Movimientos!$R$2:$R$1993,0)),"-")</f>
        <v>-</v>
      </c>
      <c r="G562" s="2" t="str">
        <f>IFERROR(INDEX(Movimientos!$L$2:$L$1993,MATCH(A562&amp;"ENTRADA",Movimientos!$R$2:$R$1993,0)),"-")</f>
        <v>-</v>
      </c>
      <c r="H562" s="17" t="str">
        <f>IFERROR(IF(INDEX(Movimientos!$M$2:$M$1993,MATCH(A562&amp;"ENTRADA",Movimientos!$R$2:$R$1993,0))=0,"S/D",INDEX(Movimientos!$M$2:$M$1993,MATCH(A562&amp;"ENTRADA",Movimientos!$R$2:$R$1993,0))),"S/D")</f>
        <v>S/D</v>
      </c>
      <c r="I562" s="15" t="str">
        <f t="shared" ca="1" si="18"/>
        <v>S/D</v>
      </c>
      <c r="J562" s="5">
        <f>IF(A562="","",SUMIFS(Movimientos!$K:$K,Movimientos!$H:$H,A562))</f>
        <v>0</v>
      </c>
      <c r="K562" s="13" t="str">
        <f t="shared" ca="1" si="17"/>
        <v>SIN STOCK</v>
      </c>
    </row>
    <row r="563" spans="1:11">
      <c r="A563" s="16" t="s">
        <v>2868</v>
      </c>
      <c r="B563" s="2" t="str">
        <f>IFERROR(INDEX(Movimientos!$C$2:$C$1993,MATCH(A563&amp;"ENTRADA",Movimientos!$R$2:$R$1993,0)),"-")</f>
        <v>-</v>
      </c>
      <c r="C563" s="2" t="str">
        <f>IFERROR(INDEX(Movimientos!$D$2:$D$1993,MATCH(A563&amp;"ENTRADA",Movimientos!$R$2:$R$1993,0)),"-")</f>
        <v>-</v>
      </c>
      <c r="D563" s="2" t="str">
        <f>IFERROR(INDEX(Movimientos!$E$2:$E$1993,MATCH(A563&amp;"ENTRADA",Movimientos!$R$2:$R$1993,0)),"-")</f>
        <v>-</v>
      </c>
      <c r="E563" s="2" t="str">
        <f>IFERROR(INDEX(Movimientos!$F$2:$F$1993,MATCH(A563&amp;"ENTRADA",Movimientos!$R$2:$R$1993,0)),"-")</f>
        <v>-</v>
      </c>
      <c r="F563" s="2" t="str">
        <f>IFERROR(INDEX(Movimientos!$G$2:$G$1993,MATCH(A563&amp;"ENTRADA",Movimientos!$R$2:$R$1993,0)),"-")</f>
        <v>-</v>
      </c>
      <c r="G563" s="2" t="str">
        <f>IFERROR(INDEX(Movimientos!$L$2:$L$1993,MATCH(A563&amp;"ENTRADA",Movimientos!$R$2:$R$1993,0)),"-")</f>
        <v>-</v>
      </c>
      <c r="H563" s="17" t="str">
        <f>IFERROR(IF(INDEX(Movimientos!$M$2:$M$1993,MATCH(A563&amp;"ENTRADA",Movimientos!$R$2:$R$1993,0))=0,"S/D",INDEX(Movimientos!$M$2:$M$1993,MATCH(A563&amp;"ENTRADA",Movimientos!$R$2:$R$1993,0))),"S/D")</f>
        <v>S/D</v>
      </c>
      <c r="I563" s="15" t="str">
        <f t="shared" ca="1" si="18"/>
        <v>S/D</v>
      </c>
      <c r="J563" s="5">
        <f>IF(A563="","",SUMIFS(Movimientos!$K:$K,Movimientos!$H:$H,A563))</f>
        <v>0</v>
      </c>
      <c r="K563" s="13" t="str">
        <f t="shared" ca="1" si="17"/>
        <v>SIN STOCK</v>
      </c>
    </row>
    <row r="564" spans="1:11">
      <c r="A564" s="16" t="s">
        <v>2869</v>
      </c>
      <c r="B564" s="2" t="str">
        <f>IFERROR(INDEX(Movimientos!$C$2:$C$1993,MATCH(A564&amp;"ENTRADA",Movimientos!$R$2:$R$1993,0)),"-")</f>
        <v>-</v>
      </c>
      <c r="C564" s="2" t="str">
        <f>IFERROR(INDEX(Movimientos!$D$2:$D$1993,MATCH(A564&amp;"ENTRADA",Movimientos!$R$2:$R$1993,0)),"-")</f>
        <v>-</v>
      </c>
      <c r="D564" s="2" t="str">
        <f>IFERROR(INDEX(Movimientos!$E$2:$E$1993,MATCH(A564&amp;"ENTRADA",Movimientos!$R$2:$R$1993,0)),"-")</f>
        <v>-</v>
      </c>
      <c r="E564" s="2" t="str">
        <f>IFERROR(INDEX(Movimientos!$F$2:$F$1993,MATCH(A564&amp;"ENTRADA",Movimientos!$R$2:$R$1993,0)),"-")</f>
        <v>-</v>
      </c>
      <c r="F564" s="2" t="str">
        <f>IFERROR(INDEX(Movimientos!$G$2:$G$1993,MATCH(A564&amp;"ENTRADA",Movimientos!$R$2:$R$1993,0)),"-")</f>
        <v>-</v>
      </c>
      <c r="G564" s="2" t="str">
        <f>IFERROR(INDEX(Movimientos!$L$2:$L$1993,MATCH(A564&amp;"ENTRADA",Movimientos!$R$2:$R$1993,0)),"-")</f>
        <v>-</v>
      </c>
      <c r="H564" s="17" t="str">
        <f>IFERROR(IF(INDEX(Movimientos!$M$2:$M$1993,MATCH(A564&amp;"ENTRADA",Movimientos!$R$2:$R$1993,0))=0,"S/D",INDEX(Movimientos!$M$2:$M$1993,MATCH(A564&amp;"ENTRADA",Movimientos!$R$2:$R$1993,0))),"S/D")</f>
        <v>S/D</v>
      </c>
      <c r="I564" s="15" t="str">
        <f t="shared" ca="1" si="18"/>
        <v>S/D</v>
      </c>
      <c r="J564" s="5">
        <f>IF(A564="","",SUMIFS(Movimientos!$K:$K,Movimientos!$H:$H,A564))</f>
        <v>0</v>
      </c>
      <c r="K564" s="13" t="str">
        <f t="shared" ca="1" si="17"/>
        <v>SIN STOCK</v>
      </c>
    </row>
    <row r="565" spans="1:11">
      <c r="A565" s="16" t="s">
        <v>2870</v>
      </c>
      <c r="B565" s="2" t="str">
        <f>IFERROR(INDEX(Movimientos!$C$2:$C$1993,MATCH(A565&amp;"ENTRADA",Movimientos!$R$2:$R$1993,0)),"-")</f>
        <v>-</v>
      </c>
      <c r="C565" s="2" t="str">
        <f>IFERROR(INDEX(Movimientos!$D$2:$D$1993,MATCH(A565&amp;"ENTRADA",Movimientos!$R$2:$R$1993,0)),"-")</f>
        <v>-</v>
      </c>
      <c r="D565" s="2" t="str">
        <f>IFERROR(INDEX(Movimientos!$E$2:$E$1993,MATCH(A565&amp;"ENTRADA",Movimientos!$R$2:$R$1993,0)),"-")</f>
        <v>-</v>
      </c>
      <c r="E565" s="2" t="str">
        <f>IFERROR(INDEX(Movimientos!$F$2:$F$1993,MATCH(A565&amp;"ENTRADA",Movimientos!$R$2:$R$1993,0)),"-")</f>
        <v>-</v>
      </c>
      <c r="F565" s="2" t="str">
        <f>IFERROR(INDEX(Movimientos!$G$2:$G$1993,MATCH(A565&amp;"ENTRADA",Movimientos!$R$2:$R$1993,0)),"-")</f>
        <v>-</v>
      </c>
      <c r="G565" s="2" t="str">
        <f>IFERROR(INDEX(Movimientos!$L$2:$L$1993,MATCH(A565&amp;"ENTRADA",Movimientos!$R$2:$R$1993,0)),"-")</f>
        <v>-</v>
      </c>
      <c r="H565" s="17" t="str">
        <f>IFERROR(IF(INDEX(Movimientos!$M$2:$M$1993,MATCH(A565&amp;"ENTRADA",Movimientos!$R$2:$R$1993,0))=0,"S/D",INDEX(Movimientos!$M$2:$M$1993,MATCH(A565&amp;"ENTRADA",Movimientos!$R$2:$R$1993,0))),"S/D")</f>
        <v>S/D</v>
      </c>
      <c r="I565" s="15" t="str">
        <f t="shared" ca="1" si="18"/>
        <v>S/D</v>
      </c>
      <c r="J565" s="5">
        <f>IF(A565="","",SUMIFS(Movimientos!$K:$K,Movimientos!$H:$H,A565))</f>
        <v>0</v>
      </c>
      <c r="K565" s="13" t="str">
        <f t="shared" ca="1" si="17"/>
        <v>SIN STOCK</v>
      </c>
    </row>
    <row r="566" spans="1:11">
      <c r="A566" s="16" t="s">
        <v>2871</v>
      </c>
      <c r="B566" s="2" t="str">
        <f>IFERROR(INDEX(Movimientos!$C$2:$C$1993,MATCH(A566&amp;"ENTRADA",Movimientos!$R$2:$R$1993,0)),"-")</f>
        <v>-</v>
      </c>
      <c r="C566" s="2" t="str">
        <f>IFERROR(INDEX(Movimientos!$D$2:$D$1993,MATCH(A566&amp;"ENTRADA",Movimientos!$R$2:$R$1993,0)),"-")</f>
        <v>-</v>
      </c>
      <c r="D566" s="2" t="str">
        <f>IFERROR(INDEX(Movimientos!$E$2:$E$1993,MATCH(A566&amp;"ENTRADA",Movimientos!$R$2:$R$1993,0)),"-")</f>
        <v>-</v>
      </c>
      <c r="E566" s="2" t="str">
        <f>IFERROR(INDEX(Movimientos!$F$2:$F$1993,MATCH(A566&amp;"ENTRADA",Movimientos!$R$2:$R$1993,0)),"-")</f>
        <v>-</v>
      </c>
      <c r="F566" s="2" t="str">
        <f>IFERROR(INDEX(Movimientos!$G$2:$G$1993,MATCH(A566&amp;"ENTRADA",Movimientos!$R$2:$R$1993,0)),"-")</f>
        <v>-</v>
      </c>
      <c r="G566" s="2" t="str">
        <f>IFERROR(INDEX(Movimientos!$L$2:$L$1993,MATCH(A566&amp;"ENTRADA",Movimientos!$R$2:$R$1993,0)),"-")</f>
        <v>-</v>
      </c>
      <c r="H566" s="17" t="str">
        <f>IFERROR(IF(INDEX(Movimientos!$M$2:$M$1993,MATCH(A566&amp;"ENTRADA",Movimientos!$R$2:$R$1993,0))=0,"S/D",INDEX(Movimientos!$M$2:$M$1993,MATCH(A566&amp;"ENTRADA",Movimientos!$R$2:$R$1993,0))),"S/D")</f>
        <v>S/D</v>
      </c>
      <c r="I566" s="15" t="str">
        <f t="shared" ca="1" si="18"/>
        <v>S/D</v>
      </c>
      <c r="J566" s="5">
        <f>IF(A566="","",SUMIFS(Movimientos!$K:$K,Movimientos!$H:$H,A566))</f>
        <v>0</v>
      </c>
      <c r="K566" s="13" t="str">
        <f t="shared" ca="1" si="17"/>
        <v>SIN STOCK</v>
      </c>
    </row>
    <row r="567" spans="1:11">
      <c r="A567" s="16" t="s">
        <v>2872</v>
      </c>
      <c r="B567" s="2" t="str">
        <f>IFERROR(INDEX(Movimientos!$C$2:$C$1993,MATCH(A567&amp;"ENTRADA",Movimientos!$R$2:$R$1993,0)),"-")</f>
        <v>-</v>
      </c>
      <c r="C567" s="2" t="str">
        <f>IFERROR(INDEX(Movimientos!$D$2:$D$1993,MATCH(A567&amp;"ENTRADA",Movimientos!$R$2:$R$1993,0)),"-")</f>
        <v>-</v>
      </c>
      <c r="D567" s="2" t="str">
        <f>IFERROR(INDEX(Movimientos!$E$2:$E$1993,MATCH(A567&amp;"ENTRADA",Movimientos!$R$2:$R$1993,0)),"-")</f>
        <v>-</v>
      </c>
      <c r="E567" s="2" t="str">
        <f>IFERROR(INDEX(Movimientos!$F$2:$F$1993,MATCH(A567&amp;"ENTRADA",Movimientos!$R$2:$R$1993,0)),"-")</f>
        <v>-</v>
      </c>
      <c r="F567" s="2" t="str">
        <f>IFERROR(INDEX(Movimientos!$G$2:$G$1993,MATCH(A567&amp;"ENTRADA",Movimientos!$R$2:$R$1993,0)),"-")</f>
        <v>-</v>
      </c>
      <c r="G567" s="2" t="str">
        <f>IFERROR(INDEX(Movimientos!$L$2:$L$1993,MATCH(A567&amp;"ENTRADA",Movimientos!$R$2:$R$1993,0)),"-")</f>
        <v>-</v>
      </c>
      <c r="H567" s="17" t="str">
        <f>IFERROR(IF(INDEX(Movimientos!$M$2:$M$1993,MATCH(A567&amp;"ENTRADA",Movimientos!$R$2:$R$1993,0))=0,"S/D",INDEX(Movimientos!$M$2:$M$1993,MATCH(A567&amp;"ENTRADA",Movimientos!$R$2:$R$1993,0))),"S/D")</f>
        <v>S/D</v>
      </c>
      <c r="I567" s="15" t="str">
        <f t="shared" ca="1" si="18"/>
        <v>S/D</v>
      </c>
      <c r="J567" s="5">
        <f>IF(A567="","",SUMIFS(Movimientos!$K:$K,Movimientos!$H:$H,A567))</f>
        <v>0</v>
      </c>
      <c r="K567" s="13" t="str">
        <f t="shared" ca="1" si="17"/>
        <v>SIN STOCK</v>
      </c>
    </row>
    <row r="568" spans="1:11">
      <c r="A568" s="16" t="s">
        <v>2873</v>
      </c>
      <c r="B568" s="2" t="str">
        <f>IFERROR(INDEX(Movimientos!$C$2:$C$1993,MATCH(A568&amp;"ENTRADA",Movimientos!$R$2:$R$1993,0)),"-")</f>
        <v>-</v>
      </c>
      <c r="C568" s="2" t="str">
        <f>IFERROR(INDEX(Movimientos!$D$2:$D$1993,MATCH(A568&amp;"ENTRADA",Movimientos!$R$2:$R$1993,0)),"-")</f>
        <v>-</v>
      </c>
      <c r="D568" s="2" t="str">
        <f>IFERROR(INDEX(Movimientos!$E$2:$E$1993,MATCH(A568&amp;"ENTRADA",Movimientos!$R$2:$R$1993,0)),"-")</f>
        <v>-</v>
      </c>
      <c r="E568" s="2" t="str">
        <f>IFERROR(INDEX(Movimientos!$F$2:$F$1993,MATCH(A568&amp;"ENTRADA",Movimientos!$R$2:$R$1993,0)),"-")</f>
        <v>-</v>
      </c>
      <c r="F568" s="2" t="str">
        <f>IFERROR(INDEX(Movimientos!$G$2:$G$1993,MATCH(A568&amp;"ENTRADA",Movimientos!$R$2:$R$1993,0)),"-")</f>
        <v>-</v>
      </c>
      <c r="G568" s="2" t="str">
        <f>IFERROR(INDEX(Movimientos!$L$2:$L$1993,MATCH(A568&amp;"ENTRADA",Movimientos!$R$2:$R$1993,0)),"-")</f>
        <v>-</v>
      </c>
      <c r="H568" s="17" t="str">
        <f>IFERROR(IF(INDEX(Movimientos!$M$2:$M$1993,MATCH(A568&amp;"ENTRADA",Movimientos!$R$2:$R$1993,0))=0,"S/D",INDEX(Movimientos!$M$2:$M$1993,MATCH(A568&amp;"ENTRADA",Movimientos!$R$2:$R$1993,0))),"S/D")</f>
        <v>S/D</v>
      </c>
      <c r="I568" s="15" t="str">
        <f t="shared" ca="1" si="18"/>
        <v>S/D</v>
      </c>
      <c r="J568" s="5">
        <f>IF(A568="","",SUMIFS(Movimientos!$K:$K,Movimientos!$H:$H,A568))</f>
        <v>0</v>
      </c>
      <c r="K568" s="13" t="str">
        <f t="shared" ca="1" si="17"/>
        <v>SIN STOCK</v>
      </c>
    </row>
    <row r="569" spans="1:11">
      <c r="A569" s="16" t="s">
        <v>2874</v>
      </c>
      <c r="B569" s="2" t="str">
        <f>IFERROR(INDEX(Movimientos!$C$2:$C$1993,MATCH(A569&amp;"ENTRADA",Movimientos!$R$2:$R$1993,0)),"-")</f>
        <v>-</v>
      </c>
      <c r="C569" s="2" t="str">
        <f>IFERROR(INDEX(Movimientos!$D$2:$D$1993,MATCH(A569&amp;"ENTRADA",Movimientos!$R$2:$R$1993,0)),"-")</f>
        <v>-</v>
      </c>
      <c r="D569" s="2" t="str">
        <f>IFERROR(INDEX(Movimientos!$E$2:$E$1993,MATCH(A569&amp;"ENTRADA",Movimientos!$R$2:$R$1993,0)),"-")</f>
        <v>-</v>
      </c>
      <c r="E569" s="2" t="str">
        <f>IFERROR(INDEX(Movimientos!$F$2:$F$1993,MATCH(A569&amp;"ENTRADA",Movimientos!$R$2:$R$1993,0)),"-")</f>
        <v>-</v>
      </c>
      <c r="F569" s="2" t="str">
        <f>IFERROR(INDEX(Movimientos!$G$2:$G$1993,MATCH(A569&amp;"ENTRADA",Movimientos!$R$2:$R$1993,0)),"-")</f>
        <v>-</v>
      </c>
      <c r="G569" s="2" t="str">
        <f>IFERROR(INDEX(Movimientos!$L$2:$L$1993,MATCH(A569&amp;"ENTRADA",Movimientos!$R$2:$R$1993,0)),"-")</f>
        <v>-</v>
      </c>
      <c r="H569" s="17" t="str">
        <f>IFERROR(IF(INDEX(Movimientos!$M$2:$M$1993,MATCH(A569&amp;"ENTRADA",Movimientos!$R$2:$R$1993,0))=0,"S/D",INDEX(Movimientos!$M$2:$M$1993,MATCH(A569&amp;"ENTRADA",Movimientos!$R$2:$R$1993,0))),"S/D")</f>
        <v>S/D</v>
      </c>
      <c r="I569" s="15" t="str">
        <f t="shared" ca="1" si="18"/>
        <v>S/D</v>
      </c>
      <c r="J569" s="5">
        <f>IF(A569="","",SUMIFS(Movimientos!$K:$K,Movimientos!$H:$H,A569))</f>
        <v>0</v>
      </c>
      <c r="K569" s="13" t="str">
        <f t="shared" ca="1" si="17"/>
        <v>SIN STOCK</v>
      </c>
    </row>
    <row r="570" spans="1:11">
      <c r="A570" s="16" t="s">
        <v>2875</v>
      </c>
      <c r="B570" s="2" t="str">
        <f>IFERROR(INDEX(Movimientos!$C$2:$C$1993,MATCH(A570&amp;"ENTRADA",Movimientos!$R$2:$R$1993,0)),"-")</f>
        <v>-</v>
      </c>
      <c r="C570" s="2" t="str">
        <f>IFERROR(INDEX(Movimientos!$D$2:$D$1993,MATCH(A570&amp;"ENTRADA",Movimientos!$R$2:$R$1993,0)),"-")</f>
        <v>-</v>
      </c>
      <c r="D570" s="2" t="str">
        <f>IFERROR(INDEX(Movimientos!$E$2:$E$1993,MATCH(A570&amp;"ENTRADA",Movimientos!$R$2:$R$1993,0)),"-")</f>
        <v>-</v>
      </c>
      <c r="E570" s="2" t="str">
        <f>IFERROR(INDEX(Movimientos!$F$2:$F$1993,MATCH(A570&amp;"ENTRADA",Movimientos!$R$2:$R$1993,0)),"-")</f>
        <v>-</v>
      </c>
      <c r="F570" s="2" t="str">
        <f>IFERROR(INDEX(Movimientos!$G$2:$G$1993,MATCH(A570&amp;"ENTRADA",Movimientos!$R$2:$R$1993,0)),"-")</f>
        <v>-</v>
      </c>
      <c r="G570" s="2" t="str">
        <f>IFERROR(INDEX(Movimientos!$L$2:$L$1993,MATCH(A570&amp;"ENTRADA",Movimientos!$R$2:$R$1993,0)),"-")</f>
        <v>-</v>
      </c>
      <c r="H570" s="17" t="str">
        <f>IFERROR(IF(INDEX(Movimientos!$M$2:$M$1993,MATCH(A570&amp;"ENTRADA",Movimientos!$R$2:$R$1993,0))=0,"S/D",INDEX(Movimientos!$M$2:$M$1993,MATCH(A570&amp;"ENTRADA",Movimientos!$R$2:$R$1993,0))),"S/D")</f>
        <v>S/D</v>
      </c>
      <c r="I570" s="15" t="str">
        <f t="shared" ca="1" si="18"/>
        <v>S/D</v>
      </c>
      <c r="J570" s="5">
        <f>IF(A570="","",SUMIFS(Movimientos!$K:$K,Movimientos!$H:$H,A570))</f>
        <v>0</v>
      </c>
      <c r="K570" s="13" t="str">
        <f t="shared" ca="1" si="17"/>
        <v>SIN STOCK</v>
      </c>
    </row>
    <row r="571" spans="1:11">
      <c r="A571" s="16" t="s">
        <v>2876</v>
      </c>
      <c r="B571" s="2" t="str">
        <f>IFERROR(INDEX(Movimientos!$C$2:$C$1993,MATCH(A571&amp;"ENTRADA",Movimientos!$R$2:$R$1993,0)),"-")</f>
        <v>-</v>
      </c>
      <c r="C571" s="2" t="str">
        <f>IFERROR(INDEX(Movimientos!$D$2:$D$1993,MATCH(A571&amp;"ENTRADA",Movimientos!$R$2:$R$1993,0)),"-")</f>
        <v>-</v>
      </c>
      <c r="D571" s="2" t="str">
        <f>IFERROR(INDEX(Movimientos!$E$2:$E$1993,MATCH(A571&amp;"ENTRADA",Movimientos!$R$2:$R$1993,0)),"-")</f>
        <v>-</v>
      </c>
      <c r="E571" s="2" t="str">
        <f>IFERROR(INDEX(Movimientos!$F$2:$F$1993,MATCH(A571&amp;"ENTRADA",Movimientos!$R$2:$R$1993,0)),"-")</f>
        <v>-</v>
      </c>
      <c r="F571" s="2" t="str">
        <f>IFERROR(INDEX(Movimientos!$G$2:$G$1993,MATCH(A571&amp;"ENTRADA",Movimientos!$R$2:$R$1993,0)),"-")</f>
        <v>-</v>
      </c>
      <c r="G571" s="2" t="str">
        <f>IFERROR(INDEX(Movimientos!$L$2:$L$1993,MATCH(A571&amp;"ENTRADA",Movimientos!$R$2:$R$1993,0)),"-")</f>
        <v>-</v>
      </c>
      <c r="H571" s="17" t="str">
        <f>IFERROR(IF(INDEX(Movimientos!$M$2:$M$1993,MATCH(A571&amp;"ENTRADA",Movimientos!$R$2:$R$1993,0))=0,"S/D",INDEX(Movimientos!$M$2:$M$1993,MATCH(A571&amp;"ENTRADA",Movimientos!$R$2:$R$1993,0))),"S/D")</f>
        <v>S/D</v>
      </c>
      <c r="I571" s="15" t="str">
        <f t="shared" ca="1" si="18"/>
        <v>S/D</v>
      </c>
      <c r="J571" s="5">
        <f>IF(A571="","",SUMIFS(Movimientos!$K:$K,Movimientos!$H:$H,A571))</f>
        <v>0</v>
      </c>
      <c r="K571" s="13" t="str">
        <f t="shared" ca="1" si="17"/>
        <v>SIN STOCK</v>
      </c>
    </row>
    <row r="572" spans="1:11">
      <c r="A572" s="16" t="s">
        <v>2877</v>
      </c>
      <c r="B572" s="2" t="str">
        <f>IFERROR(INDEX(Movimientos!$C$2:$C$1993,MATCH(A572&amp;"ENTRADA",Movimientos!$R$2:$R$1993,0)),"-")</f>
        <v>-</v>
      </c>
      <c r="C572" s="2" t="str">
        <f>IFERROR(INDEX(Movimientos!$D$2:$D$1993,MATCH(A572&amp;"ENTRADA",Movimientos!$R$2:$R$1993,0)),"-")</f>
        <v>-</v>
      </c>
      <c r="D572" s="2" t="str">
        <f>IFERROR(INDEX(Movimientos!$E$2:$E$1993,MATCH(A572&amp;"ENTRADA",Movimientos!$R$2:$R$1993,0)),"-")</f>
        <v>-</v>
      </c>
      <c r="E572" s="2" t="str">
        <f>IFERROR(INDEX(Movimientos!$F$2:$F$1993,MATCH(A572&amp;"ENTRADA",Movimientos!$R$2:$R$1993,0)),"-")</f>
        <v>-</v>
      </c>
      <c r="F572" s="2" t="str">
        <f>IFERROR(INDEX(Movimientos!$G$2:$G$1993,MATCH(A572&amp;"ENTRADA",Movimientos!$R$2:$R$1993,0)),"-")</f>
        <v>-</v>
      </c>
      <c r="G572" s="2" t="str">
        <f>IFERROR(INDEX(Movimientos!$L$2:$L$1993,MATCH(A572&amp;"ENTRADA",Movimientos!$R$2:$R$1993,0)),"-")</f>
        <v>-</v>
      </c>
      <c r="H572" s="17" t="str">
        <f>IFERROR(IF(INDEX(Movimientos!$M$2:$M$1993,MATCH(A572&amp;"ENTRADA",Movimientos!$R$2:$R$1993,0))=0,"S/D",INDEX(Movimientos!$M$2:$M$1993,MATCH(A572&amp;"ENTRADA",Movimientos!$R$2:$R$1993,0))),"S/D")</f>
        <v>S/D</v>
      </c>
      <c r="I572" s="15" t="str">
        <f t="shared" ca="1" si="18"/>
        <v>S/D</v>
      </c>
      <c r="J572" s="5">
        <f>IF(A572="","",SUMIFS(Movimientos!$K:$K,Movimientos!$H:$H,A572))</f>
        <v>0</v>
      </c>
      <c r="K572" s="13" t="str">
        <f t="shared" ca="1" si="17"/>
        <v>SIN STOCK</v>
      </c>
    </row>
    <row r="573" spans="1:11">
      <c r="A573" s="16" t="s">
        <v>2878</v>
      </c>
      <c r="B573" s="2" t="str">
        <f>IFERROR(INDEX(Movimientos!$C$2:$C$1993,MATCH(A573&amp;"ENTRADA",Movimientos!$R$2:$R$1993,0)),"-")</f>
        <v>-</v>
      </c>
      <c r="C573" s="2" t="str">
        <f>IFERROR(INDEX(Movimientos!$D$2:$D$1993,MATCH(A573&amp;"ENTRADA",Movimientos!$R$2:$R$1993,0)),"-")</f>
        <v>-</v>
      </c>
      <c r="D573" s="2" t="str">
        <f>IFERROR(INDEX(Movimientos!$E$2:$E$1993,MATCH(A573&amp;"ENTRADA",Movimientos!$R$2:$R$1993,0)),"-")</f>
        <v>-</v>
      </c>
      <c r="E573" s="2" t="str">
        <f>IFERROR(INDEX(Movimientos!$F$2:$F$1993,MATCH(A573&amp;"ENTRADA",Movimientos!$R$2:$R$1993,0)),"-")</f>
        <v>-</v>
      </c>
      <c r="F573" s="2" t="str">
        <f>IFERROR(INDEX(Movimientos!$G$2:$G$1993,MATCH(A573&amp;"ENTRADA",Movimientos!$R$2:$R$1993,0)),"-")</f>
        <v>-</v>
      </c>
      <c r="G573" s="2" t="str">
        <f>IFERROR(INDEX(Movimientos!$L$2:$L$1993,MATCH(A573&amp;"ENTRADA",Movimientos!$R$2:$R$1993,0)),"-")</f>
        <v>-</v>
      </c>
      <c r="H573" s="17" t="str">
        <f>IFERROR(IF(INDEX(Movimientos!$M$2:$M$1993,MATCH(A573&amp;"ENTRADA",Movimientos!$R$2:$R$1993,0))=0,"S/D",INDEX(Movimientos!$M$2:$M$1993,MATCH(A573&amp;"ENTRADA",Movimientos!$R$2:$R$1993,0))),"S/D")</f>
        <v>S/D</v>
      </c>
      <c r="I573" s="15" t="str">
        <f t="shared" ca="1" si="18"/>
        <v>S/D</v>
      </c>
      <c r="J573" s="5">
        <f>IF(A573="","",SUMIFS(Movimientos!$K:$K,Movimientos!$H:$H,A573))</f>
        <v>0</v>
      </c>
      <c r="K573" s="13" t="str">
        <f t="shared" ca="1" si="17"/>
        <v>SIN STOCK</v>
      </c>
    </row>
    <row r="574" spans="1:11">
      <c r="A574" s="16" t="s">
        <v>2879</v>
      </c>
      <c r="B574" s="2" t="str">
        <f>IFERROR(INDEX(Movimientos!$C$2:$C$1993,MATCH(A574&amp;"ENTRADA",Movimientos!$R$2:$R$1993,0)),"-")</f>
        <v>-</v>
      </c>
      <c r="C574" s="2" t="str">
        <f>IFERROR(INDEX(Movimientos!$D$2:$D$1993,MATCH(A574&amp;"ENTRADA",Movimientos!$R$2:$R$1993,0)),"-")</f>
        <v>-</v>
      </c>
      <c r="D574" s="2" t="str">
        <f>IFERROR(INDEX(Movimientos!$E$2:$E$1993,MATCH(A574&amp;"ENTRADA",Movimientos!$R$2:$R$1993,0)),"-")</f>
        <v>-</v>
      </c>
      <c r="E574" s="2" t="str">
        <f>IFERROR(INDEX(Movimientos!$F$2:$F$1993,MATCH(A574&amp;"ENTRADA",Movimientos!$R$2:$R$1993,0)),"-")</f>
        <v>-</v>
      </c>
      <c r="F574" s="2" t="str">
        <f>IFERROR(INDEX(Movimientos!$G$2:$G$1993,MATCH(A574&amp;"ENTRADA",Movimientos!$R$2:$R$1993,0)),"-")</f>
        <v>-</v>
      </c>
      <c r="G574" s="2" t="str">
        <f>IFERROR(INDEX(Movimientos!$L$2:$L$1993,MATCH(A574&amp;"ENTRADA",Movimientos!$R$2:$R$1993,0)),"-")</f>
        <v>-</v>
      </c>
      <c r="H574" s="17" t="str">
        <f>IFERROR(IF(INDEX(Movimientos!$M$2:$M$1993,MATCH(A574&amp;"ENTRADA",Movimientos!$R$2:$R$1993,0))=0,"S/D",INDEX(Movimientos!$M$2:$M$1993,MATCH(A574&amp;"ENTRADA",Movimientos!$R$2:$R$1993,0))),"S/D")</f>
        <v>S/D</v>
      </c>
      <c r="I574" s="15" t="str">
        <f t="shared" ca="1" si="18"/>
        <v>S/D</v>
      </c>
      <c r="J574" s="5">
        <f>IF(A574="","",SUMIFS(Movimientos!$K:$K,Movimientos!$H:$H,A574))</f>
        <v>0</v>
      </c>
      <c r="K574" s="13" t="str">
        <f t="shared" ref="K574:K637" ca="1" si="19">IF(A574="","",IF(J574&lt;0.01,"SIN STOCK",IF(H574="S/D","OK",IF(H574&lt;TODAY(),"VENCIDO",IF(I574&gt;=180,"OK","PRÓXIMO A VENCER")))))</f>
        <v>SIN STOCK</v>
      </c>
    </row>
    <row r="575" spans="1:11">
      <c r="A575" s="16" t="s">
        <v>2880</v>
      </c>
      <c r="B575" s="2" t="str">
        <f>IFERROR(INDEX(Movimientos!$C$2:$C$1993,MATCH(A575&amp;"ENTRADA",Movimientos!$R$2:$R$1993,0)),"-")</f>
        <v>-</v>
      </c>
      <c r="C575" s="2" t="str">
        <f>IFERROR(INDEX(Movimientos!$D$2:$D$1993,MATCH(A575&amp;"ENTRADA",Movimientos!$R$2:$R$1993,0)),"-")</f>
        <v>-</v>
      </c>
      <c r="D575" s="2" t="str">
        <f>IFERROR(INDEX(Movimientos!$E$2:$E$1993,MATCH(A575&amp;"ENTRADA",Movimientos!$R$2:$R$1993,0)),"-")</f>
        <v>-</v>
      </c>
      <c r="E575" s="2" t="str">
        <f>IFERROR(INDEX(Movimientos!$F$2:$F$1993,MATCH(A575&amp;"ENTRADA",Movimientos!$R$2:$R$1993,0)),"-")</f>
        <v>-</v>
      </c>
      <c r="F575" s="2" t="str">
        <f>IFERROR(INDEX(Movimientos!$G$2:$G$1993,MATCH(A575&amp;"ENTRADA",Movimientos!$R$2:$R$1993,0)),"-")</f>
        <v>-</v>
      </c>
      <c r="G575" s="2" t="str">
        <f>IFERROR(INDEX(Movimientos!$L$2:$L$1993,MATCH(A575&amp;"ENTRADA",Movimientos!$R$2:$R$1993,0)),"-")</f>
        <v>-</v>
      </c>
      <c r="H575" s="17" t="str">
        <f>IFERROR(IF(INDEX(Movimientos!$M$2:$M$1993,MATCH(A575&amp;"ENTRADA",Movimientos!$R$2:$R$1993,0))=0,"S/D",INDEX(Movimientos!$M$2:$M$1993,MATCH(A575&amp;"ENTRADA",Movimientos!$R$2:$R$1993,0))),"S/D")</f>
        <v>S/D</v>
      </c>
      <c r="I575" s="15" t="str">
        <f t="shared" ca="1" si="18"/>
        <v>S/D</v>
      </c>
      <c r="J575" s="5">
        <f>IF(A575="","",SUMIFS(Movimientos!$K:$K,Movimientos!$H:$H,A575))</f>
        <v>0</v>
      </c>
      <c r="K575" s="13" t="str">
        <f t="shared" ca="1" si="19"/>
        <v>SIN STOCK</v>
      </c>
    </row>
    <row r="576" spans="1:11">
      <c r="A576" s="16" t="s">
        <v>2881</v>
      </c>
      <c r="B576" s="2" t="str">
        <f>IFERROR(INDEX(Movimientos!$C$2:$C$1993,MATCH(A576&amp;"ENTRADA",Movimientos!$R$2:$R$1993,0)),"-")</f>
        <v>-</v>
      </c>
      <c r="C576" s="2" t="str">
        <f>IFERROR(INDEX(Movimientos!$D$2:$D$1993,MATCH(A576&amp;"ENTRADA",Movimientos!$R$2:$R$1993,0)),"-")</f>
        <v>-</v>
      </c>
      <c r="D576" s="2" t="str">
        <f>IFERROR(INDEX(Movimientos!$E$2:$E$1993,MATCH(A576&amp;"ENTRADA",Movimientos!$R$2:$R$1993,0)),"-")</f>
        <v>-</v>
      </c>
      <c r="E576" s="2" t="str">
        <f>IFERROR(INDEX(Movimientos!$F$2:$F$1993,MATCH(A576&amp;"ENTRADA",Movimientos!$R$2:$R$1993,0)),"-")</f>
        <v>-</v>
      </c>
      <c r="F576" s="2" t="str">
        <f>IFERROR(INDEX(Movimientos!$G$2:$G$1993,MATCH(A576&amp;"ENTRADA",Movimientos!$R$2:$R$1993,0)),"-")</f>
        <v>-</v>
      </c>
      <c r="G576" s="2" t="str">
        <f>IFERROR(INDEX(Movimientos!$L$2:$L$1993,MATCH(A576&amp;"ENTRADA",Movimientos!$R$2:$R$1993,0)),"-")</f>
        <v>-</v>
      </c>
      <c r="H576" s="17" t="str">
        <f>IFERROR(IF(INDEX(Movimientos!$M$2:$M$1993,MATCH(A576&amp;"ENTRADA",Movimientos!$R$2:$R$1993,0))=0,"S/D",INDEX(Movimientos!$M$2:$M$1993,MATCH(A576&amp;"ENTRADA",Movimientos!$R$2:$R$1993,0))),"S/D")</f>
        <v>S/D</v>
      </c>
      <c r="I576" s="15" t="str">
        <f t="shared" ca="1" si="18"/>
        <v>S/D</v>
      </c>
      <c r="J576" s="5">
        <f>IF(A576="","",SUMIFS(Movimientos!$K:$K,Movimientos!$H:$H,A576))</f>
        <v>0</v>
      </c>
      <c r="K576" s="13" t="str">
        <f t="shared" ca="1" si="19"/>
        <v>SIN STOCK</v>
      </c>
    </row>
    <row r="577" spans="1:11">
      <c r="A577" s="16" t="s">
        <v>2882</v>
      </c>
      <c r="B577" s="2" t="str">
        <f>IFERROR(INDEX(Movimientos!$C$2:$C$1993,MATCH(A577&amp;"ENTRADA",Movimientos!$R$2:$R$1993,0)),"-")</f>
        <v>-</v>
      </c>
      <c r="C577" s="2" t="str">
        <f>IFERROR(INDEX(Movimientos!$D$2:$D$1993,MATCH(A577&amp;"ENTRADA",Movimientos!$R$2:$R$1993,0)),"-")</f>
        <v>-</v>
      </c>
      <c r="D577" s="2" t="str">
        <f>IFERROR(INDEX(Movimientos!$E$2:$E$1993,MATCH(A577&amp;"ENTRADA",Movimientos!$R$2:$R$1993,0)),"-")</f>
        <v>-</v>
      </c>
      <c r="E577" s="2" t="str">
        <f>IFERROR(INDEX(Movimientos!$F$2:$F$1993,MATCH(A577&amp;"ENTRADA",Movimientos!$R$2:$R$1993,0)),"-")</f>
        <v>-</v>
      </c>
      <c r="F577" s="2" t="str">
        <f>IFERROR(INDEX(Movimientos!$G$2:$G$1993,MATCH(A577&amp;"ENTRADA",Movimientos!$R$2:$R$1993,0)),"-")</f>
        <v>-</v>
      </c>
      <c r="G577" s="2" t="str">
        <f>IFERROR(INDEX(Movimientos!$L$2:$L$1993,MATCH(A577&amp;"ENTRADA",Movimientos!$R$2:$R$1993,0)),"-")</f>
        <v>-</v>
      </c>
      <c r="H577" s="17" t="str">
        <f>IFERROR(IF(INDEX(Movimientos!$M$2:$M$1993,MATCH(A577&amp;"ENTRADA",Movimientos!$R$2:$R$1993,0))=0,"S/D",INDEX(Movimientos!$M$2:$M$1993,MATCH(A577&amp;"ENTRADA",Movimientos!$R$2:$R$1993,0))),"S/D")</f>
        <v>S/D</v>
      </c>
      <c r="I577" s="15" t="str">
        <f t="shared" ca="1" si="18"/>
        <v>S/D</v>
      </c>
      <c r="J577" s="5">
        <f>IF(A577="","",SUMIFS(Movimientos!$K:$K,Movimientos!$H:$H,A577))</f>
        <v>0</v>
      </c>
      <c r="K577" s="13" t="str">
        <f t="shared" ca="1" si="19"/>
        <v>SIN STOCK</v>
      </c>
    </row>
    <row r="578" spans="1:11">
      <c r="A578" s="16" t="s">
        <v>2883</v>
      </c>
      <c r="B578" s="2" t="str">
        <f>IFERROR(INDEX(Movimientos!$C$2:$C$1993,MATCH(A578&amp;"ENTRADA",Movimientos!$R$2:$R$1993,0)),"-")</f>
        <v>-</v>
      </c>
      <c r="C578" s="2" t="str">
        <f>IFERROR(INDEX(Movimientos!$D$2:$D$1993,MATCH(A578&amp;"ENTRADA",Movimientos!$R$2:$R$1993,0)),"-")</f>
        <v>-</v>
      </c>
      <c r="D578" s="2" t="str">
        <f>IFERROR(INDEX(Movimientos!$E$2:$E$1993,MATCH(A578&amp;"ENTRADA",Movimientos!$R$2:$R$1993,0)),"-")</f>
        <v>-</v>
      </c>
      <c r="E578" s="2" t="str">
        <f>IFERROR(INDEX(Movimientos!$F$2:$F$1993,MATCH(A578&amp;"ENTRADA",Movimientos!$R$2:$R$1993,0)),"-")</f>
        <v>-</v>
      </c>
      <c r="F578" s="2" t="str">
        <f>IFERROR(INDEX(Movimientos!$G$2:$G$1993,MATCH(A578&amp;"ENTRADA",Movimientos!$R$2:$R$1993,0)),"-")</f>
        <v>-</v>
      </c>
      <c r="G578" s="2" t="str">
        <f>IFERROR(INDEX(Movimientos!$L$2:$L$1993,MATCH(A578&amp;"ENTRADA",Movimientos!$R$2:$R$1993,0)),"-")</f>
        <v>-</v>
      </c>
      <c r="H578" s="17" t="str">
        <f>IFERROR(IF(INDEX(Movimientos!$M$2:$M$1993,MATCH(A578&amp;"ENTRADA",Movimientos!$R$2:$R$1993,0))=0,"S/D",INDEX(Movimientos!$M$2:$M$1993,MATCH(A578&amp;"ENTRADA",Movimientos!$R$2:$R$1993,0))),"S/D")</f>
        <v>S/D</v>
      </c>
      <c r="I578" s="15" t="str">
        <f t="shared" ca="1" si="18"/>
        <v>S/D</v>
      </c>
      <c r="J578" s="5">
        <f>IF(A578="","",SUMIFS(Movimientos!$K:$K,Movimientos!$H:$H,A578))</f>
        <v>0</v>
      </c>
      <c r="K578" s="13" t="str">
        <f t="shared" ca="1" si="19"/>
        <v>SIN STOCK</v>
      </c>
    </row>
    <row r="579" spans="1:11">
      <c r="A579" s="16" t="s">
        <v>2884</v>
      </c>
      <c r="B579" s="2" t="str">
        <f>IFERROR(INDEX(Movimientos!$C$2:$C$1993,MATCH(A579&amp;"ENTRADA",Movimientos!$R$2:$R$1993,0)),"-")</f>
        <v>-</v>
      </c>
      <c r="C579" s="2" t="str">
        <f>IFERROR(INDEX(Movimientos!$D$2:$D$1993,MATCH(A579&amp;"ENTRADA",Movimientos!$R$2:$R$1993,0)),"-")</f>
        <v>-</v>
      </c>
      <c r="D579" s="2" t="str">
        <f>IFERROR(INDEX(Movimientos!$E$2:$E$1993,MATCH(A579&amp;"ENTRADA",Movimientos!$R$2:$R$1993,0)),"-")</f>
        <v>-</v>
      </c>
      <c r="E579" s="2" t="str">
        <f>IFERROR(INDEX(Movimientos!$F$2:$F$1993,MATCH(A579&amp;"ENTRADA",Movimientos!$R$2:$R$1993,0)),"-")</f>
        <v>-</v>
      </c>
      <c r="F579" s="2" t="str">
        <f>IFERROR(INDEX(Movimientos!$G$2:$G$1993,MATCH(A579&amp;"ENTRADA",Movimientos!$R$2:$R$1993,0)),"-")</f>
        <v>-</v>
      </c>
      <c r="G579" s="2" t="str">
        <f>IFERROR(INDEX(Movimientos!$L$2:$L$1993,MATCH(A579&amp;"ENTRADA",Movimientos!$R$2:$R$1993,0)),"-")</f>
        <v>-</v>
      </c>
      <c r="H579" s="17" t="str">
        <f>IFERROR(IF(INDEX(Movimientos!$M$2:$M$1993,MATCH(A579&amp;"ENTRADA",Movimientos!$R$2:$R$1993,0))=0,"S/D",INDEX(Movimientos!$M$2:$M$1993,MATCH(A579&amp;"ENTRADA",Movimientos!$R$2:$R$1993,0))),"S/D")</f>
        <v>S/D</v>
      </c>
      <c r="I579" s="15" t="str">
        <f t="shared" ca="1" si="18"/>
        <v>S/D</v>
      </c>
      <c r="J579" s="5">
        <f>IF(A579="","",SUMIFS(Movimientos!$K:$K,Movimientos!$H:$H,A579))</f>
        <v>0</v>
      </c>
      <c r="K579" s="13" t="str">
        <f t="shared" ca="1" si="19"/>
        <v>SIN STOCK</v>
      </c>
    </row>
    <row r="580" spans="1:11">
      <c r="A580" s="16" t="s">
        <v>2885</v>
      </c>
      <c r="B580" s="2" t="str">
        <f>IFERROR(INDEX(Movimientos!$C$2:$C$1993,MATCH(A580&amp;"ENTRADA",Movimientos!$R$2:$R$1993,0)),"-")</f>
        <v>-</v>
      </c>
      <c r="C580" s="2" t="str">
        <f>IFERROR(INDEX(Movimientos!$D$2:$D$1993,MATCH(A580&amp;"ENTRADA",Movimientos!$R$2:$R$1993,0)),"-")</f>
        <v>-</v>
      </c>
      <c r="D580" s="2" t="str">
        <f>IFERROR(INDEX(Movimientos!$E$2:$E$1993,MATCH(A580&amp;"ENTRADA",Movimientos!$R$2:$R$1993,0)),"-")</f>
        <v>-</v>
      </c>
      <c r="E580" s="2" t="str">
        <f>IFERROR(INDEX(Movimientos!$F$2:$F$1993,MATCH(A580&amp;"ENTRADA",Movimientos!$R$2:$R$1993,0)),"-")</f>
        <v>-</v>
      </c>
      <c r="F580" s="2" t="str">
        <f>IFERROR(INDEX(Movimientos!$G$2:$G$1993,MATCH(A580&amp;"ENTRADA",Movimientos!$R$2:$R$1993,0)),"-")</f>
        <v>-</v>
      </c>
      <c r="G580" s="2" t="str">
        <f>IFERROR(INDEX(Movimientos!$L$2:$L$1993,MATCH(A580&amp;"ENTRADA",Movimientos!$R$2:$R$1993,0)),"-")</f>
        <v>-</v>
      </c>
      <c r="H580" s="17" t="str">
        <f>IFERROR(IF(INDEX(Movimientos!$M$2:$M$1993,MATCH(A580&amp;"ENTRADA",Movimientos!$R$2:$R$1993,0))=0,"S/D",INDEX(Movimientos!$M$2:$M$1993,MATCH(A580&amp;"ENTRADA",Movimientos!$R$2:$R$1993,0))),"S/D")</f>
        <v>S/D</v>
      </c>
      <c r="I580" s="15" t="str">
        <f t="shared" ca="1" si="18"/>
        <v>S/D</v>
      </c>
      <c r="J580" s="5">
        <f>IF(A580="","",SUMIFS(Movimientos!$K:$K,Movimientos!$H:$H,A580))</f>
        <v>0</v>
      </c>
      <c r="K580" s="13" t="str">
        <f t="shared" ca="1" si="19"/>
        <v>SIN STOCK</v>
      </c>
    </row>
    <row r="581" spans="1:11">
      <c r="A581" s="16" t="s">
        <v>2886</v>
      </c>
      <c r="B581" s="2" t="str">
        <f>IFERROR(INDEX(Movimientos!$C$2:$C$1993,MATCH(A581&amp;"ENTRADA",Movimientos!$R$2:$R$1993,0)),"-")</f>
        <v>-</v>
      </c>
      <c r="C581" s="2" t="str">
        <f>IFERROR(INDEX(Movimientos!$D$2:$D$1993,MATCH(A581&amp;"ENTRADA",Movimientos!$R$2:$R$1993,0)),"-")</f>
        <v>-</v>
      </c>
      <c r="D581" s="2" t="str">
        <f>IFERROR(INDEX(Movimientos!$E$2:$E$1993,MATCH(A581&amp;"ENTRADA",Movimientos!$R$2:$R$1993,0)),"-")</f>
        <v>-</v>
      </c>
      <c r="E581" s="2" t="str">
        <f>IFERROR(INDEX(Movimientos!$F$2:$F$1993,MATCH(A581&amp;"ENTRADA",Movimientos!$R$2:$R$1993,0)),"-")</f>
        <v>-</v>
      </c>
      <c r="F581" s="2" t="str">
        <f>IFERROR(INDEX(Movimientos!$G$2:$G$1993,MATCH(A581&amp;"ENTRADA",Movimientos!$R$2:$R$1993,0)),"-")</f>
        <v>-</v>
      </c>
      <c r="G581" s="2" t="str">
        <f>IFERROR(INDEX(Movimientos!$L$2:$L$1993,MATCH(A581&amp;"ENTRADA",Movimientos!$R$2:$R$1993,0)),"-")</f>
        <v>-</v>
      </c>
      <c r="H581" s="17" t="str">
        <f>IFERROR(IF(INDEX(Movimientos!$M$2:$M$1993,MATCH(A581&amp;"ENTRADA",Movimientos!$R$2:$R$1993,0))=0,"S/D",INDEX(Movimientos!$M$2:$M$1993,MATCH(A581&amp;"ENTRADA",Movimientos!$R$2:$R$1993,0))),"S/D")</f>
        <v>S/D</v>
      </c>
      <c r="I581" s="15" t="str">
        <f t="shared" ref="I581:I644" ca="1" si="20">IF(OR(A581="",H581="S/D"),"S/D",H581-TODAY())</f>
        <v>S/D</v>
      </c>
      <c r="J581" s="5">
        <f>IF(A581="","",SUMIFS(Movimientos!$K:$K,Movimientos!$H:$H,A581))</f>
        <v>0</v>
      </c>
      <c r="K581" s="13" t="str">
        <f t="shared" ca="1" si="19"/>
        <v>SIN STOCK</v>
      </c>
    </row>
    <row r="582" spans="1:11">
      <c r="A582" s="16" t="s">
        <v>2887</v>
      </c>
      <c r="B582" s="2" t="str">
        <f>IFERROR(INDEX(Movimientos!$C$2:$C$1993,MATCH(A582&amp;"ENTRADA",Movimientos!$R$2:$R$1993,0)),"-")</f>
        <v>-</v>
      </c>
      <c r="C582" s="2" t="str">
        <f>IFERROR(INDEX(Movimientos!$D$2:$D$1993,MATCH(A582&amp;"ENTRADA",Movimientos!$R$2:$R$1993,0)),"-")</f>
        <v>-</v>
      </c>
      <c r="D582" s="2" t="str">
        <f>IFERROR(INDEX(Movimientos!$E$2:$E$1993,MATCH(A582&amp;"ENTRADA",Movimientos!$R$2:$R$1993,0)),"-")</f>
        <v>-</v>
      </c>
      <c r="E582" s="2" t="str">
        <f>IFERROR(INDEX(Movimientos!$F$2:$F$1993,MATCH(A582&amp;"ENTRADA",Movimientos!$R$2:$R$1993,0)),"-")</f>
        <v>-</v>
      </c>
      <c r="F582" s="2" t="str">
        <f>IFERROR(INDEX(Movimientos!$G$2:$G$1993,MATCH(A582&amp;"ENTRADA",Movimientos!$R$2:$R$1993,0)),"-")</f>
        <v>-</v>
      </c>
      <c r="G582" s="2" t="str">
        <f>IFERROR(INDEX(Movimientos!$L$2:$L$1993,MATCH(A582&amp;"ENTRADA",Movimientos!$R$2:$R$1993,0)),"-")</f>
        <v>-</v>
      </c>
      <c r="H582" s="17" t="str">
        <f>IFERROR(IF(INDEX(Movimientos!$M$2:$M$1993,MATCH(A582&amp;"ENTRADA",Movimientos!$R$2:$R$1993,0))=0,"S/D",INDEX(Movimientos!$M$2:$M$1993,MATCH(A582&amp;"ENTRADA",Movimientos!$R$2:$R$1993,0))),"S/D")</f>
        <v>S/D</v>
      </c>
      <c r="I582" s="15" t="str">
        <f t="shared" ca="1" si="20"/>
        <v>S/D</v>
      </c>
      <c r="J582" s="5">
        <f>IF(A582="","",SUMIFS(Movimientos!$K:$K,Movimientos!$H:$H,A582))</f>
        <v>0</v>
      </c>
      <c r="K582" s="13" t="str">
        <f t="shared" ca="1" si="19"/>
        <v>SIN STOCK</v>
      </c>
    </row>
    <row r="583" spans="1:11">
      <c r="A583" s="16" t="s">
        <v>2888</v>
      </c>
      <c r="B583" s="2" t="str">
        <f>IFERROR(INDEX(Movimientos!$C$2:$C$1993,MATCH(A583&amp;"ENTRADA",Movimientos!$R$2:$R$1993,0)),"-")</f>
        <v>-</v>
      </c>
      <c r="C583" s="2" t="str">
        <f>IFERROR(INDEX(Movimientos!$D$2:$D$1993,MATCH(A583&amp;"ENTRADA",Movimientos!$R$2:$R$1993,0)),"-")</f>
        <v>-</v>
      </c>
      <c r="D583" s="2" t="str">
        <f>IFERROR(INDEX(Movimientos!$E$2:$E$1993,MATCH(A583&amp;"ENTRADA",Movimientos!$R$2:$R$1993,0)),"-")</f>
        <v>-</v>
      </c>
      <c r="E583" s="2" t="str">
        <f>IFERROR(INDEX(Movimientos!$F$2:$F$1993,MATCH(A583&amp;"ENTRADA",Movimientos!$R$2:$R$1993,0)),"-")</f>
        <v>-</v>
      </c>
      <c r="F583" s="2" t="str">
        <f>IFERROR(INDEX(Movimientos!$G$2:$G$1993,MATCH(A583&amp;"ENTRADA",Movimientos!$R$2:$R$1993,0)),"-")</f>
        <v>-</v>
      </c>
      <c r="G583" s="2" t="str">
        <f>IFERROR(INDEX(Movimientos!$L$2:$L$1993,MATCH(A583&amp;"ENTRADA",Movimientos!$R$2:$R$1993,0)),"-")</f>
        <v>-</v>
      </c>
      <c r="H583" s="17" t="str">
        <f>IFERROR(IF(INDEX(Movimientos!$M$2:$M$1993,MATCH(A583&amp;"ENTRADA",Movimientos!$R$2:$R$1993,0))=0,"S/D",INDEX(Movimientos!$M$2:$M$1993,MATCH(A583&amp;"ENTRADA",Movimientos!$R$2:$R$1993,0))),"S/D")</f>
        <v>S/D</v>
      </c>
      <c r="I583" s="15" t="str">
        <f t="shared" ca="1" si="20"/>
        <v>S/D</v>
      </c>
      <c r="J583" s="5">
        <f>IF(A583="","",SUMIFS(Movimientos!$K:$K,Movimientos!$H:$H,A583))</f>
        <v>0</v>
      </c>
      <c r="K583" s="13" t="str">
        <f t="shared" ca="1" si="19"/>
        <v>SIN STOCK</v>
      </c>
    </row>
    <row r="584" spans="1:11">
      <c r="A584" s="16" t="s">
        <v>2889</v>
      </c>
      <c r="B584" s="2" t="str">
        <f>IFERROR(INDEX(Movimientos!$C$2:$C$1993,MATCH(A584&amp;"ENTRADA",Movimientos!$R$2:$R$1993,0)),"-")</f>
        <v>-</v>
      </c>
      <c r="C584" s="2" t="str">
        <f>IFERROR(INDEX(Movimientos!$D$2:$D$1993,MATCH(A584&amp;"ENTRADA",Movimientos!$R$2:$R$1993,0)),"-")</f>
        <v>-</v>
      </c>
      <c r="D584" s="2" t="str">
        <f>IFERROR(INDEX(Movimientos!$E$2:$E$1993,MATCH(A584&amp;"ENTRADA",Movimientos!$R$2:$R$1993,0)),"-")</f>
        <v>-</v>
      </c>
      <c r="E584" s="2" t="str">
        <f>IFERROR(INDEX(Movimientos!$F$2:$F$1993,MATCH(A584&amp;"ENTRADA",Movimientos!$R$2:$R$1993,0)),"-")</f>
        <v>-</v>
      </c>
      <c r="F584" s="2" t="str">
        <f>IFERROR(INDEX(Movimientos!$G$2:$G$1993,MATCH(A584&amp;"ENTRADA",Movimientos!$R$2:$R$1993,0)),"-")</f>
        <v>-</v>
      </c>
      <c r="G584" s="2" t="str">
        <f>IFERROR(INDEX(Movimientos!$L$2:$L$1993,MATCH(A584&amp;"ENTRADA",Movimientos!$R$2:$R$1993,0)),"-")</f>
        <v>-</v>
      </c>
      <c r="H584" s="17" t="str">
        <f>IFERROR(IF(INDEX(Movimientos!$M$2:$M$1993,MATCH(A584&amp;"ENTRADA",Movimientos!$R$2:$R$1993,0))=0,"S/D",INDEX(Movimientos!$M$2:$M$1993,MATCH(A584&amp;"ENTRADA",Movimientos!$R$2:$R$1993,0))),"S/D")</f>
        <v>S/D</v>
      </c>
      <c r="I584" s="15" t="str">
        <f t="shared" ca="1" si="20"/>
        <v>S/D</v>
      </c>
      <c r="J584" s="5">
        <f>IF(A584="","",SUMIFS(Movimientos!$K:$K,Movimientos!$H:$H,A584))</f>
        <v>0</v>
      </c>
      <c r="K584" s="13" t="str">
        <f t="shared" ca="1" si="19"/>
        <v>SIN STOCK</v>
      </c>
    </row>
    <row r="585" spans="1:11">
      <c r="A585" s="16" t="s">
        <v>2890</v>
      </c>
      <c r="B585" s="2" t="str">
        <f>IFERROR(INDEX(Movimientos!$C$2:$C$1993,MATCH(A585&amp;"ENTRADA",Movimientos!$R$2:$R$1993,0)),"-")</f>
        <v>-</v>
      </c>
      <c r="C585" s="2" t="str">
        <f>IFERROR(INDEX(Movimientos!$D$2:$D$1993,MATCH(A585&amp;"ENTRADA",Movimientos!$R$2:$R$1993,0)),"-")</f>
        <v>-</v>
      </c>
      <c r="D585" s="2" t="str">
        <f>IFERROR(INDEX(Movimientos!$E$2:$E$1993,MATCH(A585&amp;"ENTRADA",Movimientos!$R$2:$R$1993,0)),"-")</f>
        <v>-</v>
      </c>
      <c r="E585" s="2" t="str">
        <f>IFERROR(INDEX(Movimientos!$F$2:$F$1993,MATCH(A585&amp;"ENTRADA",Movimientos!$R$2:$R$1993,0)),"-")</f>
        <v>-</v>
      </c>
      <c r="F585" s="2" t="str">
        <f>IFERROR(INDEX(Movimientos!$G$2:$G$1993,MATCH(A585&amp;"ENTRADA",Movimientos!$R$2:$R$1993,0)),"-")</f>
        <v>-</v>
      </c>
      <c r="G585" s="2" t="str">
        <f>IFERROR(INDEX(Movimientos!$L$2:$L$1993,MATCH(A585&amp;"ENTRADA",Movimientos!$R$2:$R$1993,0)),"-")</f>
        <v>-</v>
      </c>
      <c r="H585" s="17" t="str">
        <f>IFERROR(IF(INDEX(Movimientos!$M$2:$M$1993,MATCH(A585&amp;"ENTRADA",Movimientos!$R$2:$R$1993,0))=0,"S/D",INDEX(Movimientos!$M$2:$M$1993,MATCH(A585&amp;"ENTRADA",Movimientos!$R$2:$R$1993,0))),"S/D")</f>
        <v>S/D</v>
      </c>
      <c r="I585" s="15" t="str">
        <f t="shared" ca="1" si="20"/>
        <v>S/D</v>
      </c>
      <c r="J585" s="5">
        <f>IF(A585="","",SUMIFS(Movimientos!$K:$K,Movimientos!$H:$H,A585))</f>
        <v>0</v>
      </c>
      <c r="K585" s="13" t="str">
        <f t="shared" ca="1" si="19"/>
        <v>SIN STOCK</v>
      </c>
    </row>
    <row r="586" spans="1:11">
      <c r="A586" s="16" t="s">
        <v>2891</v>
      </c>
      <c r="B586" s="2" t="str">
        <f>IFERROR(INDEX(Movimientos!$C$2:$C$1993,MATCH(A586&amp;"ENTRADA",Movimientos!$R$2:$R$1993,0)),"-")</f>
        <v>-</v>
      </c>
      <c r="C586" s="2" t="str">
        <f>IFERROR(INDEX(Movimientos!$D$2:$D$1993,MATCH(A586&amp;"ENTRADA",Movimientos!$R$2:$R$1993,0)),"-")</f>
        <v>-</v>
      </c>
      <c r="D586" s="2" t="str">
        <f>IFERROR(INDEX(Movimientos!$E$2:$E$1993,MATCH(A586&amp;"ENTRADA",Movimientos!$R$2:$R$1993,0)),"-")</f>
        <v>-</v>
      </c>
      <c r="E586" s="2" t="str">
        <f>IFERROR(INDEX(Movimientos!$F$2:$F$1993,MATCH(A586&amp;"ENTRADA",Movimientos!$R$2:$R$1993,0)),"-")</f>
        <v>-</v>
      </c>
      <c r="F586" s="2" t="str">
        <f>IFERROR(INDEX(Movimientos!$G$2:$G$1993,MATCH(A586&amp;"ENTRADA",Movimientos!$R$2:$R$1993,0)),"-")</f>
        <v>-</v>
      </c>
      <c r="G586" s="2" t="str">
        <f>IFERROR(INDEX(Movimientos!$L$2:$L$1993,MATCH(A586&amp;"ENTRADA",Movimientos!$R$2:$R$1993,0)),"-")</f>
        <v>-</v>
      </c>
      <c r="H586" s="17" t="str">
        <f>IFERROR(IF(INDEX(Movimientos!$M$2:$M$1993,MATCH(A586&amp;"ENTRADA",Movimientos!$R$2:$R$1993,0))=0,"S/D",INDEX(Movimientos!$M$2:$M$1993,MATCH(A586&amp;"ENTRADA",Movimientos!$R$2:$R$1993,0))),"S/D")</f>
        <v>S/D</v>
      </c>
      <c r="I586" s="15" t="str">
        <f t="shared" ca="1" si="20"/>
        <v>S/D</v>
      </c>
      <c r="J586" s="5">
        <f>IF(A586="","",SUMIFS(Movimientos!$K:$K,Movimientos!$H:$H,A586))</f>
        <v>0</v>
      </c>
      <c r="K586" s="13" t="str">
        <f t="shared" ca="1" si="19"/>
        <v>SIN STOCK</v>
      </c>
    </row>
    <row r="587" spans="1:11">
      <c r="A587" s="16" t="s">
        <v>2892</v>
      </c>
      <c r="B587" s="2" t="str">
        <f>IFERROR(INDEX(Movimientos!$C$2:$C$1993,MATCH(A587&amp;"ENTRADA",Movimientos!$R$2:$R$1993,0)),"-")</f>
        <v>-</v>
      </c>
      <c r="C587" s="2" t="str">
        <f>IFERROR(INDEX(Movimientos!$D$2:$D$1993,MATCH(A587&amp;"ENTRADA",Movimientos!$R$2:$R$1993,0)),"-")</f>
        <v>-</v>
      </c>
      <c r="D587" s="2" t="str">
        <f>IFERROR(INDEX(Movimientos!$E$2:$E$1993,MATCH(A587&amp;"ENTRADA",Movimientos!$R$2:$R$1993,0)),"-")</f>
        <v>-</v>
      </c>
      <c r="E587" s="2" t="str">
        <f>IFERROR(INDEX(Movimientos!$F$2:$F$1993,MATCH(A587&amp;"ENTRADA",Movimientos!$R$2:$R$1993,0)),"-")</f>
        <v>-</v>
      </c>
      <c r="F587" s="2" t="str">
        <f>IFERROR(INDEX(Movimientos!$G$2:$G$1993,MATCH(A587&amp;"ENTRADA",Movimientos!$R$2:$R$1993,0)),"-")</f>
        <v>-</v>
      </c>
      <c r="G587" s="2" t="str">
        <f>IFERROR(INDEX(Movimientos!$L$2:$L$1993,MATCH(A587&amp;"ENTRADA",Movimientos!$R$2:$R$1993,0)),"-")</f>
        <v>-</v>
      </c>
      <c r="H587" s="17" t="str">
        <f>IFERROR(IF(INDEX(Movimientos!$M$2:$M$1993,MATCH(A587&amp;"ENTRADA",Movimientos!$R$2:$R$1993,0))=0,"S/D",INDEX(Movimientos!$M$2:$M$1993,MATCH(A587&amp;"ENTRADA",Movimientos!$R$2:$R$1993,0))),"S/D")</f>
        <v>S/D</v>
      </c>
      <c r="I587" s="15" t="str">
        <f t="shared" ca="1" si="20"/>
        <v>S/D</v>
      </c>
      <c r="J587" s="5">
        <f>IF(A587="","",SUMIFS(Movimientos!$K:$K,Movimientos!$H:$H,A587))</f>
        <v>0</v>
      </c>
      <c r="K587" s="13" t="str">
        <f t="shared" ca="1" si="19"/>
        <v>SIN STOCK</v>
      </c>
    </row>
    <row r="588" spans="1:11">
      <c r="A588" s="16" t="s">
        <v>2893</v>
      </c>
      <c r="B588" s="2" t="str">
        <f>IFERROR(INDEX(Movimientos!$C$2:$C$1993,MATCH(A588&amp;"ENTRADA",Movimientos!$R$2:$R$1993,0)),"-")</f>
        <v>-</v>
      </c>
      <c r="C588" s="2" t="str">
        <f>IFERROR(INDEX(Movimientos!$D$2:$D$1993,MATCH(A588&amp;"ENTRADA",Movimientos!$R$2:$R$1993,0)),"-")</f>
        <v>-</v>
      </c>
      <c r="D588" s="2" t="str">
        <f>IFERROR(INDEX(Movimientos!$E$2:$E$1993,MATCH(A588&amp;"ENTRADA",Movimientos!$R$2:$R$1993,0)),"-")</f>
        <v>-</v>
      </c>
      <c r="E588" s="2" t="str">
        <f>IFERROR(INDEX(Movimientos!$F$2:$F$1993,MATCH(A588&amp;"ENTRADA",Movimientos!$R$2:$R$1993,0)),"-")</f>
        <v>-</v>
      </c>
      <c r="F588" s="2" t="str">
        <f>IFERROR(INDEX(Movimientos!$G$2:$G$1993,MATCH(A588&amp;"ENTRADA",Movimientos!$R$2:$R$1993,0)),"-")</f>
        <v>-</v>
      </c>
      <c r="G588" s="2" t="str">
        <f>IFERROR(INDEX(Movimientos!$L$2:$L$1993,MATCH(A588&amp;"ENTRADA",Movimientos!$R$2:$R$1993,0)),"-")</f>
        <v>-</v>
      </c>
      <c r="H588" s="17" t="str">
        <f>IFERROR(IF(INDEX(Movimientos!$M$2:$M$1993,MATCH(A588&amp;"ENTRADA",Movimientos!$R$2:$R$1993,0))=0,"S/D",INDEX(Movimientos!$M$2:$M$1993,MATCH(A588&amp;"ENTRADA",Movimientos!$R$2:$R$1993,0))),"S/D")</f>
        <v>S/D</v>
      </c>
      <c r="I588" s="15" t="str">
        <f t="shared" ca="1" si="20"/>
        <v>S/D</v>
      </c>
      <c r="J588" s="5">
        <f>IF(A588="","",SUMIFS(Movimientos!$K:$K,Movimientos!$H:$H,A588))</f>
        <v>0</v>
      </c>
      <c r="K588" s="13" t="str">
        <f t="shared" ca="1" si="19"/>
        <v>SIN STOCK</v>
      </c>
    </row>
    <row r="589" spans="1:11">
      <c r="A589" s="16" t="s">
        <v>2894</v>
      </c>
      <c r="B589" s="2" t="str">
        <f>IFERROR(INDEX(Movimientos!$C$2:$C$1993,MATCH(A589&amp;"ENTRADA",Movimientos!$R$2:$R$1993,0)),"-")</f>
        <v>-</v>
      </c>
      <c r="C589" s="2" t="str">
        <f>IFERROR(INDEX(Movimientos!$D$2:$D$1993,MATCH(A589&amp;"ENTRADA",Movimientos!$R$2:$R$1993,0)),"-")</f>
        <v>-</v>
      </c>
      <c r="D589" s="2" t="str">
        <f>IFERROR(INDEX(Movimientos!$E$2:$E$1993,MATCH(A589&amp;"ENTRADA",Movimientos!$R$2:$R$1993,0)),"-")</f>
        <v>-</v>
      </c>
      <c r="E589" s="2" t="str">
        <f>IFERROR(INDEX(Movimientos!$F$2:$F$1993,MATCH(A589&amp;"ENTRADA",Movimientos!$R$2:$R$1993,0)),"-")</f>
        <v>-</v>
      </c>
      <c r="F589" s="2" t="str">
        <f>IFERROR(INDEX(Movimientos!$G$2:$G$1993,MATCH(A589&amp;"ENTRADA",Movimientos!$R$2:$R$1993,0)),"-")</f>
        <v>-</v>
      </c>
      <c r="G589" s="2" t="str">
        <f>IFERROR(INDEX(Movimientos!$L$2:$L$1993,MATCH(A589&amp;"ENTRADA",Movimientos!$R$2:$R$1993,0)),"-")</f>
        <v>-</v>
      </c>
      <c r="H589" s="17" t="str">
        <f>IFERROR(IF(INDEX(Movimientos!$M$2:$M$1993,MATCH(A589&amp;"ENTRADA",Movimientos!$R$2:$R$1993,0))=0,"S/D",INDEX(Movimientos!$M$2:$M$1993,MATCH(A589&amp;"ENTRADA",Movimientos!$R$2:$R$1993,0))),"S/D")</f>
        <v>S/D</v>
      </c>
      <c r="I589" s="15" t="str">
        <f t="shared" ca="1" si="20"/>
        <v>S/D</v>
      </c>
      <c r="J589" s="5">
        <f>IF(A589="","",SUMIFS(Movimientos!$K:$K,Movimientos!$H:$H,A589))</f>
        <v>0</v>
      </c>
      <c r="K589" s="13" t="str">
        <f t="shared" ca="1" si="19"/>
        <v>SIN STOCK</v>
      </c>
    </row>
    <row r="590" spans="1:11">
      <c r="A590" s="16" t="s">
        <v>2895</v>
      </c>
      <c r="B590" s="2" t="str">
        <f>IFERROR(INDEX(Movimientos!$C$2:$C$1993,MATCH(A590&amp;"ENTRADA",Movimientos!$R$2:$R$1993,0)),"-")</f>
        <v>-</v>
      </c>
      <c r="C590" s="2" t="str">
        <f>IFERROR(INDEX(Movimientos!$D$2:$D$1993,MATCH(A590&amp;"ENTRADA",Movimientos!$R$2:$R$1993,0)),"-")</f>
        <v>-</v>
      </c>
      <c r="D590" s="2" t="str">
        <f>IFERROR(INDEX(Movimientos!$E$2:$E$1993,MATCH(A590&amp;"ENTRADA",Movimientos!$R$2:$R$1993,0)),"-")</f>
        <v>-</v>
      </c>
      <c r="E590" s="2" t="str">
        <f>IFERROR(INDEX(Movimientos!$F$2:$F$1993,MATCH(A590&amp;"ENTRADA",Movimientos!$R$2:$R$1993,0)),"-")</f>
        <v>-</v>
      </c>
      <c r="F590" s="2" t="str">
        <f>IFERROR(INDEX(Movimientos!$G$2:$G$1993,MATCH(A590&amp;"ENTRADA",Movimientos!$R$2:$R$1993,0)),"-")</f>
        <v>-</v>
      </c>
      <c r="G590" s="2" t="str">
        <f>IFERROR(INDEX(Movimientos!$L$2:$L$1993,MATCH(A590&amp;"ENTRADA",Movimientos!$R$2:$R$1993,0)),"-")</f>
        <v>-</v>
      </c>
      <c r="H590" s="17" t="str">
        <f>IFERROR(IF(INDEX(Movimientos!$M$2:$M$1993,MATCH(A590&amp;"ENTRADA",Movimientos!$R$2:$R$1993,0))=0,"S/D",INDEX(Movimientos!$M$2:$M$1993,MATCH(A590&amp;"ENTRADA",Movimientos!$R$2:$R$1993,0))),"S/D")</f>
        <v>S/D</v>
      </c>
      <c r="I590" s="15" t="str">
        <f t="shared" ca="1" si="20"/>
        <v>S/D</v>
      </c>
      <c r="J590" s="5">
        <f>IF(A590="","",SUMIFS(Movimientos!$K:$K,Movimientos!$H:$H,A590))</f>
        <v>0</v>
      </c>
      <c r="K590" s="13" t="str">
        <f t="shared" ca="1" si="19"/>
        <v>SIN STOCK</v>
      </c>
    </row>
    <row r="591" spans="1:11">
      <c r="A591" s="16" t="s">
        <v>2896</v>
      </c>
      <c r="B591" s="2" t="str">
        <f>IFERROR(INDEX(Movimientos!$C$2:$C$1993,MATCH(A591&amp;"ENTRADA",Movimientos!$R$2:$R$1993,0)),"-")</f>
        <v>-</v>
      </c>
      <c r="C591" s="2" t="str">
        <f>IFERROR(INDEX(Movimientos!$D$2:$D$1993,MATCH(A591&amp;"ENTRADA",Movimientos!$R$2:$R$1993,0)),"-")</f>
        <v>-</v>
      </c>
      <c r="D591" s="2" t="str">
        <f>IFERROR(INDEX(Movimientos!$E$2:$E$1993,MATCH(A591&amp;"ENTRADA",Movimientos!$R$2:$R$1993,0)),"-")</f>
        <v>-</v>
      </c>
      <c r="E591" s="2" t="str">
        <f>IFERROR(INDEX(Movimientos!$F$2:$F$1993,MATCH(A591&amp;"ENTRADA",Movimientos!$R$2:$R$1993,0)),"-")</f>
        <v>-</v>
      </c>
      <c r="F591" s="2" t="str">
        <f>IFERROR(INDEX(Movimientos!$G$2:$G$1993,MATCH(A591&amp;"ENTRADA",Movimientos!$R$2:$R$1993,0)),"-")</f>
        <v>-</v>
      </c>
      <c r="G591" s="2" t="str">
        <f>IFERROR(INDEX(Movimientos!$L$2:$L$1993,MATCH(A591&amp;"ENTRADA",Movimientos!$R$2:$R$1993,0)),"-")</f>
        <v>-</v>
      </c>
      <c r="H591" s="17" t="str">
        <f>IFERROR(IF(INDEX(Movimientos!$M$2:$M$1993,MATCH(A591&amp;"ENTRADA",Movimientos!$R$2:$R$1993,0))=0,"S/D",INDEX(Movimientos!$M$2:$M$1993,MATCH(A591&amp;"ENTRADA",Movimientos!$R$2:$R$1993,0))),"S/D")</f>
        <v>S/D</v>
      </c>
      <c r="I591" s="15" t="str">
        <f t="shared" ca="1" si="20"/>
        <v>S/D</v>
      </c>
      <c r="J591" s="5">
        <f>IF(A591="","",SUMIFS(Movimientos!$K:$K,Movimientos!$H:$H,A591))</f>
        <v>0</v>
      </c>
      <c r="K591" s="13" t="str">
        <f t="shared" ca="1" si="19"/>
        <v>SIN STOCK</v>
      </c>
    </row>
    <row r="592" spans="1:11">
      <c r="A592" s="16" t="s">
        <v>2897</v>
      </c>
      <c r="B592" s="2" t="str">
        <f>IFERROR(INDEX(Movimientos!$C$2:$C$1993,MATCH(A592&amp;"ENTRADA",Movimientos!$R$2:$R$1993,0)),"-")</f>
        <v>-</v>
      </c>
      <c r="C592" s="2" t="str">
        <f>IFERROR(INDEX(Movimientos!$D$2:$D$1993,MATCH(A592&amp;"ENTRADA",Movimientos!$R$2:$R$1993,0)),"-")</f>
        <v>-</v>
      </c>
      <c r="D592" s="2" t="str">
        <f>IFERROR(INDEX(Movimientos!$E$2:$E$1993,MATCH(A592&amp;"ENTRADA",Movimientos!$R$2:$R$1993,0)),"-")</f>
        <v>-</v>
      </c>
      <c r="E592" s="2" t="str">
        <f>IFERROR(INDEX(Movimientos!$F$2:$F$1993,MATCH(A592&amp;"ENTRADA",Movimientos!$R$2:$R$1993,0)),"-")</f>
        <v>-</v>
      </c>
      <c r="F592" s="2" t="str">
        <f>IFERROR(INDEX(Movimientos!$G$2:$G$1993,MATCH(A592&amp;"ENTRADA",Movimientos!$R$2:$R$1993,0)),"-")</f>
        <v>-</v>
      </c>
      <c r="G592" s="2" t="str">
        <f>IFERROR(INDEX(Movimientos!$L$2:$L$1993,MATCH(A592&amp;"ENTRADA",Movimientos!$R$2:$R$1993,0)),"-")</f>
        <v>-</v>
      </c>
      <c r="H592" s="17" t="str">
        <f>IFERROR(IF(INDEX(Movimientos!$M$2:$M$1993,MATCH(A592&amp;"ENTRADA",Movimientos!$R$2:$R$1993,0))=0,"S/D",INDEX(Movimientos!$M$2:$M$1993,MATCH(A592&amp;"ENTRADA",Movimientos!$R$2:$R$1993,0))),"S/D")</f>
        <v>S/D</v>
      </c>
      <c r="I592" s="15" t="str">
        <f t="shared" ca="1" si="20"/>
        <v>S/D</v>
      </c>
      <c r="J592" s="5">
        <f>IF(A592="","",SUMIFS(Movimientos!$K:$K,Movimientos!$H:$H,A592))</f>
        <v>0</v>
      </c>
      <c r="K592" s="13" t="str">
        <f t="shared" ca="1" si="19"/>
        <v>SIN STOCK</v>
      </c>
    </row>
    <row r="593" spans="1:11">
      <c r="A593" s="16" t="s">
        <v>2898</v>
      </c>
      <c r="B593" s="2" t="str">
        <f>IFERROR(INDEX(Movimientos!$C$2:$C$1993,MATCH(A593&amp;"ENTRADA",Movimientos!$R$2:$R$1993,0)),"-")</f>
        <v>-</v>
      </c>
      <c r="C593" s="2" t="str">
        <f>IFERROR(INDEX(Movimientos!$D$2:$D$1993,MATCH(A593&amp;"ENTRADA",Movimientos!$R$2:$R$1993,0)),"-")</f>
        <v>-</v>
      </c>
      <c r="D593" s="2" t="str">
        <f>IFERROR(INDEX(Movimientos!$E$2:$E$1993,MATCH(A593&amp;"ENTRADA",Movimientos!$R$2:$R$1993,0)),"-")</f>
        <v>-</v>
      </c>
      <c r="E593" s="2" t="str">
        <f>IFERROR(INDEX(Movimientos!$F$2:$F$1993,MATCH(A593&amp;"ENTRADA",Movimientos!$R$2:$R$1993,0)),"-")</f>
        <v>-</v>
      </c>
      <c r="F593" s="2" t="str">
        <f>IFERROR(INDEX(Movimientos!$G$2:$G$1993,MATCH(A593&amp;"ENTRADA",Movimientos!$R$2:$R$1993,0)),"-")</f>
        <v>-</v>
      </c>
      <c r="G593" s="2" t="str">
        <f>IFERROR(INDEX(Movimientos!$L$2:$L$1993,MATCH(A593&amp;"ENTRADA",Movimientos!$R$2:$R$1993,0)),"-")</f>
        <v>-</v>
      </c>
      <c r="H593" s="17" t="str">
        <f>IFERROR(IF(INDEX(Movimientos!$M$2:$M$1993,MATCH(A593&amp;"ENTRADA",Movimientos!$R$2:$R$1993,0))=0,"S/D",INDEX(Movimientos!$M$2:$M$1993,MATCH(A593&amp;"ENTRADA",Movimientos!$R$2:$R$1993,0))),"S/D")</f>
        <v>S/D</v>
      </c>
      <c r="I593" s="15" t="str">
        <f t="shared" ca="1" si="20"/>
        <v>S/D</v>
      </c>
      <c r="J593" s="5">
        <f>IF(A593="","",SUMIFS(Movimientos!$K:$K,Movimientos!$H:$H,A593))</f>
        <v>0</v>
      </c>
      <c r="K593" s="13" t="str">
        <f t="shared" ca="1" si="19"/>
        <v>SIN STOCK</v>
      </c>
    </row>
    <row r="594" spans="1:11">
      <c r="A594" s="16" t="s">
        <v>2899</v>
      </c>
      <c r="B594" s="2" t="str">
        <f>IFERROR(INDEX(Movimientos!$C$2:$C$1993,MATCH(A594&amp;"ENTRADA",Movimientos!$R$2:$R$1993,0)),"-")</f>
        <v>-</v>
      </c>
      <c r="C594" s="2" t="str">
        <f>IFERROR(INDEX(Movimientos!$D$2:$D$1993,MATCH(A594&amp;"ENTRADA",Movimientos!$R$2:$R$1993,0)),"-")</f>
        <v>-</v>
      </c>
      <c r="D594" s="2" t="str">
        <f>IFERROR(INDEX(Movimientos!$E$2:$E$1993,MATCH(A594&amp;"ENTRADA",Movimientos!$R$2:$R$1993,0)),"-")</f>
        <v>-</v>
      </c>
      <c r="E594" s="2" t="str">
        <f>IFERROR(INDEX(Movimientos!$F$2:$F$1993,MATCH(A594&amp;"ENTRADA",Movimientos!$R$2:$R$1993,0)),"-")</f>
        <v>-</v>
      </c>
      <c r="F594" s="2" t="str">
        <f>IFERROR(INDEX(Movimientos!$G$2:$G$1993,MATCH(A594&amp;"ENTRADA",Movimientos!$R$2:$R$1993,0)),"-")</f>
        <v>-</v>
      </c>
      <c r="G594" s="2" t="str">
        <f>IFERROR(INDEX(Movimientos!$L$2:$L$1993,MATCH(A594&amp;"ENTRADA",Movimientos!$R$2:$R$1993,0)),"-")</f>
        <v>-</v>
      </c>
      <c r="H594" s="17" t="str">
        <f>IFERROR(IF(INDEX(Movimientos!$M$2:$M$1993,MATCH(A594&amp;"ENTRADA",Movimientos!$R$2:$R$1993,0))=0,"S/D",INDEX(Movimientos!$M$2:$M$1993,MATCH(A594&amp;"ENTRADA",Movimientos!$R$2:$R$1993,0))),"S/D")</f>
        <v>S/D</v>
      </c>
      <c r="I594" s="15" t="str">
        <f t="shared" ca="1" si="20"/>
        <v>S/D</v>
      </c>
      <c r="J594" s="5">
        <f>IF(A594="","",SUMIFS(Movimientos!$K:$K,Movimientos!$H:$H,A594))</f>
        <v>0</v>
      </c>
      <c r="K594" s="13" t="str">
        <f t="shared" ca="1" si="19"/>
        <v>SIN STOCK</v>
      </c>
    </row>
    <row r="595" spans="1:11">
      <c r="A595" s="16" t="s">
        <v>2900</v>
      </c>
      <c r="B595" s="2" t="str">
        <f>IFERROR(INDEX(Movimientos!$C$2:$C$1993,MATCH(A595&amp;"ENTRADA",Movimientos!$R$2:$R$1993,0)),"-")</f>
        <v>-</v>
      </c>
      <c r="C595" s="2" t="str">
        <f>IFERROR(INDEX(Movimientos!$D$2:$D$1993,MATCH(A595&amp;"ENTRADA",Movimientos!$R$2:$R$1993,0)),"-")</f>
        <v>-</v>
      </c>
      <c r="D595" s="2" t="str">
        <f>IFERROR(INDEX(Movimientos!$E$2:$E$1993,MATCH(A595&amp;"ENTRADA",Movimientos!$R$2:$R$1993,0)),"-")</f>
        <v>-</v>
      </c>
      <c r="E595" s="2" t="str">
        <f>IFERROR(INDEX(Movimientos!$F$2:$F$1993,MATCH(A595&amp;"ENTRADA",Movimientos!$R$2:$R$1993,0)),"-")</f>
        <v>-</v>
      </c>
      <c r="F595" s="2" t="str">
        <f>IFERROR(INDEX(Movimientos!$G$2:$G$1993,MATCH(A595&amp;"ENTRADA",Movimientos!$R$2:$R$1993,0)),"-")</f>
        <v>-</v>
      </c>
      <c r="G595" s="2" t="str">
        <f>IFERROR(INDEX(Movimientos!$L$2:$L$1993,MATCH(A595&amp;"ENTRADA",Movimientos!$R$2:$R$1993,0)),"-")</f>
        <v>-</v>
      </c>
      <c r="H595" s="17" t="str">
        <f>IFERROR(IF(INDEX(Movimientos!$M$2:$M$1993,MATCH(A595&amp;"ENTRADA",Movimientos!$R$2:$R$1993,0))=0,"S/D",INDEX(Movimientos!$M$2:$M$1993,MATCH(A595&amp;"ENTRADA",Movimientos!$R$2:$R$1993,0))),"S/D")</f>
        <v>S/D</v>
      </c>
      <c r="I595" s="15" t="str">
        <f t="shared" ca="1" si="20"/>
        <v>S/D</v>
      </c>
      <c r="J595" s="5">
        <f>IF(A595="","",SUMIFS(Movimientos!$K:$K,Movimientos!$H:$H,A595))</f>
        <v>0</v>
      </c>
      <c r="K595" s="13" t="str">
        <f t="shared" ca="1" si="19"/>
        <v>SIN STOCK</v>
      </c>
    </row>
    <row r="596" spans="1:11">
      <c r="A596" s="16" t="s">
        <v>2901</v>
      </c>
      <c r="B596" s="2" t="str">
        <f>IFERROR(INDEX(Movimientos!$C$2:$C$1993,MATCH(A596&amp;"ENTRADA",Movimientos!$R$2:$R$1993,0)),"-")</f>
        <v>-</v>
      </c>
      <c r="C596" s="2" t="str">
        <f>IFERROR(INDEX(Movimientos!$D$2:$D$1993,MATCH(A596&amp;"ENTRADA",Movimientos!$R$2:$R$1993,0)),"-")</f>
        <v>-</v>
      </c>
      <c r="D596" s="2" t="str">
        <f>IFERROR(INDEX(Movimientos!$E$2:$E$1993,MATCH(A596&amp;"ENTRADA",Movimientos!$R$2:$R$1993,0)),"-")</f>
        <v>-</v>
      </c>
      <c r="E596" s="2" t="str">
        <f>IFERROR(INDEX(Movimientos!$F$2:$F$1993,MATCH(A596&amp;"ENTRADA",Movimientos!$R$2:$R$1993,0)),"-")</f>
        <v>-</v>
      </c>
      <c r="F596" s="2" t="str">
        <f>IFERROR(INDEX(Movimientos!$G$2:$G$1993,MATCH(A596&amp;"ENTRADA",Movimientos!$R$2:$R$1993,0)),"-")</f>
        <v>-</v>
      </c>
      <c r="G596" s="2" t="str">
        <f>IFERROR(INDEX(Movimientos!$L$2:$L$1993,MATCH(A596&amp;"ENTRADA",Movimientos!$R$2:$R$1993,0)),"-")</f>
        <v>-</v>
      </c>
      <c r="H596" s="17" t="str">
        <f>IFERROR(IF(INDEX(Movimientos!$M$2:$M$1993,MATCH(A596&amp;"ENTRADA",Movimientos!$R$2:$R$1993,0))=0,"S/D",INDEX(Movimientos!$M$2:$M$1993,MATCH(A596&amp;"ENTRADA",Movimientos!$R$2:$R$1993,0))),"S/D")</f>
        <v>S/D</v>
      </c>
      <c r="I596" s="15" t="str">
        <f t="shared" ca="1" si="20"/>
        <v>S/D</v>
      </c>
      <c r="J596" s="5">
        <f>IF(A596="","",SUMIFS(Movimientos!$K:$K,Movimientos!$H:$H,A596))</f>
        <v>0</v>
      </c>
      <c r="K596" s="13" t="str">
        <f t="shared" ca="1" si="19"/>
        <v>SIN STOCK</v>
      </c>
    </row>
    <row r="597" spans="1:11">
      <c r="A597" s="16" t="s">
        <v>2902</v>
      </c>
      <c r="B597" s="2" t="str">
        <f>IFERROR(INDEX(Movimientos!$C$2:$C$1993,MATCH(A597&amp;"ENTRADA",Movimientos!$R$2:$R$1993,0)),"-")</f>
        <v>-</v>
      </c>
      <c r="C597" s="2" t="str">
        <f>IFERROR(INDEX(Movimientos!$D$2:$D$1993,MATCH(A597&amp;"ENTRADA",Movimientos!$R$2:$R$1993,0)),"-")</f>
        <v>-</v>
      </c>
      <c r="D597" s="2" t="str">
        <f>IFERROR(INDEX(Movimientos!$E$2:$E$1993,MATCH(A597&amp;"ENTRADA",Movimientos!$R$2:$R$1993,0)),"-")</f>
        <v>-</v>
      </c>
      <c r="E597" s="2" t="str">
        <f>IFERROR(INDEX(Movimientos!$F$2:$F$1993,MATCH(A597&amp;"ENTRADA",Movimientos!$R$2:$R$1993,0)),"-")</f>
        <v>-</v>
      </c>
      <c r="F597" s="2" t="str">
        <f>IFERROR(INDEX(Movimientos!$G$2:$G$1993,MATCH(A597&amp;"ENTRADA",Movimientos!$R$2:$R$1993,0)),"-")</f>
        <v>-</v>
      </c>
      <c r="G597" s="2" t="str">
        <f>IFERROR(INDEX(Movimientos!$L$2:$L$1993,MATCH(A597&amp;"ENTRADA",Movimientos!$R$2:$R$1993,0)),"-")</f>
        <v>-</v>
      </c>
      <c r="H597" s="17" t="str">
        <f>IFERROR(IF(INDEX(Movimientos!$M$2:$M$1993,MATCH(A597&amp;"ENTRADA",Movimientos!$R$2:$R$1993,0))=0,"S/D",INDEX(Movimientos!$M$2:$M$1993,MATCH(A597&amp;"ENTRADA",Movimientos!$R$2:$R$1993,0))),"S/D")</f>
        <v>S/D</v>
      </c>
      <c r="I597" s="15" t="str">
        <f t="shared" ca="1" si="20"/>
        <v>S/D</v>
      </c>
      <c r="J597" s="5">
        <f>IF(A597="","",SUMIFS(Movimientos!$K:$K,Movimientos!$H:$H,A597))</f>
        <v>0</v>
      </c>
      <c r="K597" s="13" t="str">
        <f t="shared" ca="1" si="19"/>
        <v>SIN STOCK</v>
      </c>
    </row>
    <row r="598" spans="1:11">
      <c r="A598" s="16" t="s">
        <v>2903</v>
      </c>
      <c r="B598" s="2" t="str">
        <f>IFERROR(INDEX(Movimientos!$C$2:$C$1993,MATCH(A598&amp;"ENTRADA",Movimientos!$R$2:$R$1993,0)),"-")</f>
        <v>-</v>
      </c>
      <c r="C598" s="2" t="str">
        <f>IFERROR(INDEX(Movimientos!$D$2:$D$1993,MATCH(A598&amp;"ENTRADA",Movimientos!$R$2:$R$1993,0)),"-")</f>
        <v>-</v>
      </c>
      <c r="D598" s="2" t="str">
        <f>IFERROR(INDEX(Movimientos!$E$2:$E$1993,MATCH(A598&amp;"ENTRADA",Movimientos!$R$2:$R$1993,0)),"-")</f>
        <v>-</v>
      </c>
      <c r="E598" s="2" t="str">
        <f>IFERROR(INDEX(Movimientos!$F$2:$F$1993,MATCH(A598&amp;"ENTRADA",Movimientos!$R$2:$R$1993,0)),"-")</f>
        <v>-</v>
      </c>
      <c r="F598" s="2" t="str">
        <f>IFERROR(INDEX(Movimientos!$G$2:$G$1993,MATCH(A598&amp;"ENTRADA",Movimientos!$R$2:$R$1993,0)),"-")</f>
        <v>-</v>
      </c>
      <c r="G598" s="2" t="str">
        <f>IFERROR(INDEX(Movimientos!$L$2:$L$1993,MATCH(A598&amp;"ENTRADA",Movimientos!$R$2:$R$1993,0)),"-")</f>
        <v>-</v>
      </c>
      <c r="H598" s="17" t="str">
        <f>IFERROR(IF(INDEX(Movimientos!$M$2:$M$1993,MATCH(A598&amp;"ENTRADA",Movimientos!$R$2:$R$1993,0))=0,"S/D",INDEX(Movimientos!$M$2:$M$1993,MATCH(A598&amp;"ENTRADA",Movimientos!$R$2:$R$1993,0))),"S/D")</f>
        <v>S/D</v>
      </c>
      <c r="I598" s="15" t="str">
        <f t="shared" ca="1" si="20"/>
        <v>S/D</v>
      </c>
      <c r="J598" s="5">
        <f>IF(A598="","",SUMIFS(Movimientos!$K:$K,Movimientos!$H:$H,A598))</f>
        <v>0</v>
      </c>
      <c r="K598" s="13" t="str">
        <f t="shared" ca="1" si="19"/>
        <v>SIN STOCK</v>
      </c>
    </row>
    <row r="599" spans="1:11">
      <c r="A599" s="16" t="s">
        <v>2904</v>
      </c>
      <c r="B599" s="2" t="str">
        <f>IFERROR(INDEX(Movimientos!$C$2:$C$1993,MATCH(A599&amp;"ENTRADA",Movimientos!$R$2:$R$1993,0)),"-")</f>
        <v>-</v>
      </c>
      <c r="C599" s="2" t="str">
        <f>IFERROR(INDEX(Movimientos!$D$2:$D$1993,MATCH(A599&amp;"ENTRADA",Movimientos!$R$2:$R$1993,0)),"-")</f>
        <v>-</v>
      </c>
      <c r="D599" s="2" t="str">
        <f>IFERROR(INDEX(Movimientos!$E$2:$E$1993,MATCH(A599&amp;"ENTRADA",Movimientos!$R$2:$R$1993,0)),"-")</f>
        <v>-</v>
      </c>
      <c r="E599" s="2" t="str">
        <f>IFERROR(INDEX(Movimientos!$F$2:$F$1993,MATCH(A599&amp;"ENTRADA",Movimientos!$R$2:$R$1993,0)),"-")</f>
        <v>-</v>
      </c>
      <c r="F599" s="2" t="str">
        <f>IFERROR(INDEX(Movimientos!$G$2:$G$1993,MATCH(A599&amp;"ENTRADA",Movimientos!$R$2:$R$1993,0)),"-")</f>
        <v>-</v>
      </c>
      <c r="G599" s="2" t="str">
        <f>IFERROR(INDEX(Movimientos!$L$2:$L$1993,MATCH(A599&amp;"ENTRADA",Movimientos!$R$2:$R$1993,0)),"-")</f>
        <v>-</v>
      </c>
      <c r="H599" s="17" t="str">
        <f>IFERROR(IF(INDEX(Movimientos!$M$2:$M$1993,MATCH(A599&amp;"ENTRADA",Movimientos!$R$2:$R$1993,0))=0,"S/D",INDEX(Movimientos!$M$2:$M$1993,MATCH(A599&amp;"ENTRADA",Movimientos!$R$2:$R$1993,0))),"S/D")</f>
        <v>S/D</v>
      </c>
      <c r="I599" s="15" t="str">
        <f t="shared" ca="1" si="20"/>
        <v>S/D</v>
      </c>
      <c r="J599" s="5">
        <f>IF(A599="","",SUMIFS(Movimientos!$K:$K,Movimientos!$H:$H,A599))</f>
        <v>0</v>
      </c>
      <c r="K599" s="13" t="str">
        <f t="shared" ca="1" si="19"/>
        <v>SIN STOCK</v>
      </c>
    </row>
    <row r="600" spans="1:11">
      <c r="A600" s="16" t="s">
        <v>2905</v>
      </c>
      <c r="B600" s="2" t="str">
        <f>IFERROR(INDEX(Movimientos!$C$2:$C$1993,MATCH(A600&amp;"ENTRADA",Movimientos!$R$2:$R$1993,0)),"-")</f>
        <v>-</v>
      </c>
      <c r="C600" s="2" t="str">
        <f>IFERROR(INDEX(Movimientos!$D$2:$D$1993,MATCH(A600&amp;"ENTRADA",Movimientos!$R$2:$R$1993,0)),"-")</f>
        <v>-</v>
      </c>
      <c r="D600" s="2" t="str">
        <f>IFERROR(INDEX(Movimientos!$E$2:$E$1993,MATCH(A600&amp;"ENTRADA",Movimientos!$R$2:$R$1993,0)),"-")</f>
        <v>-</v>
      </c>
      <c r="E600" s="2" t="str">
        <f>IFERROR(INDEX(Movimientos!$F$2:$F$1993,MATCH(A600&amp;"ENTRADA",Movimientos!$R$2:$R$1993,0)),"-")</f>
        <v>-</v>
      </c>
      <c r="F600" s="2" t="str">
        <f>IFERROR(INDEX(Movimientos!$G$2:$G$1993,MATCH(A600&amp;"ENTRADA",Movimientos!$R$2:$R$1993,0)),"-")</f>
        <v>-</v>
      </c>
      <c r="G600" s="2" t="str">
        <f>IFERROR(INDEX(Movimientos!$L$2:$L$1993,MATCH(A600&amp;"ENTRADA",Movimientos!$R$2:$R$1993,0)),"-")</f>
        <v>-</v>
      </c>
      <c r="H600" s="17" t="str">
        <f>IFERROR(IF(INDEX(Movimientos!$M$2:$M$1993,MATCH(A600&amp;"ENTRADA",Movimientos!$R$2:$R$1993,0))=0,"S/D",INDEX(Movimientos!$M$2:$M$1993,MATCH(A600&amp;"ENTRADA",Movimientos!$R$2:$R$1993,0))),"S/D")</f>
        <v>S/D</v>
      </c>
      <c r="I600" s="15" t="str">
        <f t="shared" ca="1" si="20"/>
        <v>S/D</v>
      </c>
      <c r="J600" s="5">
        <f>IF(A600="","",SUMIFS(Movimientos!$K:$K,Movimientos!$H:$H,A600))</f>
        <v>0</v>
      </c>
      <c r="K600" s="13" t="str">
        <f t="shared" ca="1" si="19"/>
        <v>SIN STOCK</v>
      </c>
    </row>
    <row r="601" spans="1:11">
      <c r="A601" s="16" t="s">
        <v>2906</v>
      </c>
      <c r="B601" s="2" t="str">
        <f>IFERROR(INDEX(Movimientos!$C$2:$C$1993,MATCH(A601&amp;"ENTRADA",Movimientos!$R$2:$R$1993,0)),"-")</f>
        <v>-</v>
      </c>
      <c r="C601" s="2" t="str">
        <f>IFERROR(INDEX(Movimientos!$D$2:$D$1993,MATCH(A601&amp;"ENTRADA",Movimientos!$R$2:$R$1993,0)),"-")</f>
        <v>-</v>
      </c>
      <c r="D601" s="2" t="str">
        <f>IFERROR(INDEX(Movimientos!$E$2:$E$1993,MATCH(A601&amp;"ENTRADA",Movimientos!$R$2:$R$1993,0)),"-")</f>
        <v>-</v>
      </c>
      <c r="E601" s="2" t="str">
        <f>IFERROR(INDEX(Movimientos!$F$2:$F$1993,MATCH(A601&amp;"ENTRADA",Movimientos!$R$2:$R$1993,0)),"-")</f>
        <v>-</v>
      </c>
      <c r="F601" s="2" t="str">
        <f>IFERROR(INDEX(Movimientos!$G$2:$G$1993,MATCH(A601&amp;"ENTRADA",Movimientos!$R$2:$R$1993,0)),"-")</f>
        <v>-</v>
      </c>
      <c r="G601" s="2" t="str">
        <f>IFERROR(INDEX(Movimientos!$L$2:$L$1993,MATCH(A601&amp;"ENTRADA",Movimientos!$R$2:$R$1993,0)),"-")</f>
        <v>-</v>
      </c>
      <c r="H601" s="17" t="str">
        <f>IFERROR(IF(INDEX(Movimientos!$M$2:$M$1993,MATCH(A601&amp;"ENTRADA",Movimientos!$R$2:$R$1993,0))=0,"S/D",INDEX(Movimientos!$M$2:$M$1993,MATCH(A601&amp;"ENTRADA",Movimientos!$R$2:$R$1993,0))),"S/D")</f>
        <v>S/D</v>
      </c>
      <c r="I601" s="15" t="str">
        <f t="shared" ca="1" si="20"/>
        <v>S/D</v>
      </c>
      <c r="J601" s="5">
        <f>IF(A601="","",SUMIFS(Movimientos!$K:$K,Movimientos!$H:$H,A601))</f>
        <v>0</v>
      </c>
      <c r="K601" s="13" t="str">
        <f t="shared" ca="1" si="19"/>
        <v>SIN STOCK</v>
      </c>
    </row>
    <row r="602" spans="1:11">
      <c r="A602" s="16" t="s">
        <v>2907</v>
      </c>
      <c r="B602" s="2" t="str">
        <f>IFERROR(INDEX(Movimientos!$C$2:$C$1993,MATCH(A602&amp;"ENTRADA",Movimientos!$R$2:$R$1993,0)),"-")</f>
        <v>-</v>
      </c>
      <c r="C602" s="2" t="str">
        <f>IFERROR(INDEX(Movimientos!$D$2:$D$1993,MATCH(A602&amp;"ENTRADA",Movimientos!$R$2:$R$1993,0)),"-")</f>
        <v>-</v>
      </c>
      <c r="D602" s="2" t="str">
        <f>IFERROR(INDEX(Movimientos!$E$2:$E$1993,MATCH(A602&amp;"ENTRADA",Movimientos!$R$2:$R$1993,0)),"-")</f>
        <v>-</v>
      </c>
      <c r="E602" s="2" t="str">
        <f>IFERROR(INDEX(Movimientos!$F$2:$F$1993,MATCH(A602&amp;"ENTRADA",Movimientos!$R$2:$R$1993,0)),"-")</f>
        <v>-</v>
      </c>
      <c r="F602" s="2" t="str">
        <f>IFERROR(INDEX(Movimientos!$G$2:$G$1993,MATCH(A602&amp;"ENTRADA",Movimientos!$R$2:$R$1993,0)),"-")</f>
        <v>-</v>
      </c>
      <c r="G602" s="2" t="str">
        <f>IFERROR(INDEX(Movimientos!$L$2:$L$1993,MATCH(A602&amp;"ENTRADA",Movimientos!$R$2:$R$1993,0)),"-")</f>
        <v>-</v>
      </c>
      <c r="H602" s="17" t="str">
        <f>IFERROR(IF(INDEX(Movimientos!$M$2:$M$1993,MATCH(A602&amp;"ENTRADA",Movimientos!$R$2:$R$1993,0))=0,"S/D",INDEX(Movimientos!$M$2:$M$1993,MATCH(A602&amp;"ENTRADA",Movimientos!$R$2:$R$1993,0))),"S/D")</f>
        <v>S/D</v>
      </c>
      <c r="I602" s="15" t="str">
        <f t="shared" ca="1" si="20"/>
        <v>S/D</v>
      </c>
      <c r="J602" s="5">
        <f>IF(A602="","",SUMIFS(Movimientos!$K:$K,Movimientos!$H:$H,A602))</f>
        <v>0</v>
      </c>
      <c r="K602" s="13" t="str">
        <f t="shared" ca="1" si="19"/>
        <v>SIN STOCK</v>
      </c>
    </row>
    <row r="603" spans="1:11">
      <c r="A603" s="16" t="s">
        <v>2908</v>
      </c>
      <c r="B603" s="2" t="str">
        <f>IFERROR(INDEX(Movimientos!$C$2:$C$1993,MATCH(A603&amp;"ENTRADA",Movimientos!$R$2:$R$1993,0)),"-")</f>
        <v>-</v>
      </c>
      <c r="C603" s="2" t="str">
        <f>IFERROR(INDEX(Movimientos!$D$2:$D$1993,MATCH(A603&amp;"ENTRADA",Movimientos!$R$2:$R$1993,0)),"-")</f>
        <v>-</v>
      </c>
      <c r="D603" s="2" t="str">
        <f>IFERROR(INDEX(Movimientos!$E$2:$E$1993,MATCH(A603&amp;"ENTRADA",Movimientos!$R$2:$R$1993,0)),"-")</f>
        <v>-</v>
      </c>
      <c r="E603" s="2" t="str">
        <f>IFERROR(INDEX(Movimientos!$F$2:$F$1993,MATCH(A603&amp;"ENTRADA",Movimientos!$R$2:$R$1993,0)),"-")</f>
        <v>-</v>
      </c>
      <c r="F603" s="2" t="str">
        <f>IFERROR(INDEX(Movimientos!$G$2:$G$1993,MATCH(A603&amp;"ENTRADA",Movimientos!$R$2:$R$1993,0)),"-")</f>
        <v>-</v>
      </c>
      <c r="G603" s="2" t="str">
        <f>IFERROR(INDEX(Movimientos!$L$2:$L$1993,MATCH(A603&amp;"ENTRADA",Movimientos!$R$2:$R$1993,0)),"-")</f>
        <v>-</v>
      </c>
      <c r="H603" s="17" t="str">
        <f>IFERROR(IF(INDEX(Movimientos!$M$2:$M$1993,MATCH(A603&amp;"ENTRADA",Movimientos!$R$2:$R$1993,0))=0,"S/D",INDEX(Movimientos!$M$2:$M$1993,MATCH(A603&amp;"ENTRADA",Movimientos!$R$2:$R$1993,0))),"S/D")</f>
        <v>S/D</v>
      </c>
      <c r="I603" s="15" t="str">
        <f t="shared" ca="1" si="20"/>
        <v>S/D</v>
      </c>
      <c r="J603" s="5">
        <f>IF(A603="","",SUMIFS(Movimientos!$K:$K,Movimientos!$H:$H,A603))</f>
        <v>0</v>
      </c>
      <c r="K603" s="13" t="str">
        <f t="shared" ca="1" si="19"/>
        <v>SIN STOCK</v>
      </c>
    </row>
    <row r="604" spans="1:11">
      <c r="A604" s="16" t="s">
        <v>2909</v>
      </c>
      <c r="B604" s="2" t="str">
        <f>IFERROR(INDEX(Movimientos!$C$2:$C$1993,MATCH(A604&amp;"ENTRADA",Movimientos!$R$2:$R$1993,0)),"-")</f>
        <v>-</v>
      </c>
      <c r="C604" s="2" t="str">
        <f>IFERROR(INDEX(Movimientos!$D$2:$D$1993,MATCH(A604&amp;"ENTRADA",Movimientos!$R$2:$R$1993,0)),"-")</f>
        <v>-</v>
      </c>
      <c r="D604" s="2" t="str">
        <f>IFERROR(INDEX(Movimientos!$E$2:$E$1993,MATCH(A604&amp;"ENTRADA",Movimientos!$R$2:$R$1993,0)),"-")</f>
        <v>-</v>
      </c>
      <c r="E604" s="2" t="str">
        <f>IFERROR(INDEX(Movimientos!$F$2:$F$1993,MATCH(A604&amp;"ENTRADA",Movimientos!$R$2:$R$1993,0)),"-")</f>
        <v>-</v>
      </c>
      <c r="F604" s="2" t="str">
        <f>IFERROR(INDEX(Movimientos!$G$2:$G$1993,MATCH(A604&amp;"ENTRADA",Movimientos!$R$2:$R$1993,0)),"-")</f>
        <v>-</v>
      </c>
      <c r="G604" s="2" t="str">
        <f>IFERROR(INDEX(Movimientos!$L$2:$L$1993,MATCH(A604&amp;"ENTRADA",Movimientos!$R$2:$R$1993,0)),"-")</f>
        <v>-</v>
      </c>
      <c r="H604" s="17" t="str">
        <f>IFERROR(IF(INDEX(Movimientos!$M$2:$M$1993,MATCH(A604&amp;"ENTRADA",Movimientos!$R$2:$R$1993,0))=0,"S/D",INDEX(Movimientos!$M$2:$M$1993,MATCH(A604&amp;"ENTRADA",Movimientos!$R$2:$R$1993,0))),"S/D")</f>
        <v>S/D</v>
      </c>
      <c r="I604" s="15" t="str">
        <f t="shared" ca="1" si="20"/>
        <v>S/D</v>
      </c>
      <c r="J604" s="5">
        <f>IF(A604="","",SUMIFS(Movimientos!$K:$K,Movimientos!$H:$H,A604))</f>
        <v>0</v>
      </c>
      <c r="K604" s="13" t="str">
        <f t="shared" ca="1" si="19"/>
        <v>SIN STOCK</v>
      </c>
    </row>
    <row r="605" spans="1:11">
      <c r="A605" s="16" t="s">
        <v>2910</v>
      </c>
      <c r="B605" s="2" t="str">
        <f>IFERROR(INDEX(Movimientos!$C$2:$C$1993,MATCH(A605&amp;"ENTRADA",Movimientos!$R$2:$R$1993,0)),"-")</f>
        <v>-</v>
      </c>
      <c r="C605" s="2" t="str">
        <f>IFERROR(INDEX(Movimientos!$D$2:$D$1993,MATCH(A605&amp;"ENTRADA",Movimientos!$R$2:$R$1993,0)),"-")</f>
        <v>-</v>
      </c>
      <c r="D605" s="2" t="str">
        <f>IFERROR(INDEX(Movimientos!$E$2:$E$1993,MATCH(A605&amp;"ENTRADA",Movimientos!$R$2:$R$1993,0)),"-")</f>
        <v>-</v>
      </c>
      <c r="E605" s="2" t="str">
        <f>IFERROR(INDEX(Movimientos!$F$2:$F$1993,MATCH(A605&amp;"ENTRADA",Movimientos!$R$2:$R$1993,0)),"-")</f>
        <v>-</v>
      </c>
      <c r="F605" s="2" t="str">
        <f>IFERROR(INDEX(Movimientos!$G$2:$G$1993,MATCH(A605&amp;"ENTRADA",Movimientos!$R$2:$R$1993,0)),"-")</f>
        <v>-</v>
      </c>
      <c r="G605" s="2" t="str">
        <f>IFERROR(INDEX(Movimientos!$L$2:$L$1993,MATCH(A605&amp;"ENTRADA",Movimientos!$R$2:$R$1993,0)),"-")</f>
        <v>-</v>
      </c>
      <c r="H605" s="17" t="str">
        <f>IFERROR(IF(INDEX(Movimientos!$M$2:$M$1993,MATCH(A605&amp;"ENTRADA",Movimientos!$R$2:$R$1993,0))=0,"S/D",INDEX(Movimientos!$M$2:$M$1993,MATCH(A605&amp;"ENTRADA",Movimientos!$R$2:$R$1993,0))),"S/D")</f>
        <v>S/D</v>
      </c>
      <c r="I605" s="15" t="str">
        <f t="shared" ca="1" si="20"/>
        <v>S/D</v>
      </c>
      <c r="J605" s="5">
        <f>IF(A605="","",SUMIFS(Movimientos!$K:$K,Movimientos!$H:$H,A605))</f>
        <v>0</v>
      </c>
      <c r="K605" s="13" t="str">
        <f t="shared" ca="1" si="19"/>
        <v>SIN STOCK</v>
      </c>
    </row>
    <row r="606" spans="1:11">
      <c r="A606" s="16" t="s">
        <v>2911</v>
      </c>
      <c r="B606" s="2" t="str">
        <f>IFERROR(INDEX(Movimientos!$C$2:$C$1993,MATCH(A606&amp;"ENTRADA",Movimientos!$R$2:$R$1993,0)),"-")</f>
        <v>-</v>
      </c>
      <c r="C606" s="2" t="str">
        <f>IFERROR(INDEX(Movimientos!$D$2:$D$1993,MATCH(A606&amp;"ENTRADA",Movimientos!$R$2:$R$1993,0)),"-")</f>
        <v>-</v>
      </c>
      <c r="D606" s="2" t="str">
        <f>IFERROR(INDEX(Movimientos!$E$2:$E$1993,MATCH(A606&amp;"ENTRADA",Movimientos!$R$2:$R$1993,0)),"-")</f>
        <v>-</v>
      </c>
      <c r="E606" s="2" t="str">
        <f>IFERROR(INDEX(Movimientos!$F$2:$F$1993,MATCH(A606&amp;"ENTRADA",Movimientos!$R$2:$R$1993,0)),"-")</f>
        <v>-</v>
      </c>
      <c r="F606" s="2" t="str">
        <f>IFERROR(INDEX(Movimientos!$G$2:$G$1993,MATCH(A606&amp;"ENTRADA",Movimientos!$R$2:$R$1993,0)),"-")</f>
        <v>-</v>
      </c>
      <c r="G606" s="2" t="str">
        <f>IFERROR(INDEX(Movimientos!$L$2:$L$1993,MATCH(A606&amp;"ENTRADA",Movimientos!$R$2:$R$1993,0)),"-")</f>
        <v>-</v>
      </c>
      <c r="H606" s="17" t="str">
        <f>IFERROR(IF(INDEX(Movimientos!$M$2:$M$1993,MATCH(A606&amp;"ENTRADA",Movimientos!$R$2:$R$1993,0))=0,"S/D",INDEX(Movimientos!$M$2:$M$1993,MATCH(A606&amp;"ENTRADA",Movimientos!$R$2:$R$1993,0))),"S/D")</f>
        <v>S/D</v>
      </c>
      <c r="I606" s="15" t="str">
        <f t="shared" ca="1" si="20"/>
        <v>S/D</v>
      </c>
      <c r="J606" s="5">
        <f>IF(A606="","",SUMIFS(Movimientos!$K:$K,Movimientos!$H:$H,A606))</f>
        <v>0</v>
      </c>
      <c r="K606" s="13" t="str">
        <f t="shared" ca="1" si="19"/>
        <v>SIN STOCK</v>
      </c>
    </row>
    <row r="607" spans="1:11">
      <c r="A607" s="16" t="s">
        <v>2912</v>
      </c>
      <c r="B607" s="2" t="str">
        <f>IFERROR(INDEX(Movimientos!$C$2:$C$1993,MATCH(A607&amp;"ENTRADA",Movimientos!$R$2:$R$1993,0)),"-")</f>
        <v>-</v>
      </c>
      <c r="C607" s="2" t="str">
        <f>IFERROR(INDEX(Movimientos!$D$2:$D$1993,MATCH(A607&amp;"ENTRADA",Movimientos!$R$2:$R$1993,0)),"-")</f>
        <v>-</v>
      </c>
      <c r="D607" s="2" t="str">
        <f>IFERROR(INDEX(Movimientos!$E$2:$E$1993,MATCH(A607&amp;"ENTRADA",Movimientos!$R$2:$R$1993,0)),"-")</f>
        <v>-</v>
      </c>
      <c r="E607" s="2" t="str">
        <f>IFERROR(INDEX(Movimientos!$F$2:$F$1993,MATCH(A607&amp;"ENTRADA",Movimientos!$R$2:$R$1993,0)),"-")</f>
        <v>-</v>
      </c>
      <c r="F607" s="2" t="str">
        <f>IFERROR(INDEX(Movimientos!$G$2:$G$1993,MATCH(A607&amp;"ENTRADA",Movimientos!$R$2:$R$1993,0)),"-")</f>
        <v>-</v>
      </c>
      <c r="G607" s="2" t="str">
        <f>IFERROR(INDEX(Movimientos!$L$2:$L$1993,MATCH(A607&amp;"ENTRADA",Movimientos!$R$2:$R$1993,0)),"-")</f>
        <v>-</v>
      </c>
      <c r="H607" s="17" t="str">
        <f>IFERROR(IF(INDEX(Movimientos!$M$2:$M$1993,MATCH(A607&amp;"ENTRADA",Movimientos!$R$2:$R$1993,0))=0,"S/D",INDEX(Movimientos!$M$2:$M$1993,MATCH(A607&amp;"ENTRADA",Movimientos!$R$2:$R$1993,0))),"S/D")</f>
        <v>S/D</v>
      </c>
      <c r="I607" s="15" t="str">
        <f t="shared" ca="1" si="20"/>
        <v>S/D</v>
      </c>
      <c r="J607" s="5">
        <f>IF(A607="","",SUMIFS(Movimientos!$K:$K,Movimientos!$H:$H,A607))</f>
        <v>0</v>
      </c>
      <c r="K607" s="13" t="str">
        <f t="shared" ca="1" si="19"/>
        <v>SIN STOCK</v>
      </c>
    </row>
    <row r="608" spans="1:11">
      <c r="A608" s="16" t="s">
        <v>2913</v>
      </c>
      <c r="B608" s="2" t="str">
        <f>IFERROR(INDEX(Movimientos!$C$2:$C$1993,MATCH(A608&amp;"ENTRADA",Movimientos!$R$2:$R$1993,0)),"-")</f>
        <v>-</v>
      </c>
      <c r="C608" s="2" t="str">
        <f>IFERROR(INDEX(Movimientos!$D$2:$D$1993,MATCH(A608&amp;"ENTRADA",Movimientos!$R$2:$R$1993,0)),"-")</f>
        <v>-</v>
      </c>
      <c r="D608" s="2" t="str">
        <f>IFERROR(INDEX(Movimientos!$E$2:$E$1993,MATCH(A608&amp;"ENTRADA",Movimientos!$R$2:$R$1993,0)),"-")</f>
        <v>-</v>
      </c>
      <c r="E608" s="2" t="str">
        <f>IFERROR(INDEX(Movimientos!$F$2:$F$1993,MATCH(A608&amp;"ENTRADA",Movimientos!$R$2:$R$1993,0)),"-")</f>
        <v>-</v>
      </c>
      <c r="F608" s="2" t="str">
        <f>IFERROR(INDEX(Movimientos!$G$2:$G$1993,MATCH(A608&amp;"ENTRADA",Movimientos!$R$2:$R$1993,0)),"-")</f>
        <v>-</v>
      </c>
      <c r="G608" s="2" t="str">
        <f>IFERROR(INDEX(Movimientos!$L$2:$L$1993,MATCH(A608&amp;"ENTRADA",Movimientos!$R$2:$R$1993,0)),"-")</f>
        <v>-</v>
      </c>
      <c r="H608" s="17" t="str">
        <f>IFERROR(IF(INDEX(Movimientos!$M$2:$M$1993,MATCH(A608&amp;"ENTRADA",Movimientos!$R$2:$R$1993,0))=0,"S/D",INDEX(Movimientos!$M$2:$M$1993,MATCH(A608&amp;"ENTRADA",Movimientos!$R$2:$R$1993,0))),"S/D")</f>
        <v>S/D</v>
      </c>
      <c r="I608" s="15" t="str">
        <f t="shared" ca="1" si="20"/>
        <v>S/D</v>
      </c>
      <c r="J608" s="5">
        <f>IF(A608="","",SUMIFS(Movimientos!$K:$K,Movimientos!$H:$H,A608))</f>
        <v>0</v>
      </c>
      <c r="K608" s="13" t="str">
        <f t="shared" ca="1" si="19"/>
        <v>SIN STOCK</v>
      </c>
    </row>
    <row r="609" spans="1:11">
      <c r="A609" s="16" t="s">
        <v>2914</v>
      </c>
      <c r="B609" s="2" t="str">
        <f>IFERROR(INDEX(Movimientos!$C$2:$C$1993,MATCH(A609&amp;"ENTRADA",Movimientos!$R$2:$R$1993,0)),"-")</f>
        <v>-</v>
      </c>
      <c r="C609" s="2" t="str">
        <f>IFERROR(INDEX(Movimientos!$D$2:$D$1993,MATCH(A609&amp;"ENTRADA",Movimientos!$R$2:$R$1993,0)),"-")</f>
        <v>-</v>
      </c>
      <c r="D609" s="2" t="str">
        <f>IFERROR(INDEX(Movimientos!$E$2:$E$1993,MATCH(A609&amp;"ENTRADA",Movimientos!$R$2:$R$1993,0)),"-")</f>
        <v>-</v>
      </c>
      <c r="E609" s="2" t="str">
        <f>IFERROR(INDEX(Movimientos!$F$2:$F$1993,MATCH(A609&amp;"ENTRADA",Movimientos!$R$2:$R$1993,0)),"-")</f>
        <v>-</v>
      </c>
      <c r="F609" s="2" t="str">
        <f>IFERROR(INDEX(Movimientos!$G$2:$G$1993,MATCH(A609&amp;"ENTRADA",Movimientos!$R$2:$R$1993,0)),"-")</f>
        <v>-</v>
      </c>
      <c r="G609" s="2" t="str">
        <f>IFERROR(INDEX(Movimientos!$L$2:$L$1993,MATCH(A609&amp;"ENTRADA",Movimientos!$R$2:$R$1993,0)),"-")</f>
        <v>-</v>
      </c>
      <c r="H609" s="17" t="str">
        <f>IFERROR(IF(INDEX(Movimientos!$M$2:$M$1993,MATCH(A609&amp;"ENTRADA",Movimientos!$R$2:$R$1993,0))=0,"S/D",INDEX(Movimientos!$M$2:$M$1993,MATCH(A609&amp;"ENTRADA",Movimientos!$R$2:$R$1993,0))),"S/D")</f>
        <v>S/D</v>
      </c>
      <c r="I609" s="15" t="str">
        <f t="shared" ca="1" si="20"/>
        <v>S/D</v>
      </c>
      <c r="J609" s="5">
        <f>IF(A609="","",SUMIFS(Movimientos!$K:$K,Movimientos!$H:$H,A609))</f>
        <v>0</v>
      </c>
      <c r="K609" s="13" t="str">
        <f t="shared" ca="1" si="19"/>
        <v>SIN STOCK</v>
      </c>
    </row>
    <row r="610" spans="1:11">
      <c r="A610" s="16" t="s">
        <v>2915</v>
      </c>
      <c r="B610" s="2" t="str">
        <f>IFERROR(INDEX(Movimientos!$C$2:$C$1993,MATCH(A610&amp;"ENTRADA",Movimientos!$R$2:$R$1993,0)),"-")</f>
        <v>-</v>
      </c>
      <c r="C610" s="2" t="str">
        <f>IFERROR(INDEX(Movimientos!$D$2:$D$1993,MATCH(A610&amp;"ENTRADA",Movimientos!$R$2:$R$1993,0)),"-")</f>
        <v>-</v>
      </c>
      <c r="D610" s="2" t="str">
        <f>IFERROR(INDEX(Movimientos!$E$2:$E$1993,MATCH(A610&amp;"ENTRADA",Movimientos!$R$2:$R$1993,0)),"-")</f>
        <v>-</v>
      </c>
      <c r="E610" s="2" t="str">
        <f>IFERROR(INDEX(Movimientos!$F$2:$F$1993,MATCH(A610&amp;"ENTRADA",Movimientos!$R$2:$R$1993,0)),"-")</f>
        <v>-</v>
      </c>
      <c r="F610" s="2" t="str">
        <f>IFERROR(INDEX(Movimientos!$G$2:$G$1993,MATCH(A610&amp;"ENTRADA",Movimientos!$R$2:$R$1993,0)),"-")</f>
        <v>-</v>
      </c>
      <c r="G610" s="2" t="str">
        <f>IFERROR(INDEX(Movimientos!$L$2:$L$1993,MATCH(A610&amp;"ENTRADA",Movimientos!$R$2:$R$1993,0)),"-")</f>
        <v>-</v>
      </c>
      <c r="H610" s="17" t="str">
        <f>IFERROR(IF(INDEX(Movimientos!$M$2:$M$1993,MATCH(A610&amp;"ENTRADA",Movimientos!$R$2:$R$1993,0))=0,"S/D",INDEX(Movimientos!$M$2:$M$1993,MATCH(A610&amp;"ENTRADA",Movimientos!$R$2:$R$1993,0))),"S/D")</f>
        <v>S/D</v>
      </c>
      <c r="I610" s="15" t="str">
        <f t="shared" ca="1" si="20"/>
        <v>S/D</v>
      </c>
      <c r="J610" s="5">
        <f>IF(A610="","",SUMIFS(Movimientos!$K:$K,Movimientos!$H:$H,A610))</f>
        <v>0</v>
      </c>
      <c r="K610" s="13" t="str">
        <f t="shared" ca="1" si="19"/>
        <v>SIN STOCK</v>
      </c>
    </row>
    <row r="611" spans="1:11">
      <c r="A611" s="16" t="s">
        <v>2916</v>
      </c>
      <c r="B611" s="2" t="str">
        <f>IFERROR(INDEX(Movimientos!$C$2:$C$1993,MATCH(A611&amp;"ENTRADA",Movimientos!$R$2:$R$1993,0)),"-")</f>
        <v>-</v>
      </c>
      <c r="C611" s="2" t="str">
        <f>IFERROR(INDEX(Movimientos!$D$2:$D$1993,MATCH(A611&amp;"ENTRADA",Movimientos!$R$2:$R$1993,0)),"-")</f>
        <v>-</v>
      </c>
      <c r="D611" s="2" t="str">
        <f>IFERROR(INDEX(Movimientos!$E$2:$E$1993,MATCH(A611&amp;"ENTRADA",Movimientos!$R$2:$R$1993,0)),"-")</f>
        <v>-</v>
      </c>
      <c r="E611" s="2" t="str">
        <f>IFERROR(INDEX(Movimientos!$F$2:$F$1993,MATCH(A611&amp;"ENTRADA",Movimientos!$R$2:$R$1993,0)),"-")</f>
        <v>-</v>
      </c>
      <c r="F611" s="2" t="str">
        <f>IFERROR(INDEX(Movimientos!$G$2:$G$1993,MATCH(A611&amp;"ENTRADA",Movimientos!$R$2:$R$1993,0)),"-")</f>
        <v>-</v>
      </c>
      <c r="G611" s="2" t="str">
        <f>IFERROR(INDEX(Movimientos!$L$2:$L$1993,MATCH(A611&amp;"ENTRADA",Movimientos!$R$2:$R$1993,0)),"-")</f>
        <v>-</v>
      </c>
      <c r="H611" s="17" t="str">
        <f>IFERROR(IF(INDEX(Movimientos!$M$2:$M$1993,MATCH(A611&amp;"ENTRADA",Movimientos!$R$2:$R$1993,0))=0,"S/D",INDEX(Movimientos!$M$2:$M$1993,MATCH(A611&amp;"ENTRADA",Movimientos!$R$2:$R$1993,0))),"S/D")</f>
        <v>S/D</v>
      </c>
      <c r="I611" s="15" t="str">
        <f t="shared" ca="1" si="20"/>
        <v>S/D</v>
      </c>
      <c r="J611" s="5">
        <f>IF(A611="","",SUMIFS(Movimientos!$K:$K,Movimientos!$H:$H,A611))</f>
        <v>0</v>
      </c>
      <c r="K611" s="13" t="str">
        <f t="shared" ca="1" si="19"/>
        <v>SIN STOCK</v>
      </c>
    </row>
    <row r="612" spans="1:11">
      <c r="A612" s="16" t="s">
        <v>2917</v>
      </c>
      <c r="B612" s="2" t="str">
        <f>IFERROR(INDEX(Movimientos!$C$2:$C$1993,MATCH(A612&amp;"ENTRADA",Movimientos!$R$2:$R$1993,0)),"-")</f>
        <v>-</v>
      </c>
      <c r="C612" s="2" t="str">
        <f>IFERROR(INDEX(Movimientos!$D$2:$D$1993,MATCH(A612&amp;"ENTRADA",Movimientos!$R$2:$R$1993,0)),"-")</f>
        <v>-</v>
      </c>
      <c r="D612" s="2" t="str">
        <f>IFERROR(INDEX(Movimientos!$E$2:$E$1993,MATCH(A612&amp;"ENTRADA",Movimientos!$R$2:$R$1993,0)),"-")</f>
        <v>-</v>
      </c>
      <c r="E612" s="2" t="str">
        <f>IFERROR(INDEX(Movimientos!$F$2:$F$1993,MATCH(A612&amp;"ENTRADA",Movimientos!$R$2:$R$1993,0)),"-")</f>
        <v>-</v>
      </c>
      <c r="F612" s="2" t="str">
        <f>IFERROR(INDEX(Movimientos!$G$2:$G$1993,MATCH(A612&amp;"ENTRADA",Movimientos!$R$2:$R$1993,0)),"-")</f>
        <v>-</v>
      </c>
      <c r="G612" s="2" t="str">
        <f>IFERROR(INDEX(Movimientos!$L$2:$L$1993,MATCH(A612&amp;"ENTRADA",Movimientos!$R$2:$R$1993,0)),"-")</f>
        <v>-</v>
      </c>
      <c r="H612" s="17" t="str">
        <f>IFERROR(IF(INDEX(Movimientos!$M$2:$M$1993,MATCH(A612&amp;"ENTRADA",Movimientos!$R$2:$R$1993,0))=0,"S/D",INDEX(Movimientos!$M$2:$M$1993,MATCH(A612&amp;"ENTRADA",Movimientos!$R$2:$R$1993,0))),"S/D")</f>
        <v>S/D</v>
      </c>
      <c r="I612" s="15" t="str">
        <f t="shared" ca="1" si="20"/>
        <v>S/D</v>
      </c>
      <c r="J612" s="5">
        <f>IF(A612="","",SUMIFS(Movimientos!$K:$K,Movimientos!$H:$H,A612))</f>
        <v>0</v>
      </c>
      <c r="K612" s="13" t="str">
        <f t="shared" ca="1" si="19"/>
        <v>SIN STOCK</v>
      </c>
    </row>
    <row r="613" spans="1:11">
      <c r="A613" s="16" t="s">
        <v>2918</v>
      </c>
      <c r="B613" s="2" t="str">
        <f>IFERROR(INDEX(Movimientos!$C$2:$C$1993,MATCH(A613&amp;"ENTRADA",Movimientos!$R$2:$R$1993,0)),"-")</f>
        <v>-</v>
      </c>
      <c r="C613" s="2" t="str">
        <f>IFERROR(INDEX(Movimientos!$D$2:$D$1993,MATCH(A613&amp;"ENTRADA",Movimientos!$R$2:$R$1993,0)),"-")</f>
        <v>-</v>
      </c>
      <c r="D613" s="2" t="str">
        <f>IFERROR(INDEX(Movimientos!$E$2:$E$1993,MATCH(A613&amp;"ENTRADA",Movimientos!$R$2:$R$1993,0)),"-")</f>
        <v>-</v>
      </c>
      <c r="E613" s="2" t="str">
        <f>IFERROR(INDEX(Movimientos!$F$2:$F$1993,MATCH(A613&amp;"ENTRADA",Movimientos!$R$2:$R$1993,0)),"-")</f>
        <v>-</v>
      </c>
      <c r="F613" s="2" t="str">
        <f>IFERROR(INDEX(Movimientos!$G$2:$G$1993,MATCH(A613&amp;"ENTRADA",Movimientos!$R$2:$R$1993,0)),"-")</f>
        <v>-</v>
      </c>
      <c r="G613" s="2" t="str">
        <f>IFERROR(INDEX(Movimientos!$L$2:$L$1993,MATCH(A613&amp;"ENTRADA",Movimientos!$R$2:$R$1993,0)),"-")</f>
        <v>-</v>
      </c>
      <c r="H613" s="17" t="str">
        <f>IFERROR(IF(INDEX(Movimientos!$M$2:$M$1993,MATCH(A613&amp;"ENTRADA",Movimientos!$R$2:$R$1993,0))=0,"S/D",INDEX(Movimientos!$M$2:$M$1993,MATCH(A613&amp;"ENTRADA",Movimientos!$R$2:$R$1993,0))),"S/D")</f>
        <v>S/D</v>
      </c>
      <c r="I613" s="15" t="str">
        <f t="shared" ca="1" si="20"/>
        <v>S/D</v>
      </c>
      <c r="J613" s="5">
        <f>IF(A613="","",SUMIFS(Movimientos!$K:$K,Movimientos!$H:$H,A613))</f>
        <v>0</v>
      </c>
      <c r="K613" s="13" t="str">
        <f t="shared" ca="1" si="19"/>
        <v>SIN STOCK</v>
      </c>
    </row>
    <row r="614" spans="1:11">
      <c r="A614" s="16" t="s">
        <v>2919</v>
      </c>
      <c r="B614" s="2" t="str">
        <f>IFERROR(INDEX(Movimientos!$C$2:$C$1993,MATCH(A614&amp;"ENTRADA",Movimientos!$R$2:$R$1993,0)),"-")</f>
        <v>-</v>
      </c>
      <c r="C614" s="2" t="str">
        <f>IFERROR(INDEX(Movimientos!$D$2:$D$1993,MATCH(A614&amp;"ENTRADA",Movimientos!$R$2:$R$1993,0)),"-")</f>
        <v>-</v>
      </c>
      <c r="D614" s="2" t="str">
        <f>IFERROR(INDEX(Movimientos!$E$2:$E$1993,MATCH(A614&amp;"ENTRADA",Movimientos!$R$2:$R$1993,0)),"-")</f>
        <v>-</v>
      </c>
      <c r="E614" s="2" t="str">
        <f>IFERROR(INDEX(Movimientos!$F$2:$F$1993,MATCH(A614&amp;"ENTRADA",Movimientos!$R$2:$R$1993,0)),"-")</f>
        <v>-</v>
      </c>
      <c r="F614" s="2" t="str">
        <f>IFERROR(INDEX(Movimientos!$G$2:$G$1993,MATCH(A614&amp;"ENTRADA",Movimientos!$R$2:$R$1993,0)),"-")</f>
        <v>-</v>
      </c>
      <c r="G614" s="2" t="str">
        <f>IFERROR(INDEX(Movimientos!$L$2:$L$1993,MATCH(A614&amp;"ENTRADA",Movimientos!$R$2:$R$1993,0)),"-")</f>
        <v>-</v>
      </c>
      <c r="H614" s="17" t="str">
        <f>IFERROR(IF(INDEX(Movimientos!$M$2:$M$1993,MATCH(A614&amp;"ENTRADA",Movimientos!$R$2:$R$1993,0))=0,"S/D",INDEX(Movimientos!$M$2:$M$1993,MATCH(A614&amp;"ENTRADA",Movimientos!$R$2:$R$1993,0))),"S/D")</f>
        <v>S/D</v>
      </c>
      <c r="I614" s="15" t="str">
        <f t="shared" ca="1" si="20"/>
        <v>S/D</v>
      </c>
      <c r="J614" s="5">
        <f>IF(A614="","",SUMIFS(Movimientos!$K:$K,Movimientos!$H:$H,A614))</f>
        <v>0</v>
      </c>
      <c r="K614" s="13" t="str">
        <f t="shared" ca="1" si="19"/>
        <v>SIN STOCK</v>
      </c>
    </row>
    <row r="615" spans="1:11">
      <c r="A615" s="16" t="s">
        <v>2920</v>
      </c>
      <c r="B615" s="2" t="str">
        <f>IFERROR(INDEX(Movimientos!$C$2:$C$1993,MATCH(A615&amp;"ENTRADA",Movimientos!$R$2:$R$1993,0)),"-")</f>
        <v>-</v>
      </c>
      <c r="C615" s="2" t="str">
        <f>IFERROR(INDEX(Movimientos!$D$2:$D$1993,MATCH(A615&amp;"ENTRADA",Movimientos!$R$2:$R$1993,0)),"-")</f>
        <v>-</v>
      </c>
      <c r="D615" s="2" t="str">
        <f>IFERROR(INDEX(Movimientos!$E$2:$E$1993,MATCH(A615&amp;"ENTRADA",Movimientos!$R$2:$R$1993,0)),"-")</f>
        <v>-</v>
      </c>
      <c r="E615" s="2" t="str">
        <f>IFERROR(INDEX(Movimientos!$F$2:$F$1993,MATCH(A615&amp;"ENTRADA",Movimientos!$R$2:$R$1993,0)),"-")</f>
        <v>-</v>
      </c>
      <c r="F615" s="2" t="str">
        <f>IFERROR(INDEX(Movimientos!$G$2:$G$1993,MATCH(A615&amp;"ENTRADA",Movimientos!$R$2:$R$1993,0)),"-")</f>
        <v>-</v>
      </c>
      <c r="G615" s="2" t="str">
        <f>IFERROR(INDEX(Movimientos!$L$2:$L$1993,MATCH(A615&amp;"ENTRADA",Movimientos!$R$2:$R$1993,0)),"-")</f>
        <v>-</v>
      </c>
      <c r="H615" s="17" t="str">
        <f>IFERROR(IF(INDEX(Movimientos!$M$2:$M$1993,MATCH(A615&amp;"ENTRADA",Movimientos!$R$2:$R$1993,0))=0,"S/D",INDEX(Movimientos!$M$2:$M$1993,MATCH(A615&amp;"ENTRADA",Movimientos!$R$2:$R$1993,0))),"S/D")</f>
        <v>S/D</v>
      </c>
      <c r="I615" s="15" t="str">
        <f t="shared" ca="1" si="20"/>
        <v>S/D</v>
      </c>
      <c r="J615" s="5">
        <f>IF(A615="","",SUMIFS(Movimientos!$K:$K,Movimientos!$H:$H,A615))</f>
        <v>0</v>
      </c>
      <c r="K615" s="13" t="str">
        <f t="shared" ca="1" si="19"/>
        <v>SIN STOCK</v>
      </c>
    </row>
    <row r="616" spans="1:11">
      <c r="A616" s="16" t="s">
        <v>2921</v>
      </c>
      <c r="B616" s="2" t="str">
        <f>IFERROR(INDEX(Movimientos!$C$2:$C$1993,MATCH(A616&amp;"ENTRADA",Movimientos!$R$2:$R$1993,0)),"-")</f>
        <v>-</v>
      </c>
      <c r="C616" s="2" t="str">
        <f>IFERROR(INDEX(Movimientos!$D$2:$D$1993,MATCH(A616&amp;"ENTRADA",Movimientos!$R$2:$R$1993,0)),"-")</f>
        <v>-</v>
      </c>
      <c r="D616" s="2" t="str">
        <f>IFERROR(INDEX(Movimientos!$E$2:$E$1993,MATCH(A616&amp;"ENTRADA",Movimientos!$R$2:$R$1993,0)),"-")</f>
        <v>-</v>
      </c>
      <c r="E616" s="2" t="str">
        <f>IFERROR(INDEX(Movimientos!$F$2:$F$1993,MATCH(A616&amp;"ENTRADA",Movimientos!$R$2:$R$1993,0)),"-")</f>
        <v>-</v>
      </c>
      <c r="F616" s="2" t="str">
        <f>IFERROR(INDEX(Movimientos!$G$2:$G$1993,MATCH(A616&amp;"ENTRADA",Movimientos!$R$2:$R$1993,0)),"-")</f>
        <v>-</v>
      </c>
      <c r="G616" s="2" t="str">
        <f>IFERROR(INDEX(Movimientos!$L$2:$L$1993,MATCH(A616&amp;"ENTRADA",Movimientos!$R$2:$R$1993,0)),"-")</f>
        <v>-</v>
      </c>
      <c r="H616" s="17" t="str">
        <f>IFERROR(IF(INDEX(Movimientos!$M$2:$M$1993,MATCH(A616&amp;"ENTRADA",Movimientos!$R$2:$R$1993,0))=0,"S/D",INDEX(Movimientos!$M$2:$M$1993,MATCH(A616&amp;"ENTRADA",Movimientos!$R$2:$R$1993,0))),"S/D")</f>
        <v>S/D</v>
      </c>
      <c r="I616" s="15" t="str">
        <f t="shared" ca="1" si="20"/>
        <v>S/D</v>
      </c>
      <c r="J616" s="5">
        <f>IF(A616="","",SUMIFS(Movimientos!$K:$K,Movimientos!$H:$H,A616))</f>
        <v>0</v>
      </c>
      <c r="K616" s="13" t="str">
        <f t="shared" ca="1" si="19"/>
        <v>SIN STOCK</v>
      </c>
    </row>
    <row r="617" spans="1:11">
      <c r="A617" s="16" t="s">
        <v>2922</v>
      </c>
      <c r="B617" s="2" t="str">
        <f>IFERROR(INDEX(Movimientos!$C$2:$C$1993,MATCH(A617&amp;"ENTRADA",Movimientos!$R$2:$R$1993,0)),"-")</f>
        <v>-</v>
      </c>
      <c r="C617" s="2" t="str">
        <f>IFERROR(INDEX(Movimientos!$D$2:$D$1993,MATCH(A617&amp;"ENTRADA",Movimientos!$R$2:$R$1993,0)),"-")</f>
        <v>-</v>
      </c>
      <c r="D617" s="2" t="str">
        <f>IFERROR(INDEX(Movimientos!$E$2:$E$1993,MATCH(A617&amp;"ENTRADA",Movimientos!$R$2:$R$1993,0)),"-")</f>
        <v>-</v>
      </c>
      <c r="E617" s="2" t="str">
        <f>IFERROR(INDEX(Movimientos!$F$2:$F$1993,MATCH(A617&amp;"ENTRADA",Movimientos!$R$2:$R$1993,0)),"-")</f>
        <v>-</v>
      </c>
      <c r="F617" s="2" t="str">
        <f>IFERROR(INDEX(Movimientos!$G$2:$G$1993,MATCH(A617&amp;"ENTRADA",Movimientos!$R$2:$R$1993,0)),"-")</f>
        <v>-</v>
      </c>
      <c r="G617" s="2" t="str">
        <f>IFERROR(INDEX(Movimientos!$L$2:$L$1993,MATCH(A617&amp;"ENTRADA",Movimientos!$R$2:$R$1993,0)),"-")</f>
        <v>-</v>
      </c>
      <c r="H617" s="17" t="str">
        <f>IFERROR(IF(INDEX(Movimientos!$M$2:$M$1993,MATCH(A617&amp;"ENTRADA",Movimientos!$R$2:$R$1993,0))=0,"S/D",INDEX(Movimientos!$M$2:$M$1993,MATCH(A617&amp;"ENTRADA",Movimientos!$R$2:$R$1993,0))),"S/D")</f>
        <v>S/D</v>
      </c>
      <c r="I617" s="15" t="str">
        <f t="shared" ca="1" si="20"/>
        <v>S/D</v>
      </c>
      <c r="J617" s="5">
        <f>IF(A617="","",SUMIFS(Movimientos!$K:$K,Movimientos!$H:$H,A617))</f>
        <v>0</v>
      </c>
      <c r="K617" s="13" t="str">
        <f t="shared" ca="1" si="19"/>
        <v>SIN STOCK</v>
      </c>
    </row>
    <row r="618" spans="1:11">
      <c r="A618" s="16" t="s">
        <v>2923</v>
      </c>
      <c r="B618" s="2" t="str">
        <f>IFERROR(INDEX(Movimientos!$C$2:$C$1993,MATCH(A618&amp;"ENTRADA",Movimientos!$R$2:$R$1993,0)),"-")</f>
        <v>-</v>
      </c>
      <c r="C618" s="2" t="str">
        <f>IFERROR(INDEX(Movimientos!$D$2:$D$1993,MATCH(A618&amp;"ENTRADA",Movimientos!$R$2:$R$1993,0)),"-")</f>
        <v>-</v>
      </c>
      <c r="D618" s="2" t="str">
        <f>IFERROR(INDEX(Movimientos!$E$2:$E$1993,MATCH(A618&amp;"ENTRADA",Movimientos!$R$2:$R$1993,0)),"-")</f>
        <v>-</v>
      </c>
      <c r="E618" s="2" t="str">
        <f>IFERROR(INDEX(Movimientos!$F$2:$F$1993,MATCH(A618&amp;"ENTRADA",Movimientos!$R$2:$R$1993,0)),"-")</f>
        <v>-</v>
      </c>
      <c r="F618" s="2" t="str">
        <f>IFERROR(INDEX(Movimientos!$G$2:$G$1993,MATCH(A618&amp;"ENTRADA",Movimientos!$R$2:$R$1993,0)),"-")</f>
        <v>-</v>
      </c>
      <c r="G618" s="2" t="str">
        <f>IFERROR(INDEX(Movimientos!$L$2:$L$1993,MATCH(A618&amp;"ENTRADA",Movimientos!$R$2:$R$1993,0)),"-")</f>
        <v>-</v>
      </c>
      <c r="H618" s="17" t="str">
        <f>IFERROR(IF(INDEX(Movimientos!$M$2:$M$1993,MATCH(A618&amp;"ENTRADA",Movimientos!$R$2:$R$1993,0))=0,"S/D",INDEX(Movimientos!$M$2:$M$1993,MATCH(A618&amp;"ENTRADA",Movimientos!$R$2:$R$1993,0))),"S/D")</f>
        <v>S/D</v>
      </c>
      <c r="I618" s="15" t="str">
        <f t="shared" ca="1" si="20"/>
        <v>S/D</v>
      </c>
      <c r="J618" s="5">
        <f>IF(A618="","",SUMIFS(Movimientos!$K:$K,Movimientos!$H:$H,A618))</f>
        <v>0</v>
      </c>
      <c r="K618" s="13" t="str">
        <f t="shared" ca="1" si="19"/>
        <v>SIN STOCK</v>
      </c>
    </row>
    <row r="619" spans="1:11">
      <c r="A619" s="16" t="s">
        <v>2924</v>
      </c>
      <c r="B619" s="2" t="str">
        <f>IFERROR(INDEX(Movimientos!$C$2:$C$1993,MATCH(A619&amp;"ENTRADA",Movimientos!$R$2:$R$1993,0)),"-")</f>
        <v>-</v>
      </c>
      <c r="C619" s="2" t="str">
        <f>IFERROR(INDEX(Movimientos!$D$2:$D$1993,MATCH(A619&amp;"ENTRADA",Movimientos!$R$2:$R$1993,0)),"-")</f>
        <v>-</v>
      </c>
      <c r="D619" s="2" t="str">
        <f>IFERROR(INDEX(Movimientos!$E$2:$E$1993,MATCH(A619&amp;"ENTRADA",Movimientos!$R$2:$R$1993,0)),"-")</f>
        <v>-</v>
      </c>
      <c r="E619" s="2" t="str">
        <f>IFERROR(INDEX(Movimientos!$F$2:$F$1993,MATCH(A619&amp;"ENTRADA",Movimientos!$R$2:$R$1993,0)),"-")</f>
        <v>-</v>
      </c>
      <c r="F619" s="2" t="str">
        <f>IFERROR(INDEX(Movimientos!$G$2:$G$1993,MATCH(A619&amp;"ENTRADA",Movimientos!$R$2:$R$1993,0)),"-")</f>
        <v>-</v>
      </c>
      <c r="G619" s="2" t="str">
        <f>IFERROR(INDEX(Movimientos!$L$2:$L$1993,MATCH(A619&amp;"ENTRADA",Movimientos!$R$2:$R$1993,0)),"-")</f>
        <v>-</v>
      </c>
      <c r="H619" s="17" t="str">
        <f>IFERROR(IF(INDEX(Movimientos!$M$2:$M$1993,MATCH(A619&amp;"ENTRADA",Movimientos!$R$2:$R$1993,0))=0,"S/D",INDEX(Movimientos!$M$2:$M$1993,MATCH(A619&amp;"ENTRADA",Movimientos!$R$2:$R$1993,0))),"S/D")</f>
        <v>S/D</v>
      </c>
      <c r="I619" s="15" t="str">
        <f t="shared" ca="1" si="20"/>
        <v>S/D</v>
      </c>
      <c r="J619" s="5">
        <f>IF(A619="","",SUMIFS(Movimientos!$K:$K,Movimientos!$H:$H,A619))</f>
        <v>0</v>
      </c>
      <c r="K619" s="13" t="str">
        <f t="shared" ca="1" si="19"/>
        <v>SIN STOCK</v>
      </c>
    </row>
    <row r="620" spans="1:11">
      <c r="A620" s="16" t="s">
        <v>2925</v>
      </c>
      <c r="B620" s="2" t="str">
        <f>IFERROR(INDEX(Movimientos!$C$2:$C$1993,MATCH(A620&amp;"ENTRADA",Movimientos!$R$2:$R$1993,0)),"-")</f>
        <v>-</v>
      </c>
      <c r="C620" s="2" t="str">
        <f>IFERROR(INDEX(Movimientos!$D$2:$D$1993,MATCH(A620&amp;"ENTRADA",Movimientos!$R$2:$R$1993,0)),"-")</f>
        <v>-</v>
      </c>
      <c r="D620" s="2" t="str">
        <f>IFERROR(INDEX(Movimientos!$E$2:$E$1993,MATCH(A620&amp;"ENTRADA",Movimientos!$R$2:$R$1993,0)),"-")</f>
        <v>-</v>
      </c>
      <c r="E620" s="2" t="str">
        <f>IFERROR(INDEX(Movimientos!$F$2:$F$1993,MATCH(A620&amp;"ENTRADA",Movimientos!$R$2:$R$1993,0)),"-")</f>
        <v>-</v>
      </c>
      <c r="F620" s="2" t="str">
        <f>IFERROR(INDEX(Movimientos!$G$2:$G$1993,MATCH(A620&amp;"ENTRADA",Movimientos!$R$2:$R$1993,0)),"-")</f>
        <v>-</v>
      </c>
      <c r="G620" s="2" t="str">
        <f>IFERROR(INDEX(Movimientos!$L$2:$L$1993,MATCH(A620&amp;"ENTRADA",Movimientos!$R$2:$R$1993,0)),"-")</f>
        <v>-</v>
      </c>
      <c r="H620" s="17" t="str">
        <f>IFERROR(IF(INDEX(Movimientos!$M$2:$M$1993,MATCH(A620&amp;"ENTRADA",Movimientos!$R$2:$R$1993,0))=0,"S/D",INDEX(Movimientos!$M$2:$M$1993,MATCH(A620&amp;"ENTRADA",Movimientos!$R$2:$R$1993,0))),"S/D")</f>
        <v>S/D</v>
      </c>
      <c r="I620" s="15" t="str">
        <f t="shared" ca="1" si="20"/>
        <v>S/D</v>
      </c>
      <c r="J620" s="5">
        <f>IF(A620="","",SUMIFS(Movimientos!$K:$K,Movimientos!$H:$H,A620))</f>
        <v>0</v>
      </c>
      <c r="K620" s="13" t="str">
        <f t="shared" ca="1" si="19"/>
        <v>SIN STOCK</v>
      </c>
    </row>
    <row r="621" spans="1:11">
      <c r="A621" s="16" t="s">
        <v>2926</v>
      </c>
      <c r="B621" s="2" t="str">
        <f>IFERROR(INDEX(Movimientos!$C$2:$C$1993,MATCH(A621&amp;"ENTRADA",Movimientos!$R$2:$R$1993,0)),"-")</f>
        <v>-</v>
      </c>
      <c r="C621" s="2" t="str">
        <f>IFERROR(INDEX(Movimientos!$D$2:$D$1993,MATCH(A621&amp;"ENTRADA",Movimientos!$R$2:$R$1993,0)),"-")</f>
        <v>-</v>
      </c>
      <c r="D621" s="2" t="str">
        <f>IFERROR(INDEX(Movimientos!$E$2:$E$1993,MATCH(A621&amp;"ENTRADA",Movimientos!$R$2:$R$1993,0)),"-")</f>
        <v>-</v>
      </c>
      <c r="E621" s="2" t="str">
        <f>IFERROR(INDEX(Movimientos!$F$2:$F$1993,MATCH(A621&amp;"ENTRADA",Movimientos!$R$2:$R$1993,0)),"-")</f>
        <v>-</v>
      </c>
      <c r="F621" s="2" t="str">
        <f>IFERROR(INDEX(Movimientos!$G$2:$G$1993,MATCH(A621&amp;"ENTRADA",Movimientos!$R$2:$R$1993,0)),"-")</f>
        <v>-</v>
      </c>
      <c r="G621" s="2" t="str">
        <f>IFERROR(INDEX(Movimientos!$L$2:$L$1993,MATCH(A621&amp;"ENTRADA",Movimientos!$R$2:$R$1993,0)),"-")</f>
        <v>-</v>
      </c>
      <c r="H621" s="17" t="str">
        <f>IFERROR(IF(INDEX(Movimientos!$M$2:$M$1993,MATCH(A621&amp;"ENTRADA",Movimientos!$R$2:$R$1993,0))=0,"S/D",INDEX(Movimientos!$M$2:$M$1993,MATCH(A621&amp;"ENTRADA",Movimientos!$R$2:$R$1993,0))),"S/D")</f>
        <v>S/D</v>
      </c>
      <c r="I621" s="15" t="str">
        <f t="shared" ca="1" si="20"/>
        <v>S/D</v>
      </c>
      <c r="J621" s="5">
        <f>IF(A621="","",SUMIFS(Movimientos!$K:$K,Movimientos!$H:$H,A621))</f>
        <v>0</v>
      </c>
      <c r="K621" s="13" t="str">
        <f t="shared" ca="1" si="19"/>
        <v>SIN STOCK</v>
      </c>
    </row>
    <row r="622" spans="1:11">
      <c r="A622" s="16" t="s">
        <v>2927</v>
      </c>
      <c r="B622" s="2" t="str">
        <f>IFERROR(INDEX(Movimientos!$C$2:$C$1993,MATCH(A622&amp;"ENTRADA",Movimientos!$R$2:$R$1993,0)),"-")</f>
        <v>-</v>
      </c>
      <c r="C622" s="2" t="str">
        <f>IFERROR(INDEX(Movimientos!$D$2:$D$1993,MATCH(A622&amp;"ENTRADA",Movimientos!$R$2:$R$1993,0)),"-")</f>
        <v>-</v>
      </c>
      <c r="D622" s="2" t="str">
        <f>IFERROR(INDEX(Movimientos!$E$2:$E$1993,MATCH(A622&amp;"ENTRADA",Movimientos!$R$2:$R$1993,0)),"-")</f>
        <v>-</v>
      </c>
      <c r="E622" s="2" t="str">
        <f>IFERROR(INDEX(Movimientos!$F$2:$F$1993,MATCH(A622&amp;"ENTRADA",Movimientos!$R$2:$R$1993,0)),"-")</f>
        <v>-</v>
      </c>
      <c r="F622" s="2" t="str">
        <f>IFERROR(INDEX(Movimientos!$G$2:$G$1993,MATCH(A622&amp;"ENTRADA",Movimientos!$R$2:$R$1993,0)),"-")</f>
        <v>-</v>
      </c>
      <c r="G622" s="2" t="str">
        <f>IFERROR(INDEX(Movimientos!$L$2:$L$1993,MATCH(A622&amp;"ENTRADA",Movimientos!$R$2:$R$1993,0)),"-")</f>
        <v>-</v>
      </c>
      <c r="H622" s="17" t="str">
        <f>IFERROR(IF(INDEX(Movimientos!$M$2:$M$1993,MATCH(A622&amp;"ENTRADA",Movimientos!$R$2:$R$1993,0))=0,"S/D",INDEX(Movimientos!$M$2:$M$1993,MATCH(A622&amp;"ENTRADA",Movimientos!$R$2:$R$1993,0))),"S/D")</f>
        <v>S/D</v>
      </c>
      <c r="I622" s="15" t="str">
        <f t="shared" ca="1" si="20"/>
        <v>S/D</v>
      </c>
      <c r="J622" s="5">
        <f>IF(A622="","",SUMIFS(Movimientos!$K:$K,Movimientos!$H:$H,A622))</f>
        <v>0</v>
      </c>
      <c r="K622" s="13" t="str">
        <f t="shared" ca="1" si="19"/>
        <v>SIN STOCK</v>
      </c>
    </row>
    <row r="623" spans="1:11">
      <c r="A623" s="16" t="s">
        <v>2928</v>
      </c>
      <c r="B623" s="2" t="str">
        <f>IFERROR(INDEX(Movimientos!$C$2:$C$1993,MATCH(A623&amp;"ENTRADA",Movimientos!$R$2:$R$1993,0)),"-")</f>
        <v>-</v>
      </c>
      <c r="C623" s="2" t="str">
        <f>IFERROR(INDEX(Movimientos!$D$2:$D$1993,MATCH(A623&amp;"ENTRADA",Movimientos!$R$2:$R$1993,0)),"-")</f>
        <v>-</v>
      </c>
      <c r="D623" s="2" t="str">
        <f>IFERROR(INDEX(Movimientos!$E$2:$E$1993,MATCH(A623&amp;"ENTRADA",Movimientos!$R$2:$R$1993,0)),"-")</f>
        <v>-</v>
      </c>
      <c r="E623" s="2" t="str">
        <f>IFERROR(INDEX(Movimientos!$F$2:$F$1993,MATCH(A623&amp;"ENTRADA",Movimientos!$R$2:$R$1993,0)),"-")</f>
        <v>-</v>
      </c>
      <c r="F623" s="2" t="str">
        <f>IFERROR(INDEX(Movimientos!$G$2:$G$1993,MATCH(A623&amp;"ENTRADA",Movimientos!$R$2:$R$1993,0)),"-")</f>
        <v>-</v>
      </c>
      <c r="G623" s="2" t="str">
        <f>IFERROR(INDEX(Movimientos!$L$2:$L$1993,MATCH(A623&amp;"ENTRADA",Movimientos!$R$2:$R$1993,0)),"-")</f>
        <v>-</v>
      </c>
      <c r="H623" s="17" t="str">
        <f>IFERROR(IF(INDEX(Movimientos!$M$2:$M$1993,MATCH(A623&amp;"ENTRADA",Movimientos!$R$2:$R$1993,0))=0,"S/D",INDEX(Movimientos!$M$2:$M$1993,MATCH(A623&amp;"ENTRADA",Movimientos!$R$2:$R$1993,0))),"S/D")</f>
        <v>S/D</v>
      </c>
      <c r="I623" s="15" t="str">
        <f t="shared" ca="1" si="20"/>
        <v>S/D</v>
      </c>
      <c r="J623" s="5">
        <f>IF(A623="","",SUMIFS(Movimientos!$K:$K,Movimientos!$H:$H,A623))</f>
        <v>0</v>
      </c>
      <c r="K623" s="13" t="str">
        <f t="shared" ca="1" si="19"/>
        <v>SIN STOCK</v>
      </c>
    </row>
    <row r="624" spans="1:11">
      <c r="A624" s="16" t="s">
        <v>2929</v>
      </c>
      <c r="B624" s="2" t="str">
        <f>IFERROR(INDEX(Movimientos!$C$2:$C$1993,MATCH(A624&amp;"ENTRADA",Movimientos!$R$2:$R$1993,0)),"-")</f>
        <v>-</v>
      </c>
      <c r="C624" s="2" t="str">
        <f>IFERROR(INDEX(Movimientos!$D$2:$D$1993,MATCH(A624&amp;"ENTRADA",Movimientos!$R$2:$R$1993,0)),"-")</f>
        <v>-</v>
      </c>
      <c r="D624" s="2" t="str">
        <f>IFERROR(INDEX(Movimientos!$E$2:$E$1993,MATCH(A624&amp;"ENTRADA",Movimientos!$R$2:$R$1993,0)),"-")</f>
        <v>-</v>
      </c>
      <c r="E624" s="2" t="str">
        <f>IFERROR(INDEX(Movimientos!$F$2:$F$1993,MATCH(A624&amp;"ENTRADA",Movimientos!$R$2:$R$1993,0)),"-")</f>
        <v>-</v>
      </c>
      <c r="F624" s="2" t="str">
        <f>IFERROR(INDEX(Movimientos!$G$2:$G$1993,MATCH(A624&amp;"ENTRADA",Movimientos!$R$2:$R$1993,0)),"-")</f>
        <v>-</v>
      </c>
      <c r="G624" s="2" t="str">
        <f>IFERROR(INDEX(Movimientos!$L$2:$L$1993,MATCH(A624&amp;"ENTRADA",Movimientos!$R$2:$R$1993,0)),"-")</f>
        <v>-</v>
      </c>
      <c r="H624" s="17" t="str">
        <f>IFERROR(IF(INDEX(Movimientos!$M$2:$M$1993,MATCH(A624&amp;"ENTRADA",Movimientos!$R$2:$R$1993,0))=0,"S/D",INDEX(Movimientos!$M$2:$M$1993,MATCH(A624&amp;"ENTRADA",Movimientos!$R$2:$R$1993,0))),"S/D")</f>
        <v>S/D</v>
      </c>
      <c r="I624" s="15" t="str">
        <f t="shared" ca="1" si="20"/>
        <v>S/D</v>
      </c>
      <c r="J624" s="5">
        <f>IF(A624="","",SUMIFS(Movimientos!$K:$K,Movimientos!$H:$H,A624))</f>
        <v>0</v>
      </c>
      <c r="K624" s="13" t="str">
        <f t="shared" ca="1" si="19"/>
        <v>SIN STOCK</v>
      </c>
    </row>
    <row r="625" spans="1:11">
      <c r="A625" s="16" t="s">
        <v>2930</v>
      </c>
      <c r="B625" s="2" t="str">
        <f>IFERROR(INDEX(Movimientos!$C$2:$C$1993,MATCH(A625&amp;"ENTRADA",Movimientos!$R$2:$R$1993,0)),"-")</f>
        <v>-</v>
      </c>
      <c r="C625" s="2" t="str">
        <f>IFERROR(INDEX(Movimientos!$D$2:$D$1993,MATCH(A625&amp;"ENTRADA",Movimientos!$R$2:$R$1993,0)),"-")</f>
        <v>-</v>
      </c>
      <c r="D625" s="2" t="str">
        <f>IFERROR(INDEX(Movimientos!$E$2:$E$1993,MATCH(A625&amp;"ENTRADA",Movimientos!$R$2:$R$1993,0)),"-")</f>
        <v>-</v>
      </c>
      <c r="E625" s="2" t="str">
        <f>IFERROR(INDEX(Movimientos!$F$2:$F$1993,MATCH(A625&amp;"ENTRADA",Movimientos!$R$2:$R$1993,0)),"-")</f>
        <v>-</v>
      </c>
      <c r="F625" s="2" t="str">
        <f>IFERROR(INDEX(Movimientos!$G$2:$G$1993,MATCH(A625&amp;"ENTRADA",Movimientos!$R$2:$R$1993,0)),"-")</f>
        <v>-</v>
      </c>
      <c r="G625" s="2" t="str">
        <f>IFERROR(INDEX(Movimientos!$L$2:$L$1993,MATCH(A625&amp;"ENTRADA",Movimientos!$R$2:$R$1993,0)),"-")</f>
        <v>-</v>
      </c>
      <c r="H625" s="17" t="str">
        <f>IFERROR(IF(INDEX(Movimientos!$M$2:$M$1993,MATCH(A625&amp;"ENTRADA",Movimientos!$R$2:$R$1993,0))=0,"S/D",INDEX(Movimientos!$M$2:$M$1993,MATCH(A625&amp;"ENTRADA",Movimientos!$R$2:$R$1993,0))),"S/D")</f>
        <v>S/D</v>
      </c>
      <c r="I625" s="15" t="str">
        <f t="shared" ca="1" si="20"/>
        <v>S/D</v>
      </c>
      <c r="J625" s="5">
        <f>IF(A625="","",SUMIFS(Movimientos!$K:$K,Movimientos!$H:$H,A625))</f>
        <v>0</v>
      </c>
      <c r="K625" s="13" t="str">
        <f t="shared" ca="1" si="19"/>
        <v>SIN STOCK</v>
      </c>
    </row>
    <row r="626" spans="1:11">
      <c r="A626" s="16" t="s">
        <v>2931</v>
      </c>
      <c r="B626" s="2" t="str">
        <f>IFERROR(INDEX(Movimientos!$C$2:$C$1993,MATCH(A626&amp;"ENTRADA",Movimientos!$R$2:$R$1993,0)),"-")</f>
        <v>-</v>
      </c>
      <c r="C626" s="2" t="str">
        <f>IFERROR(INDEX(Movimientos!$D$2:$D$1993,MATCH(A626&amp;"ENTRADA",Movimientos!$R$2:$R$1993,0)),"-")</f>
        <v>-</v>
      </c>
      <c r="D626" s="2" t="str">
        <f>IFERROR(INDEX(Movimientos!$E$2:$E$1993,MATCH(A626&amp;"ENTRADA",Movimientos!$R$2:$R$1993,0)),"-")</f>
        <v>-</v>
      </c>
      <c r="E626" s="2" t="str">
        <f>IFERROR(INDEX(Movimientos!$F$2:$F$1993,MATCH(A626&amp;"ENTRADA",Movimientos!$R$2:$R$1993,0)),"-")</f>
        <v>-</v>
      </c>
      <c r="F626" s="2" t="str">
        <f>IFERROR(INDEX(Movimientos!$G$2:$G$1993,MATCH(A626&amp;"ENTRADA",Movimientos!$R$2:$R$1993,0)),"-")</f>
        <v>-</v>
      </c>
      <c r="G626" s="2" t="str">
        <f>IFERROR(INDEX(Movimientos!$L$2:$L$1993,MATCH(A626&amp;"ENTRADA",Movimientos!$R$2:$R$1993,0)),"-")</f>
        <v>-</v>
      </c>
      <c r="H626" s="17" t="str">
        <f>IFERROR(IF(INDEX(Movimientos!$M$2:$M$1993,MATCH(A626&amp;"ENTRADA",Movimientos!$R$2:$R$1993,0))=0,"S/D",INDEX(Movimientos!$M$2:$M$1993,MATCH(A626&amp;"ENTRADA",Movimientos!$R$2:$R$1993,0))),"S/D")</f>
        <v>S/D</v>
      </c>
      <c r="I626" s="15" t="str">
        <f t="shared" ca="1" si="20"/>
        <v>S/D</v>
      </c>
      <c r="J626" s="5">
        <f>IF(A626="","",SUMIFS(Movimientos!$K:$K,Movimientos!$H:$H,A626))</f>
        <v>0</v>
      </c>
      <c r="K626" s="13" t="str">
        <f t="shared" ca="1" si="19"/>
        <v>SIN STOCK</v>
      </c>
    </row>
    <row r="627" spans="1:11">
      <c r="A627" s="16" t="s">
        <v>2932</v>
      </c>
      <c r="B627" s="2" t="str">
        <f>IFERROR(INDEX(Movimientos!$C$2:$C$1993,MATCH(A627&amp;"ENTRADA",Movimientos!$R$2:$R$1993,0)),"-")</f>
        <v>-</v>
      </c>
      <c r="C627" s="2" t="str">
        <f>IFERROR(INDEX(Movimientos!$D$2:$D$1993,MATCH(A627&amp;"ENTRADA",Movimientos!$R$2:$R$1993,0)),"-")</f>
        <v>-</v>
      </c>
      <c r="D627" s="2" t="str">
        <f>IFERROR(INDEX(Movimientos!$E$2:$E$1993,MATCH(A627&amp;"ENTRADA",Movimientos!$R$2:$R$1993,0)),"-")</f>
        <v>-</v>
      </c>
      <c r="E627" s="2" t="str">
        <f>IFERROR(INDEX(Movimientos!$F$2:$F$1993,MATCH(A627&amp;"ENTRADA",Movimientos!$R$2:$R$1993,0)),"-")</f>
        <v>-</v>
      </c>
      <c r="F627" s="2" t="str">
        <f>IFERROR(INDEX(Movimientos!$G$2:$G$1993,MATCH(A627&amp;"ENTRADA",Movimientos!$R$2:$R$1993,0)),"-")</f>
        <v>-</v>
      </c>
      <c r="G627" s="2" t="str">
        <f>IFERROR(INDEX(Movimientos!$L$2:$L$1993,MATCH(A627&amp;"ENTRADA",Movimientos!$R$2:$R$1993,0)),"-")</f>
        <v>-</v>
      </c>
      <c r="H627" s="17" t="str">
        <f>IFERROR(IF(INDEX(Movimientos!$M$2:$M$1993,MATCH(A627&amp;"ENTRADA",Movimientos!$R$2:$R$1993,0))=0,"S/D",INDEX(Movimientos!$M$2:$M$1993,MATCH(A627&amp;"ENTRADA",Movimientos!$R$2:$R$1993,0))),"S/D")</f>
        <v>S/D</v>
      </c>
      <c r="I627" s="15" t="str">
        <f t="shared" ca="1" si="20"/>
        <v>S/D</v>
      </c>
      <c r="J627" s="5">
        <f>IF(A627="","",SUMIFS(Movimientos!$K:$K,Movimientos!$H:$H,A627))</f>
        <v>0</v>
      </c>
      <c r="K627" s="13" t="str">
        <f t="shared" ca="1" si="19"/>
        <v>SIN STOCK</v>
      </c>
    </row>
    <row r="628" spans="1:11">
      <c r="A628" s="16" t="s">
        <v>2933</v>
      </c>
      <c r="B628" s="2" t="str">
        <f>IFERROR(INDEX(Movimientos!$C$2:$C$1993,MATCH(A628&amp;"ENTRADA",Movimientos!$R$2:$R$1993,0)),"-")</f>
        <v>-</v>
      </c>
      <c r="C628" s="2" t="str">
        <f>IFERROR(INDEX(Movimientos!$D$2:$D$1993,MATCH(A628&amp;"ENTRADA",Movimientos!$R$2:$R$1993,0)),"-")</f>
        <v>-</v>
      </c>
      <c r="D628" s="2" t="str">
        <f>IFERROR(INDEX(Movimientos!$E$2:$E$1993,MATCH(A628&amp;"ENTRADA",Movimientos!$R$2:$R$1993,0)),"-")</f>
        <v>-</v>
      </c>
      <c r="E628" s="2" t="str">
        <f>IFERROR(INDEX(Movimientos!$F$2:$F$1993,MATCH(A628&amp;"ENTRADA",Movimientos!$R$2:$R$1993,0)),"-")</f>
        <v>-</v>
      </c>
      <c r="F628" s="2" t="str">
        <f>IFERROR(INDEX(Movimientos!$G$2:$G$1993,MATCH(A628&amp;"ENTRADA",Movimientos!$R$2:$R$1993,0)),"-")</f>
        <v>-</v>
      </c>
      <c r="G628" s="2" t="str">
        <f>IFERROR(INDEX(Movimientos!$L$2:$L$1993,MATCH(A628&amp;"ENTRADA",Movimientos!$R$2:$R$1993,0)),"-")</f>
        <v>-</v>
      </c>
      <c r="H628" s="17" t="str">
        <f>IFERROR(IF(INDEX(Movimientos!$M$2:$M$1993,MATCH(A628&amp;"ENTRADA",Movimientos!$R$2:$R$1993,0))=0,"S/D",INDEX(Movimientos!$M$2:$M$1993,MATCH(A628&amp;"ENTRADA",Movimientos!$R$2:$R$1993,0))),"S/D")</f>
        <v>S/D</v>
      </c>
      <c r="I628" s="15" t="str">
        <f t="shared" ca="1" si="20"/>
        <v>S/D</v>
      </c>
      <c r="J628" s="5">
        <f>IF(A628="","",SUMIFS(Movimientos!$K:$K,Movimientos!$H:$H,A628))</f>
        <v>0</v>
      </c>
      <c r="K628" s="13" t="str">
        <f t="shared" ca="1" si="19"/>
        <v>SIN STOCK</v>
      </c>
    </row>
    <row r="629" spans="1:11">
      <c r="A629" s="16" t="s">
        <v>2934</v>
      </c>
      <c r="B629" s="2" t="str">
        <f>IFERROR(INDEX(Movimientos!$C$2:$C$1993,MATCH(A629&amp;"ENTRADA",Movimientos!$R$2:$R$1993,0)),"-")</f>
        <v>-</v>
      </c>
      <c r="C629" s="2" t="str">
        <f>IFERROR(INDEX(Movimientos!$D$2:$D$1993,MATCH(A629&amp;"ENTRADA",Movimientos!$R$2:$R$1993,0)),"-")</f>
        <v>-</v>
      </c>
      <c r="D629" s="2" t="str">
        <f>IFERROR(INDEX(Movimientos!$E$2:$E$1993,MATCH(A629&amp;"ENTRADA",Movimientos!$R$2:$R$1993,0)),"-")</f>
        <v>-</v>
      </c>
      <c r="E629" s="2" t="str">
        <f>IFERROR(INDEX(Movimientos!$F$2:$F$1993,MATCH(A629&amp;"ENTRADA",Movimientos!$R$2:$R$1993,0)),"-")</f>
        <v>-</v>
      </c>
      <c r="F629" s="2" t="str">
        <f>IFERROR(INDEX(Movimientos!$G$2:$G$1993,MATCH(A629&amp;"ENTRADA",Movimientos!$R$2:$R$1993,0)),"-")</f>
        <v>-</v>
      </c>
      <c r="G629" s="2" t="str">
        <f>IFERROR(INDEX(Movimientos!$L$2:$L$1993,MATCH(A629&amp;"ENTRADA",Movimientos!$R$2:$R$1993,0)),"-")</f>
        <v>-</v>
      </c>
      <c r="H629" s="17" t="str">
        <f>IFERROR(IF(INDEX(Movimientos!$M$2:$M$1993,MATCH(A629&amp;"ENTRADA",Movimientos!$R$2:$R$1993,0))=0,"S/D",INDEX(Movimientos!$M$2:$M$1993,MATCH(A629&amp;"ENTRADA",Movimientos!$R$2:$R$1993,0))),"S/D")</f>
        <v>S/D</v>
      </c>
      <c r="I629" s="15" t="str">
        <f t="shared" ca="1" si="20"/>
        <v>S/D</v>
      </c>
      <c r="J629" s="5">
        <f>IF(A629="","",SUMIFS(Movimientos!$K:$K,Movimientos!$H:$H,A629))</f>
        <v>0</v>
      </c>
      <c r="K629" s="13" t="str">
        <f t="shared" ca="1" si="19"/>
        <v>SIN STOCK</v>
      </c>
    </row>
    <row r="630" spans="1:11">
      <c r="A630" s="16" t="s">
        <v>2935</v>
      </c>
      <c r="B630" s="2" t="str">
        <f>IFERROR(INDEX(Movimientos!$C$2:$C$1993,MATCH(A630&amp;"ENTRADA",Movimientos!$R$2:$R$1993,0)),"-")</f>
        <v>-</v>
      </c>
      <c r="C630" s="2" t="str">
        <f>IFERROR(INDEX(Movimientos!$D$2:$D$1993,MATCH(A630&amp;"ENTRADA",Movimientos!$R$2:$R$1993,0)),"-")</f>
        <v>-</v>
      </c>
      <c r="D630" s="2" t="str">
        <f>IFERROR(INDEX(Movimientos!$E$2:$E$1993,MATCH(A630&amp;"ENTRADA",Movimientos!$R$2:$R$1993,0)),"-")</f>
        <v>-</v>
      </c>
      <c r="E630" s="2" t="str">
        <f>IFERROR(INDEX(Movimientos!$F$2:$F$1993,MATCH(A630&amp;"ENTRADA",Movimientos!$R$2:$R$1993,0)),"-")</f>
        <v>-</v>
      </c>
      <c r="F630" s="2" t="str">
        <f>IFERROR(INDEX(Movimientos!$G$2:$G$1993,MATCH(A630&amp;"ENTRADA",Movimientos!$R$2:$R$1993,0)),"-")</f>
        <v>-</v>
      </c>
      <c r="G630" s="2" t="str">
        <f>IFERROR(INDEX(Movimientos!$L$2:$L$1993,MATCH(A630&amp;"ENTRADA",Movimientos!$R$2:$R$1993,0)),"-")</f>
        <v>-</v>
      </c>
      <c r="H630" s="17" t="str">
        <f>IFERROR(IF(INDEX(Movimientos!$M$2:$M$1993,MATCH(A630&amp;"ENTRADA",Movimientos!$R$2:$R$1993,0))=0,"S/D",INDEX(Movimientos!$M$2:$M$1993,MATCH(A630&amp;"ENTRADA",Movimientos!$R$2:$R$1993,0))),"S/D")</f>
        <v>S/D</v>
      </c>
      <c r="I630" s="15" t="str">
        <f t="shared" ca="1" si="20"/>
        <v>S/D</v>
      </c>
      <c r="J630" s="5">
        <f>IF(A630="","",SUMIFS(Movimientos!$K:$K,Movimientos!$H:$H,A630))</f>
        <v>0</v>
      </c>
      <c r="K630" s="13" t="str">
        <f t="shared" ca="1" si="19"/>
        <v>SIN STOCK</v>
      </c>
    </row>
    <row r="631" spans="1:11">
      <c r="A631" s="16" t="s">
        <v>2936</v>
      </c>
      <c r="B631" s="2" t="str">
        <f>IFERROR(INDEX(Movimientos!$C$2:$C$1993,MATCH(A631&amp;"ENTRADA",Movimientos!$R$2:$R$1993,0)),"-")</f>
        <v>-</v>
      </c>
      <c r="C631" s="2" t="str">
        <f>IFERROR(INDEX(Movimientos!$D$2:$D$1993,MATCH(A631&amp;"ENTRADA",Movimientos!$R$2:$R$1993,0)),"-")</f>
        <v>-</v>
      </c>
      <c r="D631" s="2" t="str">
        <f>IFERROR(INDEX(Movimientos!$E$2:$E$1993,MATCH(A631&amp;"ENTRADA",Movimientos!$R$2:$R$1993,0)),"-")</f>
        <v>-</v>
      </c>
      <c r="E631" s="2" t="str">
        <f>IFERROR(INDEX(Movimientos!$F$2:$F$1993,MATCH(A631&amp;"ENTRADA",Movimientos!$R$2:$R$1993,0)),"-")</f>
        <v>-</v>
      </c>
      <c r="F631" s="2" t="str">
        <f>IFERROR(INDEX(Movimientos!$G$2:$G$1993,MATCH(A631&amp;"ENTRADA",Movimientos!$R$2:$R$1993,0)),"-")</f>
        <v>-</v>
      </c>
      <c r="G631" s="2" t="str">
        <f>IFERROR(INDEX(Movimientos!$L$2:$L$1993,MATCH(A631&amp;"ENTRADA",Movimientos!$R$2:$R$1993,0)),"-")</f>
        <v>-</v>
      </c>
      <c r="H631" s="17" t="str">
        <f>IFERROR(IF(INDEX(Movimientos!$M$2:$M$1993,MATCH(A631&amp;"ENTRADA",Movimientos!$R$2:$R$1993,0))=0,"S/D",INDEX(Movimientos!$M$2:$M$1993,MATCH(A631&amp;"ENTRADA",Movimientos!$R$2:$R$1993,0))),"S/D")</f>
        <v>S/D</v>
      </c>
      <c r="I631" s="15" t="str">
        <f t="shared" ca="1" si="20"/>
        <v>S/D</v>
      </c>
      <c r="J631" s="5">
        <f>IF(A631="","",SUMIFS(Movimientos!$K:$K,Movimientos!$H:$H,A631))</f>
        <v>0</v>
      </c>
      <c r="K631" s="13" t="str">
        <f t="shared" ca="1" si="19"/>
        <v>SIN STOCK</v>
      </c>
    </row>
    <row r="632" spans="1:11">
      <c r="A632" s="16" t="s">
        <v>2937</v>
      </c>
      <c r="B632" s="2" t="str">
        <f>IFERROR(INDEX(Movimientos!$C$2:$C$1993,MATCH(A632&amp;"ENTRADA",Movimientos!$R$2:$R$1993,0)),"-")</f>
        <v>-</v>
      </c>
      <c r="C632" s="2" t="str">
        <f>IFERROR(INDEX(Movimientos!$D$2:$D$1993,MATCH(A632&amp;"ENTRADA",Movimientos!$R$2:$R$1993,0)),"-")</f>
        <v>-</v>
      </c>
      <c r="D632" s="2" t="str">
        <f>IFERROR(INDEX(Movimientos!$E$2:$E$1993,MATCH(A632&amp;"ENTRADA",Movimientos!$R$2:$R$1993,0)),"-")</f>
        <v>-</v>
      </c>
      <c r="E632" s="2" t="str">
        <f>IFERROR(INDEX(Movimientos!$F$2:$F$1993,MATCH(A632&amp;"ENTRADA",Movimientos!$R$2:$R$1993,0)),"-")</f>
        <v>-</v>
      </c>
      <c r="F632" s="2" t="str">
        <f>IFERROR(INDEX(Movimientos!$G$2:$G$1993,MATCH(A632&amp;"ENTRADA",Movimientos!$R$2:$R$1993,0)),"-")</f>
        <v>-</v>
      </c>
      <c r="G632" s="2" t="str">
        <f>IFERROR(INDEX(Movimientos!$L$2:$L$1993,MATCH(A632&amp;"ENTRADA",Movimientos!$R$2:$R$1993,0)),"-")</f>
        <v>-</v>
      </c>
      <c r="H632" s="17" t="str">
        <f>IFERROR(IF(INDEX(Movimientos!$M$2:$M$1993,MATCH(A632&amp;"ENTRADA",Movimientos!$R$2:$R$1993,0))=0,"S/D",INDEX(Movimientos!$M$2:$M$1993,MATCH(A632&amp;"ENTRADA",Movimientos!$R$2:$R$1993,0))),"S/D")</f>
        <v>S/D</v>
      </c>
      <c r="I632" s="15" t="str">
        <f t="shared" ca="1" si="20"/>
        <v>S/D</v>
      </c>
      <c r="J632" s="5">
        <f>IF(A632="","",SUMIFS(Movimientos!$K:$K,Movimientos!$H:$H,A632))</f>
        <v>0</v>
      </c>
      <c r="K632" s="13" t="str">
        <f t="shared" ca="1" si="19"/>
        <v>SIN STOCK</v>
      </c>
    </row>
    <row r="633" spans="1:11">
      <c r="A633" s="16" t="s">
        <v>2938</v>
      </c>
      <c r="B633" s="2" t="str">
        <f>IFERROR(INDEX(Movimientos!$C$2:$C$1993,MATCH(A633&amp;"ENTRADA",Movimientos!$R$2:$R$1993,0)),"-")</f>
        <v>-</v>
      </c>
      <c r="C633" s="2" t="str">
        <f>IFERROR(INDEX(Movimientos!$D$2:$D$1993,MATCH(A633&amp;"ENTRADA",Movimientos!$R$2:$R$1993,0)),"-")</f>
        <v>-</v>
      </c>
      <c r="D633" s="2" t="str">
        <f>IFERROR(INDEX(Movimientos!$E$2:$E$1993,MATCH(A633&amp;"ENTRADA",Movimientos!$R$2:$R$1993,0)),"-")</f>
        <v>-</v>
      </c>
      <c r="E633" s="2" t="str">
        <f>IFERROR(INDEX(Movimientos!$F$2:$F$1993,MATCH(A633&amp;"ENTRADA",Movimientos!$R$2:$R$1993,0)),"-")</f>
        <v>-</v>
      </c>
      <c r="F633" s="2" t="str">
        <f>IFERROR(INDEX(Movimientos!$G$2:$G$1993,MATCH(A633&amp;"ENTRADA",Movimientos!$R$2:$R$1993,0)),"-")</f>
        <v>-</v>
      </c>
      <c r="G633" s="2" t="str">
        <f>IFERROR(INDEX(Movimientos!$L$2:$L$1993,MATCH(A633&amp;"ENTRADA",Movimientos!$R$2:$R$1993,0)),"-")</f>
        <v>-</v>
      </c>
      <c r="H633" s="17" t="str">
        <f>IFERROR(IF(INDEX(Movimientos!$M$2:$M$1993,MATCH(A633&amp;"ENTRADA",Movimientos!$R$2:$R$1993,0))=0,"S/D",INDEX(Movimientos!$M$2:$M$1993,MATCH(A633&amp;"ENTRADA",Movimientos!$R$2:$R$1993,0))),"S/D")</f>
        <v>S/D</v>
      </c>
      <c r="I633" s="15" t="str">
        <f t="shared" ca="1" si="20"/>
        <v>S/D</v>
      </c>
      <c r="J633" s="5">
        <f>IF(A633="","",SUMIFS(Movimientos!$K:$K,Movimientos!$H:$H,A633))</f>
        <v>0</v>
      </c>
      <c r="K633" s="13" t="str">
        <f t="shared" ca="1" si="19"/>
        <v>SIN STOCK</v>
      </c>
    </row>
    <row r="634" spans="1:11">
      <c r="A634" s="16" t="s">
        <v>2939</v>
      </c>
      <c r="B634" s="2" t="str">
        <f>IFERROR(INDEX(Movimientos!$C$2:$C$1993,MATCH(A634&amp;"ENTRADA",Movimientos!$R$2:$R$1993,0)),"-")</f>
        <v>-</v>
      </c>
      <c r="C634" s="2" t="str">
        <f>IFERROR(INDEX(Movimientos!$D$2:$D$1993,MATCH(A634&amp;"ENTRADA",Movimientos!$R$2:$R$1993,0)),"-")</f>
        <v>-</v>
      </c>
      <c r="D634" s="2" t="str">
        <f>IFERROR(INDEX(Movimientos!$E$2:$E$1993,MATCH(A634&amp;"ENTRADA",Movimientos!$R$2:$R$1993,0)),"-")</f>
        <v>-</v>
      </c>
      <c r="E634" s="2" t="str">
        <f>IFERROR(INDEX(Movimientos!$F$2:$F$1993,MATCH(A634&amp;"ENTRADA",Movimientos!$R$2:$R$1993,0)),"-")</f>
        <v>-</v>
      </c>
      <c r="F634" s="2" t="str">
        <f>IFERROR(INDEX(Movimientos!$G$2:$G$1993,MATCH(A634&amp;"ENTRADA",Movimientos!$R$2:$R$1993,0)),"-")</f>
        <v>-</v>
      </c>
      <c r="G634" s="2" t="str">
        <f>IFERROR(INDEX(Movimientos!$L$2:$L$1993,MATCH(A634&amp;"ENTRADA",Movimientos!$R$2:$R$1993,0)),"-")</f>
        <v>-</v>
      </c>
      <c r="H634" s="17" t="str">
        <f>IFERROR(IF(INDEX(Movimientos!$M$2:$M$1993,MATCH(A634&amp;"ENTRADA",Movimientos!$R$2:$R$1993,0))=0,"S/D",INDEX(Movimientos!$M$2:$M$1993,MATCH(A634&amp;"ENTRADA",Movimientos!$R$2:$R$1993,0))),"S/D")</f>
        <v>S/D</v>
      </c>
      <c r="I634" s="15" t="str">
        <f t="shared" ca="1" si="20"/>
        <v>S/D</v>
      </c>
      <c r="J634" s="5">
        <f>IF(A634="","",SUMIFS(Movimientos!$K:$K,Movimientos!$H:$H,A634))</f>
        <v>0</v>
      </c>
      <c r="K634" s="13" t="str">
        <f t="shared" ca="1" si="19"/>
        <v>SIN STOCK</v>
      </c>
    </row>
    <row r="635" spans="1:11">
      <c r="A635" s="16" t="s">
        <v>2940</v>
      </c>
      <c r="B635" s="2" t="str">
        <f>IFERROR(INDEX(Movimientos!$C$2:$C$1993,MATCH(A635&amp;"ENTRADA",Movimientos!$R$2:$R$1993,0)),"-")</f>
        <v>-</v>
      </c>
      <c r="C635" s="2" t="str">
        <f>IFERROR(INDEX(Movimientos!$D$2:$D$1993,MATCH(A635&amp;"ENTRADA",Movimientos!$R$2:$R$1993,0)),"-")</f>
        <v>-</v>
      </c>
      <c r="D635" s="2" t="str">
        <f>IFERROR(INDEX(Movimientos!$E$2:$E$1993,MATCH(A635&amp;"ENTRADA",Movimientos!$R$2:$R$1993,0)),"-")</f>
        <v>-</v>
      </c>
      <c r="E635" s="2" t="str">
        <f>IFERROR(INDEX(Movimientos!$F$2:$F$1993,MATCH(A635&amp;"ENTRADA",Movimientos!$R$2:$R$1993,0)),"-")</f>
        <v>-</v>
      </c>
      <c r="F635" s="2" t="str">
        <f>IFERROR(INDEX(Movimientos!$G$2:$G$1993,MATCH(A635&amp;"ENTRADA",Movimientos!$R$2:$R$1993,0)),"-")</f>
        <v>-</v>
      </c>
      <c r="G635" s="2" t="str">
        <f>IFERROR(INDEX(Movimientos!$L$2:$L$1993,MATCH(A635&amp;"ENTRADA",Movimientos!$R$2:$R$1993,0)),"-")</f>
        <v>-</v>
      </c>
      <c r="H635" s="17" t="str">
        <f>IFERROR(IF(INDEX(Movimientos!$M$2:$M$1993,MATCH(A635&amp;"ENTRADA",Movimientos!$R$2:$R$1993,0))=0,"S/D",INDEX(Movimientos!$M$2:$M$1993,MATCH(A635&amp;"ENTRADA",Movimientos!$R$2:$R$1993,0))),"S/D")</f>
        <v>S/D</v>
      </c>
      <c r="I635" s="15" t="str">
        <f t="shared" ca="1" si="20"/>
        <v>S/D</v>
      </c>
      <c r="J635" s="5">
        <f>IF(A635="","",SUMIFS(Movimientos!$K:$K,Movimientos!$H:$H,A635))</f>
        <v>0</v>
      </c>
      <c r="K635" s="13" t="str">
        <f t="shared" ca="1" si="19"/>
        <v>SIN STOCK</v>
      </c>
    </row>
    <row r="636" spans="1:11">
      <c r="A636" s="16" t="s">
        <v>2941</v>
      </c>
      <c r="B636" s="2" t="str">
        <f>IFERROR(INDEX(Movimientos!$C$2:$C$1993,MATCH(A636&amp;"ENTRADA",Movimientos!$R$2:$R$1993,0)),"-")</f>
        <v>-</v>
      </c>
      <c r="C636" s="2" t="str">
        <f>IFERROR(INDEX(Movimientos!$D$2:$D$1993,MATCH(A636&amp;"ENTRADA",Movimientos!$R$2:$R$1993,0)),"-")</f>
        <v>-</v>
      </c>
      <c r="D636" s="2" t="str">
        <f>IFERROR(INDEX(Movimientos!$E$2:$E$1993,MATCH(A636&amp;"ENTRADA",Movimientos!$R$2:$R$1993,0)),"-")</f>
        <v>-</v>
      </c>
      <c r="E636" s="2" t="str">
        <f>IFERROR(INDEX(Movimientos!$F$2:$F$1993,MATCH(A636&amp;"ENTRADA",Movimientos!$R$2:$R$1993,0)),"-")</f>
        <v>-</v>
      </c>
      <c r="F636" s="2" t="str">
        <f>IFERROR(INDEX(Movimientos!$G$2:$G$1993,MATCH(A636&amp;"ENTRADA",Movimientos!$R$2:$R$1993,0)),"-")</f>
        <v>-</v>
      </c>
      <c r="G636" s="2" t="str">
        <f>IFERROR(INDEX(Movimientos!$L$2:$L$1993,MATCH(A636&amp;"ENTRADA",Movimientos!$R$2:$R$1993,0)),"-")</f>
        <v>-</v>
      </c>
      <c r="H636" s="17" t="str">
        <f>IFERROR(IF(INDEX(Movimientos!$M$2:$M$1993,MATCH(A636&amp;"ENTRADA",Movimientos!$R$2:$R$1993,0))=0,"S/D",INDEX(Movimientos!$M$2:$M$1993,MATCH(A636&amp;"ENTRADA",Movimientos!$R$2:$R$1993,0))),"S/D")</f>
        <v>S/D</v>
      </c>
      <c r="I636" s="15" t="str">
        <f t="shared" ca="1" si="20"/>
        <v>S/D</v>
      </c>
      <c r="J636" s="5">
        <f>IF(A636="","",SUMIFS(Movimientos!$K:$K,Movimientos!$H:$H,A636))</f>
        <v>0</v>
      </c>
      <c r="K636" s="13" t="str">
        <f t="shared" ca="1" si="19"/>
        <v>SIN STOCK</v>
      </c>
    </row>
    <row r="637" spans="1:11">
      <c r="A637" s="16" t="s">
        <v>2942</v>
      </c>
      <c r="B637" s="2" t="str">
        <f>IFERROR(INDEX(Movimientos!$C$2:$C$1993,MATCH(A637&amp;"ENTRADA",Movimientos!$R$2:$R$1993,0)),"-")</f>
        <v>-</v>
      </c>
      <c r="C637" s="2" t="str">
        <f>IFERROR(INDEX(Movimientos!$D$2:$D$1993,MATCH(A637&amp;"ENTRADA",Movimientos!$R$2:$R$1993,0)),"-")</f>
        <v>-</v>
      </c>
      <c r="D637" s="2" t="str">
        <f>IFERROR(INDEX(Movimientos!$E$2:$E$1993,MATCH(A637&amp;"ENTRADA",Movimientos!$R$2:$R$1993,0)),"-")</f>
        <v>-</v>
      </c>
      <c r="E637" s="2" t="str">
        <f>IFERROR(INDEX(Movimientos!$F$2:$F$1993,MATCH(A637&amp;"ENTRADA",Movimientos!$R$2:$R$1993,0)),"-")</f>
        <v>-</v>
      </c>
      <c r="F637" s="2" t="str">
        <f>IFERROR(INDEX(Movimientos!$G$2:$G$1993,MATCH(A637&amp;"ENTRADA",Movimientos!$R$2:$R$1993,0)),"-")</f>
        <v>-</v>
      </c>
      <c r="G637" s="2" t="str">
        <f>IFERROR(INDEX(Movimientos!$L$2:$L$1993,MATCH(A637&amp;"ENTRADA",Movimientos!$R$2:$R$1993,0)),"-")</f>
        <v>-</v>
      </c>
      <c r="H637" s="17" t="str">
        <f>IFERROR(IF(INDEX(Movimientos!$M$2:$M$1993,MATCH(A637&amp;"ENTRADA",Movimientos!$R$2:$R$1993,0))=0,"S/D",INDEX(Movimientos!$M$2:$M$1993,MATCH(A637&amp;"ENTRADA",Movimientos!$R$2:$R$1993,0))),"S/D")</f>
        <v>S/D</v>
      </c>
      <c r="I637" s="15" t="str">
        <f t="shared" ca="1" si="20"/>
        <v>S/D</v>
      </c>
      <c r="J637" s="5">
        <f>IF(A637="","",SUMIFS(Movimientos!$K:$K,Movimientos!$H:$H,A637))</f>
        <v>0</v>
      </c>
      <c r="K637" s="13" t="str">
        <f t="shared" ca="1" si="19"/>
        <v>SIN STOCK</v>
      </c>
    </row>
    <row r="638" spans="1:11">
      <c r="A638" s="16" t="s">
        <v>2943</v>
      </c>
      <c r="B638" s="2" t="str">
        <f>IFERROR(INDEX(Movimientos!$C$2:$C$1993,MATCH(A638&amp;"ENTRADA",Movimientos!$R$2:$R$1993,0)),"-")</f>
        <v>-</v>
      </c>
      <c r="C638" s="2" t="str">
        <f>IFERROR(INDEX(Movimientos!$D$2:$D$1993,MATCH(A638&amp;"ENTRADA",Movimientos!$R$2:$R$1993,0)),"-")</f>
        <v>-</v>
      </c>
      <c r="D638" s="2" t="str">
        <f>IFERROR(INDEX(Movimientos!$E$2:$E$1993,MATCH(A638&amp;"ENTRADA",Movimientos!$R$2:$R$1993,0)),"-")</f>
        <v>-</v>
      </c>
      <c r="E638" s="2" t="str">
        <f>IFERROR(INDEX(Movimientos!$F$2:$F$1993,MATCH(A638&amp;"ENTRADA",Movimientos!$R$2:$R$1993,0)),"-")</f>
        <v>-</v>
      </c>
      <c r="F638" s="2" t="str">
        <f>IFERROR(INDEX(Movimientos!$G$2:$G$1993,MATCH(A638&amp;"ENTRADA",Movimientos!$R$2:$R$1993,0)),"-")</f>
        <v>-</v>
      </c>
      <c r="G638" s="2" t="str">
        <f>IFERROR(INDEX(Movimientos!$L$2:$L$1993,MATCH(A638&amp;"ENTRADA",Movimientos!$R$2:$R$1993,0)),"-")</f>
        <v>-</v>
      </c>
      <c r="H638" s="17" t="str">
        <f>IFERROR(IF(INDEX(Movimientos!$M$2:$M$1993,MATCH(A638&amp;"ENTRADA",Movimientos!$R$2:$R$1993,0))=0,"S/D",INDEX(Movimientos!$M$2:$M$1993,MATCH(A638&amp;"ENTRADA",Movimientos!$R$2:$R$1993,0))),"S/D")</f>
        <v>S/D</v>
      </c>
      <c r="I638" s="15" t="str">
        <f t="shared" ca="1" si="20"/>
        <v>S/D</v>
      </c>
      <c r="J638" s="5">
        <f>IF(A638="","",SUMIFS(Movimientos!$K:$K,Movimientos!$H:$H,A638))</f>
        <v>0</v>
      </c>
      <c r="K638" s="13" t="str">
        <f t="shared" ref="K638:K701" ca="1" si="21">IF(A638="","",IF(J638&lt;0.01,"SIN STOCK",IF(H638="S/D","OK",IF(H638&lt;TODAY(),"VENCIDO",IF(I638&gt;=180,"OK","PRÓXIMO A VENCER")))))</f>
        <v>SIN STOCK</v>
      </c>
    </row>
    <row r="639" spans="1:11">
      <c r="A639" s="16" t="s">
        <v>2944</v>
      </c>
      <c r="B639" s="2" t="str">
        <f>IFERROR(INDEX(Movimientos!$C$2:$C$1993,MATCH(A639&amp;"ENTRADA",Movimientos!$R$2:$R$1993,0)),"-")</f>
        <v>-</v>
      </c>
      <c r="C639" s="2" t="str">
        <f>IFERROR(INDEX(Movimientos!$D$2:$D$1993,MATCH(A639&amp;"ENTRADA",Movimientos!$R$2:$R$1993,0)),"-")</f>
        <v>-</v>
      </c>
      <c r="D639" s="2" t="str">
        <f>IFERROR(INDEX(Movimientos!$E$2:$E$1993,MATCH(A639&amp;"ENTRADA",Movimientos!$R$2:$R$1993,0)),"-")</f>
        <v>-</v>
      </c>
      <c r="E639" s="2" t="str">
        <f>IFERROR(INDEX(Movimientos!$F$2:$F$1993,MATCH(A639&amp;"ENTRADA",Movimientos!$R$2:$R$1993,0)),"-")</f>
        <v>-</v>
      </c>
      <c r="F639" s="2" t="str">
        <f>IFERROR(INDEX(Movimientos!$G$2:$G$1993,MATCH(A639&amp;"ENTRADA",Movimientos!$R$2:$R$1993,0)),"-")</f>
        <v>-</v>
      </c>
      <c r="G639" s="2" t="str">
        <f>IFERROR(INDEX(Movimientos!$L$2:$L$1993,MATCH(A639&amp;"ENTRADA",Movimientos!$R$2:$R$1993,0)),"-")</f>
        <v>-</v>
      </c>
      <c r="H639" s="17" t="str">
        <f>IFERROR(IF(INDEX(Movimientos!$M$2:$M$1993,MATCH(A639&amp;"ENTRADA",Movimientos!$R$2:$R$1993,0))=0,"S/D",INDEX(Movimientos!$M$2:$M$1993,MATCH(A639&amp;"ENTRADA",Movimientos!$R$2:$R$1993,0))),"S/D")</f>
        <v>S/D</v>
      </c>
      <c r="I639" s="15" t="str">
        <f t="shared" ca="1" si="20"/>
        <v>S/D</v>
      </c>
      <c r="J639" s="5">
        <f>IF(A639="","",SUMIFS(Movimientos!$K:$K,Movimientos!$H:$H,A639))</f>
        <v>0</v>
      </c>
      <c r="K639" s="13" t="str">
        <f t="shared" ca="1" si="21"/>
        <v>SIN STOCK</v>
      </c>
    </row>
    <row r="640" spans="1:11">
      <c r="A640" s="16" t="s">
        <v>2945</v>
      </c>
      <c r="B640" s="2" t="str">
        <f>IFERROR(INDEX(Movimientos!$C$2:$C$1993,MATCH(A640&amp;"ENTRADA",Movimientos!$R$2:$R$1993,0)),"-")</f>
        <v>-</v>
      </c>
      <c r="C640" s="2" t="str">
        <f>IFERROR(INDEX(Movimientos!$D$2:$D$1993,MATCH(A640&amp;"ENTRADA",Movimientos!$R$2:$R$1993,0)),"-")</f>
        <v>-</v>
      </c>
      <c r="D640" s="2" t="str">
        <f>IFERROR(INDEX(Movimientos!$E$2:$E$1993,MATCH(A640&amp;"ENTRADA",Movimientos!$R$2:$R$1993,0)),"-")</f>
        <v>-</v>
      </c>
      <c r="E640" s="2" t="str">
        <f>IFERROR(INDEX(Movimientos!$F$2:$F$1993,MATCH(A640&amp;"ENTRADA",Movimientos!$R$2:$R$1993,0)),"-")</f>
        <v>-</v>
      </c>
      <c r="F640" s="2" t="str">
        <f>IFERROR(INDEX(Movimientos!$G$2:$G$1993,MATCH(A640&amp;"ENTRADA",Movimientos!$R$2:$R$1993,0)),"-")</f>
        <v>-</v>
      </c>
      <c r="G640" s="2" t="str">
        <f>IFERROR(INDEX(Movimientos!$L$2:$L$1993,MATCH(A640&amp;"ENTRADA",Movimientos!$R$2:$R$1993,0)),"-")</f>
        <v>-</v>
      </c>
      <c r="H640" s="17" t="str">
        <f>IFERROR(IF(INDEX(Movimientos!$M$2:$M$1993,MATCH(A640&amp;"ENTRADA",Movimientos!$R$2:$R$1993,0))=0,"S/D",INDEX(Movimientos!$M$2:$M$1993,MATCH(A640&amp;"ENTRADA",Movimientos!$R$2:$R$1993,0))),"S/D")</f>
        <v>S/D</v>
      </c>
      <c r="I640" s="15" t="str">
        <f t="shared" ca="1" si="20"/>
        <v>S/D</v>
      </c>
      <c r="J640" s="5">
        <f>IF(A640="","",SUMIFS(Movimientos!$K:$K,Movimientos!$H:$H,A640))</f>
        <v>0</v>
      </c>
      <c r="K640" s="13" t="str">
        <f t="shared" ca="1" si="21"/>
        <v>SIN STOCK</v>
      </c>
    </row>
    <row r="641" spans="1:11">
      <c r="A641" s="16" t="s">
        <v>2946</v>
      </c>
      <c r="B641" s="2" t="str">
        <f>IFERROR(INDEX(Movimientos!$C$2:$C$1993,MATCH(A641&amp;"ENTRADA",Movimientos!$R$2:$R$1993,0)),"-")</f>
        <v>-</v>
      </c>
      <c r="C641" s="2" t="str">
        <f>IFERROR(INDEX(Movimientos!$D$2:$D$1993,MATCH(A641&amp;"ENTRADA",Movimientos!$R$2:$R$1993,0)),"-")</f>
        <v>-</v>
      </c>
      <c r="D641" s="2" t="str">
        <f>IFERROR(INDEX(Movimientos!$E$2:$E$1993,MATCH(A641&amp;"ENTRADA",Movimientos!$R$2:$R$1993,0)),"-")</f>
        <v>-</v>
      </c>
      <c r="E641" s="2" t="str">
        <f>IFERROR(INDEX(Movimientos!$F$2:$F$1993,MATCH(A641&amp;"ENTRADA",Movimientos!$R$2:$R$1993,0)),"-")</f>
        <v>-</v>
      </c>
      <c r="F641" s="2" t="str">
        <f>IFERROR(INDEX(Movimientos!$G$2:$G$1993,MATCH(A641&amp;"ENTRADA",Movimientos!$R$2:$R$1993,0)),"-")</f>
        <v>-</v>
      </c>
      <c r="G641" s="2" t="str">
        <f>IFERROR(INDEX(Movimientos!$L$2:$L$1993,MATCH(A641&amp;"ENTRADA",Movimientos!$R$2:$R$1993,0)),"-")</f>
        <v>-</v>
      </c>
      <c r="H641" s="17" t="str">
        <f>IFERROR(IF(INDEX(Movimientos!$M$2:$M$1993,MATCH(A641&amp;"ENTRADA",Movimientos!$R$2:$R$1993,0))=0,"S/D",INDEX(Movimientos!$M$2:$M$1993,MATCH(A641&amp;"ENTRADA",Movimientos!$R$2:$R$1993,0))),"S/D")</f>
        <v>S/D</v>
      </c>
      <c r="I641" s="15" t="str">
        <f t="shared" ca="1" si="20"/>
        <v>S/D</v>
      </c>
      <c r="J641" s="5">
        <f>IF(A641="","",SUMIFS(Movimientos!$K:$K,Movimientos!$H:$H,A641))</f>
        <v>0</v>
      </c>
      <c r="K641" s="13" t="str">
        <f t="shared" ca="1" si="21"/>
        <v>SIN STOCK</v>
      </c>
    </row>
    <row r="642" spans="1:11">
      <c r="A642" s="16" t="s">
        <v>2947</v>
      </c>
      <c r="B642" s="2" t="str">
        <f>IFERROR(INDEX(Movimientos!$C$2:$C$1993,MATCH(A642&amp;"ENTRADA",Movimientos!$R$2:$R$1993,0)),"-")</f>
        <v>-</v>
      </c>
      <c r="C642" s="2" t="str">
        <f>IFERROR(INDEX(Movimientos!$D$2:$D$1993,MATCH(A642&amp;"ENTRADA",Movimientos!$R$2:$R$1993,0)),"-")</f>
        <v>-</v>
      </c>
      <c r="D642" s="2" t="str">
        <f>IFERROR(INDEX(Movimientos!$E$2:$E$1993,MATCH(A642&amp;"ENTRADA",Movimientos!$R$2:$R$1993,0)),"-")</f>
        <v>-</v>
      </c>
      <c r="E642" s="2" t="str">
        <f>IFERROR(INDEX(Movimientos!$F$2:$F$1993,MATCH(A642&amp;"ENTRADA",Movimientos!$R$2:$R$1993,0)),"-")</f>
        <v>-</v>
      </c>
      <c r="F642" s="2" t="str">
        <f>IFERROR(INDEX(Movimientos!$G$2:$G$1993,MATCH(A642&amp;"ENTRADA",Movimientos!$R$2:$R$1993,0)),"-")</f>
        <v>-</v>
      </c>
      <c r="G642" s="2" t="str">
        <f>IFERROR(INDEX(Movimientos!$L$2:$L$1993,MATCH(A642&amp;"ENTRADA",Movimientos!$R$2:$R$1993,0)),"-")</f>
        <v>-</v>
      </c>
      <c r="H642" s="17" t="str">
        <f>IFERROR(IF(INDEX(Movimientos!$M$2:$M$1993,MATCH(A642&amp;"ENTRADA",Movimientos!$R$2:$R$1993,0))=0,"S/D",INDEX(Movimientos!$M$2:$M$1993,MATCH(A642&amp;"ENTRADA",Movimientos!$R$2:$R$1993,0))),"S/D")</f>
        <v>S/D</v>
      </c>
      <c r="I642" s="15" t="str">
        <f t="shared" ca="1" si="20"/>
        <v>S/D</v>
      </c>
      <c r="J642" s="5">
        <f>IF(A642="","",SUMIFS(Movimientos!$K:$K,Movimientos!$H:$H,A642))</f>
        <v>0</v>
      </c>
      <c r="K642" s="13" t="str">
        <f t="shared" ca="1" si="21"/>
        <v>SIN STOCK</v>
      </c>
    </row>
    <row r="643" spans="1:11">
      <c r="A643" s="16" t="s">
        <v>2948</v>
      </c>
      <c r="B643" s="2" t="str">
        <f>IFERROR(INDEX(Movimientos!$C$2:$C$1993,MATCH(A643&amp;"ENTRADA",Movimientos!$R$2:$R$1993,0)),"-")</f>
        <v>-</v>
      </c>
      <c r="C643" s="2" t="str">
        <f>IFERROR(INDEX(Movimientos!$D$2:$D$1993,MATCH(A643&amp;"ENTRADA",Movimientos!$R$2:$R$1993,0)),"-")</f>
        <v>-</v>
      </c>
      <c r="D643" s="2" t="str">
        <f>IFERROR(INDEX(Movimientos!$E$2:$E$1993,MATCH(A643&amp;"ENTRADA",Movimientos!$R$2:$R$1993,0)),"-")</f>
        <v>-</v>
      </c>
      <c r="E643" s="2" t="str">
        <f>IFERROR(INDEX(Movimientos!$F$2:$F$1993,MATCH(A643&amp;"ENTRADA",Movimientos!$R$2:$R$1993,0)),"-")</f>
        <v>-</v>
      </c>
      <c r="F643" s="2" t="str">
        <f>IFERROR(INDEX(Movimientos!$G$2:$G$1993,MATCH(A643&amp;"ENTRADA",Movimientos!$R$2:$R$1993,0)),"-")</f>
        <v>-</v>
      </c>
      <c r="G643" s="2" t="str">
        <f>IFERROR(INDEX(Movimientos!$L$2:$L$1993,MATCH(A643&amp;"ENTRADA",Movimientos!$R$2:$R$1993,0)),"-")</f>
        <v>-</v>
      </c>
      <c r="H643" s="17" t="str">
        <f>IFERROR(IF(INDEX(Movimientos!$M$2:$M$1993,MATCH(A643&amp;"ENTRADA",Movimientos!$R$2:$R$1993,0))=0,"S/D",INDEX(Movimientos!$M$2:$M$1993,MATCH(A643&amp;"ENTRADA",Movimientos!$R$2:$R$1993,0))),"S/D")</f>
        <v>S/D</v>
      </c>
      <c r="I643" s="15" t="str">
        <f t="shared" ca="1" si="20"/>
        <v>S/D</v>
      </c>
      <c r="J643" s="5">
        <f>IF(A643="","",SUMIFS(Movimientos!$K:$K,Movimientos!$H:$H,A643))</f>
        <v>0</v>
      </c>
      <c r="K643" s="13" t="str">
        <f t="shared" ca="1" si="21"/>
        <v>SIN STOCK</v>
      </c>
    </row>
    <row r="644" spans="1:11">
      <c r="A644" s="16" t="s">
        <v>2949</v>
      </c>
      <c r="B644" s="2" t="str">
        <f>IFERROR(INDEX(Movimientos!$C$2:$C$1993,MATCH(A644&amp;"ENTRADA",Movimientos!$R$2:$R$1993,0)),"-")</f>
        <v>-</v>
      </c>
      <c r="C644" s="2" t="str">
        <f>IFERROR(INDEX(Movimientos!$D$2:$D$1993,MATCH(A644&amp;"ENTRADA",Movimientos!$R$2:$R$1993,0)),"-")</f>
        <v>-</v>
      </c>
      <c r="D644" s="2" t="str">
        <f>IFERROR(INDEX(Movimientos!$E$2:$E$1993,MATCH(A644&amp;"ENTRADA",Movimientos!$R$2:$R$1993,0)),"-")</f>
        <v>-</v>
      </c>
      <c r="E644" s="2" t="str">
        <f>IFERROR(INDEX(Movimientos!$F$2:$F$1993,MATCH(A644&amp;"ENTRADA",Movimientos!$R$2:$R$1993,0)),"-")</f>
        <v>-</v>
      </c>
      <c r="F644" s="2" t="str">
        <f>IFERROR(INDEX(Movimientos!$G$2:$G$1993,MATCH(A644&amp;"ENTRADA",Movimientos!$R$2:$R$1993,0)),"-")</f>
        <v>-</v>
      </c>
      <c r="G644" s="2" t="str">
        <f>IFERROR(INDEX(Movimientos!$L$2:$L$1993,MATCH(A644&amp;"ENTRADA",Movimientos!$R$2:$R$1993,0)),"-")</f>
        <v>-</v>
      </c>
      <c r="H644" s="17" t="str">
        <f>IFERROR(IF(INDEX(Movimientos!$M$2:$M$1993,MATCH(A644&amp;"ENTRADA",Movimientos!$R$2:$R$1993,0))=0,"S/D",INDEX(Movimientos!$M$2:$M$1993,MATCH(A644&amp;"ENTRADA",Movimientos!$R$2:$R$1993,0))),"S/D")</f>
        <v>S/D</v>
      </c>
      <c r="I644" s="15" t="str">
        <f t="shared" ca="1" si="20"/>
        <v>S/D</v>
      </c>
      <c r="J644" s="5">
        <f>IF(A644="","",SUMIFS(Movimientos!$K:$K,Movimientos!$H:$H,A644))</f>
        <v>0</v>
      </c>
      <c r="K644" s="13" t="str">
        <f t="shared" ca="1" si="21"/>
        <v>SIN STOCK</v>
      </c>
    </row>
    <row r="645" spans="1:11">
      <c r="A645" s="16" t="s">
        <v>2950</v>
      </c>
      <c r="B645" s="2" t="str">
        <f>IFERROR(INDEX(Movimientos!$C$2:$C$1993,MATCH(A645&amp;"ENTRADA",Movimientos!$R$2:$R$1993,0)),"-")</f>
        <v>-</v>
      </c>
      <c r="C645" s="2" t="str">
        <f>IFERROR(INDEX(Movimientos!$D$2:$D$1993,MATCH(A645&amp;"ENTRADA",Movimientos!$R$2:$R$1993,0)),"-")</f>
        <v>-</v>
      </c>
      <c r="D645" s="2" t="str">
        <f>IFERROR(INDEX(Movimientos!$E$2:$E$1993,MATCH(A645&amp;"ENTRADA",Movimientos!$R$2:$R$1993,0)),"-")</f>
        <v>-</v>
      </c>
      <c r="E645" s="2" t="str">
        <f>IFERROR(INDEX(Movimientos!$F$2:$F$1993,MATCH(A645&amp;"ENTRADA",Movimientos!$R$2:$R$1993,0)),"-")</f>
        <v>-</v>
      </c>
      <c r="F645" s="2" t="str">
        <f>IFERROR(INDEX(Movimientos!$G$2:$G$1993,MATCH(A645&amp;"ENTRADA",Movimientos!$R$2:$R$1993,0)),"-")</f>
        <v>-</v>
      </c>
      <c r="G645" s="2" t="str">
        <f>IFERROR(INDEX(Movimientos!$L$2:$L$1993,MATCH(A645&amp;"ENTRADA",Movimientos!$R$2:$R$1993,0)),"-")</f>
        <v>-</v>
      </c>
      <c r="H645" s="17" t="str">
        <f>IFERROR(IF(INDEX(Movimientos!$M$2:$M$1993,MATCH(A645&amp;"ENTRADA",Movimientos!$R$2:$R$1993,0))=0,"S/D",INDEX(Movimientos!$M$2:$M$1993,MATCH(A645&amp;"ENTRADA",Movimientos!$R$2:$R$1993,0))),"S/D")</f>
        <v>S/D</v>
      </c>
      <c r="I645" s="15" t="str">
        <f t="shared" ref="I645:I708" ca="1" si="22">IF(OR(A645="",H645="S/D"),"S/D",H645-TODAY())</f>
        <v>S/D</v>
      </c>
      <c r="J645" s="5">
        <f>IF(A645="","",SUMIFS(Movimientos!$K:$K,Movimientos!$H:$H,A645))</f>
        <v>0</v>
      </c>
      <c r="K645" s="13" t="str">
        <f t="shared" ca="1" si="21"/>
        <v>SIN STOCK</v>
      </c>
    </row>
    <row r="646" spans="1:11">
      <c r="A646" s="16" t="s">
        <v>2951</v>
      </c>
      <c r="B646" s="2" t="str">
        <f>IFERROR(INDEX(Movimientos!$C$2:$C$1993,MATCH(A646&amp;"ENTRADA",Movimientos!$R$2:$R$1993,0)),"-")</f>
        <v>-</v>
      </c>
      <c r="C646" s="2" t="str">
        <f>IFERROR(INDEX(Movimientos!$D$2:$D$1993,MATCH(A646&amp;"ENTRADA",Movimientos!$R$2:$R$1993,0)),"-")</f>
        <v>-</v>
      </c>
      <c r="D646" s="2" t="str">
        <f>IFERROR(INDEX(Movimientos!$E$2:$E$1993,MATCH(A646&amp;"ENTRADA",Movimientos!$R$2:$R$1993,0)),"-")</f>
        <v>-</v>
      </c>
      <c r="E646" s="2" t="str">
        <f>IFERROR(INDEX(Movimientos!$F$2:$F$1993,MATCH(A646&amp;"ENTRADA",Movimientos!$R$2:$R$1993,0)),"-")</f>
        <v>-</v>
      </c>
      <c r="F646" s="2" t="str">
        <f>IFERROR(INDEX(Movimientos!$G$2:$G$1993,MATCH(A646&amp;"ENTRADA",Movimientos!$R$2:$R$1993,0)),"-")</f>
        <v>-</v>
      </c>
      <c r="G646" s="2" t="str">
        <f>IFERROR(INDEX(Movimientos!$L$2:$L$1993,MATCH(A646&amp;"ENTRADA",Movimientos!$R$2:$R$1993,0)),"-")</f>
        <v>-</v>
      </c>
      <c r="H646" s="17" t="str">
        <f>IFERROR(IF(INDEX(Movimientos!$M$2:$M$1993,MATCH(A646&amp;"ENTRADA",Movimientos!$R$2:$R$1993,0))=0,"S/D",INDEX(Movimientos!$M$2:$M$1993,MATCH(A646&amp;"ENTRADA",Movimientos!$R$2:$R$1993,0))),"S/D")</f>
        <v>S/D</v>
      </c>
      <c r="I646" s="15" t="str">
        <f t="shared" ca="1" si="22"/>
        <v>S/D</v>
      </c>
      <c r="J646" s="5">
        <f>IF(A646="","",SUMIFS(Movimientos!$K:$K,Movimientos!$H:$H,A646))</f>
        <v>0</v>
      </c>
      <c r="K646" s="13" t="str">
        <f t="shared" ca="1" si="21"/>
        <v>SIN STOCK</v>
      </c>
    </row>
    <row r="647" spans="1:11">
      <c r="A647" s="16" t="s">
        <v>2952</v>
      </c>
      <c r="B647" s="2" t="str">
        <f>IFERROR(INDEX(Movimientos!$C$2:$C$1993,MATCH(A647&amp;"ENTRADA",Movimientos!$R$2:$R$1993,0)),"-")</f>
        <v>-</v>
      </c>
      <c r="C647" s="2" t="str">
        <f>IFERROR(INDEX(Movimientos!$D$2:$D$1993,MATCH(A647&amp;"ENTRADA",Movimientos!$R$2:$R$1993,0)),"-")</f>
        <v>-</v>
      </c>
      <c r="D647" s="2" t="str">
        <f>IFERROR(INDEX(Movimientos!$E$2:$E$1993,MATCH(A647&amp;"ENTRADA",Movimientos!$R$2:$R$1993,0)),"-")</f>
        <v>-</v>
      </c>
      <c r="E647" s="2" t="str">
        <f>IFERROR(INDEX(Movimientos!$F$2:$F$1993,MATCH(A647&amp;"ENTRADA",Movimientos!$R$2:$R$1993,0)),"-")</f>
        <v>-</v>
      </c>
      <c r="F647" s="2" t="str">
        <f>IFERROR(INDEX(Movimientos!$G$2:$G$1993,MATCH(A647&amp;"ENTRADA",Movimientos!$R$2:$R$1993,0)),"-")</f>
        <v>-</v>
      </c>
      <c r="G647" s="2" t="str">
        <f>IFERROR(INDEX(Movimientos!$L$2:$L$1993,MATCH(A647&amp;"ENTRADA",Movimientos!$R$2:$R$1993,0)),"-")</f>
        <v>-</v>
      </c>
      <c r="H647" s="17" t="str">
        <f>IFERROR(IF(INDEX(Movimientos!$M$2:$M$1993,MATCH(A647&amp;"ENTRADA",Movimientos!$R$2:$R$1993,0))=0,"S/D",INDEX(Movimientos!$M$2:$M$1993,MATCH(A647&amp;"ENTRADA",Movimientos!$R$2:$R$1993,0))),"S/D")</f>
        <v>S/D</v>
      </c>
      <c r="I647" s="15" t="str">
        <f t="shared" ca="1" si="22"/>
        <v>S/D</v>
      </c>
      <c r="J647" s="5">
        <f>IF(A647="","",SUMIFS(Movimientos!$K:$K,Movimientos!$H:$H,A647))</f>
        <v>0</v>
      </c>
      <c r="K647" s="13" t="str">
        <f t="shared" ca="1" si="21"/>
        <v>SIN STOCK</v>
      </c>
    </row>
    <row r="648" spans="1:11">
      <c r="A648" s="16" t="s">
        <v>2953</v>
      </c>
      <c r="B648" s="2" t="str">
        <f>IFERROR(INDEX(Movimientos!$C$2:$C$1993,MATCH(A648&amp;"ENTRADA",Movimientos!$R$2:$R$1993,0)),"-")</f>
        <v>-</v>
      </c>
      <c r="C648" s="2" t="str">
        <f>IFERROR(INDEX(Movimientos!$D$2:$D$1993,MATCH(A648&amp;"ENTRADA",Movimientos!$R$2:$R$1993,0)),"-")</f>
        <v>-</v>
      </c>
      <c r="D648" s="2" t="str">
        <f>IFERROR(INDEX(Movimientos!$E$2:$E$1993,MATCH(A648&amp;"ENTRADA",Movimientos!$R$2:$R$1993,0)),"-")</f>
        <v>-</v>
      </c>
      <c r="E648" s="2" t="str">
        <f>IFERROR(INDEX(Movimientos!$F$2:$F$1993,MATCH(A648&amp;"ENTRADA",Movimientos!$R$2:$R$1993,0)),"-")</f>
        <v>-</v>
      </c>
      <c r="F648" s="2" t="str">
        <f>IFERROR(INDEX(Movimientos!$G$2:$G$1993,MATCH(A648&amp;"ENTRADA",Movimientos!$R$2:$R$1993,0)),"-")</f>
        <v>-</v>
      </c>
      <c r="G648" s="2" t="str">
        <f>IFERROR(INDEX(Movimientos!$L$2:$L$1993,MATCH(A648&amp;"ENTRADA",Movimientos!$R$2:$R$1993,0)),"-")</f>
        <v>-</v>
      </c>
      <c r="H648" s="17" t="str">
        <f>IFERROR(IF(INDEX(Movimientos!$M$2:$M$1993,MATCH(A648&amp;"ENTRADA",Movimientos!$R$2:$R$1993,0))=0,"S/D",INDEX(Movimientos!$M$2:$M$1993,MATCH(A648&amp;"ENTRADA",Movimientos!$R$2:$R$1993,0))),"S/D")</f>
        <v>S/D</v>
      </c>
      <c r="I648" s="15" t="str">
        <f t="shared" ca="1" si="22"/>
        <v>S/D</v>
      </c>
      <c r="J648" s="5">
        <f>IF(A648="","",SUMIFS(Movimientos!$K:$K,Movimientos!$H:$H,A648))</f>
        <v>0</v>
      </c>
      <c r="K648" s="13" t="str">
        <f t="shared" ca="1" si="21"/>
        <v>SIN STOCK</v>
      </c>
    </row>
    <row r="649" spans="1:11">
      <c r="A649" s="16" t="s">
        <v>2954</v>
      </c>
      <c r="B649" s="2" t="str">
        <f>IFERROR(INDEX(Movimientos!$C$2:$C$1993,MATCH(A649&amp;"ENTRADA",Movimientos!$R$2:$R$1993,0)),"-")</f>
        <v>-</v>
      </c>
      <c r="C649" s="2" t="str">
        <f>IFERROR(INDEX(Movimientos!$D$2:$D$1993,MATCH(A649&amp;"ENTRADA",Movimientos!$R$2:$R$1993,0)),"-")</f>
        <v>-</v>
      </c>
      <c r="D649" s="2" t="str">
        <f>IFERROR(INDEX(Movimientos!$E$2:$E$1993,MATCH(A649&amp;"ENTRADA",Movimientos!$R$2:$R$1993,0)),"-")</f>
        <v>-</v>
      </c>
      <c r="E649" s="2" t="str">
        <f>IFERROR(INDEX(Movimientos!$F$2:$F$1993,MATCH(A649&amp;"ENTRADA",Movimientos!$R$2:$R$1993,0)),"-")</f>
        <v>-</v>
      </c>
      <c r="F649" s="2" t="str">
        <f>IFERROR(INDEX(Movimientos!$G$2:$G$1993,MATCH(A649&amp;"ENTRADA",Movimientos!$R$2:$R$1993,0)),"-")</f>
        <v>-</v>
      </c>
      <c r="G649" s="2" t="str">
        <f>IFERROR(INDEX(Movimientos!$L$2:$L$1993,MATCH(A649&amp;"ENTRADA",Movimientos!$R$2:$R$1993,0)),"-")</f>
        <v>-</v>
      </c>
      <c r="H649" s="17" t="str">
        <f>IFERROR(IF(INDEX(Movimientos!$M$2:$M$1993,MATCH(A649&amp;"ENTRADA",Movimientos!$R$2:$R$1993,0))=0,"S/D",INDEX(Movimientos!$M$2:$M$1993,MATCH(A649&amp;"ENTRADA",Movimientos!$R$2:$R$1993,0))),"S/D")</f>
        <v>S/D</v>
      </c>
      <c r="I649" s="15" t="str">
        <f t="shared" ca="1" si="22"/>
        <v>S/D</v>
      </c>
      <c r="J649" s="5">
        <f>IF(A649="","",SUMIFS(Movimientos!$K:$K,Movimientos!$H:$H,A649))</f>
        <v>0</v>
      </c>
      <c r="K649" s="13" t="str">
        <f t="shared" ca="1" si="21"/>
        <v>SIN STOCK</v>
      </c>
    </row>
    <row r="650" spans="1:11">
      <c r="A650" s="16" t="s">
        <v>2955</v>
      </c>
      <c r="B650" s="2" t="str">
        <f>IFERROR(INDEX(Movimientos!$C$2:$C$1993,MATCH(A650&amp;"ENTRADA",Movimientos!$R$2:$R$1993,0)),"-")</f>
        <v>-</v>
      </c>
      <c r="C650" s="2" t="str">
        <f>IFERROR(INDEX(Movimientos!$D$2:$D$1993,MATCH(A650&amp;"ENTRADA",Movimientos!$R$2:$R$1993,0)),"-")</f>
        <v>-</v>
      </c>
      <c r="D650" s="2" t="str">
        <f>IFERROR(INDEX(Movimientos!$E$2:$E$1993,MATCH(A650&amp;"ENTRADA",Movimientos!$R$2:$R$1993,0)),"-")</f>
        <v>-</v>
      </c>
      <c r="E650" s="2" t="str">
        <f>IFERROR(INDEX(Movimientos!$F$2:$F$1993,MATCH(A650&amp;"ENTRADA",Movimientos!$R$2:$R$1993,0)),"-")</f>
        <v>-</v>
      </c>
      <c r="F650" s="2" t="str">
        <f>IFERROR(INDEX(Movimientos!$G$2:$G$1993,MATCH(A650&amp;"ENTRADA",Movimientos!$R$2:$R$1993,0)),"-")</f>
        <v>-</v>
      </c>
      <c r="G650" s="2" t="str">
        <f>IFERROR(INDEX(Movimientos!$L$2:$L$1993,MATCH(A650&amp;"ENTRADA",Movimientos!$R$2:$R$1993,0)),"-")</f>
        <v>-</v>
      </c>
      <c r="H650" s="17" t="str">
        <f>IFERROR(IF(INDEX(Movimientos!$M$2:$M$1993,MATCH(A650&amp;"ENTRADA",Movimientos!$R$2:$R$1993,0))=0,"S/D",INDEX(Movimientos!$M$2:$M$1993,MATCH(A650&amp;"ENTRADA",Movimientos!$R$2:$R$1993,0))),"S/D")</f>
        <v>S/D</v>
      </c>
      <c r="I650" s="15" t="str">
        <f t="shared" ca="1" si="22"/>
        <v>S/D</v>
      </c>
      <c r="J650" s="5">
        <f>IF(A650="","",SUMIFS(Movimientos!$K:$K,Movimientos!$H:$H,A650))</f>
        <v>0</v>
      </c>
      <c r="K650" s="13" t="str">
        <f t="shared" ca="1" si="21"/>
        <v>SIN STOCK</v>
      </c>
    </row>
    <row r="651" spans="1:11">
      <c r="A651" s="16" t="s">
        <v>2956</v>
      </c>
      <c r="B651" s="2" t="str">
        <f>IFERROR(INDEX(Movimientos!$C$2:$C$1993,MATCH(A651&amp;"ENTRADA",Movimientos!$R$2:$R$1993,0)),"-")</f>
        <v>-</v>
      </c>
      <c r="C651" s="2" t="str">
        <f>IFERROR(INDEX(Movimientos!$D$2:$D$1993,MATCH(A651&amp;"ENTRADA",Movimientos!$R$2:$R$1993,0)),"-")</f>
        <v>-</v>
      </c>
      <c r="D651" s="2" t="str">
        <f>IFERROR(INDEX(Movimientos!$E$2:$E$1993,MATCH(A651&amp;"ENTRADA",Movimientos!$R$2:$R$1993,0)),"-")</f>
        <v>-</v>
      </c>
      <c r="E651" s="2" t="str">
        <f>IFERROR(INDEX(Movimientos!$F$2:$F$1993,MATCH(A651&amp;"ENTRADA",Movimientos!$R$2:$R$1993,0)),"-")</f>
        <v>-</v>
      </c>
      <c r="F651" s="2" t="str">
        <f>IFERROR(INDEX(Movimientos!$G$2:$G$1993,MATCH(A651&amp;"ENTRADA",Movimientos!$R$2:$R$1993,0)),"-")</f>
        <v>-</v>
      </c>
      <c r="G651" s="2" t="str">
        <f>IFERROR(INDEX(Movimientos!$L$2:$L$1993,MATCH(A651&amp;"ENTRADA",Movimientos!$R$2:$R$1993,0)),"-")</f>
        <v>-</v>
      </c>
      <c r="H651" s="17" t="str">
        <f>IFERROR(IF(INDEX(Movimientos!$M$2:$M$1993,MATCH(A651&amp;"ENTRADA",Movimientos!$R$2:$R$1993,0))=0,"S/D",INDEX(Movimientos!$M$2:$M$1993,MATCH(A651&amp;"ENTRADA",Movimientos!$R$2:$R$1993,0))),"S/D")</f>
        <v>S/D</v>
      </c>
      <c r="I651" s="15" t="str">
        <f t="shared" ca="1" si="22"/>
        <v>S/D</v>
      </c>
      <c r="J651" s="5">
        <f>IF(A651="","",SUMIFS(Movimientos!$K:$K,Movimientos!$H:$H,A651))</f>
        <v>0</v>
      </c>
      <c r="K651" s="13" t="str">
        <f t="shared" ca="1" si="21"/>
        <v>SIN STOCK</v>
      </c>
    </row>
    <row r="652" spans="1:11">
      <c r="A652" s="16" t="s">
        <v>2957</v>
      </c>
      <c r="B652" s="2" t="str">
        <f>IFERROR(INDEX(Movimientos!$C$2:$C$1993,MATCH(A652&amp;"ENTRADA",Movimientos!$R$2:$R$1993,0)),"-")</f>
        <v>-</v>
      </c>
      <c r="C652" s="2" t="str">
        <f>IFERROR(INDEX(Movimientos!$D$2:$D$1993,MATCH(A652&amp;"ENTRADA",Movimientos!$R$2:$R$1993,0)),"-")</f>
        <v>-</v>
      </c>
      <c r="D652" s="2" t="str">
        <f>IFERROR(INDEX(Movimientos!$E$2:$E$1993,MATCH(A652&amp;"ENTRADA",Movimientos!$R$2:$R$1993,0)),"-")</f>
        <v>-</v>
      </c>
      <c r="E652" s="2" t="str">
        <f>IFERROR(INDEX(Movimientos!$F$2:$F$1993,MATCH(A652&amp;"ENTRADA",Movimientos!$R$2:$R$1993,0)),"-")</f>
        <v>-</v>
      </c>
      <c r="F652" s="2" t="str">
        <f>IFERROR(INDEX(Movimientos!$G$2:$G$1993,MATCH(A652&amp;"ENTRADA",Movimientos!$R$2:$R$1993,0)),"-")</f>
        <v>-</v>
      </c>
      <c r="G652" s="2" t="str">
        <f>IFERROR(INDEX(Movimientos!$L$2:$L$1993,MATCH(A652&amp;"ENTRADA",Movimientos!$R$2:$R$1993,0)),"-")</f>
        <v>-</v>
      </c>
      <c r="H652" s="17" t="str">
        <f>IFERROR(IF(INDEX(Movimientos!$M$2:$M$1993,MATCH(A652&amp;"ENTRADA",Movimientos!$R$2:$R$1993,0))=0,"S/D",INDEX(Movimientos!$M$2:$M$1993,MATCH(A652&amp;"ENTRADA",Movimientos!$R$2:$R$1993,0))),"S/D")</f>
        <v>S/D</v>
      </c>
      <c r="I652" s="15" t="str">
        <f t="shared" ca="1" si="22"/>
        <v>S/D</v>
      </c>
      <c r="J652" s="5">
        <f>IF(A652="","",SUMIFS(Movimientos!$K:$K,Movimientos!$H:$H,A652))</f>
        <v>0</v>
      </c>
      <c r="K652" s="13" t="str">
        <f t="shared" ca="1" si="21"/>
        <v>SIN STOCK</v>
      </c>
    </row>
    <row r="653" spans="1:11">
      <c r="A653" s="16" t="s">
        <v>2958</v>
      </c>
      <c r="B653" s="2" t="str">
        <f>IFERROR(INDEX(Movimientos!$C$2:$C$1993,MATCH(A653&amp;"ENTRADA",Movimientos!$R$2:$R$1993,0)),"-")</f>
        <v>-</v>
      </c>
      <c r="C653" s="2" t="str">
        <f>IFERROR(INDEX(Movimientos!$D$2:$D$1993,MATCH(A653&amp;"ENTRADA",Movimientos!$R$2:$R$1993,0)),"-")</f>
        <v>-</v>
      </c>
      <c r="D653" s="2" t="str">
        <f>IFERROR(INDEX(Movimientos!$E$2:$E$1993,MATCH(A653&amp;"ENTRADA",Movimientos!$R$2:$R$1993,0)),"-")</f>
        <v>-</v>
      </c>
      <c r="E653" s="2" t="str">
        <f>IFERROR(INDEX(Movimientos!$F$2:$F$1993,MATCH(A653&amp;"ENTRADA",Movimientos!$R$2:$R$1993,0)),"-")</f>
        <v>-</v>
      </c>
      <c r="F653" s="2" t="str">
        <f>IFERROR(INDEX(Movimientos!$G$2:$G$1993,MATCH(A653&amp;"ENTRADA",Movimientos!$R$2:$R$1993,0)),"-")</f>
        <v>-</v>
      </c>
      <c r="G653" s="2" t="str">
        <f>IFERROR(INDEX(Movimientos!$L$2:$L$1993,MATCH(A653&amp;"ENTRADA",Movimientos!$R$2:$R$1993,0)),"-")</f>
        <v>-</v>
      </c>
      <c r="H653" s="17" t="str">
        <f>IFERROR(IF(INDEX(Movimientos!$M$2:$M$1993,MATCH(A653&amp;"ENTRADA",Movimientos!$R$2:$R$1993,0))=0,"S/D",INDEX(Movimientos!$M$2:$M$1993,MATCH(A653&amp;"ENTRADA",Movimientos!$R$2:$R$1993,0))),"S/D")</f>
        <v>S/D</v>
      </c>
      <c r="I653" s="15" t="str">
        <f t="shared" ca="1" si="22"/>
        <v>S/D</v>
      </c>
      <c r="J653" s="5">
        <f>IF(A653="","",SUMIFS(Movimientos!$K:$K,Movimientos!$H:$H,A653))</f>
        <v>0</v>
      </c>
      <c r="K653" s="13" t="str">
        <f t="shared" ca="1" si="21"/>
        <v>SIN STOCK</v>
      </c>
    </row>
    <row r="654" spans="1:11">
      <c r="A654" s="16" t="s">
        <v>2959</v>
      </c>
      <c r="B654" s="2" t="str">
        <f>IFERROR(INDEX(Movimientos!$C$2:$C$1993,MATCH(A654&amp;"ENTRADA",Movimientos!$R$2:$R$1993,0)),"-")</f>
        <v>-</v>
      </c>
      <c r="C654" s="2" t="str">
        <f>IFERROR(INDEX(Movimientos!$D$2:$D$1993,MATCH(A654&amp;"ENTRADA",Movimientos!$R$2:$R$1993,0)),"-")</f>
        <v>-</v>
      </c>
      <c r="D654" s="2" t="str">
        <f>IFERROR(INDEX(Movimientos!$E$2:$E$1993,MATCH(A654&amp;"ENTRADA",Movimientos!$R$2:$R$1993,0)),"-")</f>
        <v>-</v>
      </c>
      <c r="E654" s="2" t="str">
        <f>IFERROR(INDEX(Movimientos!$F$2:$F$1993,MATCH(A654&amp;"ENTRADA",Movimientos!$R$2:$R$1993,0)),"-")</f>
        <v>-</v>
      </c>
      <c r="F654" s="2" t="str">
        <f>IFERROR(INDEX(Movimientos!$G$2:$G$1993,MATCH(A654&amp;"ENTRADA",Movimientos!$R$2:$R$1993,0)),"-")</f>
        <v>-</v>
      </c>
      <c r="G654" s="2" t="str">
        <f>IFERROR(INDEX(Movimientos!$L$2:$L$1993,MATCH(A654&amp;"ENTRADA",Movimientos!$R$2:$R$1993,0)),"-")</f>
        <v>-</v>
      </c>
      <c r="H654" s="17" t="str">
        <f>IFERROR(IF(INDEX(Movimientos!$M$2:$M$1993,MATCH(A654&amp;"ENTRADA",Movimientos!$R$2:$R$1993,0))=0,"S/D",INDEX(Movimientos!$M$2:$M$1993,MATCH(A654&amp;"ENTRADA",Movimientos!$R$2:$R$1993,0))),"S/D")</f>
        <v>S/D</v>
      </c>
      <c r="I654" s="15" t="str">
        <f t="shared" ca="1" si="22"/>
        <v>S/D</v>
      </c>
      <c r="J654" s="5">
        <f>IF(A654="","",SUMIFS(Movimientos!$K:$K,Movimientos!$H:$H,A654))</f>
        <v>0</v>
      </c>
      <c r="K654" s="13" t="str">
        <f t="shared" ca="1" si="21"/>
        <v>SIN STOCK</v>
      </c>
    </row>
    <row r="655" spans="1:11">
      <c r="A655" s="16" t="s">
        <v>2960</v>
      </c>
      <c r="B655" s="2" t="str">
        <f>IFERROR(INDEX(Movimientos!$C$2:$C$1993,MATCH(A655&amp;"ENTRADA",Movimientos!$R$2:$R$1993,0)),"-")</f>
        <v>-</v>
      </c>
      <c r="C655" s="2" t="str">
        <f>IFERROR(INDEX(Movimientos!$D$2:$D$1993,MATCH(A655&amp;"ENTRADA",Movimientos!$R$2:$R$1993,0)),"-")</f>
        <v>-</v>
      </c>
      <c r="D655" s="2" t="str">
        <f>IFERROR(INDEX(Movimientos!$E$2:$E$1993,MATCH(A655&amp;"ENTRADA",Movimientos!$R$2:$R$1993,0)),"-")</f>
        <v>-</v>
      </c>
      <c r="E655" s="2" t="str">
        <f>IFERROR(INDEX(Movimientos!$F$2:$F$1993,MATCH(A655&amp;"ENTRADA",Movimientos!$R$2:$R$1993,0)),"-")</f>
        <v>-</v>
      </c>
      <c r="F655" s="2" t="str">
        <f>IFERROR(INDEX(Movimientos!$G$2:$G$1993,MATCH(A655&amp;"ENTRADA",Movimientos!$R$2:$R$1993,0)),"-")</f>
        <v>-</v>
      </c>
      <c r="G655" s="2" t="str">
        <f>IFERROR(INDEX(Movimientos!$L$2:$L$1993,MATCH(A655&amp;"ENTRADA",Movimientos!$R$2:$R$1993,0)),"-")</f>
        <v>-</v>
      </c>
      <c r="H655" s="17" t="str">
        <f>IFERROR(IF(INDEX(Movimientos!$M$2:$M$1993,MATCH(A655&amp;"ENTRADA",Movimientos!$R$2:$R$1993,0))=0,"S/D",INDEX(Movimientos!$M$2:$M$1993,MATCH(A655&amp;"ENTRADA",Movimientos!$R$2:$R$1993,0))),"S/D")</f>
        <v>S/D</v>
      </c>
      <c r="I655" s="15" t="str">
        <f t="shared" ca="1" si="22"/>
        <v>S/D</v>
      </c>
      <c r="J655" s="5">
        <f>IF(A655="","",SUMIFS(Movimientos!$K:$K,Movimientos!$H:$H,A655))</f>
        <v>0</v>
      </c>
      <c r="K655" s="13" t="str">
        <f t="shared" ca="1" si="21"/>
        <v>SIN STOCK</v>
      </c>
    </row>
    <row r="656" spans="1:11">
      <c r="A656" s="16" t="s">
        <v>2961</v>
      </c>
      <c r="B656" s="2" t="str">
        <f>IFERROR(INDEX(Movimientos!$C$2:$C$1993,MATCH(A656&amp;"ENTRADA",Movimientos!$R$2:$R$1993,0)),"-")</f>
        <v>-</v>
      </c>
      <c r="C656" s="2" t="str">
        <f>IFERROR(INDEX(Movimientos!$D$2:$D$1993,MATCH(A656&amp;"ENTRADA",Movimientos!$R$2:$R$1993,0)),"-")</f>
        <v>-</v>
      </c>
      <c r="D656" s="2" t="str">
        <f>IFERROR(INDEX(Movimientos!$E$2:$E$1993,MATCH(A656&amp;"ENTRADA",Movimientos!$R$2:$R$1993,0)),"-")</f>
        <v>-</v>
      </c>
      <c r="E656" s="2" t="str">
        <f>IFERROR(INDEX(Movimientos!$F$2:$F$1993,MATCH(A656&amp;"ENTRADA",Movimientos!$R$2:$R$1993,0)),"-")</f>
        <v>-</v>
      </c>
      <c r="F656" s="2" t="str">
        <f>IFERROR(INDEX(Movimientos!$G$2:$G$1993,MATCH(A656&amp;"ENTRADA",Movimientos!$R$2:$R$1993,0)),"-")</f>
        <v>-</v>
      </c>
      <c r="G656" s="2" t="str">
        <f>IFERROR(INDEX(Movimientos!$L$2:$L$1993,MATCH(A656&amp;"ENTRADA",Movimientos!$R$2:$R$1993,0)),"-")</f>
        <v>-</v>
      </c>
      <c r="H656" s="17" t="str">
        <f>IFERROR(IF(INDEX(Movimientos!$M$2:$M$1993,MATCH(A656&amp;"ENTRADA",Movimientos!$R$2:$R$1993,0))=0,"S/D",INDEX(Movimientos!$M$2:$M$1993,MATCH(A656&amp;"ENTRADA",Movimientos!$R$2:$R$1993,0))),"S/D")</f>
        <v>S/D</v>
      </c>
      <c r="I656" s="15" t="str">
        <f t="shared" ca="1" si="22"/>
        <v>S/D</v>
      </c>
      <c r="J656" s="5">
        <f>IF(A656="","",SUMIFS(Movimientos!$K:$K,Movimientos!$H:$H,A656))</f>
        <v>0</v>
      </c>
      <c r="K656" s="13" t="str">
        <f t="shared" ca="1" si="21"/>
        <v>SIN STOCK</v>
      </c>
    </row>
    <row r="657" spans="1:11">
      <c r="A657" s="16" t="s">
        <v>2962</v>
      </c>
      <c r="B657" s="2" t="str">
        <f>IFERROR(INDEX(Movimientos!$C$2:$C$1993,MATCH(A657&amp;"ENTRADA",Movimientos!$R$2:$R$1993,0)),"-")</f>
        <v>-</v>
      </c>
      <c r="C657" s="2" t="str">
        <f>IFERROR(INDEX(Movimientos!$D$2:$D$1993,MATCH(A657&amp;"ENTRADA",Movimientos!$R$2:$R$1993,0)),"-")</f>
        <v>-</v>
      </c>
      <c r="D657" s="2" t="str">
        <f>IFERROR(INDEX(Movimientos!$E$2:$E$1993,MATCH(A657&amp;"ENTRADA",Movimientos!$R$2:$R$1993,0)),"-")</f>
        <v>-</v>
      </c>
      <c r="E657" s="2" t="str">
        <f>IFERROR(INDEX(Movimientos!$F$2:$F$1993,MATCH(A657&amp;"ENTRADA",Movimientos!$R$2:$R$1993,0)),"-")</f>
        <v>-</v>
      </c>
      <c r="F657" s="2" t="str">
        <f>IFERROR(INDEX(Movimientos!$G$2:$G$1993,MATCH(A657&amp;"ENTRADA",Movimientos!$R$2:$R$1993,0)),"-")</f>
        <v>-</v>
      </c>
      <c r="G657" s="2" t="str">
        <f>IFERROR(INDEX(Movimientos!$L$2:$L$1993,MATCH(A657&amp;"ENTRADA",Movimientos!$R$2:$R$1993,0)),"-")</f>
        <v>-</v>
      </c>
      <c r="H657" s="17" t="str">
        <f>IFERROR(IF(INDEX(Movimientos!$M$2:$M$1993,MATCH(A657&amp;"ENTRADA",Movimientos!$R$2:$R$1993,0))=0,"S/D",INDEX(Movimientos!$M$2:$M$1993,MATCH(A657&amp;"ENTRADA",Movimientos!$R$2:$R$1993,0))),"S/D")</f>
        <v>S/D</v>
      </c>
      <c r="I657" s="15" t="str">
        <f t="shared" ca="1" si="22"/>
        <v>S/D</v>
      </c>
      <c r="J657" s="5">
        <f>IF(A657="","",SUMIFS(Movimientos!$K:$K,Movimientos!$H:$H,A657))</f>
        <v>0</v>
      </c>
      <c r="K657" s="13" t="str">
        <f t="shared" ca="1" si="21"/>
        <v>SIN STOCK</v>
      </c>
    </row>
    <row r="658" spans="1:11">
      <c r="A658" s="16" t="s">
        <v>2963</v>
      </c>
      <c r="B658" s="2" t="str">
        <f>IFERROR(INDEX(Movimientos!$C$2:$C$1993,MATCH(A658&amp;"ENTRADA",Movimientos!$R$2:$R$1993,0)),"-")</f>
        <v>-</v>
      </c>
      <c r="C658" s="2" t="str">
        <f>IFERROR(INDEX(Movimientos!$D$2:$D$1993,MATCH(A658&amp;"ENTRADA",Movimientos!$R$2:$R$1993,0)),"-")</f>
        <v>-</v>
      </c>
      <c r="D658" s="2" t="str">
        <f>IFERROR(INDEX(Movimientos!$E$2:$E$1993,MATCH(A658&amp;"ENTRADA",Movimientos!$R$2:$R$1993,0)),"-")</f>
        <v>-</v>
      </c>
      <c r="E658" s="2" t="str">
        <f>IFERROR(INDEX(Movimientos!$F$2:$F$1993,MATCH(A658&amp;"ENTRADA",Movimientos!$R$2:$R$1993,0)),"-")</f>
        <v>-</v>
      </c>
      <c r="F658" s="2" t="str">
        <f>IFERROR(INDEX(Movimientos!$G$2:$G$1993,MATCH(A658&amp;"ENTRADA",Movimientos!$R$2:$R$1993,0)),"-")</f>
        <v>-</v>
      </c>
      <c r="G658" s="2" t="str">
        <f>IFERROR(INDEX(Movimientos!$L$2:$L$1993,MATCH(A658&amp;"ENTRADA",Movimientos!$R$2:$R$1993,0)),"-")</f>
        <v>-</v>
      </c>
      <c r="H658" s="17" t="str">
        <f>IFERROR(IF(INDEX(Movimientos!$M$2:$M$1993,MATCH(A658&amp;"ENTRADA",Movimientos!$R$2:$R$1993,0))=0,"S/D",INDEX(Movimientos!$M$2:$M$1993,MATCH(A658&amp;"ENTRADA",Movimientos!$R$2:$R$1993,0))),"S/D")</f>
        <v>S/D</v>
      </c>
      <c r="I658" s="15" t="str">
        <f t="shared" ca="1" si="22"/>
        <v>S/D</v>
      </c>
      <c r="J658" s="5">
        <f>IF(A658="","",SUMIFS(Movimientos!$K:$K,Movimientos!$H:$H,A658))</f>
        <v>0</v>
      </c>
      <c r="K658" s="13" t="str">
        <f t="shared" ca="1" si="21"/>
        <v>SIN STOCK</v>
      </c>
    </row>
    <row r="659" spans="1:11">
      <c r="A659" s="16" t="s">
        <v>2964</v>
      </c>
      <c r="B659" s="2" t="str">
        <f>IFERROR(INDEX(Movimientos!$C$2:$C$1993,MATCH(A659&amp;"ENTRADA",Movimientos!$R$2:$R$1993,0)),"-")</f>
        <v>-</v>
      </c>
      <c r="C659" s="2" t="str">
        <f>IFERROR(INDEX(Movimientos!$D$2:$D$1993,MATCH(A659&amp;"ENTRADA",Movimientos!$R$2:$R$1993,0)),"-")</f>
        <v>-</v>
      </c>
      <c r="D659" s="2" t="str">
        <f>IFERROR(INDEX(Movimientos!$E$2:$E$1993,MATCH(A659&amp;"ENTRADA",Movimientos!$R$2:$R$1993,0)),"-")</f>
        <v>-</v>
      </c>
      <c r="E659" s="2" t="str">
        <f>IFERROR(INDEX(Movimientos!$F$2:$F$1993,MATCH(A659&amp;"ENTRADA",Movimientos!$R$2:$R$1993,0)),"-")</f>
        <v>-</v>
      </c>
      <c r="F659" s="2" t="str">
        <f>IFERROR(INDEX(Movimientos!$G$2:$G$1993,MATCH(A659&amp;"ENTRADA",Movimientos!$R$2:$R$1993,0)),"-")</f>
        <v>-</v>
      </c>
      <c r="G659" s="2" t="str">
        <f>IFERROR(INDEX(Movimientos!$L$2:$L$1993,MATCH(A659&amp;"ENTRADA",Movimientos!$R$2:$R$1993,0)),"-")</f>
        <v>-</v>
      </c>
      <c r="H659" s="17" t="str">
        <f>IFERROR(IF(INDEX(Movimientos!$M$2:$M$1993,MATCH(A659&amp;"ENTRADA",Movimientos!$R$2:$R$1993,0))=0,"S/D",INDEX(Movimientos!$M$2:$M$1993,MATCH(A659&amp;"ENTRADA",Movimientos!$R$2:$R$1993,0))),"S/D")</f>
        <v>S/D</v>
      </c>
      <c r="I659" s="15" t="str">
        <f t="shared" ca="1" si="22"/>
        <v>S/D</v>
      </c>
      <c r="J659" s="5">
        <f>IF(A659="","",SUMIFS(Movimientos!$K:$K,Movimientos!$H:$H,A659))</f>
        <v>0</v>
      </c>
      <c r="K659" s="13" t="str">
        <f t="shared" ca="1" si="21"/>
        <v>SIN STOCK</v>
      </c>
    </row>
    <row r="660" spans="1:11">
      <c r="A660" s="16" t="s">
        <v>2965</v>
      </c>
      <c r="B660" s="2" t="str">
        <f>IFERROR(INDEX(Movimientos!$C$2:$C$1993,MATCH(A660&amp;"ENTRADA",Movimientos!$R$2:$R$1993,0)),"-")</f>
        <v>-</v>
      </c>
      <c r="C660" s="2" t="str">
        <f>IFERROR(INDEX(Movimientos!$D$2:$D$1993,MATCH(A660&amp;"ENTRADA",Movimientos!$R$2:$R$1993,0)),"-")</f>
        <v>-</v>
      </c>
      <c r="D660" s="2" t="str">
        <f>IFERROR(INDEX(Movimientos!$E$2:$E$1993,MATCH(A660&amp;"ENTRADA",Movimientos!$R$2:$R$1993,0)),"-")</f>
        <v>-</v>
      </c>
      <c r="E660" s="2" t="str">
        <f>IFERROR(INDEX(Movimientos!$F$2:$F$1993,MATCH(A660&amp;"ENTRADA",Movimientos!$R$2:$R$1993,0)),"-")</f>
        <v>-</v>
      </c>
      <c r="F660" s="2" t="str">
        <f>IFERROR(INDEX(Movimientos!$G$2:$G$1993,MATCH(A660&amp;"ENTRADA",Movimientos!$R$2:$R$1993,0)),"-")</f>
        <v>-</v>
      </c>
      <c r="G660" s="2" t="str">
        <f>IFERROR(INDEX(Movimientos!$L$2:$L$1993,MATCH(A660&amp;"ENTRADA",Movimientos!$R$2:$R$1993,0)),"-")</f>
        <v>-</v>
      </c>
      <c r="H660" s="17" t="str">
        <f>IFERROR(IF(INDEX(Movimientos!$M$2:$M$1993,MATCH(A660&amp;"ENTRADA",Movimientos!$R$2:$R$1993,0))=0,"S/D",INDEX(Movimientos!$M$2:$M$1993,MATCH(A660&amp;"ENTRADA",Movimientos!$R$2:$R$1993,0))),"S/D")</f>
        <v>S/D</v>
      </c>
      <c r="I660" s="15" t="str">
        <f t="shared" ca="1" si="22"/>
        <v>S/D</v>
      </c>
      <c r="J660" s="5">
        <f>IF(A660="","",SUMIFS(Movimientos!$K:$K,Movimientos!$H:$H,A660))</f>
        <v>0</v>
      </c>
      <c r="K660" s="13" t="str">
        <f t="shared" ca="1" si="21"/>
        <v>SIN STOCK</v>
      </c>
    </row>
    <row r="661" spans="1:11">
      <c r="A661" s="16" t="s">
        <v>2966</v>
      </c>
      <c r="B661" s="2" t="str">
        <f>IFERROR(INDEX(Movimientos!$C$2:$C$1993,MATCH(A661&amp;"ENTRADA",Movimientos!$R$2:$R$1993,0)),"-")</f>
        <v>-</v>
      </c>
      <c r="C661" s="2" t="str">
        <f>IFERROR(INDEX(Movimientos!$D$2:$D$1993,MATCH(A661&amp;"ENTRADA",Movimientos!$R$2:$R$1993,0)),"-")</f>
        <v>-</v>
      </c>
      <c r="D661" s="2" t="str">
        <f>IFERROR(INDEX(Movimientos!$E$2:$E$1993,MATCH(A661&amp;"ENTRADA",Movimientos!$R$2:$R$1993,0)),"-")</f>
        <v>-</v>
      </c>
      <c r="E661" s="2" t="str">
        <f>IFERROR(INDEX(Movimientos!$F$2:$F$1993,MATCH(A661&amp;"ENTRADA",Movimientos!$R$2:$R$1993,0)),"-")</f>
        <v>-</v>
      </c>
      <c r="F661" s="2" t="str">
        <f>IFERROR(INDEX(Movimientos!$G$2:$G$1993,MATCH(A661&amp;"ENTRADA",Movimientos!$R$2:$R$1993,0)),"-")</f>
        <v>-</v>
      </c>
      <c r="G661" s="2" t="str">
        <f>IFERROR(INDEX(Movimientos!$L$2:$L$1993,MATCH(A661&amp;"ENTRADA",Movimientos!$R$2:$R$1993,0)),"-")</f>
        <v>-</v>
      </c>
      <c r="H661" s="17" t="str">
        <f>IFERROR(IF(INDEX(Movimientos!$M$2:$M$1993,MATCH(A661&amp;"ENTRADA",Movimientos!$R$2:$R$1993,0))=0,"S/D",INDEX(Movimientos!$M$2:$M$1993,MATCH(A661&amp;"ENTRADA",Movimientos!$R$2:$R$1993,0))),"S/D")</f>
        <v>S/D</v>
      </c>
      <c r="I661" s="15" t="str">
        <f t="shared" ca="1" si="22"/>
        <v>S/D</v>
      </c>
      <c r="J661" s="5">
        <f>IF(A661="","",SUMIFS(Movimientos!$K:$K,Movimientos!$H:$H,A661))</f>
        <v>0</v>
      </c>
      <c r="K661" s="13" t="str">
        <f t="shared" ca="1" si="21"/>
        <v>SIN STOCK</v>
      </c>
    </row>
    <row r="662" spans="1:11">
      <c r="A662" s="16" t="s">
        <v>2967</v>
      </c>
      <c r="B662" s="2" t="str">
        <f>IFERROR(INDEX(Movimientos!$C$2:$C$1993,MATCH(A662&amp;"ENTRADA",Movimientos!$R$2:$R$1993,0)),"-")</f>
        <v>-</v>
      </c>
      <c r="C662" s="2" t="str">
        <f>IFERROR(INDEX(Movimientos!$D$2:$D$1993,MATCH(A662&amp;"ENTRADA",Movimientos!$R$2:$R$1993,0)),"-")</f>
        <v>-</v>
      </c>
      <c r="D662" s="2" t="str">
        <f>IFERROR(INDEX(Movimientos!$E$2:$E$1993,MATCH(A662&amp;"ENTRADA",Movimientos!$R$2:$R$1993,0)),"-")</f>
        <v>-</v>
      </c>
      <c r="E662" s="2" t="str">
        <f>IFERROR(INDEX(Movimientos!$F$2:$F$1993,MATCH(A662&amp;"ENTRADA",Movimientos!$R$2:$R$1993,0)),"-")</f>
        <v>-</v>
      </c>
      <c r="F662" s="2" t="str">
        <f>IFERROR(INDEX(Movimientos!$G$2:$G$1993,MATCH(A662&amp;"ENTRADA",Movimientos!$R$2:$R$1993,0)),"-")</f>
        <v>-</v>
      </c>
      <c r="G662" s="2" t="str">
        <f>IFERROR(INDEX(Movimientos!$L$2:$L$1993,MATCH(A662&amp;"ENTRADA",Movimientos!$R$2:$R$1993,0)),"-")</f>
        <v>-</v>
      </c>
      <c r="H662" s="17" t="str">
        <f>IFERROR(IF(INDEX(Movimientos!$M$2:$M$1993,MATCH(A662&amp;"ENTRADA",Movimientos!$R$2:$R$1993,0))=0,"S/D",INDEX(Movimientos!$M$2:$M$1993,MATCH(A662&amp;"ENTRADA",Movimientos!$R$2:$R$1993,0))),"S/D")</f>
        <v>S/D</v>
      </c>
      <c r="I662" s="15" t="str">
        <f t="shared" ca="1" si="22"/>
        <v>S/D</v>
      </c>
      <c r="J662" s="5">
        <f>IF(A662="","",SUMIFS(Movimientos!$K:$K,Movimientos!$H:$H,A662))</f>
        <v>0</v>
      </c>
      <c r="K662" s="13" t="str">
        <f t="shared" ca="1" si="21"/>
        <v>SIN STOCK</v>
      </c>
    </row>
    <row r="663" spans="1:11">
      <c r="A663" s="16" t="s">
        <v>2968</v>
      </c>
      <c r="B663" s="2" t="str">
        <f>IFERROR(INDEX(Movimientos!$C$2:$C$1993,MATCH(A663&amp;"ENTRADA",Movimientos!$R$2:$R$1993,0)),"-")</f>
        <v>-</v>
      </c>
      <c r="C663" s="2" t="str">
        <f>IFERROR(INDEX(Movimientos!$D$2:$D$1993,MATCH(A663&amp;"ENTRADA",Movimientos!$R$2:$R$1993,0)),"-")</f>
        <v>-</v>
      </c>
      <c r="D663" s="2" t="str">
        <f>IFERROR(INDEX(Movimientos!$E$2:$E$1993,MATCH(A663&amp;"ENTRADA",Movimientos!$R$2:$R$1993,0)),"-")</f>
        <v>-</v>
      </c>
      <c r="E663" s="2" t="str">
        <f>IFERROR(INDEX(Movimientos!$F$2:$F$1993,MATCH(A663&amp;"ENTRADA",Movimientos!$R$2:$R$1993,0)),"-")</f>
        <v>-</v>
      </c>
      <c r="F663" s="2" t="str">
        <f>IFERROR(INDEX(Movimientos!$G$2:$G$1993,MATCH(A663&amp;"ENTRADA",Movimientos!$R$2:$R$1993,0)),"-")</f>
        <v>-</v>
      </c>
      <c r="G663" s="2" t="str">
        <f>IFERROR(INDEX(Movimientos!$L$2:$L$1993,MATCH(A663&amp;"ENTRADA",Movimientos!$R$2:$R$1993,0)),"-")</f>
        <v>-</v>
      </c>
      <c r="H663" s="17" t="str">
        <f>IFERROR(IF(INDEX(Movimientos!$M$2:$M$1993,MATCH(A663&amp;"ENTRADA",Movimientos!$R$2:$R$1993,0))=0,"S/D",INDEX(Movimientos!$M$2:$M$1993,MATCH(A663&amp;"ENTRADA",Movimientos!$R$2:$R$1993,0))),"S/D")</f>
        <v>S/D</v>
      </c>
      <c r="I663" s="15" t="str">
        <f t="shared" ca="1" si="22"/>
        <v>S/D</v>
      </c>
      <c r="J663" s="5">
        <f>IF(A663="","",SUMIFS(Movimientos!$K:$K,Movimientos!$H:$H,A663))</f>
        <v>0</v>
      </c>
      <c r="K663" s="13" t="str">
        <f t="shared" ca="1" si="21"/>
        <v>SIN STOCK</v>
      </c>
    </row>
    <row r="664" spans="1:11">
      <c r="A664" s="16" t="s">
        <v>2969</v>
      </c>
      <c r="B664" s="2" t="str">
        <f>IFERROR(INDEX(Movimientos!$C$2:$C$1993,MATCH(A664&amp;"ENTRADA",Movimientos!$R$2:$R$1993,0)),"-")</f>
        <v>-</v>
      </c>
      <c r="C664" s="2" t="str">
        <f>IFERROR(INDEX(Movimientos!$D$2:$D$1993,MATCH(A664&amp;"ENTRADA",Movimientos!$R$2:$R$1993,0)),"-")</f>
        <v>-</v>
      </c>
      <c r="D664" s="2" t="str">
        <f>IFERROR(INDEX(Movimientos!$E$2:$E$1993,MATCH(A664&amp;"ENTRADA",Movimientos!$R$2:$R$1993,0)),"-")</f>
        <v>-</v>
      </c>
      <c r="E664" s="2" t="str">
        <f>IFERROR(INDEX(Movimientos!$F$2:$F$1993,MATCH(A664&amp;"ENTRADA",Movimientos!$R$2:$R$1993,0)),"-")</f>
        <v>-</v>
      </c>
      <c r="F664" s="2" t="str">
        <f>IFERROR(INDEX(Movimientos!$G$2:$G$1993,MATCH(A664&amp;"ENTRADA",Movimientos!$R$2:$R$1993,0)),"-")</f>
        <v>-</v>
      </c>
      <c r="G664" s="2" t="str">
        <f>IFERROR(INDEX(Movimientos!$L$2:$L$1993,MATCH(A664&amp;"ENTRADA",Movimientos!$R$2:$R$1993,0)),"-")</f>
        <v>-</v>
      </c>
      <c r="H664" s="17" t="str">
        <f>IFERROR(IF(INDEX(Movimientos!$M$2:$M$1993,MATCH(A664&amp;"ENTRADA",Movimientos!$R$2:$R$1993,0))=0,"S/D",INDEX(Movimientos!$M$2:$M$1993,MATCH(A664&amp;"ENTRADA",Movimientos!$R$2:$R$1993,0))),"S/D")</f>
        <v>S/D</v>
      </c>
      <c r="I664" s="15" t="str">
        <f t="shared" ca="1" si="22"/>
        <v>S/D</v>
      </c>
      <c r="J664" s="5">
        <f>IF(A664="","",SUMIFS(Movimientos!$K:$K,Movimientos!$H:$H,A664))</f>
        <v>0</v>
      </c>
      <c r="K664" s="13" t="str">
        <f t="shared" ca="1" si="21"/>
        <v>SIN STOCK</v>
      </c>
    </row>
    <row r="665" spans="1:11">
      <c r="A665" s="16" t="s">
        <v>2970</v>
      </c>
      <c r="B665" s="2" t="str">
        <f>IFERROR(INDEX(Movimientos!$C$2:$C$1993,MATCH(A665&amp;"ENTRADA",Movimientos!$R$2:$R$1993,0)),"-")</f>
        <v>-</v>
      </c>
      <c r="C665" s="2" t="str">
        <f>IFERROR(INDEX(Movimientos!$D$2:$D$1993,MATCH(A665&amp;"ENTRADA",Movimientos!$R$2:$R$1993,0)),"-")</f>
        <v>-</v>
      </c>
      <c r="D665" s="2" t="str">
        <f>IFERROR(INDEX(Movimientos!$E$2:$E$1993,MATCH(A665&amp;"ENTRADA",Movimientos!$R$2:$R$1993,0)),"-")</f>
        <v>-</v>
      </c>
      <c r="E665" s="2" t="str">
        <f>IFERROR(INDEX(Movimientos!$F$2:$F$1993,MATCH(A665&amp;"ENTRADA",Movimientos!$R$2:$R$1993,0)),"-")</f>
        <v>-</v>
      </c>
      <c r="F665" s="2" t="str">
        <f>IFERROR(INDEX(Movimientos!$G$2:$G$1993,MATCH(A665&amp;"ENTRADA",Movimientos!$R$2:$R$1993,0)),"-")</f>
        <v>-</v>
      </c>
      <c r="G665" s="2" t="str">
        <f>IFERROR(INDEX(Movimientos!$L$2:$L$1993,MATCH(A665&amp;"ENTRADA",Movimientos!$R$2:$R$1993,0)),"-")</f>
        <v>-</v>
      </c>
      <c r="H665" s="17" t="str">
        <f>IFERROR(IF(INDEX(Movimientos!$M$2:$M$1993,MATCH(A665&amp;"ENTRADA",Movimientos!$R$2:$R$1993,0))=0,"S/D",INDEX(Movimientos!$M$2:$M$1993,MATCH(A665&amp;"ENTRADA",Movimientos!$R$2:$R$1993,0))),"S/D")</f>
        <v>S/D</v>
      </c>
      <c r="I665" s="15" t="str">
        <f t="shared" ca="1" si="22"/>
        <v>S/D</v>
      </c>
      <c r="J665" s="5">
        <f>IF(A665="","",SUMIFS(Movimientos!$K:$K,Movimientos!$H:$H,A665))</f>
        <v>0</v>
      </c>
      <c r="K665" s="13" t="str">
        <f t="shared" ca="1" si="21"/>
        <v>SIN STOCK</v>
      </c>
    </row>
    <row r="666" spans="1:11">
      <c r="A666" s="16" t="s">
        <v>2971</v>
      </c>
      <c r="B666" s="2" t="str">
        <f>IFERROR(INDEX(Movimientos!$C$2:$C$1993,MATCH(A666&amp;"ENTRADA",Movimientos!$R$2:$R$1993,0)),"-")</f>
        <v>-</v>
      </c>
      <c r="C666" s="2" t="str">
        <f>IFERROR(INDEX(Movimientos!$D$2:$D$1993,MATCH(A666&amp;"ENTRADA",Movimientos!$R$2:$R$1993,0)),"-")</f>
        <v>-</v>
      </c>
      <c r="D666" s="2" t="str">
        <f>IFERROR(INDEX(Movimientos!$E$2:$E$1993,MATCH(A666&amp;"ENTRADA",Movimientos!$R$2:$R$1993,0)),"-")</f>
        <v>-</v>
      </c>
      <c r="E666" s="2" t="str">
        <f>IFERROR(INDEX(Movimientos!$F$2:$F$1993,MATCH(A666&amp;"ENTRADA",Movimientos!$R$2:$R$1993,0)),"-")</f>
        <v>-</v>
      </c>
      <c r="F666" s="2" t="str">
        <f>IFERROR(INDEX(Movimientos!$G$2:$G$1993,MATCH(A666&amp;"ENTRADA",Movimientos!$R$2:$R$1993,0)),"-")</f>
        <v>-</v>
      </c>
      <c r="G666" s="2" t="str">
        <f>IFERROR(INDEX(Movimientos!$L$2:$L$1993,MATCH(A666&amp;"ENTRADA",Movimientos!$R$2:$R$1993,0)),"-")</f>
        <v>-</v>
      </c>
      <c r="H666" s="17" t="str">
        <f>IFERROR(IF(INDEX(Movimientos!$M$2:$M$1993,MATCH(A666&amp;"ENTRADA",Movimientos!$R$2:$R$1993,0))=0,"S/D",INDEX(Movimientos!$M$2:$M$1993,MATCH(A666&amp;"ENTRADA",Movimientos!$R$2:$R$1993,0))),"S/D")</f>
        <v>S/D</v>
      </c>
      <c r="I666" s="15" t="str">
        <f t="shared" ca="1" si="22"/>
        <v>S/D</v>
      </c>
      <c r="J666" s="5">
        <f>IF(A666="","",SUMIFS(Movimientos!$K:$K,Movimientos!$H:$H,A666))</f>
        <v>0</v>
      </c>
      <c r="K666" s="13" t="str">
        <f t="shared" ca="1" si="21"/>
        <v>SIN STOCK</v>
      </c>
    </row>
    <row r="667" spans="1:11">
      <c r="A667" s="16" t="s">
        <v>2972</v>
      </c>
      <c r="B667" s="2" t="str">
        <f>IFERROR(INDEX(Movimientos!$C$2:$C$1993,MATCH(A667&amp;"ENTRADA",Movimientos!$R$2:$R$1993,0)),"-")</f>
        <v>-</v>
      </c>
      <c r="C667" s="2" t="str">
        <f>IFERROR(INDEX(Movimientos!$D$2:$D$1993,MATCH(A667&amp;"ENTRADA",Movimientos!$R$2:$R$1993,0)),"-")</f>
        <v>-</v>
      </c>
      <c r="D667" s="2" t="str">
        <f>IFERROR(INDEX(Movimientos!$E$2:$E$1993,MATCH(A667&amp;"ENTRADA",Movimientos!$R$2:$R$1993,0)),"-")</f>
        <v>-</v>
      </c>
      <c r="E667" s="2" t="str">
        <f>IFERROR(INDEX(Movimientos!$F$2:$F$1993,MATCH(A667&amp;"ENTRADA",Movimientos!$R$2:$R$1993,0)),"-")</f>
        <v>-</v>
      </c>
      <c r="F667" s="2" t="str">
        <f>IFERROR(INDEX(Movimientos!$G$2:$G$1993,MATCH(A667&amp;"ENTRADA",Movimientos!$R$2:$R$1993,0)),"-")</f>
        <v>-</v>
      </c>
      <c r="G667" s="2" t="str">
        <f>IFERROR(INDEX(Movimientos!$L$2:$L$1993,MATCH(A667&amp;"ENTRADA",Movimientos!$R$2:$R$1993,0)),"-")</f>
        <v>-</v>
      </c>
      <c r="H667" s="17" t="str">
        <f>IFERROR(IF(INDEX(Movimientos!$M$2:$M$1993,MATCH(A667&amp;"ENTRADA",Movimientos!$R$2:$R$1993,0))=0,"S/D",INDEX(Movimientos!$M$2:$M$1993,MATCH(A667&amp;"ENTRADA",Movimientos!$R$2:$R$1993,0))),"S/D")</f>
        <v>S/D</v>
      </c>
      <c r="I667" s="15" t="str">
        <f t="shared" ca="1" si="22"/>
        <v>S/D</v>
      </c>
      <c r="J667" s="5">
        <f>IF(A667="","",SUMIFS(Movimientos!$K:$K,Movimientos!$H:$H,A667))</f>
        <v>0</v>
      </c>
      <c r="K667" s="13" t="str">
        <f t="shared" ca="1" si="21"/>
        <v>SIN STOCK</v>
      </c>
    </row>
    <row r="668" spans="1:11">
      <c r="A668" s="16" t="s">
        <v>2973</v>
      </c>
      <c r="B668" s="2" t="str">
        <f>IFERROR(INDEX(Movimientos!$C$2:$C$1993,MATCH(A668&amp;"ENTRADA",Movimientos!$R$2:$R$1993,0)),"-")</f>
        <v>-</v>
      </c>
      <c r="C668" s="2" t="str">
        <f>IFERROR(INDEX(Movimientos!$D$2:$D$1993,MATCH(A668&amp;"ENTRADA",Movimientos!$R$2:$R$1993,0)),"-")</f>
        <v>-</v>
      </c>
      <c r="D668" s="2" t="str">
        <f>IFERROR(INDEX(Movimientos!$E$2:$E$1993,MATCH(A668&amp;"ENTRADA",Movimientos!$R$2:$R$1993,0)),"-")</f>
        <v>-</v>
      </c>
      <c r="E668" s="2" t="str">
        <f>IFERROR(INDEX(Movimientos!$F$2:$F$1993,MATCH(A668&amp;"ENTRADA",Movimientos!$R$2:$R$1993,0)),"-")</f>
        <v>-</v>
      </c>
      <c r="F668" s="2" t="str">
        <f>IFERROR(INDEX(Movimientos!$G$2:$G$1993,MATCH(A668&amp;"ENTRADA",Movimientos!$R$2:$R$1993,0)),"-")</f>
        <v>-</v>
      </c>
      <c r="G668" s="2" t="str">
        <f>IFERROR(INDEX(Movimientos!$L$2:$L$1993,MATCH(A668&amp;"ENTRADA",Movimientos!$R$2:$R$1993,0)),"-")</f>
        <v>-</v>
      </c>
      <c r="H668" s="17" t="str">
        <f>IFERROR(IF(INDEX(Movimientos!$M$2:$M$1993,MATCH(A668&amp;"ENTRADA",Movimientos!$R$2:$R$1993,0))=0,"S/D",INDEX(Movimientos!$M$2:$M$1993,MATCH(A668&amp;"ENTRADA",Movimientos!$R$2:$R$1993,0))),"S/D")</f>
        <v>S/D</v>
      </c>
      <c r="I668" s="15" t="str">
        <f t="shared" ca="1" si="22"/>
        <v>S/D</v>
      </c>
      <c r="J668" s="5">
        <f>IF(A668="","",SUMIFS(Movimientos!$K:$K,Movimientos!$H:$H,A668))</f>
        <v>0</v>
      </c>
      <c r="K668" s="13" t="str">
        <f t="shared" ca="1" si="21"/>
        <v>SIN STOCK</v>
      </c>
    </row>
    <row r="669" spans="1:11">
      <c r="A669" s="16" t="s">
        <v>2974</v>
      </c>
      <c r="B669" s="2" t="str">
        <f>IFERROR(INDEX(Movimientos!$C$2:$C$1993,MATCH(A669&amp;"ENTRADA",Movimientos!$R$2:$R$1993,0)),"-")</f>
        <v>-</v>
      </c>
      <c r="C669" s="2" t="str">
        <f>IFERROR(INDEX(Movimientos!$D$2:$D$1993,MATCH(A669&amp;"ENTRADA",Movimientos!$R$2:$R$1993,0)),"-")</f>
        <v>-</v>
      </c>
      <c r="D669" s="2" t="str">
        <f>IFERROR(INDEX(Movimientos!$E$2:$E$1993,MATCH(A669&amp;"ENTRADA",Movimientos!$R$2:$R$1993,0)),"-")</f>
        <v>-</v>
      </c>
      <c r="E669" s="2" t="str">
        <f>IFERROR(INDEX(Movimientos!$F$2:$F$1993,MATCH(A669&amp;"ENTRADA",Movimientos!$R$2:$R$1993,0)),"-")</f>
        <v>-</v>
      </c>
      <c r="F669" s="2" t="str">
        <f>IFERROR(INDEX(Movimientos!$G$2:$G$1993,MATCH(A669&amp;"ENTRADA",Movimientos!$R$2:$R$1993,0)),"-")</f>
        <v>-</v>
      </c>
      <c r="G669" s="2" t="str">
        <f>IFERROR(INDEX(Movimientos!$L$2:$L$1993,MATCH(A669&amp;"ENTRADA",Movimientos!$R$2:$R$1993,0)),"-")</f>
        <v>-</v>
      </c>
      <c r="H669" s="17" t="str">
        <f>IFERROR(IF(INDEX(Movimientos!$M$2:$M$1993,MATCH(A669&amp;"ENTRADA",Movimientos!$R$2:$R$1993,0))=0,"S/D",INDEX(Movimientos!$M$2:$M$1993,MATCH(A669&amp;"ENTRADA",Movimientos!$R$2:$R$1993,0))),"S/D")</f>
        <v>S/D</v>
      </c>
      <c r="I669" s="15" t="str">
        <f t="shared" ca="1" si="22"/>
        <v>S/D</v>
      </c>
      <c r="J669" s="5">
        <f>IF(A669="","",SUMIFS(Movimientos!$K:$K,Movimientos!$H:$H,A669))</f>
        <v>0</v>
      </c>
      <c r="K669" s="13" t="str">
        <f t="shared" ca="1" si="21"/>
        <v>SIN STOCK</v>
      </c>
    </row>
    <row r="670" spans="1:11">
      <c r="A670" s="16" t="s">
        <v>2975</v>
      </c>
      <c r="B670" s="2" t="str">
        <f>IFERROR(INDEX(Movimientos!$C$2:$C$1993,MATCH(A670&amp;"ENTRADA",Movimientos!$R$2:$R$1993,0)),"-")</f>
        <v>-</v>
      </c>
      <c r="C670" s="2" t="str">
        <f>IFERROR(INDEX(Movimientos!$D$2:$D$1993,MATCH(A670&amp;"ENTRADA",Movimientos!$R$2:$R$1993,0)),"-")</f>
        <v>-</v>
      </c>
      <c r="D670" s="2" t="str">
        <f>IFERROR(INDEX(Movimientos!$E$2:$E$1993,MATCH(A670&amp;"ENTRADA",Movimientos!$R$2:$R$1993,0)),"-")</f>
        <v>-</v>
      </c>
      <c r="E670" s="2" t="str">
        <f>IFERROR(INDEX(Movimientos!$F$2:$F$1993,MATCH(A670&amp;"ENTRADA",Movimientos!$R$2:$R$1993,0)),"-")</f>
        <v>-</v>
      </c>
      <c r="F670" s="2" t="str">
        <f>IFERROR(INDEX(Movimientos!$G$2:$G$1993,MATCH(A670&amp;"ENTRADA",Movimientos!$R$2:$R$1993,0)),"-")</f>
        <v>-</v>
      </c>
      <c r="G670" s="2" t="str">
        <f>IFERROR(INDEX(Movimientos!$L$2:$L$1993,MATCH(A670&amp;"ENTRADA",Movimientos!$R$2:$R$1993,0)),"-")</f>
        <v>-</v>
      </c>
      <c r="H670" s="17" t="str">
        <f>IFERROR(IF(INDEX(Movimientos!$M$2:$M$1993,MATCH(A670&amp;"ENTRADA",Movimientos!$R$2:$R$1993,0))=0,"S/D",INDEX(Movimientos!$M$2:$M$1993,MATCH(A670&amp;"ENTRADA",Movimientos!$R$2:$R$1993,0))),"S/D")</f>
        <v>S/D</v>
      </c>
      <c r="I670" s="15" t="str">
        <f t="shared" ca="1" si="22"/>
        <v>S/D</v>
      </c>
      <c r="J670" s="5">
        <f>IF(A670="","",SUMIFS(Movimientos!$K:$K,Movimientos!$H:$H,A670))</f>
        <v>0</v>
      </c>
      <c r="K670" s="13" t="str">
        <f t="shared" ca="1" si="21"/>
        <v>SIN STOCK</v>
      </c>
    </row>
    <row r="671" spans="1:11">
      <c r="A671" s="16" t="s">
        <v>2976</v>
      </c>
      <c r="B671" s="2" t="str">
        <f>IFERROR(INDEX(Movimientos!$C$2:$C$1993,MATCH(A671&amp;"ENTRADA",Movimientos!$R$2:$R$1993,0)),"-")</f>
        <v>-</v>
      </c>
      <c r="C671" s="2" t="str">
        <f>IFERROR(INDEX(Movimientos!$D$2:$D$1993,MATCH(A671&amp;"ENTRADA",Movimientos!$R$2:$R$1993,0)),"-")</f>
        <v>-</v>
      </c>
      <c r="D671" s="2" t="str">
        <f>IFERROR(INDEX(Movimientos!$E$2:$E$1993,MATCH(A671&amp;"ENTRADA",Movimientos!$R$2:$R$1993,0)),"-")</f>
        <v>-</v>
      </c>
      <c r="E671" s="2" t="str">
        <f>IFERROR(INDEX(Movimientos!$F$2:$F$1993,MATCH(A671&amp;"ENTRADA",Movimientos!$R$2:$R$1993,0)),"-")</f>
        <v>-</v>
      </c>
      <c r="F671" s="2" t="str">
        <f>IFERROR(INDEX(Movimientos!$G$2:$G$1993,MATCH(A671&amp;"ENTRADA",Movimientos!$R$2:$R$1993,0)),"-")</f>
        <v>-</v>
      </c>
      <c r="G671" s="2" t="str">
        <f>IFERROR(INDEX(Movimientos!$L$2:$L$1993,MATCH(A671&amp;"ENTRADA",Movimientos!$R$2:$R$1993,0)),"-")</f>
        <v>-</v>
      </c>
      <c r="H671" s="17" t="str">
        <f>IFERROR(IF(INDEX(Movimientos!$M$2:$M$1993,MATCH(A671&amp;"ENTRADA",Movimientos!$R$2:$R$1993,0))=0,"S/D",INDEX(Movimientos!$M$2:$M$1993,MATCH(A671&amp;"ENTRADA",Movimientos!$R$2:$R$1993,0))),"S/D")</f>
        <v>S/D</v>
      </c>
      <c r="I671" s="15" t="str">
        <f t="shared" ca="1" si="22"/>
        <v>S/D</v>
      </c>
      <c r="J671" s="5">
        <f>IF(A671="","",SUMIFS(Movimientos!$K:$K,Movimientos!$H:$H,A671))</f>
        <v>0</v>
      </c>
      <c r="K671" s="13" t="str">
        <f t="shared" ca="1" si="21"/>
        <v>SIN STOCK</v>
      </c>
    </row>
    <row r="672" spans="1:11">
      <c r="A672" s="16" t="s">
        <v>2977</v>
      </c>
      <c r="B672" s="2" t="str">
        <f>IFERROR(INDEX(Movimientos!$C$2:$C$1993,MATCH(A672&amp;"ENTRADA",Movimientos!$R$2:$R$1993,0)),"-")</f>
        <v>-</v>
      </c>
      <c r="C672" s="2" t="str">
        <f>IFERROR(INDEX(Movimientos!$D$2:$D$1993,MATCH(A672&amp;"ENTRADA",Movimientos!$R$2:$R$1993,0)),"-")</f>
        <v>-</v>
      </c>
      <c r="D672" s="2" t="str">
        <f>IFERROR(INDEX(Movimientos!$E$2:$E$1993,MATCH(A672&amp;"ENTRADA",Movimientos!$R$2:$R$1993,0)),"-")</f>
        <v>-</v>
      </c>
      <c r="E672" s="2" t="str">
        <f>IFERROR(INDEX(Movimientos!$F$2:$F$1993,MATCH(A672&amp;"ENTRADA",Movimientos!$R$2:$R$1993,0)),"-")</f>
        <v>-</v>
      </c>
      <c r="F672" s="2" t="str">
        <f>IFERROR(INDEX(Movimientos!$G$2:$G$1993,MATCH(A672&amp;"ENTRADA",Movimientos!$R$2:$R$1993,0)),"-")</f>
        <v>-</v>
      </c>
      <c r="G672" s="2" t="str">
        <f>IFERROR(INDEX(Movimientos!$L$2:$L$1993,MATCH(A672&amp;"ENTRADA",Movimientos!$R$2:$R$1993,0)),"-")</f>
        <v>-</v>
      </c>
      <c r="H672" s="17" t="str">
        <f>IFERROR(IF(INDEX(Movimientos!$M$2:$M$1993,MATCH(A672&amp;"ENTRADA",Movimientos!$R$2:$R$1993,0))=0,"S/D",INDEX(Movimientos!$M$2:$M$1993,MATCH(A672&amp;"ENTRADA",Movimientos!$R$2:$R$1993,0))),"S/D")</f>
        <v>S/D</v>
      </c>
      <c r="I672" s="15" t="str">
        <f t="shared" ca="1" si="22"/>
        <v>S/D</v>
      </c>
      <c r="J672" s="5">
        <f>IF(A672="","",SUMIFS(Movimientos!$K:$K,Movimientos!$H:$H,A672))</f>
        <v>0</v>
      </c>
      <c r="K672" s="13" t="str">
        <f t="shared" ca="1" si="21"/>
        <v>SIN STOCK</v>
      </c>
    </row>
    <row r="673" spans="1:11">
      <c r="A673" s="16" t="s">
        <v>2978</v>
      </c>
      <c r="B673" s="2" t="str">
        <f>IFERROR(INDEX(Movimientos!$C$2:$C$1993,MATCH(A673&amp;"ENTRADA",Movimientos!$R$2:$R$1993,0)),"-")</f>
        <v>-</v>
      </c>
      <c r="C673" s="2" t="str">
        <f>IFERROR(INDEX(Movimientos!$D$2:$D$1993,MATCH(A673&amp;"ENTRADA",Movimientos!$R$2:$R$1993,0)),"-")</f>
        <v>-</v>
      </c>
      <c r="D673" s="2" t="str">
        <f>IFERROR(INDEX(Movimientos!$E$2:$E$1993,MATCH(A673&amp;"ENTRADA",Movimientos!$R$2:$R$1993,0)),"-")</f>
        <v>-</v>
      </c>
      <c r="E673" s="2" t="str">
        <f>IFERROR(INDEX(Movimientos!$F$2:$F$1993,MATCH(A673&amp;"ENTRADA",Movimientos!$R$2:$R$1993,0)),"-")</f>
        <v>-</v>
      </c>
      <c r="F673" s="2" t="str">
        <f>IFERROR(INDEX(Movimientos!$G$2:$G$1993,MATCH(A673&amp;"ENTRADA",Movimientos!$R$2:$R$1993,0)),"-")</f>
        <v>-</v>
      </c>
      <c r="G673" s="2" t="str">
        <f>IFERROR(INDEX(Movimientos!$L$2:$L$1993,MATCH(A673&amp;"ENTRADA",Movimientos!$R$2:$R$1993,0)),"-")</f>
        <v>-</v>
      </c>
      <c r="H673" s="17" t="str">
        <f>IFERROR(IF(INDEX(Movimientos!$M$2:$M$1993,MATCH(A673&amp;"ENTRADA",Movimientos!$R$2:$R$1993,0))=0,"S/D",INDEX(Movimientos!$M$2:$M$1993,MATCH(A673&amp;"ENTRADA",Movimientos!$R$2:$R$1993,0))),"S/D")</f>
        <v>S/D</v>
      </c>
      <c r="I673" s="15" t="str">
        <f t="shared" ca="1" si="22"/>
        <v>S/D</v>
      </c>
      <c r="J673" s="5">
        <f>IF(A673="","",SUMIFS(Movimientos!$K:$K,Movimientos!$H:$H,A673))</f>
        <v>0</v>
      </c>
      <c r="K673" s="13" t="str">
        <f t="shared" ca="1" si="21"/>
        <v>SIN STOCK</v>
      </c>
    </row>
    <row r="674" spans="1:11">
      <c r="A674" s="16" t="s">
        <v>2979</v>
      </c>
      <c r="B674" s="2" t="str">
        <f>IFERROR(INDEX(Movimientos!$C$2:$C$1993,MATCH(A674&amp;"ENTRADA",Movimientos!$R$2:$R$1993,0)),"-")</f>
        <v>-</v>
      </c>
      <c r="C674" s="2" t="str">
        <f>IFERROR(INDEX(Movimientos!$D$2:$D$1993,MATCH(A674&amp;"ENTRADA",Movimientos!$R$2:$R$1993,0)),"-")</f>
        <v>-</v>
      </c>
      <c r="D674" s="2" t="str">
        <f>IFERROR(INDEX(Movimientos!$E$2:$E$1993,MATCH(A674&amp;"ENTRADA",Movimientos!$R$2:$R$1993,0)),"-")</f>
        <v>-</v>
      </c>
      <c r="E674" s="2" t="str">
        <f>IFERROR(INDEX(Movimientos!$F$2:$F$1993,MATCH(A674&amp;"ENTRADA",Movimientos!$R$2:$R$1993,0)),"-")</f>
        <v>-</v>
      </c>
      <c r="F674" s="2" t="str">
        <f>IFERROR(INDEX(Movimientos!$G$2:$G$1993,MATCH(A674&amp;"ENTRADA",Movimientos!$R$2:$R$1993,0)),"-")</f>
        <v>-</v>
      </c>
      <c r="G674" s="2" t="str">
        <f>IFERROR(INDEX(Movimientos!$L$2:$L$1993,MATCH(A674&amp;"ENTRADA",Movimientos!$R$2:$R$1993,0)),"-")</f>
        <v>-</v>
      </c>
      <c r="H674" s="17" t="str">
        <f>IFERROR(IF(INDEX(Movimientos!$M$2:$M$1993,MATCH(A674&amp;"ENTRADA",Movimientos!$R$2:$R$1993,0))=0,"S/D",INDEX(Movimientos!$M$2:$M$1993,MATCH(A674&amp;"ENTRADA",Movimientos!$R$2:$R$1993,0))),"S/D")</f>
        <v>S/D</v>
      </c>
      <c r="I674" s="15" t="str">
        <f t="shared" ca="1" si="22"/>
        <v>S/D</v>
      </c>
      <c r="J674" s="5">
        <f>IF(A674="","",SUMIFS(Movimientos!$K:$K,Movimientos!$H:$H,A674))</f>
        <v>0</v>
      </c>
      <c r="K674" s="13" t="str">
        <f t="shared" ca="1" si="21"/>
        <v>SIN STOCK</v>
      </c>
    </row>
    <row r="675" spans="1:11">
      <c r="A675" s="16" t="s">
        <v>2980</v>
      </c>
      <c r="B675" s="2" t="str">
        <f>IFERROR(INDEX(Movimientos!$C$2:$C$1993,MATCH(A675&amp;"ENTRADA",Movimientos!$R$2:$R$1993,0)),"-")</f>
        <v>-</v>
      </c>
      <c r="C675" s="2" t="str">
        <f>IFERROR(INDEX(Movimientos!$D$2:$D$1993,MATCH(A675&amp;"ENTRADA",Movimientos!$R$2:$R$1993,0)),"-")</f>
        <v>-</v>
      </c>
      <c r="D675" s="2" t="str">
        <f>IFERROR(INDEX(Movimientos!$E$2:$E$1993,MATCH(A675&amp;"ENTRADA",Movimientos!$R$2:$R$1993,0)),"-")</f>
        <v>-</v>
      </c>
      <c r="E675" s="2" t="str">
        <f>IFERROR(INDEX(Movimientos!$F$2:$F$1993,MATCH(A675&amp;"ENTRADA",Movimientos!$R$2:$R$1993,0)),"-")</f>
        <v>-</v>
      </c>
      <c r="F675" s="2" t="str">
        <f>IFERROR(INDEX(Movimientos!$G$2:$G$1993,MATCH(A675&amp;"ENTRADA",Movimientos!$R$2:$R$1993,0)),"-")</f>
        <v>-</v>
      </c>
      <c r="G675" s="2" t="str">
        <f>IFERROR(INDEX(Movimientos!$L$2:$L$1993,MATCH(A675&amp;"ENTRADA",Movimientos!$R$2:$R$1993,0)),"-")</f>
        <v>-</v>
      </c>
      <c r="H675" s="17" t="str">
        <f>IFERROR(IF(INDEX(Movimientos!$M$2:$M$1993,MATCH(A675&amp;"ENTRADA",Movimientos!$R$2:$R$1993,0))=0,"S/D",INDEX(Movimientos!$M$2:$M$1993,MATCH(A675&amp;"ENTRADA",Movimientos!$R$2:$R$1993,0))),"S/D")</f>
        <v>S/D</v>
      </c>
      <c r="I675" s="15" t="str">
        <f t="shared" ca="1" si="22"/>
        <v>S/D</v>
      </c>
      <c r="J675" s="5">
        <f>IF(A675="","",SUMIFS(Movimientos!$K:$K,Movimientos!$H:$H,A675))</f>
        <v>0</v>
      </c>
      <c r="K675" s="13" t="str">
        <f t="shared" ca="1" si="21"/>
        <v>SIN STOCK</v>
      </c>
    </row>
    <row r="676" spans="1:11">
      <c r="A676" s="16" t="s">
        <v>2981</v>
      </c>
      <c r="B676" s="2" t="str">
        <f>IFERROR(INDEX(Movimientos!$C$2:$C$1993,MATCH(A676&amp;"ENTRADA",Movimientos!$R$2:$R$1993,0)),"-")</f>
        <v>-</v>
      </c>
      <c r="C676" s="2" t="str">
        <f>IFERROR(INDEX(Movimientos!$D$2:$D$1993,MATCH(A676&amp;"ENTRADA",Movimientos!$R$2:$R$1993,0)),"-")</f>
        <v>-</v>
      </c>
      <c r="D676" s="2" t="str">
        <f>IFERROR(INDEX(Movimientos!$E$2:$E$1993,MATCH(A676&amp;"ENTRADA",Movimientos!$R$2:$R$1993,0)),"-")</f>
        <v>-</v>
      </c>
      <c r="E676" s="2" t="str">
        <f>IFERROR(INDEX(Movimientos!$F$2:$F$1993,MATCH(A676&amp;"ENTRADA",Movimientos!$R$2:$R$1993,0)),"-")</f>
        <v>-</v>
      </c>
      <c r="F676" s="2" t="str">
        <f>IFERROR(INDEX(Movimientos!$G$2:$G$1993,MATCH(A676&amp;"ENTRADA",Movimientos!$R$2:$R$1993,0)),"-")</f>
        <v>-</v>
      </c>
      <c r="G676" s="2" t="str">
        <f>IFERROR(INDEX(Movimientos!$L$2:$L$1993,MATCH(A676&amp;"ENTRADA",Movimientos!$R$2:$R$1993,0)),"-")</f>
        <v>-</v>
      </c>
      <c r="H676" s="17" t="str">
        <f>IFERROR(IF(INDEX(Movimientos!$M$2:$M$1993,MATCH(A676&amp;"ENTRADA",Movimientos!$R$2:$R$1993,0))=0,"S/D",INDEX(Movimientos!$M$2:$M$1993,MATCH(A676&amp;"ENTRADA",Movimientos!$R$2:$R$1993,0))),"S/D")</f>
        <v>S/D</v>
      </c>
      <c r="I676" s="15" t="str">
        <f t="shared" ca="1" si="22"/>
        <v>S/D</v>
      </c>
      <c r="J676" s="5">
        <f>IF(A676="","",SUMIFS(Movimientos!$K:$K,Movimientos!$H:$H,A676))</f>
        <v>0</v>
      </c>
      <c r="K676" s="13" t="str">
        <f t="shared" ca="1" si="21"/>
        <v>SIN STOCK</v>
      </c>
    </row>
    <row r="677" spans="1:11">
      <c r="A677" s="16" t="s">
        <v>2982</v>
      </c>
      <c r="B677" s="2" t="str">
        <f>IFERROR(INDEX(Movimientos!$C$2:$C$1993,MATCH(A677&amp;"ENTRADA",Movimientos!$R$2:$R$1993,0)),"-")</f>
        <v>-</v>
      </c>
      <c r="C677" s="2" t="str">
        <f>IFERROR(INDEX(Movimientos!$D$2:$D$1993,MATCH(A677&amp;"ENTRADA",Movimientos!$R$2:$R$1993,0)),"-")</f>
        <v>-</v>
      </c>
      <c r="D677" s="2" t="str">
        <f>IFERROR(INDEX(Movimientos!$E$2:$E$1993,MATCH(A677&amp;"ENTRADA",Movimientos!$R$2:$R$1993,0)),"-")</f>
        <v>-</v>
      </c>
      <c r="E677" s="2" t="str">
        <f>IFERROR(INDEX(Movimientos!$F$2:$F$1993,MATCH(A677&amp;"ENTRADA",Movimientos!$R$2:$R$1993,0)),"-")</f>
        <v>-</v>
      </c>
      <c r="F677" s="2" t="str">
        <f>IFERROR(INDEX(Movimientos!$G$2:$G$1993,MATCH(A677&amp;"ENTRADA",Movimientos!$R$2:$R$1993,0)),"-")</f>
        <v>-</v>
      </c>
      <c r="G677" s="2" t="str">
        <f>IFERROR(INDEX(Movimientos!$L$2:$L$1993,MATCH(A677&amp;"ENTRADA",Movimientos!$R$2:$R$1993,0)),"-")</f>
        <v>-</v>
      </c>
      <c r="H677" s="17" t="str">
        <f>IFERROR(IF(INDEX(Movimientos!$M$2:$M$1993,MATCH(A677&amp;"ENTRADA",Movimientos!$R$2:$R$1993,0))=0,"S/D",INDEX(Movimientos!$M$2:$M$1993,MATCH(A677&amp;"ENTRADA",Movimientos!$R$2:$R$1993,0))),"S/D")</f>
        <v>S/D</v>
      </c>
      <c r="I677" s="15" t="str">
        <f t="shared" ca="1" si="22"/>
        <v>S/D</v>
      </c>
      <c r="J677" s="5">
        <f>IF(A677="","",SUMIFS(Movimientos!$K:$K,Movimientos!$H:$H,A677))</f>
        <v>0</v>
      </c>
      <c r="K677" s="13" t="str">
        <f t="shared" ca="1" si="21"/>
        <v>SIN STOCK</v>
      </c>
    </row>
    <row r="678" spans="1:11">
      <c r="A678" s="16" t="s">
        <v>2983</v>
      </c>
      <c r="B678" s="2" t="str">
        <f>IFERROR(INDEX(Movimientos!$C$2:$C$1993,MATCH(A678&amp;"ENTRADA",Movimientos!$R$2:$R$1993,0)),"-")</f>
        <v>-</v>
      </c>
      <c r="C678" s="2" t="str">
        <f>IFERROR(INDEX(Movimientos!$D$2:$D$1993,MATCH(A678&amp;"ENTRADA",Movimientos!$R$2:$R$1993,0)),"-")</f>
        <v>-</v>
      </c>
      <c r="D678" s="2" t="str">
        <f>IFERROR(INDEX(Movimientos!$E$2:$E$1993,MATCH(A678&amp;"ENTRADA",Movimientos!$R$2:$R$1993,0)),"-")</f>
        <v>-</v>
      </c>
      <c r="E678" s="2" t="str">
        <f>IFERROR(INDEX(Movimientos!$F$2:$F$1993,MATCH(A678&amp;"ENTRADA",Movimientos!$R$2:$R$1993,0)),"-")</f>
        <v>-</v>
      </c>
      <c r="F678" s="2" t="str">
        <f>IFERROR(INDEX(Movimientos!$G$2:$G$1993,MATCH(A678&amp;"ENTRADA",Movimientos!$R$2:$R$1993,0)),"-")</f>
        <v>-</v>
      </c>
      <c r="G678" s="2" t="str">
        <f>IFERROR(INDEX(Movimientos!$L$2:$L$1993,MATCH(A678&amp;"ENTRADA",Movimientos!$R$2:$R$1993,0)),"-")</f>
        <v>-</v>
      </c>
      <c r="H678" s="17" t="str">
        <f>IFERROR(IF(INDEX(Movimientos!$M$2:$M$1993,MATCH(A678&amp;"ENTRADA",Movimientos!$R$2:$R$1993,0))=0,"S/D",INDEX(Movimientos!$M$2:$M$1993,MATCH(A678&amp;"ENTRADA",Movimientos!$R$2:$R$1993,0))),"S/D")</f>
        <v>S/D</v>
      </c>
      <c r="I678" s="15" t="str">
        <f t="shared" ca="1" si="22"/>
        <v>S/D</v>
      </c>
      <c r="J678" s="5">
        <f>IF(A678="","",SUMIFS(Movimientos!$K:$K,Movimientos!$H:$H,A678))</f>
        <v>0</v>
      </c>
      <c r="K678" s="13" t="str">
        <f t="shared" ca="1" si="21"/>
        <v>SIN STOCK</v>
      </c>
    </row>
    <row r="679" spans="1:11">
      <c r="A679" s="16" t="s">
        <v>2984</v>
      </c>
      <c r="B679" s="2" t="str">
        <f>IFERROR(INDEX(Movimientos!$C$2:$C$1993,MATCH(A679&amp;"ENTRADA",Movimientos!$R$2:$R$1993,0)),"-")</f>
        <v>-</v>
      </c>
      <c r="C679" s="2" t="str">
        <f>IFERROR(INDEX(Movimientos!$D$2:$D$1993,MATCH(A679&amp;"ENTRADA",Movimientos!$R$2:$R$1993,0)),"-")</f>
        <v>-</v>
      </c>
      <c r="D679" s="2" t="str">
        <f>IFERROR(INDEX(Movimientos!$E$2:$E$1993,MATCH(A679&amp;"ENTRADA",Movimientos!$R$2:$R$1993,0)),"-")</f>
        <v>-</v>
      </c>
      <c r="E679" s="2" t="str">
        <f>IFERROR(INDEX(Movimientos!$F$2:$F$1993,MATCH(A679&amp;"ENTRADA",Movimientos!$R$2:$R$1993,0)),"-")</f>
        <v>-</v>
      </c>
      <c r="F679" s="2" t="str">
        <f>IFERROR(INDEX(Movimientos!$G$2:$G$1993,MATCH(A679&amp;"ENTRADA",Movimientos!$R$2:$R$1993,0)),"-")</f>
        <v>-</v>
      </c>
      <c r="G679" s="2" t="str">
        <f>IFERROR(INDEX(Movimientos!$L$2:$L$1993,MATCH(A679&amp;"ENTRADA",Movimientos!$R$2:$R$1993,0)),"-")</f>
        <v>-</v>
      </c>
      <c r="H679" s="17" t="str">
        <f>IFERROR(IF(INDEX(Movimientos!$M$2:$M$1993,MATCH(A679&amp;"ENTRADA",Movimientos!$R$2:$R$1993,0))=0,"S/D",INDEX(Movimientos!$M$2:$M$1993,MATCH(A679&amp;"ENTRADA",Movimientos!$R$2:$R$1993,0))),"S/D")</f>
        <v>S/D</v>
      </c>
      <c r="I679" s="15" t="str">
        <f t="shared" ca="1" si="22"/>
        <v>S/D</v>
      </c>
      <c r="J679" s="5">
        <f>IF(A679="","",SUMIFS(Movimientos!$K:$K,Movimientos!$H:$H,A679))</f>
        <v>0</v>
      </c>
      <c r="K679" s="13" t="str">
        <f t="shared" ca="1" si="21"/>
        <v>SIN STOCK</v>
      </c>
    </row>
    <row r="680" spans="1:11">
      <c r="A680" s="16" t="s">
        <v>2985</v>
      </c>
      <c r="B680" s="2" t="str">
        <f>IFERROR(INDEX(Movimientos!$C$2:$C$1993,MATCH(A680&amp;"ENTRADA",Movimientos!$R$2:$R$1993,0)),"-")</f>
        <v>-</v>
      </c>
      <c r="C680" s="2" t="str">
        <f>IFERROR(INDEX(Movimientos!$D$2:$D$1993,MATCH(A680&amp;"ENTRADA",Movimientos!$R$2:$R$1993,0)),"-")</f>
        <v>-</v>
      </c>
      <c r="D680" s="2" t="str">
        <f>IFERROR(INDEX(Movimientos!$E$2:$E$1993,MATCH(A680&amp;"ENTRADA",Movimientos!$R$2:$R$1993,0)),"-")</f>
        <v>-</v>
      </c>
      <c r="E680" s="2" t="str">
        <f>IFERROR(INDEX(Movimientos!$F$2:$F$1993,MATCH(A680&amp;"ENTRADA",Movimientos!$R$2:$R$1993,0)),"-")</f>
        <v>-</v>
      </c>
      <c r="F680" s="2" t="str">
        <f>IFERROR(INDEX(Movimientos!$G$2:$G$1993,MATCH(A680&amp;"ENTRADA",Movimientos!$R$2:$R$1993,0)),"-")</f>
        <v>-</v>
      </c>
      <c r="G680" s="2" t="str">
        <f>IFERROR(INDEX(Movimientos!$L$2:$L$1993,MATCH(A680&amp;"ENTRADA",Movimientos!$R$2:$R$1993,0)),"-")</f>
        <v>-</v>
      </c>
      <c r="H680" s="17" t="str">
        <f>IFERROR(IF(INDEX(Movimientos!$M$2:$M$1993,MATCH(A680&amp;"ENTRADA",Movimientos!$R$2:$R$1993,0))=0,"S/D",INDEX(Movimientos!$M$2:$M$1993,MATCH(A680&amp;"ENTRADA",Movimientos!$R$2:$R$1993,0))),"S/D")</f>
        <v>S/D</v>
      </c>
      <c r="I680" s="15" t="str">
        <f t="shared" ca="1" si="22"/>
        <v>S/D</v>
      </c>
      <c r="J680" s="5">
        <f>IF(A680="","",SUMIFS(Movimientos!$K:$K,Movimientos!$H:$H,A680))</f>
        <v>0</v>
      </c>
      <c r="K680" s="13" t="str">
        <f t="shared" ca="1" si="21"/>
        <v>SIN STOCK</v>
      </c>
    </row>
    <row r="681" spans="1:11">
      <c r="A681" s="16" t="s">
        <v>2986</v>
      </c>
      <c r="B681" s="2" t="str">
        <f>IFERROR(INDEX(Movimientos!$C$2:$C$1993,MATCH(A681&amp;"ENTRADA",Movimientos!$R$2:$R$1993,0)),"-")</f>
        <v>-</v>
      </c>
      <c r="C681" s="2" t="str">
        <f>IFERROR(INDEX(Movimientos!$D$2:$D$1993,MATCH(A681&amp;"ENTRADA",Movimientos!$R$2:$R$1993,0)),"-")</f>
        <v>-</v>
      </c>
      <c r="D681" s="2" t="str">
        <f>IFERROR(INDEX(Movimientos!$E$2:$E$1993,MATCH(A681&amp;"ENTRADA",Movimientos!$R$2:$R$1993,0)),"-")</f>
        <v>-</v>
      </c>
      <c r="E681" s="2" t="str">
        <f>IFERROR(INDEX(Movimientos!$F$2:$F$1993,MATCH(A681&amp;"ENTRADA",Movimientos!$R$2:$R$1993,0)),"-")</f>
        <v>-</v>
      </c>
      <c r="F681" s="2" t="str">
        <f>IFERROR(INDEX(Movimientos!$G$2:$G$1993,MATCH(A681&amp;"ENTRADA",Movimientos!$R$2:$R$1993,0)),"-")</f>
        <v>-</v>
      </c>
      <c r="G681" s="2" t="str">
        <f>IFERROR(INDEX(Movimientos!$L$2:$L$1993,MATCH(A681&amp;"ENTRADA",Movimientos!$R$2:$R$1993,0)),"-")</f>
        <v>-</v>
      </c>
      <c r="H681" s="17" t="str">
        <f>IFERROR(IF(INDEX(Movimientos!$M$2:$M$1993,MATCH(A681&amp;"ENTRADA",Movimientos!$R$2:$R$1993,0))=0,"S/D",INDEX(Movimientos!$M$2:$M$1993,MATCH(A681&amp;"ENTRADA",Movimientos!$R$2:$R$1993,0))),"S/D")</f>
        <v>S/D</v>
      </c>
      <c r="I681" s="15" t="str">
        <f t="shared" ca="1" si="22"/>
        <v>S/D</v>
      </c>
      <c r="J681" s="5">
        <f>IF(A681="","",SUMIFS(Movimientos!$K:$K,Movimientos!$H:$H,A681))</f>
        <v>0</v>
      </c>
      <c r="K681" s="13" t="str">
        <f t="shared" ca="1" si="21"/>
        <v>SIN STOCK</v>
      </c>
    </row>
    <row r="682" spans="1:11">
      <c r="A682" s="16" t="s">
        <v>2987</v>
      </c>
      <c r="B682" s="2" t="str">
        <f>IFERROR(INDEX(Movimientos!$C$2:$C$1993,MATCH(A682&amp;"ENTRADA",Movimientos!$R$2:$R$1993,0)),"-")</f>
        <v>-</v>
      </c>
      <c r="C682" s="2" t="str">
        <f>IFERROR(INDEX(Movimientos!$D$2:$D$1993,MATCH(A682&amp;"ENTRADA",Movimientos!$R$2:$R$1993,0)),"-")</f>
        <v>-</v>
      </c>
      <c r="D682" s="2" t="str">
        <f>IFERROR(INDEX(Movimientos!$E$2:$E$1993,MATCH(A682&amp;"ENTRADA",Movimientos!$R$2:$R$1993,0)),"-")</f>
        <v>-</v>
      </c>
      <c r="E682" s="2" t="str">
        <f>IFERROR(INDEX(Movimientos!$F$2:$F$1993,MATCH(A682&amp;"ENTRADA",Movimientos!$R$2:$R$1993,0)),"-")</f>
        <v>-</v>
      </c>
      <c r="F682" s="2" t="str">
        <f>IFERROR(INDEX(Movimientos!$G$2:$G$1993,MATCH(A682&amp;"ENTRADA",Movimientos!$R$2:$R$1993,0)),"-")</f>
        <v>-</v>
      </c>
      <c r="G682" s="2" t="str">
        <f>IFERROR(INDEX(Movimientos!$L$2:$L$1993,MATCH(A682&amp;"ENTRADA",Movimientos!$R$2:$R$1993,0)),"-")</f>
        <v>-</v>
      </c>
      <c r="H682" s="17" t="str">
        <f>IFERROR(IF(INDEX(Movimientos!$M$2:$M$1993,MATCH(A682&amp;"ENTRADA",Movimientos!$R$2:$R$1993,0))=0,"S/D",INDEX(Movimientos!$M$2:$M$1993,MATCH(A682&amp;"ENTRADA",Movimientos!$R$2:$R$1993,0))),"S/D")</f>
        <v>S/D</v>
      </c>
      <c r="I682" s="15" t="str">
        <f t="shared" ca="1" si="22"/>
        <v>S/D</v>
      </c>
      <c r="J682" s="5">
        <f>IF(A682="","",SUMIFS(Movimientos!$K:$K,Movimientos!$H:$H,A682))</f>
        <v>0</v>
      </c>
      <c r="K682" s="13" t="str">
        <f t="shared" ca="1" si="21"/>
        <v>SIN STOCK</v>
      </c>
    </row>
    <row r="683" spans="1:11">
      <c r="A683" s="16" t="s">
        <v>2988</v>
      </c>
      <c r="B683" s="2" t="str">
        <f>IFERROR(INDEX(Movimientos!$C$2:$C$1993,MATCH(A683&amp;"ENTRADA",Movimientos!$R$2:$R$1993,0)),"-")</f>
        <v>-</v>
      </c>
      <c r="C683" s="2" t="str">
        <f>IFERROR(INDEX(Movimientos!$D$2:$D$1993,MATCH(A683&amp;"ENTRADA",Movimientos!$R$2:$R$1993,0)),"-")</f>
        <v>-</v>
      </c>
      <c r="D683" s="2" t="str">
        <f>IFERROR(INDEX(Movimientos!$E$2:$E$1993,MATCH(A683&amp;"ENTRADA",Movimientos!$R$2:$R$1993,0)),"-")</f>
        <v>-</v>
      </c>
      <c r="E683" s="2" t="str">
        <f>IFERROR(INDEX(Movimientos!$F$2:$F$1993,MATCH(A683&amp;"ENTRADA",Movimientos!$R$2:$R$1993,0)),"-")</f>
        <v>-</v>
      </c>
      <c r="F683" s="2" t="str">
        <f>IFERROR(INDEX(Movimientos!$G$2:$G$1993,MATCH(A683&amp;"ENTRADA",Movimientos!$R$2:$R$1993,0)),"-")</f>
        <v>-</v>
      </c>
      <c r="G683" s="2" t="str">
        <f>IFERROR(INDEX(Movimientos!$L$2:$L$1993,MATCH(A683&amp;"ENTRADA",Movimientos!$R$2:$R$1993,0)),"-")</f>
        <v>-</v>
      </c>
      <c r="H683" s="17" t="str">
        <f>IFERROR(IF(INDEX(Movimientos!$M$2:$M$1993,MATCH(A683&amp;"ENTRADA",Movimientos!$R$2:$R$1993,0))=0,"S/D",INDEX(Movimientos!$M$2:$M$1993,MATCH(A683&amp;"ENTRADA",Movimientos!$R$2:$R$1993,0))),"S/D")</f>
        <v>S/D</v>
      </c>
      <c r="I683" s="15" t="str">
        <f t="shared" ca="1" si="22"/>
        <v>S/D</v>
      </c>
      <c r="J683" s="5">
        <f>IF(A683="","",SUMIFS(Movimientos!$K:$K,Movimientos!$H:$H,A683))</f>
        <v>0</v>
      </c>
      <c r="K683" s="13" t="str">
        <f t="shared" ca="1" si="21"/>
        <v>SIN STOCK</v>
      </c>
    </row>
    <row r="684" spans="1:11">
      <c r="A684" s="16" t="s">
        <v>2989</v>
      </c>
      <c r="B684" s="2" t="str">
        <f>IFERROR(INDEX(Movimientos!$C$2:$C$1993,MATCH(A684&amp;"ENTRADA",Movimientos!$R$2:$R$1993,0)),"-")</f>
        <v>-</v>
      </c>
      <c r="C684" s="2" t="str">
        <f>IFERROR(INDEX(Movimientos!$D$2:$D$1993,MATCH(A684&amp;"ENTRADA",Movimientos!$R$2:$R$1993,0)),"-")</f>
        <v>-</v>
      </c>
      <c r="D684" s="2" t="str">
        <f>IFERROR(INDEX(Movimientos!$E$2:$E$1993,MATCH(A684&amp;"ENTRADA",Movimientos!$R$2:$R$1993,0)),"-")</f>
        <v>-</v>
      </c>
      <c r="E684" s="2" t="str">
        <f>IFERROR(INDEX(Movimientos!$F$2:$F$1993,MATCH(A684&amp;"ENTRADA",Movimientos!$R$2:$R$1993,0)),"-")</f>
        <v>-</v>
      </c>
      <c r="F684" s="2" t="str">
        <f>IFERROR(INDEX(Movimientos!$G$2:$G$1993,MATCH(A684&amp;"ENTRADA",Movimientos!$R$2:$R$1993,0)),"-")</f>
        <v>-</v>
      </c>
      <c r="G684" s="2" t="str">
        <f>IFERROR(INDEX(Movimientos!$L$2:$L$1993,MATCH(A684&amp;"ENTRADA",Movimientos!$R$2:$R$1993,0)),"-")</f>
        <v>-</v>
      </c>
      <c r="H684" s="17" t="str">
        <f>IFERROR(IF(INDEX(Movimientos!$M$2:$M$1993,MATCH(A684&amp;"ENTRADA",Movimientos!$R$2:$R$1993,0))=0,"S/D",INDEX(Movimientos!$M$2:$M$1993,MATCH(A684&amp;"ENTRADA",Movimientos!$R$2:$R$1993,0))),"S/D")</f>
        <v>S/D</v>
      </c>
      <c r="I684" s="15" t="str">
        <f t="shared" ca="1" si="22"/>
        <v>S/D</v>
      </c>
      <c r="J684" s="5">
        <f>IF(A684="","",SUMIFS(Movimientos!$K:$K,Movimientos!$H:$H,A684))</f>
        <v>0</v>
      </c>
      <c r="K684" s="13" t="str">
        <f t="shared" ca="1" si="21"/>
        <v>SIN STOCK</v>
      </c>
    </row>
    <row r="685" spans="1:11">
      <c r="A685" s="16" t="s">
        <v>2990</v>
      </c>
      <c r="B685" s="2" t="str">
        <f>IFERROR(INDEX(Movimientos!$C$2:$C$1993,MATCH(A685&amp;"ENTRADA",Movimientos!$R$2:$R$1993,0)),"-")</f>
        <v>-</v>
      </c>
      <c r="C685" s="2" t="str">
        <f>IFERROR(INDEX(Movimientos!$D$2:$D$1993,MATCH(A685&amp;"ENTRADA",Movimientos!$R$2:$R$1993,0)),"-")</f>
        <v>-</v>
      </c>
      <c r="D685" s="2" t="str">
        <f>IFERROR(INDEX(Movimientos!$E$2:$E$1993,MATCH(A685&amp;"ENTRADA",Movimientos!$R$2:$R$1993,0)),"-")</f>
        <v>-</v>
      </c>
      <c r="E685" s="2" t="str">
        <f>IFERROR(INDEX(Movimientos!$F$2:$F$1993,MATCH(A685&amp;"ENTRADA",Movimientos!$R$2:$R$1993,0)),"-")</f>
        <v>-</v>
      </c>
      <c r="F685" s="2" t="str">
        <f>IFERROR(INDEX(Movimientos!$G$2:$G$1993,MATCH(A685&amp;"ENTRADA",Movimientos!$R$2:$R$1993,0)),"-")</f>
        <v>-</v>
      </c>
      <c r="G685" s="2" t="str">
        <f>IFERROR(INDEX(Movimientos!$L$2:$L$1993,MATCH(A685&amp;"ENTRADA",Movimientos!$R$2:$R$1993,0)),"-")</f>
        <v>-</v>
      </c>
      <c r="H685" s="17" t="str">
        <f>IFERROR(IF(INDEX(Movimientos!$M$2:$M$1993,MATCH(A685&amp;"ENTRADA",Movimientos!$R$2:$R$1993,0))=0,"S/D",INDEX(Movimientos!$M$2:$M$1993,MATCH(A685&amp;"ENTRADA",Movimientos!$R$2:$R$1993,0))),"S/D")</f>
        <v>S/D</v>
      </c>
      <c r="I685" s="15" t="str">
        <f t="shared" ca="1" si="22"/>
        <v>S/D</v>
      </c>
      <c r="J685" s="5">
        <f>IF(A685="","",SUMIFS(Movimientos!$K:$K,Movimientos!$H:$H,A685))</f>
        <v>0</v>
      </c>
      <c r="K685" s="13" t="str">
        <f t="shared" ca="1" si="21"/>
        <v>SIN STOCK</v>
      </c>
    </row>
    <row r="686" spans="1:11">
      <c r="A686" s="16" t="s">
        <v>2991</v>
      </c>
      <c r="B686" s="2" t="str">
        <f>IFERROR(INDEX(Movimientos!$C$2:$C$1993,MATCH(A686&amp;"ENTRADA",Movimientos!$R$2:$R$1993,0)),"-")</f>
        <v>-</v>
      </c>
      <c r="C686" s="2" t="str">
        <f>IFERROR(INDEX(Movimientos!$D$2:$D$1993,MATCH(A686&amp;"ENTRADA",Movimientos!$R$2:$R$1993,0)),"-")</f>
        <v>-</v>
      </c>
      <c r="D686" s="2" t="str">
        <f>IFERROR(INDEX(Movimientos!$E$2:$E$1993,MATCH(A686&amp;"ENTRADA",Movimientos!$R$2:$R$1993,0)),"-")</f>
        <v>-</v>
      </c>
      <c r="E686" s="2" t="str">
        <f>IFERROR(INDEX(Movimientos!$F$2:$F$1993,MATCH(A686&amp;"ENTRADA",Movimientos!$R$2:$R$1993,0)),"-")</f>
        <v>-</v>
      </c>
      <c r="F686" s="2" t="str">
        <f>IFERROR(INDEX(Movimientos!$G$2:$G$1993,MATCH(A686&amp;"ENTRADA",Movimientos!$R$2:$R$1993,0)),"-")</f>
        <v>-</v>
      </c>
      <c r="G686" s="2" t="str">
        <f>IFERROR(INDEX(Movimientos!$L$2:$L$1993,MATCH(A686&amp;"ENTRADA",Movimientos!$R$2:$R$1993,0)),"-")</f>
        <v>-</v>
      </c>
      <c r="H686" s="17" t="str">
        <f>IFERROR(IF(INDEX(Movimientos!$M$2:$M$1993,MATCH(A686&amp;"ENTRADA",Movimientos!$R$2:$R$1993,0))=0,"S/D",INDEX(Movimientos!$M$2:$M$1993,MATCH(A686&amp;"ENTRADA",Movimientos!$R$2:$R$1993,0))),"S/D")</f>
        <v>S/D</v>
      </c>
      <c r="I686" s="15" t="str">
        <f t="shared" ca="1" si="22"/>
        <v>S/D</v>
      </c>
      <c r="J686" s="5">
        <f>IF(A686="","",SUMIFS(Movimientos!$K:$K,Movimientos!$H:$H,A686))</f>
        <v>0</v>
      </c>
      <c r="K686" s="13" t="str">
        <f t="shared" ca="1" si="21"/>
        <v>SIN STOCK</v>
      </c>
    </row>
    <row r="687" spans="1:11">
      <c r="A687" s="16" t="s">
        <v>2992</v>
      </c>
      <c r="B687" s="2" t="str">
        <f>IFERROR(INDEX(Movimientos!$C$2:$C$1993,MATCH(A687&amp;"ENTRADA",Movimientos!$R$2:$R$1993,0)),"-")</f>
        <v>-</v>
      </c>
      <c r="C687" s="2" t="str">
        <f>IFERROR(INDEX(Movimientos!$D$2:$D$1993,MATCH(A687&amp;"ENTRADA",Movimientos!$R$2:$R$1993,0)),"-")</f>
        <v>-</v>
      </c>
      <c r="D687" s="2" t="str">
        <f>IFERROR(INDEX(Movimientos!$E$2:$E$1993,MATCH(A687&amp;"ENTRADA",Movimientos!$R$2:$R$1993,0)),"-")</f>
        <v>-</v>
      </c>
      <c r="E687" s="2" t="str">
        <f>IFERROR(INDEX(Movimientos!$F$2:$F$1993,MATCH(A687&amp;"ENTRADA",Movimientos!$R$2:$R$1993,0)),"-")</f>
        <v>-</v>
      </c>
      <c r="F687" s="2" t="str">
        <f>IFERROR(INDEX(Movimientos!$G$2:$G$1993,MATCH(A687&amp;"ENTRADA",Movimientos!$R$2:$R$1993,0)),"-")</f>
        <v>-</v>
      </c>
      <c r="G687" s="2" t="str">
        <f>IFERROR(INDEX(Movimientos!$L$2:$L$1993,MATCH(A687&amp;"ENTRADA",Movimientos!$R$2:$R$1993,0)),"-")</f>
        <v>-</v>
      </c>
      <c r="H687" s="17" t="str">
        <f>IFERROR(IF(INDEX(Movimientos!$M$2:$M$1993,MATCH(A687&amp;"ENTRADA",Movimientos!$R$2:$R$1993,0))=0,"S/D",INDEX(Movimientos!$M$2:$M$1993,MATCH(A687&amp;"ENTRADA",Movimientos!$R$2:$R$1993,0))),"S/D")</f>
        <v>S/D</v>
      </c>
      <c r="I687" s="15" t="str">
        <f t="shared" ca="1" si="22"/>
        <v>S/D</v>
      </c>
      <c r="J687" s="5">
        <f>IF(A687="","",SUMIFS(Movimientos!$K:$K,Movimientos!$H:$H,A687))</f>
        <v>0</v>
      </c>
      <c r="K687" s="13" t="str">
        <f t="shared" ca="1" si="21"/>
        <v>SIN STOCK</v>
      </c>
    </row>
    <row r="688" spans="1:11">
      <c r="A688" s="16" t="s">
        <v>2993</v>
      </c>
      <c r="B688" s="2" t="str">
        <f>IFERROR(INDEX(Movimientos!$C$2:$C$1993,MATCH(A688&amp;"ENTRADA",Movimientos!$R$2:$R$1993,0)),"-")</f>
        <v>-</v>
      </c>
      <c r="C688" s="2" t="str">
        <f>IFERROR(INDEX(Movimientos!$D$2:$D$1993,MATCH(A688&amp;"ENTRADA",Movimientos!$R$2:$R$1993,0)),"-")</f>
        <v>-</v>
      </c>
      <c r="D688" s="2" t="str">
        <f>IFERROR(INDEX(Movimientos!$E$2:$E$1993,MATCH(A688&amp;"ENTRADA",Movimientos!$R$2:$R$1993,0)),"-")</f>
        <v>-</v>
      </c>
      <c r="E688" s="2" t="str">
        <f>IFERROR(INDEX(Movimientos!$F$2:$F$1993,MATCH(A688&amp;"ENTRADA",Movimientos!$R$2:$R$1993,0)),"-")</f>
        <v>-</v>
      </c>
      <c r="F688" s="2" t="str">
        <f>IFERROR(INDEX(Movimientos!$G$2:$G$1993,MATCH(A688&amp;"ENTRADA",Movimientos!$R$2:$R$1993,0)),"-")</f>
        <v>-</v>
      </c>
      <c r="G688" s="2" t="str">
        <f>IFERROR(INDEX(Movimientos!$L$2:$L$1993,MATCH(A688&amp;"ENTRADA",Movimientos!$R$2:$R$1993,0)),"-")</f>
        <v>-</v>
      </c>
      <c r="H688" s="17" t="str">
        <f>IFERROR(IF(INDEX(Movimientos!$M$2:$M$1993,MATCH(A688&amp;"ENTRADA",Movimientos!$R$2:$R$1993,0))=0,"S/D",INDEX(Movimientos!$M$2:$M$1993,MATCH(A688&amp;"ENTRADA",Movimientos!$R$2:$R$1993,0))),"S/D")</f>
        <v>S/D</v>
      </c>
      <c r="I688" s="15" t="str">
        <f t="shared" ca="1" si="22"/>
        <v>S/D</v>
      </c>
      <c r="J688" s="5">
        <f>IF(A688="","",SUMIFS(Movimientos!$K:$K,Movimientos!$H:$H,A688))</f>
        <v>0</v>
      </c>
      <c r="K688" s="13" t="str">
        <f t="shared" ca="1" si="21"/>
        <v>SIN STOCK</v>
      </c>
    </row>
    <row r="689" spans="1:11">
      <c r="A689" s="16" t="s">
        <v>2994</v>
      </c>
      <c r="B689" s="2" t="str">
        <f>IFERROR(INDEX(Movimientos!$C$2:$C$1993,MATCH(A689&amp;"ENTRADA",Movimientos!$R$2:$R$1993,0)),"-")</f>
        <v>-</v>
      </c>
      <c r="C689" s="2" t="str">
        <f>IFERROR(INDEX(Movimientos!$D$2:$D$1993,MATCH(A689&amp;"ENTRADA",Movimientos!$R$2:$R$1993,0)),"-")</f>
        <v>-</v>
      </c>
      <c r="D689" s="2" t="str">
        <f>IFERROR(INDEX(Movimientos!$E$2:$E$1993,MATCH(A689&amp;"ENTRADA",Movimientos!$R$2:$R$1993,0)),"-")</f>
        <v>-</v>
      </c>
      <c r="E689" s="2" t="str">
        <f>IFERROR(INDEX(Movimientos!$F$2:$F$1993,MATCH(A689&amp;"ENTRADA",Movimientos!$R$2:$R$1993,0)),"-")</f>
        <v>-</v>
      </c>
      <c r="F689" s="2" t="str">
        <f>IFERROR(INDEX(Movimientos!$G$2:$G$1993,MATCH(A689&amp;"ENTRADA",Movimientos!$R$2:$R$1993,0)),"-")</f>
        <v>-</v>
      </c>
      <c r="G689" s="2" t="str">
        <f>IFERROR(INDEX(Movimientos!$L$2:$L$1993,MATCH(A689&amp;"ENTRADA",Movimientos!$R$2:$R$1993,0)),"-")</f>
        <v>-</v>
      </c>
      <c r="H689" s="17" t="str">
        <f>IFERROR(IF(INDEX(Movimientos!$M$2:$M$1993,MATCH(A689&amp;"ENTRADA",Movimientos!$R$2:$R$1993,0))=0,"S/D",INDEX(Movimientos!$M$2:$M$1993,MATCH(A689&amp;"ENTRADA",Movimientos!$R$2:$R$1993,0))),"S/D")</f>
        <v>S/D</v>
      </c>
      <c r="I689" s="15" t="str">
        <f t="shared" ca="1" si="22"/>
        <v>S/D</v>
      </c>
      <c r="J689" s="5">
        <f>IF(A689="","",SUMIFS(Movimientos!$K:$K,Movimientos!$H:$H,A689))</f>
        <v>0</v>
      </c>
      <c r="K689" s="13" t="str">
        <f t="shared" ca="1" si="21"/>
        <v>SIN STOCK</v>
      </c>
    </row>
    <row r="690" spans="1:11">
      <c r="A690" s="16" t="s">
        <v>2995</v>
      </c>
      <c r="B690" s="2" t="str">
        <f>IFERROR(INDEX(Movimientos!$C$2:$C$1993,MATCH(A690&amp;"ENTRADA",Movimientos!$R$2:$R$1993,0)),"-")</f>
        <v>-</v>
      </c>
      <c r="C690" s="2" t="str">
        <f>IFERROR(INDEX(Movimientos!$D$2:$D$1993,MATCH(A690&amp;"ENTRADA",Movimientos!$R$2:$R$1993,0)),"-")</f>
        <v>-</v>
      </c>
      <c r="D690" s="2" t="str">
        <f>IFERROR(INDEX(Movimientos!$E$2:$E$1993,MATCH(A690&amp;"ENTRADA",Movimientos!$R$2:$R$1993,0)),"-")</f>
        <v>-</v>
      </c>
      <c r="E690" s="2" t="str">
        <f>IFERROR(INDEX(Movimientos!$F$2:$F$1993,MATCH(A690&amp;"ENTRADA",Movimientos!$R$2:$R$1993,0)),"-")</f>
        <v>-</v>
      </c>
      <c r="F690" s="2" t="str">
        <f>IFERROR(INDEX(Movimientos!$G$2:$G$1993,MATCH(A690&amp;"ENTRADA",Movimientos!$R$2:$R$1993,0)),"-")</f>
        <v>-</v>
      </c>
      <c r="G690" s="2" t="str">
        <f>IFERROR(INDEX(Movimientos!$L$2:$L$1993,MATCH(A690&amp;"ENTRADA",Movimientos!$R$2:$R$1993,0)),"-")</f>
        <v>-</v>
      </c>
      <c r="H690" s="17" t="str">
        <f>IFERROR(IF(INDEX(Movimientos!$M$2:$M$1993,MATCH(A690&amp;"ENTRADA",Movimientos!$R$2:$R$1993,0))=0,"S/D",INDEX(Movimientos!$M$2:$M$1993,MATCH(A690&amp;"ENTRADA",Movimientos!$R$2:$R$1993,0))),"S/D")</f>
        <v>S/D</v>
      </c>
      <c r="I690" s="15" t="str">
        <f t="shared" ca="1" si="22"/>
        <v>S/D</v>
      </c>
      <c r="J690" s="5">
        <f>IF(A690="","",SUMIFS(Movimientos!$K:$K,Movimientos!$H:$H,A690))</f>
        <v>0</v>
      </c>
      <c r="K690" s="13" t="str">
        <f t="shared" ca="1" si="21"/>
        <v>SIN STOCK</v>
      </c>
    </row>
    <row r="691" spans="1:11">
      <c r="A691" s="16" t="s">
        <v>2996</v>
      </c>
      <c r="B691" s="2" t="str">
        <f>IFERROR(INDEX(Movimientos!$C$2:$C$1993,MATCH(A691&amp;"ENTRADA",Movimientos!$R$2:$R$1993,0)),"-")</f>
        <v>-</v>
      </c>
      <c r="C691" s="2" t="str">
        <f>IFERROR(INDEX(Movimientos!$D$2:$D$1993,MATCH(A691&amp;"ENTRADA",Movimientos!$R$2:$R$1993,0)),"-")</f>
        <v>-</v>
      </c>
      <c r="D691" s="2" t="str">
        <f>IFERROR(INDEX(Movimientos!$E$2:$E$1993,MATCH(A691&amp;"ENTRADA",Movimientos!$R$2:$R$1993,0)),"-")</f>
        <v>-</v>
      </c>
      <c r="E691" s="2" t="str">
        <f>IFERROR(INDEX(Movimientos!$F$2:$F$1993,MATCH(A691&amp;"ENTRADA",Movimientos!$R$2:$R$1993,0)),"-")</f>
        <v>-</v>
      </c>
      <c r="F691" s="2" t="str">
        <f>IFERROR(INDEX(Movimientos!$G$2:$G$1993,MATCH(A691&amp;"ENTRADA",Movimientos!$R$2:$R$1993,0)),"-")</f>
        <v>-</v>
      </c>
      <c r="G691" s="2" t="str">
        <f>IFERROR(INDEX(Movimientos!$L$2:$L$1993,MATCH(A691&amp;"ENTRADA",Movimientos!$R$2:$R$1993,0)),"-")</f>
        <v>-</v>
      </c>
      <c r="H691" s="17" t="str">
        <f>IFERROR(IF(INDEX(Movimientos!$M$2:$M$1993,MATCH(A691&amp;"ENTRADA",Movimientos!$R$2:$R$1993,0))=0,"S/D",INDEX(Movimientos!$M$2:$M$1993,MATCH(A691&amp;"ENTRADA",Movimientos!$R$2:$R$1993,0))),"S/D")</f>
        <v>S/D</v>
      </c>
      <c r="I691" s="15" t="str">
        <f t="shared" ca="1" si="22"/>
        <v>S/D</v>
      </c>
      <c r="J691" s="5">
        <f>IF(A691="","",SUMIFS(Movimientos!$K:$K,Movimientos!$H:$H,A691))</f>
        <v>0</v>
      </c>
      <c r="K691" s="13" t="str">
        <f t="shared" ca="1" si="21"/>
        <v>SIN STOCK</v>
      </c>
    </row>
    <row r="692" spans="1:11">
      <c r="A692" s="16" t="s">
        <v>2997</v>
      </c>
      <c r="B692" s="2" t="str">
        <f>IFERROR(INDEX(Movimientos!$C$2:$C$1993,MATCH(A692&amp;"ENTRADA",Movimientos!$R$2:$R$1993,0)),"-")</f>
        <v>-</v>
      </c>
      <c r="C692" s="2" t="str">
        <f>IFERROR(INDEX(Movimientos!$D$2:$D$1993,MATCH(A692&amp;"ENTRADA",Movimientos!$R$2:$R$1993,0)),"-")</f>
        <v>-</v>
      </c>
      <c r="D692" s="2" t="str">
        <f>IFERROR(INDEX(Movimientos!$E$2:$E$1993,MATCH(A692&amp;"ENTRADA",Movimientos!$R$2:$R$1993,0)),"-")</f>
        <v>-</v>
      </c>
      <c r="E692" s="2" t="str">
        <f>IFERROR(INDEX(Movimientos!$F$2:$F$1993,MATCH(A692&amp;"ENTRADA",Movimientos!$R$2:$R$1993,0)),"-")</f>
        <v>-</v>
      </c>
      <c r="F692" s="2" t="str">
        <f>IFERROR(INDEX(Movimientos!$G$2:$G$1993,MATCH(A692&amp;"ENTRADA",Movimientos!$R$2:$R$1993,0)),"-")</f>
        <v>-</v>
      </c>
      <c r="G692" s="2" t="str">
        <f>IFERROR(INDEX(Movimientos!$L$2:$L$1993,MATCH(A692&amp;"ENTRADA",Movimientos!$R$2:$R$1993,0)),"-")</f>
        <v>-</v>
      </c>
      <c r="H692" s="17" t="str">
        <f>IFERROR(IF(INDEX(Movimientos!$M$2:$M$1993,MATCH(A692&amp;"ENTRADA",Movimientos!$R$2:$R$1993,0))=0,"S/D",INDEX(Movimientos!$M$2:$M$1993,MATCH(A692&amp;"ENTRADA",Movimientos!$R$2:$R$1993,0))),"S/D")</f>
        <v>S/D</v>
      </c>
      <c r="I692" s="15" t="str">
        <f t="shared" ca="1" si="22"/>
        <v>S/D</v>
      </c>
      <c r="J692" s="5">
        <f>IF(A692="","",SUMIFS(Movimientos!$K:$K,Movimientos!$H:$H,A692))</f>
        <v>0</v>
      </c>
      <c r="K692" s="13" t="str">
        <f t="shared" ca="1" si="21"/>
        <v>SIN STOCK</v>
      </c>
    </row>
    <row r="693" spans="1:11">
      <c r="A693" s="16" t="s">
        <v>2998</v>
      </c>
      <c r="B693" s="2" t="str">
        <f>IFERROR(INDEX(Movimientos!$C$2:$C$1993,MATCH(A693&amp;"ENTRADA",Movimientos!$R$2:$R$1993,0)),"-")</f>
        <v>-</v>
      </c>
      <c r="C693" s="2" t="str">
        <f>IFERROR(INDEX(Movimientos!$D$2:$D$1993,MATCH(A693&amp;"ENTRADA",Movimientos!$R$2:$R$1993,0)),"-")</f>
        <v>-</v>
      </c>
      <c r="D693" s="2" t="str">
        <f>IFERROR(INDEX(Movimientos!$E$2:$E$1993,MATCH(A693&amp;"ENTRADA",Movimientos!$R$2:$R$1993,0)),"-")</f>
        <v>-</v>
      </c>
      <c r="E693" s="2" t="str">
        <f>IFERROR(INDEX(Movimientos!$F$2:$F$1993,MATCH(A693&amp;"ENTRADA",Movimientos!$R$2:$R$1993,0)),"-")</f>
        <v>-</v>
      </c>
      <c r="F693" s="2" t="str">
        <f>IFERROR(INDEX(Movimientos!$G$2:$G$1993,MATCH(A693&amp;"ENTRADA",Movimientos!$R$2:$R$1993,0)),"-")</f>
        <v>-</v>
      </c>
      <c r="G693" s="2" t="str">
        <f>IFERROR(INDEX(Movimientos!$L$2:$L$1993,MATCH(A693&amp;"ENTRADA",Movimientos!$R$2:$R$1993,0)),"-")</f>
        <v>-</v>
      </c>
      <c r="H693" s="17" t="str">
        <f>IFERROR(IF(INDEX(Movimientos!$M$2:$M$1993,MATCH(A693&amp;"ENTRADA",Movimientos!$R$2:$R$1993,0))=0,"S/D",INDEX(Movimientos!$M$2:$M$1993,MATCH(A693&amp;"ENTRADA",Movimientos!$R$2:$R$1993,0))),"S/D")</f>
        <v>S/D</v>
      </c>
      <c r="I693" s="15" t="str">
        <f t="shared" ca="1" si="22"/>
        <v>S/D</v>
      </c>
      <c r="J693" s="5">
        <f>IF(A693="","",SUMIFS(Movimientos!$K:$K,Movimientos!$H:$H,A693))</f>
        <v>0</v>
      </c>
      <c r="K693" s="13" t="str">
        <f t="shared" ca="1" si="21"/>
        <v>SIN STOCK</v>
      </c>
    </row>
    <row r="694" spans="1:11">
      <c r="A694" s="16" t="s">
        <v>2999</v>
      </c>
      <c r="B694" s="2" t="str">
        <f>IFERROR(INDEX(Movimientos!$C$2:$C$1993,MATCH(A694&amp;"ENTRADA",Movimientos!$R$2:$R$1993,0)),"-")</f>
        <v>-</v>
      </c>
      <c r="C694" s="2" t="str">
        <f>IFERROR(INDEX(Movimientos!$D$2:$D$1993,MATCH(A694&amp;"ENTRADA",Movimientos!$R$2:$R$1993,0)),"-")</f>
        <v>-</v>
      </c>
      <c r="D694" s="2" t="str">
        <f>IFERROR(INDEX(Movimientos!$E$2:$E$1993,MATCH(A694&amp;"ENTRADA",Movimientos!$R$2:$R$1993,0)),"-")</f>
        <v>-</v>
      </c>
      <c r="E694" s="2" t="str">
        <f>IFERROR(INDEX(Movimientos!$F$2:$F$1993,MATCH(A694&amp;"ENTRADA",Movimientos!$R$2:$R$1993,0)),"-")</f>
        <v>-</v>
      </c>
      <c r="F694" s="2" t="str">
        <f>IFERROR(INDEX(Movimientos!$G$2:$G$1993,MATCH(A694&amp;"ENTRADA",Movimientos!$R$2:$R$1993,0)),"-")</f>
        <v>-</v>
      </c>
      <c r="G694" s="2" t="str">
        <f>IFERROR(INDEX(Movimientos!$L$2:$L$1993,MATCH(A694&amp;"ENTRADA",Movimientos!$R$2:$R$1993,0)),"-")</f>
        <v>-</v>
      </c>
      <c r="H694" s="17" t="str">
        <f>IFERROR(IF(INDEX(Movimientos!$M$2:$M$1993,MATCH(A694&amp;"ENTRADA",Movimientos!$R$2:$R$1993,0))=0,"S/D",INDEX(Movimientos!$M$2:$M$1993,MATCH(A694&amp;"ENTRADA",Movimientos!$R$2:$R$1993,0))),"S/D")</f>
        <v>S/D</v>
      </c>
      <c r="I694" s="15" t="str">
        <f t="shared" ca="1" si="22"/>
        <v>S/D</v>
      </c>
      <c r="J694" s="5">
        <f>IF(A694="","",SUMIFS(Movimientos!$K:$K,Movimientos!$H:$H,A694))</f>
        <v>0</v>
      </c>
      <c r="K694" s="13" t="str">
        <f t="shared" ca="1" si="21"/>
        <v>SIN STOCK</v>
      </c>
    </row>
    <row r="695" spans="1:11">
      <c r="A695" s="16" t="s">
        <v>3000</v>
      </c>
      <c r="B695" s="2" t="str">
        <f>IFERROR(INDEX(Movimientos!$C$2:$C$1993,MATCH(A695&amp;"ENTRADA",Movimientos!$R$2:$R$1993,0)),"-")</f>
        <v>-</v>
      </c>
      <c r="C695" s="2" t="str">
        <f>IFERROR(INDEX(Movimientos!$D$2:$D$1993,MATCH(A695&amp;"ENTRADA",Movimientos!$R$2:$R$1993,0)),"-")</f>
        <v>-</v>
      </c>
      <c r="D695" s="2" t="str">
        <f>IFERROR(INDEX(Movimientos!$E$2:$E$1993,MATCH(A695&amp;"ENTRADA",Movimientos!$R$2:$R$1993,0)),"-")</f>
        <v>-</v>
      </c>
      <c r="E695" s="2" t="str">
        <f>IFERROR(INDEX(Movimientos!$F$2:$F$1993,MATCH(A695&amp;"ENTRADA",Movimientos!$R$2:$R$1993,0)),"-")</f>
        <v>-</v>
      </c>
      <c r="F695" s="2" t="str">
        <f>IFERROR(INDEX(Movimientos!$G$2:$G$1993,MATCH(A695&amp;"ENTRADA",Movimientos!$R$2:$R$1993,0)),"-")</f>
        <v>-</v>
      </c>
      <c r="G695" s="2" t="str">
        <f>IFERROR(INDEX(Movimientos!$L$2:$L$1993,MATCH(A695&amp;"ENTRADA",Movimientos!$R$2:$R$1993,0)),"-")</f>
        <v>-</v>
      </c>
      <c r="H695" s="17" t="str">
        <f>IFERROR(IF(INDEX(Movimientos!$M$2:$M$1993,MATCH(A695&amp;"ENTRADA",Movimientos!$R$2:$R$1993,0))=0,"S/D",INDEX(Movimientos!$M$2:$M$1993,MATCH(A695&amp;"ENTRADA",Movimientos!$R$2:$R$1993,0))),"S/D")</f>
        <v>S/D</v>
      </c>
      <c r="I695" s="15" t="str">
        <f t="shared" ca="1" si="22"/>
        <v>S/D</v>
      </c>
      <c r="J695" s="5">
        <f>IF(A695="","",SUMIFS(Movimientos!$K:$K,Movimientos!$H:$H,A695))</f>
        <v>0</v>
      </c>
      <c r="K695" s="13" t="str">
        <f t="shared" ca="1" si="21"/>
        <v>SIN STOCK</v>
      </c>
    </row>
    <row r="696" spans="1:11">
      <c r="A696" s="16" t="s">
        <v>3001</v>
      </c>
      <c r="B696" s="2" t="str">
        <f>IFERROR(INDEX(Movimientos!$C$2:$C$1993,MATCH(A696&amp;"ENTRADA",Movimientos!$R$2:$R$1993,0)),"-")</f>
        <v>-</v>
      </c>
      <c r="C696" s="2" t="str">
        <f>IFERROR(INDEX(Movimientos!$D$2:$D$1993,MATCH(A696&amp;"ENTRADA",Movimientos!$R$2:$R$1993,0)),"-")</f>
        <v>-</v>
      </c>
      <c r="D696" s="2" t="str">
        <f>IFERROR(INDEX(Movimientos!$E$2:$E$1993,MATCH(A696&amp;"ENTRADA",Movimientos!$R$2:$R$1993,0)),"-")</f>
        <v>-</v>
      </c>
      <c r="E696" s="2" t="str">
        <f>IFERROR(INDEX(Movimientos!$F$2:$F$1993,MATCH(A696&amp;"ENTRADA",Movimientos!$R$2:$R$1993,0)),"-")</f>
        <v>-</v>
      </c>
      <c r="F696" s="2" t="str">
        <f>IFERROR(INDEX(Movimientos!$G$2:$G$1993,MATCH(A696&amp;"ENTRADA",Movimientos!$R$2:$R$1993,0)),"-")</f>
        <v>-</v>
      </c>
      <c r="G696" s="2" t="str">
        <f>IFERROR(INDEX(Movimientos!$L$2:$L$1993,MATCH(A696&amp;"ENTRADA",Movimientos!$R$2:$R$1993,0)),"-")</f>
        <v>-</v>
      </c>
      <c r="H696" s="17" t="str">
        <f>IFERROR(IF(INDEX(Movimientos!$M$2:$M$1993,MATCH(A696&amp;"ENTRADA",Movimientos!$R$2:$R$1993,0))=0,"S/D",INDEX(Movimientos!$M$2:$M$1993,MATCH(A696&amp;"ENTRADA",Movimientos!$R$2:$R$1993,0))),"S/D")</f>
        <v>S/D</v>
      </c>
      <c r="I696" s="15" t="str">
        <f t="shared" ca="1" si="22"/>
        <v>S/D</v>
      </c>
      <c r="J696" s="5">
        <f>IF(A696="","",SUMIFS(Movimientos!$K:$K,Movimientos!$H:$H,A696))</f>
        <v>0</v>
      </c>
      <c r="K696" s="13" t="str">
        <f t="shared" ca="1" si="21"/>
        <v>SIN STOCK</v>
      </c>
    </row>
    <row r="697" spans="1:11">
      <c r="A697" s="16" t="s">
        <v>3002</v>
      </c>
      <c r="B697" s="2" t="str">
        <f>IFERROR(INDEX(Movimientos!$C$2:$C$1993,MATCH(A697&amp;"ENTRADA",Movimientos!$R$2:$R$1993,0)),"-")</f>
        <v>-</v>
      </c>
      <c r="C697" s="2" t="str">
        <f>IFERROR(INDEX(Movimientos!$D$2:$D$1993,MATCH(A697&amp;"ENTRADA",Movimientos!$R$2:$R$1993,0)),"-")</f>
        <v>-</v>
      </c>
      <c r="D697" s="2" t="str">
        <f>IFERROR(INDEX(Movimientos!$E$2:$E$1993,MATCH(A697&amp;"ENTRADA",Movimientos!$R$2:$R$1993,0)),"-")</f>
        <v>-</v>
      </c>
      <c r="E697" s="2" t="str">
        <f>IFERROR(INDEX(Movimientos!$F$2:$F$1993,MATCH(A697&amp;"ENTRADA",Movimientos!$R$2:$R$1993,0)),"-")</f>
        <v>-</v>
      </c>
      <c r="F697" s="2" t="str">
        <f>IFERROR(INDEX(Movimientos!$G$2:$G$1993,MATCH(A697&amp;"ENTRADA",Movimientos!$R$2:$R$1993,0)),"-")</f>
        <v>-</v>
      </c>
      <c r="G697" s="2" t="str">
        <f>IFERROR(INDEX(Movimientos!$L$2:$L$1993,MATCH(A697&amp;"ENTRADA",Movimientos!$R$2:$R$1993,0)),"-")</f>
        <v>-</v>
      </c>
      <c r="H697" s="17" t="str">
        <f>IFERROR(IF(INDEX(Movimientos!$M$2:$M$1993,MATCH(A697&amp;"ENTRADA",Movimientos!$R$2:$R$1993,0))=0,"S/D",INDEX(Movimientos!$M$2:$M$1993,MATCH(A697&amp;"ENTRADA",Movimientos!$R$2:$R$1993,0))),"S/D")</f>
        <v>S/D</v>
      </c>
      <c r="I697" s="15" t="str">
        <f t="shared" ca="1" si="22"/>
        <v>S/D</v>
      </c>
      <c r="J697" s="5">
        <f>IF(A697="","",SUMIFS(Movimientos!$K:$K,Movimientos!$H:$H,A697))</f>
        <v>0</v>
      </c>
      <c r="K697" s="13" t="str">
        <f t="shared" ca="1" si="21"/>
        <v>SIN STOCK</v>
      </c>
    </row>
    <row r="698" spans="1:11">
      <c r="A698" s="16" t="s">
        <v>3003</v>
      </c>
      <c r="B698" s="2" t="str">
        <f>IFERROR(INDEX(Movimientos!$C$2:$C$1993,MATCH(A698&amp;"ENTRADA",Movimientos!$R$2:$R$1993,0)),"-")</f>
        <v>-</v>
      </c>
      <c r="C698" s="2" t="str">
        <f>IFERROR(INDEX(Movimientos!$D$2:$D$1993,MATCH(A698&amp;"ENTRADA",Movimientos!$R$2:$R$1993,0)),"-")</f>
        <v>-</v>
      </c>
      <c r="D698" s="2" t="str">
        <f>IFERROR(INDEX(Movimientos!$E$2:$E$1993,MATCH(A698&amp;"ENTRADA",Movimientos!$R$2:$R$1993,0)),"-")</f>
        <v>-</v>
      </c>
      <c r="E698" s="2" t="str">
        <f>IFERROR(INDEX(Movimientos!$F$2:$F$1993,MATCH(A698&amp;"ENTRADA",Movimientos!$R$2:$R$1993,0)),"-")</f>
        <v>-</v>
      </c>
      <c r="F698" s="2" t="str">
        <f>IFERROR(INDEX(Movimientos!$G$2:$G$1993,MATCH(A698&amp;"ENTRADA",Movimientos!$R$2:$R$1993,0)),"-")</f>
        <v>-</v>
      </c>
      <c r="G698" s="2" t="str">
        <f>IFERROR(INDEX(Movimientos!$L$2:$L$1993,MATCH(A698&amp;"ENTRADA",Movimientos!$R$2:$R$1993,0)),"-")</f>
        <v>-</v>
      </c>
      <c r="H698" s="17" t="str">
        <f>IFERROR(IF(INDEX(Movimientos!$M$2:$M$1993,MATCH(A698&amp;"ENTRADA",Movimientos!$R$2:$R$1993,0))=0,"S/D",INDEX(Movimientos!$M$2:$M$1993,MATCH(A698&amp;"ENTRADA",Movimientos!$R$2:$R$1993,0))),"S/D")</f>
        <v>S/D</v>
      </c>
      <c r="I698" s="15" t="str">
        <f t="shared" ca="1" si="22"/>
        <v>S/D</v>
      </c>
      <c r="J698" s="5">
        <f>IF(A698="","",SUMIFS(Movimientos!$K:$K,Movimientos!$H:$H,A698))</f>
        <v>0</v>
      </c>
      <c r="K698" s="13" t="str">
        <f t="shared" ca="1" si="21"/>
        <v>SIN STOCK</v>
      </c>
    </row>
    <row r="699" spans="1:11">
      <c r="A699" s="16" t="s">
        <v>3004</v>
      </c>
      <c r="B699" s="2" t="str">
        <f>IFERROR(INDEX(Movimientos!$C$2:$C$1993,MATCH(A699&amp;"ENTRADA",Movimientos!$R$2:$R$1993,0)),"-")</f>
        <v>-</v>
      </c>
      <c r="C699" s="2" t="str">
        <f>IFERROR(INDEX(Movimientos!$D$2:$D$1993,MATCH(A699&amp;"ENTRADA",Movimientos!$R$2:$R$1993,0)),"-")</f>
        <v>-</v>
      </c>
      <c r="D699" s="2" t="str">
        <f>IFERROR(INDEX(Movimientos!$E$2:$E$1993,MATCH(A699&amp;"ENTRADA",Movimientos!$R$2:$R$1993,0)),"-")</f>
        <v>-</v>
      </c>
      <c r="E699" s="2" t="str">
        <f>IFERROR(INDEX(Movimientos!$F$2:$F$1993,MATCH(A699&amp;"ENTRADA",Movimientos!$R$2:$R$1993,0)),"-")</f>
        <v>-</v>
      </c>
      <c r="F699" s="2" t="str">
        <f>IFERROR(INDEX(Movimientos!$G$2:$G$1993,MATCH(A699&amp;"ENTRADA",Movimientos!$R$2:$R$1993,0)),"-")</f>
        <v>-</v>
      </c>
      <c r="G699" s="2" t="str">
        <f>IFERROR(INDEX(Movimientos!$L$2:$L$1993,MATCH(A699&amp;"ENTRADA",Movimientos!$R$2:$R$1993,0)),"-")</f>
        <v>-</v>
      </c>
      <c r="H699" s="17" t="str">
        <f>IFERROR(IF(INDEX(Movimientos!$M$2:$M$1993,MATCH(A699&amp;"ENTRADA",Movimientos!$R$2:$R$1993,0))=0,"S/D",INDEX(Movimientos!$M$2:$M$1993,MATCH(A699&amp;"ENTRADA",Movimientos!$R$2:$R$1993,0))),"S/D")</f>
        <v>S/D</v>
      </c>
      <c r="I699" s="15" t="str">
        <f t="shared" ca="1" si="22"/>
        <v>S/D</v>
      </c>
      <c r="J699" s="5">
        <f>IF(A699="","",SUMIFS(Movimientos!$K:$K,Movimientos!$H:$H,A699))</f>
        <v>0</v>
      </c>
      <c r="K699" s="13" t="str">
        <f t="shared" ca="1" si="21"/>
        <v>SIN STOCK</v>
      </c>
    </row>
    <row r="700" spans="1:11">
      <c r="A700" s="16" t="s">
        <v>3005</v>
      </c>
      <c r="B700" s="2" t="str">
        <f>IFERROR(INDEX(Movimientos!$C$2:$C$1993,MATCH(A700&amp;"ENTRADA",Movimientos!$R$2:$R$1993,0)),"-")</f>
        <v>-</v>
      </c>
      <c r="C700" s="2" t="str">
        <f>IFERROR(INDEX(Movimientos!$D$2:$D$1993,MATCH(A700&amp;"ENTRADA",Movimientos!$R$2:$R$1993,0)),"-")</f>
        <v>-</v>
      </c>
      <c r="D700" s="2" t="str">
        <f>IFERROR(INDEX(Movimientos!$E$2:$E$1993,MATCH(A700&amp;"ENTRADA",Movimientos!$R$2:$R$1993,0)),"-")</f>
        <v>-</v>
      </c>
      <c r="E700" s="2" t="str">
        <f>IFERROR(INDEX(Movimientos!$F$2:$F$1993,MATCH(A700&amp;"ENTRADA",Movimientos!$R$2:$R$1993,0)),"-")</f>
        <v>-</v>
      </c>
      <c r="F700" s="2" t="str">
        <f>IFERROR(INDEX(Movimientos!$G$2:$G$1993,MATCH(A700&amp;"ENTRADA",Movimientos!$R$2:$R$1993,0)),"-")</f>
        <v>-</v>
      </c>
      <c r="G700" s="2" t="str">
        <f>IFERROR(INDEX(Movimientos!$L$2:$L$1993,MATCH(A700&amp;"ENTRADA",Movimientos!$R$2:$R$1993,0)),"-")</f>
        <v>-</v>
      </c>
      <c r="H700" s="17" t="str">
        <f>IFERROR(IF(INDEX(Movimientos!$M$2:$M$1993,MATCH(A700&amp;"ENTRADA",Movimientos!$R$2:$R$1993,0))=0,"S/D",INDEX(Movimientos!$M$2:$M$1993,MATCH(A700&amp;"ENTRADA",Movimientos!$R$2:$R$1993,0))),"S/D")</f>
        <v>S/D</v>
      </c>
      <c r="I700" s="15" t="str">
        <f t="shared" ca="1" si="22"/>
        <v>S/D</v>
      </c>
      <c r="J700" s="5">
        <f>IF(A700="","",SUMIFS(Movimientos!$K:$K,Movimientos!$H:$H,A700))</f>
        <v>0</v>
      </c>
      <c r="K700" s="13" t="str">
        <f t="shared" ca="1" si="21"/>
        <v>SIN STOCK</v>
      </c>
    </row>
    <row r="701" spans="1:11">
      <c r="A701" s="16" t="s">
        <v>3006</v>
      </c>
      <c r="B701" s="2" t="str">
        <f>IFERROR(INDEX(Movimientos!$C$2:$C$1993,MATCH(A701&amp;"ENTRADA",Movimientos!$R$2:$R$1993,0)),"-")</f>
        <v>-</v>
      </c>
      <c r="C701" s="2" t="str">
        <f>IFERROR(INDEX(Movimientos!$D$2:$D$1993,MATCH(A701&amp;"ENTRADA",Movimientos!$R$2:$R$1993,0)),"-")</f>
        <v>-</v>
      </c>
      <c r="D701" s="2" t="str">
        <f>IFERROR(INDEX(Movimientos!$E$2:$E$1993,MATCH(A701&amp;"ENTRADA",Movimientos!$R$2:$R$1993,0)),"-")</f>
        <v>-</v>
      </c>
      <c r="E701" s="2" t="str">
        <f>IFERROR(INDEX(Movimientos!$F$2:$F$1993,MATCH(A701&amp;"ENTRADA",Movimientos!$R$2:$R$1993,0)),"-")</f>
        <v>-</v>
      </c>
      <c r="F701" s="2" t="str">
        <f>IFERROR(INDEX(Movimientos!$G$2:$G$1993,MATCH(A701&amp;"ENTRADA",Movimientos!$R$2:$R$1993,0)),"-")</f>
        <v>-</v>
      </c>
      <c r="G701" s="2" t="str">
        <f>IFERROR(INDEX(Movimientos!$L$2:$L$1993,MATCH(A701&amp;"ENTRADA",Movimientos!$R$2:$R$1993,0)),"-")</f>
        <v>-</v>
      </c>
      <c r="H701" s="17" t="str">
        <f>IFERROR(IF(INDEX(Movimientos!$M$2:$M$1993,MATCH(A701&amp;"ENTRADA",Movimientos!$R$2:$R$1993,0))=0,"S/D",INDEX(Movimientos!$M$2:$M$1993,MATCH(A701&amp;"ENTRADA",Movimientos!$R$2:$R$1993,0))),"S/D")</f>
        <v>S/D</v>
      </c>
      <c r="I701" s="15" t="str">
        <f t="shared" ca="1" si="22"/>
        <v>S/D</v>
      </c>
      <c r="J701" s="5">
        <f>IF(A701="","",SUMIFS(Movimientos!$K:$K,Movimientos!$H:$H,A701))</f>
        <v>0</v>
      </c>
      <c r="K701" s="13" t="str">
        <f t="shared" ca="1" si="21"/>
        <v>SIN STOCK</v>
      </c>
    </row>
    <row r="702" spans="1:11">
      <c r="A702" s="16" t="s">
        <v>3007</v>
      </c>
      <c r="B702" s="2" t="str">
        <f>IFERROR(INDEX(Movimientos!$C$2:$C$1993,MATCH(A702&amp;"ENTRADA",Movimientos!$R$2:$R$1993,0)),"-")</f>
        <v>-</v>
      </c>
      <c r="C702" s="2" t="str">
        <f>IFERROR(INDEX(Movimientos!$D$2:$D$1993,MATCH(A702&amp;"ENTRADA",Movimientos!$R$2:$R$1993,0)),"-")</f>
        <v>-</v>
      </c>
      <c r="D702" s="2" t="str">
        <f>IFERROR(INDEX(Movimientos!$E$2:$E$1993,MATCH(A702&amp;"ENTRADA",Movimientos!$R$2:$R$1993,0)),"-")</f>
        <v>-</v>
      </c>
      <c r="E702" s="2" t="str">
        <f>IFERROR(INDEX(Movimientos!$F$2:$F$1993,MATCH(A702&amp;"ENTRADA",Movimientos!$R$2:$R$1993,0)),"-")</f>
        <v>-</v>
      </c>
      <c r="F702" s="2" t="str">
        <f>IFERROR(INDEX(Movimientos!$G$2:$G$1993,MATCH(A702&amp;"ENTRADA",Movimientos!$R$2:$R$1993,0)),"-")</f>
        <v>-</v>
      </c>
      <c r="G702" s="2" t="str">
        <f>IFERROR(INDEX(Movimientos!$L$2:$L$1993,MATCH(A702&amp;"ENTRADA",Movimientos!$R$2:$R$1993,0)),"-")</f>
        <v>-</v>
      </c>
      <c r="H702" s="17" t="str">
        <f>IFERROR(IF(INDEX(Movimientos!$M$2:$M$1993,MATCH(A702&amp;"ENTRADA",Movimientos!$R$2:$R$1993,0))=0,"S/D",INDEX(Movimientos!$M$2:$M$1993,MATCH(A702&amp;"ENTRADA",Movimientos!$R$2:$R$1993,0))),"S/D")</f>
        <v>S/D</v>
      </c>
      <c r="I702" s="15" t="str">
        <f t="shared" ca="1" si="22"/>
        <v>S/D</v>
      </c>
      <c r="J702" s="5">
        <f>IF(A702="","",SUMIFS(Movimientos!$K:$K,Movimientos!$H:$H,A702))</f>
        <v>0</v>
      </c>
      <c r="K702" s="13" t="str">
        <f t="shared" ref="K702:K765" ca="1" si="23">IF(A702="","",IF(J702&lt;0.01,"SIN STOCK",IF(H702="S/D","OK",IF(H702&lt;TODAY(),"VENCIDO",IF(I702&gt;=180,"OK","PRÓXIMO A VENCER")))))</f>
        <v>SIN STOCK</v>
      </c>
    </row>
    <row r="703" spans="1:11">
      <c r="A703" s="16" t="s">
        <v>3008</v>
      </c>
      <c r="B703" s="2" t="str">
        <f>IFERROR(INDEX(Movimientos!$C$2:$C$1993,MATCH(A703&amp;"ENTRADA",Movimientos!$R$2:$R$1993,0)),"-")</f>
        <v>-</v>
      </c>
      <c r="C703" s="2" t="str">
        <f>IFERROR(INDEX(Movimientos!$D$2:$D$1993,MATCH(A703&amp;"ENTRADA",Movimientos!$R$2:$R$1993,0)),"-")</f>
        <v>-</v>
      </c>
      <c r="D703" s="2" t="str">
        <f>IFERROR(INDEX(Movimientos!$E$2:$E$1993,MATCH(A703&amp;"ENTRADA",Movimientos!$R$2:$R$1993,0)),"-")</f>
        <v>-</v>
      </c>
      <c r="E703" s="2" t="str">
        <f>IFERROR(INDEX(Movimientos!$F$2:$F$1993,MATCH(A703&amp;"ENTRADA",Movimientos!$R$2:$R$1993,0)),"-")</f>
        <v>-</v>
      </c>
      <c r="F703" s="2" t="str">
        <f>IFERROR(INDEX(Movimientos!$G$2:$G$1993,MATCH(A703&amp;"ENTRADA",Movimientos!$R$2:$R$1993,0)),"-")</f>
        <v>-</v>
      </c>
      <c r="G703" s="2" t="str">
        <f>IFERROR(INDEX(Movimientos!$L$2:$L$1993,MATCH(A703&amp;"ENTRADA",Movimientos!$R$2:$R$1993,0)),"-")</f>
        <v>-</v>
      </c>
      <c r="H703" s="17" t="str">
        <f>IFERROR(IF(INDEX(Movimientos!$M$2:$M$1993,MATCH(A703&amp;"ENTRADA",Movimientos!$R$2:$R$1993,0))=0,"S/D",INDEX(Movimientos!$M$2:$M$1993,MATCH(A703&amp;"ENTRADA",Movimientos!$R$2:$R$1993,0))),"S/D")</f>
        <v>S/D</v>
      </c>
      <c r="I703" s="15" t="str">
        <f t="shared" ca="1" si="22"/>
        <v>S/D</v>
      </c>
      <c r="J703" s="5">
        <f>IF(A703="","",SUMIFS(Movimientos!$K:$K,Movimientos!$H:$H,A703))</f>
        <v>0</v>
      </c>
      <c r="K703" s="13" t="str">
        <f t="shared" ca="1" si="23"/>
        <v>SIN STOCK</v>
      </c>
    </row>
    <row r="704" spans="1:11">
      <c r="A704" s="16" t="s">
        <v>3009</v>
      </c>
      <c r="B704" s="2" t="str">
        <f>IFERROR(INDEX(Movimientos!$C$2:$C$1993,MATCH(A704&amp;"ENTRADA",Movimientos!$R$2:$R$1993,0)),"-")</f>
        <v>-</v>
      </c>
      <c r="C704" s="2" t="str">
        <f>IFERROR(INDEX(Movimientos!$D$2:$D$1993,MATCH(A704&amp;"ENTRADA",Movimientos!$R$2:$R$1993,0)),"-")</f>
        <v>-</v>
      </c>
      <c r="D704" s="2" t="str">
        <f>IFERROR(INDEX(Movimientos!$E$2:$E$1993,MATCH(A704&amp;"ENTRADA",Movimientos!$R$2:$R$1993,0)),"-")</f>
        <v>-</v>
      </c>
      <c r="E704" s="2" t="str">
        <f>IFERROR(INDEX(Movimientos!$F$2:$F$1993,MATCH(A704&amp;"ENTRADA",Movimientos!$R$2:$R$1993,0)),"-")</f>
        <v>-</v>
      </c>
      <c r="F704" s="2" t="str">
        <f>IFERROR(INDEX(Movimientos!$G$2:$G$1993,MATCH(A704&amp;"ENTRADA",Movimientos!$R$2:$R$1993,0)),"-")</f>
        <v>-</v>
      </c>
      <c r="G704" s="2" t="str">
        <f>IFERROR(INDEX(Movimientos!$L$2:$L$1993,MATCH(A704&amp;"ENTRADA",Movimientos!$R$2:$R$1993,0)),"-")</f>
        <v>-</v>
      </c>
      <c r="H704" s="17" t="str">
        <f>IFERROR(IF(INDEX(Movimientos!$M$2:$M$1993,MATCH(A704&amp;"ENTRADA",Movimientos!$R$2:$R$1993,0))=0,"S/D",INDEX(Movimientos!$M$2:$M$1993,MATCH(A704&amp;"ENTRADA",Movimientos!$R$2:$R$1993,0))),"S/D")</f>
        <v>S/D</v>
      </c>
      <c r="I704" s="15" t="str">
        <f t="shared" ca="1" si="22"/>
        <v>S/D</v>
      </c>
      <c r="J704" s="5">
        <f>IF(A704="","",SUMIFS(Movimientos!$K:$K,Movimientos!$H:$H,A704))</f>
        <v>0</v>
      </c>
      <c r="K704" s="13" t="str">
        <f t="shared" ca="1" si="23"/>
        <v>SIN STOCK</v>
      </c>
    </row>
    <row r="705" spans="1:11">
      <c r="A705" s="16" t="s">
        <v>3010</v>
      </c>
      <c r="B705" s="2" t="str">
        <f>IFERROR(INDEX(Movimientos!$C$2:$C$1993,MATCH(A705&amp;"ENTRADA",Movimientos!$R$2:$R$1993,0)),"-")</f>
        <v>-</v>
      </c>
      <c r="C705" s="2" t="str">
        <f>IFERROR(INDEX(Movimientos!$D$2:$D$1993,MATCH(A705&amp;"ENTRADA",Movimientos!$R$2:$R$1993,0)),"-")</f>
        <v>-</v>
      </c>
      <c r="D705" s="2" t="str">
        <f>IFERROR(INDEX(Movimientos!$E$2:$E$1993,MATCH(A705&amp;"ENTRADA",Movimientos!$R$2:$R$1993,0)),"-")</f>
        <v>-</v>
      </c>
      <c r="E705" s="2" t="str">
        <f>IFERROR(INDEX(Movimientos!$F$2:$F$1993,MATCH(A705&amp;"ENTRADA",Movimientos!$R$2:$R$1993,0)),"-")</f>
        <v>-</v>
      </c>
      <c r="F705" s="2" t="str">
        <f>IFERROR(INDEX(Movimientos!$G$2:$G$1993,MATCH(A705&amp;"ENTRADA",Movimientos!$R$2:$R$1993,0)),"-")</f>
        <v>-</v>
      </c>
      <c r="G705" s="2" t="str">
        <f>IFERROR(INDEX(Movimientos!$L$2:$L$1993,MATCH(A705&amp;"ENTRADA",Movimientos!$R$2:$R$1993,0)),"-")</f>
        <v>-</v>
      </c>
      <c r="H705" s="17" t="str">
        <f>IFERROR(IF(INDEX(Movimientos!$M$2:$M$1993,MATCH(A705&amp;"ENTRADA",Movimientos!$R$2:$R$1993,0))=0,"S/D",INDEX(Movimientos!$M$2:$M$1993,MATCH(A705&amp;"ENTRADA",Movimientos!$R$2:$R$1993,0))),"S/D")</f>
        <v>S/D</v>
      </c>
      <c r="I705" s="15" t="str">
        <f t="shared" ca="1" si="22"/>
        <v>S/D</v>
      </c>
      <c r="J705" s="5">
        <f>IF(A705="","",SUMIFS(Movimientos!$K:$K,Movimientos!$H:$H,A705))</f>
        <v>0</v>
      </c>
      <c r="K705" s="13" t="str">
        <f t="shared" ca="1" si="23"/>
        <v>SIN STOCK</v>
      </c>
    </row>
    <row r="706" spans="1:11">
      <c r="A706" s="16" t="s">
        <v>3011</v>
      </c>
      <c r="B706" s="2" t="str">
        <f>IFERROR(INDEX(Movimientos!$C$2:$C$1993,MATCH(A706&amp;"ENTRADA",Movimientos!$R$2:$R$1993,0)),"-")</f>
        <v>-</v>
      </c>
      <c r="C706" s="2" t="str">
        <f>IFERROR(INDEX(Movimientos!$D$2:$D$1993,MATCH(A706&amp;"ENTRADA",Movimientos!$R$2:$R$1993,0)),"-")</f>
        <v>-</v>
      </c>
      <c r="D706" s="2" t="str">
        <f>IFERROR(INDEX(Movimientos!$E$2:$E$1993,MATCH(A706&amp;"ENTRADA",Movimientos!$R$2:$R$1993,0)),"-")</f>
        <v>-</v>
      </c>
      <c r="E706" s="2" t="str">
        <f>IFERROR(INDEX(Movimientos!$F$2:$F$1993,MATCH(A706&amp;"ENTRADA",Movimientos!$R$2:$R$1993,0)),"-")</f>
        <v>-</v>
      </c>
      <c r="F706" s="2" t="str">
        <f>IFERROR(INDEX(Movimientos!$G$2:$G$1993,MATCH(A706&amp;"ENTRADA",Movimientos!$R$2:$R$1993,0)),"-")</f>
        <v>-</v>
      </c>
      <c r="G706" s="2" t="str">
        <f>IFERROR(INDEX(Movimientos!$L$2:$L$1993,MATCH(A706&amp;"ENTRADA",Movimientos!$R$2:$R$1993,0)),"-")</f>
        <v>-</v>
      </c>
      <c r="H706" s="17" t="str">
        <f>IFERROR(IF(INDEX(Movimientos!$M$2:$M$1993,MATCH(A706&amp;"ENTRADA",Movimientos!$R$2:$R$1993,0))=0,"S/D",INDEX(Movimientos!$M$2:$M$1993,MATCH(A706&amp;"ENTRADA",Movimientos!$R$2:$R$1993,0))),"S/D")</f>
        <v>S/D</v>
      </c>
      <c r="I706" s="15" t="str">
        <f t="shared" ca="1" si="22"/>
        <v>S/D</v>
      </c>
      <c r="J706" s="5">
        <f>IF(A706="","",SUMIFS(Movimientos!$K:$K,Movimientos!$H:$H,A706))</f>
        <v>0</v>
      </c>
      <c r="K706" s="13" t="str">
        <f t="shared" ca="1" si="23"/>
        <v>SIN STOCK</v>
      </c>
    </row>
    <row r="707" spans="1:11">
      <c r="A707" s="16" t="s">
        <v>3012</v>
      </c>
      <c r="B707" s="2" t="str">
        <f>IFERROR(INDEX(Movimientos!$C$2:$C$1993,MATCH(A707&amp;"ENTRADA",Movimientos!$R$2:$R$1993,0)),"-")</f>
        <v>-</v>
      </c>
      <c r="C707" s="2" t="str">
        <f>IFERROR(INDEX(Movimientos!$D$2:$D$1993,MATCH(A707&amp;"ENTRADA",Movimientos!$R$2:$R$1993,0)),"-")</f>
        <v>-</v>
      </c>
      <c r="D707" s="2" t="str">
        <f>IFERROR(INDEX(Movimientos!$E$2:$E$1993,MATCH(A707&amp;"ENTRADA",Movimientos!$R$2:$R$1993,0)),"-")</f>
        <v>-</v>
      </c>
      <c r="E707" s="2" t="str">
        <f>IFERROR(INDEX(Movimientos!$F$2:$F$1993,MATCH(A707&amp;"ENTRADA",Movimientos!$R$2:$R$1993,0)),"-")</f>
        <v>-</v>
      </c>
      <c r="F707" s="2" t="str">
        <f>IFERROR(INDEX(Movimientos!$G$2:$G$1993,MATCH(A707&amp;"ENTRADA",Movimientos!$R$2:$R$1993,0)),"-")</f>
        <v>-</v>
      </c>
      <c r="G707" s="2" t="str">
        <f>IFERROR(INDEX(Movimientos!$L$2:$L$1993,MATCH(A707&amp;"ENTRADA",Movimientos!$R$2:$R$1993,0)),"-")</f>
        <v>-</v>
      </c>
      <c r="H707" s="17" t="str">
        <f>IFERROR(IF(INDEX(Movimientos!$M$2:$M$1993,MATCH(A707&amp;"ENTRADA",Movimientos!$R$2:$R$1993,0))=0,"S/D",INDEX(Movimientos!$M$2:$M$1993,MATCH(A707&amp;"ENTRADA",Movimientos!$R$2:$R$1993,0))),"S/D")</f>
        <v>S/D</v>
      </c>
      <c r="I707" s="15" t="str">
        <f t="shared" ca="1" si="22"/>
        <v>S/D</v>
      </c>
      <c r="J707" s="5">
        <f>IF(A707="","",SUMIFS(Movimientos!$K:$K,Movimientos!$H:$H,A707))</f>
        <v>0</v>
      </c>
      <c r="K707" s="13" t="str">
        <f t="shared" ca="1" si="23"/>
        <v>SIN STOCK</v>
      </c>
    </row>
    <row r="708" spans="1:11">
      <c r="A708" s="16" t="s">
        <v>3013</v>
      </c>
      <c r="B708" s="2" t="str">
        <f>IFERROR(INDEX(Movimientos!$C$2:$C$1993,MATCH(A708&amp;"ENTRADA",Movimientos!$R$2:$R$1993,0)),"-")</f>
        <v>-</v>
      </c>
      <c r="C708" s="2" t="str">
        <f>IFERROR(INDEX(Movimientos!$D$2:$D$1993,MATCH(A708&amp;"ENTRADA",Movimientos!$R$2:$R$1993,0)),"-")</f>
        <v>-</v>
      </c>
      <c r="D708" s="2" t="str">
        <f>IFERROR(INDEX(Movimientos!$E$2:$E$1993,MATCH(A708&amp;"ENTRADA",Movimientos!$R$2:$R$1993,0)),"-")</f>
        <v>-</v>
      </c>
      <c r="E708" s="2" t="str">
        <f>IFERROR(INDEX(Movimientos!$F$2:$F$1993,MATCH(A708&amp;"ENTRADA",Movimientos!$R$2:$R$1993,0)),"-")</f>
        <v>-</v>
      </c>
      <c r="F708" s="2" t="str">
        <f>IFERROR(INDEX(Movimientos!$G$2:$G$1993,MATCH(A708&amp;"ENTRADA",Movimientos!$R$2:$R$1993,0)),"-")</f>
        <v>-</v>
      </c>
      <c r="G708" s="2" t="str">
        <f>IFERROR(INDEX(Movimientos!$L$2:$L$1993,MATCH(A708&amp;"ENTRADA",Movimientos!$R$2:$R$1993,0)),"-")</f>
        <v>-</v>
      </c>
      <c r="H708" s="17" t="str">
        <f>IFERROR(IF(INDEX(Movimientos!$M$2:$M$1993,MATCH(A708&amp;"ENTRADA",Movimientos!$R$2:$R$1993,0))=0,"S/D",INDEX(Movimientos!$M$2:$M$1993,MATCH(A708&amp;"ENTRADA",Movimientos!$R$2:$R$1993,0))),"S/D")</f>
        <v>S/D</v>
      </c>
      <c r="I708" s="15" t="str">
        <f t="shared" ca="1" si="22"/>
        <v>S/D</v>
      </c>
      <c r="J708" s="5">
        <f>IF(A708="","",SUMIFS(Movimientos!$K:$K,Movimientos!$H:$H,A708))</f>
        <v>0</v>
      </c>
      <c r="K708" s="13" t="str">
        <f t="shared" ca="1" si="23"/>
        <v>SIN STOCK</v>
      </c>
    </row>
    <row r="709" spans="1:11">
      <c r="A709" s="16" t="s">
        <v>3014</v>
      </c>
      <c r="B709" s="2" t="str">
        <f>IFERROR(INDEX(Movimientos!$C$2:$C$1993,MATCH(A709&amp;"ENTRADA",Movimientos!$R$2:$R$1993,0)),"-")</f>
        <v>-</v>
      </c>
      <c r="C709" s="2" t="str">
        <f>IFERROR(INDEX(Movimientos!$D$2:$D$1993,MATCH(A709&amp;"ENTRADA",Movimientos!$R$2:$R$1993,0)),"-")</f>
        <v>-</v>
      </c>
      <c r="D709" s="2" t="str">
        <f>IFERROR(INDEX(Movimientos!$E$2:$E$1993,MATCH(A709&amp;"ENTRADA",Movimientos!$R$2:$R$1993,0)),"-")</f>
        <v>-</v>
      </c>
      <c r="E709" s="2" t="str">
        <f>IFERROR(INDEX(Movimientos!$F$2:$F$1993,MATCH(A709&amp;"ENTRADA",Movimientos!$R$2:$R$1993,0)),"-")</f>
        <v>-</v>
      </c>
      <c r="F709" s="2" t="str">
        <f>IFERROR(INDEX(Movimientos!$G$2:$G$1993,MATCH(A709&amp;"ENTRADA",Movimientos!$R$2:$R$1993,0)),"-")</f>
        <v>-</v>
      </c>
      <c r="G709" s="2" t="str">
        <f>IFERROR(INDEX(Movimientos!$L$2:$L$1993,MATCH(A709&amp;"ENTRADA",Movimientos!$R$2:$R$1993,0)),"-")</f>
        <v>-</v>
      </c>
      <c r="H709" s="17" t="str">
        <f>IFERROR(IF(INDEX(Movimientos!$M$2:$M$1993,MATCH(A709&amp;"ENTRADA",Movimientos!$R$2:$R$1993,0))=0,"S/D",INDEX(Movimientos!$M$2:$M$1993,MATCH(A709&amp;"ENTRADA",Movimientos!$R$2:$R$1993,0))),"S/D")</f>
        <v>S/D</v>
      </c>
      <c r="I709" s="15" t="str">
        <f t="shared" ref="I709:I772" ca="1" si="24">IF(OR(A709="",H709="S/D"),"S/D",H709-TODAY())</f>
        <v>S/D</v>
      </c>
      <c r="J709" s="5">
        <f>IF(A709="","",SUMIFS(Movimientos!$K:$K,Movimientos!$H:$H,A709))</f>
        <v>0</v>
      </c>
      <c r="K709" s="13" t="str">
        <f t="shared" ca="1" si="23"/>
        <v>SIN STOCK</v>
      </c>
    </row>
    <row r="710" spans="1:11">
      <c r="A710" s="16" t="s">
        <v>3015</v>
      </c>
      <c r="B710" s="2" t="str">
        <f>IFERROR(INDEX(Movimientos!$C$2:$C$1993,MATCH(A710&amp;"ENTRADA",Movimientos!$R$2:$R$1993,0)),"-")</f>
        <v>-</v>
      </c>
      <c r="C710" s="2" t="str">
        <f>IFERROR(INDEX(Movimientos!$D$2:$D$1993,MATCH(A710&amp;"ENTRADA",Movimientos!$R$2:$R$1993,0)),"-")</f>
        <v>-</v>
      </c>
      <c r="D710" s="2" t="str">
        <f>IFERROR(INDEX(Movimientos!$E$2:$E$1993,MATCH(A710&amp;"ENTRADA",Movimientos!$R$2:$R$1993,0)),"-")</f>
        <v>-</v>
      </c>
      <c r="E710" s="2" t="str">
        <f>IFERROR(INDEX(Movimientos!$F$2:$F$1993,MATCH(A710&amp;"ENTRADA",Movimientos!$R$2:$R$1993,0)),"-")</f>
        <v>-</v>
      </c>
      <c r="F710" s="2" t="str">
        <f>IFERROR(INDEX(Movimientos!$G$2:$G$1993,MATCH(A710&amp;"ENTRADA",Movimientos!$R$2:$R$1993,0)),"-")</f>
        <v>-</v>
      </c>
      <c r="G710" s="2" t="str">
        <f>IFERROR(INDEX(Movimientos!$L$2:$L$1993,MATCH(A710&amp;"ENTRADA",Movimientos!$R$2:$R$1993,0)),"-")</f>
        <v>-</v>
      </c>
      <c r="H710" s="17" t="str">
        <f>IFERROR(IF(INDEX(Movimientos!$M$2:$M$1993,MATCH(A710&amp;"ENTRADA",Movimientos!$R$2:$R$1993,0))=0,"S/D",INDEX(Movimientos!$M$2:$M$1993,MATCH(A710&amp;"ENTRADA",Movimientos!$R$2:$R$1993,0))),"S/D")</f>
        <v>S/D</v>
      </c>
      <c r="I710" s="15" t="str">
        <f t="shared" ca="1" si="24"/>
        <v>S/D</v>
      </c>
      <c r="J710" s="5">
        <f>IF(A710="","",SUMIFS(Movimientos!$K:$K,Movimientos!$H:$H,A710))</f>
        <v>0</v>
      </c>
      <c r="K710" s="13" t="str">
        <f t="shared" ca="1" si="23"/>
        <v>SIN STOCK</v>
      </c>
    </row>
    <row r="711" spans="1:11">
      <c r="A711" s="16" t="s">
        <v>3016</v>
      </c>
      <c r="B711" s="2" t="str">
        <f>IFERROR(INDEX(Movimientos!$C$2:$C$1993,MATCH(A711&amp;"ENTRADA",Movimientos!$R$2:$R$1993,0)),"-")</f>
        <v>-</v>
      </c>
      <c r="C711" s="2" t="str">
        <f>IFERROR(INDEX(Movimientos!$D$2:$D$1993,MATCH(A711&amp;"ENTRADA",Movimientos!$R$2:$R$1993,0)),"-")</f>
        <v>-</v>
      </c>
      <c r="D711" s="2" t="str">
        <f>IFERROR(INDEX(Movimientos!$E$2:$E$1993,MATCH(A711&amp;"ENTRADA",Movimientos!$R$2:$R$1993,0)),"-")</f>
        <v>-</v>
      </c>
      <c r="E711" s="2" t="str">
        <f>IFERROR(INDEX(Movimientos!$F$2:$F$1993,MATCH(A711&amp;"ENTRADA",Movimientos!$R$2:$R$1993,0)),"-")</f>
        <v>-</v>
      </c>
      <c r="F711" s="2" t="str">
        <f>IFERROR(INDEX(Movimientos!$G$2:$G$1993,MATCH(A711&amp;"ENTRADA",Movimientos!$R$2:$R$1993,0)),"-")</f>
        <v>-</v>
      </c>
      <c r="G711" s="2" t="str">
        <f>IFERROR(INDEX(Movimientos!$L$2:$L$1993,MATCH(A711&amp;"ENTRADA",Movimientos!$R$2:$R$1993,0)),"-")</f>
        <v>-</v>
      </c>
      <c r="H711" s="17" t="str">
        <f>IFERROR(IF(INDEX(Movimientos!$M$2:$M$1993,MATCH(A711&amp;"ENTRADA",Movimientos!$R$2:$R$1993,0))=0,"S/D",INDEX(Movimientos!$M$2:$M$1993,MATCH(A711&amp;"ENTRADA",Movimientos!$R$2:$R$1993,0))),"S/D")</f>
        <v>S/D</v>
      </c>
      <c r="I711" s="15" t="str">
        <f t="shared" ca="1" si="24"/>
        <v>S/D</v>
      </c>
      <c r="J711" s="5">
        <f>IF(A711="","",SUMIFS(Movimientos!$K:$K,Movimientos!$H:$H,A711))</f>
        <v>0</v>
      </c>
      <c r="K711" s="13" t="str">
        <f t="shared" ca="1" si="23"/>
        <v>SIN STOCK</v>
      </c>
    </row>
    <row r="712" spans="1:11">
      <c r="A712" s="16" t="s">
        <v>3017</v>
      </c>
      <c r="B712" s="2" t="str">
        <f>IFERROR(INDEX(Movimientos!$C$2:$C$1993,MATCH(A712&amp;"ENTRADA",Movimientos!$R$2:$R$1993,0)),"-")</f>
        <v>-</v>
      </c>
      <c r="C712" s="2" t="str">
        <f>IFERROR(INDEX(Movimientos!$D$2:$D$1993,MATCH(A712&amp;"ENTRADA",Movimientos!$R$2:$R$1993,0)),"-")</f>
        <v>-</v>
      </c>
      <c r="D712" s="2" t="str">
        <f>IFERROR(INDEX(Movimientos!$E$2:$E$1993,MATCH(A712&amp;"ENTRADA",Movimientos!$R$2:$R$1993,0)),"-")</f>
        <v>-</v>
      </c>
      <c r="E712" s="2" t="str">
        <f>IFERROR(INDEX(Movimientos!$F$2:$F$1993,MATCH(A712&amp;"ENTRADA",Movimientos!$R$2:$R$1993,0)),"-")</f>
        <v>-</v>
      </c>
      <c r="F712" s="2" t="str">
        <f>IFERROR(INDEX(Movimientos!$G$2:$G$1993,MATCH(A712&amp;"ENTRADA",Movimientos!$R$2:$R$1993,0)),"-")</f>
        <v>-</v>
      </c>
      <c r="G712" s="2" t="str">
        <f>IFERROR(INDEX(Movimientos!$L$2:$L$1993,MATCH(A712&amp;"ENTRADA",Movimientos!$R$2:$R$1993,0)),"-")</f>
        <v>-</v>
      </c>
      <c r="H712" s="17" t="str">
        <f>IFERROR(IF(INDEX(Movimientos!$M$2:$M$1993,MATCH(A712&amp;"ENTRADA",Movimientos!$R$2:$R$1993,0))=0,"S/D",INDEX(Movimientos!$M$2:$M$1993,MATCH(A712&amp;"ENTRADA",Movimientos!$R$2:$R$1993,0))),"S/D")</f>
        <v>S/D</v>
      </c>
      <c r="I712" s="15" t="str">
        <f t="shared" ca="1" si="24"/>
        <v>S/D</v>
      </c>
      <c r="J712" s="5">
        <f>IF(A712="","",SUMIFS(Movimientos!$K:$K,Movimientos!$H:$H,A712))</f>
        <v>0</v>
      </c>
      <c r="K712" s="13" t="str">
        <f t="shared" ca="1" si="23"/>
        <v>SIN STOCK</v>
      </c>
    </row>
    <row r="713" spans="1:11">
      <c r="A713" s="16" t="s">
        <v>3018</v>
      </c>
      <c r="B713" s="2" t="str">
        <f>IFERROR(INDEX(Movimientos!$C$2:$C$1993,MATCH(A713&amp;"ENTRADA",Movimientos!$R$2:$R$1993,0)),"-")</f>
        <v>-</v>
      </c>
      <c r="C713" s="2" t="str">
        <f>IFERROR(INDEX(Movimientos!$D$2:$D$1993,MATCH(A713&amp;"ENTRADA",Movimientos!$R$2:$R$1993,0)),"-")</f>
        <v>-</v>
      </c>
      <c r="D713" s="2" t="str">
        <f>IFERROR(INDEX(Movimientos!$E$2:$E$1993,MATCH(A713&amp;"ENTRADA",Movimientos!$R$2:$R$1993,0)),"-")</f>
        <v>-</v>
      </c>
      <c r="E713" s="2" t="str">
        <f>IFERROR(INDEX(Movimientos!$F$2:$F$1993,MATCH(A713&amp;"ENTRADA",Movimientos!$R$2:$R$1993,0)),"-")</f>
        <v>-</v>
      </c>
      <c r="F713" s="2" t="str">
        <f>IFERROR(INDEX(Movimientos!$G$2:$G$1993,MATCH(A713&amp;"ENTRADA",Movimientos!$R$2:$R$1993,0)),"-")</f>
        <v>-</v>
      </c>
      <c r="G713" s="2" t="str">
        <f>IFERROR(INDEX(Movimientos!$L$2:$L$1993,MATCH(A713&amp;"ENTRADA",Movimientos!$R$2:$R$1993,0)),"-")</f>
        <v>-</v>
      </c>
      <c r="H713" s="17" t="str">
        <f>IFERROR(IF(INDEX(Movimientos!$M$2:$M$1993,MATCH(A713&amp;"ENTRADA",Movimientos!$R$2:$R$1993,0))=0,"S/D",INDEX(Movimientos!$M$2:$M$1993,MATCH(A713&amp;"ENTRADA",Movimientos!$R$2:$R$1993,0))),"S/D")</f>
        <v>S/D</v>
      </c>
      <c r="I713" s="15" t="str">
        <f t="shared" ca="1" si="24"/>
        <v>S/D</v>
      </c>
      <c r="J713" s="5">
        <f>IF(A713="","",SUMIFS(Movimientos!$K:$K,Movimientos!$H:$H,A713))</f>
        <v>0</v>
      </c>
      <c r="K713" s="13" t="str">
        <f t="shared" ca="1" si="23"/>
        <v>SIN STOCK</v>
      </c>
    </row>
    <row r="714" spans="1:11">
      <c r="A714" s="16" t="s">
        <v>3019</v>
      </c>
      <c r="B714" s="2" t="str">
        <f>IFERROR(INDEX(Movimientos!$C$2:$C$1993,MATCH(A714&amp;"ENTRADA",Movimientos!$R$2:$R$1993,0)),"-")</f>
        <v>-</v>
      </c>
      <c r="C714" s="2" t="str">
        <f>IFERROR(INDEX(Movimientos!$D$2:$D$1993,MATCH(A714&amp;"ENTRADA",Movimientos!$R$2:$R$1993,0)),"-")</f>
        <v>-</v>
      </c>
      <c r="D714" s="2" t="str">
        <f>IFERROR(INDEX(Movimientos!$E$2:$E$1993,MATCH(A714&amp;"ENTRADA",Movimientos!$R$2:$R$1993,0)),"-")</f>
        <v>-</v>
      </c>
      <c r="E714" s="2" t="str">
        <f>IFERROR(INDEX(Movimientos!$F$2:$F$1993,MATCH(A714&amp;"ENTRADA",Movimientos!$R$2:$R$1993,0)),"-")</f>
        <v>-</v>
      </c>
      <c r="F714" s="2" t="str">
        <f>IFERROR(INDEX(Movimientos!$G$2:$G$1993,MATCH(A714&amp;"ENTRADA",Movimientos!$R$2:$R$1993,0)),"-")</f>
        <v>-</v>
      </c>
      <c r="G714" s="2" t="str">
        <f>IFERROR(INDEX(Movimientos!$L$2:$L$1993,MATCH(A714&amp;"ENTRADA",Movimientos!$R$2:$R$1993,0)),"-")</f>
        <v>-</v>
      </c>
      <c r="H714" s="17" t="str">
        <f>IFERROR(IF(INDEX(Movimientos!$M$2:$M$1993,MATCH(A714&amp;"ENTRADA",Movimientos!$R$2:$R$1993,0))=0,"S/D",INDEX(Movimientos!$M$2:$M$1993,MATCH(A714&amp;"ENTRADA",Movimientos!$R$2:$R$1993,0))),"S/D")</f>
        <v>S/D</v>
      </c>
      <c r="I714" s="15" t="str">
        <f t="shared" ca="1" si="24"/>
        <v>S/D</v>
      </c>
      <c r="J714" s="5">
        <f>IF(A714="","",SUMIFS(Movimientos!$K:$K,Movimientos!$H:$H,A714))</f>
        <v>0</v>
      </c>
      <c r="K714" s="13" t="str">
        <f t="shared" ca="1" si="23"/>
        <v>SIN STOCK</v>
      </c>
    </row>
    <row r="715" spans="1:11">
      <c r="A715" s="16" t="s">
        <v>3020</v>
      </c>
      <c r="B715" s="2" t="str">
        <f>IFERROR(INDEX(Movimientos!$C$2:$C$1993,MATCH(A715&amp;"ENTRADA",Movimientos!$R$2:$R$1993,0)),"-")</f>
        <v>-</v>
      </c>
      <c r="C715" s="2" t="str">
        <f>IFERROR(INDEX(Movimientos!$D$2:$D$1993,MATCH(A715&amp;"ENTRADA",Movimientos!$R$2:$R$1993,0)),"-")</f>
        <v>-</v>
      </c>
      <c r="D715" s="2" t="str">
        <f>IFERROR(INDEX(Movimientos!$E$2:$E$1993,MATCH(A715&amp;"ENTRADA",Movimientos!$R$2:$R$1993,0)),"-")</f>
        <v>-</v>
      </c>
      <c r="E715" s="2" t="str">
        <f>IFERROR(INDEX(Movimientos!$F$2:$F$1993,MATCH(A715&amp;"ENTRADA",Movimientos!$R$2:$R$1993,0)),"-")</f>
        <v>-</v>
      </c>
      <c r="F715" s="2" t="str">
        <f>IFERROR(INDEX(Movimientos!$G$2:$G$1993,MATCH(A715&amp;"ENTRADA",Movimientos!$R$2:$R$1993,0)),"-")</f>
        <v>-</v>
      </c>
      <c r="G715" s="2" t="str">
        <f>IFERROR(INDEX(Movimientos!$L$2:$L$1993,MATCH(A715&amp;"ENTRADA",Movimientos!$R$2:$R$1993,0)),"-")</f>
        <v>-</v>
      </c>
      <c r="H715" s="17" t="str">
        <f>IFERROR(IF(INDEX(Movimientos!$M$2:$M$1993,MATCH(A715&amp;"ENTRADA",Movimientos!$R$2:$R$1993,0))=0,"S/D",INDEX(Movimientos!$M$2:$M$1993,MATCH(A715&amp;"ENTRADA",Movimientos!$R$2:$R$1993,0))),"S/D")</f>
        <v>S/D</v>
      </c>
      <c r="I715" s="15" t="str">
        <f t="shared" ca="1" si="24"/>
        <v>S/D</v>
      </c>
      <c r="J715" s="5">
        <f>IF(A715="","",SUMIFS(Movimientos!$K:$K,Movimientos!$H:$H,A715))</f>
        <v>0</v>
      </c>
      <c r="K715" s="13" t="str">
        <f t="shared" ca="1" si="23"/>
        <v>SIN STOCK</v>
      </c>
    </row>
    <row r="716" spans="1:11">
      <c r="A716" s="16" t="s">
        <v>3021</v>
      </c>
      <c r="B716" s="2" t="str">
        <f>IFERROR(INDEX(Movimientos!$C$2:$C$1993,MATCH(A716&amp;"ENTRADA",Movimientos!$R$2:$R$1993,0)),"-")</f>
        <v>-</v>
      </c>
      <c r="C716" s="2" t="str">
        <f>IFERROR(INDEX(Movimientos!$D$2:$D$1993,MATCH(A716&amp;"ENTRADA",Movimientos!$R$2:$R$1993,0)),"-")</f>
        <v>-</v>
      </c>
      <c r="D716" s="2" t="str">
        <f>IFERROR(INDEX(Movimientos!$E$2:$E$1993,MATCH(A716&amp;"ENTRADA",Movimientos!$R$2:$R$1993,0)),"-")</f>
        <v>-</v>
      </c>
      <c r="E716" s="2" t="str">
        <f>IFERROR(INDEX(Movimientos!$F$2:$F$1993,MATCH(A716&amp;"ENTRADA",Movimientos!$R$2:$R$1993,0)),"-")</f>
        <v>-</v>
      </c>
      <c r="F716" s="2" t="str">
        <f>IFERROR(INDEX(Movimientos!$G$2:$G$1993,MATCH(A716&amp;"ENTRADA",Movimientos!$R$2:$R$1993,0)),"-")</f>
        <v>-</v>
      </c>
      <c r="G716" s="2" t="str">
        <f>IFERROR(INDEX(Movimientos!$L$2:$L$1993,MATCH(A716&amp;"ENTRADA",Movimientos!$R$2:$R$1993,0)),"-")</f>
        <v>-</v>
      </c>
      <c r="H716" s="17" t="str">
        <f>IFERROR(IF(INDEX(Movimientos!$M$2:$M$1993,MATCH(A716&amp;"ENTRADA",Movimientos!$R$2:$R$1993,0))=0,"S/D",INDEX(Movimientos!$M$2:$M$1993,MATCH(A716&amp;"ENTRADA",Movimientos!$R$2:$R$1993,0))),"S/D")</f>
        <v>S/D</v>
      </c>
      <c r="I716" s="15" t="str">
        <f t="shared" ca="1" si="24"/>
        <v>S/D</v>
      </c>
      <c r="J716" s="5">
        <f>IF(A716="","",SUMIFS(Movimientos!$K:$K,Movimientos!$H:$H,A716))</f>
        <v>0</v>
      </c>
      <c r="K716" s="13" t="str">
        <f t="shared" ca="1" si="23"/>
        <v>SIN STOCK</v>
      </c>
    </row>
    <row r="717" spans="1:11">
      <c r="A717" s="16" t="s">
        <v>3022</v>
      </c>
      <c r="B717" s="2" t="str">
        <f>IFERROR(INDEX(Movimientos!$C$2:$C$1993,MATCH(A717&amp;"ENTRADA",Movimientos!$R$2:$R$1993,0)),"-")</f>
        <v>-</v>
      </c>
      <c r="C717" s="2" t="str">
        <f>IFERROR(INDEX(Movimientos!$D$2:$D$1993,MATCH(A717&amp;"ENTRADA",Movimientos!$R$2:$R$1993,0)),"-")</f>
        <v>-</v>
      </c>
      <c r="D717" s="2" t="str">
        <f>IFERROR(INDEX(Movimientos!$E$2:$E$1993,MATCH(A717&amp;"ENTRADA",Movimientos!$R$2:$R$1993,0)),"-")</f>
        <v>-</v>
      </c>
      <c r="E717" s="2" t="str">
        <f>IFERROR(INDEX(Movimientos!$F$2:$F$1993,MATCH(A717&amp;"ENTRADA",Movimientos!$R$2:$R$1993,0)),"-")</f>
        <v>-</v>
      </c>
      <c r="F717" s="2" t="str">
        <f>IFERROR(INDEX(Movimientos!$G$2:$G$1993,MATCH(A717&amp;"ENTRADA",Movimientos!$R$2:$R$1993,0)),"-")</f>
        <v>-</v>
      </c>
      <c r="G717" s="2" t="str">
        <f>IFERROR(INDEX(Movimientos!$L$2:$L$1993,MATCH(A717&amp;"ENTRADA",Movimientos!$R$2:$R$1993,0)),"-")</f>
        <v>-</v>
      </c>
      <c r="H717" s="17" t="str">
        <f>IFERROR(IF(INDEX(Movimientos!$M$2:$M$1993,MATCH(A717&amp;"ENTRADA",Movimientos!$R$2:$R$1993,0))=0,"S/D",INDEX(Movimientos!$M$2:$M$1993,MATCH(A717&amp;"ENTRADA",Movimientos!$R$2:$R$1993,0))),"S/D")</f>
        <v>S/D</v>
      </c>
      <c r="I717" s="15" t="str">
        <f t="shared" ca="1" si="24"/>
        <v>S/D</v>
      </c>
      <c r="J717" s="5">
        <f>IF(A717="","",SUMIFS(Movimientos!$K:$K,Movimientos!$H:$H,A717))</f>
        <v>0</v>
      </c>
      <c r="K717" s="13" t="str">
        <f t="shared" ca="1" si="23"/>
        <v>SIN STOCK</v>
      </c>
    </row>
    <row r="718" spans="1:11">
      <c r="A718" s="16" t="s">
        <v>3023</v>
      </c>
      <c r="B718" s="2" t="str">
        <f>IFERROR(INDEX(Movimientos!$C$2:$C$1993,MATCH(A718&amp;"ENTRADA",Movimientos!$R$2:$R$1993,0)),"-")</f>
        <v>-</v>
      </c>
      <c r="C718" s="2" t="str">
        <f>IFERROR(INDEX(Movimientos!$D$2:$D$1993,MATCH(A718&amp;"ENTRADA",Movimientos!$R$2:$R$1993,0)),"-")</f>
        <v>-</v>
      </c>
      <c r="D718" s="2" t="str">
        <f>IFERROR(INDEX(Movimientos!$E$2:$E$1993,MATCH(A718&amp;"ENTRADA",Movimientos!$R$2:$R$1993,0)),"-")</f>
        <v>-</v>
      </c>
      <c r="E718" s="2" t="str">
        <f>IFERROR(INDEX(Movimientos!$F$2:$F$1993,MATCH(A718&amp;"ENTRADA",Movimientos!$R$2:$R$1993,0)),"-")</f>
        <v>-</v>
      </c>
      <c r="F718" s="2" t="str">
        <f>IFERROR(INDEX(Movimientos!$G$2:$G$1993,MATCH(A718&amp;"ENTRADA",Movimientos!$R$2:$R$1993,0)),"-")</f>
        <v>-</v>
      </c>
      <c r="G718" s="2" t="str">
        <f>IFERROR(INDEX(Movimientos!$L$2:$L$1993,MATCH(A718&amp;"ENTRADA",Movimientos!$R$2:$R$1993,0)),"-")</f>
        <v>-</v>
      </c>
      <c r="H718" s="17" t="str">
        <f>IFERROR(IF(INDEX(Movimientos!$M$2:$M$1993,MATCH(A718&amp;"ENTRADA",Movimientos!$R$2:$R$1993,0))=0,"S/D",INDEX(Movimientos!$M$2:$M$1993,MATCH(A718&amp;"ENTRADA",Movimientos!$R$2:$R$1993,0))),"S/D")</f>
        <v>S/D</v>
      </c>
      <c r="I718" s="15" t="str">
        <f t="shared" ca="1" si="24"/>
        <v>S/D</v>
      </c>
      <c r="J718" s="5">
        <f>IF(A718="","",SUMIFS(Movimientos!$K:$K,Movimientos!$H:$H,A718))</f>
        <v>0</v>
      </c>
      <c r="K718" s="13" t="str">
        <f t="shared" ca="1" si="23"/>
        <v>SIN STOCK</v>
      </c>
    </row>
    <row r="719" spans="1:11">
      <c r="A719" s="16" t="s">
        <v>3024</v>
      </c>
      <c r="B719" s="2" t="str">
        <f>IFERROR(INDEX(Movimientos!$C$2:$C$1993,MATCH(A719&amp;"ENTRADA",Movimientos!$R$2:$R$1993,0)),"-")</f>
        <v>-</v>
      </c>
      <c r="C719" s="2" t="str">
        <f>IFERROR(INDEX(Movimientos!$D$2:$D$1993,MATCH(A719&amp;"ENTRADA",Movimientos!$R$2:$R$1993,0)),"-")</f>
        <v>-</v>
      </c>
      <c r="D719" s="2" t="str">
        <f>IFERROR(INDEX(Movimientos!$E$2:$E$1993,MATCH(A719&amp;"ENTRADA",Movimientos!$R$2:$R$1993,0)),"-")</f>
        <v>-</v>
      </c>
      <c r="E719" s="2" t="str">
        <f>IFERROR(INDEX(Movimientos!$F$2:$F$1993,MATCH(A719&amp;"ENTRADA",Movimientos!$R$2:$R$1993,0)),"-")</f>
        <v>-</v>
      </c>
      <c r="F719" s="2" t="str">
        <f>IFERROR(INDEX(Movimientos!$G$2:$G$1993,MATCH(A719&amp;"ENTRADA",Movimientos!$R$2:$R$1993,0)),"-")</f>
        <v>-</v>
      </c>
      <c r="G719" s="2" t="str">
        <f>IFERROR(INDEX(Movimientos!$L$2:$L$1993,MATCH(A719&amp;"ENTRADA",Movimientos!$R$2:$R$1993,0)),"-")</f>
        <v>-</v>
      </c>
      <c r="H719" s="17" t="str">
        <f>IFERROR(IF(INDEX(Movimientos!$M$2:$M$1993,MATCH(A719&amp;"ENTRADA",Movimientos!$R$2:$R$1993,0))=0,"S/D",INDEX(Movimientos!$M$2:$M$1993,MATCH(A719&amp;"ENTRADA",Movimientos!$R$2:$R$1993,0))),"S/D")</f>
        <v>S/D</v>
      </c>
      <c r="I719" s="15" t="str">
        <f t="shared" ca="1" si="24"/>
        <v>S/D</v>
      </c>
      <c r="J719" s="5">
        <f>IF(A719="","",SUMIFS(Movimientos!$K:$K,Movimientos!$H:$H,A719))</f>
        <v>0</v>
      </c>
      <c r="K719" s="13" t="str">
        <f t="shared" ca="1" si="23"/>
        <v>SIN STOCK</v>
      </c>
    </row>
    <row r="720" spans="1:11">
      <c r="A720" s="16" t="s">
        <v>3025</v>
      </c>
      <c r="B720" s="2" t="str">
        <f>IFERROR(INDEX(Movimientos!$C$2:$C$1993,MATCH(A720&amp;"ENTRADA",Movimientos!$R$2:$R$1993,0)),"-")</f>
        <v>-</v>
      </c>
      <c r="C720" s="2" t="str">
        <f>IFERROR(INDEX(Movimientos!$D$2:$D$1993,MATCH(A720&amp;"ENTRADA",Movimientos!$R$2:$R$1993,0)),"-")</f>
        <v>-</v>
      </c>
      <c r="D720" s="2" t="str">
        <f>IFERROR(INDEX(Movimientos!$E$2:$E$1993,MATCH(A720&amp;"ENTRADA",Movimientos!$R$2:$R$1993,0)),"-")</f>
        <v>-</v>
      </c>
      <c r="E720" s="2" t="str">
        <f>IFERROR(INDEX(Movimientos!$F$2:$F$1993,MATCH(A720&amp;"ENTRADA",Movimientos!$R$2:$R$1993,0)),"-")</f>
        <v>-</v>
      </c>
      <c r="F720" s="2" t="str">
        <f>IFERROR(INDEX(Movimientos!$G$2:$G$1993,MATCH(A720&amp;"ENTRADA",Movimientos!$R$2:$R$1993,0)),"-")</f>
        <v>-</v>
      </c>
      <c r="G720" s="2" t="str">
        <f>IFERROR(INDEX(Movimientos!$L$2:$L$1993,MATCH(A720&amp;"ENTRADA",Movimientos!$R$2:$R$1993,0)),"-")</f>
        <v>-</v>
      </c>
      <c r="H720" s="17" t="str">
        <f>IFERROR(IF(INDEX(Movimientos!$M$2:$M$1993,MATCH(A720&amp;"ENTRADA",Movimientos!$R$2:$R$1993,0))=0,"S/D",INDEX(Movimientos!$M$2:$M$1993,MATCH(A720&amp;"ENTRADA",Movimientos!$R$2:$R$1993,0))),"S/D")</f>
        <v>S/D</v>
      </c>
      <c r="I720" s="15" t="str">
        <f t="shared" ca="1" si="24"/>
        <v>S/D</v>
      </c>
      <c r="J720" s="5">
        <f>IF(A720="","",SUMIFS(Movimientos!$K:$K,Movimientos!$H:$H,A720))</f>
        <v>0</v>
      </c>
      <c r="K720" s="13" t="str">
        <f t="shared" ca="1" si="23"/>
        <v>SIN STOCK</v>
      </c>
    </row>
    <row r="721" spans="1:11">
      <c r="A721" s="16" t="s">
        <v>3026</v>
      </c>
      <c r="B721" s="2" t="str">
        <f>IFERROR(INDEX(Movimientos!$C$2:$C$1993,MATCH(A721&amp;"ENTRADA",Movimientos!$R$2:$R$1993,0)),"-")</f>
        <v>-</v>
      </c>
      <c r="C721" s="2" t="str">
        <f>IFERROR(INDEX(Movimientos!$D$2:$D$1993,MATCH(A721&amp;"ENTRADA",Movimientos!$R$2:$R$1993,0)),"-")</f>
        <v>-</v>
      </c>
      <c r="D721" s="2" t="str">
        <f>IFERROR(INDEX(Movimientos!$E$2:$E$1993,MATCH(A721&amp;"ENTRADA",Movimientos!$R$2:$R$1993,0)),"-")</f>
        <v>-</v>
      </c>
      <c r="E721" s="2" t="str">
        <f>IFERROR(INDEX(Movimientos!$F$2:$F$1993,MATCH(A721&amp;"ENTRADA",Movimientos!$R$2:$R$1993,0)),"-")</f>
        <v>-</v>
      </c>
      <c r="F721" s="2" t="str">
        <f>IFERROR(INDEX(Movimientos!$G$2:$G$1993,MATCH(A721&amp;"ENTRADA",Movimientos!$R$2:$R$1993,0)),"-")</f>
        <v>-</v>
      </c>
      <c r="G721" s="2" t="str">
        <f>IFERROR(INDEX(Movimientos!$L$2:$L$1993,MATCH(A721&amp;"ENTRADA",Movimientos!$R$2:$R$1993,0)),"-")</f>
        <v>-</v>
      </c>
      <c r="H721" s="17" t="str">
        <f>IFERROR(IF(INDEX(Movimientos!$M$2:$M$1993,MATCH(A721&amp;"ENTRADA",Movimientos!$R$2:$R$1993,0))=0,"S/D",INDEX(Movimientos!$M$2:$M$1993,MATCH(A721&amp;"ENTRADA",Movimientos!$R$2:$R$1993,0))),"S/D")</f>
        <v>S/D</v>
      </c>
      <c r="I721" s="15" t="str">
        <f t="shared" ca="1" si="24"/>
        <v>S/D</v>
      </c>
      <c r="J721" s="5">
        <f>IF(A721="","",SUMIFS(Movimientos!$K:$K,Movimientos!$H:$H,A721))</f>
        <v>0</v>
      </c>
      <c r="K721" s="13" t="str">
        <f t="shared" ca="1" si="23"/>
        <v>SIN STOCK</v>
      </c>
    </row>
    <row r="722" spans="1:11">
      <c r="A722" s="16" t="s">
        <v>3027</v>
      </c>
      <c r="B722" s="2" t="str">
        <f>IFERROR(INDEX(Movimientos!$C$2:$C$1993,MATCH(A722&amp;"ENTRADA",Movimientos!$R$2:$R$1993,0)),"-")</f>
        <v>-</v>
      </c>
      <c r="C722" s="2" t="str">
        <f>IFERROR(INDEX(Movimientos!$D$2:$D$1993,MATCH(A722&amp;"ENTRADA",Movimientos!$R$2:$R$1993,0)),"-")</f>
        <v>-</v>
      </c>
      <c r="D722" s="2" t="str">
        <f>IFERROR(INDEX(Movimientos!$E$2:$E$1993,MATCH(A722&amp;"ENTRADA",Movimientos!$R$2:$R$1993,0)),"-")</f>
        <v>-</v>
      </c>
      <c r="E722" s="2" t="str">
        <f>IFERROR(INDEX(Movimientos!$F$2:$F$1993,MATCH(A722&amp;"ENTRADA",Movimientos!$R$2:$R$1993,0)),"-")</f>
        <v>-</v>
      </c>
      <c r="F722" s="2" t="str">
        <f>IFERROR(INDEX(Movimientos!$G$2:$G$1993,MATCH(A722&amp;"ENTRADA",Movimientos!$R$2:$R$1993,0)),"-")</f>
        <v>-</v>
      </c>
      <c r="G722" s="2" t="str">
        <f>IFERROR(INDEX(Movimientos!$L$2:$L$1993,MATCH(A722&amp;"ENTRADA",Movimientos!$R$2:$R$1993,0)),"-")</f>
        <v>-</v>
      </c>
      <c r="H722" s="17" t="str">
        <f>IFERROR(IF(INDEX(Movimientos!$M$2:$M$1993,MATCH(A722&amp;"ENTRADA",Movimientos!$R$2:$R$1993,0))=0,"S/D",INDEX(Movimientos!$M$2:$M$1993,MATCH(A722&amp;"ENTRADA",Movimientos!$R$2:$R$1993,0))),"S/D")</f>
        <v>S/D</v>
      </c>
      <c r="I722" s="15" t="str">
        <f t="shared" ca="1" si="24"/>
        <v>S/D</v>
      </c>
      <c r="J722" s="5">
        <f>IF(A722="","",SUMIFS(Movimientos!$K:$K,Movimientos!$H:$H,A722))</f>
        <v>0</v>
      </c>
      <c r="K722" s="13" t="str">
        <f t="shared" ca="1" si="23"/>
        <v>SIN STOCK</v>
      </c>
    </row>
    <row r="723" spans="1:11">
      <c r="A723" s="16" t="s">
        <v>3028</v>
      </c>
      <c r="B723" s="2" t="str">
        <f>IFERROR(INDEX(Movimientos!$C$2:$C$1993,MATCH(A723&amp;"ENTRADA",Movimientos!$R$2:$R$1993,0)),"-")</f>
        <v>-</v>
      </c>
      <c r="C723" s="2" t="str">
        <f>IFERROR(INDEX(Movimientos!$D$2:$D$1993,MATCH(A723&amp;"ENTRADA",Movimientos!$R$2:$R$1993,0)),"-")</f>
        <v>-</v>
      </c>
      <c r="D723" s="2" t="str">
        <f>IFERROR(INDEX(Movimientos!$E$2:$E$1993,MATCH(A723&amp;"ENTRADA",Movimientos!$R$2:$R$1993,0)),"-")</f>
        <v>-</v>
      </c>
      <c r="E723" s="2" t="str">
        <f>IFERROR(INDEX(Movimientos!$F$2:$F$1993,MATCH(A723&amp;"ENTRADA",Movimientos!$R$2:$R$1993,0)),"-")</f>
        <v>-</v>
      </c>
      <c r="F723" s="2" t="str">
        <f>IFERROR(INDEX(Movimientos!$G$2:$G$1993,MATCH(A723&amp;"ENTRADA",Movimientos!$R$2:$R$1993,0)),"-")</f>
        <v>-</v>
      </c>
      <c r="G723" s="2" t="str">
        <f>IFERROR(INDEX(Movimientos!$L$2:$L$1993,MATCH(A723&amp;"ENTRADA",Movimientos!$R$2:$R$1993,0)),"-")</f>
        <v>-</v>
      </c>
      <c r="H723" s="17" t="str">
        <f>IFERROR(IF(INDEX(Movimientos!$M$2:$M$1993,MATCH(A723&amp;"ENTRADA",Movimientos!$R$2:$R$1993,0))=0,"S/D",INDEX(Movimientos!$M$2:$M$1993,MATCH(A723&amp;"ENTRADA",Movimientos!$R$2:$R$1993,0))),"S/D")</f>
        <v>S/D</v>
      </c>
      <c r="I723" s="15" t="str">
        <f t="shared" ca="1" si="24"/>
        <v>S/D</v>
      </c>
      <c r="J723" s="5">
        <f>IF(A723="","",SUMIFS(Movimientos!$K:$K,Movimientos!$H:$H,A723))</f>
        <v>0</v>
      </c>
      <c r="K723" s="13" t="str">
        <f t="shared" ca="1" si="23"/>
        <v>SIN STOCK</v>
      </c>
    </row>
    <row r="724" spans="1:11">
      <c r="A724" s="16" t="s">
        <v>3029</v>
      </c>
      <c r="B724" s="2" t="str">
        <f>IFERROR(INDEX(Movimientos!$C$2:$C$1993,MATCH(A724&amp;"ENTRADA",Movimientos!$R$2:$R$1993,0)),"-")</f>
        <v>-</v>
      </c>
      <c r="C724" s="2" t="str">
        <f>IFERROR(INDEX(Movimientos!$D$2:$D$1993,MATCH(A724&amp;"ENTRADA",Movimientos!$R$2:$R$1993,0)),"-")</f>
        <v>-</v>
      </c>
      <c r="D724" s="2" t="str">
        <f>IFERROR(INDEX(Movimientos!$E$2:$E$1993,MATCH(A724&amp;"ENTRADA",Movimientos!$R$2:$R$1993,0)),"-")</f>
        <v>-</v>
      </c>
      <c r="E724" s="2" t="str">
        <f>IFERROR(INDEX(Movimientos!$F$2:$F$1993,MATCH(A724&amp;"ENTRADA",Movimientos!$R$2:$R$1993,0)),"-")</f>
        <v>-</v>
      </c>
      <c r="F724" s="2" t="str">
        <f>IFERROR(INDEX(Movimientos!$G$2:$G$1993,MATCH(A724&amp;"ENTRADA",Movimientos!$R$2:$R$1993,0)),"-")</f>
        <v>-</v>
      </c>
      <c r="G724" s="2" t="str">
        <f>IFERROR(INDEX(Movimientos!$L$2:$L$1993,MATCH(A724&amp;"ENTRADA",Movimientos!$R$2:$R$1993,0)),"-")</f>
        <v>-</v>
      </c>
      <c r="H724" s="17" t="str">
        <f>IFERROR(IF(INDEX(Movimientos!$M$2:$M$1993,MATCH(A724&amp;"ENTRADA",Movimientos!$R$2:$R$1993,0))=0,"S/D",INDEX(Movimientos!$M$2:$M$1993,MATCH(A724&amp;"ENTRADA",Movimientos!$R$2:$R$1993,0))),"S/D")</f>
        <v>S/D</v>
      </c>
      <c r="I724" s="15" t="str">
        <f t="shared" ca="1" si="24"/>
        <v>S/D</v>
      </c>
      <c r="J724" s="5">
        <f>IF(A724="","",SUMIFS(Movimientos!$K:$K,Movimientos!$H:$H,A724))</f>
        <v>0</v>
      </c>
      <c r="K724" s="13" t="str">
        <f t="shared" ca="1" si="23"/>
        <v>SIN STOCK</v>
      </c>
    </row>
    <row r="725" spans="1:11">
      <c r="A725" s="16" t="s">
        <v>3030</v>
      </c>
      <c r="B725" s="2" t="str">
        <f>IFERROR(INDEX(Movimientos!$C$2:$C$1993,MATCH(A725&amp;"ENTRADA",Movimientos!$R$2:$R$1993,0)),"-")</f>
        <v>-</v>
      </c>
      <c r="C725" s="2" t="str">
        <f>IFERROR(INDEX(Movimientos!$D$2:$D$1993,MATCH(A725&amp;"ENTRADA",Movimientos!$R$2:$R$1993,0)),"-")</f>
        <v>-</v>
      </c>
      <c r="D725" s="2" t="str">
        <f>IFERROR(INDEX(Movimientos!$E$2:$E$1993,MATCH(A725&amp;"ENTRADA",Movimientos!$R$2:$R$1993,0)),"-")</f>
        <v>-</v>
      </c>
      <c r="E725" s="2" t="str">
        <f>IFERROR(INDEX(Movimientos!$F$2:$F$1993,MATCH(A725&amp;"ENTRADA",Movimientos!$R$2:$R$1993,0)),"-")</f>
        <v>-</v>
      </c>
      <c r="F725" s="2" t="str">
        <f>IFERROR(INDEX(Movimientos!$G$2:$G$1993,MATCH(A725&amp;"ENTRADA",Movimientos!$R$2:$R$1993,0)),"-")</f>
        <v>-</v>
      </c>
      <c r="G725" s="2" t="str">
        <f>IFERROR(INDEX(Movimientos!$L$2:$L$1993,MATCH(A725&amp;"ENTRADA",Movimientos!$R$2:$R$1993,0)),"-")</f>
        <v>-</v>
      </c>
      <c r="H725" s="17" t="str">
        <f>IFERROR(IF(INDEX(Movimientos!$M$2:$M$1993,MATCH(A725&amp;"ENTRADA",Movimientos!$R$2:$R$1993,0))=0,"S/D",INDEX(Movimientos!$M$2:$M$1993,MATCH(A725&amp;"ENTRADA",Movimientos!$R$2:$R$1993,0))),"S/D")</f>
        <v>S/D</v>
      </c>
      <c r="I725" s="15" t="str">
        <f t="shared" ca="1" si="24"/>
        <v>S/D</v>
      </c>
      <c r="J725" s="5">
        <f>IF(A725="","",SUMIFS(Movimientos!$K:$K,Movimientos!$H:$H,A725))</f>
        <v>0</v>
      </c>
      <c r="K725" s="13" t="str">
        <f t="shared" ca="1" si="23"/>
        <v>SIN STOCK</v>
      </c>
    </row>
    <row r="726" spans="1:11">
      <c r="A726" s="16" t="s">
        <v>3031</v>
      </c>
      <c r="B726" s="2" t="str">
        <f>IFERROR(INDEX(Movimientos!$C$2:$C$1993,MATCH(A726&amp;"ENTRADA",Movimientos!$R$2:$R$1993,0)),"-")</f>
        <v>-</v>
      </c>
      <c r="C726" s="2" t="str">
        <f>IFERROR(INDEX(Movimientos!$D$2:$D$1993,MATCH(A726&amp;"ENTRADA",Movimientos!$R$2:$R$1993,0)),"-")</f>
        <v>-</v>
      </c>
      <c r="D726" s="2" t="str">
        <f>IFERROR(INDEX(Movimientos!$E$2:$E$1993,MATCH(A726&amp;"ENTRADA",Movimientos!$R$2:$R$1993,0)),"-")</f>
        <v>-</v>
      </c>
      <c r="E726" s="2" t="str">
        <f>IFERROR(INDEX(Movimientos!$F$2:$F$1993,MATCH(A726&amp;"ENTRADA",Movimientos!$R$2:$R$1993,0)),"-")</f>
        <v>-</v>
      </c>
      <c r="F726" s="2" t="str">
        <f>IFERROR(INDEX(Movimientos!$G$2:$G$1993,MATCH(A726&amp;"ENTRADA",Movimientos!$R$2:$R$1993,0)),"-")</f>
        <v>-</v>
      </c>
      <c r="G726" s="2" t="str">
        <f>IFERROR(INDEX(Movimientos!$L$2:$L$1993,MATCH(A726&amp;"ENTRADA",Movimientos!$R$2:$R$1993,0)),"-")</f>
        <v>-</v>
      </c>
      <c r="H726" s="17" t="str">
        <f>IFERROR(IF(INDEX(Movimientos!$M$2:$M$1993,MATCH(A726&amp;"ENTRADA",Movimientos!$R$2:$R$1993,0))=0,"S/D",INDEX(Movimientos!$M$2:$M$1993,MATCH(A726&amp;"ENTRADA",Movimientos!$R$2:$R$1993,0))),"S/D")</f>
        <v>S/D</v>
      </c>
      <c r="I726" s="15" t="str">
        <f t="shared" ca="1" si="24"/>
        <v>S/D</v>
      </c>
      <c r="J726" s="5">
        <f>IF(A726="","",SUMIFS(Movimientos!$K:$K,Movimientos!$H:$H,A726))</f>
        <v>0</v>
      </c>
      <c r="K726" s="13" t="str">
        <f t="shared" ca="1" si="23"/>
        <v>SIN STOCK</v>
      </c>
    </row>
    <row r="727" spans="1:11">
      <c r="A727" s="16" t="s">
        <v>3032</v>
      </c>
      <c r="B727" s="2" t="str">
        <f>IFERROR(INDEX(Movimientos!$C$2:$C$1993,MATCH(A727&amp;"ENTRADA",Movimientos!$R$2:$R$1993,0)),"-")</f>
        <v>-</v>
      </c>
      <c r="C727" s="2" t="str">
        <f>IFERROR(INDEX(Movimientos!$D$2:$D$1993,MATCH(A727&amp;"ENTRADA",Movimientos!$R$2:$R$1993,0)),"-")</f>
        <v>-</v>
      </c>
      <c r="D727" s="2" t="str">
        <f>IFERROR(INDEX(Movimientos!$E$2:$E$1993,MATCH(A727&amp;"ENTRADA",Movimientos!$R$2:$R$1993,0)),"-")</f>
        <v>-</v>
      </c>
      <c r="E727" s="2" t="str">
        <f>IFERROR(INDEX(Movimientos!$F$2:$F$1993,MATCH(A727&amp;"ENTRADA",Movimientos!$R$2:$R$1993,0)),"-")</f>
        <v>-</v>
      </c>
      <c r="F727" s="2" t="str">
        <f>IFERROR(INDEX(Movimientos!$G$2:$G$1993,MATCH(A727&amp;"ENTRADA",Movimientos!$R$2:$R$1993,0)),"-")</f>
        <v>-</v>
      </c>
      <c r="G727" s="2" t="str">
        <f>IFERROR(INDEX(Movimientos!$L$2:$L$1993,MATCH(A727&amp;"ENTRADA",Movimientos!$R$2:$R$1993,0)),"-")</f>
        <v>-</v>
      </c>
      <c r="H727" s="17" t="str">
        <f>IFERROR(IF(INDEX(Movimientos!$M$2:$M$1993,MATCH(A727&amp;"ENTRADA",Movimientos!$R$2:$R$1993,0))=0,"S/D",INDEX(Movimientos!$M$2:$M$1993,MATCH(A727&amp;"ENTRADA",Movimientos!$R$2:$R$1993,0))),"S/D")</f>
        <v>S/D</v>
      </c>
      <c r="I727" s="15" t="str">
        <f t="shared" ca="1" si="24"/>
        <v>S/D</v>
      </c>
      <c r="J727" s="5">
        <f>IF(A727="","",SUMIFS(Movimientos!$K:$K,Movimientos!$H:$H,A727))</f>
        <v>0</v>
      </c>
      <c r="K727" s="13" t="str">
        <f t="shared" ca="1" si="23"/>
        <v>SIN STOCK</v>
      </c>
    </row>
    <row r="728" spans="1:11">
      <c r="A728" s="16" t="s">
        <v>3033</v>
      </c>
      <c r="B728" s="2" t="str">
        <f>IFERROR(INDEX(Movimientos!$C$2:$C$1993,MATCH(A728&amp;"ENTRADA",Movimientos!$R$2:$R$1993,0)),"-")</f>
        <v>-</v>
      </c>
      <c r="C728" s="2" t="str">
        <f>IFERROR(INDEX(Movimientos!$D$2:$D$1993,MATCH(A728&amp;"ENTRADA",Movimientos!$R$2:$R$1993,0)),"-")</f>
        <v>-</v>
      </c>
      <c r="D728" s="2" t="str">
        <f>IFERROR(INDEX(Movimientos!$E$2:$E$1993,MATCH(A728&amp;"ENTRADA",Movimientos!$R$2:$R$1993,0)),"-")</f>
        <v>-</v>
      </c>
      <c r="E728" s="2" t="str">
        <f>IFERROR(INDEX(Movimientos!$F$2:$F$1993,MATCH(A728&amp;"ENTRADA",Movimientos!$R$2:$R$1993,0)),"-")</f>
        <v>-</v>
      </c>
      <c r="F728" s="2" t="str">
        <f>IFERROR(INDEX(Movimientos!$G$2:$G$1993,MATCH(A728&amp;"ENTRADA",Movimientos!$R$2:$R$1993,0)),"-")</f>
        <v>-</v>
      </c>
      <c r="G728" s="2" t="str">
        <f>IFERROR(INDEX(Movimientos!$L$2:$L$1993,MATCH(A728&amp;"ENTRADA",Movimientos!$R$2:$R$1993,0)),"-")</f>
        <v>-</v>
      </c>
      <c r="H728" s="17" t="str">
        <f>IFERROR(IF(INDEX(Movimientos!$M$2:$M$1993,MATCH(A728&amp;"ENTRADA",Movimientos!$R$2:$R$1993,0))=0,"S/D",INDEX(Movimientos!$M$2:$M$1993,MATCH(A728&amp;"ENTRADA",Movimientos!$R$2:$R$1993,0))),"S/D")</f>
        <v>S/D</v>
      </c>
      <c r="I728" s="15" t="str">
        <f t="shared" ca="1" si="24"/>
        <v>S/D</v>
      </c>
      <c r="J728" s="5">
        <f>IF(A728="","",SUMIFS(Movimientos!$K:$K,Movimientos!$H:$H,A728))</f>
        <v>0</v>
      </c>
      <c r="K728" s="13" t="str">
        <f t="shared" ca="1" si="23"/>
        <v>SIN STOCK</v>
      </c>
    </row>
    <row r="729" spans="1:11">
      <c r="A729" s="16" t="s">
        <v>3034</v>
      </c>
      <c r="B729" s="2" t="str">
        <f>IFERROR(INDEX(Movimientos!$C$2:$C$1993,MATCH(A729&amp;"ENTRADA",Movimientos!$R$2:$R$1993,0)),"-")</f>
        <v>-</v>
      </c>
      <c r="C729" s="2" t="str">
        <f>IFERROR(INDEX(Movimientos!$D$2:$D$1993,MATCH(A729&amp;"ENTRADA",Movimientos!$R$2:$R$1993,0)),"-")</f>
        <v>-</v>
      </c>
      <c r="D729" s="2" t="str">
        <f>IFERROR(INDEX(Movimientos!$E$2:$E$1993,MATCH(A729&amp;"ENTRADA",Movimientos!$R$2:$R$1993,0)),"-")</f>
        <v>-</v>
      </c>
      <c r="E729" s="2" t="str">
        <f>IFERROR(INDEX(Movimientos!$F$2:$F$1993,MATCH(A729&amp;"ENTRADA",Movimientos!$R$2:$R$1993,0)),"-")</f>
        <v>-</v>
      </c>
      <c r="F729" s="2" t="str">
        <f>IFERROR(INDEX(Movimientos!$G$2:$G$1993,MATCH(A729&amp;"ENTRADA",Movimientos!$R$2:$R$1993,0)),"-")</f>
        <v>-</v>
      </c>
      <c r="G729" s="2" t="str">
        <f>IFERROR(INDEX(Movimientos!$L$2:$L$1993,MATCH(A729&amp;"ENTRADA",Movimientos!$R$2:$R$1993,0)),"-")</f>
        <v>-</v>
      </c>
      <c r="H729" s="17" t="str">
        <f>IFERROR(IF(INDEX(Movimientos!$M$2:$M$1993,MATCH(A729&amp;"ENTRADA",Movimientos!$R$2:$R$1993,0))=0,"S/D",INDEX(Movimientos!$M$2:$M$1993,MATCH(A729&amp;"ENTRADA",Movimientos!$R$2:$R$1993,0))),"S/D")</f>
        <v>S/D</v>
      </c>
      <c r="I729" s="15" t="str">
        <f t="shared" ca="1" si="24"/>
        <v>S/D</v>
      </c>
      <c r="J729" s="5">
        <f>IF(A729="","",SUMIFS(Movimientos!$K:$K,Movimientos!$H:$H,A729))</f>
        <v>0</v>
      </c>
      <c r="K729" s="13" t="str">
        <f t="shared" ca="1" si="23"/>
        <v>SIN STOCK</v>
      </c>
    </row>
    <row r="730" spans="1:11">
      <c r="A730" s="16" t="s">
        <v>3035</v>
      </c>
      <c r="B730" s="2" t="str">
        <f>IFERROR(INDEX(Movimientos!$C$2:$C$1993,MATCH(A730&amp;"ENTRADA",Movimientos!$R$2:$R$1993,0)),"-")</f>
        <v>-</v>
      </c>
      <c r="C730" s="2" t="str">
        <f>IFERROR(INDEX(Movimientos!$D$2:$D$1993,MATCH(A730&amp;"ENTRADA",Movimientos!$R$2:$R$1993,0)),"-")</f>
        <v>-</v>
      </c>
      <c r="D730" s="2" t="str">
        <f>IFERROR(INDEX(Movimientos!$E$2:$E$1993,MATCH(A730&amp;"ENTRADA",Movimientos!$R$2:$R$1993,0)),"-")</f>
        <v>-</v>
      </c>
      <c r="E730" s="2" t="str">
        <f>IFERROR(INDEX(Movimientos!$F$2:$F$1993,MATCH(A730&amp;"ENTRADA",Movimientos!$R$2:$R$1993,0)),"-")</f>
        <v>-</v>
      </c>
      <c r="F730" s="2" t="str">
        <f>IFERROR(INDEX(Movimientos!$G$2:$G$1993,MATCH(A730&amp;"ENTRADA",Movimientos!$R$2:$R$1993,0)),"-")</f>
        <v>-</v>
      </c>
      <c r="G730" s="2" t="str">
        <f>IFERROR(INDEX(Movimientos!$L$2:$L$1993,MATCH(A730&amp;"ENTRADA",Movimientos!$R$2:$R$1993,0)),"-")</f>
        <v>-</v>
      </c>
      <c r="H730" s="17" t="str">
        <f>IFERROR(IF(INDEX(Movimientos!$M$2:$M$1993,MATCH(A730&amp;"ENTRADA",Movimientos!$R$2:$R$1993,0))=0,"S/D",INDEX(Movimientos!$M$2:$M$1993,MATCH(A730&amp;"ENTRADA",Movimientos!$R$2:$R$1993,0))),"S/D")</f>
        <v>S/D</v>
      </c>
      <c r="I730" s="15" t="str">
        <f t="shared" ca="1" si="24"/>
        <v>S/D</v>
      </c>
      <c r="J730" s="5">
        <f>IF(A730="","",SUMIFS(Movimientos!$K:$K,Movimientos!$H:$H,A730))</f>
        <v>0</v>
      </c>
      <c r="K730" s="13" t="str">
        <f t="shared" ca="1" si="23"/>
        <v>SIN STOCK</v>
      </c>
    </row>
    <row r="731" spans="1:11">
      <c r="A731" s="16" t="s">
        <v>3036</v>
      </c>
      <c r="B731" s="2" t="str">
        <f>IFERROR(INDEX(Movimientos!$C$2:$C$1993,MATCH(A731&amp;"ENTRADA",Movimientos!$R$2:$R$1993,0)),"-")</f>
        <v>-</v>
      </c>
      <c r="C731" s="2" t="str">
        <f>IFERROR(INDEX(Movimientos!$D$2:$D$1993,MATCH(A731&amp;"ENTRADA",Movimientos!$R$2:$R$1993,0)),"-")</f>
        <v>-</v>
      </c>
      <c r="D731" s="2" t="str">
        <f>IFERROR(INDEX(Movimientos!$E$2:$E$1993,MATCH(A731&amp;"ENTRADA",Movimientos!$R$2:$R$1993,0)),"-")</f>
        <v>-</v>
      </c>
      <c r="E731" s="2" t="str">
        <f>IFERROR(INDEX(Movimientos!$F$2:$F$1993,MATCH(A731&amp;"ENTRADA",Movimientos!$R$2:$R$1993,0)),"-")</f>
        <v>-</v>
      </c>
      <c r="F731" s="2" t="str">
        <f>IFERROR(INDEX(Movimientos!$G$2:$G$1993,MATCH(A731&amp;"ENTRADA",Movimientos!$R$2:$R$1993,0)),"-")</f>
        <v>-</v>
      </c>
      <c r="G731" s="2" t="str">
        <f>IFERROR(INDEX(Movimientos!$L$2:$L$1993,MATCH(A731&amp;"ENTRADA",Movimientos!$R$2:$R$1993,0)),"-")</f>
        <v>-</v>
      </c>
      <c r="H731" s="17" t="str">
        <f>IFERROR(IF(INDEX(Movimientos!$M$2:$M$1993,MATCH(A731&amp;"ENTRADA",Movimientos!$R$2:$R$1993,0))=0,"S/D",INDEX(Movimientos!$M$2:$M$1993,MATCH(A731&amp;"ENTRADA",Movimientos!$R$2:$R$1993,0))),"S/D")</f>
        <v>S/D</v>
      </c>
      <c r="I731" s="15" t="str">
        <f t="shared" ca="1" si="24"/>
        <v>S/D</v>
      </c>
      <c r="J731" s="5">
        <f>IF(A731="","",SUMIFS(Movimientos!$K:$K,Movimientos!$H:$H,A731))</f>
        <v>0</v>
      </c>
      <c r="K731" s="13" t="str">
        <f t="shared" ca="1" si="23"/>
        <v>SIN STOCK</v>
      </c>
    </row>
    <row r="732" spans="1:11">
      <c r="A732" s="16" t="s">
        <v>3037</v>
      </c>
      <c r="B732" s="2" t="str">
        <f>IFERROR(INDEX(Movimientos!$C$2:$C$1993,MATCH(A732&amp;"ENTRADA",Movimientos!$R$2:$R$1993,0)),"-")</f>
        <v>-</v>
      </c>
      <c r="C732" s="2" t="str">
        <f>IFERROR(INDEX(Movimientos!$D$2:$D$1993,MATCH(A732&amp;"ENTRADA",Movimientos!$R$2:$R$1993,0)),"-")</f>
        <v>-</v>
      </c>
      <c r="D732" s="2" t="str">
        <f>IFERROR(INDEX(Movimientos!$E$2:$E$1993,MATCH(A732&amp;"ENTRADA",Movimientos!$R$2:$R$1993,0)),"-")</f>
        <v>-</v>
      </c>
      <c r="E732" s="2" t="str">
        <f>IFERROR(INDEX(Movimientos!$F$2:$F$1993,MATCH(A732&amp;"ENTRADA",Movimientos!$R$2:$R$1993,0)),"-")</f>
        <v>-</v>
      </c>
      <c r="F732" s="2" t="str">
        <f>IFERROR(INDEX(Movimientos!$G$2:$G$1993,MATCH(A732&amp;"ENTRADA",Movimientos!$R$2:$R$1993,0)),"-")</f>
        <v>-</v>
      </c>
      <c r="G732" s="2" t="str">
        <f>IFERROR(INDEX(Movimientos!$L$2:$L$1993,MATCH(A732&amp;"ENTRADA",Movimientos!$R$2:$R$1993,0)),"-")</f>
        <v>-</v>
      </c>
      <c r="H732" s="17" t="str">
        <f>IFERROR(IF(INDEX(Movimientos!$M$2:$M$1993,MATCH(A732&amp;"ENTRADA",Movimientos!$R$2:$R$1993,0))=0,"S/D",INDEX(Movimientos!$M$2:$M$1993,MATCH(A732&amp;"ENTRADA",Movimientos!$R$2:$R$1993,0))),"S/D")</f>
        <v>S/D</v>
      </c>
      <c r="I732" s="15" t="str">
        <f t="shared" ca="1" si="24"/>
        <v>S/D</v>
      </c>
      <c r="J732" s="5">
        <f>IF(A732="","",SUMIFS(Movimientos!$K:$K,Movimientos!$H:$H,A732))</f>
        <v>0</v>
      </c>
      <c r="K732" s="13" t="str">
        <f t="shared" ca="1" si="23"/>
        <v>SIN STOCK</v>
      </c>
    </row>
    <row r="733" spans="1:11">
      <c r="A733" s="16" t="s">
        <v>3038</v>
      </c>
      <c r="B733" s="2" t="str">
        <f>IFERROR(INDEX(Movimientos!$C$2:$C$1993,MATCH(A733&amp;"ENTRADA",Movimientos!$R$2:$R$1993,0)),"-")</f>
        <v>-</v>
      </c>
      <c r="C733" s="2" t="str">
        <f>IFERROR(INDEX(Movimientos!$D$2:$D$1993,MATCH(A733&amp;"ENTRADA",Movimientos!$R$2:$R$1993,0)),"-")</f>
        <v>-</v>
      </c>
      <c r="D733" s="2" t="str">
        <f>IFERROR(INDEX(Movimientos!$E$2:$E$1993,MATCH(A733&amp;"ENTRADA",Movimientos!$R$2:$R$1993,0)),"-")</f>
        <v>-</v>
      </c>
      <c r="E733" s="2" t="str">
        <f>IFERROR(INDEX(Movimientos!$F$2:$F$1993,MATCH(A733&amp;"ENTRADA",Movimientos!$R$2:$R$1993,0)),"-")</f>
        <v>-</v>
      </c>
      <c r="F733" s="2" t="str">
        <f>IFERROR(INDEX(Movimientos!$G$2:$G$1993,MATCH(A733&amp;"ENTRADA",Movimientos!$R$2:$R$1993,0)),"-")</f>
        <v>-</v>
      </c>
      <c r="G733" s="2" t="str">
        <f>IFERROR(INDEX(Movimientos!$L$2:$L$1993,MATCH(A733&amp;"ENTRADA",Movimientos!$R$2:$R$1993,0)),"-")</f>
        <v>-</v>
      </c>
      <c r="H733" s="17" t="str">
        <f>IFERROR(IF(INDEX(Movimientos!$M$2:$M$1993,MATCH(A733&amp;"ENTRADA",Movimientos!$R$2:$R$1993,0))=0,"S/D",INDEX(Movimientos!$M$2:$M$1993,MATCH(A733&amp;"ENTRADA",Movimientos!$R$2:$R$1993,0))),"S/D")</f>
        <v>S/D</v>
      </c>
      <c r="I733" s="15" t="str">
        <f t="shared" ca="1" si="24"/>
        <v>S/D</v>
      </c>
      <c r="J733" s="5">
        <f>IF(A733="","",SUMIFS(Movimientos!$K:$K,Movimientos!$H:$H,A733))</f>
        <v>0</v>
      </c>
      <c r="K733" s="13" t="str">
        <f t="shared" ca="1" si="23"/>
        <v>SIN STOCK</v>
      </c>
    </row>
    <row r="734" spans="1:11">
      <c r="A734" s="16" t="s">
        <v>3039</v>
      </c>
      <c r="B734" s="2" t="str">
        <f>IFERROR(INDEX(Movimientos!$C$2:$C$1993,MATCH(A734&amp;"ENTRADA",Movimientos!$R$2:$R$1993,0)),"-")</f>
        <v>-</v>
      </c>
      <c r="C734" s="2" t="str">
        <f>IFERROR(INDEX(Movimientos!$D$2:$D$1993,MATCH(A734&amp;"ENTRADA",Movimientos!$R$2:$R$1993,0)),"-")</f>
        <v>-</v>
      </c>
      <c r="D734" s="2" t="str">
        <f>IFERROR(INDEX(Movimientos!$E$2:$E$1993,MATCH(A734&amp;"ENTRADA",Movimientos!$R$2:$R$1993,0)),"-")</f>
        <v>-</v>
      </c>
      <c r="E734" s="2" t="str">
        <f>IFERROR(INDEX(Movimientos!$F$2:$F$1993,MATCH(A734&amp;"ENTRADA",Movimientos!$R$2:$R$1993,0)),"-")</f>
        <v>-</v>
      </c>
      <c r="F734" s="2" t="str">
        <f>IFERROR(INDEX(Movimientos!$G$2:$G$1993,MATCH(A734&amp;"ENTRADA",Movimientos!$R$2:$R$1993,0)),"-")</f>
        <v>-</v>
      </c>
      <c r="G734" s="2" t="str">
        <f>IFERROR(INDEX(Movimientos!$L$2:$L$1993,MATCH(A734&amp;"ENTRADA",Movimientos!$R$2:$R$1993,0)),"-")</f>
        <v>-</v>
      </c>
      <c r="H734" s="17" t="str">
        <f>IFERROR(IF(INDEX(Movimientos!$M$2:$M$1993,MATCH(A734&amp;"ENTRADA",Movimientos!$R$2:$R$1993,0))=0,"S/D",INDEX(Movimientos!$M$2:$M$1993,MATCH(A734&amp;"ENTRADA",Movimientos!$R$2:$R$1993,0))),"S/D")</f>
        <v>S/D</v>
      </c>
      <c r="I734" s="15" t="str">
        <f t="shared" ca="1" si="24"/>
        <v>S/D</v>
      </c>
      <c r="J734" s="5">
        <f>IF(A734="","",SUMIFS(Movimientos!$K:$K,Movimientos!$H:$H,A734))</f>
        <v>0</v>
      </c>
      <c r="K734" s="13" t="str">
        <f t="shared" ca="1" si="23"/>
        <v>SIN STOCK</v>
      </c>
    </row>
    <row r="735" spans="1:11">
      <c r="A735" s="16" t="s">
        <v>3040</v>
      </c>
      <c r="B735" s="2" t="str">
        <f>IFERROR(INDEX(Movimientos!$C$2:$C$1993,MATCH(A735&amp;"ENTRADA",Movimientos!$R$2:$R$1993,0)),"-")</f>
        <v>-</v>
      </c>
      <c r="C735" s="2" t="str">
        <f>IFERROR(INDEX(Movimientos!$D$2:$D$1993,MATCH(A735&amp;"ENTRADA",Movimientos!$R$2:$R$1993,0)),"-")</f>
        <v>-</v>
      </c>
      <c r="D735" s="2" t="str">
        <f>IFERROR(INDEX(Movimientos!$E$2:$E$1993,MATCH(A735&amp;"ENTRADA",Movimientos!$R$2:$R$1993,0)),"-")</f>
        <v>-</v>
      </c>
      <c r="E735" s="2" t="str">
        <f>IFERROR(INDEX(Movimientos!$F$2:$F$1993,MATCH(A735&amp;"ENTRADA",Movimientos!$R$2:$R$1993,0)),"-")</f>
        <v>-</v>
      </c>
      <c r="F735" s="2" t="str">
        <f>IFERROR(INDEX(Movimientos!$G$2:$G$1993,MATCH(A735&amp;"ENTRADA",Movimientos!$R$2:$R$1993,0)),"-")</f>
        <v>-</v>
      </c>
      <c r="G735" s="2" t="str">
        <f>IFERROR(INDEX(Movimientos!$L$2:$L$1993,MATCH(A735&amp;"ENTRADA",Movimientos!$R$2:$R$1993,0)),"-")</f>
        <v>-</v>
      </c>
      <c r="H735" s="17" t="str">
        <f>IFERROR(IF(INDEX(Movimientos!$M$2:$M$1993,MATCH(A735&amp;"ENTRADA",Movimientos!$R$2:$R$1993,0))=0,"S/D",INDEX(Movimientos!$M$2:$M$1993,MATCH(A735&amp;"ENTRADA",Movimientos!$R$2:$R$1993,0))),"S/D")</f>
        <v>S/D</v>
      </c>
      <c r="I735" s="15" t="str">
        <f t="shared" ca="1" si="24"/>
        <v>S/D</v>
      </c>
      <c r="J735" s="5">
        <f>IF(A735="","",SUMIFS(Movimientos!$K:$K,Movimientos!$H:$H,A735))</f>
        <v>0</v>
      </c>
      <c r="K735" s="13" t="str">
        <f t="shared" ca="1" si="23"/>
        <v>SIN STOCK</v>
      </c>
    </row>
    <row r="736" spans="1:11">
      <c r="A736" s="16" t="s">
        <v>3041</v>
      </c>
      <c r="B736" s="2" t="str">
        <f>IFERROR(INDEX(Movimientos!$C$2:$C$1993,MATCH(A736&amp;"ENTRADA",Movimientos!$R$2:$R$1993,0)),"-")</f>
        <v>-</v>
      </c>
      <c r="C736" s="2" t="str">
        <f>IFERROR(INDEX(Movimientos!$D$2:$D$1993,MATCH(A736&amp;"ENTRADA",Movimientos!$R$2:$R$1993,0)),"-")</f>
        <v>-</v>
      </c>
      <c r="D736" s="2" t="str">
        <f>IFERROR(INDEX(Movimientos!$E$2:$E$1993,MATCH(A736&amp;"ENTRADA",Movimientos!$R$2:$R$1993,0)),"-")</f>
        <v>-</v>
      </c>
      <c r="E736" s="2" t="str">
        <f>IFERROR(INDEX(Movimientos!$F$2:$F$1993,MATCH(A736&amp;"ENTRADA",Movimientos!$R$2:$R$1993,0)),"-")</f>
        <v>-</v>
      </c>
      <c r="F736" s="2" t="str">
        <f>IFERROR(INDEX(Movimientos!$G$2:$G$1993,MATCH(A736&amp;"ENTRADA",Movimientos!$R$2:$R$1993,0)),"-")</f>
        <v>-</v>
      </c>
      <c r="G736" s="2" t="str">
        <f>IFERROR(INDEX(Movimientos!$L$2:$L$1993,MATCH(A736&amp;"ENTRADA",Movimientos!$R$2:$R$1993,0)),"-")</f>
        <v>-</v>
      </c>
      <c r="H736" s="17" t="str">
        <f>IFERROR(IF(INDEX(Movimientos!$M$2:$M$1993,MATCH(A736&amp;"ENTRADA",Movimientos!$R$2:$R$1993,0))=0,"S/D",INDEX(Movimientos!$M$2:$M$1993,MATCH(A736&amp;"ENTRADA",Movimientos!$R$2:$R$1993,0))),"S/D")</f>
        <v>S/D</v>
      </c>
      <c r="I736" s="15" t="str">
        <f t="shared" ca="1" si="24"/>
        <v>S/D</v>
      </c>
      <c r="J736" s="5">
        <f>IF(A736="","",SUMIFS(Movimientos!$K:$K,Movimientos!$H:$H,A736))</f>
        <v>0</v>
      </c>
      <c r="K736" s="13" t="str">
        <f t="shared" ca="1" si="23"/>
        <v>SIN STOCK</v>
      </c>
    </row>
    <row r="737" spans="1:11">
      <c r="A737" s="16" t="s">
        <v>3042</v>
      </c>
      <c r="B737" s="2" t="str">
        <f>IFERROR(INDEX(Movimientos!$C$2:$C$1993,MATCH(A737&amp;"ENTRADA",Movimientos!$R$2:$R$1993,0)),"-")</f>
        <v>-</v>
      </c>
      <c r="C737" s="2" t="str">
        <f>IFERROR(INDEX(Movimientos!$D$2:$D$1993,MATCH(A737&amp;"ENTRADA",Movimientos!$R$2:$R$1993,0)),"-")</f>
        <v>-</v>
      </c>
      <c r="D737" s="2" t="str">
        <f>IFERROR(INDEX(Movimientos!$E$2:$E$1993,MATCH(A737&amp;"ENTRADA",Movimientos!$R$2:$R$1993,0)),"-")</f>
        <v>-</v>
      </c>
      <c r="E737" s="2" t="str">
        <f>IFERROR(INDEX(Movimientos!$F$2:$F$1993,MATCH(A737&amp;"ENTRADA",Movimientos!$R$2:$R$1993,0)),"-")</f>
        <v>-</v>
      </c>
      <c r="F737" s="2" t="str">
        <f>IFERROR(INDEX(Movimientos!$G$2:$G$1993,MATCH(A737&amp;"ENTRADA",Movimientos!$R$2:$R$1993,0)),"-")</f>
        <v>-</v>
      </c>
      <c r="G737" s="2" t="str">
        <f>IFERROR(INDEX(Movimientos!$L$2:$L$1993,MATCH(A737&amp;"ENTRADA",Movimientos!$R$2:$R$1993,0)),"-")</f>
        <v>-</v>
      </c>
      <c r="H737" s="17" t="str">
        <f>IFERROR(IF(INDEX(Movimientos!$M$2:$M$1993,MATCH(A737&amp;"ENTRADA",Movimientos!$R$2:$R$1993,0))=0,"S/D",INDEX(Movimientos!$M$2:$M$1993,MATCH(A737&amp;"ENTRADA",Movimientos!$R$2:$R$1993,0))),"S/D")</f>
        <v>S/D</v>
      </c>
      <c r="I737" s="15" t="str">
        <f t="shared" ca="1" si="24"/>
        <v>S/D</v>
      </c>
      <c r="J737" s="5">
        <f>IF(A737="","",SUMIFS(Movimientos!$K:$K,Movimientos!$H:$H,A737))</f>
        <v>0</v>
      </c>
      <c r="K737" s="13" t="str">
        <f t="shared" ca="1" si="23"/>
        <v>SIN STOCK</v>
      </c>
    </row>
    <row r="738" spans="1:11">
      <c r="A738" s="16" t="s">
        <v>3043</v>
      </c>
      <c r="B738" s="2" t="str">
        <f>IFERROR(INDEX(Movimientos!$C$2:$C$1993,MATCH(A738&amp;"ENTRADA",Movimientos!$R$2:$R$1993,0)),"-")</f>
        <v>-</v>
      </c>
      <c r="C738" s="2" t="str">
        <f>IFERROR(INDEX(Movimientos!$D$2:$D$1993,MATCH(A738&amp;"ENTRADA",Movimientos!$R$2:$R$1993,0)),"-")</f>
        <v>-</v>
      </c>
      <c r="D738" s="2" t="str">
        <f>IFERROR(INDEX(Movimientos!$E$2:$E$1993,MATCH(A738&amp;"ENTRADA",Movimientos!$R$2:$R$1993,0)),"-")</f>
        <v>-</v>
      </c>
      <c r="E738" s="2" t="str">
        <f>IFERROR(INDEX(Movimientos!$F$2:$F$1993,MATCH(A738&amp;"ENTRADA",Movimientos!$R$2:$R$1993,0)),"-")</f>
        <v>-</v>
      </c>
      <c r="F738" s="2" t="str">
        <f>IFERROR(INDEX(Movimientos!$G$2:$G$1993,MATCH(A738&amp;"ENTRADA",Movimientos!$R$2:$R$1993,0)),"-")</f>
        <v>-</v>
      </c>
      <c r="G738" s="2" t="str">
        <f>IFERROR(INDEX(Movimientos!$L$2:$L$1993,MATCH(A738&amp;"ENTRADA",Movimientos!$R$2:$R$1993,0)),"-")</f>
        <v>-</v>
      </c>
      <c r="H738" s="17" t="str">
        <f>IFERROR(IF(INDEX(Movimientos!$M$2:$M$1993,MATCH(A738&amp;"ENTRADA",Movimientos!$R$2:$R$1993,0))=0,"S/D",INDEX(Movimientos!$M$2:$M$1993,MATCH(A738&amp;"ENTRADA",Movimientos!$R$2:$R$1993,0))),"S/D")</f>
        <v>S/D</v>
      </c>
      <c r="I738" s="15" t="str">
        <f t="shared" ca="1" si="24"/>
        <v>S/D</v>
      </c>
      <c r="J738" s="5">
        <f>IF(A738="","",SUMIFS(Movimientos!$K:$K,Movimientos!$H:$H,A738))</f>
        <v>0</v>
      </c>
      <c r="K738" s="13" t="str">
        <f t="shared" ca="1" si="23"/>
        <v>SIN STOCK</v>
      </c>
    </row>
    <row r="739" spans="1:11">
      <c r="A739" s="16" t="s">
        <v>3044</v>
      </c>
      <c r="B739" s="2" t="str">
        <f>IFERROR(INDEX(Movimientos!$C$2:$C$1993,MATCH(A739&amp;"ENTRADA",Movimientos!$R$2:$R$1993,0)),"-")</f>
        <v>-</v>
      </c>
      <c r="C739" s="2" t="str">
        <f>IFERROR(INDEX(Movimientos!$D$2:$D$1993,MATCH(A739&amp;"ENTRADA",Movimientos!$R$2:$R$1993,0)),"-")</f>
        <v>-</v>
      </c>
      <c r="D739" s="2" t="str">
        <f>IFERROR(INDEX(Movimientos!$E$2:$E$1993,MATCH(A739&amp;"ENTRADA",Movimientos!$R$2:$R$1993,0)),"-")</f>
        <v>-</v>
      </c>
      <c r="E739" s="2" t="str">
        <f>IFERROR(INDEX(Movimientos!$F$2:$F$1993,MATCH(A739&amp;"ENTRADA",Movimientos!$R$2:$R$1993,0)),"-")</f>
        <v>-</v>
      </c>
      <c r="F739" s="2" t="str">
        <f>IFERROR(INDEX(Movimientos!$G$2:$G$1993,MATCH(A739&amp;"ENTRADA",Movimientos!$R$2:$R$1993,0)),"-")</f>
        <v>-</v>
      </c>
      <c r="G739" s="2" t="str">
        <f>IFERROR(INDEX(Movimientos!$L$2:$L$1993,MATCH(A739&amp;"ENTRADA",Movimientos!$R$2:$R$1993,0)),"-")</f>
        <v>-</v>
      </c>
      <c r="H739" s="17" t="str">
        <f>IFERROR(IF(INDEX(Movimientos!$M$2:$M$1993,MATCH(A739&amp;"ENTRADA",Movimientos!$R$2:$R$1993,0))=0,"S/D",INDEX(Movimientos!$M$2:$M$1993,MATCH(A739&amp;"ENTRADA",Movimientos!$R$2:$R$1993,0))),"S/D")</f>
        <v>S/D</v>
      </c>
      <c r="I739" s="15" t="str">
        <f t="shared" ca="1" si="24"/>
        <v>S/D</v>
      </c>
      <c r="J739" s="5">
        <f>IF(A739="","",SUMIFS(Movimientos!$K:$K,Movimientos!$H:$H,A739))</f>
        <v>0</v>
      </c>
      <c r="K739" s="13" t="str">
        <f t="shared" ca="1" si="23"/>
        <v>SIN STOCK</v>
      </c>
    </row>
    <row r="740" spans="1:11">
      <c r="A740" s="16" t="s">
        <v>3045</v>
      </c>
      <c r="B740" s="2" t="str">
        <f>IFERROR(INDEX(Movimientos!$C$2:$C$1993,MATCH(A740&amp;"ENTRADA",Movimientos!$R$2:$R$1993,0)),"-")</f>
        <v>-</v>
      </c>
      <c r="C740" s="2" t="str">
        <f>IFERROR(INDEX(Movimientos!$D$2:$D$1993,MATCH(A740&amp;"ENTRADA",Movimientos!$R$2:$R$1993,0)),"-")</f>
        <v>-</v>
      </c>
      <c r="D740" s="2" t="str">
        <f>IFERROR(INDEX(Movimientos!$E$2:$E$1993,MATCH(A740&amp;"ENTRADA",Movimientos!$R$2:$R$1993,0)),"-")</f>
        <v>-</v>
      </c>
      <c r="E740" s="2" t="str">
        <f>IFERROR(INDEX(Movimientos!$F$2:$F$1993,MATCH(A740&amp;"ENTRADA",Movimientos!$R$2:$R$1993,0)),"-")</f>
        <v>-</v>
      </c>
      <c r="F740" s="2" t="str">
        <f>IFERROR(INDEX(Movimientos!$G$2:$G$1993,MATCH(A740&amp;"ENTRADA",Movimientos!$R$2:$R$1993,0)),"-")</f>
        <v>-</v>
      </c>
      <c r="G740" s="2" t="str">
        <f>IFERROR(INDEX(Movimientos!$L$2:$L$1993,MATCH(A740&amp;"ENTRADA",Movimientos!$R$2:$R$1993,0)),"-")</f>
        <v>-</v>
      </c>
      <c r="H740" s="17" t="str">
        <f>IFERROR(IF(INDEX(Movimientos!$M$2:$M$1993,MATCH(A740&amp;"ENTRADA",Movimientos!$R$2:$R$1993,0))=0,"S/D",INDEX(Movimientos!$M$2:$M$1993,MATCH(A740&amp;"ENTRADA",Movimientos!$R$2:$R$1993,0))),"S/D")</f>
        <v>S/D</v>
      </c>
      <c r="I740" s="15" t="str">
        <f t="shared" ca="1" si="24"/>
        <v>S/D</v>
      </c>
      <c r="J740" s="5">
        <f>IF(A740="","",SUMIFS(Movimientos!$K:$K,Movimientos!$H:$H,A740))</f>
        <v>0</v>
      </c>
      <c r="K740" s="13" t="str">
        <f t="shared" ca="1" si="23"/>
        <v>SIN STOCK</v>
      </c>
    </row>
    <row r="741" spans="1:11">
      <c r="A741" s="16" t="s">
        <v>3046</v>
      </c>
      <c r="B741" s="2" t="str">
        <f>IFERROR(INDEX(Movimientos!$C$2:$C$1993,MATCH(A741&amp;"ENTRADA",Movimientos!$R$2:$R$1993,0)),"-")</f>
        <v>-</v>
      </c>
      <c r="C741" s="2" t="str">
        <f>IFERROR(INDEX(Movimientos!$D$2:$D$1993,MATCH(A741&amp;"ENTRADA",Movimientos!$R$2:$R$1993,0)),"-")</f>
        <v>-</v>
      </c>
      <c r="D741" s="2" t="str">
        <f>IFERROR(INDEX(Movimientos!$E$2:$E$1993,MATCH(A741&amp;"ENTRADA",Movimientos!$R$2:$R$1993,0)),"-")</f>
        <v>-</v>
      </c>
      <c r="E741" s="2" t="str">
        <f>IFERROR(INDEX(Movimientos!$F$2:$F$1993,MATCH(A741&amp;"ENTRADA",Movimientos!$R$2:$R$1993,0)),"-")</f>
        <v>-</v>
      </c>
      <c r="F741" s="2" t="str">
        <f>IFERROR(INDEX(Movimientos!$G$2:$G$1993,MATCH(A741&amp;"ENTRADA",Movimientos!$R$2:$R$1993,0)),"-")</f>
        <v>-</v>
      </c>
      <c r="G741" s="2" t="str">
        <f>IFERROR(INDEX(Movimientos!$L$2:$L$1993,MATCH(A741&amp;"ENTRADA",Movimientos!$R$2:$R$1993,0)),"-")</f>
        <v>-</v>
      </c>
      <c r="H741" s="17" t="str">
        <f>IFERROR(IF(INDEX(Movimientos!$M$2:$M$1993,MATCH(A741&amp;"ENTRADA",Movimientos!$R$2:$R$1993,0))=0,"S/D",INDEX(Movimientos!$M$2:$M$1993,MATCH(A741&amp;"ENTRADA",Movimientos!$R$2:$R$1993,0))),"S/D")</f>
        <v>S/D</v>
      </c>
      <c r="I741" s="15" t="str">
        <f t="shared" ca="1" si="24"/>
        <v>S/D</v>
      </c>
      <c r="J741" s="5">
        <f>IF(A741="","",SUMIFS(Movimientos!$K:$K,Movimientos!$H:$H,A741))</f>
        <v>0</v>
      </c>
      <c r="K741" s="13" t="str">
        <f t="shared" ca="1" si="23"/>
        <v>SIN STOCK</v>
      </c>
    </row>
    <row r="742" spans="1:11">
      <c r="A742" s="16" t="s">
        <v>3047</v>
      </c>
      <c r="B742" s="2" t="str">
        <f>IFERROR(INDEX(Movimientos!$C$2:$C$1993,MATCH(A742&amp;"ENTRADA",Movimientos!$R$2:$R$1993,0)),"-")</f>
        <v>-</v>
      </c>
      <c r="C742" s="2" t="str">
        <f>IFERROR(INDEX(Movimientos!$D$2:$D$1993,MATCH(A742&amp;"ENTRADA",Movimientos!$R$2:$R$1993,0)),"-")</f>
        <v>-</v>
      </c>
      <c r="D742" s="2" t="str">
        <f>IFERROR(INDEX(Movimientos!$E$2:$E$1993,MATCH(A742&amp;"ENTRADA",Movimientos!$R$2:$R$1993,0)),"-")</f>
        <v>-</v>
      </c>
      <c r="E742" s="2" t="str">
        <f>IFERROR(INDEX(Movimientos!$F$2:$F$1993,MATCH(A742&amp;"ENTRADA",Movimientos!$R$2:$R$1993,0)),"-")</f>
        <v>-</v>
      </c>
      <c r="F742" s="2" t="str">
        <f>IFERROR(INDEX(Movimientos!$G$2:$G$1993,MATCH(A742&amp;"ENTRADA",Movimientos!$R$2:$R$1993,0)),"-")</f>
        <v>-</v>
      </c>
      <c r="G742" s="2" t="str">
        <f>IFERROR(INDEX(Movimientos!$L$2:$L$1993,MATCH(A742&amp;"ENTRADA",Movimientos!$R$2:$R$1993,0)),"-")</f>
        <v>-</v>
      </c>
      <c r="H742" s="17" t="str">
        <f>IFERROR(IF(INDEX(Movimientos!$M$2:$M$1993,MATCH(A742&amp;"ENTRADA",Movimientos!$R$2:$R$1993,0))=0,"S/D",INDEX(Movimientos!$M$2:$M$1993,MATCH(A742&amp;"ENTRADA",Movimientos!$R$2:$R$1993,0))),"S/D")</f>
        <v>S/D</v>
      </c>
      <c r="I742" s="15" t="str">
        <f t="shared" ca="1" si="24"/>
        <v>S/D</v>
      </c>
      <c r="J742" s="5">
        <f>IF(A742="","",SUMIFS(Movimientos!$K:$K,Movimientos!$H:$H,A742))</f>
        <v>0</v>
      </c>
      <c r="K742" s="13" t="str">
        <f t="shared" ca="1" si="23"/>
        <v>SIN STOCK</v>
      </c>
    </row>
    <row r="743" spans="1:11">
      <c r="A743" s="16" t="s">
        <v>3048</v>
      </c>
      <c r="B743" s="2" t="str">
        <f>IFERROR(INDEX(Movimientos!$C$2:$C$1993,MATCH(A743&amp;"ENTRADA",Movimientos!$R$2:$R$1993,0)),"-")</f>
        <v>-</v>
      </c>
      <c r="C743" s="2" t="str">
        <f>IFERROR(INDEX(Movimientos!$D$2:$D$1993,MATCH(A743&amp;"ENTRADA",Movimientos!$R$2:$R$1993,0)),"-")</f>
        <v>-</v>
      </c>
      <c r="D743" s="2" t="str">
        <f>IFERROR(INDEX(Movimientos!$E$2:$E$1993,MATCH(A743&amp;"ENTRADA",Movimientos!$R$2:$R$1993,0)),"-")</f>
        <v>-</v>
      </c>
      <c r="E743" s="2" t="str">
        <f>IFERROR(INDEX(Movimientos!$F$2:$F$1993,MATCH(A743&amp;"ENTRADA",Movimientos!$R$2:$R$1993,0)),"-")</f>
        <v>-</v>
      </c>
      <c r="F743" s="2" t="str">
        <f>IFERROR(INDEX(Movimientos!$G$2:$G$1993,MATCH(A743&amp;"ENTRADA",Movimientos!$R$2:$R$1993,0)),"-")</f>
        <v>-</v>
      </c>
      <c r="G743" s="2" t="str">
        <f>IFERROR(INDEX(Movimientos!$L$2:$L$1993,MATCH(A743&amp;"ENTRADA",Movimientos!$R$2:$R$1993,0)),"-")</f>
        <v>-</v>
      </c>
      <c r="H743" s="17" t="str">
        <f>IFERROR(IF(INDEX(Movimientos!$M$2:$M$1993,MATCH(A743&amp;"ENTRADA",Movimientos!$R$2:$R$1993,0))=0,"S/D",INDEX(Movimientos!$M$2:$M$1993,MATCH(A743&amp;"ENTRADA",Movimientos!$R$2:$R$1993,0))),"S/D")</f>
        <v>S/D</v>
      </c>
      <c r="I743" s="15" t="str">
        <f t="shared" ca="1" si="24"/>
        <v>S/D</v>
      </c>
      <c r="J743" s="5">
        <f>IF(A743="","",SUMIFS(Movimientos!$K:$K,Movimientos!$H:$H,A743))</f>
        <v>0</v>
      </c>
      <c r="K743" s="13" t="str">
        <f t="shared" ca="1" si="23"/>
        <v>SIN STOCK</v>
      </c>
    </row>
    <row r="744" spans="1:11">
      <c r="A744" s="16" t="s">
        <v>3049</v>
      </c>
      <c r="B744" s="2" t="str">
        <f>IFERROR(INDEX(Movimientos!$C$2:$C$1993,MATCH(A744&amp;"ENTRADA",Movimientos!$R$2:$R$1993,0)),"-")</f>
        <v>-</v>
      </c>
      <c r="C744" s="2" t="str">
        <f>IFERROR(INDEX(Movimientos!$D$2:$D$1993,MATCH(A744&amp;"ENTRADA",Movimientos!$R$2:$R$1993,0)),"-")</f>
        <v>-</v>
      </c>
      <c r="D744" s="2" t="str">
        <f>IFERROR(INDEX(Movimientos!$E$2:$E$1993,MATCH(A744&amp;"ENTRADA",Movimientos!$R$2:$R$1993,0)),"-")</f>
        <v>-</v>
      </c>
      <c r="E744" s="2" t="str">
        <f>IFERROR(INDEX(Movimientos!$F$2:$F$1993,MATCH(A744&amp;"ENTRADA",Movimientos!$R$2:$R$1993,0)),"-")</f>
        <v>-</v>
      </c>
      <c r="F744" s="2" t="str">
        <f>IFERROR(INDEX(Movimientos!$G$2:$G$1993,MATCH(A744&amp;"ENTRADA",Movimientos!$R$2:$R$1993,0)),"-")</f>
        <v>-</v>
      </c>
      <c r="G744" s="2" t="str">
        <f>IFERROR(INDEX(Movimientos!$L$2:$L$1993,MATCH(A744&amp;"ENTRADA",Movimientos!$R$2:$R$1993,0)),"-")</f>
        <v>-</v>
      </c>
      <c r="H744" s="17" t="str">
        <f>IFERROR(IF(INDEX(Movimientos!$M$2:$M$1993,MATCH(A744&amp;"ENTRADA",Movimientos!$R$2:$R$1993,0))=0,"S/D",INDEX(Movimientos!$M$2:$M$1993,MATCH(A744&amp;"ENTRADA",Movimientos!$R$2:$R$1993,0))),"S/D")</f>
        <v>S/D</v>
      </c>
      <c r="I744" s="15" t="str">
        <f t="shared" ca="1" si="24"/>
        <v>S/D</v>
      </c>
      <c r="J744" s="5">
        <f>IF(A744="","",SUMIFS(Movimientos!$K:$K,Movimientos!$H:$H,A744))</f>
        <v>0</v>
      </c>
      <c r="K744" s="13" t="str">
        <f t="shared" ca="1" si="23"/>
        <v>SIN STOCK</v>
      </c>
    </row>
    <row r="745" spans="1:11">
      <c r="A745" s="16" t="s">
        <v>3050</v>
      </c>
      <c r="B745" s="2" t="str">
        <f>IFERROR(INDEX(Movimientos!$C$2:$C$1993,MATCH(A745&amp;"ENTRADA",Movimientos!$R$2:$R$1993,0)),"-")</f>
        <v>-</v>
      </c>
      <c r="C745" s="2" t="str">
        <f>IFERROR(INDEX(Movimientos!$D$2:$D$1993,MATCH(A745&amp;"ENTRADA",Movimientos!$R$2:$R$1993,0)),"-")</f>
        <v>-</v>
      </c>
      <c r="D745" s="2" t="str">
        <f>IFERROR(INDEX(Movimientos!$E$2:$E$1993,MATCH(A745&amp;"ENTRADA",Movimientos!$R$2:$R$1993,0)),"-")</f>
        <v>-</v>
      </c>
      <c r="E745" s="2" t="str">
        <f>IFERROR(INDEX(Movimientos!$F$2:$F$1993,MATCH(A745&amp;"ENTRADA",Movimientos!$R$2:$R$1993,0)),"-")</f>
        <v>-</v>
      </c>
      <c r="F745" s="2" t="str">
        <f>IFERROR(INDEX(Movimientos!$G$2:$G$1993,MATCH(A745&amp;"ENTRADA",Movimientos!$R$2:$R$1993,0)),"-")</f>
        <v>-</v>
      </c>
      <c r="G745" s="2" t="str">
        <f>IFERROR(INDEX(Movimientos!$L$2:$L$1993,MATCH(A745&amp;"ENTRADA",Movimientos!$R$2:$R$1993,0)),"-")</f>
        <v>-</v>
      </c>
      <c r="H745" s="17" t="str">
        <f>IFERROR(IF(INDEX(Movimientos!$M$2:$M$1993,MATCH(A745&amp;"ENTRADA",Movimientos!$R$2:$R$1993,0))=0,"S/D",INDEX(Movimientos!$M$2:$M$1993,MATCH(A745&amp;"ENTRADA",Movimientos!$R$2:$R$1993,0))),"S/D")</f>
        <v>S/D</v>
      </c>
      <c r="I745" s="15" t="str">
        <f t="shared" ca="1" si="24"/>
        <v>S/D</v>
      </c>
      <c r="J745" s="5">
        <f>IF(A745="","",SUMIFS(Movimientos!$K:$K,Movimientos!$H:$H,A745))</f>
        <v>0</v>
      </c>
      <c r="K745" s="13" t="str">
        <f t="shared" ca="1" si="23"/>
        <v>SIN STOCK</v>
      </c>
    </row>
    <row r="746" spans="1:11">
      <c r="A746" s="16" t="s">
        <v>3051</v>
      </c>
      <c r="B746" s="2" t="str">
        <f>IFERROR(INDEX(Movimientos!$C$2:$C$1993,MATCH(A746&amp;"ENTRADA",Movimientos!$R$2:$R$1993,0)),"-")</f>
        <v>-</v>
      </c>
      <c r="C746" s="2" t="str">
        <f>IFERROR(INDEX(Movimientos!$D$2:$D$1993,MATCH(A746&amp;"ENTRADA",Movimientos!$R$2:$R$1993,0)),"-")</f>
        <v>-</v>
      </c>
      <c r="D746" s="2" t="str">
        <f>IFERROR(INDEX(Movimientos!$E$2:$E$1993,MATCH(A746&amp;"ENTRADA",Movimientos!$R$2:$R$1993,0)),"-")</f>
        <v>-</v>
      </c>
      <c r="E746" s="2" t="str">
        <f>IFERROR(INDEX(Movimientos!$F$2:$F$1993,MATCH(A746&amp;"ENTRADA",Movimientos!$R$2:$R$1993,0)),"-")</f>
        <v>-</v>
      </c>
      <c r="F746" s="2" t="str">
        <f>IFERROR(INDEX(Movimientos!$G$2:$G$1993,MATCH(A746&amp;"ENTRADA",Movimientos!$R$2:$R$1993,0)),"-")</f>
        <v>-</v>
      </c>
      <c r="G746" s="2" t="str">
        <f>IFERROR(INDEX(Movimientos!$L$2:$L$1993,MATCH(A746&amp;"ENTRADA",Movimientos!$R$2:$R$1993,0)),"-")</f>
        <v>-</v>
      </c>
      <c r="H746" s="17" t="str">
        <f>IFERROR(IF(INDEX(Movimientos!$M$2:$M$1993,MATCH(A746&amp;"ENTRADA",Movimientos!$R$2:$R$1993,0))=0,"S/D",INDEX(Movimientos!$M$2:$M$1993,MATCH(A746&amp;"ENTRADA",Movimientos!$R$2:$R$1993,0))),"S/D")</f>
        <v>S/D</v>
      </c>
      <c r="I746" s="15" t="str">
        <f t="shared" ca="1" si="24"/>
        <v>S/D</v>
      </c>
      <c r="J746" s="5">
        <f>IF(A746="","",SUMIFS(Movimientos!$K:$K,Movimientos!$H:$H,A746))</f>
        <v>0</v>
      </c>
      <c r="K746" s="13" t="str">
        <f t="shared" ca="1" si="23"/>
        <v>SIN STOCK</v>
      </c>
    </row>
    <row r="747" spans="1:11">
      <c r="A747" s="16" t="s">
        <v>3052</v>
      </c>
      <c r="B747" s="2" t="str">
        <f>IFERROR(INDEX(Movimientos!$C$2:$C$1993,MATCH(A747&amp;"ENTRADA",Movimientos!$R$2:$R$1993,0)),"-")</f>
        <v>-</v>
      </c>
      <c r="C747" s="2" t="str">
        <f>IFERROR(INDEX(Movimientos!$D$2:$D$1993,MATCH(A747&amp;"ENTRADA",Movimientos!$R$2:$R$1993,0)),"-")</f>
        <v>-</v>
      </c>
      <c r="D747" s="2" t="str">
        <f>IFERROR(INDEX(Movimientos!$E$2:$E$1993,MATCH(A747&amp;"ENTRADA",Movimientos!$R$2:$R$1993,0)),"-")</f>
        <v>-</v>
      </c>
      <c r="E747" s="2" t="str">
        <f>IFERROR(INDEX(Movimientos!$F$2:$F$1993,MATCH(A747&amp;"ENTRADA",Movimientos!$R$2:$R$1993,0)),"-")</f>
        <v>-</v>
      </c>
      <c r="F747" s="2" t="str">
        <f>IFERROR(INDEX(Movimientos!$G$2:$G$1993,MATCH(A747&amp;"ENTRADA",Movimientos!$R$2:$R$1993,0)),"-")</f>
        <v>-</v>
      </c>
      <c r="G747" s="2" t="str">
        <f>IFERROR(INDEX(Movimientos!$L$2:$L$1993,MATCH(A747&amp;"ENTRADA",Movimientos!$R$2:$R$1993,0)),"-")</f>
        <v>-</v>
      </c>
      <c r="H747" s="17" t="str">
        <f>IFERROR(IF(INDEX(Movimientos!$M$2:$M$1993,MATCH(A747&amp;"ENTRADA",Movimientos!$R$2:$R$1993,0))=0,"S/D",INDEX(Movimientos!$M$2:$M$1993,MATCH(A747&amp;"ENTRADA",Movimientos!$R$2:$R$1993,0))),"S/D")</f>
        <v>S/D</v>
      </c>
      <c r="I747" s="15" t="str">
        <f t="shared" ca="1" si="24"/>
        <v>S/D</v>
      </c>
      <c r="J747" s="5">
        <f>IF(A747="","",SUMIFS(Movimientos!$K:$K,Movimientos!$H:$H,A747))</f>
        <v>0</v>
      </c>
      <c r="K747" s="13" t="str">
        <f t="shared" ca="1" si="23"/>
        <v>SIN STOCK</v>
      </c>
    </row>
    <row r="748" spans="1:11">
      <c r="A748" s="16" t="s">
        <v>3053</v>
      </c>
      <c r="B748" s="2" t="str">
        <f>IFERROR(INDEX(Movimientos!$C$2:$C$1993,MATCH(A748&amp;"ENTRADA",Movimientos!$R$2:$R$1993,0)),"-")</f>
        <v>-</v>
      </c>
      <c r="C748" s="2" t="str">
        <f>IFERROR(INDEX(Movimientos!$D$2:$D$1993,MATCH(A748&amp;"ENTRADA",Movimientos!$R$2:$R$1993,0)),"-")</f>
        <v>-</v>
      </c>
      <c r="D748" s="2" t="str">
        <f>IFERROR(INDEX(Movimientos!$E$2:$E$1993,MATCH(A748&amp;"ENTRADA",Movimientos!$R$2:$R$1993,0)),"-")</f>
        <v>-</v>
      </c>
      <c r="E748" s="2" t="str">
        <f>IFERROR(INDEX(Movimientos!$F$2:$F$1993,MATCH(A748&amp;"ENTRADA",Movimientos!$R$2:$R$1993,0)),"-")</f>
        <v>-</v>
      </c>
      <c r="F748" s="2" t="str">
        <f>IFERROR(INDEX(Movimientos!$G$2:$G$1993,MATCH(A748&amp;"ENTRADA",Movimientos!$R$2:$R$1993,0)),"-")</f>
        <v>-</v>
      </c>
      <c r="G748" s="2" t="str">
        <f>IFERROR(INDEX(Movimientos!$L$2:$L$1993,MATCH(A748&amp;"ENTRADA",Movimientos!$R$2:$R$1993,0)),"-")</f>
        <v>-</v>
      </c>
      <c r="H748" s="17" t="str">
        <f>IFERROR(IF(INDEX(Movimientos!$M$2:$M$1993,MATCH(A748&amp;"ENTRADA",Movimientos!$R$2:$R$1993,0))=0,"S/D",INDEX(Movimientos!$M$2:$M$1993,MATCH(A748&amp;"ENTRADA",Movimientos!$R$2:$R$1993,0))),"S/D")</f>
        <v>S/D</v>
      </c>
      <c r="I748" s="15" t="str">
        <f t="shared" ca="1" si="24"/>
        <v>S/D</v>
      </c>
      <c r="J748" s="5">
        <f>IF(A748="","",SUMIFS(Movimientos!$K:$K,Movimientos!$H:$H,A748))</f>
        <v>0</v>
      </c>
      <c r="K748" s="13" t="str">
        <f t="shared" ca="1" si="23"/>
        <v>SIN STOCK</v>
      </c>
    </row>
    <row r="749" spans="1:11">
      <c r="A749" s="16" t="s">
        <v>3054</v>
      </c>
      <c r="B749" s="2" t="str">
        <f>IFERROR(INDEX(Movimientos!$C$2:$C$1993,MATCH(A749&amp;"ENTRADA",Movimientos!$R$2:$R$1993,0)),"-")</f>
        <v>-</v>
      </c>
      <c r="C749" s="2" t="str">
        <f>IFERROR(INDEX(Movimientos!$D$2:$D$1993,MATCH(A749&amp;"ENTRADA",Movimientos!$R$2:$R$1993,0)),"-")</f>
        <v>-</v>
      </c>
      <c r="D749" s="2" t="str">
        <f>IFERROR(INDEX(Movimientos!$E$2:$E$1993,MATCH(A749&amp;"ENTRADA",Movimientos!$R$2:$R$1993,0)),"-")</f>
        <v>-</v>
      </c>
      <c r="E749" s="2" t="str">
        <f>IFERROR(INDEX(Movimientos!$F$2:$F$1993,MATCH(A749&amp;"ENTRADA",Movimientos!$R$2:$R$1993,0)),"-")</f>
        <v>-</v>
      </c>
      <c r="F749" s="2" t="str">
        <f>IFERROR(INDEX(Movimientos!$G$2:$G$1993,MATCH(A749&amp;"ENTRADA",Movimientos!$R$2:$R$1993,0)),"-")</f>
        <v>-</v>
      </c>
      <c r="G749" s="2" t="str">
        <f>IFERROR(INDEX(Movimientos!$L$2:$L$1993,MATCH(A749&amp;"ENTRADA",Movimientos!$R$2:$R$1993,0)),"-")</f>
        <v>-</v>
      </c>
      <c r="H749" s="17" t="str">
        <f>IFERROR(IF(INDEX(Movimientos!$M$2:$M$1993,MATCH(A749&amp;"ENTRADA",Movimientos!$R$2:$R$1993,0))=0,"S/D",INDEX(Movimientos!$M$2:$M$1993,MATCH(A749&amp;"ENTRADA",Movimientos!$R$2:$R$1993,0))),"S/D")</f>
        <v>S/D</v>
      </c>
      <c r="I749" s="15" t="str">
        <f t="shared" ca="1" si="24"/>
        <v>S/D</v>
      </c>
      <c r="J749" s="5">
        <f>IF(A749="","",SUMIFS(Movimientos!$K:$K,Movimientos!$H:$H,A749))</f>
        <v>0</v>
      </c>
      <c r="K749" s="13" t="str">
        <f t="shared" ca="1" si="23"/>
        <v>SIN STOCK</v>
      </c>
    </row>
    <row r="750" spans="1:11">
      <c r="A750" s="16" t="s">
        <v>3055</v>
      </c>
      <c r="B750" s="2" t="str">
        <f>IFERROR(INDEX(Movimientos!$C$2:$C$1993,MATCH(A750&amp;"ENTRADA",Movimientos!$R$2:$R$1993,0)),"-")</f>
        <v>-</v>
      </c>
      <c r="C750" s="2" t="str">
        <f>IFERROR(INDEX(Movimientos!$D$2:$D$1993,MATCH(A750&amp;"ENTRADA",Movimientos!$R$2:$R$1993,0)),"-")</f>
        <v>-</v>
      </c>
      <c r="D750" s="2" t="str">
        <f>IFERROR(INDEX(Movimientos!$E$2:$E$1993,MATCH(A750&amp;"ENTRADA",Movimientos!$R$2:$R$1993,0)),"-")</f>
        <v>-</v>
      </c>
      <c r="E750" s="2" t="str">
        <f>IFERROR(INDEX(Movimientos!$F$2:$F$1993,MATCH(A750&amp;"ENTRADA",Movimientos!$R$2:$R$1993,0)),"-")</f>
        <v>-</v>
      </c>
      <c r="F750" s="2" t="str">
        <f>IFERROR(INDEX(Movimientos!$G$2:$G$1993,MATCH(A750&amp;"ENTRADA",Movimientos!$R$2:$R$1993,0)),"-")</f>
        <v>-</v>
      </c>
      <c r="G750" s="2" t="str">
        <f>IFERROR(INDEX(Movimientos!$L$2:$L$1993,MATCH(A750&amp;"ENTRADA",Movimientos!$R$2:$R$1993,0)),"-")</f>
        <v>-</v>
      </c>
      <c r="H750" s="17" t="str">
        <f>IFERROR(IF(INDEX(Movimientos!$M$2:$M$1993,MATCH(A750&amp;"ENTRADA",Movimientos!$R$2:$R$1993,0))=0,"S/D",INDEX(Movimientos!$M$2:$M$1993,MATCH(A750&amp;"ENTRADA",Movimientos!$R$2:$R$1993,0))),"S/D")</f>
        <v>S/D</v>
      </c>
      <c r="I750" s="15" t="str">
        <f t="shared" ca="1" si="24"/>
        <v>S/D</v>
      </c>
      <c r="J750" s="5">
        <f>IF(A750="","",SUMIFS(Movimientos!$K:$K,Movimientos!$H:$H,A750))</f>
        <v>0</v>
      </c>
      <c r="K750" s="13" t="str">
        <f t="shared" ca="1" si="23"/>
        <v>SIN STOCK</v>
      </c>
    </row>
    <row r="751" spans="1:11">
      <c r="A751" s="16" t="s">
        <v>3056</v>
      </c>
      <c r="B751" s="2" t="str">
        <f>IFERROR(INDEX(Movimientos!$C$2:$C$1993,MATCH(A751&amp;"ENTRADA",Movimientos!$R$2:$R$1993,0)),"-")</f>
        <v>-</v>
      </c>
      <c r="C751" s="2" t="str">
        <f>IFERROR(INDEX(Movimientos!$D$2:$D$1993,MATCH(A751&amp;"ENTRADA",Movimientos!$R$2:$R$1993,0)),"-")</f>
        <v>-</v>
      </c>
      <c r="D751" s="2" t="str">
        <f>IFERROR(INDEX(Movimientos!$E$2:$E$1993,MATCH(A751&amp;"ENTRADA",Movimientos!$R$2:$R$1993,0)),"-")</f>
        <v>-</v>
      </c>
      <c r="E751" s="2" t="str">
        <f>IFERROR(INDEX(Movimientos!$F$2:$F$1993,MATCH(A751&amp;"ENTRADA",Movimientos!$R$2:$R$1993,0)),"-")</f>
        <v>-</v>
      </c>
      <c r="F751" s="2" t="str">
        <f>IFERROR(INDEX(Movimientos!$G$2:$G$1993,MATCH(A751&amp;"ENTRADA",Movimientos!$R$2:$R$1993,0)),"-")</f>
        <v>-</v>
      </c>
      <c r="G751" s="2" t="str">
        <f>IFERROR(INDEX(Movimientos!$L$2:$L$1993,MATCH(A751&amp;"ENTRADA",Movimientos!$R$2:$R$1993,0)),"-")</f>
        <v>-</v>
      </c>
      <c r="H751" s="17" t="str">
        <f>IFERROR(IF(INDEX(Movimientos!$M$2:$M$1993,MATCH(A751&amp;"ENTRADA",Movimientos!$R$2:$R$1993,0))=0,"S/D",INDEX(Movimientos!$M$2:$M$1993,MATCH(A751&amp;"ENTRADA",Movimientos!$R$2:$R$1993,0))),"S/D")</f>
        <v>S/D</v>
      </c>
      <c r="I751" s="15" t="str">
        <f t="shared" ca="1" si="24"/>
        <v>S/D</v>
      </c>
      <c r="J751" s="5">
        <f>IF(A751="","",SUMIFS(Movimientos!$K:$K,Movimientos!$H:$H,A751))</f>
        <v>0</v>
      </c>
      <c r="K751" s="13" t="str">
        <f t="shared" ca="1" si="23"/>
        <v>SIN STOCK</v>
      </c>
    </row>
    <row r="752" spans="1:11">
      <c r="A752" s="16" t="s">
        <v>3057</v>
      </c>
      <c r="B752" s="2" t="str">
        <f>IFERROR(INDEX(Movimientos!$C$2:$C$1993,MATCH(A752&amp;"ENTRADA",Movimientos!$R$2:$R$1993,0)),"-")</f>
        <v>-</v>
      </c>
      <c r="C752" s="2" t="str">
        <f>IFERROR(INDEX(Movimientos!$D$2:$D$1993,MATCH(A752&amp;"ENTRADA",Movimientos!$R$2:$R$1993,0)),"-")</f>
        <v>-</v>
      </c>
      <c r="D752" s="2" t="str">
        <f>IFERROR(INDEX(Movimientos!$E$2:$E$1993,MATCH(A752&amp;"ENTRADA",Movimientos!$R$2:$R$1993,0)),"-")</f>
        <v>-</v>
      </c>
      <c r="E752" s="2" t="str">
        <f>IFERROR(INDEX(Movimientos!$F$2:$F$1993,MATCH(A752&amp;"ENTRADA",Movimientos!$R$2:$R$1993,0)),"-")</f>
        <v>-</v>
      </c>
      <c r="F752" s="2" t="str">
        <f>IFERROR(INDEX(Movimientos!$G$2:$G$1993,MATCH(A752&amp;"ENTRADA",Movimientos!$R$2:$R$1993,0)),"-")</f>
        <v>-</v>
      </c>
      <c r="G752" s="2" t="str">
        <f>IFERROR(INDEX(Movimientos!$L$2:$L$1993,MATCH(A752&amp;"ENTRADA",Movimientos!$R$2:$R$1993,0)),"-")</f>
        <v>-</v>
      </c>
      <c r="H752" s="17" t="str">
        <f>IFERROR(IF(INDEX(Movimientos!$M$2:$M$1993,MATCH(A752&amp;"ENTRADA",Movimientos!$R$2:$R$1993,0))=0,"S/D",INDEX(Movimientos!$M$2:$M$1993,MATCH(A752&amp;"ENTRADA",Movimientos!$R$2:$R$1993,0))),"S/D")</f>
        <v>S/D</v>
      </c>
      <c r="I752" s="15" t="str">
        <f t="shared" ca="1" si="24"/>
        <v>S/D</v>
      </c>
      <c r="J752" s="5">
        <f>IF(A752="","",SUMIFS(Movimientos!$K:$K,Movimientos!$H:$H,A752))</f>
        <v>0</v>
      </c>
      <c r="K752" s="13" t="str">
        <f t="shared" ca="1" si="23"/>
        <v>SIN STOCK</v>
      </c>
    </row>
    <row r="753" spans="1:11">
      <c r="A753" s="16" t="s">
        <v>3058</v>
      </c>
      <c r="B753" s="2" t="str">
        <f>IFERROR(INDEX(Movimientos!$C$2:$C$1993,MATCH(A753&amp;"ENTRADA",Movimientos!$R$2:$R$1993,0)),"-")</f>
        <v>-</v>
      </c>
      <c r="C753" s="2" t="str">
        <f>IFERROR(INDEX(Movimientos!$D$2:$D$1993,MATCH(A753&amp;"ENTRADA",Movimientos!$R$2:$R$1993,0)),"-")</f>
        <v>-</v>
      </c>
      <c r="D753" s="2" t="str">
        <f>IFERROR(INDEX(Movimientos!$E$2:$E$1993,MATCH(A753&amp;"ENTRADA",Movimientos!$R$2:$R$1993,0)),"-")</f>
        <v>-</v>
      </c>
      <c r="E753" s="2" t="str">
        <f>IFERROR(INDEX(Movimientos!$F$2:$F$1993,MATCH(A753&amp;"ENTRADA",Movimientos!$R$2:$R$1993,0)),"-")</f>
        <v>-</v>
      </c>
      <c r="F753" s="2" t="str">
        <f>IFERROR(INDEX(Movimientos!$G$2:$G$1993,MATCH(A753&amp;"ENTRADA",Movimientos!$R$2:$R$1993,0)),"-")</f>
        <v>-</v>
      </c>
      <c r="G753" s="2" t="str">
        <f>IFERROR(INDEX(Movimientos!$L$2:$L$1993,MATCH(A753&amp;"ENTRADA",Movimientos!$R$2:$R$1993,0)),"-")</f>
        <v>-</v>
      </c>
      <c r="H753" s="17" t="str">
        <f>IFERROR(IF(INDEX(Movimientos!$M$2:$M$1993,MATCH(A753&amp;"ENTRADA",Movimientos!$R$2:$R$1993,0))=0,"S/D",INDEX(Movimientos!$M$2:$M$1993,MATCH(A753&amp;"ENTRADA",Movimientos!$R$2:$R$1993,0))),"S/D")</f>
        <v>S/D</v>
      </c>
      <c r="I753" s="15" t="str">
        <f t="shared" ca="1" si="24"/>
        <v>S/D</v>
      </c>
      <c r="J753" s="5">
        <f>IF(A753="","",SUMIFS(Movimientos!$K:$K,Movimientos!$H:$H,A753))</f>
        <v>0</v>
      </c>
      <c r="K753" s="13" t="str">
        <f t="shared" ca="1" si="23"/>
        <v>SIN STOCK</v>
      </c>
    </row>
    <row r="754" spans="1:11">
      <c r="A754" s="16" t="s">
        <v>3059</v>
      </c>
      <c r="B754" s="2" t="str">
        <f>IFERROR(INDEX(Movimientos!$C$2:$C$1993,MATCH(A754&amp;"ENTRADA",Movimientos!$R$2:$R$1993,0)),"-")</f>
        <v>-</v>
      </c>
      <c r="C754" s="2" t="str">
        <f>IFERROR(INDEX(Movimientos!$D$2:$D$1993,MATCH(A754&amp;"ENTRADA",Movimientos!$R$2:$R$1993,0)),"-")</f>
        <v>-</v>
      </c>
      <c r="D754" s="2" t="str">
        <f>IFERROR(INDEX(Movimientos!$E$2:$E$1993,MATCH(A754&amp;"ENTRADA",Movimientos!$R$2:$R$1993,0)),"-")</f>
        <v>-</v>
      </c>
      <c r="E754" s="2" t="str">
        <f>IFERROR(INDEX(Movimientos!$F$2:$F$1993,MATCH(A754&amp;"ENTRADA",Movimientos!$R$2:$R$1993,0)),"-")</f>
        <v>-</v>
      </c>
      <c r="F754" s="2" t="str">
        <f>IFERROR(INDEX(Movimientos!$G$2:$G$1993,MATCH(A754&amp;"ENTRADA",Movimientos!$R$2:$R$1993,0)),"-")</f>
        <v>-</v>
      </c>
      <c r="G754" s="2" t="str">
        <f>IFERROR(INDEX(Movimientos!$L$2:$L$1993,MATCH(A754&amp;"ENTRADA",Movimientos!$R$2:$R$1993,0)),"-")</f>
        <v>-</v>
      </c>
      <c r="H754" s="17" t="str">
        <f>IFERROR(IF(INDEX(Movimientos!$M$2:$M$1993,MATCH(A754&amp;"ENTRADA",Movimientos!$R$2:$R$1993,0))=0,"S/D",INDEX(Movimientos!$M$2:$M$1993,MATCH(A754&amp;"ENTRADA",Movimientos!$R$2:$R$1993,0))),"S/D")</f>
        <v>S/D</v>
      </c>
      <c r="I754" s="15" t="str">
        <f t="shared" ca="1" si="24"/>
        <v>S/D</v>
      </c>
      <c r="J754" s="5">
        <f>IF(A754="","",SUMIFS(Movimientos!$K:$K,Movimientos!$H:$H,A754))</f>
        <v>0</v>
      </c>
      <c r="K754" s="13" t="str">
        <f t="shared" ca="1" si="23"/>
        <v>SIN STOCK</v>
      </c>
    </row>
    <row r="755" spans="1:11">
      <c r="A755" s="16" t="s">
        <v>3060</v>
      </c>
      <c r="B755" s="2" t="str">
        <f>IFERROR(INDEX(Movimientos!$C$2:$C$1993,MATCH(A755&amp;"ENTRADA",Movimientos!$R$2:$R$1993,0)),"-")</f>
        <v>-</v>
      </c>
      <c r="C755" s="2" t="str">
        <f>IFERROR(INDEX(Movimientos!$D$2:$D$1993,MATCH(A755&amp;"ENTRADA",Movimientos!$R$2:$R$1993,0)),"-")</f>
        <v>-</v>
      </c>
      <c r="D755" s="2" t="str">
        <f>IFERROR(INDEX(Movimientos!$E$2:$E$1993,MATCH(A755&amp;"ENTRADA",Movimientos!$R$2:$R$1993,0)),"-")</f>
        <v>-</v>
      </c>
      <c r="E755" s="2" t="str">
        <f>IFERROR(INDEX(Movimientos!$F$2:$F$1993,MATCH(A755&amp;"ENTRADA",Movimientos!$R$2:$R$1993,0)),"-")</f>
        <v>-</v>
      </c>
      <c r="F755" s="2" t="str">
        <f>IFERROR(INDEX(Movimientos!$G$2:$G$1993,MATCH(A755&amp;"ENTRADA",Movimientos!$R$2:$R$1993,0)),"-")</f>
        <v>-</v>
      </c>
      <c r="G755" s="2" t="str">
        <f>IFERROR(INDEX(Movimientos!$L$2:$L$1993,MATCH(A755&amp;"ENTRADA",Movimientos!$R$2:$R$1993,0)),"-")</f>
        <v>-</v>
      </c>
      <c r="H755" s="17" t="str">
        <f>IFERROR(IF(INDEX(Movimientos!$M$2:$M$1993,MATCH(A755&amp;"ENTRADA",Movimientos!$R$2:$R$1993,0))=0,"S/D",INDEX(Movimientos!$M$2:$M$1993,MATCH(A755&amp;"ENTRADA",Movimientos!$R$2:$R$1993,0))),"S/D")</f>
        <v>S/D</v>
      </c>
      <c r="I755" s="15" t="str">
        <f t="shared" ca="1" si="24"/>
        <v>S/D</v>
      </c>
      <c r="J755" s="5">
        <f>IF(A755="","",SUMIFS(Movimientos!$K:$K,Movimientos!$H:$H,A755))</f>
        <v>0</v>
      </c>
      <c r="K755" s="13" t="str">
        <f t="shared" ca="1" si="23"/>
        <v>SIN STOCK</v>
      </c>
    </row>
    <row r="756" spans="1:11">
      <c r="A756" s="16" t="s">
        <v>3061</v>
      </c>
      <c r="B756" s="2" t="str">
        <f>IFERROR(INDEX(Movimientos!$C$2:$C$1993,MATCH(A756&amp;"ENTRADA",Movimientos!$R$2:$R$1993,0)),"-")</f>
        <v>-</v>
      </c>
      <c r="C756" s="2" t="str">
        <f>IFERROR(INDEX(Movimientos!$D$2:$D$1993,MATCH(A756&amp;"ENTRADA",Movimientos!$R$2:$R$1993,0)),"-")</f>
        <v>-</v>
      </c>
      <c r="D756" s="2" t="str">
        <f>IFERROR(INDEX(Movimientos!$E$2:$E$1993,MATCH(A756&amp;"ENTRADA",Movimientos!$R$2:$R$1993,0)),"-")</f>
        <v>-</v>
      </c>
      <c r="E756" s="2" t="str">
        <f>IFERROR(INDEX(Movimientos!$F$2:$F$1993,MATCH(A756&amp;"ENTRADA",Movimientos!$R$2:$R$1993,0)),"-")</f>
        <v>-</v>
      </c>
      <c r="F756" s="2" t="str">
        <f>IFERROR(INDEX(Movimientos!$G$2:$G$1993,MATCH(A756&amp;"ENTRADA",Movimientos!$R$2:$R$1993,0)),"-")</f>
        <v>-</v>
      </c>
      <c r="G756" s="2" t="str">
        <f>IFERROR(INDEX(Movimientos!$L$2:$L$1993,MATCH(A756&amp;"ENTRADA",Movimientos!$R$2:$R$1993,0)),"-")</f>
        <v>-</v>
      </c>
      <c r="H756" s="17" t="str">
        <f>IFERROR(IF(INDEX(Movimientos!$M$2:$M$1993,MATCH(A756&amp;"ENTRADA",Movimientos!$R$2:$R$1993,0))=0,"S/D",INDEX(Movimientos!$M$2:$M$1993,MATCH(A756&amp;"ENTRADA",Movimientos!$R$2:$R$1993,0))),"S/D")</f>
        <v>S/D</v>
      </c>
      <c r="I756" s="15" t="str">
        <f t="shared" ca="1" si="24"/>
        <v>S/D</v>
      </c>
      <c r="J756" s="5">
        <f>IF(A756="","",SUMIFS(Movimientos!$K:$K,Movimientos!$H:$H,A756))</f>
        <v>0</v>
      </c>
      <c r="K756" s="13" t="str">
        <f t="shared" ca="1" si="23"/>
        <v>SIN STOCK</v>
      </c>
    </row>
    <row r="757" spans="1:11">
      <c r="A757" s="16" t="s">
        <v>3062</v>
      </c>
      <c r="B757" s="2" t="str">
        <f>IFERROR(INDEX(Movimientos!$C$2:$C$1993,MATCH(A757&amp;"ENTRADA",Movimientos!$R$2:$R$1993,0)),"-")</f>
        <v>-</v>
      </c>
      <c r="C757" s="2" t="str">
        <f>IFERROR(INDEX(Movimientos!$D$2:$D$1993,MATCH(A757&amp;"ENTRADA",Movimientos!$R$2:$R$1993,0)),"-")</f>
        <v>-</v>
      </c>
      <c r="D757" s="2" t="str">
        <f>IFERROR(INDEX(Movimientos!$E$2:$E$1993,MATCH(A757&amp;"ENTRADA",Movimientos!$R$2:$R$1993,0)),"-")</f>
        <v>-</v>
      </c>
      <c r="E757" s="2" t="str">
        <f>IFERROR(INDEX(Movimientos!$F$2:$F$1993,MATCH(A757&amp;"ENTRADA",Movimientos!$R$2:$R$1993,0)),"-")</f>
        <v>-</v>
      </c>
      <c r="F757" s="2" t="str">
        <f>IFERROR(INDEX(Movimientos!$G$2:$G$1993,MATCH(A757&amp;"ENTRADA",Movimientos!$R$2:$R$1993,0)),"-")</f>
        <v>-</v>
      </c>
      <c r="G757" s="2" t="str">
        <f>IFERROR(INDEX(Movimientos!$L$2:$L$1993,MATCH(A757&amp;"ENTRADA",Movimientos!$R$2:$R$1993,0)),"-")</f>
        <v>-</v>
      </c>
      <c r="H757" s="17" t="str">
        <f>IFERROR(IF(INDEX(Movimientos!$M$2:$M$1993,MATCH(A757&amp;"ENTRADA",Movimientos!$R$2:$R$1993,0))=0,"S/D",INDEX(Movimientos!$M$2:$M$1993,MATCH(A757&amp;"ENTRADA",Movimientos!$R$2:$R$1993,0))),"S/D")</f>
        <v>S/D</v>
      </c>
      <c r="I757" s="15" t="str">
        <f t="shared" ca="1" si="24"/>
        <v>S/D</v>
      </c>
      <c r="J757" s="5">
        <f>IF(A757="","",SUMIFS(Movimientos!$K:$K,Movimientos!$H:$H,A757))</f>
        <v>0</v>
      </c>
      <c r="K757" s="13" t="str">
        <f t="shared" ca="1" si="23"/>
        <v>SIN STOCK</v>
      </c>
    </row>
    <row r="758" spans="1:11">
      <c r="A758" s="16" t="s">
        <v>3063</v>
      </c>
      <c r="B758" s="2" t="str">
        <f>IFERROR(INDEX(Movimientos!$C$2:$C$1993,MATCH(A758&amp;"ENTRADA",Movimientos!$R$2:$R$1993,0)),"-")</f>
        <v>-</v>
      </c>
      <c r="C758" s="2" t="str">
        <f>IFERROR(INDEX(Movimientos!$D$2:$D$1993,MATCH(A758&amp;"ENTRADA",Movimientos!$R$2:$R$1993,0)),"-")</f>
        <v>-</v>
      </c>
      <c r="D758" s="2" t="str">
        <f>IFERROR(INDEX(Movimientos!$E$2:$E$1993,MATCH(A758&amp;"ENTRADA",Movimientos!$R$2:$R$1993,0)),"-")</f>
        <v>-</v>
      </c>
      <c r="E758" s="2" t="str">
        <f>IFERROR(INDEX(Movimientos!$F$2:$F$1993,MATCH(A758&amp;"ENTRADA",Movimientos!$R$2:$R$1993,0)),"-")</f>
        <v>-</v>
      </c>
      <c r="F758" s="2" t="str">
        <f>IFERROR(INDEX(Movimientos!$G$2:$G$1993,MATCH(A758&amp;"ENTRADA",Movimientos!$R$2:$R$1993,0)),"-")</f>
        <v>-</v>
      </c>
      <c r="G758" s="2" t="str">
        <f>IFERROR(INDEX(Movimientos!$L$2:$L$1993,MATCH(A758&amp;"ENTRADA",Movimientos!$R$2:$R$1993,0)),"-")</f>
        <v>-</v>
      </c>
      <c r="H758" s="17" t="str">
        <f>IFERROR(IF(INDEX(Movimientos!$M$2:$M$1993,MATCH(A758&amp;"ENTRADA",Movimientos!$R$2:$R$1993,0))=0,"S/D",INDEX(Movimientos!$M$2:$M$1993,MATCH(A758&amp;"ENTRADA",Movimientos!$R$2:$R$1993,0))),"S/D")</f>
        <v>S/D</v>
      </c>
      <c r="I758" s="15" t="str">
        <f t="shared" ca="1" si="24"/>
        <v>S/D</v>
      </c>
      <c r="J758" s="5">
        <f>IF(A758="","",SUMIFS(Movimientos!$K:$K,Movimientos!$H:$H,A758))</f>
        <v>0</v>
      </c>
      <c r="K758" s="13" t="str">
        <f t="shared" ca="1" si="23"/>
        <v>SIN STOCK</v>
      </c>
    </row>
    <row r="759" spans="1:11">
      <c r="A759" s="16" t="s">
        <v>3064</v>
      </c>
      <c r="B759" s="2" t="str">
        <f>IFERROR(INDEX(Movimientos!$C$2:$C$1993,MATCH(A759&amp;"ENTRADA",Movimientos!$R$2:$R$1993,0)),"-")</f>
        <v>-</v>
      </c>
      <c r="C759" s="2" t="str">
        <f>IFERROR(INDEX(Movimientos!$D$2:$D$1993,MATCH(A759&amp;"ENTRADA",Movimientos!$R$2:$R$1993,0)),"-")</f>
        <v>-</v>
      </c>
      <c r="D759" s="2" t="str">
        <f>IFERROR(INDEX(Movimientos!$E$2:$E$1993,MATCH(A759&amp;"ENTRADA",Movimientos!$R$2:$R$1993,0)),"-")</f>
        <v>-</v>
      </c>
      <c r="E759" s="2" t="str">
        <f>IFERROR(INDEX(Movimientos!$F$2:$F$1993,MATCH(A759&amp;"ENTRADA",Movimientos!$R$2:$R$1993,0)),"-")</f>
        <v>-</v>
      </c>
      <c r="F759" s="2" t="str">
        <f>IFERROR(INDEX(Movimientos!$G$2:$G$1993,MATCH(A759&amp;"ENTRADA",Movimientos!$R$2:$R$1993,0)),"-")</f>
        <v>-</v>
      </c>
      <c r="G759" s="2" t="str">
        <f>IFERROR(INDEX(Movimientos!$L$2:$L$1993,MATCH(A759&amp;"ENTRADA",Movimientos!$R$2:$R$1993,0)),"-")</f>
        <v>-</v>
      </c>
      <c r="H759" s="17" t="str">
        <f>IFERROR(IF(INDEX(Movimientos!$M$2:$M$1993,MATCH(A759&amp;"ENTRADA",Movimientos!$R$2:$R$1993,0))=0,"S/D",INDEX(Movimientos!$M$2:$M$1993,MATCH(A759&amp;"ENTRADA",Movimientos!$R$2:$R$1993,0))),"S/D")</f>
        <v>S/D</v>
      </c>
      <c r="I759" s="15" t="str">
        <f t="shared" ca="1" si="24"/>
        <v>S/D</v>
      </c>
      <c r="J759" s="5">
        <f>IF(A759="","",SUMIFS(Movimientos!$K:$K,Movimientos!$H:$H,A759))</f>
        <v>0</v>
      </c>
      <c r="K759" s="13" t="str">
        <f t="shared" ca="1" si="23"/>
        <v>SIN STOCK</v>
      </c>
    </row>
    <row r="760" spans="1:11">
      <c r="A760" s="16" t="s">
        <v>3065</v>
      </c>
      <c r="B760" s="2" t="str">
        <f>IFERROR(INDEX(Movimientos!$C$2:$C$1993,MATCH(A760&amp;"ENTRADA",Movimientos!$R$2:$R$1993,0)),"-")</f>
        <v>-</v>
      </c>
      <c r="C760" s="2" t="str">
        <f>IFERROR(INDEX(Movimientos!$D$2:$D$1993,MATCH(A760&amp;"ENTRADA",Movimientos!$R$2:$R$1993,0)),"-")</f>
        <v>-</v>
      </c>
      <c r="D760" s="2" t="str">
        <f>IFERROR(INDEX(Movimientos!$E$2:$E$1993,MATCH(A760&amp;"ENTRADA",Movimientos!$R$2:$R$1993,0)),"-")</f>
        <v>-</v>
      </c>
      <c r="E760" s="2" t="str">
        <f>IFERROR(INDEX(Movimientos!$F$2:$F$1993,MATCH(A760&amp;"ENTRADA",Movimientos!$R$2:$R$1993,0)),"-")</f>
        <v>-</v>
      </c>
      <c r="F760" s="2" t="str">
        <f>IFERROR(INDEX(Movimientos!$G$2:$G$1993,MATCH(A760&amp;"ENTRADA",Movimientos!$R$2:$R$1993,0)),"-")</f>
        <v>-</v>
      </c>
      <c r="G760" s="2" t="str">
        <f>IFERROR(INDEX(Movimientos!$L$2:$L$1993,MATCH(A760&amp;"ENTRADA",Movimientos!$R$2:$R$1993,0)),"-")</f>
        <v>-</v>
      </c>
      <c r="H760" s="17" t="str">
        <f>IFERROR(IF(INDEX(Movimientos!$M$2:$M$1993,MATCH(A760&amp;"ENTRADA",Movimientos!$R$2:$R$1993,0))=0,"S/D",INDEX(Movimientos!$M$2:$M$1993,MATCH(A760&amp;"ENTRADA",Movimientos!$R$2:$R$1993,0))),"S/D")</f>
        <v>S/D</v>
      </c>
      <c r="I760" s="15" t="str">
        <f t="shared" ca="1" si="24"/>
        <v>S/D</v>
      </c>
      <c r="J760" s="5">
        <f>IF(A760="","",SUMIFS(Movimientos!$K:$K,Movimientos!$H:$H,A760))</f>
        <v>0</v>
      </c>
      <c r="K760" s="13" t="str">
        <f t="shared" ca="1" si="23"/>
        <v>SIN STOCK</v>
      </c>
    </row>
    <row r="761" spans="1:11">
      <c r="A761" s="16" t="s">
        <v>3066</v>
      </c>
      <c r="B761" s="2" t="str">
        <f>IFERROR(INDEX(Movimientos!$C$2:$C$1993,MATCH(A761&amp;"ENTRADA",Movimientos!$R$2:$R$1993,0)),"-")</f>
        <v>-</v>
      </c>
      <c r="C761" s="2" t="str">
        <f>IFERROR(INDEX(Movimientos!$D$2:$D$1993,MATCH(A761&amp;"ENTRADA",Movimientos!$R$2:$R$1993,0)),"-")</f>
        <v>-</v>
      </c>
      <c r="D761" s="2" t="str">
        <f>IFERROR(INDEX(Movimientos!$E$2:$E$1993,MATCH(A761&amp;"ENTRADA",Movimientos!$R$2:$R$1993,0)),"-")</f>
        <v>-</v>
      </c>
      <c r="E761" s="2" t="str">
        <f>IFERROR(INDEX(Movimientos!$F$2:$F$1993,MATCH(A761&amp;"ENTRADA",Movimientos!$R$2:$R$1993,0)),"-")</f>
        <v>-</v>
      </c>
      <c r="F761" s="2" t="str">
        <f>IFERROR(INDEX(Movimientos!$G$2:$G$1993,MATCH(A761&amp;"ENTRADA",Movimientos!$R$2:$R$1993,0)),"-")</f>
        <v>-</v>
      </c>
      <c r="G761" s="2" t="str">
        <f>IFERROR(INDEX(Movimientos!$L$2:$L$1993,MATCH(A761&amp;"ENTRADA",Movimientos!$R$2:$R$1993,0)),"-")</f>
        <v>-</v>
      </c>
      <c r="H761" s="17" t="str">
        <f>IFERROR(IF(INDEX(Movimientos!$M$2:$M$1993,MATCH(A761&amp;"ENTRADA",Movimientos!$R$2:$R$1993,0))=0,"S/D",INDEX(Movimientos!$M$2:$M$1993,MATCH(A761&amp;"ENTRADA",Movimientos!$R$2:$R$1993,0))),"S/D")</f>
        <v>S/D</v>
      </c>
      <c r="I761" s="15" t="str">
        <f t="shared" ca="1" si="24"/>
        <v>S/D</v>
      </c>
      <c r="J761" s="5">
        <f>IF(A761="","",SUMIFS(Movimientos!$K:$K,Movimientos!$H:$H,A761))</f>
        <v>0</v>
      </c>
      <c r="K761" s="13" t="str">
        <f t="shared" ca="1" si="23"/>
        <v>SIN STOCK</v>
      </c>
    </row>
    <row r="762" spans="1:11">
      <c r="A762" s="16" t="s">
        <v>3067</v>
      </c>
      <c r="B762" s="2" t="str">
        <f>IFERROR(INDEX(Movimientos!$C$2:$C$1993,MATCH(A762&amp;"ENTRADA",Movimientos!$R$2:$R$1993,0)),"-")</f>
        <v>-</v>
      </c>
      <c r="C762" s="2" t="str">
        <f>IFERROR(INDEX(Movimientos!$D$2:$D$1993,MATCH(A762&amp;"ENTRADA",Movimientos!$R$2:$R$1993,0)),"-")</f>
        <v>-</v>
      </c>
      <c r="D762" s="2" t="str">
        <f>IFERROR(INDEX(Movimientos!$E$2:$E$1993,MATCH(A762&amp;"ENTRADA",Movimientos!$R$2:$R$1993,0)),"-")</f>
        <v>-</v>
      </c>
      <c r="E762" s="2" t="str">
        <f>IFERROR(INDEX(Movimientos!$F$2:$F$1993,MATCH(A762&amp;"ENTRADA",Movimientos!$R$2:$R$1993,0)),"-")</f>
        <v>-</v>
      </c>
      <c r="F762" s="2" t="str">
        <f>IFERROR(INDEX(Movimientos!$G$2:$G$1993,MATCH(A762&amp;"ENTRADA",Movimientos!$R$2:$R$1993,0)),"-")</f>
        <v>-</v>
      </c>
      <c r="G762" s="2" t="str">
        <f>IFERROR(INDEX(Movimientos!$L$2:$L$1993,MATCH(A762&amp;"ENTRADA",Movimientos!$R$2:$R$1993,0)),"-")</f>
        <v>-</v>
      </c>
      <c r="H762" s="17" t="str">
        <f>IFERROR(IF(INDEX(Movimientos!$M$2:$M$1993,MATCH(A762&amp;"ENTRADA",Movimientos!$R$2:$R$1993,0))=0,"S/D",INDEX(Movimientos!$M$2:$M$1993,MATCH(A762&amp;"ENTRADA",Movimientos!$R$2:$R$1993,0))),"S/D")</f>
        <v>S/D</v>
      </c>
      <c r="I762" s="15" t="str">
        <f t="shared" ca="1" si="24"/>
        <v>S/D</v>
      </c>
      <c r="J762" s="5">
        <f>IF(A762="","",SUMIFS(Movimientos!$K:$K,Movimientos!$H:$H,A762))</f>
        <v>0</v>
      </c>
      <c r="K762" s="13" t="str">
        <f t="shared" ca="1" si="23"/>
        <v>SIN STOCK</v>
      </c>
    </row>
    <row r="763" spans="1:11">
      <c r="A763" s="16" t="s">
        <v>3068</v>
      </c>
      <c r="B763" s="2" t="str">
        <f>IFERROR(INDEX(Movimientos!$C$2:$C$1993,MATCH(A763&amp;"ENTRADA",Movimientos!$R$2:$R$1993,0)),"-")</f>
        <v>-</v>
      </c>
      <c r="C763" s="2" t="str">
        <f>IFERROR(INDEX(Movimientos!$D$2:$D$1993,MATCH(A763&amp;"ENTRADA",Movimientos!$R$2:$R$1993,0)),"-")</f>
        <v>-</v>
      </c>
      <c r="D763" s="2" t="str">
        <f>IFERROR(INDEX(Movimientos!$E$2:$E$1993,MATCH(A763&amp;"ENTRADA",Movimientos!$R$2:$R$1993,0)),"-")</f>
        <v>-</v>
      </c>
      <c r="E763" s="2" t="str">
        <f>IFERROR(INDEX(Movimientos!$F$2:$F$1993,MATCH(A763&amp;"ENTRADA",Movimientos!$R$2:$R$1993,0)),"-")</f>
        <v>-</v>
      </c>
      <c r="F763" s="2" t="str">
        <f>IFERROR(INDEX(Movimientos!$G$2:$G$1993,MATCH(A763&amp;"ENTRADA",Movimientos!$R$2:$R$1993,0)),"-")</f>
        <v>-</v>
      </c>
      <c r="G763" s="2" t="str">
        <f>IFERROR(INDEX(Movimientos!$L$2:$L$1993,MATCH(A763&amp;"ENTRADA",Movimientos!$R$2:$R$1993,0)),"-")</f>
        <v>-</v>
      </c>
      <c r="H763" s="17" t="str">
        <f>IFERROR(IF(INDEX(Movimientos!$M$2:$M$1993,MATCH(A763&amp;"ENTRADA",Movimientos!$R$2:$R$1993,0))=0,"S/D",INDEX(Movimientos!$M$2:$M$1993,MATCH(A763&amp;"ENTRADA",Movimientos!$R$2:$R$1993,0))),"S/D")</f>
        <v>S/D</v>
      </c>
      <c r="I763" s="15" t="str">
        <f t="shared" ca="1" si="24"/>
        <v>S/D</v>
      </c>
      <c r="J763" s="5">
        <f>IF(A763="","",SUMIFS(Movimientos!$K:$K,Movimientos!$H:$H,A763))</f>
        <v>0</v>
      </c>
      <c r="K763" s="13" t="str">
        <f t="shared" ca="1" si="23"/>
        <v>SIN STOCK</v>
      </c>
    </row>
    <row r="764" spans="1:11">
      <c r="A764" s="16" t="s">
        <v>3069</v>
      </c>
      <c r="B764" s="2" t="str">
        <f>IFERROR(INDEX(Movimientos!$C$2:$C$1993,MATCH(A764&amp;"ENTRADA",Movimientos!$R$2:$R$1993,0)),"-")</f>
        <v>-</v>
      </c>
      <c r="C764" s="2" t="str">
        <f>IFERROR(INDEX(Movimientos!$D$2:$D$1993,MATCH(A764&amp;"ENTRADA",Movimientos!$R$2:$R$1993,0)),"-")</f>
        <v>-</v>
      </c>
      <c r="D764" s="2" t="str">
        <f>IFERROR(INDEX(Movimientos!$E$2:$E$1993,MATCH(A764&amp;"ENTRADA",Movimientos!$R$2:$R$1993,0)),"-")</f>
        <v>-</v>
      </c>
      <c r="E764" s="2" t="str">
        <f>IFERROR(INDEX(Movimientos!$F$2:$F$1993,MATCH(A764&amp;"ENTRADA",Movimientos!$R$2:$R$1993,0)),"-")</f>
        <v>-</v>
      </c>
      <c r="F764" s="2" t="str">
        <f>IFERROR(INDEX(Movimientos!$G$2:$G$1993,MATCH(A764&amp;"ENTRADA",Movimientos!$R$2:$R$1993,0)),"-")</f>
        <v>-</v>
      </c>
      <c r="G764" s="2" t="str">
        <f>IFERROR(INDEX(Movimientos!$L$2:$L$1993,MATCH(A764&amp;"ENTRADA",Movimientos!$R$2:$R$1993,0)),"-")</f>
        <v>-</v>
      </c>
      <c r="H764" s="17" t="str">
        <f>IFERROR(IF(INDEX(Movimientos!$M$2:$M$1993,MATCH(A764&amp;"ENTRADA",Movimientos!$R$2:$R$1993,0))=0,"S/D",INDEX(Movimientos!$M$2:$M$1993,MATCH(A764&amp;"ENTRADA",Movimientos!$R$2:$R$1993,0))),"S/D")</f>
        <v>S/D</v>
      </c>
      <c r="I764" s="15" t="str">
        <f t="shared" ca="1" si="24"/>
        <v>S/D</v>
      </c>
      <c r="J764" s="5">
        <f>IF(A764="","",SUMIFS(Movimientos!$K:$K,Movimientos!$H:$H,A764))</f>
        <v>0</v>
      </c>
      <c r="K764" s="13" t="str">
        <f t="shared" ca="1" si="23"/>
        <v>SIN STOCK</v>
      </c>
    </row>
    <row r="765" spans="1:11">
      <c r="A765" s="16" t="s">
        <v>3070</v>
      </c>
      <c r="B765" s="2" t="str">
        <f>IFERROR(INDEX(Movimientos!$C$2:$C$1993,MATCH(A765&amp;"ENTRADA",Movimientos!$R$2:$R$1993,0)),"-")</f>
        <v>-</v>
      </c>
      <c r="C765" s="2" t="str">
        <f>IFERROR(INDEX(Movimientos!$D$2:$D$1993,MATCH(A765&amp;"ENTRADA",Movimientos!$R$2:$R$1993,0)),"-")</f>
        <v>-</v>
      </c>
      <c r="D765" s="2" t="str">
        <f>IFERROR(INDEX(Movimientos!$E$2:$E$1993,MATCH(A765&amp;"ENTRADA",Movimientos!$R$2:$R$1993,0)),"-")</f>
        <v>-</v>
      </c>
      <c r="E765" s="2" t="str">
        <f>IFERROR(INDEX(Movimientos!$F$2:$F$1993,MATCH(A765&amp;"ENTRADA",Movimientos!$R$2:$R$1993,0)),"-")</f>
        <v>-</v>
      </c>
      <c r="F765" s="2" t="str">
        <f>IFERROR(INDEX(Movimientos!$G$2:$G$1993,MATCH(A765&amp;"ENTRADA",Movimientos!$R$2:$R$1993,0)),"-")</f>
        <v>-</v>
      </c>
      <c r="G765" s="2" t="str">
        <f>IFERROR(INDEX(Movimientos!$L$2:$L$1993,MATCH(A765&amp;"ENTRADA",Movimientos!$R$2:$R$1993,0)),"-")</f>
        <v>-</v>
      </c>
      <c r="H765" s="17" t="str">
        <f>IFERROR(IF(INDEX(Movimientos!$M$2:$M$1993,MATCH(A765&amp;"ENTRADA",Movimientos!$R$2:$R$1993,0))=0,"S/D",INDEX(Movimientos!$M$2:$M$1993,MATCH(A765&amp;"ENTRADA",Movimientos!$R$2:$R$1993,0))),"S/D")</f>
        <v>S/D</v>
      </c>
      <c r="I765" s="15" t="str">
        <f t="shared" ca="1" si="24"/>
        <v>S/D</v>
      </c>
      <c r="J765" s="5">
        <f>IF(A765="","",SUMIFS(Movimientos!$K:$K,Movimientos!$H:$H,A765))</f>
        <v>0</v>
      </c>
      <c r="K765" s="13" t="str">
        <f t="shared" ca="1" si="23"/>
        <v>SIN STOCK</v>
      </c>
    </row>
    <row r="766" spans="1:11">
      <c r="A766" s="16" t="s">
        <v>3071</v>
      </c>
      <c r="B766" s="2" t="str">
        <f>IFERROR(INDEX(Movimientos!$C$2:$C$1993,MATCH(A766&amp;"ENTRADA",Movimientos!$R$2:$R$1993,0)),"-")</f>
        <v>-</v>
      </c>
      <c r="C766" s="2" t="str">
        <f>IFERROR(INDEX(Movimientos!$D$2:$D$1993,MATCH(A766&amp;"ENTRADA",Movimientos!$R$2:$R$1993,0)),"-")</f>
        <v>-</v>
      </c>
      <c r="D766" s="2" t="str">
        <f>IFERROR(INDEX(Movimientos!$E$2:$E$1993,MATCH(A766&amp;"ENTRADA",Movimientos!$R$2:$R$1993,0)),"-")</f>
        <v>-</v>
      </c>
      <c r="E766" s="2" t="str">
        <f>IFERROR(INDEX(Movimientos!$F$2:$F$1993,MATCH(A766&amp;"ENTRADA",Movimientos!$R$2:$R$1993,0)),"-")</f>
        <v>-</v>
      </c>
      <c r="F766" s="2" t="str">
        <f>IFERROR(INDEX(Movimientos!$G$2:$G$1993,MATCH(A766&amp;"ENTRADA",Movimientos!$R$2:$R$1993,0)),"-")</f>
        <v>-</v>
      </c>
      <c r="G766" s="2" t="str">
        <f>IFERROR(INDEX(Movimientos!$L$2:$L$1993,MATCH(A766&amp;"ENTRADA",Movimientos!$R$2:$R$1993,0)),"-")</f>
        <v>-</v>
      </c>
      <c r="H766" s="17" t="str">
        <f>IFERROR(IF(INDEX(Movimientos!$M$2:$M$1993,MATCH(A766&amp;"ENTRADA",Movimientos!$R$2:$R$1993,0))=0,"S/D",INDEX(Movimientos!$M$2:$M$1993,MATCH(A766&amp;"ENTRADA",Movimientos!$R$2:$R$1993,0))),"S/D")</f>
        <v>S/D</v>
      </c>
      <c r="I766" s="15" t="str">
        <f t="shared" ca="1" si="24"/>
        <v>S/D</v>
      </c>
      <c r="J766" s="5">
        <f>IF(A766="","",SUMIFS(Movimientos!$K:$K,Movimientos!$H:$H,A766))</f>
        <v>0</v>
      </c>
      <c r="K766" s="13" t="str">
        <f t="shared" ref="K766:K829" ca="1" si="25">IF(A766="","",IF(J766&lt;0.01,"SIN STOCK",IF(H766="S/D","OK",IF(H766&lt;TODAY(),"VENCIDO",IF(I766&gt;=180,"OK","PRÓXIMO A VENCER")))))</f>
        <v>SIN STOCK</v>
      </c>
    </row>
    <row r="767" spans="1:11">
      <c r="A767" s="16" t="s">
        <v>3072</v>
      </c>
      <c r="B767" s="2" t="str">
        <f>IFERROR(INDEX(Movimientos!$C$2:$C$1993,MATCH(A767&amp;"ENTRADA",Movimientos!$R$2:$R$1993,0)),"-")</f>
        <v>-</v>
      </c>
      <c r="C767" s="2" t="str">
        <f>IFERROR(INDEX(Movimientos!$D$2:$D$1993,MATCH(A767&amp;"ENTRADA",Movimientos!$R$2:$R$1993,0)),"-")</f>
        <v>-</v>
      </c>
      <c r="D767" s="2" t="str">
        <f>IFERROR(INDEX(Movimientos!$E$2:$E$1993,MATCH(A767&amp;"ENTRADA",Movimientos!$R$2:$R$1993,0)),"-")</f>
        <v>-</v>
      </c>
      <c r="E767" s="2" t="str">
        <f>IFERROR(INDEX(Movimientos!$F$2:$F$1993,MATCH(A767&amp;"ENTRADA",Movimientos!$R$2:$R$1993,0)),"-")</f>
        <v>-</v>
      </c>
      <c r="F767" s="2" t="str">
        <f>IFERROR(INDEX(Movimientos!$G$2:$G$1993,MATCH(A767&amp;"ENTRADA",Movimientos!$R$2:$R$1993,0)),"-")</f>
        <v>-</v>
      </c>
      <c r="G767" s="2" t="str">
        <f>IFERROR(INDEX(Movimientos!$L$2:$L$1993,MATCH(A767&amp;"ENTRADA",Movimientos!$R$2:$R$1993,0)),"-")</f>
        <v>-</v>
      </c>
      <c r="H767" s="17" t="str">
        <f>IFERROR(IF(INDEX(Movimientos!$M$2:$M$1993,MATCH(A767&amp;"ENTRADA",Movimientos!$R$2:$R$1993,0))=0,"S/D",INDEX(Movimientos!$M$2:$M$1993,MATCH(A767&amp;"ENTRADA",Movimientos!$R$2:$R$1993,0))),"S/D")</f>
        <v>S/D</v>
      </c>
      <c r="I767" s="15" t="str">
        <f t="shared" ca="1" si="24"/>
        <v>S/D</v>
      </c>
      <c r="J767" s="5">
        <f>IF(A767="","",SUMIFS(Movimientos!$K:$K,Movimientos!$H:$H,A767))</f>
        <v>0</v>
      </c>
      <c r="K767" s="13" t="str">
        <f t="shared" ca="1" si="25"/>
        <v>SIN STOCK</v>
      </c>
    </row>
    <row r="768" spans="1:11">
      <c r="A768" s="16" t="s">
        <v>3073</v>
      </c>
      <c r="B768" s="2" t="str">
        <f>IFERROR(INDEX(Movimientos!$C$2:$C$1993,MATCH(A768&amp;"ENTRADA",Movimientos!$R$2:$R$1993,0)),"-")</f>
        <v>-</v>
      </c>
      <c r="C768" s="2" t="str">
        <f>IFERROR(INDEX(Movimientos!$D$2:$D$1993,MATCH(A768&amp;"ENTRADA",Movimientos!$R$2:$R$1993,0)),"-")</f>
        <v>-</v>
      </c>
      <c r="D768" s="2" t="str">
        <f>IFERROR(INDEX(Movimientos!$E$2:$E$1993,MATCH(A768&amp;"ENTRADA",Movimientos!$R$2:$R$1993,0)),"-")</f>
        <v>-</v>
      </c>
      <c r="E768" s="2" t="str">
        <f>IFERROR(INDEX(Movimientos!$F$2:$F$1993,MATCH(A768&amp;"ENTRADA",Movimientos!$R$2:$R$1993,0)),"-")</f>
        <v>-</v>
      </c>
      <c r="F768" s="2" t="str">
        <f>IFERROR(INDEX(Movimientos!$G$2:$G$1993,MATCH(A768&amp;"ENTRADA",Movimientos!$R$2:$R$1993,0)),"-")</f>
        <v>-</v>
      </c>
      <c r="G768" s="2" t="str">
        <f>IFERROR(INDEX(Movimientos!$L$2:$L$1993,MATCH(A768&amp;"ENTRADA",Movimientos!$R$2:$R$1993,0)),"-")</f>
        <v>-</v>
      </c>
      <c r="H768" s="17" t="str">
        <f>IFERROR(IF(INDEX(Movimientos!$M$2:$M$1993,MATCH(A768&amp;"ENTRADA",Movimientos!$R$2:$R$1993,0))=0,"S/D",INDEX(Movimientos!$M$2:$M$1993,MATCH(A768&amp;"ENTRADA",Movimientos!$R$2:$R$1993,0))),"S/D")</f>
        <v>S/D</v>
      </c>
      <c r="I768" s="15" t="str">
        <f t="shared" ca="1" si="24"/>
        <v>S/D</v>
      </c>
      <c r="J768" s="5">
        <f>IF(A768="","",SUMIFS(Movimientos!$K:$K,Movimientos!$H:$H,A768))</f>
        <v>0</v>
      </c>
      <c r="K768" s="13" t="str">
        <f t="shared" ca="1" si="25"/>
        <v>SIN STOCK</v>
      </c>
    </row>
    <row r="769" spans="1:11">
      <c r="A769" s="16" t="s">
        <v>3074</v>
      </c>
      <c r="B769" s="2" t="str">
        <f>IFERROR(INDEX(Movimientos!$C$2:$C$1993,MATCH(A769&amp;"ENTRADA",Movimientos!$R$2:$R$1993,0)),"-")</f>
        <v>-</v>
      </c>
      <c r="C769" s="2" t="str">
        <f>IFERROR(INDEX(Movimientos!$D$2:$D$1993,MATCH(A769&amp;"ENTRADA",Movimientos!$R$2:$R$1993,0)),"-")</f>
        <v>-</v>
      </c>
      <c r="D769" s="2" t="str">
        <f>IFERROR(INDEX(Movimientos!$E$2:$E$1993,MATCH(A769&amp;"ENTRADA",Movimientos!$R$2:$R$1993,0)),"-")</f>
        <v>-</v>
      </c>
      <c r="E769" s="2" t="str">
        <f>IFERROR(INDEX(Movimientos!$F$2:$F$1993,MATCH(A769&amp;"ENTRADA",Movimientos!$R$2:$R$1993,0)),"-")</f>
        <v>-</v>
      </c>
      <c r="F769" s="2" t="str">
        <f>IFERROR(INDEX(Movimientos!$G$2:$G$1993,MATCH(A769&amp;"ENTRADA",Movimientos!$R$2:$R$1993,0)),"-")</f>
        <v>-</v>
      </c>
      <c r="G769" s="2" t="str">
        <f>IFERROR(INDEX(Movimientos!$L$2:$L$1993,MATCH(A769&amp;"ENTRADA",Movimientos!$R$2:$R$1993,0)),"-")</f>
        <v>-</v>
      </c>
      <c r="H769" s="17" t="str">
        <f>IFERROR(IF(INDEX(Movimientos!$M$2:$M$1993,MATCH(A769&amp;"ENTRADA",Movimientos!$R$2:$R$1993,0))=0,"S/D",INDEX(Movimientos!$M$2:$M$1993,MATCH(A769&amp;"ENTRADA",Movimientos!$R$2:$R$1993,0))),"S/D")</f>
        <v>S/D</v>
      </c>
      <c r="I769" s="15" t="str">
        <f t="shared" ca="1" si="24"/>
        <v>S/D</v>
      </c>
      <c r="J769" s="5">
        <f>IF(A769="","",SUMIFS(Movimientos!$K:$K,Movimientos!$H:$H,A769))</f>
        <v>0</v>
      </c>
      <c r="K769" s="13" t="str">
        <f t="shared" ca="1" si="25"/>
        <v>SIN STOCK</v>
      </c>
    </row>
    <row r="770" spans="1:11">
      <c r="A770" s="16" t="s">
        <v>3075</v>
      </c>
      <c r="B770" s="2" t="str">
        <f>IFERROR(INDEX(Movimientos!$C$2:$C$1993,MATCH(A770&amp;"ENTRADA",Movimientos!$R$2:$R$1993,0)),"-")</f>
        <v>-</v>
      </c>
      <c r="C770" s="2" t="str">
        <f>IFERROR(INDEX(Movimientos!$D$2:$D$1993,MATCH(A770&amp;"ENTRADA",Movimientos!$R$2:$R$1993,0)),"-")</f>
        <v>-</v>
      </c>
      <c r="D770" s="2" t="str">
        <f>IFERROR(INDEX(Movimientos!$E$2:$E$1993,MATCH(A770&amp;"ENTRADA",Movimientos!$R$2:$R$1993,0)),"-")</f>
        <v>-</v>
      </c>
      <c r="E770" s="2" t="str">
        <f>IFERROR(INDEX(Movimientos!$F$2:$F$1993,MATCH(A770&amp;"ENTRADA",Movimientos!$R$2:$R$1993,0)),"-")</f>
        <v>-</v>
      </c>
      <c r="F770" s="2" t="str">
        <f>IFERROR(INDEX(Movimientos!$G$2:$G$1993,MATCH(A770&amp;"ENTRADA",Movimientos!$R$2:$R$1993,0)),"-")</f>
        <v>-</v>
      </c>
      <c r="G770" s="2" t="str">
        <f>IFERROR(INDEX(Movimientos!$L$2:$L$1993,MATCH(A770&amp;"ENTRADA",Movimientos!$R$2:$R$1993,0)),"-")</f>
        <v>-</v>
      </c>
      <c r="H770" s="17" t="str">
        <f>IFERROR(IF(INDEX(Movimientos!$M$2:$M$1993,MATCH(A770&amp;"ENTRADA",Movimientos!$R$2:$R$1993,0))=0,"S/D",INDEX(Movimientos!$M$2:$M$1993,MATCH(A770&amp;"ENTRADA",Movimientos!$R$2:$R$1993,0))),"S/D")</f>
        <v>S/D</v>
      </c>
      <c r="I770" s="15" t="str">
        <f t="shared" ca="1" si="24"/>
        <v>S/D</v>
      </c>
      <c r="J770" s="5">
        <f>IF(A770="","",SUMIFS(Movimientos!$K:$K,Movimientos!$H:$H,A770))</f>
        <v>0</v>
      </c>
      <c r="K770" s="13" t="str">
        <f t="shared" ca="1" si="25"/>
        <v>SIN STOCK</v>
      </c>
    </row>
    <row r="771" spans="1:11">
      <c r="A771" s="16" t="s">
        <v>3076</v>
      </c>
      <c r="B771" s="2" t="str">
        <f>IFERROR(INDEX(Movimientos!$C$2:$C$1993,MATCH(A771&amp;"ENTRADA",Movimientos!$R$2:$R$1993,0)),"-")</f>
        <v>-</v>
      </c>
      <c r="C771" s="2" t="str">
        <f>IFERROR(INDEX(Movimientos!$D$2:$D$1993,MATCH(A771&amp;"ENTRADA",Movimientos!$R$2:$R$1993,0)),"-")</f>
        <v>-</v>
      </c>
      <c r="D771" s="2" t="str">
        <f>IFERROR(INDEX(Movimientos!$E$2:$E$1993,MATCH(A771&amp;"ENTRADA",Movimientos!$R$2:$R$1993,0)),"-")</f>
        <v>-</v>
      </c>
      <c r="E771" s="2" t="str">
        <f>IFERROR(INDEX(Movimientos!$F$2:$F$1993,MATCH(A771&amp;"ENTRADA",Movimientos!$R$2:$R$1993,0)),"-")</f>
        <v>-</v>
      </c>
      <c r="F771" s="2" t="str">
        <f>IFERROR(INDEX(Movimientos!$G$2:$G$1993,MATCH(A771&amp;"ENTRADA",Movimientos!$R$2:$R$1993,0)),"-")</f>
        <v>-</v>
      </c>
      <c r="G771" s="2" t="str">
        <f>IFERROR(INDEX(Movimientos!$L$2:$L$1993,MATCH(A771&amp;"ENTRADA",Movimientos!$R$2:$R$1993,0)),"-")</f>
        <v>-</v>
      </c>
      <c r="H771" s="17" t="str">
        <f>IFERROR(IF(INDEX(Movimientos!$M$2:$M$1993,MATCH(A771&amp;"ENTRADA",Movimientos!$R$2:$R$1993,0))=0,"S/D",INDEX(Movimientos!$M$2:$M$1993,MATCH(A771&amp;"ENTRADA",Movimientos!$R$2:$R$1993,0))),"S/D")</f>
        <v>S/D</v>
      </c>
      <c r="I771" s="15" t="str">
        <f t="shared" ca="1" si="24"/>
        <v>S/D</v>
      </c>
      <c r="J771" s="5">
        <f>IF(A771="","",SUMIFS(Movimientos!$K:$K,Movimientos!$H:$H,A771))</f>
        <v>0</v>
      </c>
      <c r="K771" s="13" t="str">
        <f t="shared" ca="1" si="25"/>
        <v>SIN STOCK</v>
      </c>
    </row>
    <row r="772" spans="1:11">
      <c r="A772" s="16" t="s">
        <v>3077</v>
      </c>
      <c r="B772" s="2" t="str">
        <f>IFERROR(INDEX(Movimientos!$C$2:$C$1993,MATCH(A772&amp;"ENTRADA",Movimientos!$R$2:$R$1993,0)),"-")</f>
        <v>-</v>
      </c>
      <c r="C772" s="2" t="str">
        <f>IFERROR(INDEX(Movimientos!$D$2:$D$1993,MATCH(A772&amp;"ENTRADA",Movimientos!$R$2:$R$1993,0)),"-")</f>
        <v>-</v>
      </c>
      <c r="D772" s="2" t="str">
        <f>IFERROR(INDEX(Movimientos!$E$2:$E$1993,MATCH(A772&amp;"ENTRADA",Movimientos!$R$2:$R$1993,0)),"-")</f>
        <v>-</v>
      </c>
      <c r="E772" s="2" t="str">
        <f>IFERROR(INDEX(Movimientos!$F$2:$F$1993,MATCH(A772&amp;"ENTRADA",Movimientos!$R$2:$R$1993,0)),"-")</f>
        <v>-</v>
      </c>
      <c r="F772" s="2" t="str">
        <f>IFERROR(INDEX(Movimientos!$G$2:$G$1993,MATCH(A772&amp;"ENTRADA",Movimientos!$R$2:$R$1993,0)),"-")</f>
        <v>-</v>
      </c>
      <c r="G772" s="2" t="str">
        <f>IFERROR(INDEX(Movimientos!$L$2:$L$1993,MATCH(A772&amp;"ENTRADA",Movimientos!$R$2:$R$1993,0)),"-")</f>
        <v>-</v>
      </c>
      <c r="H772" s="17" t="str">
        <f>IFERROR(IF(INDEX(Movimientos!$M$2:$M$1993,MATCH(A772&amp;"ENTRADA",Movimientos!$R$2:$R$1993,0))=0,"S/D",INDEX(Movimientos!$M$2:$M$1993,MATCH(A772&amp;"ENTRADA",Movimientos!$R$2:$R$1993,0))),"S/D")</f>
        <v>S/D</v>
      </c>
      <c r="I772" s="15" t="str">
        <f t="shared" ca="1" si="24"/>
        <v>S/D</v>
      </c>
      <c r="J772" s="5">
        <f>IF(A772="","",SUMIFS(Movimientos!$K:$K,Movimientos!$H:$H,A772))</f>
        <v>0</v>
      </c>
      <c r="K772" s="13" t="str">
        <f t="shared" ca="1" si="25"/>
        <v>SIN STOCK</v>
      </c>
    </row>
    <row r="773" spans="1:11">
      <c r="A773" s="16" t="s">
        <v>3078</v>
      </c>
      <c r="B773" s="2" t="str">
        <f>IFERROR(INDEX(Movimientos!$C$2:$C$1993,MATCH(A773&amp;"ENTRADA",Movimientos!$R$2:$R$1993,0)),"-")</f>
        <v>-</v>
      </c>
      <c r="C773" s="2" t="str">
        <f>IFERROR(INDEX(Movimientos!$D$2:$D$1993,MATCH(A773&amp;"ENTRADA",Movimientos!$R$2:$R$1993,0)),"-")</f>
        <v>-</v>
      </c>
      <c r="D773" s="2" t="str">
        <f>IFERROR(INDEX(Movimientos!$E$2:$E$1993,MATCH(A773&amp;"ENTRADA",Movimientos!$R$2:$R$1993,0)),"-")</f>
        <v>-</v>
      </c>
      <c r="E773" s="2" t="str">
        <f>IFERROR(INDEX(Movimientos!$F$2:$F$1993,MATCH(A773&amp;"ENTRADA",Movimientos!$R$2:$R$1993,0)),"-")</f>
        <v>-</v>
      </c>
      <c r="F773" s="2" t="str">
        <f>IFERROR(INDEX(Movimientos!$G$2:$G$1993,MATCH(A773&amp;"ENTRADA",Movimientos!$R$2:$R$1993,0)),"-")</f>
        <v>-</v>
      </c>
      <c r="G773" s="2" t="str">
        <f>IFERROR(INDEX(Movimientos!$L$2:$L$1993,MATCH(A773&amp;"ENTRADA",Movimientos!$R$2:$R$1993,0)),"-")</f>
        <v>-</v>
      </c>
      <c r="H773" s="17" t="str">
        <f>IFERROR(IF(INDEX(Movimientos!$M$2:$M$1993,MATCH(A773&amp;"ENTRADA",Movimientos!$R$2:$R$1993,0))=0,"S/D",INDEX(Movimientos!$M$2:$M$1993,MATCH(A773&amp;"ENTRADA",Movimientos!$R$2:$R$1993,0))),"S/D")</f>
        <v>S/D</v>
      </c>
      <c r="I773" s="15" t="str">
        <f t="shared" ref="I773:I836" ca="1" si="26">IF(OR(A773="",H773="S/D"),"S/D",H773-TODAY())</f>
        <v>S/D</v>
      </c>
      <c r="J773" s="5">
        <f>IF(A773="","",SUMIFS(Movimientos!$K:$K,Movimientos!$H:$H,A773))</f>
        <v>0</v>
      </c>
      <c r="K773" s="13" t="str">
        <f t="shared" ca="1" si="25"/>
        <v>SIN STOCK</v>
      </c>
    </row>
    <row r="774" spans="1:11">
      <c r="A774" s="16" t="s">
        <v>3079</v>
      </c>
      <c r="B774" s="2" t="str">
        <f>IFERROR(INDEX(Movimientos!$C$2:$C$1993,MATCH(A774&amp;"ENTRADA",Movimientos!$R$2:$R$1993,0)),"-")</f>
        <v>-</v>
      </c>
      <c r="C774" s="2" t="str">
        <f>IFERROR(INDEX(Movimientos!$D$2:$D$1993,MATCH(A774&amp;"ENTRADA",Movimientos!$R$2:$R$1993,0)),"-")</f>
        <v>-</v>
      </c>
      <c r="D774" s="2" t="str">
        <f>IFERROR(INDEX(Movimientos!$E$2:$E$1993,MATCH(A774&amp;"ENTRADA",Movimientos!$R$2:$R$1993,0)),"-")</f>
        <v>-</v>
      </c>
      <c r="E774" s="2" t="str">
        <f>IFERROR(INDEX(Movimientos!$F$2:$F$1993,MATCH(A774&amp;"ENTRADA",Movimientos!$R$2:$R$1993,0)),"-")</f>
        <v>-</v>
      </c>
      <c r="F774" s="2" t="str">
        <f>IFERROR(INDEX(Movimientos!$G$2:$G$1993,MATCH(A774&amp;"ENTRADA",Movimientos!$R$2:$R$1993,0)),"-")</f>
        <v>-</v>
      </c>
      <c r="G774" s="2" t="str">
        <f>IFERROR(INDEX(Movimientos!$L$2:$L$1993,MATCH(A774&amp;"ENTRADA",Movimientos!$R$2:$R$1993,0)),"-")</f>
        <v>-</v>
      </c>
      <c r="H774" s="17" t="str">
        <f>IFERROR(IF(INDEX(Movimientos!$M$2:$M$1993,MATCH(A774&amp;"ENTRADA",Movimientos!$R$2:$R$1993,0))=0,"S/D",INDEX(Movimientos!$M$2:$M$1993,MATCH(A774&amp;"ENTRADA",Movimientos!$R$2:$R$1993,0))),"S/D")</f>
        <v>S/D</v>
      </c>
      <c r="I774" s="15" t="str">
        <f t="shared" ca="1" si="26"/>
        <v>S/D</v>
      </c>
      <c r="J774" s="5">
        <f>IF(A774="","",SUMIFS(Movimientos!$K:$K,Movimientos!$H:$H,A774))</f>
        <v>0</v>
      </c>
      <c r="K774" s="13" t="str">
        <f t="shared" ca="1" si="25"/>
        <v>SIN STOCK</v>
      </c>
    </row>
    <row r="775" spans="1:11">
      <c r="A775" s="16" t="s">
        <v>3080</v>
      </c>
      <c r="B775" s="2" t="str">
        <f>IFERROR(INDEX(Movimientos!$C$2:$C$1993,MATCH(A775&amp;"ENTRADA",Movimientos!$R$2:$R$1993,0)),"-")</f>
        <v>-</v>
      </c>
      <c r="C775" s="2" t="str">
        <f>IFERROR(INDEX(Movimientos!$D$2:$D$1993,MATCH(A775&amp;"ENTRADA",Movimientos!$R$2:$R$1993,0)),"-")</f>
        <v>-</v>
      </c>
      <c r="D775" s="2" t="str">
        <f>IFERROR(INDEX(Movimientos!$E$2:$E$1993,MATCH(A775&amp;"ENTRADA",Movimientos!$R$2:$R$1993,0)),"-")</f>
        <v>-</v>
      </c>
      <c r="E775" s="2" t="str">
        <f>IFERROR(INDEX(Movimientos!$F$2:$F$1993,MATCH(A775&amp;"ENTRADA",Movimientos!$R$2:$R$1993,0)),"-")</f>
        <v>-</v>
      </c>
      <c r="F775" s="2" t="str">
        <f>IFERROR(INDEX(Movimientos!$G$2:$G$1993,MATCH(A775&amp;"ENTRADA",Movimientos!$R$2:$R$1993,0)),"-")</f>
        <v>-</v>
      </c>
      <c r="G775" s="2" t="str">
        <f>IFERROR(INDEX(Movimientos!$L$2:$L$1993,MATCH(A775&amp;"ENTRADA",Movimientos!$R$2:$R$1993,0)),"-")</f>
        <v>-</v>
      </c>
      <c r="H775" s="17" t="str">
        <f>IFERROR(IF(INDEX(Movimientos!$M$2:$M$1993,MATCH(A775&amp;"ENTRADA",Movimientos!$R$2:$R$1993,0))=0,"S/D",INDEX(Movimientos!$M$2:$M$1993,MATCH(A775&amp;"ENTRADA",Movimientos!$R$2:$R$1993,0))),"S/D")</f>
        <v>S/D</v>
      </c>
      <c r="I775" s="15" t="str">
        <f t="shared" ca="1" si="26"/>
        <v>S/D</v>
      </c>
      <c r="J775" s="5">
        <f>IF(A775="","",SUMIFS(Movimientos!$K:$K,Movimientos!$H:$H,A775))</f>
        <v>0</v>
      </c>
      <c r="K775" s="13" t="str">
        <f t="shared" ca="1" si="25"/>
        <v>SIN STOCK</v>
      </c>
    </row>
    <row r="776" spans="1:11">
      <c r="A776" s="16" t="s">
        <v>3081</v>
      </c>
      <c r="B776" s="2" t="str">
        <f>IFERROR(INDEX(Movimientos!$C$2:$C$1993,MATCH(A776&amp;"ENTRADA",Movimientos!$R$2:$R$1993,0)),"-")</f>
        <v>-</v>
      </c>
      <c r="C776" s="2" t="str">
        <f>IFERROR(INDEX(Movimientos!$D$2:$D$1993,MATCH(A776&amp;"ENTRADA",Movimientos!$R$2:$R$1993,0)),"-")</f>
        <v>-</v>
      </c>
      <c r="D776" s="2" t="str">
        <f>IFERROR(INDEX(Movimientos!$E$2:$E$1993,MATCH(A776&amp;"ENTRADA",Movimientos!$R$2:$R$1993,0)),"-")</f>
        <v>-</v>
      </c>
      <c r="E776" s="2" t="str">
        <f>IFERROR(INDEX(Movimientos!$F$2:$F$1993,MATCH(A776&amp;"ENTRADA",Movimientos!$R$2:$R$1993,0)),"-")</f>
        <v>-</v>
      </c>
      <c r="F776" s="2" t="str">
        <f>IFERROR(INDEX(Movimientos!$G$2:$G$1993,MATCH(A776&amp;"ENTRADA",Movimientos!$R$2:$R$1993,0)),"-")</f>
        <v>-</v>
      </c>
      <c r="G776" s="2" t="str">
        <f>IFERROR(INDEX(Movimientos!$L$2:$L$1993,MATCH(A776&amp;"ENTRADA",Movimientos!$R$2:$R$1993,0)),"-")</f>
        <v>-</v>
      </c>
      <c r="H776" s="17" t="str">
        <f>IFERROR(IF(INDEX(Movimientos!$M$2:$M$1993,MATCH(A776&amp;"ENTRADA",Movimientos!$R$2:$R$1993,0))=0,"S/D",INDEX(Movimientos!$M$2:$M$1993,MATCH(A776&amp;"ENTRADA",Movimientos!$R$2:$R$1993,0))),"S/D")</f>
        <v>S/D</v>
      </c>
      <c r="I776" s="15" t="str">
        <f t="shared" ca="1" si="26"/>
        <v>S/D</v>
      </c>
      <c r="J776" s="5">
        <f>IF(A776="","",SUMIFS(Movimientos!$K:$K,Movimientos!$H:$H,A776))</f>
        <v>0</v>
      </c>
      <c r="K776" s="13" t="str">
        <f t="shared" ca="1" si="25"/>
        <v>SIN STOCK</v>
      </c>
    </row>
    <row r="777" spans="1:11">
      <c r="A777" s="16" t="s">
        <v>3082</v>
      </c>
      <c r="B777" s="2" t="str">
        <f>IFERROR(INDEX(Movimientos!$C$2:$C$1993,MATCH(A777&amp;"ENTRADA",Movimientos!$R$2:$R$1993,0)),"-")</f>
        <v>-</v>
      </c>
      <c r="C777" s="2" t="str">
        <f>IFERROR(INDEX(Movimientos!$D$2:$D$1993,MATCH(A777&amp;"ENTRADA",Movimientos!$R$2:$R$1993,0)),"-")</f>
        <v>-</v>
      </c>
      <c r="D777" s="2" t="str">
        <f>IFERROR(INDEX(Movimientos!$E$2:$E$1993,MATCH(A777&amp;"ENTRADA",Movimientos!$R$2:$R$1993,0)),"-")</f>
        <v>-</v>
      </c>
      <c r="E777" s="2" t="str">
        <f>IFERROR(INDEX(Movimientos!$F$2:$F$1993,MATCH(A777&amp;"ENTRADA",Movimientos!$R$2:$R$1993,0)),"-")</f>
        <v>-</v>
      </c>
      <c r="F777" s="2" t="str">
        <f>IFERROR(INDEX(Movimientos!$G$2:$G$1993,MATCH(A777&amp;"ENTRADA",Movimientos!$R$2:$R$1993,0)),"-")</f>
        <v>-</v>
      </c>
      <c r="G777" s="2" t="str">
        <f>IFERROR(INDEX(Movimientos!$L$2:$L$1993,MATCH(A777&amp;"ENTRADA",Movimientos!$R$2:$R$1993,0)),"-")</f>
        <v>-</v>
      </c>
      <c r="H777" s="17" t="str">
        <f>IFERROR(IF(INDEX(Movimientos!$M$2:$M$1993,MATCH(A777&amp;"ENTRADA",Movimientos!$R$2:$R$1993,0))=0,"S/D",INDEX(Movimientos!$M$2:$M$1993,MATCH(A777&amp;"ENTRADA",Movimientos!$R$2:$R$1993,0))),"S/D")</f>
        <v>S/D</v>
      </c>
      <c r="I777" s="15" t="str">
        <f t="shared" ca="1" si="26"/>
        <v>S/D</v>
      </c>
      <c r="J777" s="5">
        <f>IF(A777="","",SUMIFS(Movimientos!$K:$K,Movimientos!$H:$H,A777))</f>
        <v>0</v>
      </c>
      <c r="K777" s="13" t="str">
        <f t="shared" ca="1" si="25"/>
        <v>SIN STOCK</v>
      </c>
    </row>
    <row r="778" spans="1:11">
      <c r="A778" s="16" t="s">
        <v>3083</v>
      </c>
      <c r="B778" s="2" t="str">
        <f>IFERROR(INDEX(Movimientos!$C$2:$C$1993,MATCH(A778&amp;"ENTRADA",Movimientos!$R$2:$R$1993,0)),"-")</f>
        <v>-</v>
      </c>
      <c r="C778" s="2" t="str">
        <f>IFERROR(INDEX(Movimientos!$D$2:$D$1993,MATCH(A778&amp;"ENTRADA",Movimientos!$R$2:$R$1993,0)),"-")</f>
        <v>-</v>
      </c>
      <c r="D778" s="2" t="str">
        <f>IFERROR(INDEX(Movimientos!$E$2:$E$1993,MATCH(A778&amp;"ENTRADA",Movimientos!$R$2:$R$1993,0)),"-")</f>
        <v>-</v>
      </c>
      <c r="E778" s="2" t="str">
        <f>IFERROR(INDEX(Movimientos!$F$2:$F$1993,MATCH(A778&amp;"ENTRADA",Movimientos!$R$2:$R$1993,0)),"-")</f>
        <v>-</v>
      </c>
      <c r="F778" s="2" t="str">
        <f>IFERROR(INDEX(Movimientos!$G$2:$G$1993,MATCH(A778&amp;"ENTRADA",Movimientos!$R$2:$R$1993,0)),"-")</f>
        <v>-</v>
      </c>
      <c r="G778" s="2" t="str">
        <f>IFERROR(INDEX(Movimientos!$L$2:$L$1993,MATCH(A778&amp;"ENTRADA",Movimientos!$R$2:$R$1993,0)),"-")</f>
        <v>-</v>
      </c>
      <c r="H778" s="17" t="str">
        <f>IFERROR(IF(INDEX(Movimientos!$M$2:$M$1993,MATCH(A778&amp;"ENTRADA",Movimientos!$R$2:$R$1993,0))=0,"S/D",INDEX(Movimientos!$M$2:$M$1993,MATCH(A778&amp;"ENTRADA",Movimientos!$R$2:$R$1993,0))),"S/D")</f>
        <v>S/D</v>
      </c>
      <c r="I778" s="15" t="str">
        <f t="shared" ca="1" si="26"/>
        <v>S/D</v>
      </c>
      <c r="J778" s="5">
        <f>IF(A778="","",SUMIFS(Movimientos!$K:$K,Movimientos!$H:$H,A778))</f>
        <v>0</v>
      </c>
      <c r="K778" s="13" t="str">
        <f t="shared" ca="1" si="25"/>
        <v>SIN STOCK</v>
      </c>
    </row>
    <row r="779" spans="1:11">
      <c r="A779" s="16" t="s">
        <v>3084</v>
      </c>
      <c r="B779" s="2" t="str">
        <f>IFERROR(INDEX(Movimientos!$C$2:$C$1993,MATCH(A779&amp;"ENTRADA",Movimientos!$R$2:$R$1993,0)),"-")</f>
        <v>-</v>
      </c>
      <c r="C779" s="2" t="str">
        <f>IFERROR(INDEX(Movimientos!$D$2:$D$1993,MATCH(A779&amp;"ENTRADA",Movimientos!$R$2:$R$1993,0)),"-")</f>
        <v>-</v>
      </c>
      <c r="D779" s="2" t="str">
        <f>IFERROR(INDEX(Movimientos!$E$2:$E$1993,MATCH(A779&amp;"ENTRADA",Movimientos!$R$2:$R$1993,0)),"-")</f>
        <v>-</v>
      </c>
      <c r="E779" s="2" t="str">
        <f>IFERROR(INDEX(Movimientos!$F$2:$F$1993,MATCH(A779&amp;"ENTRADA",Movimientos!$R$2:$R$1993,0)),"-")</f>
        <v>-</v>
      </c>
      <c r="F779" s="2" t="str">
        <f>IFERROR(INDEX(Movimientos!$G$2:$G$1993,MATCH(A779&amp;"ENTRADA",Movimientos!$R$2:$R$1993,0)),"-")</f>
        <v>-</v>
      </c>
      <c r="G779" s="2" t="str">
        <f>IFERROR(INDEX(Movimientos!$L$2:$L$1993,MATCH(A779&amp;"ENTRADA",Movimientos!$R$2:$R$1993,0)),"-")</f>
        <v>-</v>
      </c>
      <c r="H779" s="17" t="str">
        <f>IFERROR(IF(INDEX(Movimientos!$M$2:$M$1993,MATCH(A779&amp;"ENTRADA",Movimientos!$R$2:$R$1993,0))=0,"S/D",INDEX(Movimientos!$M$2:$M$1993,MATCH(A779&amp;"ENTRADA",Movimientos!$R$2:$R$1993,0))),"S/D")</f>
        <v>S/D</v>
      </c>
      <c r="I779" s="15" t="str">
        <f t="shared" ca="1" si="26"/>
        <v>S/D</v>
      </c>
      <c r="J779" s="5">
        <f>IF(A779="","",SUMIFS(Movimientos!$K:$K,Movimientos!$H:$H,A779))</f>
        <v>0</v>
      </c>
      <c r="K779" s="13" t="str">
        <f t="shared" ca="1" si="25"/>
        <v>SIN STOCK</v>
      </c>
    </row>
    <row r="780" spans="1:11">
      <c r="A780" s="16" t="s">
        <v>3085</v>
      </c>
      <c r="B780" s="2" t="str">
        <f>IFERROR(INDEX(Movimientos!$C$2:$C$1993,MATCH(A780&amp;"ENTRADA",Movimientos!$R$2:$R$1993,0)),"-")</f>
        <v>-</v>
      </c>
      <c r="C780" s="2" t="str">
        <f>IFERROR(INDEX(Movimientos!$D$2:$D$1993,MATCH(A780&amp;"ENTRADA",Movimientos!$R$2:$R$1993,0)),"-")</f>
        <v>-</v>
      </c>
      <c r="D780" s="2" t="str">
        <f>IFERROR(INDEX(Movimientos!$E$2:$E$1993,MATCH(A780&amp;"ENTRADA",Movimientos!$R$2:$R$1993,0)),"-")</f>
        <v>-</v>
      </c>
      <c r="E780" s="2" t="str">
        <f>IFERROR(INDEX(Movimientos!$F$2:$F$1993,MATCH(A780&amp;"ENTRADA",Movimientos!$R$2:$R$1993,0)),"-")</f>
        <v>-</v>
      </c>
      <c r="F780" s="2" t="str">
        <f>IFERROR(INDEX(Movimientos!$G$2:$G$1993,MATCH(A780&amp;"ENTRADA",Movimientos!$R$2:$R$1993,0)),"-")</f>
        <v>-</v>
      </c>
      <c r="G780" s="2" t="str">
        <f>IFERROR(INDEX(Movimientos!$L$2:$L$1993,MATCH(A780&amp;"ENTRADA",Movimientos!$R$2:$R$1993,0)),"-")</f>
        <v>-</v>
      </c>
      <c r="H780" s="17" t="str">
        <f>IFERROR(IF(INDEX(Movimientos!$M$2:$M$1993,MATCH(A780&amp;"ENTRADA",Movimientos!$R$2:$R$1993,0))=0,"S/D",INDEX(Movimientos!$M$2:$M$1993,MATCH(A780&amp;"ENTRADA",Movimientos!$R$2:$R$1993,0))),"S/D")</f>
        <v>S/D</v>
      </c>
      <c r="I780" s="15" t="str">
        <f t="shared" ca="1" si="26"/>
        <v>S/D</v>
      </c>
      <c r="J780" s="5">
        <f>IF(A780="","",SUMIFS(Movimientos!$K:$K,Movimientos!$H:$H,A780))</f>
        <v>0</v>
      </c>
      <c r="K780" s="13" t="str">
        <f t="shared" ca="1" si="25"/>
        <v>SIN STOCK</v>
      </c>
    </row>
    <row r="781" spans="1:11">
      <c r="A781" s="16" t="s">
        <v>3086</v>
      </c>
      <c r="B781" s="2" t="str">
        <f>IFERROR(INDEX(Movimientos!$C$2:$C$1993,MATCH(A781&amp;"ENTRADA",Movimientos!$R$2:$R$1993,0)),"-")</f>
        <v>-</v>
      </c>
      <c r="C781" s="2" t="str">
        <f>IFERROR(INDEX(Movimientos!$D$2:$D$1993,MATCH(A781&amp;"ENTRADA",Movimientos!$R$2:$R$1993,0)),"-")</f>
        <v>-</v>
      </c>
      <c r="D781" s="2" t="str">
        <f>IFERROR(INDEX(Movimientos!$E$2:$E$1993,MATCH(A781&amp;"ENTRADA",Movimientos!$R$2:$R$1993,0)),"-")</f>
        <v>-</v>
      </c>
      <c r="E781" s="2" t="str">
        <f>IFERROR(INDEX(Movimientos!$F$2:$F$1993,MATCH(A781&amp;"ENTRADA",Movimientos!$R$2:$R$1993,0)),"-")</f>
        <v>-</v>
      </c>
      <c r="F781" s="2" t="str">
        <f>IFERROR(INDEX(Movimientos!$G$2:$G$1993,MATCH(A781&amp;"ENTRADA",Movimientos!$R$2:$R$1993,0)),"-")</f>
        <v>-</v>
      </c>
      <c r="G781" s="2" t="str">
        <f>IFERROR(INDEX(Movimientos!$L$2:$L$1993,MATCH(A781&amp;"ENTRADA",Movimientos!$R$2:$R$1993,0)),"-")</f>
        <v>-</v>
      </c>
      <c r="H781" s="17" t="str">
        <f>IFERROR(IF(INDEX(Movimientos!$M$2:$M$1993,MATCH(A781&amp;"ENTRADA",Movimientos!$R$2:$R$1993,0))=0,"S/D",INDEX(Movimientos!$M$2:$M$1993,MATCH(A781&amp;"ENTRADA",Movimientos!$R$2:$R$1993,0))),"S/D")</f>
        <v>S/D</v>
      </c>
      <c r="I781" s="15" t="str">
        <f t="shared" ca="1" si="26"/>
        <v>S/D</v>
      </c>
      <c r="J781" s="5">
        <f>IF(A781="","",SUMIFS(Movimientos!$K:$K,Movimientos!$H:$H,A781))</f>
        <v>0</v>
      </c>
      <c r="K781" s="13" t="str">
        <f t="shared" ca="1" si="25"/>
        <v>SIN STOCK</v>
      </c>
    </row>
    <row r="782" spans="1:11">
      <c r="A782" s="16" t="s">
        <v>3087</v>
      </c>
      <c r="B782" s="2" t="str">
        <f>IFERROR(INDEX(Movimientos!$C$2:$C$1993,MATCH(A782&amp;"ENTRADA",Movimientos!$R$2:$R$1993,0)),"-")</f>
        <v>-</v>
      </c>
      <c r="C782" s="2" t="str">
        <f>IFERROR(INDEX(Movimientos!$D$2:$D$1993,MATCH(A782&amp;"ENTRADA",Movimientos!$R$2:$R$1993,0)),"-")</f>
        <v>-</v>
      </c>
      <c r="D782" s="2" t="str">
        <f>IFERROR(INDEX(Movimientos!$E$2:$E$1993,MATCH(A782&amp;"ENTRADA",Movimientos!$R$2:$R$1993,0)),"-")</f>
        <v>-</v>
      </c>
      <c r="E782" s="2" t="str">
        <f>IFERROR(INDEX(Movimientos!$F$2:$F$1993,MATCH(A782&amp;"ENTRADA",Movimientos!$R$2:$R$1993,0)),"-")</f>
        <v>-</v>
      </c>
      <c r="F782" s="2" t="str">
        <f>IFERROR(INDEX(Movimientos!$G$2:$G$1993,MATCH(A782&amp;"ENTRADA",Movimientos!$R$2:$R$1993,0)),"-")</f>
        <v>-</v>
      </c>
      <c r="G782" s="2" t="str">
        <f>IFERROR(INDEX(Movimientos!$L$2:$L$1993,MATCH(A782&amp;"ENTRADA",Movimientos!$R$2:$R$1993,0)),"-")</f>
        <v>-</v>
      </c>
      <c r="H782" s="17" t="str">
        <f>IFERROR(IF(INDEX(Movimientos!$M$2:$M$1993,MATCH(A782&amp;"ENTRADA",Movimientos!$R$2:$R$1993,0))=0,"S/D",INDEX(Movimientos!$M$2:$M$1993,MATCH(A782&amp;"ENTRADA",Movimientos!$R$2:$R$1993,0))),"S/D")</f>
        <v>S/D</v>
      </c>
      <c r="I782" s="15" t="str">
        <f t="shared" ca="1" si="26"/>
        <v>S/D</v>
      </c>
      <c r="J782" s="5">
        <f>IF(A782="","",SUMIFS(Movimientos!$K:$K,Movimientos!$H:$H,A782))</f>
        <v>0</v>
      </c>
      <c r="K782" s="13" t="str">
        <f t="shared" ca="1" si="25"/>
        <v>SIN STOCK</v>
      </c>
    </row>
    <row r="783" spans="1:11">
      <c r="A783" s="16" t="s">
        <v>3088</v>
      </c>
      <c r="B783" s="2" t="str">
        <f>IFERROR(INDEX(Movimientos!$C$2:$C$1993,MATCH(A783&amp;"ENTRADA",Movimientos!$R$2:$R$1993,0)),"-")</f>
        <v>-</v>
      </c>
      <c r="C783" s="2" t="str">
        <f>IFERROR(INDEX(Movimientos!$D$2:$D$1993,MATCH(A783&amp;"ENTRADA",Movimientos!$R$2:$R$1993,0)),"-")</f>
        <v>-</v>
      </c>
      <c r="D783" s="2" t="str">
        <f>IFERROR(INDEX(Movimientos!$E$2:$E$1993,MATCH(A783&amp;"ENTRADA",Movimientos!$R$2:$R$1993,0)),"-")</f>
        <v>-</v>
      </c>
      <c r="E783" s="2" t="str">
        <f>IFERROR(INDEX(Movimientos!$F$2:$F$1993,MATCH(A783&amp;"ENTRADA",Movimientos!$R$2:$R$1993,0)),"-")</f>
        <v>-</v>
      </c>
      <c r="F783" s="2" t="str">
        <f>IFERROR(INDEX(Movimientos!$G$2:$G$1993,MATCH(A783&amp;"ENTRADA",Movimientos!$R$2:$R$1993,0)),"-")</f>
        <v>-</v>
      </c>
      <c r="G783" s="2" t="str">
        <f>IFERROR(INDEX(Movimientos!$L$2:$L$1993,MATCH(A783&amp;"ENTRADA",Movimientos!$R$2:$R$1993,0)),"-")</f>
        <v>-</v>
      </c>
      <c r="H783" s="17" t="str">
        <f>IFERROR(IF(INDEX(Movimientos!$M$2:$M$1993,MATCH(A783&amp;"ENTRADA",Movimientos!$R$2:$R$1993,0))=0,"S/D",INDEX(Movimientos!$M$2:$M$1993,MATCH(A783&amp;"ENTRADA",Movimientos!$R$2:$R$1993,0))),"S/D")</f>
        <v>S/D</v>
      </c>
      <c r="I783" s="15" t="str">
        <f t="shared" ca="1" si="26"/>
        <v>S/D</v>
      </c>
      <c r="J783" s="5">
        <f>IF(A783="","",SUMIFS(Movimientos!$K:$K,Movimientos!$H:$H,A783))</f>
        <v>0</v>
      </c>
      <c r="K783" s="13" t="str">
        <f t="shared" ca="1" si="25"/>
        <v>SIN STOCK</v>
      </c>
    </row>
    <row r="784" spans="1:11">
      <c r="A784" s="16" t="s">
        <v>3089</v>
      </c>
      <c r="B784" s="2" t="str">
        <f>IFERROR(INDEX(Movimientos!$C$2:$C$1993,MATCH(A784&amp;"ENTRADA",Movimientos!$R$2:$R$1993,0)),"-")</f>
        <v>-</v>
      </c>
      <c r="C784" s="2" t="str">
        <f>IFERROR(INDEX(Movimientos!$D$2:$D$1993,MATCH(A784&amp;"ENTRADA",Movimientos!$R$2:$R$1993,0)),"-")</f>
        <v>-</v>
      </c>
      <c r="D784" s="2" t="str">
        <f>IFERROR(INDEX(Movimientos!$E$2:$E$1993,MATCH(A784&amp;"ENTRADA",Movimientos!$R$2:$R$1993,0)),"-")</f>
        <v>-</v>
      </c>
      <c r="E784" s="2" t="str">
        <f>IFERROR(INDEX(Movimientos!$F$2:$F$1993,MATCH(A784&amp;"ENTRADA",Movimientos!$R$2:$R$1993,0)),"-")</f>
        <v>-</v>
      </c>
      <c r="F784" s="2" t="str">
        <f>IFERROR(INDEX(Movimientos!$G$2:$G$1993,MATCH(A784&amp;"ENTRADA",Movimientos!$R$2:$R$1993,0)),"-")</f>
        <v>-</v>
      </c>
      <c r="G784" s="2" t="str">
        <f>IFERROR(INDEX(Movimientos!$L$2:$L$1993,MATCH(A784&amp;"ENTRADA",Movimientos!$R$2:$R$1993,0)),"-")</f>
        <v>-</v>
      </c>
      <c r="H784" s="17" t="str">
        <f>IFERROR(IF(INDEX(Movimientos!$M$2:$M$1993,MATCH(A784&amp;"ENTRADA",Movimientos!$R$2:$R$1993,0))=0,"S/D",INDEX(Movimientos!$M$2:$M$1993,MATCH(A784&amp;"ENTRADA",Movimientos!$R$2:$R$1993,0))),"S/D")</f>
        <v>S/D</v>
      </c>
      <c r="I784" s="15" t="str">
        <f t="shared" ca="1" si="26"/>
        <v>S/D</v>
      </c>
      <c r="J784" s="5">
        <f>IF(A784="","",SUMIFS(Movimientos!$K:$K,Movimientos!$H:$H,A784))</f>
        <v>0</v>
      </c>
      <c r="K784" s="13" t="str">
        <f t="shared" ca="1" si="25"/>
        <v>SIN STOCK</v>
      </c>
    </row>
    <row r="785" spans="1:11">
      <c r="A785" s="16" t="s">
        <v>3090</v>
      </c>
      <c r="B785" s="2" t="str">
        <f>IFERROR(INDEX(Movimientos!$C$2:$C$1993,MATCH(A785&amp;"ENTRADA",Movimientos!$R$2:$R$1993,0)),"-")</f>
        <v>-</v>
      </c>
      <c r="C785" s="2" t="str">
        <f>IFERROR(INDEX(Movimientos!$D$2:$D$1993,MATCH(A785&amp;"ENTRADA",Movimientos!$R$2:$R$1993,0)),"-")</f>
        <v>-</v>
      </c>
      <c r="D785" s="2" t="str">
        <f>IFERROR(INDEX(Movimientos!$E$2:$E$1993,MATCH(A785&amp;"ENTRADA",Movimientos!$R$2:$R$1993,0)),"-")</f>
        <v>-</v>
      </c>
      <c r="E785" s="2" t="str">
        <f>IFERROR(INDEX(Movimientos!$F$2:$F$1993,MATCH(A785&amp;"ENTRADA",Movimientos!$R$2:$R$1993,0)),"-")</f>
        <v>-</v>
      </c>
      <c r="F785" s="2" t="str">
        <f>IFERROR(INDEX(Movimientos!$G$2:$G$1993,MATCH(A785&amp;"ENTRADA",Movimientos!$R$2:$R$1993,0)),"-")</f>
        <v>-</v>
      </c>
      <c r="G785" s="2" t="str">
        <f>IFERROR(INDEX(Movimientos!$L$2:$L$1993,MATCH(A785&amp;"ENTRADA",Movimientos!$R$2:$R$1993,0)),"-")</f>
        <v>-</v>
      </c>
      <c r="H785" s="17" t="str">
        <f>IFERROR(IF(INDEX(Movimientos!$M$2:$M$1993,MATCH(A785&amp;"ENTRADA",Movimientos!$R$2:$R$1993,0))=0,"S/D",INDEX(Movimientos!$M$2:$M$1993,MATCH(A785&amp;"ENTRADA",Movimientos!$R$2:$R$1993,0))),"S/D")</f>
        <v>S/D</v>
      </c>
      <c r="I785" s="15" t="str">
        <f t="shared" ca="1" si="26"/>
        <v>S/D</v>
      </c>
      <c r="J785" s="5">
        <f>IF(A785="","",SUMIFS(Movimientos!$K:$K,Movimientos!$H:$H,A785))</f>
        <v>0</v>
      </c>
      <c r="K785" s="13" t="str">
        <f t="shared" ca="1" si="25"/>
        <v>SIN STOCK</v>
      </c>
    </row>
    <row r="786" spans="1:11">
      <c r="A786" s="16" t="s">
        <v>3091</v>
      </c>
      <c r="B786" s="2" t="str">
        <f>IFERROR(INDEX(Movimientos!$C$2:$C$1993,MATCH(A786&amp;"ENTRADA",Movimientos!$R$2:$R$1993,0)),"-")</f>
        <v>-</v>
      </c>
      <c r="C786" s="2" t="str">
        <f>IFERROR(INDEX(Movimientos!$D$2:$D$1993,MATCH(A786&amp;"ENTRADA",Movimientos!$R$2:$R$1993,0)),"-")</f>
        <v>-</v>
      </c>
      <c r="D786" s="2" t="str">
        <f>IFERROR(INDEX(Movimientos!$E$2:$E$1993,MATCH(A786&amp;"ENTRADA",Movimientos!$R$2:$R$1993,0)),"-")</f>
        <v>-</v>
      </c>
      <c r="E786" s="2" t="str">
        <f>IFERROR(INDEX(Movimientos!$F$2:$F$1993,MATCH(A786&amp;"ENTRADA",Movimientos!$R$2:$R$1993,0)),"-")</f>
        <v>-</v>
      </c>
      <c r="F786" s="2" t="str">
        <f>IFERROR(INDEX(Movimientos!$G$2:$G$1993,MATCH(A786&amp;"ENTRADA",Movimientos!$R$2:$R$1993,0)),"-")</f>
        <v>-</v>
      </c>
      <c r="G786" s="2" t="str">
        <f>IFERROR(INDEX(Movimientos!$L$2:$L$1993,MATCH(A786&amp;"ENTRADA",Movimientos!$R$2:$R$1993,0)),"-")</f>
        <v>-</v>
      </c>
      <c r="H786" s="17" t="str">
        <f>IFERROR(IF(INDEX(Movimientos!$M$2:$M$1993,MATCH(A786&amp;"ENTRADA",Movimientos!$R$2:$R$1993,0))=0,"S/D",INDEX(Movimientos!$M$2:$M$1993,MATCH(A786&amp;"ENTRADA",Movimientos!$R$2:$R$1993,0))),"S/D")</f>
        <v>S/D</v>
      </c>
      <c r="I786" s="15" t="str">
        <f t="shared" ca="1" si="26"/>
        <v>S/D</v>
      </c>
      <c r="J786" s="5">
        <f>IF(A786="","",SUMIFS(Movimientos!$K:$K,Movimientos!$H:$H,A786))</f>
        <v>0</v>
      </c>
      <c r="K786" s="13" t="str">
        <f t="shared" ca="1" si="25"/>
        <v>SIN STOCK</v>
      </c>
    </row>
    <row r="787" spans="1:11">
      <c r="A787" s="16" t="s">
        <v>3092</v>
      </c>
      <c r="B787" s="2" t="str">
        <f>IFERROR(INDEX(Movimientos!$C$2:$C$1993,MATCH(A787&amp;"ENTRADA",Movimientos!$R$2:$R$1993,0)),"-")</f>
        <v>-</v>
      </c>
      <c r="C787" s="2" t="str">
        <f>IFERROR(INDEX(Movimientos!$D$2:$D$1993,MATCH(A787&amp;"ENTRADA",Movimientos!$R$2:$R$1993,0)),"-")</f>
        <v>-</v>
      </c>
      <c r="D787" s="2" t="str">
        <f>IFERROR(INDEX(Movimientos!$E$2:$E$1993,MATCH(A787&amp;"ENTRADA",Movimientos!$R$2:$R$1993,0)),"-")</f>
        <v>-</v>
      </c>
      <c r="E787" s="2" t="str">
        <f>IFERROR(INDEX(Movimientos!$F$2:$F$1993,MATCH(A787&amp;"ENTRADA",Movimientos!$R$2:$R$1993,0)),"-")</f>
        <v>-</v>
      </c>
      <c r="F787" s="2" t="str">
        <f>IFERROR(INDEX(Movimientos!$G$2:$G$1993,MATCH(A787&amp;"ENTRADA",Movimientos!$R$2:$R$1993,0)),"-")</f>
        <v>-</v>
      </c>
      <c r="G787" s="2" t="str">
        <f>IFERROR(INDEX(Movimientos!$L$2:$L$1993,MATCH(A787&amp;"ENTRADA",Movimientos!$R$2:$R$1993,0)),"-")</f>
        <v>-</v>
      </c>
      <c r="H787" s="17" t="str">
        <f>IFERROR(IF(INDEX(Movimientos!$M$2:$M$1993,MATCH(A787&amp;"ENTRADA",Movimientos!$R$2:$R$1993,0))=0,"S/D",INDEX(Movimientos!$M$2:$M$1993,MATCH(A787&amp;"ENTRADA",Movimientos!$R$2:$R$1993,0))),"S/D")</f>
        <v>S/D</v>
      </c>
      <c r="I787" s="15" t="str">
        <f t="shared" ca="1" si="26"/>
        <v>S/D</v>
      </c>
      <c r="J787" s="5">
        <f>IF(A787="","",SUMIFS(Movimientos!$K:$K,Movimientos!$H:$H,A787))</f>
        <v>0</v>
      </c>
      <c r="K787" s="13" t="str">
        <f t="shared" ca="1" si="25"/>
        <v>SIN STOCK</v>
      </c>
    </row>
    <row r="788" spans="1:11">
      <c r="A788" s="16" t="s">
        <v>3093</v>
      </c>
      <c r="B788" s="2" t="str">
        <f>IFERROR(INDEX(Movimientos!$C$2:$C$1993,MATCH(A788&amp;"ENTRADA",Movimientos!$R$2:$R$1993,0)),"-")</f>
        <v>-</v>
      </c>
      <c r="C788" s="2" t="str">
        <f>IFERROR(INDEX(Movimientos!$D$2:$D$1993,MATCH(A788&amp;"ENTRADA",Movimientos!$R$2:$R$1993,0)),"-")</f>
        <v>-</v>
      </c>
      <c r="D788" s="2" t="str">
        <f>IFERROR(INDEX(Movimientos!$E$2:$E$1993,MATCH(A788&amp;"ENTRADA",Movimientos!$R$2:$R$1993,0)),"-")</f>
        <v>-</v>
      </c>
      <c r="E788" s="2" t="str">
        <f>IFERROR(INDEX(Movimientos!$F$2:$F$1993,MATCH(A788&amp;"ENTRADA",Movimientos!$R$2:$R$1993,0)),"-")</f>
        <v>-</v>
      </c>
      <c r="F788" s="2" t="str">
        <f>IFERROR(INDEX(Movimientos!$G$2:$G$1993,MATCH(A788&amp;"ENTRADA",Movimientos!$R$2:$R$1993,0)),"-")</f>
        <v>-</v>
      </c>
      <c r="G788" s="2" t="str">
        <f>IFERROR(INDEX(Movimientos!$L$2:$L$1993,MATCH(A788&amp;"ENTRADA",Movimientos!$R$2:$R$1993,0)),"-")</f>
        <v>-</v>
      </c>
      <c r="H788" s="17" t="str">
        <f>IFERROR(IF(INDEX(Movimientos!$M$2:$M$1993,MATCH(A788&amp;"ENTRADA",Movimientos!$R$2:$R$1993,0))=0,"S/D",INDEX(Movimientos!$M$2:$M$1993,MATCH(A788&amp;"ENTRADA",Movimientos!$R$2:$R$1993,0))),"S/D")</f>
        <v>S/D</v>
      </c>
      <c r="I788" s="15" t="str">
        <f t="shared" ca="1" si="26"/>
        <v>S/D</v>
      </c>
      <c r="J788" s="5">
        <f>IF(A788="","",SUMIFS(Movimientos!$K:$K,Movimientos!$H:$H,A788))</f>
        <v>0</v>
      </c>
      <c r="K788" s="13" t="str">
        <f t="shared" ca="1" si="25"/>
        <v>SIN STOCK</v>
      </c>
    </row>
    <row r="789" spans="1:11">
      <c r="A789" s="16" t="s">
        <v>3094</v>
      </c>
      <c r="B789" s="2" t="str">
        <f>IFERROR(INDEX(Movimientos!$C$2:$C$1993,MATCH(A789&amp;"ENTRADA",Movimientos!$R$2:$R$1993,0)),"-")</f>
        <v>-</v>
      </c>
      <c r="C789" s="2" t="str">
        <f>IFERROR(INDEX(Movimientos!$D$2:$D$1993,MATCH(A789&amp;"ENTRADA",Movimientos!$R$2:$R$1993,0)),"-")</f>
        <v>-</v>
      </c>
      <c r="D789" s="2" t="str">
        <f>IFERROR(INDEX(Movimientos!$E$2:$E$1993,MATCH(A789&amp;"ENTRADA",Movimientos!$R$2:$R$1993,0)),"-")</f>
        <v>-</v>
      </c>
      <c r="E789" s="2" t="str">
        <f>IFERROR(INDEX(Movimientos!$F$2:$F$1993,MATCH(A789&amp;"ENTRADA",Movimientos!$R$2:$R$1993,0)),"-")</f>
        <v>-</v>
      </c>
      <c r="F789" s="2" t="str">
        <f>IFERROR(INDEX(Movimientos!$G$2:$G$1993,MATCH(A789&amp;"ENTRADA",Movimientos!$R$2:$R$1993,0)),"-")</f>
        <v>-</v>
      </c>
      <c r="G789" s="2" t="str">
        <f>IFERROR(INDEX(Movimientos!$L$2:$L$1993,MATCH(A789&amp;"ENTRADA",Movimientos!$R$2:$R$1993,0)),"-")</f>
        <v>-</v>
      </c>
      <c r="H789" s="17" t="str">
        <f>IFERROR(IF(INDEX(Movimientos!$M$2:$M$1993,MATCH(A789&amp;"ENTRADA",Movimientos!$R$2:$R$1993,0))=0,"S/D",INDEX(Movimientos!$M$2:$M$1993,MATCH(A789&amp;"ENTRADA",Movimientos!$R$2:$R$1993,0))),"S/D")</f>
        <v>S/D</v>
      </c>
      <c r="I789" s="15" t="str">
        <f t="shared" ca="1" si="26"/>
        <v>S/D</v>
      </c>
      <c r="J789" s="5">
        <f>IF(A789="","",SUMIFS(Movimientos!$K:$K,Movimientos!$H:$H,A789))</f>
        <v>0</v>
      </c>
      <c r="K789" s="13" t="str">
        <f t="shared" ca="1" si="25"/>
        <v>SIN STOCK</v>
      </c>
    </row>
    <row r="790" spans="1:11">
      <c r="A790" s="16" t="s">
        <v>3095</v>
      </c>
      <c r="B790" s="2" t="str">
        <f>IFERROR(INDEX(Movimientos!$C$2:$C$1993,MATCH(A790&amp;"ENTRADA",Movimientos!$R$2:$R$1993,0)),"-")</f>
        <v>-</v>
      </c>
      <c r="C790" s="2" t="str">
        <f>IFERROR(INDEX(Movimientos!$D$2:$D$1993,MATCH(A790&amp;"ENTRADA",Movimientos!$R$2:$R$1993,0)),"-")</f>
        <v>-</v>
      </c>
      <c r="D790" s="2" t="str">
        <f>IFERROR(INDEX(Movimientos!$E$2:$E$1993,MATCH(A790&amp;"ENTRADA",Movimientos!$R$2:$R$1993,0)),"-")</f>
        <v>-</v>
      </c>
      <c r="E790" s="2" t="str">
        <f>IFERROR(INDEX(Movimientos!$F$2:$F$1993,MATCH(A790&amp;"ENTRADA",Movimientos!$R$2:$R$1993,0)),"-")</f>
        <v>-</v>
      </c>
      <c r="F790" s="2" t="str">
        <f>IFERROR(INDEX(Movimientos!$G$2:$G$1993,MATCH(A790&amp;"ENTRADA",Movimientos!$R$2:$R$1993,0)),"-")</f>
        <v>-</v>
      </c>
      <c r="G790" s="2" t="str">
        <f>IFERROR(INDEX(Movimientos!$L$2:$L$1993,MATCH(A790&amp;"ENTRADA",Movimientos!$R$2:$R$1993,0)),"-")</f>
        <v>-</v>
      </c>
      <c r="H790" s="17" t="str">
        <f>IFERROR(IF(INDEX(Movimientos!$M$2:$M$1993,MATCH(A790&amp;"ENTRADA",Movimientos!$R$2:$R$1993,0))=0,"S/D",INDEX(Movimientos!$M$2:$M$1993,MATCH(A790&amp;"ENTRADA",Movimientos!$R$2:$R$1993,0))),"S/D")</f>
        <v>S/D</v>
      </c>
      <c r="I790" s="15" t="str">
        <f t="shared" ca="1" si="26"/>
        <v>S/D</v>
      </c>
      <c r="J790" s="5">
        <f>IF(A790="","",SUMIFS(Movimientos!$K:$K,Movimientos!$H:$H,A790))</f>
        <v>0</v>
      </c>
      <c r="K790" s="13" t="str">
        <f t="shared" ca="1" si="25"/>
        <v>SIN STOCK</v>
      </c>
    </row>
    <row r="791" spans="1:11">
      <c r="A791" s="16" t="s">
        <v>3096</v>
      </c>
      <c r="B791" s="2" t="str">
        <f>IFERROR(INDEX(Movimientos!$C$2:$C$1993,MATCH(A791&amp;"ENTRADA",Movimientos!$R$2:$R$1993,0)),"-")</f>
        <v>-</v>
      </c>
      <c r="C791" s="2" t="str">
        <f>IFERROR(INDEX(Movimientos!$D$2:$D$1993,MATCH(A791&amp;"ENTRADA",Movimientos!$R$2:$R$1993,0)),"-")</f>
        <v>-</v>
      </c>
      <c r="D791" s="2" t="str">
        <f>IFERROR(INDEX(Movimientos!$E$2:$E$1993,MATCH(A791&amp;"ENTRADA",Movimientos!$R$2:$R$1993,0)),"-")</f>
        <v>-</v>
      </c>
      <c r="E791" s="2" t="str">
        <f>IFERROR(INDEX(Movimientos!$F$2:$F$1993,MATCH(A791&amp;"ENTRADA",Movimientos!$R$2:$R$1993,0)),"-")</f>
        <v>-</v>
      </c>
      <c r="F791" s="2" t="str">
        <f>IFERROR(INDEX(Movimientos!$G$2:$G$1993,MATCH(A791&amp;"ENTRADA",Movimientos!$R$2:$R$1993,0)),"-")</f>
        <v>-</v>
      </c>
      <c r="G791" s="2" t="str">
        <f>IFERROR(INDEX(Movimientos!$L$2:$L$1993,MATCH(A791&amp;"ENTRADA",Movimientos!$R$2:$R$1993,0)),"-")</f>
        <v>-</v>
      </c>
      <c r="H791" s="17" t="str">
        <f>IFERROR(IF(INDEX(Movimientos!$M$2:$M$1993,MATCH(A791&amp;"ENTRADA",Movimientos!$R$2:$R$1993,0))=0,"S/D",INDEX(Movimientos!$M$2:$M$1993,MATCH(A791&amp;"ENTRADA",Movimientos!$R$2:$R$1993,0))),"S/D")</f>
        <v>S/D</v>
      </c>
      <c r="I791" s="15" t="str">
        <f t="shared" ca="1" si="26"/>
        <v>S/D</v>
      </c>
      <c r="J791" s="5">
        <f>IF(A791="","",SUMIFS(Movimientos!$K:$K,Movimientos!$H:$H,A791))</f>
        <v>0</v>
      </c>
      <c r="K791" s="13" t="str">
        <f t="shared" ca="1" si="25"/>
        <v>SIN STOCK</v>
      </c>
    </row>
    <row r="792" spans="1:11">
      <c r="A792" s="16" t="s">
        <v>3097</v>
      </c>
      <c r="B792" s="2" t="str">
        <f>IFERROR(INDEX(Movimientos!$C$2:$C$1993,MATCH(A792&amp;"ENTRADA",Movimientos!$R$2:$R$1993,0)),"-")</f>
        <v>-</v>
      </c>
      <c r="C792" s="2" t="str">
        <f>IFERROR(INDEX(Movimientos!$D$2:$D$1993,MATCH(A792&amp;"ENTRADA",Movimientos!$R$2:$R$1993,0)),"-")</f>
        <v>-</v>
      </c>
      <c r="D792" s="2" t="str">
        <f>IFERROR(INDEX(Movimientos!$E$2:$E$1993,MATCH(A792&amp;"ENTRADA",Movimientos!$R$2:$R$1993,0)),"-")</f>
        <v>-</v>
      </c>
      <c r="E792" s="2" t="str">
        <f>IFERROR(INDEX(Movimientos!$F$2:$F$1993,MATCH(A792&amp;"ENTRADA",Movimientos!$R$2:$R$1993,0)),"-")</f>
        <v>-</v>
      </c>
      <c r="F792" s="2" t="str">
        <f>IFERROR(INDEX(Movimientos!$G$2:$G$1993,MATCH(A792&amp;"ENTRADA",Movimientos!$R$2:$R$1993,0)),"-")</f>
        <v>-</v>
      </c>
      <c r="G792" s="2" t="str">
        <f>IFERROR(INDEX(Movimientos!$L$2:$L$1993,MATCH(A792&amp;"ENTRADA",Movimientos!$R$2:$R$1993,0)),"-")</f>
        <v>-</v>
      </c>
      <c r="H792" s="17" t="str">
        <f>IFERROR(IF(INDEX(Movimientos!$M$2:$M$1993,MATCH(A792&amp;"ENTRADA",Movimientos!$R$2:$R$1993,0))=0,"S/D",INDEX(Movimientos!$M$2:$M$1993,MATCH(A792&amp;"ENTRADA",Movimientos!$R$2:$R$1993,0))),"S/D")</f>
        <v>S/D</v>
      </c>
      <c r="I792" s="15" t="str">
        <f t="shared" ca="1" si="26"/>
        <v>S/D</v>
      </c>
      <c r="J792" s="5">
        <f>IF(A792="","",SUMIFS(Movimientos!$K:$K,Movimientos!$H:$H,A792))</f>
        <v>0</v>
      </c>
      <c r="K792" s="13" t="str">
        <f t="shared" ca="1" si="25"/>
        <v>SIN STOCK</v>
      </c>
    </row>
    <row r="793" spans="1:11">
      <c r="A793" s="16" t="s">
        <v>3098</v>
      </c>
      <c r="B793" s="2" t="str">
        <f>IFERROR(INDEX(Movimientos!$C$2:$C$1993,MATCH(A793&amp;"ENTRADA",Movimientos!$R$2:$R$1993,0)),"-")</f>
        <v>-</v>
      </c>
      <c r="C793" s="2" t="str">
        <f>IFERROR(INDEX(Movimientos!$D$2:$D$1993,MATCH(A793&amp;"ENTRADA",Movimientos!$R$2:$R$1993,0)),"-")</f>
        <v>-</v>
      </c>
      <c r="D793" s="2" t="str">
        <f>IFERROR(INDEX(Movimientos!$E$2:$E$1993,MATCH(A793&amp;"ENTRADA",Movimientos!$R$2:$R$1993,0)),"-")</f>
        <v>-</v>
      </c>
      <c r="E793" s="2" t="str">
        <f>IFERROR(INDEX(Movimientos!$F$2:$F$1993,MATCH(A793&amp;"ENTRADA",Movimientos!$R$2:$R$1993,0)),"-")</f>
        <v>-</v>
      </c>
      <c r="F793" s="2" t="str">
        <f>IFERROR(INDEX(Movimientos!$G$2:$G$1993,MATCH(A793&amp;"ENTRADA",Movimientos!$R$2:$R$1993,0)),"-")</f>
        <v>-</v>
      </c>
      <c r="G793" s="2" t="str">
        <f>IFERROR(INDEX(Movimientos!$L$2:$L$1993,MATCH(A793&amp;"ENTRADA",Movimientos!$R$2:$R$1993,0)),"-")</f>
        <v>-</v>
      </c>
      <c r="H793" s="17" t="str">
        <f>IFERROR(IF(INDEX(Movimientos!$M$2:$M$1993,MATCH(A793&amp;"ENTRADA",Movimientos!$R$2:$R$1993,0))=0,"S/D",INDEX(Movimientos!$M$2:$M$1993,MATCH(A793&amp;"ENTRADA",Movimientos!$R$2:$R$1993,0))),"S/D")</f>
        <v>S/D</v>
      </c>
      <c r="I793" s="15" t="str">
        <f t="shared" ca="1" si="26"/>
        <v>S/D</v>
      </c>
      <c r="J793" s="5">
        <f>IF(A793="","",SUMIFS(Movimientos!$K:$K,Movimientos!$H:$H,A793))</f>
        <v>0</v>
      </c>
      <c r="K793" s="13" t="str">
        <f t="shared" ca="1" si="25"/>
        <v>SIN STOCK</v>
      </c>
    </row>
    <row r="794" spans="1:11">
      <c r="A794" s="16" t="s">
        <v>3099</v>
      </c>
      <c r="B794" s="2" t="str">
        <f>IFERROR(INDEX(Movimientos!$C$2:$C$1993,MATCH(A794&amp;"ENTRADA",Movimientos!$R$2:$R$1993,0)),"-")</f>
        <v>-</v>
      </c>
      <c r="C794" s="2" t="str">
        <f>IFERROR(INDEX(Movimientos!$D$2:$D$1993,MATCH(A794&amp;"ENTRADA",Movimientos!$R$2:$R$1993,0)),"-")</f>
        <v>-</v>
      </c>
      <c r="D794" s="2" t="str">
        <f>IFERROR(INDEX(Movimientos!$E$2:$E$1993,MATCH(A794&amp;"ENTRADA",Movimientos!$R$2:$R$1993,0)),"-")</f>
        <v>-</v>
      </c>
      <c r="E794" s="2" t="str">
        <f>IFERROR(INDEX(Movimientos!$F$2:$F$1993,MATCH(A794&amp;"ENTRADA",Movimientos!$R$2:$R$1993,0)),"-")</f>
        <v>-</v>
      </c>
      <c r="F794" s="2" t="str">
        <f>IFERROR(INDEX(Movimientos!$G$2:$G$1993,MATCH(A794&amp;"ENTRADA",Movimientos!$R$2:$R$1993,0)),"-")</f>
        <v>-</v>
      </c>
      <c r="G794" s="2" t="str">
        <f>IFERROR(INDEX(Movimientos!$L$2:$L$1993,MATCH(A794&amp;"ENTRADA",Movimientos!$R$2:$R$1993,0)),"-")</f>
        <v>-</v>
      </c>
      <c r="H794" s="17" t="str">
        <f>IFERROR(IF(INDEX(Movimientos!$M$2:$M$1993,MATCH(A794&amp;"ENTRADA",Movimientos!$R$2:$R$1993,0))=0,"S/D",INDEX(Movimientos!$M$2:$M$1993,MATCH(A794&amp;"ENTRADA",Movimientos!$R$2:$R$1993,0))),"S/D")</f>
        <v>S/D</v>
      </c>
      <c r="I794" s="15" t="str">
        <f t="shared" ca="1" si="26"/>
        <v>S/D</v>
      </c>
      <c r="J794" s="5">
        <f>IF(A794="","",SUMIFS(Movimientos!$K:$K,Movimientos!$H:$H,A794))</f>
        <v>0</v>
      </c>
      <c r="K794" s="13" t="str">
        <f t="shared" ca="1" si="25"/>
        <v>SIN STOCK</v>
      </c>
    </row>
    <row r="795" spans="1:11">
      <c r="A795" s="16" t="s">
        <v>3100</v>
      </c>
      <c r="B795" s="2" t="str">
        <f>IFERROR(INDEX(Movimientos!$C$2:$C$1993,MATCH(A795&amp;"ENTRADA",Movimientos!$R$2:$R$1993,0)),"-")</f>
        <v>-</v>
      </c>
      <c r="C795" s="2" t="str">
        <f>IFERROR(INDEX(Movimientos!$D$2:$D$1993,MATCH(A795&amp;"ENTRADA",Movimientos!$R$2:$R$1993,0)),"-")</f>
        <v>-</v>
      </c>
      <c r="D795" s="2" t="str">
        <f>IFERROR(INDEX(Movimientos!$E$2:$E$1993,MATCH(A795&amp;"ENTRADA",Movimientos!$R$2:$R$1993,0)),"-")</f>
        <v>-</v>
      </c>
      <c r="E795" s="2" t="str">
        <f>IFERROR(INDEX(Movimientos!$F$2:$F$1993,MATCH(A795&amp;"ENTRADA",Movimientos!$R$2:$R$1993,0)),"-")</f>
        <v>-</v>
      </c>
      <c r="F795" s="2" t="str">
        <f>IFERROR(INDEX(Movimientos!$G$2:$G$1993,MATCH(A795&amp;"ENTRADA",Movimientos!$R$2:$R$1993,0)),"-")</f>
        <v>-</v>
      </c>
      <c r="G795" s="2" t="str">
        <f>IFERROR(INDEX(Movimientos!$L$2:$L$1993,MATCH(A795&amp;"ENTRADA",Movimientos!$R$2:$R$1993,0)),"-")</f>
        <v>-</v>
      </c>
      <c r="H795" s="17" t="str">
        <f>IFERROR(IF(INDEX(Movimientos!$M$2:$M$1993,MATCH(A795&amp;"ENTRADA",Movimientos!$R$2:$R$1993,0))=0,"S/D",INDEX(Movimientos!$M$2:$M$1993,MATCH(A795&amp;"ENTRADA",Movimientos!$R$2:$R$1993,0))),"S/D")</f>
        <v>S/D</v>
      </c>
      <c r="I795" s="15" t="str">
        <f t="shared" ca="1" si="26"/>
        <v>S/D</v>
      </c>
      <c r="J795" s="5">
        <f>IF(A795="","",SUMIFS(Movimientos!$K:$K,Movimientos!$H:$H,A795))</f>
        <v>0</v>
      </c>
      <c r="K795" s="13" t="str">
        <f t="shared" ca="1" si="25"/>
        <v>SIN STOCK</v>
      </c>
    </row>
    <row r="796" spans="1:11">
      <c r="A796" s="16" t="s">
        <v>3101</v>
      </c>
      <c r="B796" s="2" t="str">
        <f>IFERROR(INDEX(Movimientos!$C$2:$C$1993,MATCH(A796&amp;"ENTRADA",Movimientos!$R$2:$R$1993,0)),"-")</f>
        <v>-</v>
      </c>
      <c r="C796" s="2" t="str">
        <f>IFERROR(INDEX(Movimientos!$D$2:$D$1993,MATCH(A796&amp;"ENTRADA",Movimientos!$R$2:$R$1993,0)),"-")</f>
        <v>-</v>
      </c>
      <c r="D796" s="2" t="str">
        <f>IFERROR(INDEX(Movimientos!$E$2:$E$1993,MATCH(A796&amp;"ENTRADA",Movimientos!$R$2:$R$1993,0)),"-")</f>
        <v>-</v>
      </c>
      <c r="E796" s="2" t="str">
        <f>IFERROR(INDEX(Movimientos!$F$2:$F$1993,MATCH(A796&amp;"ENTRADA",Movimientos!$R$2:$R$1993,0)),"-")</f>
        <v>-</v>
      </c>
      <c r="F796" s="2" t="str">
        <f>IFERROR(INDEX(Movimientos!$G$2:$G$1993,MATCH(A796&amp;"ENTRADA",Movimientos!$R$2:$R$1993,0)),"-")</f>
        <v>-</v>
      </c>
      <c r="G796" s="2" t="str">
        <f>IFERROR(INDEX(Movimientos!$L$2:$L$1993,MATCH(A796&amp;"ENTRADA",Movimientos!$R$2:$R$1993,0)),"-")</f>
        <v>-</v>
      </c>
      <c r="H796" s="17" t="str">
        <f>IFERROR(IF(INDEX(Movimientos!$M$2:$M$1993,MATCH(A796&amp;"ENTRADA",Movimientos!$R$2:$R$1993,0))=0,"S/D",INDEX(Movimientos!$M$2:$M$1993,MATCH(A796&amp;"ENTRADA",Movimientos!$R$2:$R$1993,0))),"S/D")</f>
        <v>S/D</v>
      </c>
      <c r="I796" s="15" t="str">
        <f t="shared" ca="1" si="26"/>
        <v>S/D</v>
      </c>
      <c r="J796" s="5">
        <f>IF(A796="","",SUMIFS(Movimientos!$K:$K,Movimientos!$H:$H,A796))</f>
        <v>0</v>
      </c>
      <c r="K796" s="13" t="str">
        <f t="shared" ca="1" si="25"/>
        <v>SIN STOCK</v>
      </c>
    </row>
    <row r="797" spans="1:11">
      <c r="A797" s="16" t="s">
        <v>3102</v>
      </c>
      <c r="B797" s="2" t="str">
        <f>IFERROR(INDEX(Movimientos!$C$2:$C$1993,MATCH(A797&amp;"ENTRADA",Movimientos!$R$2:$R$1993,0)),"-")</f>
        <v>-</v>
      </c>
      <c r="C797" s="2" t="str">
        <f>IFERROR(INDEX(Movimientos!$D$2:$D$1993,MATCH(A797&amp;"ENTRADA",Movimientos!$R$2:$R$1993,0)),"-")</f>
        <v>-</v>
      </c>
      <c r="D797" s="2" t="str">
        <f>IFERROR(INDEX(Movimientos!$E$2:$E$1993,MATCH(A797&amp;"ENTRADA",Movimientos!$R$2:$R$1993,0)),"-")</f>
        <v>-</v>
      </c>
      <c r="E797" s="2" t="str">
        <f>IFERROR(INDEX(Movimientos!$F$2:$F$1993,MATCH(A797&amp;"ENTRADA",Movimientos!$R$2:$R$1993,0)),"-")</f>
        <v>-</v>
      </c>
      <c r="F797" s="2" t="str">
        <f>IFERROR(INDEX(Movimientos!$G$2:$G$1993,MATCH(A797&amp;"ENTRADA",Movimientos!$R$2:$R$1993,0)),"-")</f>
        <v>-</v>
      </c>
      <c r="G797" s="2" t="str">
        <f>IFERROR(INDEX(Movimientos!$L$2:$L$1993,MATCH(A797&amp;"ENTRADA",Movimientos!$R$2:$R$1993,0)),"-")</f>
        <v>-</v>
      </c>
      <c r="H797" s="17" t="str">
        <f>IFERROR(IF(INDEX(Movimientos!$M$2:$M$1993,MATCH(A797&amp;"ENTRADA",Movimientos!$R$2:$R$1993,0))=0,"S/D",INDEX(Movimientos!$M$2:$M$1993,MATCH(A797&amp;"ENTRADA",Movimientos!$R$2:$R$1993,0))),"S/D")</f>
        <v>S/D</v>
      </c>
      <c r="I797" s="15" t="str">
        <f t="shared" ca="1" si="26"/>
        <v>S/D</v>
      </c>
      <c r="J797" s="5">
        <f>IF(A797="","",SUMIFS(Movimientos!$K:$K,Movimientos!$H:$H,A797))</f>
        <v>0</v>
      </c>
      <c r="K797" s="13" t="str">
        <f t="shared" ca="1" si="25"/>
        <v>SIN STOCK</v>
      </c>
    </row>
    <row r="798" spans="1:11">
      <c r="A798" s="16" t="s">
        <v>3103</v>
      </c>
      <c r="B798" s="2" t="str">
        <f>IFERROR(INDEX(Movimientos!$C$2:$C$1993,MATCH(A798&amp;"ENTRADA",Movimientos!$R$2:$R$1993,0)),"-")</f>
        <v>-</v>
      </c>
      <c r="C798" s="2" t="str">
        <f>IFERROR(INDEX(Movimientos!$D$2:$D$1993,MATCH(A798&amp;"ENTRADA",Movimientos!$R$2:$R$1993,0)),"-")</f>
        <v>-</v>
      </c>
      <c r="D798" s="2" t="str">
        <f>IFERROR(INDEX(Movimientos!$E$2:$E$1993,MATCH(A798&amp;"ENTRADA",Movimientos!$R$2:$R$1993,0)),"-")</f>
        <v>-</v>
      </c>
      <c r="E798" s="2" t="str">
        <f>IFERROR(INDEX(Movimientos!$F$2:$F$1993,MATCH(A798&amp;"ENTRADA",Movimientos!$R$2:$R$1993,0)),"-")</f>
        <v>-</v>
      </c>
      <c r="F798" s="2" t="str">
        <f>IFERROR(INDEX(Movimientos!$G$2:$G$1993,MATCH(A798&amp;"ENTRADA",Movimientos!$R$2:$R$1993,0)),"-")</f>
        <v>-</v>
      </c>
      <c r="G798" s="2" t="str">
        <f>IFERROR(INDEX(Movimientos!$L$2:$L$1993,MATCH(A798&amp;"ENTRADA",Movimientos!$R$2:$R$1993,0)),"-")</f>
        <v>-</v>
      </c>
      <c r="H798" s="17" t="str">
        <f>IFERROR(IF(INDEX(Movimientos!$M$2:$M$1993,MATCH(A798&amp;"ENTRADA",Movimientos!$R$2:$R$1993,0))=0,"S/D",INDEX(Movimientos!$M$2:$M$1993,MATCH(A798&amp;"ENTRADA",Movimientos!$R$2:$R$1993,0))),"S/D")</f>
        <v>S/D</v>
      </c>
      <c r="I798" s="15" t="str">
        <f t="shared" ca="1" si="26"/>
        <v>S/D</v>
      </c>
      <c r="J798" s="5">
        <f>IF(A798="","",SUMIFS(Movimientos!$K:$K,Movimientos!$H:$H,A798))</f>
        <v>0</v>
      </c>
      <c r="K798" s="13" t="str">
        <f t="shared" ca="1" si="25"/>
        <v>SIN STOCK</v>
      </c>
    </row>
    <row r="799" spans="1:11">
      <c r="A799" s="16" t="s">
        <v>3104</v>
      </c>
      <c r="B799" s="2" t="str">
        <f>IFERROR(INDEX(Movimientos!$C$2:$C$1993,MATCH(A799&amp;"ENTRADA",Movimientos!$R$2:$R$1993,0)),"-")</f>
        <v>-</v>
      </c>
      <c r="C799" s="2" t="str">
        <f>IFERROR(INDEX(Movimientos!$D$2:$D$1993,MATCH(A799&amp;"ENTRADA",Movimientos!$R$2:$R$1993,0)),"-")</f>
        <v>-</v>
      </c>
      <c r="D799" s="2" t="str">
        <f>IFERROR(INDEX(Movimientos!$E$2:$E$1993,MATCH(A799&amp;"ENTRADA",Movimientos!$R$2:$R$1993,0)),"-")</f>
        <v>-</v>
      </c>
      <c r="E799" s="2" t="str">
        <f>IFERROR(INDEX(Movimientos!$F$2:$F$1993,MATCH(A799&amp;"ENTRADA",Movimientos!$R$2:$R$1993,0)),"-")</f>
        <v>-</v>
      </c>
      <c r="F799" s="2" t="str">
        <f>IFERROR(INDEX(Movimientos!$G$2:$G$1993,MATCH(A799&amp;"ENTRADA",Movimientos!$R$2:$R$1993,0)),"-")</f>
        <v>-</v>
      </c>
      <c r="G799" s="2" t="str">
        <f>IFERROR(INDEX(Movimientos!$L$2:$L$1993,MATCH(A799&amp;"ENTRADA",Movimientos!$R$2:$R$1993,0)),"-")</f>
        <v>-</v>
      </c>
      <c r="H799" s="17" t="str">
        <f>IFERROR(IF(INDEX(Movimientos!$M$2:$M$1993,MATCH(A799&amp;"ENTRADA",Movimientos!$R$2:$R$1993,0))=0,"S/D",INDEX(Movimientos!$M$2:$M$1993,MATCH(A799&amp;"ENTRADA",Movimientos!$R$2:$R$1993,0))),"S/D")</f>
        <v>S/D</v>
      </c>
      <c r="I799" s="15" t="str">
        <f t="shared" ca="1" si="26"/>
        <v>S/D</v>
      </c>
      <c r="J799" s="5">
        <f>IF(A799="","",SUMIFS(Movimientos!$K:$K,Movimientos!$H:$H,A799))</f>
        <v>0</v>
      </c>
      <c r="K799" s="13" t="str">
        <f t="shared" ca="1" si="25"/>
        <v>SIN STOCK</v>
      </c>
    </row>
    <row r="800" spans="1:11">
      <c r="A800" s="16" t="s">
        <v>3105</v>
      </c>
      <c r="B800" s="2" t="str">
        <f>IFERROR(INDEX(Movimientos!$C$2:$C$1993,MATCH(A800&amp;"ENTRADA",Movimientos!$R$2:$R$1993,0)),"-")</f>
        <v>-</v>
      </c>
      <c r="C800" s="2" t="str">
        <f>IFERROR(INDEX(Movimientos!$D$2:$D$1993,MATCH(A800&amp;"ENTRADA",Movimientos!$R$2:$R$1993,0)),"-")</f>
        <v>-</v>
      </c>
      <c r="D800" s="2" t="str">
        <f>IFERROR(INDEX(Movimientos!$E$2:$E$1993,MATCH(A800&amp;"ENTRADA",Movimientos!$R$2:$R$1993,0)),"-")</f>
        <v>-</v>
      </c>
      <c r="E800" s="2" t="str">
        <f>IFERROR(INDEX(Movimientos!$F$2:$F$1993,MATCH(A800&amp;"ENTRADA",Movimientos!$R$2:$R$1993,0)),"-")</f>
        <v>-</v>
      </c>
      <c r="F800" s="2" t="str">
        <f>IFERROR(INDEX(Movimientos!$G$2:$G$1993,MATCH(A800&amp;"ENTRADA",Movimientos!$R$2:$R$1993,0)),"-")</f>
        <v>-</v>
      </c>
      <c r="G800" s="2" t="str">
        <f>IFERROR(INDEX(Movimientos!$L$2:$L$1993,MATCH(A800&amp;"ENTRADA",Movimientos!$R$2:$R$1993,0)),"-")</f>
        <v>-</v>
      </c>
      <c r="H800" s="17" t="str">
        <f>IFERROR(IF(INDEX(Movimientos!$M$2:$M$1993,MATCH(A800&amp;"ENTRADA",Movimientos!$R$2:$R$1993,0))=0,"S/D",INDEX(Movimientos!$M$2:$M$1993,MATCH(A800&amp;"ENTRADA",Movimientos!$R$2:$R$1993,0))),"S/D")</f>
        <v>S/D</v>
      </c>
      <c r="I800" s="15" t="str">
        <f t="shared" ca="1" si="26"/>
        <v>S/D</v>
      </c>
      <c r="J800" s="5">
        <f>IF(A800="","",SUMIFS(Movimientos!$K:$K,Movimientos!$H:$H,A800))</f>
        <v>0</v>
      </c>
      <c r="K800" s="13" t="str">
        <f t="shared" ca="1" si="25"/>
        <v>SIN STOCK</v>
      </c>
    </row>
    <row r="801" spans="1:11">
      <c r="A801" s="16" t="s">
        <v>3106</v>
      </c>
      <c r="B801" s="2" t="str">
        <f>IFERROR(INDEX(Movimientos!$C$2:$C$1993,MATCH(A801&amp;"ENTRADA",Movimientos!$R$2:$R$1993,0)),"-")</f>
        <v>-</v>
      </c>
      <c r="C801" s="2" t="str">
        <f>IFERROR(INDEX(Movimientos!$D$2:$D$1993,MATCH(A801&amp;"ENTRADA",Movimientos!$R$2:$R$1993,0)),"-")</f>
        <v>-</v>
      </c>
      <c r="D801" s="2" t="str">
        <f>IFERROR(INDEX(Movimientos!$E$2:$E$1993,MATCH(A801&amp;"ENTRADA",Movimientos!$R$2:$R$1993,0)),"-")</f>
        <v>-</v>
      </c>
      <c r="E801" s="2" t="str">
        <f>IFERROR(INDEX(Movimientos!$F$2:$F$1993,MATCH(A801&amp;"ENTRADA",Movimientos!$R$2:$R$1993,0)),"-")</f>
        <v>-</v>
      </c>
      <c r="F801" s="2" t="str">
        <f>IFERROR(INDEX(Movimientos!$G$2:$G$1993,MATCH(A801&amp;"ENTRADA",Movimientos!$R$2:$R$1993,0)),"-")</f>
        <v>-</v>
      </c>
      <c r="G801" s="2" t="str">
        <f>IFERROR(INDEX(Movimientos!$L$2:$L$1993,MATCH(A801&amp;"ENTRADA",Movimientos!$R$2:$R$1993,0)),"-")</f>
        <v>-</v>
      </c>
      <c r="H801" s="17" t="str">
        <f>IFERROR(IF(INDEX(Movimientos!$M$2:$M$1993,MATCH(A801&amp;"ENTRADA",Movimientos!$R$2:$R$1993,0))=0,"S/D",INDEX(Movimientos!$M$2:$M$1993,MATCH(A801&amp;"ENTRADA",Movimientos!$R$2:$R$1993,0))),"S/D")</f>
        <v>S/D</v>
      </c>
      <c r="I801" s="15" t="str">
        <f t="shared" ca="1" si="26"/>
        <v>S/D</v>
      </c>
      <c r="J801" s="5">
        <f>IF(A801="","",SUMIFS(Movimientos!$K:$K,Movimientos!$H:$H,A801))</f>
        <v>0</v>
      </c>
      <c r="K801" s="13" t="str">
        <f t="shared" ca="1" si="25"/>
        <v>SIN STOCK</v>
      </c>
    </row>
    <row r="802" spans="1:11">
      <c r="A802" s="16" t="s">
        <v>3107</v>
      </c>
      <c r="B802" s="2" t="str">
        <f>IFERROR(INDEX(Movimientos!$C$2:$C$1993,MATCH(A802&amp;"ENTRADA",Movimientos!$R$2:$R$1993,0)),"-")</f>
        <v>-</v>
      </c>
      <c r="C802" s="2" t="str">
        <f>IFERROR(INDEX(Movimientos!$D$2:$D$1993,MATCH(A802&amp;"ENTRADA",Movimientos!$R$2:$R$1993,0)),"-")</f>
        <v>-</v>
      </c>
      <c r="D802" s="2" t="str">
        <f>IFERROR(INDEX(Movimientos!$E$2:$E$1993,MATCH(A802&amp;"ENTRADA",Movimientos!$R$2:$R$1993,0)),"-")</f>
        <v>-</v>
      </c>
      <c r="E802" s="2" t="str">
        <f>IFERROR(INDEX(Movimientos!$F$2:$F$1993,MATCH(A802&amp;"ENTRADA",Movimientos!$R$2:$R$1993,0)),"-")</f>
        <v>-</v>
      </c>
      <c r="F802" s="2" t="str">
        <f>IFERROR(INDEX(Movimientos!$G$2:$G$1993,MATCH(A802&amp;"ENTRADA",Movimientos!$R$2:$R$1993,0)),"-")</f>
        <v>-</v>
      </c>
      <c r="G802" s="2" t="str">
        <f>IFERROR(INDEX(Movimientos!$L$2:$L$1993,MATCH(A802&amp;"ENTRADA",Movimientos!$R$2:$R$1993,0)),"-")</f>
        <v>-</v>
      </c>
      <c r="H802" s="17" t="str">
        <f>IFERROR(IF(INDEX(Movimientos!$M$2:$M$1993,MATCH(A802&amp;"ENTRADA",Movimientos!$R$2:$R$1993,0))=0,"S/D",INDEX(Movimientos!$M$2:$M$1993,MATCH(A802&amp;"ENTRADA",Movimientos!$R$2:$R$1993,0))),"S/D")</f>
        <v>S/D</v>
      </c>
      <c r="I802" s="15" t="str">
        <f t="shared" ca="1" si="26"/>
        <v>S/D</v>
      </c>
      <c r="J802" s="5">
        <f>IF(A802="","",SUMIFS(Movimientos!$K:$K,Movimientos!$H:$H,A802))</f>
        <v>0</v>
      </c>
      <c r="K802" s="13" t="str">
        <f t="shared" ca="1" si="25"/>
        <v>SIN STOCK</v>
      </c>
    </row>
    <row r="803" spans="1:11">
      <c r="A803" s="16" t="s">
        <v>3108</v>
      </c>
      <c r="B803" s="2" t="str">
        <f>IFERROR(INDEX(Movimientos!$C$2:$C$1993,MATCH(A803&amp;"ENTRADA",Movimientos!$R$2:$R$1993,0)),"-")</f>
        <v>-</v>
      </c>
      <c r="C803" s="2" t="str">
        <f>IFERROR(INDEX(Movimientos!$D$2:$D$1993,MATCH(A803&amp;"ENTRADA",Movimientos!$R$2:$R$1993,0)),"-")</f>
        <v>-</v>
      </c>
      <c r="D803" s="2" t="str">
        <f>IFERROR(INDEX(Movimientos!$E$2:$E$1993,MATCH(A803&amp;"ENTRADA",Movimientos!$R$2:$R$1993,0)),"-")</f>
        <v>-</v>
      </c>
      <c r="E803" s="2" t="str">
        <f>IFERROR(INDEX(Movimientos!$F$2:$F$1993,MATCH(A803&amp;"ENTRADA",Movimientos!$R$2:$R$1993,0)),"-")</f>
        <v>-</v>
      </c>
      <c r="F803" s="2" t="str">
        <f>IFERROR(INDEX(Movimientos!$G$2:$G$1993,MATCH(A803&amp;"ENTRADA",Movimientos!$R$2:$R$1993,0)),"-")</f>
        <v>-</v>
      </c>
      <c r="G803" s="2" t="str">
        <f>IFERROR(INDEX(Movimientos!$L$2:$L$1993,MATCH(A803&amp;"ENTRADA",Movimientos!$R$2:$R$1993,0)),"-")</f>
        <v>-</v>
      </c>
      <c r="H803" s="17" t="str">
        <f>IFERROR(IF(INDEX(Movimientos!$M$2:$M$1993,MATCH(A803&amp;"ENTRADA",Movimientos!$R$2:$R$1993,0))=0,"S/D",INDEX(Movimientos!$M$2:$M$1993,MATCH(A803&amp;"ENTRADA",Movimientos!$R$2:$R$1993,0))),"S/D")</f>
        <v>S/D</v>
      </c>
      <c r="I803" s="15" t="str">
        <f t="shared" ca="1" si="26"/>
        <v>S/D</v>
      </c>
      <c r="J803" s="5">
        <f>IF(A803="","",SUMIFS(Movimientos!$K:$K,Movimientos!$H:$H,A803))</f>
        <v>0</v>
      </c>
      <c r="K803" s="13" t="str">
        <f t="shared" ca="1" si="25"/>
        <v>SIN STOCK</v>
      </c>
    </row>
    <row r="804" spans="1:11">
      <c r="A804" s="16" t="s">
        <v>3109</v>
      </c>
      <c r="B804" s="2" t="str">
        <f>IFERROR(INDEX(Movimientos!$C$2:$C$1993,MATCH(A804&amp;"ENTRADA",Movimientos!$R$2:$R$1993,0)),"-")</f>
        <v>-</v>
      </c>
      <c r="C804" s="2" t="str">
        <f>IFERROR(INDEX(Movimientos!$D$2:$D$1993,MATCH(A804&amp;"ENTRADA",Movimientos!$R$2:$R$1993,0)),"-")</f>
        <v>-</v>
      </c>
      <c r="D804" s="2" t="str">
        <f>IFERROR(INDEX(Movimientos!$E$2:$E$1993,MATCH(A804&amp;"ENTRADA",Movimientos!$R$2:$R$1993,0)),"-")</f>
        <v>-</v>
      </c>
      <c r="E804" s="2" t="str">
        <f>IFERROR(INDEX(Movimientos!$F$2:$F$1993,MATCH(A804&amp;"ENTRADA",Movimientos!$R$2:$R$1993,0)),"-")</f>
        <v>-</v>
      </c>
      <c r="F804" s="2" t="str">
        <f>IFERROR(INDEX(Movimientos!$G$2:$G$1993,MATCH(A804&amp;"ENTRADA",Movimientos!$R$2:$R$1993,0)),"-")</f>
        <v>-</v>
      </c>
      <c r="G804" s="2" t="str">
        <f>IFERROR(INDEX(Movimientos!$L$2:$L$1993,MATCH(A804&amp;"ENTRADA",Movimientos!$R$2:$R$1993,0)),"-")</f>
        <v>-</v>
      </c>
      <c r="H804" s="17" t="str">
        <f>IFERROR(IF(INDEX(Movimientos!$M$2:$M$1993,MATCH(A804&amp;"ENTRADA",Movimientos!$R$2:$R$1993,0))=0,"S/D",INDEX(Movimientos!$M$2:$M$1993,MATCH(A804&amp;"ENTRADA",Movimientos!$R$2:$R$1993,0))),"S/D")</f>
        <v>S/D</v>
      </c>
      <c r="I804" s="15" t="str">
        <f t="shared" ca="1" si="26"/>
        <v>S/D</v>
      </c>
      <c r="J804" s="5">
        <f>IF(A804="","",SUMIFS(Movimientos!$K:$K,Movimientos!$H:$H,A804))</f>
        <v>0</v>
      </c>
      <c r="K804" s="13" t="str">
        <f t="shared" ca="1" si="25"/>
        <v>SIN STOCK</v>
      </c>
    </row>
    <row r="805" spans="1:11">
      <c r="A805" s="16" t="s">
        <v>3110</v>
      </c>
      <c r="B805" s="2" t="str">
        <f>IFERROR(INDEX(Movimientos!$C$2:$C$1993,MATCH(A805&amp;"ENTRADA",Movimientos!$R$2:$R$1993,0)),"-")</f>
        <v>-</v>
      </c>
      <c r="C805" s="2" t="str">
        <f>IFERROR(INDEX(Movimientos!$D$2:$D$1993,MATCH(A805&amp;"ENTRADA",Movimientos!$R$2:$R$1993,0)),"-")</f>
        <v>-</v>
      </c>
      <c r="D805" s="2" t="str">
        <f>IFERROR(INDEX(Movimientos!$E$2:$E$1993,MATCH(A805&amp;"ENTRADA",Movimientos!$R$2:$R$1993,0)),"-")</f>
        <v>-</v>
      </c>
      <c r="E805" s="2" t="str">
        <f>IFERROR(INDEX(Movimientos!$F$2:$F$1993,MATCH(A805&amp;"ENTRADA",Movimientos!$R$2:$R$1993,0)),"-")</f>
        <v>-</v>
      </c>
      <c r="F805" s="2" t="str">
        <f>IFERROR(INDEX(Movimientos!$G$2:$G$1993,MATCH(A805&amp;"ENTRADA",Movimientos!$R$2:$R$1993,0)),"-")</f>
        <v>-</v>
      </c>
      <c r="G805" s="2" t="str">
        <f>IFERROR(INDEX(Movimientos!$L$2:$L$1993,MATCH(A805&amp;"ENTRADA",Movimientos!$R$2:$R$1993,0)),"-")</f>
        <v>-</v>
      </c>
      <c r="H805" s="17" t="str">
        <f>IFERROR(IF(INDEX(Movimientos!$M$2:$M$1993,MATCH(A805&amp;"ENTRADA",Movimientos!$R$2:$R$1993,0))=0,"S/D",INDEX(Movimientos!$M$2:$M$1993,MATCH(A805&amp;"ENTRADA",Movimientos!$R$2:$R$1993,0))),"S/D")</f>
        <v>S/D</v>
      </c>
      <c r="I805" s="15" t="str">
        <f t="shared" ca="1" si="26"/>
        <v>S/D</v>
      </c>
      <c r="J805" s="5">
        <f>IF(A805="","",SUMIFS(Movimientos!$K:$K,Movimientos!$H:$H,A805))</f>
        <v>0</v>
      </c>
      <c r="K805" s="13" t="str">
        <f t="shared" ca="1" si="25"/>
        <v>SIN STOCK</v>
      </c>
    </row>
    <row r="806" spans="1:11">
      <c r="A806" s="16" t="s">
        <v>3111</v>
      </c>
      <c r="B806" s="2" t="str">
        <f>IFERROR(INDEX(Movimientos!$C$2:$C$1993,MATCH(A806&amp;"ENTRADA",Movimientos!$R$2:$R$1993,0)),"-")</f>
        <v>-</v>
      </c>
      <c r="C806" s="2" t="str">
        <f>IFERROR(INDEX(Movimientos!$D$2:$D$1993,MATCH(A806&amp;"ENTRADA",Movimientos!$R$2:$R$1993,0)),"-")</f>
        <v>-</v>
      </c>
      <c r="D806" s="2" t="str">
        <f>IFERROR(INDEX(Movimientos!$E$2:$E$1993,MATCH(A806&amp;"ENTRADA",Movimientos!$R$2:$R$1993,0)),"-")</f>
        <v>-</v>
      </c>
      <c r="E806" s="2" t="str">
        <f>IFERROR(INDEX(Movimientos!$F$2:$F$1993,MATCH(A806&amp;"ENTRADA",Movimientos!$R$2:$R$1993,0)),"-")</f>
        <v>-</v>
      </c>
      <c r="F806" s="2" t="str">
        <f>IFERROR(INDEX(Movimientos!$G$2:$G$1993,MATCH(A806&amp;"ENTRADA",Movimientos!$R$2:$R$1993,0)),"-")</f>
        <v>-</v>
      </c>
      <c r="G806" s="2" t="str">
        <f>IFERROR(INDEX(Movimientos!$L$2:$L$1993,MATCH(A806&amp;"ENTRADA",Movimientos!$R$2:$R$1993,0)),"-")</f>
        <v>-</v>
      </c>
      <c r="H806" s="17" t="str">
        <f>IFERROR(IF(INDEX(Movimientos!$M$2:$M$1993,MATCH(A806&amp;"ENTRADA",Movimientos!$R$2:$R$1993,0))=0,"S/D",INDEX(Movimientos!$M$2:$M$1993,MATCH(A806&amp;"ENTRADA",Movimientos!$R$2:$R$1993,0))),"S/D")</f>
        <v>S/D</v>
      </c>
      <c r="I806" s="15" t="str">
        <f t="shared" ca="1" si="26"/>
        <v>S/D</v>
      </c>
      <c r="J806" s="5">
        <f>IF(A806="","",SUMIFS(Movimientos!$K:$K,Movimientos!$H:$H,A806))</f>
        <v>0</v>
      </c>
      <c r="K806" s="13" t="str">
        <f t="shared" ca="1" si="25"/>
        <v>SIN STOCK</v>
      </c>
    </row>
    <row r="807" spans="1:11">
      <c r="A807" s="16" t="s">
        <v>3112</v>
      </c>
      <c r="B807" s="2" t="str">
        <f>IFERROR(INDEX(Movimientos!$C$2:$C$1993,MATCH(A807&amp;"ENTRADA",Movimientos!$R$2:$R$1993,0)),"-")</f>
        <v>-</v>
      </c>
      <c r="C807" s="2" t="str">
        <f>IFERROR(INDEX(Movimientos!$D$2:$D$1993,MATCH(A807&amp;"ENTRADA",Movimientos!$R$2:$R$1993,0)),"-")</f>
        <v>-</v>
      </c>
      <c r="D807" s="2" t="str">
        <f>IFERROR(INDEX(Movimientos!$E$2:$E$1993,MATCH(A807&amp;"ENTRADA",Movimientos!$R$2:$R$1993,0)),"-")</f>
        <v>-</v>
      </c>
      <c r="E807" s="2" t="str">
        <f>IFERROR(INDEX(Movimientos!$F$2:$F$1993,MATCH(A807&amp;"ENTRADA",Movimientos!$R$2:$R$1993,0)),"-")</f>
        <v>-</v>
      </c>
      <c r="F807" s="2" t="str">
        <f>IFERROR(INDEX(Movimientos!$G$2:$G$1993,MATCH(A807&amp;"ENTRADA",Movimientos!$R$2:$R$1993,0)),"-")</f>
        <v>-</v>
      </c>
      <c r="G807" s="2" t="str">
        <f>IFERROR(INDEX(Movimientos!$L$2:$L$1993,MATCH(A807&amp;"ENTRADA",Movimientos!$R$2:$R$1993,0)),"-")</f>
        <v>-</v>
      </c>
      <c r="H807" s="17" t="str">
        <f>IFERROR(IF(INDEX(Movimientos!$M$2:$M$1993,MATCH(A807&amp;"ENTRADA",Movimientos!$R$2:$R$1993,0))=0,"S/D",INDEX(Movimientos!$M$2:$M$1993,MATCH(A807&amp;"ENTRADA",Movimientos!$R$2:$R$1993,0))),"S/D")</f>
        <v>S/D</v>
      </c>
      <c r="I807" s="15" t="str">
        <f t="shared" ca="1" si="26"/>
        <v>S/D</v>
      </c>
      <c r="J807" s="5">
        <f>IF(A807="","",SUMIFS(Movimientos!$K:$K,Movimientos!$H:$H,A807))</f>
        <v>0</v>
      </c>
      <c r="K807" s="13" t="str">
        <f t="shared" ca="1" si="25"/>
        <v>SIN STOCK</v>
      </c>
    </row>
    <row r="808" spans="1:11">
      <c r="A808" s="16" t="s">
        <v>3113</v>
      </c>
      <c r="B808" s="2" t="str">
        <f>IFERROR(INDEX(Movimientos!$C$2:$C$1993,MATCH(A808&amp;"ENTRADA",Movimientos!$R$2:$R$1993,0)),"-")</f>
        <v>-</v>
      </c>
      <c r="C808" s="2" t="str">
        <f>IFERROR(INDEX(Movimientos!$D$2:$D$1993,MATCH(A808&amp;"ENTRADA",Movimientos!$R$2:$R$1993,0)),"-")</f>
        <v>-</v>
      </c>
      <c r="D808" s="2" t="str">
        <f>IFERROR(INDEX(Movimientos!$E$2:$E$1993,MATCH(A808&amp;"ENTRADA",Movimientos!$R$2:$R$1993,0)),"-")</f>
        <v>-</v>
      </c>
      <c r="E808" s="2" t="str">
        <f>IFERROR(INDEX(Movimientos!$F$2:$F$1993,MATCH(A808&amp;"ENTRADA",Movimientos!$R$2:$R$1993,0)),"-")</f>
        <v>-</v>
      </c>
      <c r="F808" s="2" t="str">
        <f>IFERROR(INDEX(Movimientos!$G$2:$G$1993,MATCH(A808&amp;"ENTRADA",Movimientos!$R$2:$R$1993,0)),"-")</f>
        <v>-</v>
      </c>
      <c r="G808" s="2" t="str">
        <f>IFERROR(INDEX(Movimientos!$L$2:$L$1993,MATCH(A808&amp;"ENTRADA",Movimientos!$R$2:$R$1993,0)),"-")</f>
        <v>-</v>
      </c>
      <c r="H808" s="17" t="str">
        <f>IFERROR(IF(INDEX(Movimientos!$M$2:$M$1993,MATCH(A808&amp;"ENTRADA",Movimientos!$R$2:$R$1993,0))=0,"S/D",INDEX(Movimientos!$M$2:$M$1993,MATCH(A808&amp;"ENTRADA",Movimientos!$R$2:$R$1993,0))),"S/D")</f>
        <v>S/D</v>
      </c>
      <c r="I808" s="15" t="str">
        <f t="shared" ca="1" si="26"/>
        <v>S/D</v>
      </c>
      <c r="J808" s="5">
        <f>IF(A808="","",SUMIFS(Movimientos!$K:$K,Movimientos!$H:$H,A808))</f>
        <v>0</v>
      </c>
      <c r="K808" s="13" t="str">
        <f t="shared" ca="1" si="25"/>
        <v>SIN STOCK</v>
      </c>
    </row>
    <row r="809" spans="1:11">
      <c r="A809" s="16" t="s">
        <v>3114</v>
      </c>
      <c r="B809" s="2" t="str">
        <f>IFERROR(INDEX(Movimientos!$C$2:$C$1993,MATCH(A809&amp;"ENTRADA",Movimientos!$R$2:$R$1993,0)),"-")</f>
        <v>-</v>
      </c>
      <c r="C809" s="2" t="str">
        <f>IFERROR(INDEX(Movimientos!$D$2:$D$1993,MATCH(A809&amp;"ENTRADA",Movimientos!$R$2:$R$1993,0)),"-")</f>
        <v>-</v>
      </c>
      <c r="D809" s="2" t="str">
        <f>IFERROR(INDEX(Movimientos!$E$2:$E$1993,MATCH(A809&amp;"ENTRADA",Movimientos!$R$2:$R$1993,0)),"-")</f>
        <v>-</v>
      </c>
      <c r="E809" s="2" t="str">
        <f>IFERROR(INDEX(Movimientos!$F$2:$F$1993,MATCH(A809&amp;"ENTRADA",Movimientos!$R$2:$R$1993,0)),"-")</f>
        <v>-</v>
      </c>
      <c r="F809" s="2" t="str">
        <f>IFERROR(INDEX(Movimientos!$G$2:$G$1993,MATCH(A809&amp;"ENTRADA",Movimientos!$R$2:$R$1993,0)),"-")</f>
        <v>-</v>
      </c>
      <c r="G809" s="2" t="str">
        <f>IFERROR(INDEX(Movimientos!$L$2:$L$1993,MATCH(A809&amp;"ENTRADA",Movimientos!$R$2:$R$1993,0)),"-")</f>
        <v>-</v>
      </c>
      <c r="H809" s="17" t="str">
        <f>IFERROR(IF(INDEX(Movimientos!$M$2:$M$1993,MATCH(A809&amp;"ENTRADA",Movimientos!$R$2:$R$1993,0))=0,"S/D",INDEX(Movimientos!$M$2:$M$1993,MATCH(A809&amp;"ENTRADA",Movimientos!$R$2:$R$1993,0))),"S/D")</f>
        <v>S/D</v>
      </c>
      <c r="I809" s="15" t="str">
        <f t="shared" ca="1" si="26"/>
        <v>S/D</v>
      </c>
      <c r="J809" s="5">
        <f>IF(A809="","",SUMIFS(Movimientos!$K:$K,Movimientos!$H:$H,A809))</f>
        <v>0</v>
      </c>
      <c r="K809" s="13" t="str">
        <f t="shared" ca="1" si="25"/>
        <v>SIN STOCK</v>
      </c>
    </row>
    <row r="810" spans="1:11">
      <c r="A810" s="16" t="s">
        <v>3115</v>
      </c>
      <c r="B810" s="2" t="str">
        <f>IFERROR(INDEX(Movimientos!$C$2:$C$1993,MATCH(A810&amp;"ENTRADA",Movimientos!$R$2:$R$1993,0)),"-")</f>
        <v>-</v>
      </c>
      <c r="C810" s="2" t="str">
        <f>IFERROR(INDEX(Movimientos!$D$2:$D$1993,MATCH(A810&amp;"ENTRADA",Movimientos!$R$2:$R$1993,0)),"-")</f>
        <v>-</v>
      </c>
      <c r="D810" s="2" t="str">
        <f>IFERROR(INDEX(Movimientos!$E$2:$E$1993,MATCH(A810&amp;"ENTRADA",Movimientos!$R$2:$R$1993,0)),"-")</f>
        <v>-</v>
      </c>
      <c r="E810" s="2" t="str">
        <f>IFERROR(INDEX(Movimientos!$F$2:$F$1993,MATCH(A810&amp;"ENTRADA",Movimientos!$R$2:$R$1993,0)),"-")</f>
        <v>-</v>
      </c>
      <c r="F810" s="2" t="str">
        <f>IFERROR(INDEX(Movimientos!$G$2:$G$1993,MATCH(A810&amp;"ENTRADA",Movimientos!$R$2:$R$1993,0)),"-")</f>
        <v>-</v>
      </c>
      <c r="G810" s="2" t="str">
        <f>IFERROR(INDEX(Movimientos!$L$2:$L$1993,MATCH(A810&amp;"ENTRADA",Movimientos!$R$2:$R$1993,0)),"-")</f>
        <v>-</v>
      </c>
      <c r="H810" s="17" t="str">
        <f>IFERROR(IF(INDEX(Movimientos!$M$2:$M$1993,MATCH(A810&amp;"ENTRADA",Movimientos!$R$2:$R$1993,0))=0,"S/D",INDEX(Movimientos!$M$2:$M$1993,MATCH(A810&amp;"ENTRADA",Movimientos!$R$2:$R$1993,0))),"S/D")</f>
        <v>S/D</v>
      </c>
      <c r="I810" s="15" t="str">
        <f t="shared" ca="1" si="26"/>
        <v>S/D</v>
      </c>
      <c r="J810" s="5">
        <f>IF(A810="","",SUMIFS(Movimientos!$K:$K,Movimientos!$H:$H,A810))</f>
        <v>0</v>
      </c>
      <c r="K810" s="13" t="str">
        <f t="shared" ca="1" si="25"/>
        <v>SIN STOCK</v>
      </c>
    </row>
    <row r="811" spans="1:11">
      <c r="A811" s="16" t="s">
        <v>3116</v>
      </c>
      <c r="B811" s="2" t="str">
        <f>IFERROR(INDEX(Movimientos!$C$2:$C$1993,MATCH(A811&amp;"ENTRADA",Movimientos!$R$2:$R$1993,0)),"-")</f>
        <v>-</v>
      </c>
      <c r="C811" s="2" t="str">
        <f>IFERROR(INDEX(Movimientos!$D$2:$D$1993,MATCH(A811&amp;"ENTRADA",Movimientos!$R$2:$R$1993,0)),"-")</f>
        <v>-</v>
      </c>
      <c r="D811" s="2" t="str">
        <f>IFERROR(INDEX(Movimientos!$E$2:$E$1993,MATCH(A811&amp;"ENTRADA",Movimientos!$R$2:$R$1993,0)),"-")</f>
        <v>-</v>
      </c>
      <c r="E811" s="2" t="str">
        <f>IFERROR(INDEX(Movimientos!$F$2:$F$1993,MATCH(A811&amp;"ENTRADA",Movimientos!$R$2:$R$1993,0)),"-")</f>
        <v>-</v>
      </c>
      <c r="F811" s="2" t="str">
        <f>IFERROR(INDEX(Movimientos!$G$2:$G$1993,MATCH(A811&amp;"ENTRADA",Movimientos!$R$2:$R$1993,0)),"-")</f>
        <v>-</v>
      </c>
      <c r="G811" s="2" t="str">
        <f>IFERROR(INDEX(Movimientos!$L$2:$L$1993,MATCH(A811&amp;"ENTRADA",Movimientos!$R$2:$R$1993,0)),"-")</f>
        <v>-</v>
      </c>
      <c r="H811" s="17" t="str">
        <f>IFERROR(IF(INDEX(Movimientos!$M$2:$M$1993,MATCH(A811&amp;"ENTRADA",Movimientos!$R$2:$R$1993,0))=0,"S/D",INDEX(Movimientos!$M$2:$M$1993,MATCH(A811&amp;"ENTRADA",Movimientos!$R$2:$R$1993,0))),"S/D")</f>
        <v>S/D</v>
      </c>
      <c r="I811" s="15" t="str">
        <f t="shared" ca="1" si="26"/>
        <v>S/D</v>
      </c>
      <c r="J811" s="5">
        <f>IF(A811="","",SUMIFS(Movimientos!$K:$K,Movimientos!$H:$H,A811))</f>
        <v>0</v>
      </c>
      <c r="K811" s="13" t="str">
        <f t="shared" ca="1" si="25"/>
        <v>SIN STOCK</v>
      </c>
    </row>
    <row r="812" spans="1:11">
      <c r="A812" s="16" t="s">
        <v>3117</v>
      </c>
      <c r="B812" s="2" t="str">
        <f>IFERROR(INDEX(Movimientos!$C$2:$C$1993,MATCH(A812&amp;"ENTRADA",Movimientos!$R$2:$R$1993,0)),"-")</f>
        <v>-</v>
      </c>
      <c r="C812" s="2" t="str">
        <f>IFERROR(INDEX(Movimientos!$D$2:$D$1993,MATCH(A812&amp;"ENTRADA",Movimientos!$R$2:$R$1993,0)),"-")</f>
        <v>-</v>
      </c>
      <c r="D812" s="2" t="str">
        <f>IFERROR(INDEX(Movimientos!$E$2:$E$1993,MATCH(A812&amp;"ENTRADA",Movimientos!$R$2:$R$1993,0)),"-")</f>
        <v>-</v>
      </c>
      <c r="E812" s="2" t="str">
        <f>IFERROR(INDEX(Movimientos!$F$2:$F$1993,MATCH(A812&amp;"ENTRADA",Movimientos!$R$2:$R$1993,0)),"-")</f>
        <v>-</v>
      </c>
      <c r="F812" s="2" t="str">
        <f>IFERROR(INDEX(Movimientos!$G$2:$G$1993,MATCH(A812&amp;"ENTRADA",Movimientos!$R$2:$R$1993,0)),"-")</f>
        <v>-</v>
      </c>
      <c r="G812" s="2" t="str">
        <f>IFERROR(INDEX(Movimientos!$L$2:$L$1993,MATCH(A812&amp;"ENTRADA",Movimientos!$R$2:$R$1993,0)),"-")</f>
        <v>-</v>
      </c>
      <c r="H812" s="17" t="str">
        <f>IFERROR(IF(INDEX(Movimientos!$M$2:$M$1993,MATCH(A812&amp;"ENTRADA",Movimientos!$R$2:$R$1993,0))=0,"S/D",INDEX(Movimientos!$M$2:$M$1993,MATCH(A812&amp;"ENTRADA",Movimientos!$R$2:$R$1993,0))),"S/D")</f>
        <v>S/D</v>
      </c>
      <c r="I812" s="15" t="str">
        <f t="shared" ca="1" si="26"/>
        <v>S/D</v>
      </c>
      <c r="J812" s="5">
        <f>IF(A812="","",SUMIFS(Movimientos!$K:$K,Movimientos!$H:$H,A812))</f>
        <v>0</v>
      </c>
      <c r="K812" s="13" t="str">
        <f t="shared" ca="1" si="25"/>
        <v>SIN STOCK</v>
      </c>
    </row>
    <row r="813" spans="1:11">
      <c r="A813" s="16" t="s">
        <v>3118</v>
      </c>
      <c r="B813" s="2" t="str">
        <f>IFERROR(INDEX(Movimientos!$C$2:$C$1993,MATCH(A813&amp;"ENTRADA",Movimientos!$R$2:$R$1993,0)),"-")</f>
        <v>-</v>
      </c>
      <c r="C813" s="2" t="str">
        <f>IFERROR(INDEX(Movimientos!$D$2:$D$1993,MATCH(A813&amp;"ENTRADA",Movimientos!$R$2:$R$1993,0)),"-")</f>
        <v>-</v>
      </c>
      <c r="D813" s="2" t="str">
        <f>IFERROR(INDEX(Movimientos!$E$2:$E$1993,MATCH(A813&amp;"ENTRADA",Movimientos!$R$2:$R$1993,0)),"-")</f>
        <v>-</v>
      </c>
      <c r="E813" s="2" t="str">
        <f>IFERROR(INDEX(Movimientos!$F$2:$F$1993,MATCH(A813&amp;"ENTRADA",Movimientos!$R$2:$R$1993,0)),"-")</f>
        <v>-</v>
      </c>
      <c r="F813" s="2" t="str">
        <f>IFERROR(INDEX(Movimientos!$G$2:$G$1993,MATCH(A813&amp;"ENTRADA",Movimientos!$R$2:$R$1993,0)),"-")</f>
        <v>-</v>
      </c>
      <c r="G813" s="2" t="str">
        <f>IFERROR(INDEX(Movimientos!$L$2:$L$1993,MATCH(A813&amp;"ENTRADA",Movimientos!$R$2:$R$1993,0)),"-")</f>
        <v>-</v>
      </c>
      <c r="H813" s="17" t="str">
        <f>IFERROR(IF(INDEX(Movimientos!$M$2:$M$1993,MATCH(A813&amp;"ENTRADA",Movimientos!$R$2:$R$1993,0))=0,"S/D",INDEX(Movimientos!$M$2:$M$1993,MATCH(A813&amp;"ENTRADA",Movimientos!$R$2:$R$1993,0))),"S/D")</f>
        <v>S/D</v>
      </c>
      <c r="I813" s="15" t="str">
        <f t="shared" ca="1" si="26"/>
        <v>S/D</v>
      </c>
      <c r="J813" s="5">
        <f>IF(A813="","",SUMIFS(Movimientos!$K:$K,Movimientos!$H:$H,A813))</f>
        <v>0</v>
      </c>
      <c r="K813" s="13" t="str">
        <f t="shared" ca="1" si="25"/>
        <v>SIN STOCK</v>
      </c>
    </row>
    <row r="814" spans="1:11">
      <c r="A814" s="16" t="s">
        <v>3119</v>
      </c>
      <c r="B814" s="2" t="str">
        <f>IFERROR(INDEX(Movimientos!$C$2:$C$1993,MATCH(A814&amp;"ENTRADA",Movimientos!$R$2:$R$1993,0)),"-")</f>
        <v>-</v>
      </c>
      <c r="C814" s="2" t="str">
        <f>IFERROR(INDEX(Movimientos!$D$2:$D$1993,MATCH(A814&amp;"ENTRADA",Movimientos!$R$2:$R$1993,0)),"-")</f>
        <v>-</v>
      </c>
      <c r="D814" s="2" t="str">
        <f>IFERROR(INDEX(Movimientos!$E$2:$E$1993,MATCH(A814&amp;"ENTRADA",Movimientos!$R$2:$R$1993,0)),"-")</f>
        <v>-</v>
      </c>
      <c r="E814" s="2" t="str">
        <f>IFERROR(INDEX(Movimientos!$F$2:$F$1993,MATCH(A814&amp;"ENTRADA",Movimientos!$R$2:$R$1993,0)),"-")</f>
        <v>-</v>
      </c>
      <c r="F814" s="2" t="str">
        <f>IFERROR(INDEX(Movimientos!$G$2:$G$1993,MATCH(A814&amp;"ENTRADA",Movimientos!$R$2:$R$1993,0)),"-")</f>
        <v>-</v>
      </c>
      <c r="G814" s="2" t="str">
        <f>IFERROR(INDEX(Movimientos!$L$2:$L$1993,MATCH(A814&amp;"ENTRADA",Movimientos!$R$2:$R$1993,0)),"-")</f>
        <v>-</v>
      </c>
      <c r="H814" s="17" t="str">
        <f>IFERROR(IF(INDEX(Movimientos!$M$2:$M$1993,MATCH(A814&amp;"ENTRADA",Movimientos!$R$2:$R$1993,0))=0,"S/D",INDEX(Movimientos!$M$2:$M$1993,MATCH(A814&amp;"ENTRADA",Movimientos!$R$2:$R$1993,0))),"S/D")</f>
        <v>S/D</v>
      </c>
      <c r="I814" s="15" t="str">
        <f t="shared" ca="1" si="26"/>
        <v>S/D</v>
      </c>
      <c r="J814" s="5">
        <f>IF(A814="","",SUMIFS(Movimientos!$K:$K,Movimientos!$H:$H,A814))</f>
        <v>0</v>
      </c>
      <c r="K814" s="13" t="str">
        <f t="shared" ca="1" si="25"/>
        <v>SIN STOCK</v>
      </c>
    </row>
    <row r="815" spans="1:11">
      <c r="A815" s="16" t="s">
        <v>3120</v>
      </c>
      <c r="B815" s="2" t="str">
        <f>IFERROR(INDEX(Movimientos!$C$2:$C$1993,MATCH(A815&amp;"ENTRADA",Movimientos!$R$2:$R$1993,0)),"-")</f>
        <v>-</v>
      </c>
      <c r="C815" s="2" t="str">
        <f>IFERROR(INDEX(Movimientos!$D$2:$D$1993,MATCH(A815&amp;"ENTRADA",Movimientos!$R$2:$R$1993,0)),"-")</f>
        <v>-</v>
      </c>
      <c r="D815" s="2" t="str">
        <f>IFERROR(INDEX(Movimientos!$E$2:$E$1993,MATCH(A815&amp;"ENTRADA",Movimientos!$R$2:$R$1993,0)),"-")</f>
        <v>-</v>
      </c>
      <c r="E815" s="2" t="str">
        <f>IFERROR(INDEX(Movimientos!$F$2:$F$1993,MATCH(A815&amp;"ENTRADA",Movimientos!$R$2:$R$1993,0)),"-")</f>
        <v>-</v>
      </c>
      <c r="F815" s="2" t="str">
        <f>IFERROR(INDEX(Movimientos!$G$2:$G$1993,MATCH(A815&amp;"ENTRADA",Movimientos!$R$2:$R$1993,0)),"-")</f>
        <v>-</v>
      </c>
      <c r="G815" s="2" t="str">
        <f>IFERROR(INDEX(Movimientos!$L$2:$L$1993,MATCH(A815&amp;"ENTRADA",Movimientos!$R$2:$R$1993,0)),"-")</f>
        <v>-</v>
      </c>
      <c r="H815" s="17" t="str">
        <f>IFERROR(IF(INDEX(Movimientos!$M$2:$M$1993,MATCH(A815&amp;"ENTRADA",Movimientos!$R$2:$R$1993,0))=0,"S/D",INDEX(Movimientos!$M$2:$M$1993,MATCH(A815&amp;"ENTRADA",Movimientos!$R$2:$R$1993,0))),"S/D")</f>
        <v>S/D</v>
      </c>
      <c r="I815" s="15" t="str">
        <f t="shared" ca="1" si="26"/>
        <v>S/D</v>
      </c>
      <c r="J815" s="5">
        <f>IF(A815="","",SUMIFS(Movimientos!$K:$K,Movimientos!$H:$H,A815))</f>
        <v>0</v>
      </c>
      <c r="K815" s="13" t="str">
        <f t="shared" ca="1" si="25"/>
        <v>SIN STOCK</v>
      </c>
    </row>
    <row r="816" spans="1:11">
      <c r="A816" s="16" t="s">
        <v>3121</v>
      </c>
      <c r="B816" s="2" t="str">
        <f>IFERROR(INDEX(Movimientos!$C$2:$C$1993,MATCH(A816&amp;"ENTRADA",Movimientos!$R$2:$R$1993,0)),"-")</f>
        <v>-</v>
      </c>
      <c r="C816" s="2" t="str">
        <f>IFERROR(INDEX(Movimientos!$D$2:$D$1993,MATCH(A816&amp;"ENTRADA",Movimientos!$R$2:$R$1993,0)),"-")</f>
        <v>-</v>
      </c>
      <c r="D816" s="2" t="str">
        <f>IFERROR(INDEX(Movimientos!$E$2:$E$1993,MATCH(A816&amp;"ENTRADA",Movimientos!$R$2:$R$1993,0)),"-")</f>
        <v>-</v>
      </c>
      <c r="E816" s="2" t="str">
        <f>IFERROR(INDEX(Movimientos!$F$2:$F$1993,MATCH(A816&amp;"ENTRADA",Movimientos!$R$2:$R$1993,0)),"-")</f>
        <v>-</v>
      </c>
      <c r="F816" s="2" t="str">
        <f>IFERROR(INDEX(Movimientos!$G$2:$G$1993,MATCH(A816&amp;"ENTRADA",Movimientos!$R$2:$R$1993,0)),"-")</f>
        <v>-</v>
      </c>
      <c r="G816" s="2" t="str">
        <f>IFERROR(INDEX(Movimientos!$L$2:$L$1993,MATCH(A816&amp;"ENTRADA",Movimientos!$R$2:$R$1993,0)),"-")</f>
        <v>-</v>
      </c>
      <c r="H816" s="17" t="str">
        <f>IFERROR(IF(INDEX(Movimientos!$M$2:$M$1993,MATCH(A816&amp;"ENTRADA",Movimientos!$R$2:$R$1993,0))=0,"S/D",INDEX(Movimientos!$M$2:$M$1993,MATCH(A816&amp;"ENTRADA",Movimientos!$R$2:$R$1993,0))),"S/D")</f>
        <v>S/D</v>
      </c>
      <c r="I816" s="15" t="str">
        <f t="shared" ca="1" si="26"/>
        <v>S/D</v>
      </c>
      <c r="J816" s="5">
        <f>IF(A816="","",SUMIFS(Movimientos!$K:$K,Movimientos!$H:$H,A816))</f>
        <v>0</v>
      </c>
      <c r="K816" s="13" t="str">
        <f t="shared" ca="1" si="25"/>
        <v>SIN STOCK</v>
      </c>
    </row>
    <row r="817" spans="1:11">
      <c r="A817" s="16" t="s">
        <v>3122</v>
      </c>
      <c r="B817" s="2" t="str">
        <f>IFERROR(INDEX(Movimientos!$C$2:$C$1993,MATCH(A817&amp;"ENTRADA",Movimientos!$R$2:$R$1993,0)),"-")</f>
        <v>-</v>
      </c>
      <c r="C817" s="2" t="str">
        <f>IFERROR(INDEX(Movimientos!$D$2:$D$1993,MATCH(A817&amp;"ENTRADA",Movimientos!$R$2:$R$1993,0)),"-")</f>
        <v>-</v>
      </c>
      <c r="D817" s="2" t="str">
        <f>IFERROR(INDEX(Movimientos!$E$2:$E$1993,MATCH(A817&amp;"ENTRADA",Movimientos!$R$2:$R$1993,0)),"-")</f>
        <v>-</v>
      </c>
      <c r="E817" s="2" t="str">
        <f>IFERROR(INDEX(Movimientos!$F$2:$F$1993,MATCH(A817&amp;"ENTRADA",Movimientos!$R$2:$R$1993,0)),"-")</f>
        <v>-</v>
      </c>
      <c r="F817" s="2" t="str">
        <f>IFERROR(INDEX(Movimientos!$G$2:$G$1993,MATCH(A817&amp;"ENTRADA",Movimientos!$R$2:$R$1993,0)),"-")</f>
        <v>-</v>
      </c>
      <c r="G817" s="2" t="str">
        <f>IFERROR(INDEX(Movimientos!$L$2:$L$1993,MATCH(A817&amp;"ENTRADA",Movimientos!$R$2:$R$1993,0)),"-")</f>
        <v>-</v>
      </c>
      <c r="H817" s="17" t="str">
        <f>IFERROR(IF(INDEX(Movimientos!$M$2:$M$1993,MATCH(A817&amp;"ENTRADA",Movimientos!$R$2:$R$1993,0))=0,"S/D",INDEX(Movimientos!$M$2:$M$1993,MATCH(A817&amp;"ENTRADA",Movimientos!$R$2:$R$1993,0))),"S/D")</f>
        <v>S/D</v>
      </c>
      <c r="I817" s="15" t="str">
        <f t="shared" ca="1" si="26"/>
        <v>S/D</v>
      </c>
      <c r="J817" s="5">
        <f>IF(A817="","",SUMIFS(Movimientos!$K:$K,Movimientos!$H:$H,A817))</f>
        <v>0</v>
      </c>
      <c r="K817" s="13" t="str">
        <f t="shared" ca="1" si="25"/>
        <v>SIN STOCK</v>
      </c>
    </row>
    <row r="818" spans="1:11">
      <c r="A818" s="16" t="s">
        <v>3123</v>
      </c>
      <c r="B818" s="2" t="str">
        <f>IFERROR(INDEX(Movimientos!$C$2:$C$1993,MATCH(A818&amp;"ENTRADA",Movimientos!$R$2:$R$1993,0)),"-")</f>
        <v>-</v>
      </c>
      <c r="C818" s="2" t="str">
        <f>IFERROR(INDEX(Movimientos!$D$2:$D$1993,MATCH(A818&amp;"ENTRADA",Movimientos!$R$2:$R$1993,0)),"-")</f>
        <v>-</v>
      </c>
      <c r="D818" s="2" t="str">
        <f>IFERROR(INDEX(Movimientos!$E$2:$E$1993,MATCH(A818&amp;"ENTRADA",Movimientos!$R$2:$R$1993,0)),"-")</f>
        <v>-</v>
      </c>
      <c r="E818" s="2" t="str">
        <f>IFERROR(INDEX(Movimientos!$F$2:$F$1993,MATCH(A818&amp;"ENTRADA",Movimientos!$R$2:$R$1993,0)),"-")</f>
        <v>-</v>
      </c>
      <c r="F818" s="2" t="str">
        <f>IFERROR(INDEX(Movimientos!$G$2:$G$1993,MATCH(A818&amp;"ENTRADA",Movimientos!$R$2:$R$1993,0)),"-")</f>
        <v>-</v>
      </c>
      <c r="G818" s="2" t="str">
        <f>IFERROR(INDEX(Movimientos!$L$2:$L$1993,MATCH(A818&amp;"ENTRADA",Movimientos!$R$2:$R$1993,0)),"-")</f>
        <v>-</v>
      </c>
      <c r="H818" s="17" t="str">
        <f>IFERROR(IF(INDEX(Movimientos!$M$2:$M$1993,MATCH(A818&amp;"ENTRADA",Movimientos!$R$2:$R$1993,0))=0,"S/D",INDEX(Movimientos!$M$2:$M$1993,MATCH(A818&amp;"ENTRADA",Movimientos!$R$2:$R$1993,0))),"S/D")</f>
        <v>S/D</v>
      </c>
      <c r="I818" s="15" t="str">
        <f t="shared" ca="1" si="26"/>
        <v>S/D</v>
      </c>
      <c r="J818" s="5">
        <f>IF(A818="","",SUMIFS(Movimientos!$K:$K,Movimientos!$H:$H,A818))</f>
        <v>0</v>
      </c>
      <c r="K818" s="13" t="str">
        <f t="shared" ca="1" si="25"/>
        <v>SIN STOCK</v>
      </c>
    </row>
    <row r="819" spans="1:11">
      <c r="A819" s="16" t="s">
        <v>3124</v>
      </c>
      <c r="B819" s="2" t="str">
        <f>IFERROR(INDEX(Movimientos!$C$2:$C$1993,MATCH(A819&amp;"ENTRADA",Movimientos!$R$2:$R$1993,0)),"-")</f>
        <v>-</v>
      </c>
      <c r="C819" s="2" t="str">
        <f>IFERROR(INDEX(Movimientos!$D$2:$D$1993,MATCH(A819&amp;"ENTRADA",Movimientos!$R$2:$R$1993,0)),"-")</f>
        <v>-</v>
      </c>
      <c r="D819" s="2" t="str">
        <f>IFERROR(INDEX(Movimientos!$E$2:$E$1993,MATCH(A819&amp;"ENTRADA",Movimientos!$R$2:$R$1993,0)),"-")</f>
        <v>-</v>
      </c>
      <c r="E819" s="2" t="str">
        <f>IFERROR(INDEX(Movimientos!$F$2:$F$1993,MATCH(A819&amp;"ENTRADA",Movimientos!$R$2:$R$1993,0)),"-")</f>
        <v>-</v>
      </c>
      <c r="F819" s="2" t="str">
        <f>IFERROR(INDEX(Movimientos!$G$2:$G$1993,MATCH(A819&amp;"ENTRADA",Movimientos!$R$2:$R$1993,0)),"-")</f>
        <v>-</v>
      </c>
      <c r="G819" s="2" t="str">
        <f>IFERROR(INDEX(Movimientos!$L$2:$L$1993,MATCH(A819&amp;"ENTRADA",Movimientos!$R$2:$R$1993,0)),"-")</f>
        <v>-</v>
      </c>
      <c r="H819" s="17" t="str">
        <f>IFERROR(IF(INDEX(Movimientos!$M$2:$M$1993,MATCH(A819&amp;"ENTRADA",Movimientos!$R$2:$R$1993,0))=0,"S/D",INDEX(Movimientos!$M$2:$M$1993,MATCH(A819&amp;"ENTRADA",Movimientos!$R$2:$R$1993,0))),"S/D")</f>
        <v>S/D</v>
      </c>
      <c r="I819" s="15" t="str">
        <f t="shared" ca="1" si="26"/>
        <v>S/D</v>
      </c>
      <c r="J819" s="5">
        <f>IF(A819="","",SUMIFS(Movimientos!$K:$K,Movimientos!$H:$H,A819))</f>
        <v>0</v>
      </c>
      <c r="K819" s="13" t="str">
        <f t="shared" ca="1" si="25"/>
        <v>SIN STOCK</v>
      </c>
    </row>
    <row r="820" spans="1:11">
      <c r="A820" s="16" t="s">
        <v>3125</v>
      </c>
      <c r="B820" s="2" t="str">
        <f>IFERROR(INDEX(Movimientos!$C$2:$C$1993,MATCH(A820&amp;"ENTRADA",Movimientos!$R$2:$R$1993,0)),"-")</f>
        <v>-</v>
      </c>
      <c r="C820" s="2" t="str">
        <f>IFERROR(INDEX(Movimientos!$D$2:$D$1993,MATCH(A820&amp;"ENTRADA",Movimientos!$R$2:$R$1993,0)),"-")</f>
        <v>-</v>
      </c>
      <c r="D820" s="2" t="str">
        <f>IFERROR(INDEX(Movimientos!$E$2:$E$1993,MATCH(A820&amp;"ENTRADA",Movimientos!$R$2:$R$1993,0)),"-")</f>
        <v>-</v>
      </c>
      <c r="E820" s="2" t="str">
        <f>IFERROR(INDEX(Movimientos!$F$2:$F$1993,MATCH(A820&amp;"ENTRADA",Movimientos!$R$2:$R$1993,0)),"-")</f>
        <v>-</v>
      </c>
      <c r="F820" s="2" t="str">
        <f>IFERROR(INDEX(Movimientos!$G$2:$G$1993,MATCH(A820&amp;"ENTRADA",Movimientos!$R$2:$R$1993,0)),"-")</f>
        <v>-</v>
      </c>
      <c r="G820" s="2" t="str">
        <f>IFERROR(INDEX(Movimientos!$L$2:$L$1993,MATCH(A820&amp;"ENTRADA",Movimientos!$R$2:$R$1993,0)),"-")</f>
        <v>-</v>
      </c>
      <c r="H820" s="17" t="str">
        <f>IFERROR(IF(INDEX(Movimientos!$M$2:$M$1993,MATCH(A820&amp;"ENTRADA",Movimientos!$R$2:$R$1993,0))=0,"S/D",INDEX(Movimientos!$M$2:$M$1993,MATCH(A820&amp;"ENTRADA",Movimientos!$R$2:$R$1993,0))),"S/D")</f>
        <v>S/D</v>
      </c>
      <c r="I820" s="15" t="str">
        <f t="shared" ca="1" si="26"/>
        <v>S/D</v>
      </c>
      <c r="J820" s="5">
        <f>IF(A820="","",SUMIFS(Movimientos!$K:$K,Movimientos!$H:$H,A820))</f>
        <v>0</v>
      </c>
      <c r="K820" s="13" t="str">
        <f t="shared" ca="1" si="25"/>
        <v>SIN STOCK</v>
      </c>
    </row>
    <row r="821" spans="1:11">
      <c r="A821" s="16" t="s">
        <v>3126</v>
      </c>
      <c r="B821" s="2" t="str">
        <f>IFERROR(INDEX(Movimientos!$C$2:$C$1993,MATCH(A821&amp;"ENTRADA",Movimientos!$R$2:$R$1993,0)),"-")</f>
        <v>-</v>
      </c>
      <c r="C821" s="2" t="str">
        <f>IFERROR(INDEX(Movimientos!$D$2:$D$1993,MATCH(A821&amp;"ENTRADA",Movimientos!$R$2:$R$1993,0)),"-")</f>
        <v>-</v>
      </c>
      <c r="D821" s="2" t="str">
        <f>IFERROR(INDEX(Movimientos!$E$2:$E$1993,MATCH(A821&amp;"ENTRADA",Movimientos!$R$2:$R$1993,0)),"-")</f>
        <v>-</v>
      </c>
      <c r="E821" s="2" t="str">
        <f>IFERROR(INDEX(Movimientos!$F$2:$F$1993,MATCH(A821&amp;"ENTRADA",Movimientos!$R$2:$R$1993,0)),"-")</f>
        <v>-</v>
      </c>
      <c r="F821" s="2" t="str">
        <f>IFERROR(INDEX(Movimientos!$G$2:$G$1993,MATCH(A821&amp;"ENTRADA",Movimientos!$R$2:$R$1993,0)),"-")</f>
        <v>-</v>
      </c>
      <c r="G821" s="2" t="str">
        <f>IFERROR(INDEX(Movimientos!$L$2:$L$1993,MATCH(A821&amp;"ENTRADA",Movimientos!$R$2:$R$1993,0)),"-")</f>
        <v>-</v>
      </c>
      <c r="H821" s="17" t="str">
        <f>IFERROR(IF(INDEX(Movimientos!$M$2:$M$1993,MATCH(A821&amp;"ENTRADA",Movimientos!$R$2:$R$1993,0))=0,"S/D",INDEX(Movimientos!$M$2:$M$1993,MATCH(A821&amp;"ENTRADA",Movimientos!$R$2:$R$1993,0))),"S/D")</f>
        <v>S/D</v>
      </c>
      <c r="I821" s="15" t="str">
        <f t="shared" ca="1" si="26"/>
        <v>S/D</v>
      </c>
      <c r="J821" s="5">
        <f>IF(A821="","",SUMIFS(Movimientos!$K:$K,Movimientos!$H:$H,A821))</f>
        <v>0</v>
      </c>
      <c r="K821" s="13" t="str">
        <f t="shared" ca="1" si="25"/>
        <v>SIN STOCK</v>
      </c>
    </row>
    <row r="822" spans="1:11">
      <c r="A822" s="16" t="s">
        <v>3127</v>
      </c>
      <c r="B822" s="2" t="str">
        <f>IFERROR(INDEX(Movimientos!$C$2:$C$1993,MATCH(A822&amp;"ENTRADA",Movimientos!$R$2:$R$1993,0)),"-")</f>
        <v>-</v>
      </c>
      <c r="C822" s="2" t="str">
        <f>IFERROR(INDEX(Movimientos!$D$2:$D$1993,MATCH(A822&amp;"ENTRADA",Movimientos!$R$2:$R$1993,0)),"-")</f>
        <v>-</v>
      </c>
      <c r="D822" s="2" t="str">
        <f>IFERROR(INDEX(Movimientos!$E$2:$E$1993,MATCH(A822&amp;"ENTRADA",Movimientos!$R$2:$R$1993,0)),"-")</f>
        <v>-</v>
      </c>
      <c r="E822" s="2" t="str">
        <f>IFERROR(INDEX(Movimientos!$F$2:$F$1993,MATCH(A822&amp;"ENTRADA",Movimientos!$R$2:$R$1993,0)),"-")</f>
        <v>-</v>
      </c>
      <c r="F822" s="2" t="str">
        <f>IFERROR(INDEX(Movimientos!$G$2:$G$1993,MATCH(A822&amp;"ENTRADA",Movimientos!$R$2:$R$1993,0)),"-")</f>
        <v>-</v>
      </c>
      <c r="G822" s="2" t="str">
        <f>IFERROR(INDEX(Movimientos!$L$2:$L$1993,MATCH(A822&amp;"ENTRADA",Movimientos!$R$2:$R$1993,0)),"-")</f>
        <v>-</v>
      </c>
      <c r="H822" s="17" t="str">
        <f>IFERROR(IF(INDEX(Movimientos!$M$2:$M$1993,MATCH(A822&amp;"ENTRADA",Movimientos!$R$2:$R$1993,0))=0,"S/D",INDEX(Movimientos!$M$2:$M$1993,MATCH(A822&amp;"ENTRADA",Movimientos!$R$2:$R$1993,0))),"S/D")</f>
        <v>S/D</v>
      </c>
      <c r="I822" s="15" t="str">
        <f t="shared" ca="1" si="26"/>
        <v>S/D</v>
      </c>
      <c r="J822" s="5">
        <f>IF(A822="","",SUMIFS(Movimientos!$K:$K,Movimientos!$H:$H,A822))</f>
        <v>0</v>
      </c>
      <c r="K822" s="13" t="str">
        <f t="shared" ca="1" si="25"/>
        <v>SIN STOCK</v>
      </c>
    </row>
    <row r="823" spans="1:11">
      <c r="A823" s="16" t="s">
        <v>3128</v>
      </c>
      <c r="B823" s="2" t="str">
        <f>IFERROR(INDEX(Movimientos!$C$2:$C$1993,MATCH(A823&amp;"ENTRADA",Movimientos!$R$2:$R$1993,0)),"-")</f>
        <v>-</v>
      </c>
      <c r="C823" s="2" t="str">
        <f>IFERROR(INDEX(Movimientos!$D$2:$D$1993,MATCH(A823&amp;"ENTRADA",Movimientos!$R$2:$R$1993,0)),"-")</f>
        <v>-</v>
      </c>
      <c r="D823" s="2" t="str">
        <f>IFERROR(INDEX(Movimientos!$E$2:$E$1993,MATCH(A823&amp;"ENTRADA",Movimientos!$R$2:$R$1993,0)),"-")</f>
        <v>-</v>
      </c>
      <c r="E823" s="2" t="str">
        <f>IFERROR(INDEX(Movimientos!$F$2:$F$1993,MATCH(A823&amp;"ENTRADA",Movimientos!$R$2:$R$1993,0)),"-")</f>
        <v>-</v>
      </c>
      <c r="F823" s="2" t="str">
        <f>IFERROR(INDEX(Movimientos!$G$2:$G$1993,MATCH(A823&amp;"ENTRADA",Movimientos!$R$2:$R$1993,0)),"-")</f>
        <v>-</v>
      </c>
      <c r="G823" s="2" t="str">
        <f>IFERROR(INDEX(Movimientos!$L$2:$L$1993,MATCH(A823&amp;"ENTRADA",Movimientos!$R$2:$R$1993,0)),"-")</f>
        <v>-</v>
      </c>
      <c r="H823" s="17" t="str">
        <f>IFERROR(IF(INDEX(Movimientos!$M$2:$M$1993,MATCH(A823&amp;"ENTRADA",Movimientos!$R$2:$R$1993,0))=0,"S/D",INDEX(Movimientos!$M$2:$M$1993,MATCH(A823&amp;"ENTRADA",Movimientos!$R$2:$R$1993,0))),"S/D")</f>
        <v>S/D</v>
      </c>
      <c r="I823" s="15" t="str">
        <f t="shared" ca="1" si="26"/>
        <v>S/D</v>
      </c>
      <c r="J823" s="5">
        <f>IF(A823="","",SUMIFS(Movimientos!$K:$K,Movimientos!$H:$H,A823))</f>
        <v>0</v>
      </c>
      <c r="K823" s="13" t="str">
        <f t="shared" ca="1" si="25"/>
        <v>SIN STOCK</v>
      </c>
    </row>
    <row r="824" spans="1:11">
      <c r="A824" s="16" t="s">
        <v>3129</v>
      </c>
      <c r="B824" s="2" t="str">
        <f>IFERROR(INDEX(Movimientos!$C$2:$C$1993,MATCH(A824&amp;"ENTRADA",Movimientos!$R$2:$R$1993,0)),"-")</f>
        <v>-</v>
      </c>
      <c r="C824" s="2" t="str">
        <f>IFERROR(INDEX(Movimientos!$D$2:$D$1993,MATCH(A824&amp;"ENTRADA",Movimientos!$R$2:$R$1993,0)),"-")</f>
        <v>-</v>
      </c>
      <c r="D824" s="2" t="str">
        <f>IFERROR(INDEX(Movimientos!$E$2:$E$1993,MATCH(A824&amp;"ENTRADA",Movimientos!$R$2:$R$1993,0)),"-")</f>
        <v>-</v>
      </c>
      <c r="E824" s="2" t="str">
        <f>IFERROR(INDEX(Movimientos!$F$2:$F$1993,MATCH(A824&amp;"ENTRADA",Movimientos!$R$2:$R$1993,0)),"-")</f>
        <v>-</v>
      </c>
      <c r="F824" s="2" t="str">
        <f>IFERROR(INDEX(Movimientos!$G$2:$G$1993,MATCH(A824&amp;"ENTRADA",Movimientos!$R$2:$R$1993,0)),"-")</f>
        <v>-</v>
      </c>
      <c r="G824" s="2" t="str">
        <f>IFERROR(INDEX(Movimientos!$L$2:$L$1993,MATCH(A824&amp;"ENTRADA",Movimientos!$R$2:$R$1993,0)),"-")</f>
        <v>-</v>
      </c>
      <c r="H824" s="17" t="str">
        <f>IFERROR(IF(INDEX(Movimientos!$M$2:$M$1993,MATCH(A824&amp;"ENTRADA",Movimientos!$R$2:$R$1993,0))=0,"S/D",INDEX(Movimientos!$M$2:$M$1993,MATCH(A824&amp;"ENTRADA",Movimientos!$R$2:$R$1993,0))),"S/D")</f>
        <v>S/D</v>
      </c>
      <c r="I824" s="15" t="str">
        <f t="shared" ca="1" si="26"/>
        <v>S/D</v>
      </c>
      <c r="J824" s="5">
        <f>IF(A824="","",SUMIFS(Movimientos!$K:$K,Movimientos!$H:$H,A824))</f>
        <v>0</v>
      </c>
      <c r="K824" s="13" t="str">
        <f t="shared" ca="1" si="25"/>
        <v>SIN STOCK</v>
      </c>
    </row>
    <row r="825" spans="1:11">
      <c r="A825" s="16" t="s">
        <v>3130</v>
      </c>
      <c r="B825" s="2" t="str">
        <f>IFERROR(INDEX(Movimientos!$C$2:$C$1993,MATCH(A825&amp;"ENTRADA",Movimientos!$R$2:$R$1993,0)),"-")</f>
        <v>-</v>
      </c>
      <c r="C825" s="2" t="str">
        <f>IFERROR(INDEX(Movimientos!$D$2:$D$1993,MATCH(A825&amp;"ENTRADA",Movimientos!$R$2:$R$1993,0)),"-")</f>
        <v>-</v>
      </c>
      <c r="D825" s="2" t="str">
        <f>IFERROR(INDEX(Movimientos!$E$2:$E$1993,MATCH(A825&amp;"ENTRADA",Movimientos!$R$2:$R$1993,0)),"-")</f>
        <v>-</v>
      </c>
      <c r="E825" s="2" t="str">
        <f>IFERROR(INDEX(Movimientos!$F$2:$F$1993,MATCH(A825&amp;"ENTRADA",Movimientos!$R$2:$R$1993,0)),"-")</f>
        <v>-</v>
      </c>
      <c r="F825" s="2" t="str">
        <f>IFERROR(INDEX(Movimientos!$G$2:$G$1993,MATCH(A825&amp;"ENTRADA",Movimientos!$R$2:$R$1993,0)),"-")</f>
        <v>-</v>
      </c>
      <c r="G825" s="2" t="str">
        <f>IFERROR(INDEX(Movimientos!$L$2:$L$1993,MATCH(A825&amp;"ENTRADA",Movimientos!$R$2:$R$1993,0)),"-")</f>
        <v>-</v>
      </c>
      <c r="H825" s="17" t="str">
        <f>IFERROR(IF(INDEX(Movimientos!$M$2:$M$1993,MATCH(A825&amp;"ENTRADA",Movimientos!$R$2:$R$1993,0))=0,"S/D",INDEX(Movimientos!$M$2:$M$1993,MATCH(A825&amp;"ENTRADA",Movimientos!$R$2:$R$1993,0))),"S/D")</f>
        <v>S/D</v>
      </c>
      <c r="I825" s="15" t="str">
        <f t="shared" ca="1" si="26"/>
        <v>S/D</v>
      </c>
      <c r="J825" s="5">
        <f>IF(A825="","",SUMIFS(Movimientos!$K:$K,Movimientos!$H:$H,A825))</f>
        <v>0</v>
      </c>
      <c r="K825" s="13" t="str">
        <f t="shared" ca="1" si="25"/>
        <v>SIN STOCK</v>
      </c>
    </row>
    <row r="826" spans="1:11">
      <c r="A826" s="16" t="s">
        <v>3131</v>
      </c>
      <c r="B826" s="2" t="str">
        <f>IFERROR(INDEX(Movimientos!$C$2:$C$1993,MATCH(A826&amp;"ENTRADA",Movimientos!$R$2:$R$1993,0)),"-")</f>
        <v>-</v>
      </c>
      <c r="C826" s="2" t="str">
        <f>IFERROR(INDEX(Movimientos!$D$2:$D$1993,MATCH(A826&amp;"ENTRADA",Movimientos!$R$2:$R$1993,0)),"-")</f>
        <v>-</v>
      </c>
      <c r="D826" s="2" t="str">
        <f>IFERROR(INDEX(Movimientos!$E$2:$E$1993,MATCH(A826&amp;"ENTRADA",Movimientos!$R$2:$R$1993,0)),"-")</f>
        <v>-</v>
      </c>
      <c r="E826" s="2" t="str">
        <f>IFERROR(INDEX(Movimientos!$F$2:$F$1993,MATCH(A826&amp;"ENTRADA",Movimientos!$R$2:$R$1993,0)),"-")</f>
        <v>-</v>
      </c>
      <c r="F826" s="2" t="str">
        <f>IFERROR(INDEX(Movimientos!$G$2:$G$1993,MATCH(A826&amp;"ENTRADA",Movimientos!$R$2:$R$1993,0)),"-")</f>
        <v>-</v>
      </c>
      <c r="G826" s="2" t="str">
        <f>IFERROR(INDEX(Movimientos!$L$2:$L$1993,MATCH(A826&amp;"ENTRADA",Movimientos!$R$2:$R$1993,0)),"-")</f>
        <v>-</v>
      </c>
      <c r="H826" s="17" t="str">
        <f>IFERROR(IF(INDEX(Movimientos!$M$2:$M$1993,MATCH(A826&amp;"ENTRADA",Movimientos!$R$2:$R$1993,0))=0,"S/D",INDEX(Movimientos!$M$2:$M$1993,MATCH(A826&amp;"ENTRADA",Movimientos!$R$2:$R$1993,0))),"S/D")</f>
        <v>S/D</v>
      </c>
      <c r="I826" s="15" t="str">
        <f t="shared" ca="1" si="26"/>
        <v>S/D</v>
      </c>
      <c r="J826" s="5">
        <f>IF(A826="","",SUMIFS(Movimientos!$K:$K,Movimientos!$H:$H,A826))</f>
        <v>0</v>
      </c>
      <c r="K826" s="13" t="str">
        <f t="shared" ca="1" si="25"/>
        <v>SIN STOCK</v>
      </c>
    </row>
    <row r="827" spans="1:11">
      <c r="A827" s="16" t="s">
        <v>3132</v>
      </c>
      <c r="B827" s="2" t="str">
        <f>IFERROR(INDEX(Movimientos!$C$2:$C$1993,MATCH(A827&amp;"ENTRADA",Movimientos!$R$2:$R$1993,0)),"-")</f>
        <v>-</v>
      </c>
      <c r="C827" s="2" t="str">
        <f>IFERROR(INDEX(Movimientos!$D$2:$D$1993,MATCH(A827&amp;"ENTRADA",Movimientos!$R$2:$R$1993,0)),"-")</f>
        <v>-</v>
      </c>
      <c r="D827" s="2" t="str">
        <f>IFERROR(INDEX(Movimientos!$E$2:$E$1993,MATCH(A827&amp;"ENTRADA",Movimientos!$R$2:$R$1993,0)),"-")</f>
        <v>-</v>
      </c>
      <c r="E827" s="2" t="str">
        <f>IFERROR(INDEX(Movimientos!$F$2:$F$1993,MATCH(A827&amp;"ENTRADA",Movimientos!$R$2:$R$1993,0)),"-")</f>
        <v>-</v>
      </c>
      <c r="F827" s="2" t="str">
        <f>IFERROR(INDEX(Movimientos!$G$2:$G$1993,MATCH(A827&amp;"ENTRADA",Movimientos!$R$2:$R$1993,0)),"-")</f>
        <v>-</v>
      </c>
      <c r="G827" s="2" t="str">
        <f>IFERROR(INDEX(Movimientos!$L$2:$L$1993,MATCH(A827&amp;"ENTRADA",Movimientos!$R$2:$R$1993,0)),"-")</f>
        <v>-</v>
      </c>
      <c r="H827" s="17" t="str">
        <f>IFERROR(IF(INDEX(Movimientos!$M$2:$M$1993,MATCH(A827&amp;"ENTRADA",Movimientos!$R$2:$R$1993,0))=0,"S/D",INDEX(Movimientos!$M$2:$M$1993,MATCH(A827&amp;"ENTRADA",Movimientos!$R$2:$R$1993,0))),"S/D")</f>
        <v>S/D</v>
      </c>
      <c r="I827" s="15" t="str">
        <f t="shared" ca="1" si="26"/>
        <v>S/D</v>
      </c>
      <c r="J827" s="5">
        <f>IF(A827="","",SUMIFS(Movimientos!$K:$K,Movimientos!$H:$H,A827))</f>
        <v>0</v>
      </c>
      <c r="K827" s="13" t="str">
        <f t="shared" ca="1" si="25"/>
        <v>SIN STOCK</v>
      </c>
    </row>
    <row r="828" spans="1:11">
      <c r="A828" s="16" t="s">
        <v>3133</v>
      </c>
      <c r="B828" s="2" t="str">
        <f>IFERROR(INDEX(Movimientos!$C$2:$C$1993,MATCH(A828&amp;"ENTRADA",Movimientos!$R$2:$R$1993,0)),"-")</f>
        <v>-</v>
      </c>
      <c r="C828" s="2" t="str">
        <f>IFERROR(INDEX(Movimientos!$D$2:$D$1993,MATCH(A828&amp;"ENTRADA",Movimientos!$R$2:$R$1993,0)),"-")</f>
        <v>-</v>
      </c>
      <c r="D828" s="2" t="str">
        <f>IFERROR(INDEX(Movimientos!$E$2:$E$1993,MATCH(A828&amp;"ENTRADA",Movimientos!$R$2:$R$1993,0)),"-")</f>
        <v>-</v>
      </c>
      <c r="E828" s="2" t="str">
        <f>IFERROR(INDEX(Movimientos!$F$2:$F$1993,MATCH(A828&amp;"ENTRADA",Movimientos!$R$2:$R$1993,0)),"-")</f>
        <v>-</v>
      </c>
      <c r="F828" s="2" t="str">
        <f>IFERROR(INDEX(Movimientos!$G$2:$G$1993,MATCH(A828&amp;"ENTRADA",Movimientos!$R$2:$R$1993,0)),"-")</f>
        <v>-</v>
      </c>
      <c r="G828" s="2" t="str">
        <f>IFERROR(INDEX(Movimientos!$L$2:$L$1993,MATCH(A828&amp;"ENTRADA",Movimientos!$R$2:$R$1993,0)),"-")</f>
        <v>-</v>
      </c>
      <c r="H828" s="17" t="str">
        <f>IFERROR(IF(INDEX(Movimientos!$M$2:$M$1993,MATCH(A828&amp;"ENTRADA",Movimientos!$R$2:$R$1993,0))=0,"S/D",INDEX(Movimientos!$M$2:$M$1993,MATCH(A828&amp;"ENTRADA",Movimientos!$R$2:$R$1993,0))),"S/D")</f>
        <v>S/D</v>
      </c>
      <c r="I828" s="15" t="str">
        <f t="shared" ca="1" si="26"/>
        <v>S/D</v>
      </c>
      <c r="J828" s="5">
        <f>IF(A828="","",SUMIFS(Movimientos!$K:$K,Movimientos!$H:$H,A828))</f>
        <v>0</v>
      </c>
      <c r="K828" s="13" t="str">
        <f t="shared" ca="1" si="25"/>
        <v>SIN STOCK</v>
      </c>
    </row>
    <row r="829" spans="1:11">
      <c r="A829" s="16" t="s">
        <v>3134</v>
      </c>
      <c r="B829" s="2" t="str">
        <f>IFERROR(INDEX(Movimientos!$C$2:$C$1993,MATCH(A829&amp;"ENTRADA",Movimientos!$R$2:$R$1993,0)),"-")</f>
        <v>-</v>
      </c>
      <c r="C829" s="2" t="str">
        <f>IFERROR(INDEX(Movimientos!$D$2:$D$1993,MATCH(A829&amp;"ENTRADA",Movimientos!$R$2:$R$1993,0)),"-")</f>
        <v>-</v>
      </c>
      <c r="D829" s="2" t="str">
        <f>IFERROR(INDEX(Movimientos!$E$2:$E$1993,MATCH(A829&amp;"ENTRADA",Movimientos!$R$2:$R$1993,0)),"-")</f>
        <v>-</v>
      </c>
      <c r="E829" s="2" t="str">
        <f>IFERROR(INDEX(Movimientos!$F$2:$F$1993,MATCH(A829&amp;"ENTRADA",Movimientos!$R$2:$R$1993,0)),"-")</f>
        <v>-</v>
      </c>
      <c r="F829" s="2" t="str">
        <f>IFERROR(INDEX(Movimientos!$G$2:$G$1993,MATCH(A829&amp;"ENTRADA",Movimientos!$R$2:$R$1993,0)),"-")</f>
        <v>-</v>
      </c>
      <c r="G829" s="2" t="str">
        <f>IFERROR(INDEX(Movimientos!$L$2:$L$1993,MATCH(A829&amp;"ENTRADA",Movimientos!$R$2:$R$1993,0)),"-")</f>
        <v>-</v>
      </c>
      <c r="H829" s="17" t="str">
        <f>IFERROR(IF(INDEX(Movimientos!$M$2:$M$1993,MATCH(A829&amp;"ENTRADA",Movimientos!$R$2:$R$1993,0))=0,"S/D",INDEX(Movimientos!$M$2:$M$1993,MATCH(A829&amp;"ENTRADA",Movimientos!$R$2:$R$1993,0))),"S/D")</f>
        <v>S/D</v>
      </c>
      <c r="I829" s="15" t="str">
        <f t="shared" ca="1" si="26"/>
        <v>S/D</v>
      </c>
      <c r="J829" s="5">
        <f>IF(A829="","",SUMIFS(Movimientos!$K:$K,Movimientos!$H:$H,A829))</f>
        <v>0</v>
      </c>
      <c r="K829" s="13" t="str">
        <f t="shared" ca="1" si="25"/>
        <v>SIN STOCK</v>
      </c>
    </row>
    <row r="830" spans="1:11">
      <c r="A830" s="16" t="s">
        <v>3135</v>
      </c>
      <c r="B830" s="2" t="str">
        <f>IFERROR(INDEX(Movimientos!$C$2:$C$1993,MATCH(A830&amp;"ENTRADA",Movimientos!$R$2:$R$1993,0)),"-")</f>
        <v>-</v>
      </c>
      <c r="C830" s="2" t="str">
        <f>IFERROR(INDEX(Movimientos!$D$2:$D$1993,MATCH(A830&amp;"ENTRADA",Movimientos!$R$2:$R$1993,0)),"-")</f>
        <v>-</v>
      </c>
      <c r="D830" s="2" t="str">
        <f>IFERROR(INDEX(Movimientos!$E$2:$E$1993,MATCH(A830&amp;"ENTRADA",Movimientos!$R$2:$R$1993,0)),"-")</f>
        <v>-</v>
      </c>
      <c r="E830" s="2" t="str">
        <f>IFERROR(INDEX(Movimientos!$F$2:$F$1993,MATCH(A830&amp;"ENTRADA",Movimientos!$R$2:$R$1993,0)),"-")</f>
        <v>-</v>
      </c>
      <c r="F830" s="2" t="str">
        <f>IFERROR(INDEX(Movimientos!$G$2:$G$1993,MATCH(A830&amp;"ENTRADA",Movimientos!$R$2:$R$1993,0)),"-")</f>
        <v>-</v>
      </c>
      <c r="G830" s="2" t="str">
        <f>IFERROR(INDEX(Movimientos!$L$2:$L$1993,MATCH(A830&amp;"ENTRADA",Movimientos!$R$2:$R$1993,0)),"-")</f>
        <v>-</v>
      </c>
      <c r="H830" s="17" t="str">
        <f>IFERROR(IF(INDEX(Movimientos!$M$2:$M$1993,MATCH(A830&amp;"ENTRADA",Movimientos!$R$2:$R$1993,0))=0,"S/D",INDEX(Movimientos!$M$2:$M$1993,MATCH(A830&amp;"ENTRADA",Movimientos!$R$2:$R$1993,0))),"S/D")</f>
        <v>S/D</v>
      </c>
      <c r="I830" s="15" t="str">
        <f t="shared" ca="1" si="26"/>
        <v>S/D</v>
      </c>
      <c r="J830" s="5">
        <f>IF(A830="","",SUMIFS(Movimientos!$K:$K,Movimientos!$H:$H,A830))</f>
        <v>0</v>
      </c>
      <c r="K830" s="13" t="str">
        <f t="shared" ref="K830:K893" ca="1" si="27">IF(A830="","",IF(J830&lt;0.01,"SIN STOCK",IF(H830="S/D","OK",IF(H830&lt;TODAY(),"VENCIDO",IF(I830&gt;=180,"OK","PRÓXIMO A VENCER")))))</f>
        <v>SIN STOCK</v>
      </c>
    </row>
    <row r="831" spans="1:11">
      <c r="A831" s="16" t="s">
        <v>3136</v>
      </c>
      <c r="B831" s="2" t="str">
        <f>IFERROR(INDEX(Movimientos!$C$2:$C$1993,MATCH(A831&amp;"ENTRADA",Movimientos!$R$2:$R$1993,0)),"-")</f>
        <v>-</v>
      </c>
      <c r="C831" s="2" t="str">
        <f>IFERROR(INDEX(Movimientos!$D$2:$D$1993,MATCH(A831&amp;"ENTRADA",Movimientos!$R$2:$R$1993,0)),"-")</f>
        <v>-</v>
      </c>
      <c r="D831" s="2" t="str">
        <f>IFERROR(INDEX(Movimientos!$E$2:$E$1993,MATCH(A831&amp;"ENTRADA",Movimientos!$R$2:$R$1993,0)),"-")</f>
        <v>-</v>
      </c>
      <c r="E831" s="2" t="str">
        <f>IFERROR(INDEX(Movimientos!$F$2:$F$1993,MATCH(A831&amp;"ENTRADA",Movimientos!$R$2:$R$1993,0)),"-")</f>
        <v>-</v>
      </c>
      <c r="F831" s="2" t="str">
        <f>IFERROR(INDEX(Movimientos!$G$2:$G$1993,MATCH(A831&amp;"ENTRADA",Movimientos!$R$2:$R$1993,0)),"-")</f>
        <v>-</v>
      </c>
      <c r="G831" s="2" t="str">
        <f>IFERROR(INDEX(Movimientos!$L$2:$L$1993,MATCH(A831&amp;"ENTRADA",Movimientos!$R$2:$R$1993,0)),"-")</f>
        <v>-</v>
      </c>
      <c r="H831" s="17" t="str">
        <f>IFERROR(IF(INDEX(Movimientos!$M$2:$M$1993,MATCH(A831&amp;"ENTRADA",Movimientos!$R$2:$R$1993,0))=0,"S/D",INDEX(Movimientos!$M$2:$M$1993,MATCH(A831&amp;"ENTRADA",Movimientos!$R$2:$R$1993,0))),"S/D")</f>
        <v>S/D</v>
      </c>
      <c r="I831" s="15" t="str">
        <f t="shared" ca="1" si="26"/>
        <v>S/D</v>
      </c>
      <c r="J831" s="5">
        <f>IF(A831="","",SUMIFS(Movimientos!$K:$K,Movimientos!$H:$H,A831))</f>
        <v>0</v>
      </c>
      <c r="K831" s="13" t="str">
        <f t="shared" ca="1" si="27"/>
        <v>SIN STOCK</v>
      </c>
    </row>
    <row r="832" spans="1:11">
      <c r="A832" s="16" t="s">
        <v>3137</v>
      </c>
      <c r="B832" s="2" t="str">
        <f>IFERROR(INDEX(Movimientos!$C$2:$C$1993,MATCH(A832&amp;"ENTRADA",Movimientos!$R$2:$R$1993,0)),"-")</f>
        <v>-</v>
      </c>
      <c r="C832" s="2" t="str">
        <f>IFERROR(INDEX(Movimientos!$D$2:$D$1993,MATCH(A832&amp;"ENTRADA",Movimientos!$R$2:$R$1993,0)),"-")</f>
        <v>-</v>
      </c>
      <c r="D832" s="2" t="str">
        <f>IFERROR(INDEX(Movimientos!$E$2:$E$1993,MATCH(A832&amp;"ENTRADA",Movimientos!$R$2:$R$1993,0)),"-")</f>
        <v>-</v>
      </c>
      <c r="E832" s="2" t="str">
        <f>IFERROR(INDEX(Movimientos!$F$2:$F$1993,MATCH(A832&amp;"ENTRADA",Movimientos!$R$2:$R$1993,0)),"-")</f>
        <v>-</v>
      </c>
      <c r="F832" s="2" t="str">
        <f>IFERROR(INDEX(Movimientos!$G$2:$G$1993,MATCH(A832&amp;"ENTRADA",Movimientos!$R$2:$R$1993,0)),"-")</f>
        <v>-</v>
      </c>
      <c r="G832" s="2" t="str">
        <f>IFERROR(INDEX(Movimientos!$L$2:$L$1993,MATCH(A832&amp;"ENTRADA",Movimientos!$R$2:$R$1993,0)),"-")</f>
        <v>-</v>
      </c>
      <c r="H832" s="17" t="str">
        <f>IFERROR(IF(INDEX(Movimientos!$M$2:$M$1993,MATCH(A832&amp;"ENTRADA",Movimientos!$R$2:$R$1993,0))=0,"S/D",INDEX(Movimientos!$M$2:$M$1993,MATCH(A832&amp;"ENTRADA",Movimientos!$R$2:$R$1993,0))),"S/D")</f>
        <v>S/D</v>
      </c>
      <c r="I832" s="15" t="str">
        <f t="shared" ca="1" si="26"/>
        <v>S/D</v>
      </c>
      <c r="J832" s="5">
        <f>IF(A832="","",SUMIFS(Movimientos!$K:$K,Movimientos!$H:$H,A832))</f>
        <v>0</v>
      </c>
      <c r="K832" s="13" t="str">
        <f t="shared" ca="1" si="27"/>
        <v>SIN STOCK</v>
      </c>
    </row>
    <row r="833" spans="1:11">
      <c r="A833" s="16" t="s">
        <v>3138</v>
      </c>
      <c r="B833" s="2" t="str">
        <f>IFERROR(INDEX(Movimientos!$C$2:$C$1993,MATCH(A833&amp;"ENTRADA",Movimientos!$R$2:$R$1993,0)),"-")</f>
        <v>-</v>
      </c>
      <c r="C833" s="2" t="str">
        <f>IFERROR(INDEX(Movimientos!$D$2:$D$1993,MATCH(A833&amp;"ENTRADA",Movimientos!$R$2:$R$1993,0)),"-")</f>
        <v>-</v>
      </c>
      <c r="D833" s="2" t="str">
        <f>IFERROR(INDEX(Movimientos!$E$2:$E$1993,MATCH(A833&amp;"ENTRADA",Movimientos!$R$2:$R$1993,0)),"-")</f>
        <v>-</v>
      </c>
      <c r="E833" s="2" t="str">
        <f>IFERROR(INDEX(Movimientos!$F$2:$F$1993,MATCH(A833&amp;"ENTRADA",Movimientos!$R$2:$R$1993,0)),"-")</f>
        <v>-</v>
      </c>
      <c r="F833" s="2" t="str">
        <f>IFERROR(INDEX(Movimientos!$G$2:$G$1993,MATCH(A833&amp;"ENTRADA",Movimientos!$R$2:$R$1993,0)),"-")</f>
        <v>-</v>
      </c>
      <c r="G833" s="2" t="str">
        <f>IFERROR(INDEX(Movimientos!$L$2:$L$1993,MATCH(A833&amp;"ENTRADA",Movimientos!$R$2:$R$1993,0)),"-")</f>
        <v>-</v>
      </c>
      <c r="H833" s="17" t="str">
        <f>IFERROR(IF(INDEX(Movimientos!$M$2:$M$1993,MATCH(A833&amp;"ENTRADA",Movimientos!$R$2:$R$1993,0))=0,"S/D",INDEX(Movimientos!$M$2:$M$1993,MATCH(A833&amp;"ENTRADA",Movimientos!$R$2:$R$1993,0))),"S/D")</f>
        <v>S/D</v>
      </c>
      <c r="I833" s="15" t="str">
        <f t="shared" ca="1" si="26"/>
        <v>S/D</v>
      </c>
      <c r="J833" s="5">
        <f>IF(A833="","",SUMIFS(Movimientos!$K:$K,Movimientos!$H:$H,A833))</f>
        <v>0</v>
      </c>
      <c r="K833" s="13" t="str">
        <f t="shared" ca="1" si="27"/>
        <v>SIN STOCK</v>
      </c>
    </row>
    <row r="834" spans="1:11">
      <c r="A834" s="16" t="s">
        <v>3139</v>
      </c>
      <c r="B834" s="2" t="str">
        <f>IFERROR(INDEX(Movimientos!$C$2:$C$1993,MATCH(A834&amp;"ENTRADA",Movimientos!$R$2:$R$1993,0)),"-")</f>
        <v>-</v>
      </c>
      <c r="C834" s="2" t="str">
        <f>IFERROR(INDEX(Movimientos!$D$2:$D$1993,MATCH(A834&amp;"ENTRADA",Movimientos!$R$2:$R$1993,0)),"-")</f>
        <v>-</v>
      </c>
      <c r="D834" s="2" t="str">
        <f>IFERROR(INDEX(Movimientos!$E$2:$E$1993,MATCH(A834&amp;"ENTRADA",Movimientos!$R$2:$R$1993,0)),"-")</f>
        <v>-</v>
      </c>
      <c r="E834" s="2" t="str">
        <f>IFERROR(INDEX(Movimientos!$F$2:$F$1993,MATCH(A834&amp;"ENTRADA",Movimientos!$R$2:$R$1993,0)),"-")</f>
        <v>-</v>
      </c>
      <c r="F834" s="2" t="str">
        <f>IFERROR(INDEX(Movimientos!$G$2:$G$1993,MATCH(A834&amp;"ENTRADA",Movimientos!$R$2:$R$1993,0)),"-")</f>
        <v>-</v>
      </c>
      <c r="G834" s="2" t="str">
        <f>IFERROR(INDEX(Movimientos!$L$2:$L$1993,MATCH(A834&amp;"ENTRADA",Movimientos!$R$2:$R$1993,0)),"-")</f>
        <v>-</v>
      </c>
      <c r="H834" s="17" t="str">
        <f>IFERROR(IF(INDEX(Movimientos!$M$2:$M$1993,MATCH(A834&amp;"ENTRADA",Movimientos!$R$2:$R$1993,0))=0,"S/D",INDEX(Movimientos!$M$2:$M$1993,MATCH(A834&amp;"ENTRADA",Movimientos!$R$2:$R$1993,0))),"S/D")</f>
        <v>S/D</v>
      </c>
      <c r="I834" s="15" t="str">
        <f t="shared" ca="1" si="26"/>
        <v>S/D</v>
      </c>
      <c r="J834" s="5">
        <f>IF(A834="","",SUMIFS(Movimientos!$K:$K,Movimientos!$H:$H,A834))</f>
        <v>0</v>
      </c>
      <c r="K834" s="13" t="str">
        <f t="shared" ca="1" si="27"/>
        <v>SIN STOCK</v>
      </c>
    </row>
    <row r="835" spans="1:11">
      <c r="A835" s="16" t="s">
        <v>3140</v>
      </c>
      <c r="B835" s="2" t="str">
        <f>IFERROR(INDEX(Movimientos!$C$2:$C$1993,MATCH(A835&amp;"ENTRADA",Movimientos!$R$2:$R$1993,0)),"-")</f>
        <v>-</v>
      </c>
      <c r="C835" s="2" t="str">
        <f>IFERROR(INDEX(Movimientos!$D$2:$D$1993,MATCH(A835&amp;"ENTRADA",Movimientos!$R$2:$R$1993,0)),"-")</f>
        <v>-</v>
      </c>
      <c r="D835" s="2" t="str">
        <f>IFERROR(INDEX(Movimientos!$E$2:$E$1993,MATCH(A835&amp;"ENTRADA",Movimientos!$R$2:$R$1993,0)),"-")</f>
        <v>-</v>
      </c>
      <c r="E835" s="2" t="str">
        <f>IFERROR(INDEX(Movimientos!$F$2:$F$1993,MATCH(A835&amp;"ENTRADA",Movimientos!$R$2:$R$1993,0)),"-")</f>
        <v>-</v>
      </c>
      <c r="F835" s="2" t="str">
        <f>IFERROR(INDEX(Movimientos!$G$2:$G$1993,MATCH(A835&amp;"ENTRADA",Movimientos!$R$2:$R$1993,0)),"-")</f>
        <v>-</v>
      </c>
      <c r="G835" s="2" t="str">
        <f>IFERROR(INDEX(Movimientos!$L$2:$L$1993,MATCH(A835&amp;"ENTRADA",Movimientos!$R$2:$R$1993,0)),"-")</f>
        <v>-</v>
      </c>
      <c r="H835" s="17" t="str">
        <f>IFERROR(IF(INDEX(Movimientos!$M$2:$M$1993,MATCH(A835&amp;"ENTRADA",Movimientos!$R$2:$R$1993,0))=0,"S/D",INDEX(Movimientos!$M$2:$M$1993,MATCH(A835&amp;"ENTRADA",Movimientos!$R$2:$R$1993,0))),"S/D")</f>
        <v>S/D</v>
      </c>
      <c r="I835" s="15" t="str">
        <f t="shared" ca="1" si="26"/>
        <v>S/D</v>
      </c>
      <c r="J835" s="5">
        <f>IF(A835="","",SUMIFS(Movimientos!$K:$K,Movimientos!$H:$H,A835))</f>
        <v>0</v>
      </c>
      <c r="K835" s="13" t="str">
        <f t="shared" ca="1" si="27"/>
        <v>SIN STOCK</v>
      </c>
    </row>
    <row r="836" spans="1:11">
      <c r="A836" s="16" t="s">
        <v>3141</v>
      </c>
      <c r="B836" s="2" t="str">
        <f>IFERROR(INDEX(Movimientos!$C$2:$C$1993,MATCH(A836&amp;"ENTRADA",Movimientos!$R$2:$R$1993,0)),"-")</f>
        <v>-</v>
      </c>
      <c r="C836" s="2" t="str">
        <f>IFERROR(INDEX(Movimientos!$D$2:$D$1993,MATCH(A836&amp;"ENTRADA",Movimientos!$R$2:$R$1993,0)),"-")</f>
        <v>-</v>
      </c>
      <c r="D836" s="2" t="str">
        <f>IFERROR(INDEX(Movimientos!$E$2:$E$1993,MATCH(A836&amp;"ENTRADA",Movimientos!$R$2:$R$1993,0)),"-")</f>
        <v>-</v>
      </c>
      <c r="E836" s="2" t="str">
        <f>IFERROR(INDEX(Movimientos!$F$2:$F$1993,MATCH(A836&amp;"ENTRADA",Movimientos!$R$2:$R$1993,0)),"-")</f>
        <v>-</v>
      </c>
      <c r="F836" s="2" t="str">
        <f>IFERROR(INDEX(Movimientos!$G$2:$G$1993,MATCH(A836&amp;"ENTRADA",Movimientos!$R$2:$R$1993,0)),"-")</f>
        <v>-</v>
      </c>
      <c r="G836" s="2" t="str">
        <f>IFERROR(INDEX(Movimientos!$L$2:$L$1993,MATCH(A836&amp;"ENTRADA",Movimientos!$R$2:$R$1993,0)),"-")</f>
        <v>-</v>
      </c>
      <c r="H836" s="17" t="str">
        <f>IFERROR(IF(INDEX(Movimientos!$M$2:$M$1993,MATCH(A836&amp;"ENTRADA",Movimientos!$R$2:$R$1993,0))=0,"S/D",INDEX(Movimientos!$M$2:$M$1993,MATCH(A836&amp;"ENTRADA",Movimientos!$R$2:$R$1993,0))),"S/D")</f>
        <v>S/D</v>
      </c>
      <c r="I836" s="15" t="str">
        <f t="shared" ca="1" si="26"/>
        <v>S/D</v>
      </c>
      <c r="J836" s="5">
        <f>IF(A836="","",SUMIFS(Movimientos!$K:$K,Movimientos!$H:$H,A836))</f>
        <v>0</v>
      </c>
      <c r="K836" s="13" t="str">
        <f t="shared" ca="1" si="27"/>
        <v>SIN STOCK</v>
      </c>
    </row>
    <row r="837" spans="1:11">
      <c r="A837" s="16" t="s">
        <v>3142</v>
      </c>
      <c r="B837" s="2" t="str">
        <f>IFERROR(INDEX(Movimientos!$C$2:$C$1993,MATCH(A837&amp;"ENTRADA",Movimientos!$R$2:$R$1993,0)),"-")</f>
        <v>-</v>
      </c>
      <c r="C837" s="2" t="str">
        <f>IFERROR(INDEX(Movimientos!$D$2:$D$1993,MATCH(A837&amp;"ENTRADA",Movimientos!$R$2:$R$1993,0)),"-")</f>
        <v>-</v>
      </c>
      <c r="D837" s="2" t="str">
        <f>IFERROR(INDEX(Movimientos!$E$2:$E$1993,MATCH(A837&amp;"ENTRADA",Movimientos!$R$2:$R$1993,0)),"-")</f>
        <v>-</v>
      </c>
      <c r="E837" s="2" t="str">
        <f>IFERROR(INDEX(Movimientos!$F$2:$F$1993,MATCH(A837&amp;"ENTRADA",Movimientos!$R$2:$R$1993,0)),"-")</f>
        <v>-</v>
      </c>
      <c r="F837" s="2" t="str">
        <f>IFERROR(INDEX(Movimientos!$G$2:$G$1993,MATCH(A837&amp;"ENTRADA",Movimientos!$R$2:$R$1993,0)),"-")</f>
        <v>-</v>
      </c>
      <c r="G837" s="2" t="str">
        <f>IFERROR(INDEX(Movimientos!$L$2:$L$1993,MATCH(A837&amp;"ENTRADA",Movimientos!$R$2:$R$1993,0)),"-")</f>
        <v>-</v>
      </c>
      <c r="H837" s="17" t="str">
        <f>IFERROR(IF(INDEX(Movimientos!$M$2:$M$1993,MATCH(A837&amp;"ENTRADA",Movimientos!$R$2:$R$1993,0))=0,"S/D",INDEX(Movimientos!$M$2:$M$1993,MATCH(A837&amp;"ENTRADA",Movimientos!$R$2:$R$1993,0))),"S/D")</f>
        <v>S/D</v>
      </c>
      <c r="I837" s="15" t="str">
        <f t="shared" ref="I837:I900" ca="1" si="28">IF(OR(A837="",H837="S/D"),"S/D",H837-TODAY())</f>
        <v>S/D</v>
      </c>
      <c r="J837" s="5">
        <f>IF(A837="","",SUMIFS(Movimientos!$K:$K,Movimientos!$H:$H,A837))</f>
        <v>0</v>
      </c>
      <c r="K837" s="13" t="str">
        <f t="shared" ca="1" si="27"/>
        <v>SIN STOCK</v>
      </c>
    </row>
    <row r="838" spans="1:11">
      <c r="A838" s="16" t="s">
        <v>3143</v>
      </c>
      <c r="B838" s="2" t="str">
        <f>IFERROR(INDEX(Movimientos!$C$2:$C$1993,MATCH(A838&amp;"ENTRADA",Movimientos!$R$2:$R$1993,0)),"-")</f>
        <v>-</v>
      </c>
      <c r="C838" s="2" t="str">
        <f>IFERROR(INDEX(Movimientos!$D$2:$D$1993,MATCH(A838&amp;"ENTRADA",Movimientos!$R$2:$R$1993,0)),"-")</f>
        <v>-</v>
      </c>
      <c r="D838" s="2" t="str">
        <f>IFERROR(INDEX(Movimientos!$E$2:$E$1993,MATCH(A838&amp;"ENTRADA",Movimientos!$R$2:$R$1993,0)),"-")</f>
        <v>-</v>
      </c>
      <c r="E838" s="2" t="str">
        <f>IFERROR(INDEX(Movimientos!$F$2:$F$1993,MATCH(A838&amp;"ENTRADA",Movimientos!$R$2:$R$1993,0)),"-")</f>
        <v>-</v>
      </c>
      <c r="F838" s="2" t="str">
        <f>IFERROR(INDEX(Movimientos!$G$2:$G$1993,MATCH(A838&amp;"ENTRADA",Movimientos!$R$2:$R$1993,0)),"-")</f>
        <v>-</v>
      </c>
      <c r="G838" s="2" t="str">
        <f>IFERROR(INDEX(Movimientos!$L$2:$L$1993,MATCH(A838&amp;"ENTRADA",Movimientos!$R$2:$R$1993,0)),"-")</f>
        <v>-</v>
      </c>
      <c r="H838" s="17" t="str">
        <f>IFERROR(IF(INDEX(Movimientos!$M$2:$M$1993,MATCH(A838&amp;"ENTRADA",Movimientos!$R$2:$R$1993,0))=0,"S/D",INDEX(Movimientos!$M$2:$M$1993,MATCH(A838&amp;"ENTRADA",Movimientos!$R$2:$R$1993,0))),"S/D")</f>
        <v>S/D</v>
      </c>
      <c r="I838" s="15" t="str">
        <f t="shared" ca="1" si="28"/>
        <v>S/D</v>
      </c>
      <c r="J838" s="5">
        <f>IF(A838="","",SUMIFS(Movimientos!$K:$K,Movimientos!$H:$H,A838))</f>
        <v>0</v>
      </c>
      <c r="K838" s="13" t="str">
        <f t="shared" ca="1" si="27"/>
        <v>SIN STOCK</v>
      </c>
    </row>
    <row r="839" spans="1:11">
      <c r="A839" s="16" t="s">
        <v>3144</v>
      </c>
      <c r="B839" s="2" t="str">
        <f>IFERROR(INDEX(Movimientos!$C$2:$C$1993,MATCH(A839&amp;"ENTRADA",Movimientos!$R$2:$R$1993,0)),"-")</f>
        <v>-</v>
      </c>
      <c r="C839" s="2" t="str">
        <f>IFERROR(INDEX(Movimientos!$D$2:$D$1993,MATCH(A839&amp;"ENTRADA",Movimientos!$R$2:$R$1993,0)),"-")</f>
        <v>-</v>
      </c>
      <c r="D839" s="2" t="str">
        <f>IFERROR(INDEX(Movimientos!$E$2:$E$1993,MATCH(A839&amp;"ENTRADA",Movimientos!$R$2:$R$1993,0)),"-")</f>
        <v>-</v>
      </c>
      <c r="E839" s="2" t="str">
        <f>IFERROR(INDEX(Movimientos!$F$2:$F$1993,MATCH(A839&amp;"ENTRADA",Movimientos!$R$2:$R$1993,0)),"-")</f>
        <v>-</v>
      </c>
      <c r="F839" s="2" t="str">
        <f>IFERROR(INDEX(Movimientos!$G$2:$G$1993,MATCH(A839&amp;"ENTRADA",Movimientos!$R$2:$R$1993,0)),"-")</f>
        <v>-</v>
      </c>
      <c r="G839" s="2" t="str">
        <f>IFERROR(INDEX(Movimientos!$L$2:$L$1993,MATCH(A839&amp;"ENTRADA",Movimientos!$R$2:$R$1993,0)),"-")</f>
        <v>-</v>
      </c>
      <c r="H839" s="17" t="str">
        <f>IFERROR(IF(INDEX(Movimientos!$M$2:$M$1993,MATCH(A839&amp;"ENTRADA",Movimientos!$R$2:$R$1993,0))=0,"S/D",INDEX(Movimientos!$M$2:$M$1993,MATCH(A839&amp;"ENTRADA",Movimientos!$R$2:$R$1993,0))),"S/D")</f>
        <v>S/D</v>
      </c>
      <c r="I839" s="15" t="str">
        <f t="shared" ca="1" si="28"/>
        <v>S/D</v>
      </c>
      <c r="J839" s="5">
        <f>IF(A839="","",SUMIFS(Movimientos!$K:$K,Movimientos!$H:$H,A839))</f>
        <v>0</v>
      </c>
      <c r="K839" s="13" t="str">
        <f t="shared" ca="1" si="27"/>
        <v>SIN STOCK</v>
      </c>
    </row>
    <row r="840" spans="1:11">
      <c r="A840" s="16" t="s">
        <v>3145</v>
      </c>
      <c r="B840" s="2" t="str">
        <f>IFERROR(INDEX(Movimientos!$C$2:$C$1993,MATCH(A840&amp;"ENTRADA",Movimientos!$R$2:$R$1993,0)),"-")</f>
        <v>-</v>
      </c>
      <c r="C840" s="2" t="str">
        <f>IFERROR(INDEX(Movimientos!$D$2:$D$1993,MATCH(A840&amp;"ENTRADA",Movimientos!$R$2:$R$1993,0)),"-")</f>
        <v>-</v>
      </c>
      <c r="D840" s="2" t="str">
        <f>IFERROR(INDEX(Movimientos!$E$2:$E$1993,MATCH(A840&amp;"ENTRADA",Movimientos!$R$2:$R$1993,0)),"-")</f>
        <v>-</v>
      </c>
      <c r="E840" s="2" t="str">
        <f>IFERROR(INDEX(Movimientos!$F$2:$F$1993,MATCH(A840&amp;"ENTRADA",Movimientos!$R$2:$R$1993,0)),"-")</f>
        <v>-</v>
      </c>
      <c r="F840" s="2" t="str">
        <f>IFERROR(INDEX(Movimientos!$G$2:$G$1993,MATCH(A840&amp;"ENTRADA",Movimientos!$R$2:$R$1993,0)),"-")</f>
        <v>-</v>
      </c>
      <c r="G840" s="2" t="str">
        <f>IFERROR(INDEX(Movimientos!$L$2:$L$1993,MATCH(A840&amp;"ENTRADA",Movimientos!$R$2:$R$1993,0)),"-")</f>
        <v>-</v>
      </c>
      <c r="H840" s="17" t="str">
        <f>IFERROR(IF(INDEX(Movimientos!$M$2:$M$1993,MATCH(A840&amp;"ENTRADA",Movimientos!$R$2:$R$1993,0))=0,"S/D",INDEX(Movimientos!$M$2:$M$1993,MATCH(A840&amp;"ENTRADA",Movimientos!$R$2:$R$1993,0))),"S/D")</f>
        <v>S/D</v>
      </c>
      <c r="I840" s="15" t="str">
        <f t="shared" ca="1" si="28"/>
        <v>S/D</v>
      </c>
      <c r="J840" s="5">
        <f>IF(A840="","",SUMIFS(Movimientos!$K:$K,Movimientos!$H:$H,A840))</f>
        <v>0</v>
      </c>
      <c r="K840" s="13" t="str">
        <f t="shared" ca="1" si="27"/>
        <v>SIN STOCK</v>
      </c>
    </row>
    <row r="841" spans="1:11">
      <c r="A841" s="16" t="s">
        <v>3146</v>
      </c>
      <c r="B841" s="2" t="str">
        <f>IFERROR(INDEX(Movimientos!$C$2:$C$1993,MATCH(A841&amp;"ENTRADA",Movimientos!$R$2:$R$1993,0)),"-")</f>
        <v>-</v>
      </c>
      <c r="C841" s="2" t="str">
        <f>IFERROR(INDEX(Movimientos!$D$2:$D$1993,MATCH(A841&amp;"ENTRADA",Movimientos!$R$2:$R$1993,0)),"-")</f>
        <v>-</v>
      </c>
      <c r="D841" s="2" t="str">
        <f>IFERROR(INDEX(Movimientos!$E$2:$E$1993,MATCH(A841&amp;"ENTRADA",Movimientos!$R$2:$R$1993,0)),"-")</f>
        <v>-</v>
      </c>
      <c r="E841" s="2" t="str">
        <f>IFERROR(INDEX(Movimientos!$F$2:$F$1993,MATCH(A841&amp;"ENTRADA",Movimientos!$R$2:$R$1993,0)),"-")</f>
        <v>-</v>
      </c>
      <c r="F841" s="2" t="str">
        <f>IFERROR(INDEX(Movimientos!$G$2:$G$1993,MATCH(A841&amp;"ENTRADA",Movimientos!$R$2:$R$1993,0)),"-")</f>
        <v>-</v>
      </c>
      <c r="G841" s="2" t="str">
        <f>IFERROR(INDEX(Movimientos!$L$2:$L$1993,MATCH(A841&amp;"ENTRADA",Movimientos!$R$2:$R$1993,0)),"-")</f>
        <v>-</v>
      </c>
      <c r="H841" s="17" t="str">
        <f>IFERROR(IF(INDEX(Movimientos!$M$2:$M$1993,MATCH(A841&amp;"ENTRADA",Movimientos!$R$2:$R$1993,0))=0,"S/D",INDEX(Movimientos!$M$2:$M$1993,MATCH(A841&amp;"ENTRADA",Movimientos!$R$2:$R$1993,0))),"S/D")</f>
        <v>S/D</v>
      </c>
      <c r="I841" s="15" t="str">
        <f t="shared" ca="1" si="28"/>
        <v>S/D</v>
      </c>
      <c r="J841" s="5">
        <f>IF(A841="","",SUMIFS(Movimientos!$K:$K,Movimientos!$H:$H,A841))</f>
        <v>0</v>
      </c>
      <c r="K841" s="13" t="str">
        <f t="shared" ca="1" si="27"/>
        <v>SIN STOCK</v>
      </c>
    </row>
    <row r="842" spans="1:11">
      <c r="A842" s="16" t="s">
        <v>3147</v>
      </c>
      <c r="B842" s="2" t="str">
        <f>IFERROR(INDEX(Movimientos!$C$2:$C$1993,MATCH(A842&amp;"ENTRADA",Movimientos!$R$2:$R$1993,0)),"-")</f>
        <v>-</v>
      </c>
      <c r="C842" s="2" t="str">
        <f>IFERROR(INDEX(Movimientos!$D$2:$D$1993,MATCH(A842&amp;"ENTRADA",Movimientos!$R$2:$R$1993,0)),"-")</f>
        <v>-</v>
      </c>
      <c r="D842" s="2" t="str">
        <f>IFERROR(INDEX(Movimientos!$E$2:$E$1993,MATCH(A842&amp;"ENTRADA",Movimientos!$R$2:$R$1993,0)),"-")</f>
        <v>-</v>
      </c>
      <c r="E842" s="2" t="str">
        <f>IFERROR(INDEX(Movimientos!$F$2:$F$1993,MATCH(A842&amp;"ENTRADA",Movimientos!$R$2:$R$1993,0)),"-")</f>
        <v>-</v>
      </c>
      <c r="F842" s="2" t="str">
        <f>IFERROR(INDEX(Movimientos!$G$2:$G$1993,MATCH(A842&amp;"ENTRADA",Movimientos!$R$2:$R$1993,0)),"-")</f>
        <v>-</v>
      </c>
      <c r="G842" s="2" t="str">
        <f>IFERROR(INDEX(Movimientos!$L$2:$L$1993,MATCH(A842&amp;"ENTRADA",Movimientos!$R$2:$R$1993,0)),"-")</f>
        <v>-</v>
      </c>
      <c r="H842" s="17" t="str">
        <f>IFERROR(IF(INDEX(Movimientos!$M$2:$M$1993,MATCH(A842&amp;"ENTRADA",Movimientos!$R$2:$R$1993,0))=0,"S/D",INDEX(Movimientos!$M$2:$M$1993,MATCH(A842&amp;"ENTRADA",Movimientos!$R$2:$R$1993,0))),"S/D")</f>
        <v>S/D</v>
      </c>
      <c r="I842" s="15" t="str">
        <f t="shared" ca="1" si="28"/>
        <v>S/D</v>
      </c>
      <c r="J842" s="5">
        <f>IF(A842="","",SUMIFS(Movimientos!$K:$K,Movimientos!$H:$H,A842))</f>
        <v>0</v>
      </c>
      <c r="K842" s="13" t="str">
        <f t="shared" ca="1" si="27"/>
        <v>SIN STOCK</v>
      </c>
    </row>
    <row r="843" spans="1:11">
      <c r="A843" s="16" t="s">
        <v>3148</v>
      </c>
      <c r="B843" s="2" t="str">
        <f>IFERROR(INDEX(Movimientos!$C$2:$C$1993,MATCH(A843&amp;"ENTRADA",Movimientos!$R$2:$R$1993,0)),"-")</f>
        <v>-</v>
      </c>
      <c r="C843" s="2" t="str">
        <f>IFERROR(INDEX(Movimientos!$D$2:$D$1993,MATCH(A843&amp;"ENTRADA",Movimientos!$R$2:$R$1993,0)),"-")</f>
        <v>-</v>
      </c>
      <c r="D843" s="2" t="str">
        <f>IFERROR(INDEX(Movimientos!$E$2:$E$1993,MATCH(A843&amp;"ENTRADA",Movimientos!$R$2:$R$1993,0)),"-")</f>
        <v>-</v>
      </c>
      <c r="E843" s="2" t="str">
        <f>IFERROR(INDEX(Movimientos!$F$2:$F$1993,MATCH(A843&amp;"ENTRADA",Movimientos!$R$2:$R$1993,0)),"-")</f>
        <v>-</v>
      </c>
      <c r="F843" s="2" t="str">
        <f>IFERROR(INDEX(Movimientos!$G$2:$G$1993,MATCH(A843&amp;"ENTRADA",Movimientos!$R$2:$R$1993,0)),"-")</f>
        <v>-</v>
      </c>
      <c r="G843" s="2" t="str">
        <f>IFERROR(INDEX(Movimientos!$L$2:$L$1993,MATCH(A843&amp;"ENTRADA",Movimientos!$R$2:$R$1993,0)),"-")</f>
        <v>-</v>
      </c>
      <c r="H843" s="17" t="str">
        <f>IFERROR(IF(INDEX(Movimientos!$M$2:$M$1993,MATCH(A843&amp;"ENTRADA",Movimientos!$R$2:$R$1993,0))=0,"S/D",INDEX(Movimientos!$M$2:$M$1993,MATCH(A843&amp;"ENTRADA",Movimientos!$R$2:$R$1993,0))),"S/D")</f>
        <v>S/D</v>
      </c>
      <c r="I843" s="15" t="str">
        <f t="shared" ca="1" si="28"/>
        <v>S/D</v>
      </c>
      <c r="J843" s="5">
        <f>IF(A843="","",SUMIFS(Movimientos!$K:$K,Movimientos!$H:$H,A843))</f>
        <v>0</v>
      </c>
      <c r="K843" s="13" t="str">
        <f t="shared" ca="1" si="27"/>
        <v>SIN STOCK</v>
      </c>
    </row>
    <row r="844" spans="1:11">
      <c r="A844" s="16" t="s">
        <v>3149</v>
      </c>
      <c r="B844" s="2" t="str">
        <f>IFERROR(INDEX(Movimientos!$C$2:$C$1993,MATCH(A844&amp;"ENTRADA",Movimientos!$R$2:$R$1993,0)),"-")</f>
        <v>-</v>
      </c>
      <c r="C844" s="2" t="str">
        <f>IFERROR(INDEX(Movimientos!$D$2:$D$1993,MATCH(A844&amp;"ENTRADA",Movimientos!$R$2:$R$1993,0)),"-")</f>
        <v>-</v>
      </c>
      <c r="D844" s="2" t="str">
        <f>IFERROR(INDEX(Movimientos!$E$2:$E$1993,MATCH(A844&amp;"ENTRADA",Movimientos!$R$2:$R$1993,0)),"-")</f>
        <v>-</v>
      </c>
      <c r="E844" s="2" t="str">
        <f>IFERROR(INDEX(Movimientos!$F$2:$F$1993,MATCH(A844&amp;"ENTRADA",Movimientos!$R$2:$R$1993,0)),"-")</f>
        <v>-</v>
      </c>
      <c r="F844" s="2" t="str">
        <f>IFERROR(INDEX(Movimientos!$G$2:$G$1993,MATCH(A844&amp;"ENTRADA",Movimientos!$R$2:$R$1993,0)),"-")</f>
        <v>-</v>
      </c>
      <c r="G844" s="2" t="str">
        <f>IFERROR(INDEX(Movimientos!$L$2:$L$1993,MATCH(A844&amp;"ENTRADA",Movimientos!$R$2:$R$1993,0)),"-")</f>
        <v>-</v>
      </c>
      <c r="H844" s="17" t="str">
        <f>IFERROR(IF(INDEX(Movimientos!$M$2:$M$1993,MATCH(A844&amp;"ENTRADA",Movimientos!$R$2:$R$1993,0))=0,"S/D",INDEX(Movimientos!$M$2:$M$1993,MATCH(A844&amp;"ENTRADA",Movimientos!$R$2:$R$1993,0))),"S/D")</f>
        <v>S/D</v>
      </c>
      <c r="I844" s="15" t="str">
        <f t="shared" ca="1" si="28"/>
        <v>S/D</v>
      </c>
      <c r="J844" s="5">
        <f>IF(A844="","",SUMIFS(Movimientos!$K:$K,Movimientos!$H:$H,A844))</f>
        <v>0</v>
      </c>
      <c r="K844" s="13" t="str">
        <f t="shared" ca="1" si="27"/>
        <v>SIN STOCK</v>
      </c>
    </row>
    <row r="845" spans="1:11">
      <c r="A845" s="16" t="s">
        <v>3150</v>
      </c>
      <c r="B845" s="2" t="str">
        <f>IFERROR(INDEX(Movimientos!$C$2:$C$1993,MATCH(A845&amp;"ENTRADA",Movimientos!$R$2:$R$1993,0)),"-")</f>
        <v>-</v>
      </c>
      <c r="C845" s="2" t="str">
        <f>IFERROR(INDEX(Movimientos!$D$2:$D$1993,MATCH(A845&amp;"ENTRADA",Movimientos!$R$2:$R$1993,0)),"-")</f>
        <v>-</v>
      </c>
      <c r="D845" s="2" t="str">
        <f>IFERROR(INDEX(Movimientos!$E$2:$E$1993,MATCH(A845&amp;"ENTRADA",Movimientos!$R$2:$R$1993,0)),"-")</f>
        <v>-</v>
      </c>
      <c r="E845" s="2" t="str">
        <f>IFERROR(INDEX(Movimientos!$F$2:$F$1993,MATCH(A845&amp;"ENTRADA",Movimientos!$R$2:$R$1993,0)),"-")</f>
        <v>-</v>
      </c>
      <c r="F845" s="2" t="str">
        <f>IFERROR(INDEX(Movimientos!$G$2:$G$1993,MATCH(A845&amp;"ENTRADA",Movimientos!$R$2:$R$1993,0)),"-")</f>
        <v>-</v>
      </c>
      <c r="G845" s="2" t="str">
        <f>IFERROR(INDEX(Movimientos!$L$2:$L$1993,MATCH(A845&amp;"ENTRADA",Movimientos!$R$2:$R$1993,0)),"-")</f>
        <v>-</v>
      </c>
      <c r="H845" s="17" t="str">
        <f>IFERROR(IF(INDEX(Movimientos!$M$2:$M$1993,MATCH(A845&amp;"ENTRADA",Movimientos!$R$2:$R$1993,0))=0,"S/D",INDEX(Movimientos!$M$2:$M$1993,MATCH(A845&amp;"ENTRADA",Movimientos!$R$2:$R$1993,0))),"S/D")</f>
        <v>S/D</v>
      </c>
      <c r="I845" s="15" t="str">
        <f t="shared" ca="1" si="28"/>
        <v>S/D</v>
      </c>
      <c r="J845" s="5">
        <f>IF(A845="","",SUMIFS(Movimientos!$K:$K,Movimientos!$H:$H,A845))</f>
        <v>0</v>
      </c>
      <c r="K845" s="13" t="str">
        <f t="shared" ca="1" si="27"/>
        <v>SIN STOCK</v>
      </c>
    </row>
    <row r="846" spans="1:11">
      <c r="A846" s="16" t="s">
        <v>3151</v>
      </c>
      <c r="B846" s="2" t="str">
        <f>IFERROR(INDEX(Movimientos!$C$2:$C$1993,MATCH(A846&amp;"ENTRADA",Movimientos!$R$2:$R$1993,0)),"-")</f>
        <v>-</v>
      </c>
      <c r="C846" s="2" t="str">
        <f>IFERROR(INDEX(Movimientos!$D$2:$D$1993,MATCH(A846&amp;"ENTRADA",Movimientos!$R$2:$R$1993,0)),"-")</f>
        <v>-</v>
      </c>
      <c r="D846" s="2" t="str">
        <f>IFERROR(INDEX(Movimientos!$E$2:$E$1993,MATCH(A846&amp;"ENTRADA",Movimientos!$R$2:$R$1993,0)),"-")</f>
        <v>-</v>
      </c>
      <c r="E846" s="2" t="str">
        <f>IFERROR(INDEX(Movimientos!$F$2:$F$1993,MATCH(A846&amp;"ENTRADA",Movimientos!$R$2:$R$1993,0)),"-")</f>
        <v>-</v>
      </c>
      <c r="F846" s="2" t="str">
        <f>IFERROR(INDEX(Movimientos!$G$2:$G$1993,MATCH(A846&amp;"ENTRADA",Movimientos!$R$2:$R$1993,0)),"-")</f>
        <v>-</v>
      </c>
      <c r="G846" s="2" t="str">
        <f>IFERROR(INDEX(Movimientos!$L$2:$L$1993,MATCH(A846&amp;"ENTRADA",Movimientos!$R$2:$R$1993,0)),"-")</f>
        <v>-</v>
      </c>
      <c r="H846" s="17" t="str">
        <f>IFERROR(IF(INDEX(Movimientos!$M$2:$M$1993,MATCH(A846&amp;"ENTRADA",Movimientos!$R$2:$R$1993,0))=0,"S/D",INDEX(Movimientos!$M$2:$M$1993,MATCH(A846&amp;"ENTRADA",Movimientos!$R$2:$R$1993,0))),"S/D")</f>
        <v>S/D</v>
      </c>
      <c r="I846" s="15" t="str">
        <f t="shared" ca="1" si="28"/>
        <v>S/D</v>
      </c>
      <c r="J846" s="5">
        <f>IF(A846="","",SUMIFS(Movimientos!$K:$K,Movimientos!$H:$H,A846))</f>
        <v>0</v>
      </c>
      <c r="K846" s="13" t="str">
        <f t="shared" ca="1" si="27"/>
        <v>SIN STOCK</v>
      </c>
    </row>
    <row r="847" spans="1:11">
      <c r="A847" s="16" t="s">
        <v>3152</v>
      </c>
      <c r="B847" s="2" t="str">
        <f>IFERROR(INDEX(Movimientos!$C$2:$C$1993,MATCH(A847&amp;"ENTRADA",Movimientos!$R$2:$R$1993,0)),"-")</f>
        <v>-</v>
      </c>
      <c r="C847" s="2" t="str">
        <f>IFERROR(INDEX(Movimientos!$D$2:$D$1993,MATCH(A847&amp;"ENTRADA",Movimientos!$R$2:$R$1993,0)),"-")</f>
        <v>-</v>
      </c>
      <c r="D847" s="2" t="str">
        <f>IFERROR(INDEX(Movimientos!$E$2:$E$1993,MATCH(A847&amp;"ENTRADA",Movimientos!$R$2:$R$1993,0)),"-")</f>
        <v>-</v>
      </c>
      <c r="E847" s="2" t="str">
        <f>IFERROR(INDEX(Movimientos!$F$2:$F$1993,MATCH(A847&amp;"ENTRADA",Movimientos!$R$2:$R$1993,0)),"-")</f>
        <v>-</v>
      </c>
      <c r="F847" s="2" t="str">
        <f>IFERROR(INDEX(Movimientos!$G$2:$G$1993,MATCH(A847&amp;"ENTRADA",Movimientos!$R$2:$R$1993,0)),"-")</f>
        <v>-</v>
      </c>
      <c r="G847" s="2" t="str">
        <f>IFERROR(INDEX(Movimientos!$L$2:$L$1993,MATCH(A847&amp;"ENTRADA",Movimientos!$R$2:$R$1993,0)),"-")</f>
        <v>-</v>
      </c>
      <c r="H847" s="17" t="str">
        <f>IFERROR(IF(INDEX(Movimientos!$M$2:$M$1993,MATCH(A847&amp;"ENTRADA",Movimientos!$R$2:$R$1993,0))=0,"S/D",INDEX(Movimientos!$M$2:$M$1993,MATCH(A847&amp;"ENTRADA",Movimientos!$R$2:$R$1993,0))),"S/D")</f>
        <v>S/D</v>
      </c>
      <c r="I847" s="15" t="str">
        <f t="shared" ca="1" si="28"/>
        <v>S/D</v>
      </c>
      <c r="J847" s="5">
        <f>IF(A847="","",SUMIFS(Movimientos!$K:$K,Movimientos!$H:$H,A847))</f>
        <v>0</v>
      </c>
      <c r="K847" s="13" t="str">
        <f t="shared" ca="1" si="27"/>
        <v>SIN STOCK</v>
      </c>
    </row>
    <row r="848" spans="1:11">
      <c r="A848" s="16" t="s">
        <v>3153</v>
      </c>
      <c r="B848" s="2" t="str">
        <f>IFERROR(INDEX(Movimientos!$C$2:$C$1993,MATCH(A848&amp;"ENTRADA",Movimientos!$R$2:$R$1993,0)),"-")</f>
        <v>-</v>
      </c>
      <c r="C848" s="2" t="str">
        <f>IFERROR(INDEX(Movimientos!$D$2:$D$1993,MATCH(A848&amp;"ENTRADA",Movimientos!$R$2:$R$1993,0)),"-")</f>
        <v>-</v>
      </c>
      <c r="D848" s="2" t="str">
        <f>IFERROR(INDEX(Movimientos!$E$2:$E$1993,MATCH(A848&amp;"ENTRADA",Movimientos!$R$2:$R$1993,0)),"-")</f>
        <v>-</v>
      </c>
      <c r="E848" s="2" t="str">
        <f>IFERROR(INDEX(Movimientos!$F$2:$F$1993,MATCH(A848&amp;"ENTRADA",Movimientos!$R$2:$R$1993,0)),"-")</f>
        <v>-</v>
      </c>
      <c r="F848" s="2" t="str">
        <f>IFERROR(INDEX(Movimientos!$G$2:$G$1993,MATCH(A848&amp;"ENTRADA",Movimientos!$R$2:$R$1993,0)),"-")</f>
        <v>-</v>
      </c>
      <c r="G848" s="2" t="str">
        <f>IFERROR(INDEX(Movimientos!$L$2:$L$1993,MATCH(A848&amp;"ENTRADA",Movimientos!$R$2:$R$1993,0)),"-")</f>
        <v>-</v>
      </c>
      <c r="H848" s="17" t="str">
        <f>IFERROR(IF(INDEX(Movimientos!$M$2:$M$1993,MATCH(A848&amp;"ENTRADA",Movimientos!$R$2:$R$1993,0))=0,"S/D",INDEX(Movimientos!$M$2:$M$1993,MATCH(A848&amp;"ENTRADA",Movimientos!$R$2:$R$1993,0))),"S/D")</f>
        <v>S/D</v>
      </c>
      <c r="I848" s="15" t="str">
        <f t="shared" ca="1" si="28"/>
        <v>S/D</v>
      </c>
      <c r="J848" s="5">
        <f>IF(A848="","",SUMIFS(Movimientos!$K:$K,Movimientos!$H:$H,A848))</f>
        <v>0</v>
      </c>
      <c r="K848" s="13" t="str">
        <f t="shared" ca="1" si="27"/>
        <v>SIN STOCK</v>
      </c>
    </row>
    <row r="849" spans="1:11">
      <c r="A849" s="16" t="s">
        <v>3154</v>
      </c>
      <c r="B849" s="2" t="str">
        <f>IFERROR(INDEX(Movimientos!$C$2:$C$1993,MATCH(A849&amp;"ENTRADA",Movimientos!$R$2:$R$1993,0)),"-")</f>
        <v>-</v>
      </c>
      <c r="C849" s="2" t="str">
        <f>IFERROR(INDEX(Movimientos!$D$2:$D$1993,MATCH(A849&amp;"ENTRADA",Movimientos!$R$2:$R$1993,0)),"-")</f>
        <v>-</v>
      </c>
      <c r="D849" s="2" t="str">
        <f>IFERROR(INDEX(Movimientos!$E$2:$E$1993,MATCH(A849&amp;"ENTRADA",Movimientos!$R$2:$R$1993,0)),"-")</f>
        <v>-</v>
      </c>
      <c r="E849" s="2" t="str">
        <f>IFERROR(INDEX(Movimientos!$F$2:$F$1993,MATCH(A849&amp;"ENTRADA",Movimientos!$R$2:$R$1993,0)),"-")</f>
        <v>-</v>
      </c>
      <c r="F849" s="2" t="str">
        <f>IFERROR(INDEX(Movimientos!$G$2:$G$1993,MATCH(A849&amp;"ENTRADA",Movimientos!$R$2:$R$1993,0)),"-")</f>
        <v>-</v>
      </c>
      <c r="G849" s="2" t="str">
        <f>IFERROR(INDEX(Movimientos!$L$2:$L$1993,MATCH(A849&amp;"ENTRADA",Movimientos!$R$2:$R$1993,0)),"-")</f>
        <v>-</v>
      </c>
      <c r="H849" s="17" t="str">
        <f>IFERROR(IF(INDEX(Movimientos!$M$2:$M$1993,MATCH(A849&amp;"ENTRADA",Movimientos!$R$2:$R$1993,0))=0,"S/D",INDEX(Movimientos!$M$2:$M$1993,MATCH(A849&amp;"ENTRADA",Movimientos!$R$2:$R$1993,0))),"S/D")</f>
        <v>S/D</v>
      </c>
      <c r="I849" s="15" t="str">
        <f t="shared" ca="1" si="28"/>
        <v>S/D</v>
      </c>
      <c r="J849" s="5">
        <f>IF(A849="","",SUMIFS(Movimientos!$K:$K,Movimientos!$H:$H,A849))</f>
        <v>0</v>
      </c>
      <c r="K849" s="13" t="str">
        <f t="shared" ca="1" si="27"/>
        <v>SIN STOCK</v>
      </c>
    </row>
    <row r="850" spans="1:11">
      <c r="A850" s="16" t="s">
        <v>3155</v>
      </c>
      <c r="B850" s="2" t="str">
        <f>IFERROR(INDEX(Movimientos!$C$2:$C$1993,MATCH(A850&amp;"ENTRADA",Movimientos!$R$2:$R$1993,0)),"-")</f>
        <v>-</v>
      </c>
      <c r="C850" s="2" t="str">
        <f>IFERROR(INDEX(Movimientos!$D$2:$D$1993,MATCH(A850&amp;"ENTRADA",Movimientos!$R$2:$R$1993,0)),"-")</f>
        <v>-</v>
      </c>
      <c r="D850" s="2" t="str">
        <f>IFERROR(INDEX(Movimientos!$E$2:$E$1993,MATCH(A850&amp;"ENTRADA",Movimientos!$R$2:$R$1993,0)),"-")</f>
        <v>-</v>
      </c>
      <c r="E850" s="2" t="str">
        <f>IFERROR(INDEX(Movimientos!$F$2:$F$1993,MATCH(A850&amp;"ENTRADA",Movimientos!$R$2:$R$1993,0)),"-")</f>
        <v>-</v>
      </c>
      <c r="F850" s="2" t="str">
        <f>IFERROR(INDEX(Movimientos!$G$2:$G$1993,MATCH(A850&amp;"ENTRADA",Movimientos!$R$2:$R$1993,0)),"-")</f>
        <v>-</v>
      </c>
      <c r="G850" s="2" t="str">
        <f>IFERROR(INDEX(Movimientos!$L$2:$L$1993,MATCH(A850&amp;"ENTRADA",Movimientos!$R$2:$R$1993,0)),"-")</f>
        <v>-</v>
      </c>
      <c r="H850" s="17" t="str">
        <f>IFERROR(IF(INDEX(Movimientos!$M$2:$M$1993,MATCH(A850&amp;"ENTRADA",Movimientos!$R$2:$R$1993,0))=0,"S/D",INDEX(Movimientos!$M$2:$M$1993,MATCH(A850&amp;"ENTRADA",Movimientos!$R$2:$R$1993,0))),"S/D")</f>
        <v>S/D</v>
      </c>
      <c r="I850" s="15" t="str">
        <f t="shared" ca="1" si="28"/>
        <v>S/D</v>
      </c>
      <c r="J850" s="5">
        <f>IF(A850="","",SUMIFS(Movimientos!$K:$K,Movimientos!$H:$H,A850))</f>
        <v>0</v>
      </c>
      <c r="K850" s="13" t="str">
        <f t="shared" ca="1" si="27"/>
        <v>SIN STOCK</v>
      </c>
    </row>
    <row r="851" spans="1:11">
      <c r="A851" s="16" t="s">
        <v>3156</v>
      </c>
      <c r="B851" s="2" t="str">
        <f>IFERROR(INDEX(Movimientos!$C$2:$C$1993,MATCH(A851&amp;"ENTRADA",Movimientos!$R$2:$R$1993,0)),"-")</f>
        <v>-</v>
      </c>
      <c r="C851" s="2" t="str">
        <f>IFERROR(INDEX(Movimientos!$D$2:$D$1993,MATCH(A851&amp;"ENTRADA",Movimientos!$R$2:$R$1993,0)),"-")</f>
        <v>-</v>
      </c>
      <c r="D851" s="2" t="str">
        <f>IFERROR(INDEX(Movimientos!$E$2:$E$1993,MATCH(A851&amp;"ENTRADA",Movimientos!$R$2:$R$1993,0)),"-")</f>
        <v>-</v>
      </c>
      <c r="E851" s="2" t="str">
        <f>IFERROR(INDEX(Movimientos!$F$2:$F$1993,MATCH(A851&amp;"ENTRADA",Movimientos!$R$2:$R$1993,0)),"-")</f>
        <v>-</v>
      </c>
      <c r="F851" s="2" t="str">
        <f>IFERROR(INDEX(Movimientos!$G$2:$G$1993,MATCH(A851&amp;"ENTRADA",Movimientos!$R$2:$R$1993,0)),"-")</f>
        <v>-</v>
      </c>
      <c r="G851" s="2" t="str">
        <f>IFERROR(INDEX(Movimientos!$L$2:$L$1993,MATCH(A851&amp;"ENTRADA",Movimientos!$R$2:$R$1993,0)),"-")</f>
        <v>-</v>
      </c>
      <c r="H851" s="17" t="str">
        <f>IFERROR(IF(INDEX(Movimientos!$M$2:$M$1993,MATCH(A851&amp;"ENTRADA",Movimientos!$R$2:$R$1993,0))=0,"S/D",INDEX(Movimientos!$M$2:$M$1993,MATCH(A851&amp;"ENTRADA",Movimientos!$R$2:$R$1993,0))),"S/D")</f>
        <v>S/D</v>
      </c>
      <c r="I851" s="15" t="str">
        <f t="shared" ca="1" si="28"/>
        <v>S/D</v>
      </c>
      <c r="J851" s="5">
        <f>IF(A851="","",SUMIFS(Movimientos!$K:$K,Movimientos!$H:$H,A851))</f>
        <v>0</v>
      </c>
      <c r="K851" s="13" t="str">
        <f t="shared" ca="1" si="27"/>
        <v>SIN STOCK</v>
      </c>
    </row>
    <row r="852" spans="1:11">
      <c r="A852" s="16" t="s">
        <v>3157</v>
      </c>
      <c r="B852" s="2" t="str">
        <f>IFERROR(INDEX(Movimientos!$C$2:$C$1993,MATCH(A852&amp;"ENTRADA",Movimientos!$R$2:$R$1993,0)),"-")</f>
        <v>-</v>
      </c>
      <c r="C852" s="2" t="str">
        <f>IFERROR(INDEX(Movimientos!$D$2:$D$1993,MATCH(A852&amp;"ENTRADA",Movimientos!$R$2:$R$1993,0)),"-")</f>
        <v>-</v>
      </c>
      <c r="D852" s="2" t="str">
        <f>IFERROR(INDEX(Movimientos!$E$2:$E$1993,MATCH(A852&amp;"ENTRADA",Movimientos!$R$2:$R$1993,0)),"-")</f>
        <v>-</v>
      </c>
      <c r="E852" s="2" t="str">
        <f>IFERROR(INDEX(Movimientos!$F$2:$F$1993,MATCH(A852&amp;"ENTRADA",Movimientos!$R$2:$R$1993,0)),"-")</f>
        <v>-</v>
      </c>
      <c r="F852" s="2" t="str">
        <f>IFERROR(INDEX(Movimientos!$G$2:$G$1993,MATCH(A852&amp;"ENTRADA",Movimientos!$R$2:$R$1993,0)),"-")</f>
        <v>-</v>
      </c>
      <c r="G852" s="2" t="str">
        <f>IFERROR(INDEX(Movimientos!$L$2:$L$1993,MATCH(A852&amp;"ENTRADA",Movimientos!$R$2:$R$1993,0)),"-")</f>
        <v>-</v>
      </c>
      <c r="H852" s="17" t="str">
        <f>IFERROR(IF(INDEX(Movimientos!$M$2:$M$1993,MATCH(A852&amp;"ENTRADA",Movimientos!$R$2:$R$1993,0))=0,"S/D",INDEX(Movimientos!$M$2:$M$1993,MATCH(A852&amp;"ENTRADA",Movimientos!$R$2:$R$1993,0))),"S/D")</f>
        <v>S/D</v>
      </c>
      <c r="I852" s="15" t="str">
        <f t="shared" ca="1" si="28"/>
        <v>S/D</v>
      </c>
      <c r="J852" s="5">
        <f>IF(A852="","",SUMIFS(Movimientos!$K:$K,Movimientos!$H:$H,A852))</f>
        <v>0</v>
      </c>
      <c r="K852" s="13" t="str">
        <f t="shared" ca="1" si="27"/>
        <v>SIN STOCK</v>
      </c>
    </row>
    <row r="853" spans="1:11">
      <c r="A853" s="16" t="s">
        <v>3158</v>
      </c>
      <c r="B853" s="2" t="str">
        <f>IFERROR(INDEX(Movimientos!$C$2:$C$1993,MATCH(A853&amp;"ENTRADA",Movimientos!$R$2:$R$1993,0)),"-")</f>
        <v>-</v>
      </c>
      <c r="C853" s="2" t="str">
        <f>IFERROR(INDEX(Movimientos!$D$2:$D$1993,MATCH(A853&amp;"ENTRADA",Movimientos!$R$2:$R$1993,0)),"-")</f>
        <v>-</v>
      </c>
      <c r="D853" s="2" t="str">
        <f>IFERROR(INDEX(Movimientos!$E$2:$E$1993,MATCH(A853&amp;"ENTRADA",Movimientos!$R$2:$R$1993,0)),"-")</f>
        <v>-</v>
      </c>
      <c r="E853" s="2" t="str">
        <f>IFERROR(INDEX(Movimientos!$F$2:$F$1993,MATCH(A853&amp;"ENTRADA",Movimientos!$R$2:$R$1993,0)),"-")</f>
        <v>-</v>
      </c>
      <c r="F853" s="2" t="str">
        <f>IFERROR(INDEX(Movimientos!$G$2:$G$1993,MATCH(A853&amp;"ENTRADA",Movimientos!$R$2:$R$1993,0)),"-")</f>
        <v>-</v>
      </c>
      <c r="G853" s="2" t="str">
        <f>IFERROR(INDEX(Movimientos!$L$2:$L$1993,MATCH(A853&amp;"ENTRADA",Movimientos!$R$2:$R$1993,0)),"-")</f>
        <v>-</v>
      </c>
      <c r="H853" s="17" t="str">
        <f>IFERROR(IF(INDEX(Movimientos!$M$2:$M$1993,MATCH(A853&amp;"ENTRADA",Movimientos!$R$2:$R$1993,0))=0,"S/D",INDEX(Movimientos!$M$2:$M$1993,MATCH(A853&amp;"ENTRADA",Movimientos!$R$2:$R$1993,0))),"S/D")</f>
        <v>S/D</v>
      </c>
      <c r="I853" s="15" t="str">
        <f t="shared" ca="1" si="28"/>
        <v>S/D</v>
      </c>
      <c r="J853" s="5">
        <f>IF(A853="","",SUMIFS(Movimientos!$K:$K,Movimientos!$H:$H,A853))</f>
        <v>0</v>
      </c>
      <c r="K853" s="13" t="str">
        <f t="shared" ca="1" si="27"/>
        <v>SIN STOCK</v>
      </c>
    </row>
    <row r="854" spans="1:11">
      <c r="A854" s="16" t="s">
        <v>3159</v>
      </c>
      <c r="B854" s="2" t="str">
        <f>IFERROR(INDEX(Movimientos!$C$2:$C$1993,MATCH(A854&amp;"ENTRADA",Movimientos!$R$2:$R$1993,0)),"-")</f>
        <v>-</v>
      </c>
      <c r="C854" s="2" t="str">
        <f>IFERROR(INDEX(Movimientos!$D$2:$D$1993,MATCH(A854&amp;"ENTRADA",Movimientos!$R$2:$R$1993,0)),"-")</f>
        <v>-</v>
      </c>
      <c r="D854" s="2" t="str">
        <f>IFERROR(INDEX(Movimientos!$E$2:$E$1993,MATCH(A854&amp;"ENTRADA",Movimientos!$R$2:$R$1993,0)),"-")</f>
        <v>-</v>
      </c>
      <c r="E854" s="2" t="str">
        <f>IFERROR(INDEX(Movimientos!$F$2:$F$1993,MATCH(A854&amp;"ENTRADA",Movimientos!$R$2:$R$1993,0)),"-")</f>
        <v>-</v>
      </c>
      <c r="F854" s="2" t="str">
        <f>IFERROR(INDEX(Movimientos!$G$2:$G$1993,MATCH(A854&amp;"ENTRADA",Movimientos!$R$2:$R$1993,0)),"-")</f>
        <v>-</v>
      </c>
      <c r="G854" s="2" t="str">
        <f>IFERROR(INDEX(Movimientos!$L$2:$L$1993,MATCH(A854&amp;"ENTRADA",Movimientos!$R$2:$R$1993,0)),"-")</f>
        <v>-</v>
      </c>
      <c r="H854" s="17" t="str">
        <f>IFERROR(IF(INDEX(Movimientos!$M$2:$M$1993,MATCH(A854&amp;"ENTRADA",Movimientos!$R$2:$R$1993,0))=0,"S/D",INDEX(Movimientos!$M$2:$M$1993,MATCH(A854&amp;"ENTRADA",Movimientos!$R$2:$R$1993,0))),"S/D")</f>
        <v>S/D</v>
      </c>
      <c r="I854" s="15" t="str">
        <f t="shared" ca="1" si="28"/>
        <v>S/D</v>
      </c>
      <c r="J854" s="5">
        <f>IF(A854="","",SUMIFS(Movimientos!$K:$K,Movimientos!$H:$H,A854))</f>
        <v>0</v>
      </c>
      <c r="K854" s="13" t="str">
        <f t="shared" ca="1" si="27"/>
        <v>SIN STOCK</v>
      </c>
    </row>
    <row r="855" spans="1:11">
      <c r="A855" s="16" t="s">
        <v>3160</v>
      </c>
      <c r="B855" s="2" t="str">
        <f>IFERROR(INDEX(Movimientos!$C$2:$C$1993,MATCH(A855&amp;"ENTRADA",Movimientos!$R$2:$R$1993,0)),"-")</f>
        <v>-</v>
      </c>
      <c r="C855" s="2" t="str">
        <f>IFERROR(INDEX(Movimientos!$D$2:$D$1993,MATCH(A855&amp;"ENTRADA",Movimientos!$R$2:$R$1993,0)),"-")</f>
        <v>-</v>
      </c>
      <c r="D855" s="2" t="str">
        <f>IFERROR(INDEX(Movimientos!$E$2:$E$1993,MATCH(A855&amp;"ENTRADA",Movimientos!$R$2:$R$1993,0)),"-")</f>
        <v>-</v>
      </c>
      <c r="E855" s="2" t="str">
        <f>IFERROR(INDEX(Movimientos!$F$2:$F$1993,MATCH(A855&amp;"ENTRADA",Movimientos!$R$2:$R$1993,0)),"-")</f>
        <v>-</v>
      </c>
      <c r="F855" s="2" t="str">
        <f>IFERROR(INDEX(Movimientos!$G$2:$G$1993,MATCH(A855&amp;"ENTRADA",Movimientos!$R$2:$R$1993,0)),"-")</f>
        <v>-</v>
      </c>
      <c r="G855" s="2" t="str">
        <f>IFERROR(INDEX(Movimientos!$L$2:$L$1993,MATCH(A855&amp;"ENTRADA",Movimientos!$R$2:$R$1993,0)),"-")</f>
        <v>-</v>
      </c>
      <c r="H855" s="17" t="str">
        <f>IFERROR(IF(INDEX(Movimientos!$M$2:$M$1993,MATCH(A855&amp;"ENTRADA",Movimientos!$R$2:$R$1993,0))=0,"S/D",INDEX(Movimientos!$M$2:$M$1993,MATCH(A855&amp;"ENTRADA",Movimientos!$R$2:$R$1993,0))),"S/D")</f>
        <v>S/D</v>
      </c>
      <c r="I855" s="15" t="str">
        <f t="shared" ca="1" si="28"/>
        <v>S/D</v>
      </c>
      <c r="J855" s="5">
        <f>IF(A855="","",SUMIFS(Movimientos!$K:$K,Movimientos!$H:$H,A855))</f>
        <v>0</v>
      </c>
      <c r="K855" s="13" t="str">
        <f t="shared" ca="1" si="27"/>
        <v>SIN STOCK</v>
      </c>
    </row>
    <row r="856" spans="1:11">
      <c r="A856" s="16" t="s">
        <v>3161</v>
      </c>
      <c r="B856" s="2" t="str">
        <f>IFERROR(INDEX(Movimientos!$C$2:$C$1993,MATCH(A856&amp;"ENTRADA",Movimientos!$R$2:$R$1993,0)),"-")</f>
        <v>-</v>
      </c>
      <c r="C856" s="2" t="str">
        <f>IFERROR(INDEX(Movimientos!$D$2:$D$1993,MATCH(A856&amp;"ENTRADA",Movimientos!$R$2:$R$1993,0)),"-")</f>
        <v>-</v>
      </c>
      <c r="D856" s="2" t="str">
        <f>IFERROR(INDEX(Movimientos!$E$2:$E$1993,MATCH(A856&amp;"ENTRADA",Movimientos!$R$2:$R$1993,0)),"-")</f>
        <v>-</v>
      </c>
      <c r="E856" s="2" t="str">
        <f>IFERROR(INDEX(Movimientos!$F$2:$F$1993,MATCH(A856&amp;"ENTRADA",Movimientos!$R$2:$R$1993,0)),"-")</f>
        <v>-</v>
      </c>
      <c r="F856" s="2" t="str">
        <f>IFERROR(INDEX(Movimientos!$G$2:$G$1993,MATCH(A856&amp;"ENTRADA",Movimientos!$R$2:$R$1993,0)),"-")</f>
        <v>-</v>
      </c>
      <c r="G856" s="2" t="str">
        <f>IFERROR(INDEX(Movimientos!$L$2:$L$1993,MATCH(A856&amp;"ENTRADA",Movimientos!$R$2:$R$1993,0)),"-")</f>
        <v>-</v>
      </c>
      <c r="H856" s="17" t="str">
        <f>IFERROR(IF(INDEX(Movimientos!$M$2:$M$1993,MATCH(A856&amp;"ENTRADA",Movimientos!$R$2:$R$1993,0))=0,"S/D",INDEX(Movimientos!$M$2:$M$1993,MATCH(A856&amp;"ENTRADA",Movimientos!$R$2:$R$1993,0))),"S/D")</f>
        <v>S/D</v>
      </c>
      <c r="I856" s="15" t="str">
        <f t="shared" ca="1" si="28"/>
        <v>S/D</v>
      </c>
      <c r="J856" s="5">
        <f>IF(A856="","",SUMIFS(Movimientos!$K:$K,Movimientos!$H:$H,A856))</f>
        <v>0</v>
      </c>
      <c r="K856" s="13" t="str">
        <f t="shared" ca="1" si="27"/>
        <v>SIN STOCK</v>
      </c>
    </row>
    <row r="857" spans="1:11">
      <c r="A857" s="16" t="s">
        <v>3162</v>
      </c>
      <c r="B857" s="2" t="str">
        <f>IFERROR(INDEX(Movimientos!$C$2:$C$1993,MATCH(A857&amp;"ENTRADA",Movimientos!$R$2:$R$1993,0)),"-")</f>
        <v>-</v>
      </c>
      <c r="C857" s="2" t="str">
        <f>IFERROR(INDEX(Movimientos!$D$2:$D$1993,MATCH(A857&amp;"ENTRADA",Movimientos!$R$2:$R$1993,0)),"-")</f>
        <v>-</v>
      </c>
      <c r="D857" s="2" t="str">
        <f>IFERROR(INDEX(Movimientos!$E$2:$E$1993,MATCH(A857&amp;"ENTRADA",Movimientos!$R$2:$R$1993,0)),"-")</f>
        <v>-</v>
      </c>
      <c r="E857" s="2" t="str">
        <f>IFERROR(INDEX(Movimientos!$F$2:$F$1993,MATCH(A857&amp;"ENTRADA",Movimientos!$R$2:$R$1993,0)),"-")</f>
        <v>-</v>
      </c>
      <c r="F857" s="2" t="str">
        <f>IFERROR(INDEX(Movimientos!$G$2:$G$1993,MATCH(A857&amp;"ENTRADA",Movimientos!$R$2:$R$1993,0)),"-")</f>
        <v>-</v>
      </c>
      <c r="G857" s="2" t="str">
        <f>IFERROR(INDEX(Movimientos!$L$2:$L$1993,MATCH(A857&amp;"ENTRADA",Movimientos!$R$2:$R$1993,0)),"-")</f>
        <v>-</v>
      </c>
      <c r="H857" s="17" t="str">
        <f>IFERROR(IF(INDEX(Movimientos!$M$2:$M$1993,MATCH(A857&amp;"ENTRADA",Movimientos!$R$2:$R$1993,0))=0,"S/D",INDEX(Movimientos!$M$2:$M$1993,MATCH(A857&amp;"ENTRADA",Movimientos!$R$2:$R$1993,0))),"S/D")</f>
        <v>S/D</v>
      </c>
      <c r="I857" s="15" t="str">
        <f t="shared" ca="1" si="28"/>
        <v>S/D</v>
      </c>
      <c r="J857" s="5">
        <f>IF(A857="","",SUMIFS(Movimientos!$K:$K,Movimientos!$H:$H,A857))</f>
        <v>0</v>
      </c>
      <c r="K857" s="13" t="str">
        <f t="shared" ca="1" si="27"/>
        <v>SIN STOCK</v>
      </c>
    </row>
    <row r="858" spans="1:11">
      <c r="A858" s="16" t="s">
        <v>3163</v>
      </c>
      <c r="B858" s="2" t="str">
        <f>IFERROR(INDEX(Movimientos!$C$2:$C$1993,MATCH(A858&amp;"ENTRADA",Movimientos!$R$2:$R$1993,0)),"-")</f>
        <v>-</v>
      </c>
      <c r="C858" s="2" t="str">
        <f>IFERROR(INDEX(Movimientos!$D$2:$D$1993,MATCH(A858&amp;"ENTRADA",Movimientos!$R$2:$R$1993,0)),"-")</f>
        <v>-</v>
      </c>
      <c r="D858" s="2" t="str">
        <f>IFERROR(INDEX(Movimientos!$E$2:$E$1993,MATCH(A858&amp;"ENTRADA",Movimientos!$R$2:$R$1993,0)),"-")</f>
        <v>-</v>
      </c>
      <c r="E858" s="2" t="str">
        <f>IFERROR(INDEX(Movimientos!$F$2:$F$1993,MATCH(A858&amp;"ENTRADA",Movimientos!$R$2:$R$1993,0)),"-")</f>
        <v>-</v>
      </c>
      <c r="F858" s="2" t="str">
        <f>IFERROR(INDEX(Movimientos!$G$2:$G$1993,MATCH(A858&amp;"ENTRADA",Movimientos!$R$2:$R$1993,0)),"-")</f>
        <v>-</v>
      </c>
      <c r="G858" s="2" t="str">
        <f>IFERROR(INDEX(Movimientos!$L$2:$L$1993,MATCH(A858&amp;"ENTRADA",Movimientos!$R$2:$R$1993,0)),"-")</f>
        <v>-</v>
      </c>
      <c r="H858" s="17" t="str">
        <f>IFERROR(IF(INDEX(Movimientos!$M$2:$M$1993,MATCH(A858&amp;"ENTRADA",Movimientos!$R$2:$R$1993,0))=0,"S/D",INDEX(Movimientos!$M$2:$M$1993,MATCH(A858&amp;"ENTRADA",Movimientos!$R$2:$R$1993,0))),"S/D")</f>
        <v>S/D</v>
      </c>
      <c r="I858" s="15" t="str">
        <f t="shared" ca="1" si="28"/>
        <v>S/D</v>
      </c>
      <c r="J858" s="5">
        <f>IF(A858="","",SUMIFS(Movimientos!$K:$K,Movimientos!$H:$H,A858))</f>
        <v>0</v>
      </c>
      <c r="K858" s="13" t="str">
        <f t="shared" ca="1" si="27"/>
        <v>SIN STOCK</v>
      </c>
    </row>
    <row r="859" spans="1:11">
      <c r="A859" s="16" t="s">
        <v>3164</v>
      </c>
      <c r="B859" s="2" t="str">
        <f>IFERROR(INDEX(Movimientos!$C$2:$C$1993,MATCH(A859&amp;"ENTRADA",Movimientos!$R$2:$R$1993,0)),"-")</f>
        <v>-</v>
      </c>
      <c r="C859" s="2" t="str">
        <f>IFERROR(INDEX(Movimientos!$D$2:$D$1993,MATCH(A859&amp;"ENTRADA",Movimientos!$R$2:$R$1993,0)),"-")</f>
        <v>-</v>
      </c>
      <c r="D859" s="2" t="str">
        <f>IFERROR(INDEX(Movimientos!$E$2:$E$1993,MATCH(A859&amp;"ENTRADA",Movimientos!$R$2:$R$1993,0)),"-")</f>
        <v>-</v>
      </c>
      <c r="E859" s="2" t="str">
        <f>IFERROR(INDEX(Movimientos!$F$2:$F$1993,MATCH(A859&amp;"ENTRADA",Movimientos!$R$2:$R$1993,0)),"-")</f>
        <v>-</v>
      </c>
      <c r="F859" s="2" t="str">
        <f>IFERROR(INDEX(Movimientos!$G$2:$G$1993,MATCH(A859&amp;"ENTRADA",Movimientos!$R$2:$R$1993,0)),"-")</f>
        <v>-</v>
      </c>
      <c r="G859" s="2" t="str">
        <f>IFERROR(INDEX(Movimientos!$L$2:$L$1993,MATCH(A859&amp;"ENTRADA",Movimientos!$R$2:$R$1993,0)),"-")</f>
        <v>-</v>
      </c>
      <c r="H859" s="17" t="str">
        <f>IFERROR(IF(INDEX(Movimientos!$M$2:$M$1993,MATCH(A859&amp;"ENTRADA",Movimientos!$R$2:$R$1993,0))=0,"S/D",INDEX(Movimientos!$M$2:$M$1993,MATCH(A859&amp;"ENTRADA",Movimientos!$R$2:$R$1993,0))),"S/D")</f>
        <v>S/D</v>
      </c>
      <c r="I859" s="15" t="str">
        <f t="shared" ca="1" si="28"/>
        <v>S/D</v>
      </c>
      <c r="J859" s="5">
        <f>IF(A859="","",SUMIFS(Movimientos!$K:$K,Movimientos!$H:$H,A859))</f>
        <v>0</v>
      </c>
      <c r="K859" s="13" t="str">
        <f t="shared" ca="1" si="27"/>
        <v>SIN STOCK</v>
      </c>
    </row>
    <row r="860" spans="1:11">
      <c r="A860" s="16" t="s">
        <v>3165</v>
      </c>
      <c r="B860" s="2" t="str">
        <f>IFERROR(INDEX(Movimientos!$C$2:$C$1993,MATCH(A860&amp;"ENTRADA",Movimientos!$R$2:$R$1993,0)),"-")</f>
        <v>-</v>
      </c>
      <c r="C860" s="2" t="str">
        <f>IFERROR(INDEX(Movimientos!$D$2:$D$1993,MATCH(A860&amp;"ENTRADA",Movimientos!$R$2:$R$1993,0)),"-")</f>
        <v>-</v>
      </c>
      <c r="D860" s="2" t="str">
        <f>IFERROR(INDEX(Movimientos!$E$2:$E$1993,MATCH(A860&amp;"ENTRADA",Movimientos!$R$2:$R$1993,0)),"-")</f>
        <v>-</v>
      </c>
      <c r="E860" s="2" t="str">
        <f>IFERROR(INDEX(Movimientos!$F$2:$F$1993,MATCH(A860&amp;"ENTRADA",Movimientos!$R$2:$R$1993,0)),"-")</f>
        <v>-</v>
      </c>
      <c r="F860" s="2" t="str">
        <f>IFERROR(INDEX(Movimientos!$G$2:$G$1993,MATCH(A860&amp;"ENTRADA",Movimientos!$R$2:$R$1993,0)),"-")</f>
        <v>-</v>
      </c>
      <c r="G860" s="2" t="str">
        <f>IFERROR(INDEX(Movimientos!$L$2:$L$1993,MATCH(A860&amp;"ENTRADA",Movimientos!$R$2:$R$1993,0)),"-")</f>
        <v>-</v>
      </c>
      <c r="H860" s="17" t="str">
        <f>IFERROR(IF(INDEX(Movimientos!$M$2:$M$1993,MATCH(A860&amp;"ENTRADA",Movimientos!$R$2:$R$1993,0))=0,"S/D",INDEX(Movimientos!$M$2:$M$1993,MATCH(A860&amp;"ENTRADA",Movimientos!$R$2:$R$1993,0))),"S/D")</f>
        <v>S/D</v>
      </c>
      <c r="I860" s="15" t="str">
        <f t="shared" ca="1" si="28"/>
        <v>S/D</v>
      </c>
      <c r="J860" s="5">
        <f>IF(A860="","",SUMIFS(Movimientos!$K:$K,Movimientos!$H:$H,A860))</f>
        <v>0</v>
      </c>
      <c r="K860" s="13" t="str">
        <f t="shared" ca="1" si="27"/>
        <v>SIN STOCK</v>
      </c>
    </row>
    <row r="861" spans="1:11">
      <c r="A861" s="16" t="s">
        <v>3166</v>
      </c>
      <c r="B861" s="2" t="str">
        <f>IFERROR(INDEX(Movimientos!$C$2:$C$1993,MATCH(A861&amp;"ENTRADA",Movimientos!$R$2:$R$1993,0)),"-")</f>
        <v>-</v>
      </c>
      <c r="C861" s="2" t="str">
        <f>IFERROR(INDEX(Movimientos!$D$2:$D$1993,MATCH(A861&amp;"ENTRADA",Movimientos!$R$2:$R$1993,0)),"-")</f>
        <v>-</v>
      </c>
      <c r="D861" s="2" t="str">
        <f>IFERROR(INDEX(Movimientos!$E$2:$E$1993,MATCH(A861&amp;"ENTRADA",Movimientos!$R$2:$R$1993,0)),"-")</f>
        <v>-</v>
      </c>
      <c r="E861" s="2" t="str">
        <f>IFERROR(INDEX(Movimientos!$F$2:$F$1993,MATCH(A861&amp;"ENTRADA",Movimientos!$R$2:$R$1993,0)),"-")</f>
        <v>-</v>
      </c>
      <c r="F861" s="2" t="str">
        <f>IFERROR(INDEX(Movimientos!$G$2:$G$1993,MATCH(A861&amp;"ENTRADA",Movimientos!$R$2:$R$1993,0)),"-")</f>
        <v>-</v>
      </c>
      <c r="G861" s="2" t="str">
        <f>IFERROR(INDEX(Movimientos!$L$2:$L$1993,MATCH(A861&amp;"ENTRADA",Movimientos!$R$2:$R$1993,0)),"-")</f>
        <v>-</v>
      </c>
      <c r="H861" s="17" t="str">
        <f>IFERROR(IF(INDEX(Movimientos!$M$2:$M$1993,MATCH(A861&amp;"ENTRADA",Movimientos!$R$2:$R$1993,0))=0,"S/D",INDEX(Movimientos!$M$2:$M$1993,MATCH(A861&amp;"ENTRADA",Movimientos!$R$2:$R$1993,0))),"S/D")</f>
        <v>S/D</v>
      </c>
      <c r="I861" s="15" t="str">
        <f t="shared" ca="1" si="28"/>
        <v>S/D</v>
      </c>
      <c r="J861" s="5">
        <f>IF(A861="","",SUMIFS(Movimientos!$K:$K,Movimientos!$H:$H,A861))</f>
        <v>0</v>
      </c>
      <c r="K861" s="13" t="str">
        <f t="shared" ca="1" si="27"/>
        <v>SIN STOCK</v>
      </c>
    </row>
    <row r="862" spans="1:11">
      <c r="A862" s="16" t="s">
        <v>3167</v>
      </c>
      <c r="B862" s="2" t="str">
        <f>IFERROR(INDEX(Movimientos!$C$2:$C$1993,MATCH(A862&amp;"ENTRADA",Movimientos!$R$2:$R$1993,0)),"-")</f>
        <v>-</v>
      </c>
      <c r="C862" s="2" t="str">
        <f>IFERROR(INDEX(Movimientos!$D$2:$D$1993,MATCH(A862&amp;"ENTRADA",Movimientos!$R$2:$R$1993,0)),"-")</f>
        <v>-</v>
      </c>
      <c r="D862" s="2" t="str">
        <f>IFERROR(INDEX(Movimientos!$E$2:$E$1993,MATCH(A862&amp;"ENTRADA",Movimientos!$R$2:$R$1993,0)),"-")</f>
        <v>-</v>
      </c>
      <c r="E862" s="2" t="str">
        <f>IFERROR(INDEX(Movimientos!$F$2:$F$1993,MATCH(A862&amp;"ENTRADA",Movimientos!$R$2:$R$1993,0)),"-")</f>
        <v>-</v>
      </c>
      <c r="F862" s="2" t="str">
        <f>IFERROR(INDEX(Movimientos!$G$2:$G$1993,MATCH(A862&amp;"ENTRADA",Movimientos!$R$2:$R$1993,0)),"-")</f>
        <v>-</v>
      </c>
      <c r="G862" s="2" t="str">
        <f>IFERROR(INDEX(Movimientos!$L$2:$L$1993,MATCH(A862&amp;"ENTRADA",Movimientos!$R$2:$R$1993,0)),"-")</f>
        <v>-</v>
      </c>
      <c r="H862" s="17" t="str">
        <f>IFERROR(IF(INDEX(Movimientos!$M$2:$M$1993,MATCH(A862&amp;"ENTRADA",Movimientos!$R$2:$R$1993,0))=0,"S/D",INDEX(Movimientos!$M$2:$M$1993,MATCH(A862&amp;"ENTRADA",Movimientos!$R$2:$R$1993,0))),"S/D")</f>
        <v>S/D</v>
      </c>
      <c r="I862" s="15" t="str">
        <f t="shared" ca="1" si="28"/>
        <v>S/D</v>
      </c>
      <c r="J862" s="5">
        <f>IF(A862="","",SUMIFS(Movimientos!$K:$K,Movimientos!$H:$H,A862))</f>
        <v>0</v>
      </c>
      <c r="K862" s="13" t="str">
        <f t="shared" ca="1" si="27"/>
        <v>SIN STOCK</v>
      </c>
    </row>
    <row r="863" spans="1:11">
      <c r="A863" s="16" t="s">
        <v>3168</v>
      </c>
      <c r="B863" s="2" t="str">
        <f>IFERROR(INDEX(Movimientos!$C$2:$C$1993,MATCH(A863&amp;"ENTRADA",Movimientos!$R$2:$R$1993,0)),"-")</f>
        <v>-</v>
      </c>
      <c r="C863" s="2" t="str">
        <f>IFERROR(INDEX(Movimientos!$D$2:$D$1993,MATCH(A863&amp;"ENTRADA",Movimientos!$R$2:$R$1993,0)),"-")</f>
        <v>-</v>
      </c>
      <c r="D863" s="2" t="str">
        <f>IFERROR(INDEX(Movimientos!$E$2:$E$1993,MATCH(A863&amp;"ENTRADA",Movimientos!$R$2:$R$1993,0)),"-")</f>
        <v>-</v>
      </c>
      <c r="E863" s="2" t="str">
        <f>IFERROR(INDEX(Movimientos!$F$2:$F$1993,MATCH(A863&amp;"ENTRADA",Movimientos!$R$2:$R$1993,0)),"-")</f>
        <v>-</v>
      </c>
      <c r="F863" s="2" t="str">
        <f>IFERROR(INDEX(Movimientos!$G$2:$G$1993,MATCH(A863&amp;"ENTRADA",Movimientos!$R$2:$R$1993,0)),"-")</f>
        <v>-</v>
      </c>
      <c r="G863" s="2" t="str">
        <f>IFERROR(INDEX(Movimientos!$L$2:$L$1993,MATCH(A863&amp;"ENTRADA",Movimientos!$R$2:$R$1993,0)),"-")</f>
        <v>-</v>
      </c>
      <c r="H863" s="17" t="str">
        <f>IFERROR(IF(INDEX(Movimientos!$M$2:$M$1993,MATCH(A863&amp;"ENTRADA",Movimientos!$R$2:$R$1993,0))=0,"S/D",INDEX(Movimientos!$M$2:$M$1993,MATCH(A863&amp;"ENTRADA",Movimientos!$R$2:$R$1993,0))),"S/D")</f>
        <v>S/D</v>
      </c>
      <c r="I863" s="15" t="str">
        <f t="shared" ca="1" si="28"/>
        <v>S/D</v>
      </c>
      <c r="J863" s="5">
        <f>IF(A863="","",SUMIFS(Movimientos!$K:$K,Movimientos!$H:$H,A863))</f>
        <v>0</v>
      </c>
      <c r="K863" s="13" t="str">
        <f t="shared" ca="1" si="27"/>
        <v>SIN STOCK</v>
      </c>
    </row>
    <row r="864" spans="1:11">
      <c r="A864" s="16" t="s">
        <v>3169</v>
      </c>
      <c r="B864" s="2" t="str">
        <f>IFERROR(INDEX(Movimientos!$C$2:$C$1993,MATCH(A864&amp;"ENTRADA",Movimientos!$R$2:$R$1993,0)),"-")</f>
        <v>-</v>
      </c>
      <c r="C864" s="2" t="str">
        <f>IFERROR(INDEX(Movimientos!$D$2:$D$1993,MATCH(A864&amp;"ENTRADA",Movimientos!$R$2:$R$1993,0)),"-")</f>
        <v>-</v>
      </c>
      <c r="D864" s="2" t="str">
        <f>IFERROR(INDEX(Movimientos!$E$2:$E$1993,MATCH(A864&amp;"ENTRADA",Movimientos!$R$2:$R$1993,0)),"-")</f>
        <v>-</v>
      </c>
      <c r="E864" s="2" t="str">
        <f>IFERROR(INDEX(Movimientos!$F$2:$F$1993,MATCH(A864&amp;"ENTRADA",Movimientos!$R$2:$R$1993,0)),"-")</f>
        <v>-</v>
      </c>
      <c r="F864" s="2" t="str">
        <f>IFERROR(INDEX(Movimientos!$G$2:$G$1993,MATCH(A864&amp;"ENTRADA",Movimientos!$R$2:$R$1993,0)),"-")</f>
        <v>-</v>
      </c>
      <c r="G864" s="2" t="str">
        <f>IFERROR(INDEX(Movimientos!$L$2:$L$1993,MATCH(A864&amp;"ENTRADA",Movimientos!$R$2:$R$1993,0)),"-")</f>
        <v>-</v>
      </c>
      <c r="H864" s="17" t="str">
        <f>IFERROR(IF(INDEX(Movimientos!$M$2:$M$1993,MATCH(A864&amp;"ENTRADA",Movimientos!$R$2:$R$1993,0))=0,"S/D",INDEX(Movimientos!$M$2:$M$1993,MATCH(A864&amp;"ENTRADA",Movimientos!$R$2:$R$1993,0))),"S/D")</f>
        <v>S/D</v>
      </c>
      <c r="I864" s="15" t="str">
        <f t="shared" ca="1" si="28"/>
        <v>S/D</v>
      </c>
      <c r="J864" s="5">
        <f>IF(A864="","",SUMIFS(Movimientos!$K:$K,Movimientos!$H:$H,A864))</f>
        <v>0</v>
      </c>
      <c r="K864" s="13" t="str">
        <f t="shared" ca="1" si="27"/>
        <v>SIN STOCK</v>
      </c>
    </row>
    <row r="865" spans="1:11">
      <c r="A865" s="16" t="s">
        <v>3170</v>
      </c>
      <c r="B865" s="2" t="str">
        <f>IFERROR(INDEX(Movimientos!$C$2:$C$1993,MATCH(A865&amp;"ENTRADA",Movimientos!$R$2:$R$1993,0)),"-")</f>
        <v>-</v>
      </c>
      <c r="C865" s="2" t="str">
        <f>IFERROR(INDEX(Movimientos!$D$2:$D$1993,MATCH(A865&amp;"ENTRADA",Movimientos!$R$2:$R$1993,0)),"-")</f>
        <v>-</v>
      </c>
      <c r="D865" s="2" t="str">
        <f>IFERROR(INDEX(Movimientos!$E$2:$E$1993,MATCH(A865&amp;"ENTRADA",Movimientos!$R$2:$R$1993,0)),"-")</f>
        <v>-</v>
      </c>
      <c r="E865" s="2" t="str">
        <f>IFERROR(INDEX(Movimientos!$F$2:$F$1993,MATCH(A865&amp;"ENTRADA",Movimientos!$R$2:$R$1993,0)),"-")</f>
        <v>-</v>
      </c>
      <c r="F865" s="2" t="str">
        <f>IFERROR(INDEX(Movimientos!$G$2:$G$1993,MATCH(A865&amp;"ENTRADA",Movimientos!$R$2:$R$1993,0)),"-")</f>
        <v>-</v>
      </c>
      <c r="G865" s="2" t="str">
        <f>IFERROR(INDEX(Movimientos!$L$2:$L$1993,MATCH(A865&amp;"ENTRADA",Movimientos!$R$2:$R$1993,0)),"-")</f>
        <v>-</v>
      </c>
      <c r="H865" s="17" t="str">
        <f>IFERROR(IF(INDEX(Movimientos!$M$2:$M$1993,MATCH(A865&amp;"ENTRADA",Movimientos!$R$2:$R$1993,0))=0,"S/D",INDEX(Movimientos!$M$2:$M$1993,MATCH(A865&amp;"ENTRADA",Movimientos!$R$2:$R$1993,0))),"S/D")</f>
        <v>S/D</v>
      </c>
      <c r="I865" s="15" t="str">
        <f t="shared" ca="1" si="28"/>
        <v>S/D</v>
      </c>
      <c r="J865" s="5">
        <f>IF(A865="","",SUMIFS(Movimientos!$K:$K,Movimientos!$H:$H,A865))</f>
        <v>0</v>
      </c>
      <c r="K865" s="13" t="str">
        <f t="shared" ca="1" si="27"/>
        <v>SIN STOCK</v>
      </c>
    </row>
    <row r="866" spans="1:11">
      <c r="A866" s="16" t="s">
        <v>3171</v>
      </c>
      <c r="B866" s="2" t="str">
        <f>IFERROR(INDEX(Movimientos!$C$2:$C$1993,MATCH(A866&amp;"ENTRADA",Movimientos!$R$2:$R$1993,0)),"-")</f>
        <v>-</v>
      </c>
      <c r="C866" s="2" t="str">
        <f>IFERROR(INDEX(Movimientos!$D$2:$D$1993,MATCH(A866&amp;"ENTRADA",Movimientos!$R$2:$R$1993,0)),"-")</f>
        <v>-</v>
      </c>
      <c r="D866" s="2" t="str">
        <f>IFERROR(INDEX(Movimientos!$E$2:$E$1993,MATCH(A866&amp;"ENTRADA",Movimientos!$R$2:$R$1993,0)),"-")</f>
        <v>-</v>
      </c>
      <c r="E866" s="2" t="str">
        <f>IFERROR(INDEX(Movimientos!$F$2:$F$1993,MATCH(A866&amp;"ENTRADA",Movimientos!$R$2:$R$1993,0)),"-")</f>
        <v>-</v>
      </c>
      <c r="F866" s="2" t="str">
        <f>IFERROR(INDEX(Movimientos!$G$2:$G$1993,MATCH(A866&amp;"ENTRADA",Movimientos!$R$2:$R$1993,0)),"-")</f>
        <v>-</v>
      </c>
      <c r="G866" s="2" t="str">
        <f>IFERROR(INDEX(Movimientos!$L$2:$L$1993,MATCH(A866&amp;"ENTRADA",Movimientos!$R$2:$R$1993,0)),"-")</f>
        <v>-</v>
      </c>
      <c r="H866" s="17" t="str">
        <f>IFERROR(IF(INDEX(Movimientos!$M$2:$M$1993,MATCH(A866&amp;"ENTRADA",Movimientos!$R$2:$R$1993,0))=0,"S/D",INDEX(Movimientos!$M$2:$M$1993,MATCH(A866&amp;"ENTRADA",Movimientos!$R$2:$R$1993,0))),"S/D")</f>
        <v>S/D</v>
      </c>
      <c r="I866" s="15" t="str">
        <f t="shared" ca="1" si="28"/>
        <v>S/D</v>
      </c>
      <c r="J866" s="5">
        <f>IF(A866="","",SUMIFS(Movimientos!$K:$K,Movimientos!$H:$H,A866))</f>
        <v>0</v>
      </c>
      <c r="K866" s="13" t="str">
        <f t="shared" ca="1" si="27"/>
        <v>SIN STOCK</v>
      </c>
    </row>
    <row r="867" spans="1:11">
      <c r="A867" s="16" t="s">
        <v>3172</v>
      </c>
      <c r="B867" s="2" t="str">
        <f>IFERROR(INDEX(Movimientos!$C$2:$C$1993,MATCH(A867&amp;"ENTRADA",Movimientos!$R$2:$R$1993,0)),"-")</f>
        <v>-</v>
      </c>
      <c r="C867" s="2" t="str">
        <f>IFERROR(INDEX(Movimientos!$D$2:$D$1993,MATCH(A867&amp;"ENTRADA",Movimientos!$R$2:$R$1993,0)),"-")</f>
        <v>-</v>
      </c>
      <c r="D867" s="2" t="str">
        <f>IFERROR(INDEX(Movimientos!$E$2:$E$1993,MATCH(A867&amp;"ENTRADA",Movimientos!$R$2:$R$1993,0)),"-")</f>
        <v>-</v>
      </c>
      <c r="E867" s="2" t="str">
        <f>IFERROR(INDEX(Movimientos!$F$2:$F$1993,MATCH(A867&amp;"ENTRADA",Movimientos!$R$2:$R$1993,0)),"-")</f>
        <v>-</v>
      </c>
      <c r="F867" s="2" t="str">
        <f>IFERROR(INDEX(Movimientos!$G$2:$G$1993,MATCH(A867&amp;"ENTRADA",Movimientos!$R$2:$R$1993,0)),"-")</f>
        <v>-</v>
      </c>
      <c r="G867" s="2" t="str">
        <f>IFERROR(INDEX(Movimientos!$L$2:$L$1993,MATCH(A867&amp;"ENTRADA",Movimientos!$R$2:$R$1993,0)),"-")</f>
        <v>-</v>
      </c>
      <c r="H867" s="17" t="str">
        <f>IFERROR(IF(INDEX(Movimientos!$M$2:$M$1993,MATCH(A867&amp;"ENTRADA",Movimientos!$R$2:$R$1993,0))=0,"S/D",INDEX(Movimientos!$M$2:$M$1993,MATCH(A867&amp;"ENTRADA",Movimientos!$R$2:$R$1993,0))),"S/D")</f>
        <v>S/D</v>
      </c>
      <c r="I867" s="15" t="str">
        <f t="shared" ca="1" si="28"/>
        <v>S/D</v>
      </c>
      <c r="J867" s="5">
        <f>IF(A867="","",SUMIFS(Movimientos!$K:$K,Movimientos!$H:$H,A867))</f>
        <v>0</v>
      </c>
      <c r="K867" s="13" t="str">
        <f t="shared" ca="1" si="27"/>
        <v>SIN STOCK</v>
      </c>
    </row>
    <row r="868" spans="1:11">
      <c r="A868" s="16" t="s">
        <v>3173</v>
      </c>
      <c r="B868" s="2" t="str">
        <f>IFERROR(INDEX(Movimientos!$C$2:$C$1993,MATCH(A868&amp;"ENTRADA",Movimientos!$R$2:$R$1993,0)),"-")</f>
        <v>-</v>
      </c>
      <c r="C868" s="2" t="str">
        <f>IFERROR(INDEX(Movimientos!$D$2:$D$1993,MATCH(A868&amp;"ENTRADA",Movimientos!$R$2:$R$1993,0)),"-")</f>
        <v>-</v>
      </c>
      <c r="D868" s="2" t="str">
        <f>IFERROR(INDEX(Movimientos!$E$2:$E$1993,MATCH(A868&amp;"ENTRADA",Movimientos!$R$2:$R$1993,0)),"-")</f>
        <v>-</v>
      </c>
      <c r="E868" s="2" t="str">
        <f>IFERROR(INDEX(Movimientos!$F$2:$F$1993,MATCH(A868&amp;"ENTRADA",Movimientos!$R$2:$R$1993,0)),"-")</f>
        <v>-</v>
      </c>
      <c r="F868" s="2" t="str">
        <f>IFERROR(INDEX(Movimientos!$G$2:$G$1993,MATCH(A868&amp;"ENTRADA",Movimientos!$R$2:$R$1993,0)),"-")</f>
        <v>-</v>
      </c>
      <c r="G868" s="2" t="str">
        <f>IFERROR(INDEX(Movimientos!$L$2:$L$1993,MATCH(A868&amp;"ENTRADA",Movimientos!$R$2:$R$1993,0)),"-")</f>
        <v>-</v>
      </c>
      <c r="H868" s="17" t="str">
        <f>IFERROR(IF(INDEX(Movimientos!$M$2:$M$1993,MATCH(A868&amp;"ENTRADA",Movimientos!$R$2:$R$1993,0))=0,"S/D",INDEX(Movimientos!$M$2:$M$1993,MATCH(A868&amp;"ENTRADA",Movimientos!$R$2:$R$1993,0))),"S/D")</f>
        <v>S/D</v>
      </c>
      <c r="I868" s="15" t="str">
        <f t="shared" ca="1" si="28"/>
        <v>S/D</v>
      </c>
      <c r="J868" s="5">
        <f>IF(A868="","",SUMIFS(Movimientos!$K:$K,Movimientos!$H:$H,A868))</f>
        <v>0</v>
      </c>
      <c r="K868" s="13" t="str">
        <f t="shared" ca="1" si="27"/>
        <v>SIN STOCK</v>
      </c>
    </row>
    <row r="869" spans="1:11">
      <c r="A869" s="16" t="s">
        <v>3174</v>
      </c>
      <c r="B869" s="2" t="str">
        <f>IFERROR(INDEX(Movimientos!$C$2:$C$1993,MATCH(A869&amp;"ENTRADA",Movimientos!$R$2:$R$1993,0)),"-")</f>
        <v>-</v>
      </c>
      <c r="C869" s="2" t="str">
        <f>IFERROR(INDEX(Movimientos!$D$2:$D$1993,MATCH(A869&amp;"ENTRADA",Movimientos!$R$2:$R$1993,0)),"-")</f>
        <v>-</v>
      </c>
      <c r="D869" s="2" t="str">
        <f>IFERROR(INDEX(Movimientos!$E$2:$E$1993,MATCH(A869&amp;"ENTRADA",Movimientos!$R$2:$R$1993,0)),"-")</f>
        <v>-</v>
      </c>
      <c r="E869" s="2" t="str">
        <f>IFERROR(INDEX(Movimientos!$F$2:$F$1993,MATCH(A869&amp;"ENTRADA",Movimientos!$R$2:$R$1993,0)),"-")</f>
        <v>-</v>
      </c>
      <c r="F869" s="2" t="str">
        <f>IFERROR(INDEX(Movimientos!$G$2:$G$1993,MATCH(A869&amp;"ENTRADA",Movimientos!$R$2:$R$1993,0)),"-")</f>
        <v>-</v>
      </c>
      <c r="G869" s="2" t="str">
        <f>IFERROR(INDEX(Movimientos!$L$2:$L$1993,MATCH(A869&amp;"ENTRADA",Movimientos!$R$2:$R$1993,0)),"-")</f>
        <v>-</v>
      </c>
      <c r="H869" s="17" t="str">
        <f>IFERROR(IF(INDEX(Movimientos!$M$2:$M$1993,MATCH(A869&amp;"ENTRADA",Movimientos!$R$2:$R$1993,0))=0,"S/D",INDEX(Movimientos!$M$2:$M$1993,MATCH(A869&amp;"ENTRADA",Movimientos!$R$2:$R$1993,0))),"S/D")</f>
        <v>S/D</v>
      </c>
      <c r="I869" s="15" t="str">
        <f t="shared" ca="1" si="28"/>
        <v>S/D</v>
      </c>
      <c r="J869" s="5">
        <f>IF(A869="","",SUMIFS(Movimientos!$K:$K,Movimientos!$H:$H,A869))</f>
        <v>0</v>
      </c>
      <c r="K869" s="13" t="str">
        <f t="shared" ca="1" si="27"/>
        <v>SIN STOCK</v>
      </c>
    </row>
    <row r="870" spans="1:11">
      <c r="A870" s="16" t="s">
        <v>3175</v>
      </c>
      <c r="B870" s="2" t="str">
        <f>IFERROR(INDEX(Movimientos!$C$2:$C$1993,MATCH(A870&amp;"ENTRADA",Movimientos!$R$2:$R$1993,0)),"-")</f>
        <v>-</v>
      </c>
      <c r="C870" s="2" t="str">
        <f>IFERROR(INDEX(Movimientos!$D$2:$D$1993,MATCH(A870&amp;"ENTRADA",Movimientos!$R$2:$R$1993,0)),"-")</f>
        <v>-</v>
      </c>
      <c r="D870" s="2" t="str">
        <f>IFERROR(INDEX(Movimientos!$E$2:$E$1993,MATCH(A870&amp;"ENTRADA",Movimientos!$R$2:$R$1993,0)),"-")</f>
        <v>-</v>
      </c>
      <c r="E870" s="2" t="str">
        <f>IFERROR(INDEX(Movimientos!$F$2:$F$1993,MATCH(A870&amp;"ENTRADA",Movimientos!$R$2:$R$1993,0)),"-")</f>
        <v>-</v>
      </c>
      <c r="F870" s="2" t="str">
        <f>IFERROR(INDEX(Movimientos!$G$2:$G$1993,MATCH(A870&amp;"ENTRADA",Movimientos!$R$2:$R$1993,0)),"-")</f>
        <v>-</v>
      </c>
      <c r="G870" s="2" t="str">
        <f>IFERROR(INDEX(Movimientos!$L$2:$L$1993,MATCH(A870&amp;"ENTRADA",Movimientos!$R$2:$R$1993,0)),"-")</f>
        <v>-</v>
      </c>
      <c r="H870" s="17" t="str">
        <f>IFERROR(IF(INDEX(Movimientos!$M$2:$M$1993,MATCH(A870&amp;"ENTRADA",Movimientos!$R$2:$R$1993,0))=0,"S/D",INDEX(Movimientos!$M$2:$M$1993,MATCH(A870&amp;"ENTRADA",Movimientos!$R$2:$R$1993,0))),"S/D")</f>
        <v>S/D</v>
      </c>
      <c r="I870" s="15" t="str">
        <f t="shared" ca="1" si="28"/>
        <v>S/D</v>
      </c>
      <c r="J870" s="5">
        <f>IF(A870="","",SUMIFS(Movimientos!$K:$K,Movimientos!$H:$H,A870))</f>
        <v>0</v>
      </c>
      <c r="K870" s="13" t="str">
        <f t="shared" ca="1" si="27"/>
        <v>SIN STOCK</v>
      </c>
    </row>
    <row r="871" spans="1:11">
      <c r="A871" s="16" t="s">
        <v>3176</v>
      </c>
      <c r="B871" s="2" t="str">
        <f>IFERROR(INDEX(Movimientos!$C$2:$C$1993,MATCH(A871&amp;"ENTRADA",Movimientos!$R$2:$R$1993,0)),"-")</f>
        <v>-</v>
      </c>
      <c r="C871" s="2" t="str">
        <f>IFERROR(INDEX(Movimientos!$D$2:$D$1993,MATCH(A871&amp;"ENTRADA",Movimientos!$R$2:$R$1993,0)),"-")</f>
        <v>-</v>
      </c>
      <c r="D871" s="2" t="str">
        <f>IFERROR(INDEX(Movimientos!$E$2:$E$1993,MATCH(A871&amp;"ENTRADA",Movimientos!$R$2:$R$1993,0)),"-")</f>
        <v>-</v>
      </c>
      <c r="E871" s="2" t="str">
        <f>IFERROR(INDEX(Movimientos!$F$2:$F$1993,MATCH(A871&amp;"ENTRADA",Movimientos!$R$2:$R$1993,0)),"-")</f>
        <v>-</v>
      </c>
      <c r="F871" s="2" t="str">
        <f>IFERROR(INDEX(Movimientos!$G$2:$G$1993,MATCH(A871&amp;"ENTRADA",Movimientos!$R$2:$R$1993,0)),"-")</f>
        <v>-</v>
      </c>
      <c r="G871" s="2" t="str">
        <f>IFERROR(INDEX(Movimientos!$L$2:$L$1993,MATCH(A871&amp;"ENTRADA",Movimientos!$R$2:$R$1993,0)),"-")</f>
        <v>-</v>
      </c>
      <c r="H871" s="17" t="str">
        <f>IFERROR(IF(INDEX(Movimientos!$M$2:$M$1993,MATCH(A871&amp;"ENTRADA",Movimientos!$R$2:$R$1993,0))=0,"S/D",INDEX(Movimientos!$M$2:$M$1993,MATCH(A871&amp;"ENTRADA",Movimientos!$R$2:$R$1993,0))),"S/D")</f>
        <v>S/D</v>
      </c>
      <c r="I871" s="15" t="str">
        <f t="shared" ca="1" si="28"/>
        <v>S/D</v>
      </c>
      <c r="J871" s="5">
        <f>IF(A871="","",SUMIFS(Movimientos!$K:$K,Movimientos!$H:$H,A871))</f>
        <v>0</v>
      </c>
      <c r="K871" s="13" t="str">
        <f t="shared" ca="1" si="27"/>
        <v>SIN STOCK</v>
      </c>
    </row>
    <row r="872" spans="1:11">
      <c r="A872" s="16" t="s">
        <v>3177</v>
      </c>
      <c r="B872" s="2" t="str">
        <f>IFERROR(INDEX(Movimientos!$C$2:$C$1993,MATCH(A872&amp;"ENTRADA",Movimientos!$R$2:$R$1993,0)),"-")</f>
        <v>-</v>
      </c>
      <c r="C872" s="2" t="str">
        <f>IFERROR(INDEX(Movimientos!$D$2:$D$1993,MATCH(A872&amp;"ENTRADA",Movimientos!$R$2:$R$1993,0)),"-")</f>
        <v>-</v>
      </c>
      <c r="D872" s="2" t="str">
        <f>IFERROR(INDEX(Movimientos!$E$2:$E$1993,MATCH(A872&amp;"ENTRADA",Movimientos!$R$2:$R$1993,0)),"-")</f>
        <v>-</v>
      </c>
      <c r="E872" s="2" t="str">
        <f>IFERROR(INDEX(Movimientos!$F$2:$F$1993,MATCH(A872&amp;"ENTRADA",Movimientos!$R$2:$R$1993,0)),"-")</f>
        <v>-</v>
      </c>
      <c r="F872" s="2" t="str">
        <f>IFERROR(INDEX(Movimientos!$G$2:$G$1993,MATCH(A872&amp;"ENTRADA",Movimientos!$R$2:$R$1993,0)),"-")</f>
        <v>-</v>
      </c>
      <c r="G872" s="2" t="str">
        <f>IFERROR(INDEX(Movimientos!$L$2:$L$1993,MATCH(A872&amp;"ENTRADA",Movimientos!$R$2:$R$1993,0)),"-")</f>
        <v>-</v>
      </c>
      <c r="H872" s="17" t="str">
        <f>IFERROR(IF(INDEX(Movimientos!$M$2:$M$1993,MATCH(A872&amp;"ENTRADA",Movimientos!$R$2:$R$1993,0))=0,"S/D",INDEX(Movimientos!$M$2:$M$1993,MATCH(A872&amp;"ENTRADA",Movimientos!$R$2:$R$1993,0))),"S/D")</f>
        <v>S/D</v>
      </c>
      <c r="I872" s="15" t="str">
        <f t="shared" ca="1" si="28"/>
        <v>S/D</v>
      </c>
      <c r="J872" s="5">
        <f>IF(A872="","",SUMIFS(Movimientos!$K:$K,Movimientos!$H:$H,A872))</f>
        <v>0</v>
      </c>
      <c r="K872" s="13" t="str">
        <f t="shared" ca="1" si="27"/>
        <v>SIN STOCK</v>
      </c>
    </row>
    <row r="873" spans="1:11">
      <c r="A873" s="16" t="s">
        <v>3178</v>
      </c>
      <c r="B873" s="2" t="str">
        <f>IFERROR(INDEX(Movimientos!$C$2:$C$1993,MATCH(A873&amp;"ENTRADA",Movimientos!$R$2:$R$1993,0)),"-")</f>
        <v>-</v>
      </c>
      <c r="C873" s="2" t="str">
        <f>IFERROR(INDEX(Movimientos!$D$2:$D$1993,MATCH(A873&amp;"ENTRADA",Movimientos!$R$2:$R$1993,0)),"-")</f>
        <v>-</v>
      </c>
      <c r="D873" s="2" t="str">
        <f>IFERROR(INDEX(Movimientos!$E$2:$E$1993,MATCH(A873&amp;"ENTRADA",Movimientos!$R$2:$R$1993,0)),"-")</f>
        <v>-</v>
      </c>
      <c r="E873" s="2" t="str">
        <f>IFERROR(INDEX(Movimientos!$F$2:$F$1993,MATCH(A873&amp;"ENTRADA",Movimientos!$R$2:$R$1993,0)),"-")</f>
        <v>-</v>
      </c>
      <c r="F873" s="2" t="str">
        <f>IFERROR(INDEX(Movimientos!$G$2:$G$1993,MATCH(A873&amp;"ENTRADA",Movimientos!$R$2:$R$1993,0)),"-")</f>
        <v>-</v>
      </c>
      <c r="G873" s="2" t="str">
        <f>IFERROR(INDEX(Movimientos!$L$2:$L$1993,MATCH(A873&amp;"ENTRADA",Movimientos!$R$2:$R$1993,0)),"-")</f>
        <v>-</v>
      </c>
      <c r="H873" s="17" t="str">
        <f>IFERROR(IF(INDEX(Movimientos!$M$2:$M$1993,MATCH(A873&amp;"ENTRADA",Movimientos!$R$2:$R$1993,0))=0,"S/D",INDEX(Movimientos!$M$2:$M$1993,MATCH(A873&amp;"ENTRADA",Movimientos!$R$2:$R$1993,0))),"S/D")</f>
        <v>S/D</v>
      </c>
      <c r="I873" s="15" t="str">
        <f t="shared" ca="1" si="28"/>
        <v>S/D</v>
      </c>
      <c r="J873" s="5">
        <f>IF(A873="","",SUMIFS(Movimientos!$K:$K,Movimientos!$H:$H,A873))</f>
        <v>0</v>
      </c>
      <c r="K873" s="13" t="str">
        <f t="shared" ca="1" si="27"/>
        <v>SIN STOCK</v>
      </c>
    </row>
    <row r="874" spans="1:11">
      <c r="A874" s="16" t="s">
        <v>3179</v>
      </c>
      <c r="B874" s="2" t="str">
        <f>IFERROR(INDEX(Movimientos!$C$2:$C$1993,MATCH(A874&amp;"ENTRADA",Movimientos!$R$2:$R$1993,0)),"-")</f>
        <v>-</v>
      </c>
      <c r="C874" s="2" t="str">
        <f>IFERROR(INDEX(Movimientos!$D$2:$D$1993,MATCH(A874&amp;"ENTRADA",Movimientos!$R$2:$R$1993,0)),"-")</f>
        <v>-</v>
      </c>
      <c r="D874" s="2" t="str">
        <f>IFERROR(INDEX(Movimientos!$E$2:$E$1993,MATCH(A874&amp;"ENTRADA",Movimientos!$R$2:$R$1993,0)),"-")</f>
        <v>-</v>
      </c>
      <c r="E874" s="2" t="str">
        <f>IFERROR(INDEX(Movimientos!$F$2:$F$1993,MATCH(A874&amp;"ENTRADA",Movimientos!$R$2:$R$1993,0)),"-")</f>
        <v>-</v>
      </c>
      <c r="F874" s="2" t="str">
        <f>IFERROR(INDEX(Movimientos!$G$2:$G$1993,MATCH(A874&amp;"ENTRADA",Movimientos!$R$2:$R$1993,0)),"-")</f>
        <v>-</v>
      </c>
      <c r="G874" s="2" t="str">
        <f>IFERROR(INDEX(Movimientos!$L$2:$L$1993,MATCH(A874&amp;"ENTRADA",Movimientos!$R$2:$R$1993,0)),"-")</f>
        <v>-</v>
      </c>
      <c r="H874" s="17" t="str">
        <f>IFERROR(IF(INDEX(Movimientos!$M$2:$M$1993,MATCH(A874&amp;"ENTRADA",Movimientos!$R$2:$R$1993,0))=0,"S/D",INDEX(Movimientos!$M$2:$M$1993,MATCH(A874&amp;"ENTRADA",Movimientos!$R$2:$R$1993,0))),"S/D")</f>
        <v>S/D</v>
      </c>
      <c r="I874" s="15" t="str">
        <f t="shared" ca="1" si="28"/>
        <v>S/D</v>
      </c>
      <c r="J874" s="5">
        <f>IF(A874="","",SUMIFS(Movimientos!$K:$K,Movimientos!$H:$H,A874))</f>
        <v>0</v>
      </c>
      <c r="K874" s="13" t="str">
        <f t="shared" ca="1" si="27"/>
        <v>SIN STOCK</v>
      </c>
    </row>
    <row r="875" spans="1:11">
      <c r="A875" s="16" t="s">
        <v>3180</v>
      </c>
      <c r="B875" s="2" t="str">
        <f>IFERROR(INDEX(Movimientos!$C$2:$C$1993,MATCH(A875&amp;"ENTRADA",Movimientos!$R$2:$R$1993,0)),"-")</f>
        <v>-</v>
      </c>
      <c r="C875" s="2" t="str">
        <f>IFERROR(INDEX(Movimientos!$D$2:$D$1993,MATCH(A875&amp;"ENTRADA",Movimientos!$R$2:$R$1993,0)),"-")</f>
        <v>-</v>
      </c>
      <c r="D875" s="2" t="str">
        <f>IFERROR(INDEX(Movimientos!$E$2:$E$1993,MATCH(A875&amp;"ENTRADA",Movimientos!$R$2:$R$1993,0)),"-")</f>
        <v>-</v>
      </c>
      <c r="E875" s="2" t="str">
        <f>IFERROR(INDEX(Movimientos!$F$2:$F$1993,MATCH(A875&amp;"ENTRADA",Movimientos!$R$2:$R$1993,0)),"-")</f>
        <v>-</v>
      </c>
      <c r="F875" s="2" t="str">
        <f>IFERROR(INDEX(Movimientos!$G$2:$G$1993,MATCH(A875&amp;"ENTRADA",Movimientos!$R$2:$R$1993,0)),"-")</f>
        <v>-</v>
      </c>
      <c r="G875" s="2" t="str">
        <f>IFERROR(INDEX(Movimientos!$L$2:$L$1993,MATCH(A875&amp;"ENTRADA",Movimientos!$R$2:$R$1993,0)),"-")</f>
        <v>-</v>
      </c>
      <c r="H875" s="17" t="str">
        <f>IFERROR(IF(INDEX(Movimientos!$M$2:$M$1993,MATCH(A875&amp;"ENTRADA",Movimientos!$R$2:$R$1993,0))=0,"S/D",INDEX(Movimientos!$M$2:$M$1993,MATCH(A875&amp;"ENTRADA",Movimientos!$R$2:$R$1993,0))),"S/D")</f>
        <v>S/D</v>
      </c>
      <c r="I875" s="15" t="str">
        <f t="shared" ca="1" si="28"/>
        <v>S/D</v>
      </c>
      <c r="J875" s="5">
        <f>IF(A875="","",SUMIFS(Movimientos!$K:$K,Movimientos!$H:$H,A875))</f>
        <v>0</v>
      </c>
      <c r="K875" s="13" t="str">
        <f t="shared" ca="1" si="27"/>
        <v>SIN STOCK</v>
      </c>
    </row>
    <row r="876" spans="1:11">
      <c r="A876" s="16" t="s">
        <v>3181</v>
      </c>
      <c r="B876" s="2" t="str">
        <f>IFERROR(INDEX(Movimientos!$C$2:$C$1993,MATCH(A876&amp;"ENTRADA",Movimientos!$R$2:$R$1993,0)),"-")</f>
        <v>-</v>
      </c>
      <c r="C876" s="2" t="str">
        <f>IFERROR(INDEX(Movimientos!$D$2:$D$1993,MATCH(A876&amp;"ENTRADA",Movimientos!$R$2:$R$1993,0)),"-")</f>
        <v>-</v>
      </c>
      <c r="D876" s="2" t="str">
        <f>IFERROR(INDEX(Movimientos!$E$2:$E$1993,MATCH(A876&amp;"ENTRADA",Movimientos!$R$2:$R$1993,0)),"-")</f>
        <v>-</v>
      </c>
      <c r="E876" s="2" t="str">
        <f>IFERROR(INDEX(Movimientos!$F$2:$F$1993,MATCH(A876&amp;"ENTRADA",Movimientos!$R$2:$R$1993,0)),"-")</f>
        <v>-</v>
      </c>
      <c r="F876" s="2" t="str">
        <f>IFERROR(INDEX(Movimientos!$G$2:$G$1993,MATCH(A876&amp;"ENTRADA",Movimientos!$R$2:$R$1993,0)),"-")</f>
        <v>-</v>
      </c>
      <c r="G876" s="2" t="str">
        <f>IFERROR(INDEX(Movimientos!$L$2:$L$1993,MATCH(A876&amp;"ENTRADA",Movimientos!$R$2:$R$1993,0)),"-")</f>
        <v>-</v>
      </c>
      <c r="H876" s="17" t="str">
        <f>IFERROR(IF(INDEX(Movimientos!$M$2:$M$1993,MATCH(A876&amp;"ENTRADA",Movimientos!$R$2:$R$1993,0))=0,"S/D",INDEX(Movimientos!$M$2:$M$1993,MATCH(A876&amp;"ENTRADA",Movimientos!$R$2:$R$1993,0))),"S/D")</f>
        <v>S/D</v>
      </c>
      <c r="I876" s="15" t="str">
        <f t="shared" ca="1" si="28"/>
        <v>S/D</v>
      </c>
      <c r="J876" s="5">
        <f>IF(A876="","",SUMIFS(Movimientos!$K:$K,Movimientos!$H:$H,A876))</f>
        <v>0</v>
      </c>
      <c r="K876" s="13" t="str">
        <f t="shared" ca="1" si="27"/>
        <v>SIN STOCK</v>
      </c>
    </row>
    <row r="877" spans="1:11">
      <c r="A877" s="16" t="s">
        <v>3182</v>
      </c>
      <c r="B877" s="2" t="str">
        <f>IFERROR(INDEX(Movimientos!$C$2:$C$1993,MATCH(A877&amp;"ENTRADA",Movimientos!$R$2:$R$1993,0)),"-")</f>
        <v>-</v>
      </c>
      <c r="C877" s="2" t="str">
        <f>IFERROR(INDEX(Movimientos!$D$2:$D$1993,MATCH(A877&amp;"ENTRADA",Movimientos!$R$2:$R$1993,0)),"-")</f>
        <v>-</v>
      </c>
      <c r="D877" s="2" t="str">
        <f>IFERROR(INDEX(Movimientos!$E$2:$E$1993,MATCH(A877&amp;"ENTRADA",Movimientos!$R$2:$R$1993,0)),"-")</f>
        <v>-</v>
      </c>
      <c r="E877" s="2" t="str">
        <f>IFERROR(INDEX(Movimientos!$F$2:$F$1993,MATCH(A877&amp;"ENTRADA",Movimientos!$R$2:$R$1993,0)),"-")</f>
        <v>-</v>
      </c>
      <c r="F877" s="2" t="str">
        <f>IFERROR(INDEX(Movimientos!$G$2:$G$1993,MATCH(A877&amp;"ENTRADA",Movimientos!$R$2:$R$1993,0)),"-")</f>
        <v>-</v>
      </c>
      <c r="G877" s="2" t="str">
        <f>IFERROR(INDEX(Movimientos!$L$2:$L$1993,MATCH(A877&amp;"ENTRADA",Movimientos!$R$2:$R$1993,0)),"-")</f>
        <v>-</v>
      </c>
      <c r="H877" s="17" t="str">
        <f>IFERROR(IF(INDEX(Movimientos!$M$2:$M$1993,MATCH(A877&amp;"ENTRADA",Movimientos!$R$2:$R$1993,0))=0,"S/D",INDEX(Movimientos!$M$2:$M$1993,MATCH(A877&amp;"ENTRADA",Movimientos!$R$2:$R$1993,0))),"S/D")</f>
        <v>S/D</v>
      </c>
      <c r="I877" s="15" t="str">
        <f t="shared" ca="1" si="28"/>
        <v>S/D</v>
      </c>
      <c r="J877" s="5">
        <f>IF(A877="","",SUMIFS(Movimientos!$K:$K,Movimientos!$H:$H,A877))</f>
        <v>0</v>
      </c>
      <c r="K877" s="13" t="str">
        <f t="shared" ca="1" si="27"/>
        <v>SIN STOCK</v>
      </c>
    </row>
    <row r="878" spans="1:11">
      <c r="A878" s="16" t="s">
        <v>3183</v>
      </c>
      <c r="B878" s="2" t="str">
        <f>IFERROR(INDEX(Movimientos!$C$2:$C$1993,MATCH(A878&amp;"ENTRADA",Movimientos!$R$2:$R$1993,0)),"-")</f>
        <v>-</v>
      </c>
      <c r="C878" s="2" t="str">
        <f>IFERROR(INDEX(Movimientos!$D$2:$D$1993,MATCH(A878&amp;"ENTRADA",Movimientos!$R$2:$R$1993,0)),"-")</f>
        <v>-</v>
      </c>
      <c r="D878" s="2" t="str">
        <f>IFERROR(INDEX(Movimientos!$E$2:$E$1993,MATCH(A878&amp;"ENTRADA",Movimientos!$R$2:$R$1993,0)),"-")</f>
        <v>-</v>
      </c>
      <c r="E878" s="2" t="str">
        <f>IFERROR(INDEX(Movimientos!$F$2:$F$1993,MATCH(A878&amp;"ENTRADA",Movimientos!$R$2:$R$1993,0)),"-")</f>
        <v>-</v>
      </c>
      <c r="F878" s="2" t="str">
        <f>IFERROR(INDEX(Movimientos!$G$2:$G$1993,MATCH(A878&amp;"ENTRADA",Movimientos!$R$2:$R$1993,0)),"-")</f>
        <v>-</v>
      </c>
      <c r="G878" s="2" t="str">
        <f>IFERROR(INDEX(Movimientos!$L$2:$L$1993,MATCH(A878&amp;"ENTRADA",Movimientos!$R$2:$R$1993,0)),"-")</f>
        <v>-</v>
      </c>
      <c r="H878" s="17" t="str">
        <f>IFERROR(IF(INDEX(Movimientos!$M$2:$M$1993,MATCH(A878&amp;"ENTRADA",Movimientos!$R$2:$R$1993,0))=0,"S/D",INDEX(Movimientos!$M$2:$M$1993,MATCH(A878&amp;"ENTRADA",Movimientos!$R$2:$R$1993,0))),"S/D")</f>
        <v>S/D</v>
      </c>
      <c r="I878" s="15" t="str">
        <f t="shared" ca="1" si="28"/>
        <v>S/D</v>
      </c>
      <c r="J878" s="5">
        <f>IF(A878="","",SUMIFS(Movimientos!$K:$K,Movimientos!$H:$H,A878))</f>
        <v>0</v>
      </c>
      <c r="K878" s="13" t="str">
        <f t="shared" ca="1" si="27"/>
        <v>SIN STOCK</v>
      </c>
    </row>
    <row r="879" spans="1:11">
      <c r="A879" s="16" t="s">
        <v>3184</v>
      </c>
      <c r="B879" s="2" t="str">
        <f>IFERROR(INDEX(Movimientos!$C$2:$C$1993,MATCH(A879&amp;"ENTRADA",Movimientos!$R$2:$R$1993,0)),"-")</f>
        <v>-</v>
      </c>
      <c r="C879" s="2" t="str">
        <f>IFERROR(INDEX(Movimientos!$D$2:$D$1993,MATCH(A879&amp;"ENTRADA",Movimientos!$R$2:$R$1993,0)),"-")</f>
        <v>-</v>
      </c>
      <c r="D879" s="2" t="str">
        <f>IFERROR(INDEX(Movimientos!$E$2:$E$1993,MATCH(A879&amp;"ENTRADA",Movimientos!$R$2:$R$1993,0)),"-")</f>
        <v>-</v>
      </c>
      <c r="E879" s="2" t="str">
        <f>IFERROR(INDEX(Movimientos!$F$2:$F$1993,MATCH(A879&amp;"ENTRADA",Movimientos!$R$2:$R$1993,0)),"-")</f>
        <v>-</v>
      </c>
      <c r="F879" s="2" t="str">
        <f>IFERROR(INDEX(Movimientos!$G$2:$G$1993,MATCH(A879&amp;"ENTRADA",Movimientos!$R$2:$R$1993,0)),"-")</f>
        <v>-</v>
      </c>
      <c r="G879" s="2" t="str">
        <f>IFERROR(INDEX(Movimientos!$L$2:$L$1993,MATCH(A879&amp;"ENTRADA",Movimientos!$R$2:$R$1993,0)),"-")</f>
        <v>-</v>
      </c>
      <c r="H879" s="17" t="str">
        <f>IFERROR(IF(INDEX(Movimientos!$M$2:$M$1993,MATCH(A879&amp;"ENTRADA",Movimientos!$R$2:$R$1993,0))=0,"S/D",INDEX(Movimientos!$M$2:$M$1993,MATCH(A879&amp;"ENTRADA",Movimientos!$R$2:$R$1993,0))),"S/D")</f>
        <v>S/D</v>
      </c>
      <c r="I879" s="15" t="str">
        <f t="shared" ca="1" si="28"/>
        <v>S/D</v>
      </c>
      <c r="J879" s="5">
        <f>IF(A879="","",SUMIFS(Movimientos!$K:$K,Movimientos!$H:$H,A879))</f>
        <v>0</v>
      </c>
      <c r="K879" s="13" t="str">
        <f t="shared" ca="1" si="27"/>
        <v>SIN STOCK</v>
      </c>
    </row>
    <row r="880" spans="1:11">
      <c r="A880" s="16" t="s">
        <v>3185</v>
      </c>
      <c r="B880" s="2" t="str">
        <f>IFERROR(INDEX(Movimientos!$C$2:$C$1993,MATCH(A880&amp;"ENTRADA",Movimientos!$R$2:$R$1993,0)),"-")</f>
        <v>-</v>
      </c>
      <c r="C880" s="2" t="str">
        <f>IFERROR(INDEX(Movimientos!$D$2:$D$1993,MATCH(A880&amp;"ENTRADA",Movimientos!$R$2:$R$1993,0)),"-")</f>
        <v>-</v>
      </c>
      <c r="D880" s="2" t="str">
        <f>IFERROR(INDEX(Movimientos!$E$2:$E$1993,MATCH(A880&amp;"ENTRADA",Movimientos!$R$2:$R$1993,0)),"-")</f>
        <v>-</v>
      </c>
      <c r="E880" s="2" t="str">
        <f>IFERROR(INDEX(Movimientos!$F$2:$F$1993,MATCH(A880&amp;"ENTRADA",Movimientos!$R$2:$R$1993,0)),"-")</f>
        <v>-</v>
      </c>
      <c r="F880" s="2" t="str">
        <f>IFERROR(INDEX(Movimientos!$G$2:$G$1993,MATCH(A880&amp;"ENTRADA",Movimientos!$R$2:$R$1993,0)),"-")</f>
        <v>-</v>
      </c>
      <c r="G880" s="2" t="str">
        <f>IFERROR(INDEX(Movimientos!$L$2:$L$1993,MATCH(A880&amp;"ENTRADA",Movimientos!$R$2:$R$1993,0)),"-")</f>
        <v>-</v>
      </c>
      <c r="H880" s="17" t="str">
        <f>IFERROR(IF(INDEX(Movimientos!$M$2:$M$1993,MATCH(A880&amp;"ENTRADA",Movimientos!$R$2:$R$1993,0))=0,"S/D",INDEX(Movimientos!$M$2:$M$1993,MATCH(A880&amp;"ENTRADA",Movimientos!$R$2:$R$1993,0))),"S/D")</f>
        <v>S/D</v>
      </c>
      <c r="I880" s="15" t="str">
        <f t="shared" ca="1" si="28"/>
        <v>S/D</v>
      </c>
      <c r="J880" s="5">
        <f>IF(A880="","",SUMIFS(Movimientos!$K:$K,Movimientos!$H:$H,A880))</f>
        <v>0</v>
      </c>
      <c r="K880" s="13" t="str">
        <f t="shared" ca="1" si="27"/>
        <v>SIN STOCK</v>
      </c>
    </row>
    <row r="881" spans="1:11">
      <c r="A881" s="16" t="s">
        <v>3186</v>
      </c>
      <c r="B881" s="2" t="str">
        <f>IFERROR(INDEX(Movimientos!$C$2:$C$1993,MATCH(A881&amp;"ENTRADA",Movimientos!$R$2:$R$1993,0)),"-")</f>
        <v>-</v>
      </c>
      <c r="C881" s="2" t="str">
        <f>IFERROR(INDEX(Movimientos!$D$2:$D$1993,MATCH(A881&amp;"ENTRADA",Movimientos!$R$2:$R$1993,0)),"-")</f>
        <v>-</v>
      </c>
      <c r="D881" s="2" t="str">
        <f>IFERROR(INDEX(Movimientos!$E$2:$E$1993,MATCH(A881&amp;"ENTRADA",Movimientos!$R$2:$R$1993,0)),"-")</f>
        <v>-</v>
      </c>
      <c r="E881" s="2" t="str">
        <f>IFERROR(INDEX(Movimientos!$F$2:$F$1993,MATCH(A881&amp;"ENTRADA",Movimientos!$R$2:$R$1993,0)),"-")</f>
        <v>-</v>
      </c>
      <c r="F881" s="2" t="str">
        <f>IFERROR(INDEX(Movimientos!$G$2:$G$1993,MATCH(A881&amp;"ENTRADA",Movimientos!$R$2:$R$1993,0)),"-")</f>
        <v>-</v>
      </c>
      <c r="G881" s="2" t="str">
        <f>IFERROR(INDEX(Movimientos!$L$2:$L$1993,MATCH(A881&amp;"ENTRADA",Movimientos!$R$2:$R$1993,0)),"-")</f>
        <v>-</v>
      </c>
      <c r="H881" s="17" t="str">
        <f>IFERROR(IF(INDEX(Movimientos!$M$2:$M$1993,MATCH(A881&amp;"ENTRADA",Movimientos!$R$2:$R$1993,0))=0,"S/D",INDEX(Movimientos!$M$2:$M$1993,MATCH(A881&amp;"ENTRADA",Movimientos!$R$2:$R$1993,0))),"S/D")</f>
        <v>S/D</v>
      </c>
      <c r="I881" s="15" t="str">
        <f t="shared" ca="1" si="28"/>
        <v>S/D</v>
      </c>
      <c r="J881" s="5">
        <f>IF(A881="","",SUMIFS(Movimientos!$K:$K,Movimientos!$H:$H,A881))</f>
        <v>0</v>
      </c>
      <c r="K881" s="13" t="str">
        <f t="shared" ca="1" si="27"/>
        <v>SIN STOCK</v>
      </c>
    </row>
    <row r="882" spans="1:11">
      <c r="A882" s="16" t="s">
        <v>3187</v>
      </c>
      <c r="B882" s="2" t="str">
        <f>IFERROR(INDEX(Movimientos!$C$2:$C$1993,MATCH(A882&amp;"ENTRADA",Movimientos!$R$2:$R$1993,0)),"-")</f>
        <v>-</v>
      </c>
      <c r="C882" s="2" t="str">
        <f>IFERROR(INDEX(Movimientos!$D$2:$D$1993,MATCH(A882&amp;"ENTRADA",Movimientos!$R$2:$R$1993,0)),"-")</f>
        <v>-</v>
      </c>
      <c r="D882" s="2" t="str">
        <f>IFERROR(INDEX(Movimientos!$E$2:$E$1993,MATCH(A882&amp;"ENTRADA",Movimientos!$R$2:$R$1993,0)),"-")</f>
        <v>-</v>
      </c>
      <c r="E882" s="2" t="str">
        <f>IFERROR(INDEX(Movimientos!$F$2:$F$1993,MATCH(A882&amp;"ENTRADA",Movimientos!$R$2:$R$1993,0)),"-")</f>
        <v>-</v>
      </c>
      <c r="F882" s="2" t="str">
        <f>IFERROR(INDEX(Movimientos!$G$2:$G$1993,MATCH(A882&amp;"ENTRADA",Movimientos!$R$2:$R$1993,0)),"-")</f>
        <v>-</v>
      </c>
      <c r="G882" s="2" t="str">
        <f>IFERROR(INDEX(Movimientos!$L$2:$L$1993,MATCH(A882&amp;"ENTRADA",Movimientos!$R$2:$R$1993,0)),"-")</f>
        <v>-</v>
      </c>
      <c r="H882" s="17" t="str">
        <f>IFERROR(IF(INDEX(Movimientos!$M$2:$M$1993,MATCH(A882&amp;"ENTRADA",Movimientos!$R$2:$R$1993,0))=0,"S/D",INDEX(Movimientos!$M$2:$M$1993,MATCH(A882&amp;"ENTRADA",Movimientos!$R$2:$R$1993,0))),"S/D")</f>
        <v>S/D</v>
      </c>
      <c r="I882" s="15" t="str">
        <f t="shared" ca="1" si="28"/>
        <v>S/D</v>
      </c>
      <c r="J882" s="5">
        <f>IF(A882="","",SUMIFS(Movimientos!$K:$K,Movimientos!$H:$H,A882))</f>
        <v>0</v>
      </c>
      <c r="K882" s="13" t="str">
        <f t="shared" ca="1" si="27"/>
        <v>SIN STOCK</v>
      </c>
    </row>
    <row r="883" spans="1:11">
      <c r="A883" s="16" t="s">
        <v>3188</v>
      </c>
      <c r="B883" s="2" t="str">
        <f>IFERROR(INDEX(Movimientos!$C$2:$C$1993,MATCH(A883&amp;"ENTRADA",Movimientos!$R$2:$R$1993,0)),"-")</f>
        <v>-</v>
      </c>
      <c r="C883" s="2" t="str">
        <f>IFERROR(INDEX(Movimientos!$D$2:$D$1993,MATCH(A883&amp;"ENTRADA",Movimientos!$R$2:$R$1993,0)),"-")</f>
        <v>-</v>
      </c>
      <c r="D883" s="2" t="str">
        <f>IFERROR(INDEX(Movimientos!$E$2:$E$1993,MATCH(A883&amp;"ENTRADA",Movimientos!$R$2:$R$1993,0)),"-")</f>
        <v>-</v>
      </c>
      <c r="E883" s="2" t="str">
        <f>IFERROR(INDEX(Movimientos!$F$2:$F$1993,MATCH(A883&amp;"ENTRADA",Movimientos!$R$2:$R$1993,0)),"-")</f>
        <v>-</v>
      </c>
      <c r="F883" s="2" t="str">
        <f>IFERROR(INDEX(Movimientos!$G$2:$G$1993,MATCH(A883&amp;"ENTRADA",Movimientos!$R$2:$R$1993,0)),"-")</f>
        <v>-</v>
      </c>
      <c r="G883" s="2" t="str">
        <f>IFERROR(INDEX(Movimientos!$L$2:$L$1993,MATCH(A883&amp;"ENTRADA",Movimientos!$R$2:$R$1993,0)),"-")</f>
        <v>-</v>
      </c>
      <c r="H883" s="17" t="str">
        <f>IFERROR(IF(INDEX(Movimientos!$M$2:$M$1993,MATCH(A883&amp;"ENTRADA",Movimientos!$R$2:$R$1993,0))=0,"S/D",INDEX(Movimientos!$M$2:$M$1993,MATCH(A883&amp;"ENTRADA",Movimientos!$R$2:$R$1993,0))),"S/D")</f>
        <v>S/D</v>
      </c>
      <c r="I883" s="15" t="str">
        <f t="shared" ca="1" si="28"/>
        <v>S/D</v>
      </c>
      <c r="J883" s="5">
        <f>IF(A883="","",SUMIFS(Movimientos!$K:$K,Movimientos!$H:$H,A883))</f>
        <v>0</v>
      </c>
      <c r="K883" s="13" t="str">
        <f t="shared" ca="1" si="27"/>
        <v>SIN STOCK</v>
      </c>
    </row>
    <row r="884" spans="1:11">
      <c r="A884" s="16" t="s">
        <v>3189</v>
      </c>
      <c r="B884" s="2" t="str">
        <f>IFERROR(INDEX(Movimientos!$C$2:$C$1993,MATCH(A884&amp;"ENTRADA",Movimientos!$R$2:$R$1993,0)),"-")</f>
        <v>-</v>
      </c>
      <c r="C884" s="2" t="str">
        <f>IFERROR(INDEX(Movimientos!$D$2:$D$1993,MATCH(A884&amp;"ENTRADA",Movimientos!$R$2:$R$1993,0)),"-")</f>
        <v>-</v>
      </c>
      <c r="D884" s="2" t="str">
        <f>IFERROR(INDEX(Movimientos!$E$2:$E$1993,MATCH(A884&amp;"ENTRADA",Movimientos!$R$2:$R$1993,0)),"-")</f>
        <v>-</v>
      </c>
      <c r="E884" s="2" t="str">
        <f>IFERROR(INDEX(Movimientos!$F$2:$F$1993,MATCH(A884&amp;"ENTRADA",Movimientos!$R$2:$R$1993,0)),"-")</f>
        <v>-</v>
      </c>
      <c r="F884" s="2" t="str">
        <f>IFERROR(INDEX(Movimientos!$G$2:$G$1993,MATCH(A884&amp;"ENTRADA",Movimientos!$R$2:$R$1993,0)),"-")</f>
        <v>-</v>
      </c>
      <c r="G884" s="2" t="str">
        <f>IFERROR(INDEX(Movimientos!$L$2:$L$1993,MATCH(A884&amp;"ENTRADA",Movimientos!$R$2:$R$1993,0)),"-")</f>
        <v>-</v>
      </c>
      <c r="H884" s="17" t="str">
        <f>IFERROR(IF(INDEX(Movimientos!$M$2:$M$1993,MATCH(A884&amp;"ENTRADA",Movimientos!$R$2:$R$1993,0))=0,"S/D",INDEX(Movimientos!$M$2:$M$1993,MATCH(A884&amp;"ENTRADA",Movimientos!$R$2:$R$1993,0))),"S/D")</f>
        <v>S/D</v>
      </c>
      <c r="I884" s="15" t="str">
        <f t="shared" ca="1" si="28"/>
        <v>S/D</v>
      </c>
      <c r="J884" s="5">
        <f>IF(A884="","",SUMIFS(Movimientos!$K:$K,Movimientos!$H:$H,A884))</f>
        <v>0</v>
      </c>
      <c r="K884" s="13" t="str">
        <f t="shared" ca="1" si="27"/>
        <v>SIN STOCK</v>
      </c>
    </row>
    <row r="885" spans="1:11">
      <c r="A885" s="16" t="s">
        <v>3190</v>
      </c>
      <c r="B885" s="2" t="str">
        <f>IFERROR(INDEX(Movimientos!$C$2:$C$1993,MATCH(A885&amp;"ENTRADA",Movimientos!$R$2:$R$1993,0)),"-")</f>
        <v>-</v>
      </c>
      <c r="C885" s="2" t="str">
        <f>IFERROR(INDEX(Movimientos!$D$2:$D$1993,MATCH(A885&amp;"ENTRADA",Movimientos!$R$2:$R$1993,0)),"-")</f>
        <v>-</v>
      </c>
      <c r="D885" s="2" t="str">
        <f>IFERROR(INDEX(Movimientos!$E$2:$E$1993,MATCH(A885&amp;"ENTRADA",Movimientos!$R$2:$R$1993,0)),"-")</f>
        <v>-</v>
      </c>
      <c r="E885" s="2" t="str">
        <f>IFERROR(INDEX(Movimientos!$F$2:$F$1993,MATCH(A885&amp;"ENTRADA",Movimientos!$R$2:$R$1993,0)),"-")</f>
        <v>-</v>
      </c>
      <c r="F885" s="2" t="str">
        <f>IFERROR(INDEX(Movimientos!$G$2:$G$1993,MATCH(A885&amp;"ENTRADA",Movimientos!$R$2:$R$1993,0)),"-")</f>
        <v>-</v>
      </c>
      <c r="G885" s="2" t="str">
        <f>IFERROR(INDEX(Movimientos!$L$2:$L$1993,MATCH(A885&amp;"ENTRADA",Movimientos!$R$2:$R$1993,0)),"-")</f>
        <v>-</v>
      </c>
      <c r="H885" s="17" t="str">
        <f>IFERROR(IF(INDEX(Movimientos!$M$2:$M$1993,MATCH(A885&amp;"ENTRADA",Movimientos!$R$2:$R$1993,0))=0,"S/D",INDEX(Movimientos!$M$2:$M$1993,MATCH(A885&amp;"ENTRADA",Movimientos!$R$2:$R$1993,0))),"S/D")</f>
        <v>S/D</v>
      </c>
      <c r="I885" s="15" t="str">
        <f t="shared" ca="1" si="28"/>
        <v>S/D</v>
      </c>
      <c r="J885" s="5">
        <f>IF(A885="","",SUMIFS(Movimientos!$K:$K,Movimientos!$H:$H,A885))</f>
        <v>0</v>
      </c>
      <c r="K885" s="13" t="str">
        <f t="shared" ca="1" si="27"/>
        <v>SIN STOCK</v>
      </c>
    </row>
    <row r="886" spans="1:11">
      <c r="A886" s="16" t="s">
        <v>3191</v>
      </c>
      <c r="B886" s="2" t="str">
        <f>IFERROR(INDEX(Movimientos!$C$2:$C$1993,MATCH(A886&amp;"ENTRADA",Movimientos!$R$2:$R$1993,0)),"-")</f>
        <v>-</v>
      </c>
      <c r="C886" s="2" t="str">
        <f>IFERROR(INDEX(Movimientos!$D$2:$D$1993,MATCH(A886&amp;"ENTRADA",Movimientos!$R$2:$R$1993,0)),"-")</f>
        <v>-</v>
      </c>
      <c r="D886" s="2" t="str">
        <f>IFERROR(INDEX(Movimientos!$E$2:$E$1993,MATCH(A886&amp;"ENTRADA",Movimientos!$R$2:$R$1993,0)),"-")</f>
        <v>-</v>
      </c>
      <c r="E886" s="2" t="str">
        <f>IFERROR(INDEX(Movimientos!$F$2:$F$1993,MATCH(A886&amp;"ENTRADA",Movimientos!$R$2:$R$1993,0)),"-")</f>
        <v>-</v>
      </c>
      <c r="F886" s="2" t="str">
        <f>IFERROR(INDEX(Movimientos!$G$2:$G$1993,MATCH(A886&amp;"ENTRADA",Movimientos!$R$2:$R$1993,0)),"-")</f>
        <v>-</v>
      </c>
      <c r="G886" s="2" t="str">
        <f>IFERROR(INDEX(Movimientos!$L$2:$L$1993,MATCH(A886&amp;"ENTRADA",Movimientos!$R$2:$R$1993,0)),"-")</f>
        <v>-</v>
      </c>
      <c r="H886" s="17" t="str">
        <f>IFERROR(IF(INDEX(Movimientos!$M$2:$M$1993,MATCH(A886&amp;"ENTRADA",Movimientos!$R$2:$R$1993,0))=0,"S/D",INDEX(Movimientos!$M$2:$M$1993,MATCH(A886&amp;"ENTRADA",Movimientos!$R$2:$R$1993,0))),"S/D")</f>
        <v>S/D</v>
      </c>
      <c r="I886" s="15" t="str">
        <f t="shared" ca="1" si="28"/>
        <v>S/D</v>
      </c>
      <c r="J886" s="5">
        <f>IF(A886="","",SUMIFS(Movimientos!$K:$K,Movimientos!$H:$H,A886))</f>
        <v>0</v>
      </c>
      <c r="K886" s="13" t="str">
        <f t="shared" ca="1" si="27"/>
        <v>SIN STOCK</v>
      </c>
    </row>
    <row r="887" spans="1:11">
      <c r="A887" s="16" t="s">
        <v>3192</v>
      </c>
      <c r="B887" s="2" t="str">
        <f>IFERROR(INDEX(Movimientos!$C$2:$C$1993,MATCH(A887&amp;"ENTRADA",Movimientos!$R$2:$R$1993,0)),"-")</f>
        <v>-</v>
      </c>
      <c r="C887" s="2" t="str">
        <f>IFERROR(INDEX(Movimientos!$D$2:$D$1993,MATCH(A887&amp;"ENTRADA",Movimientos!$R$2:$R$1993,0)),"-")</f>
        <v>-</v>
      </c>
      <c r="D887" s="2" t="str">
        <f>IFERROR(INDEX(Movimientos!$E$2:$E$1993,MATCH(A887&amp;"ENTRADA",Movimientos!$R$2:$R$1993,0)),"-")</f>
        <v>-</v>
      </c>
      <c r="E887" s="2" t="str">
        <f>IFERROR(INDEX(Movimientos!$F$2:$F$1993,MATCH(A887&amp;"ENTRADA",Movimientos!$R$2:$R$1993,0)),"-")</f>
        <v>-</v>
      </c>
      <c r="F887" s="2" t="str">
        <f>IFERROR(INDEX(Movimientos!$G$2:$G$1993,MATCH(A887&amp;"ENTRADA",Movimientos!$R$2:$R$1993,0)),"-")</f>
        <v>-</v>
      </c>
      <c r="G887" s="2" t="str">
        <f>IFERROR(INDEX(Movimientos!$L$2:$L$1993,MATCH(A887&amp;"ENTRADA",Movimientos!$R$2:$R$1993,0)),"-")</f>
        <v>-</v>
      </c>
      <c r="H887" s="17" t="str">
        <f>IFERROR(IF(INDEX(Movimientos!$M$2:$M$1993,MATCH(A887&amp;"ENTRADA",Movimientos!$R$2:$R$1993,0))=0,"S/D",INDEX(Movimientos!$M$2:$M$1993,MATCH(A887&amp;"ENTRADA",Movimientos!$R$2:$R$1993,0))),"S/D")</f>
        <v>S/D</v>
      </c>
      <c r="I887" s="15" t="str">
        <f t="shared" ca="1" si="28"/>
        <v>S/D</v>
      </c>
      <c r="J887" s="5">
        <f>IF(A887="","",SUMIFS(Movimientos!$K:$K,Movimientos!$H:$H,A887))</f>
        <v>0</v>
      </c>
      <c r="K887" s="13" t="str">
        <f t="shared" ca="1" si="27"/>
        <v>SIN STOCK</v>
      </c>
    </row>
    <row r="888" spans="1:11">
      <c r="A888" s="16" t="s">
        <v>3193</v>
      </c>
      <c r="B888" s="2" t="str">
        <f>IFERROR(INDEX(Movimientos!$C$2:$C$1993,MATCH(A888&amp;"ENTRADA",Movimientos!$R$2:$R$1993,0)),"-")</f>
        <v>-</v>
      </c>
      <c r="C888" s="2" t="str">
        <f>IFERROR(INDEX(Movimientos!$D$2:$D$1993,MATCH(A888&amp;"ENTRADA",Movimientos!$R$2:$R$1993,0)),"-")</f>
        <v>-</v>
      </c>
      <c r="D888" s="2" t="str">
        <f>IFERROR(INDEX(Movimientos!$E$2:$E$1993,MATCH(A888&amp;"ENTRADA",Movimientos!$R$2:$R$1993,0)),"-")</f>
        <v>-</v>
      </c>
      <c r="E888" s="2" t="str">
        <f>IFERROR(INDEX(Movimientos!$F$2:$F$1993,MATCH(A888&amp;"ENTRADA",Movimientos!$R$2:$R$1993,0)),"-")</f>
        <v>-</v>
      </c>
      <c r="F888" s="2" t="str">
        <f>IFERROR(INDEX(Movimientos!$G$2:$G$1993,MATCH(A888&amp;"ENTRADA",Movimientos!$R$2:$R$1993,0)),"-")</f>
        <v>-</v>
      </c>
      <c r="G888" s="2" t="str">
        <f>IFERROR(INDEX(Movimientos!$L$2:$L$1993,MATCH(A888&amp;"ENTRADA",Movimientos!$R$2:$R$1993,0)),"-")</f>
        <v>-</v>
      </c>
      <c r="H888" s="17" t="str">
        <f>IFERROR(IF(INDEX(Movimientos!$M$2:$M$1993,MATCH(A888&amp;"ENTRADA",Movimientos!$R$2:$R$1993,0))=0,"S/D",INDEX(Movimientos!$M$2:$M$1993,MATCH(A888&amp;"ENTRADA",Movimientos!$R$2:$R$1993,0))),"S/D")</f>
        <v>S/D</v>
      </c>
      <c r="I888" s="15" t="str">
        <f t="shared" ca="1" si="28"/>
        <v>S/D</v>
      </c>
      <c r="J888" s="5">
        <f>IF(A888="","",SUMIFS(Movimientos!$K:$K,Movimientos!$H:$H,A888))</f>
        <v>0</v>
      </c>
      <c r="K888" s="13" t="str">
        <f t="shared" ca="1" si="27"/>
        <v>SIN STOCK</v>
      </c>
    </row>
    <row r="889" spans="1:11">
      <c r="A889" s="16" t="s">
        <v>3194</v>
      </c>
      <c r="B889" s="2" t="str">
        <f>IFERROR(INDEX(Movimientos!$C$2:$C$1993,MATCH(A889&amp;"ENTRADA",Movimientos!$R$2:$R$1993,0)),"-")</f>
        <v>-</v>
      </c>
      <c r="C889" s="2" t="str">
        <f>IFERROR(INDEX(Movimientos!$D$2:$D$1993,MATCH(A889&amp;"ENTRADA",Movimientos!$R$2:$R$1993,0)),"-")</f>
        <v>-</v>
      </c>
      <c r="D889" s="2" t="str">
        <f>IFERROR(INDEX(Movimientos!$E$2:$E$1993,MATCH(A889&amp;"ENTRADA",Movimientos!$R$2:$R$1993,0)),"-")</f>
        <v>-</v>
      </c>
      <c r="E889" s="2" t="str">
        <f>IFERROR(INDEX(Movimientos!$F$2:$F$1993,MATCH(A889&amp;"ENTRADA",Movimientos!$R$2:$R$1993,0)),"-")</f>
        <v>-</v>
      </c>
      <c r="F889" s="2" t="str">
        <f>IFERROR(INDEX(Movimientos!$G$2:$G$1993,MATCH(A889&amp;"ENTRADA",Movimientos!$R$2:$R$1993,0)),"-")</f>
        <v>-</v>
      </c>
      <c r="G889" s="2" t="str">
        <f>IFERROR(INDEX(Movimientos!$L$2:$L$1993,MATCH(A889&amp;"ENTRADA",Movimientos!$R$2:$R$1993,0)),"-")</f>
        <v>-</v>
      </c>
      <c r="H889" s="17" t="str">
        <f>IFERROR(IF(INDEX(Movimientos!$M$2:$M$1993,MATCH(A889&amp;"ENTRADA",Movimientos!$R$2:$R$1993,0))=0,"S/D",INDEX(Movimientos!$M$2:$M$1993,MATCH(A889&amp;"ENTRADA",Movimientos!$R$2:$R$1993,0))),"S/D")</f>
        <v>S/D</v>
      </c>
      <c r="I889" s="15" t="str">
        <f t="shared" ca="1" si="28"/>
        <v>S/D</v>
      </c>
      <c r="J889" s="5">
        <f>IF(A889="","",SUMIFS(Movimientos!$K:$K,Movimientos!$H:$H,A889))</f>
        <v>0</v>
      </c>
      <c r="K889" s="13" t="str">
        <f t="shared" ca="1" si="27"/>
        <v>SIN STOCK</v>
      </c>
    </row>
    <row r="890" spans="1:11">
      <c r="A890" s="16" t="s">
        <v>3195</v>
      </c>
      <c r="B890" s="2" t="str">
        <f>IFERROR(INDEX(Movimientos!$C$2:$C$1993,MATCH(A890&amp;"ENTRADA",Movimientos!$R$2:$R$1993,0)),"-")</f>
        <v>-</v>
      </c>
      <c r="C890" s="2" t="str">
        <f>IFERROR(INDEX(Movimientos!$D$2:$D$1993,MATCH(A890&amp;"ENTRADA",Movimientos!$R$2:$R$1993,0)),"-")</f>
        <v>-</v>
      </c>
      <c r="D890" s="2" t="str">
        <f>IFERROR(INDEX(Movimientos!$E$2:$E$1993,MATCH(A890&amp;"ENTRADA",Movimientos!$R$2:$R$1993,0)),"-")</f>
        <v>-</v>
      </c>
      <c r="E890" s="2" t="str">
        <f>IFERROR(INDEX(Movimientos!$F$2:$F$1993,MATCH(A890&amp;"ENTRADA",Movimientos!$R$2:$R$1993,0)),"-")</f>
        <v>-</v>
      </c>
      <c r="F890" s="2" t="str">
        <f>IFERROR(INDEX(Movimientos!$G$2:$G$1993,MATCH(A890&amp;"ENTRADA",Movimientos!$R$2:$R$1993,0)),"-")</f>
        <v>-</v>
      </c>
      <c r="G890" s="2" t="str">
        <f>IFERROR(INDEX(Movimientos!$L$2:$L$1993,MATCH(A890&amp;"ENTRADA",Movimientos!$R$2:$R$1993,0)),"-")</f>
        <v>-</v>
      </c>
      <c r="H890" s="17" t="str">
        <f>IFERROR(IF(INDEX(Movimientos!$M$2:$M$1993,MATCH(A890&amp;"ENTRADA",Movimientos!$R$2:$R$1993,0))=0,"S/D",INDEX(Movimientos!$M$2:$M$1993,MATCH(A890&amp;"ENTRADA",Movimientos!$R$2:$R$1993,0))),"S/D")</f>
        <v>S/D</v>
      </c>
      <c r="I890" s="15" t="str">
        <f t="shared" ca="1" si="28"/>
        <v>S/D</v>
      </c>
      <c r="J890" s="5">
        <f>IF(A890="","",SUMIFS(Movimientos!$K:$K,Movimientos!$H:$H,A890))</f>
        <v>0</v>
      </c>
      <c r="K890" s="13" t="str">
        <f t="shared" ca="1" si="27"/>
        <v>SIN STOCK</v>
      </c>
    </row>
    <row r="891" spans="1:11">
      <c r="A891" s="16" t="s">
        <v>3196</v>
      </c>
      <c r="B891" s="2" t="str">
        <f>IFERROR(INDEX(Movimientos!$C$2:$C$1993,MATCH(A891&amp;"ENTRADA",Movimientos!$R$2:$R$1993,0)),"-")</f>
        <v>-</v>
      </c>
      <c r="C891" s="2" t="str">
        <f>IFERROR(INDEX(Movimientos!$D$2:$D$1993,MATCH(A891&amp;"ENTRADA",Movimientos!$R$2:$R$1993,0)),"-")</f>
        <v>-</v>
      </c>
      <c r="D891" s="2" t="str">
        <f>IFERROR(INDEX(Movimientos!$E$2:$E$1993,MATCH(A891&amp;"ENTRADA",Movimientos!$R$2:$R$1993,0)),"-")</f>
        <v>-</v>
      </c>
      <c r="E891" s="2" t="str">
        <f>IFERROR(INDEX(Movimientos!$F$2:$F$1993,MATCH(A891&amp;"ENTRADA",Movimientos!$R$2:$R$1993,0)),"-")</f>
        <v>-</v>
      </c>
      <c r="F891" s="2" t="str">
        <f>IFERROR(INDEX(Movimientos!$G$2:$G$1993,MATCH(A891&amp;"ENTRADA",Movimientos!$R$2:$R$1993,0)),"-")</f>
        <v>-</v>
      </c>
      <c r="G891" s="2" t="str">
        <f>IFERROR(INDEX(Movimientos!$L$2:$L$1993,MATCH(A891&amp;"ENTRADA",Movimientos!$R$2:$R$1993,0)),"-")</f>
        <v>-</v>
      </c>
      <c r="H891" s="17" t="str">
        <f>IFERROR(IF(INDEX(Movimientos!$M$2:$M$1993,MATCH(A891&amp;"ENTRADA",Movimientos!$R$2:$R$1993,0))=0,"S/D",INDEX(Movimientos!$M$2:$M$1993,MATCH(A891&amp;"ENTRADA",Movimientos!$R$2:$R$1993,0))),"S/D")</f>
        <v>S/D</v>
      </c>
      <c r="I891" s="15" t="str">
        <f t="shared" ca="1" si="28"/>
        <v>S/D</v>
      </c>
      <c r="J891" s="5">
        <f>IF(A891="","",SUMIFS(Movimientos!$K:$K,Movimientos!$H:$H,A891))</f>
        <v>0</v>
      </c>
      <c r="K891" s="13" t="str">
        <f t="shared" ca="1" si="27"/>
        <v>SIN STOCK</v>
      </c>
    </row>
    <row r="892" spans="1:11">
      <c r="A892" s="16" t="s">
        <v>3197</v>
      </c>
      <c r="B892" s="2" t="str">
        <f>IFERROR(INDEX(Movimientos!$C$2:$C$1993,MATCH(A892&amp;"ENTRADA",Movimientos!$R$2:$R$1993,0)),"-")</f>
        <v>-</v>
      </c>
      <c r="C892" s="2" t="str">
        <f>IFERROR(INDEX(Movimientos!$D$2:$D$1993,MATCH(A892&amp;"ENTRADA",Movimientos!$R$2:$R$1993,0)),"-")</f>
        <v>-</v>
      </c>
      <c r="D892" s="2" t="str">
        <f>IFERROR(INDEX(Movimientos!$E$2:$E$1993,MATCH(A892&amp;"ENTRADA",Movimientos!$R$2:$R$1993,0)),"-")</f>
        <v>-</v>
      </c>
      <c r="E892" s="2" t="str">
        <f>IFERROR(INDEX(Movimientos!$F$2:$F$1993,MATCH(A892&amp;"ENTRADA",Movimientos!$R$2:$R$1993,0)),"-")</f>
        <v>-</v>
      </c>
      <c r="F892" s="2" t="str">
        <f>IFERROR(INDEX(Movimientos!$G$2:$G$1993,MATCH(A892&amp;"ENTRADA",Movimientos!$R$2:$R$1993,0)),"-")</f>
        <v>-</v>
      </c>
      <c r="G892" s="2" t="str">
        <f>IFERROR(INDEX(Movimientos!$L$2:$L$1993,MATCH(A892&amp;"ENTRADA",Movimientos!$R$2:$R$1993,0)),"-")</f>
        <v>-</v>
      </c>
      <c r="H892" s="17" t="str">
        <f>IFERROR(IF(INDEX(Movimientos!$M$2:$M$1993,MATCH(A892&amp;"ENTRADA",Movimientos!$R$2:$R$1993,0))=0,"S/D",INDEX(Movimientos!$M$2:$M$1993,MATCH(A892&amp;"ENTRADA",Movimientos!$R$2:$R$1993,0))),"S/D")</f>
        <v>S/D</v>
      </c>
      <c r="I892" s="15" t="str">
        <f t="shared" ca="1" si="28"/>
        <v>S/D</v>
      </c>
      <c r="J892" s="5">
        <f>IF(A892="","",SUMIFS(Movimientos!$K:$K,Movimientos!$H:$H,A892))</f>
        <v>0</v>
      </c>
      <c r="K892" s="13" t="str">
        <f t="shared" ca="1" si="27"/>
        <v>SIN STOCK</v>
      </c>
    </row>
    <row r="893" spans="1:11">
      <c r="A893" s="16" t="s">
        <v>3198</v>
      </c>
      <c r="B893" s="2" t="str">
        <f>IFERROR(INDEX(Movimientos!$C$2:$C$1993,MATCH(A893&amp;"ENTRADA",Movimientos!$R$2:$R$1993,0)),"-")</f>
        <v>-</v>
      </c>
      <c r="C893" s="2" t="str">
        <f>IFERROR(INDEX(Movimientos!$D$2:$D$1993,MATCH(A893&amp;"ENTRADA",Movimientos!$R$2:$R$1993,0)),"-")</f>
        <v>-</v>
      </c>
      <c r="D893" s="2" t="str">
        <f>IFERROR(INDEX(Movimientos!$E$2:$E$1993,MATCH(A893&amp;"ENTRADA",Movimientos!$R$2:$R$1993,0)),"-")</f>
        <v>-</v>
      </c>
      <c r="E893" s="2" t="str">
        <f>IFERROR(INDEX(Movimientos!$F$2:$F$1993,MATCH(A893&amp;"ENTRADA",Movimientos!$R$2:$R$1993,0)),"-")</f>
        <v>-</v>
      </c>
      <c r="F893" s="2" t="str">
        <f>IFERROR(INDEX(Movimientos!$G$2:$G$1993,MATCH(A893&amp;"ENTRADA",Movimientos!$R$2:$R$1993,0)),"-")</f>
        <v>-</v>
      </c>
      <c r="G893" s="2" t="str">
        <f>IFERROR(INDEX(Movimientos!$L$2:$L$1993,MATCH(A893&amp;"ENTRADA",Movimientos!$R$2:$R$1993,0)),"-")</f>
        <v>-</v>
      </c>
      <c r="H893" s="17" t="str">
        <f>IFERROR(IF(INDEX(Movimientos!$M$2:$M$1993,MATCH(A893&amp;"ENTRADA",Movimientos!$R$2:$R$1993,0))=0,"S/D",INDEX(Movimientos!$M$2:$M$1993,MATCH(A893&amp;"ENTRADA",Movimientos!$R$2:$R$1993,0))),"S/D")</f>
        <v>S/D</v>
      </c>
      <c r="I893" s="15" t="str">
        <f t="shared" ca="1" si="28"/>
        <v>S/D</v>
      </c>
      <c r="J893" s="5">
        <f>IF(A893="","",SUMIFS(Movimientos!$K:$K,Movimientos!$H:$H,A893))</f>
        <v>0</v>
      </c>
      <c r="K893" s="13" t="str">
        <f t="shared" ca="1" si="27"/>
        <v>SIN STOCK</v>
      </c>
    </row>
    <row r="894" spans="1:11">
      <c r="A894" s="16" t="s">
        <v>3199</v>
      </c>
      <c r="B894" s="2" t="str">
        <f>IFERROR(INDEX(Movimientos!$C$2:$C$1993,MATCH(A894&amp;"ENTRADA",Movimientos!$R$2:$R$1993,0)),"-")</f>
        <v>-</v>
      </c>
      <c r="C894" s="2" t="str">
        <f>IFERROR(INDEX(Movimientos!$D$2:$D$1993,MATCH(A894&amp;"ENTRADA",Movimientos!$R$2:$R$1993,0)),"-")</f>
        <v>-</v>
      </c>
      <c r="D894" s="2" t="str">
        <f>IFERROR(INDEX(Movimientos!$E$2:$E$1993,MATCH(A894&amp;"ENTRADA",Movimientos!$R$2:$R$1993,0)),"-")</f>
        <v>-</v>
      </c>
      <c r="E894" s="2" t="str">
        <f>IFERROR(INDEX(Movimientos!$F$2:$F$1993,MATCH(A894&amp;"ENTRADA",Movimientos!$R$2:$R$1993,0)),"-")</f>
        <v>-</v>
      </c>
      <c r="F894" s="2" t="str">
        <f>IFERROR(INDEX(Movimientos!$G$2:$G$1993,MATCH(A894&amp;"ENTRADA",Movimientos!$R$2:$R$1993,0)),"-")</f>
        <v>-</v>
      </c>
      <c r="G894" s="2" t="str">
        <f>IFERROR(INDEX(Movimientos!$L$2:$L$1993,MATCH(A894&amp;"ENTRADA",Movimientos!$R$2:$R$1993,0)),"-")</f>
        <v>-</v>
      </c>
      <c r="H894" s="17" t="str">
        <f>IFERROR(IF(INDEX(Movimientos!$M$2:$M$1993,MATCH(A894&amp;"ENTRADA",Movimientos!$R$2:$R$1993,0))=0,"S/D",INDEX(Movimientos!$M$2:$M$1993,MATCH(A894&amp;"ENTRADA",Movimientos!$R$2:$R$1993,0))),"S/D")</f>
        <v>S/D</v>
      </c>
      <c r="I894" s="15" t="str">
        <f t="shared" ca="1" si="28"/>
        <v>S/D</v>
      </c>
      <c r="J894" s="5">
        <f>IF(A894="","",SUMIFS(Movimientos!$K:$K,Movimientos!$H:$H,A894))</f>
        <v>0</v>
      </c>
      <c r="K894" s="13" t="str">
        <f t="shared" ref="K894:K957" ca="1" si="29">IF(A894="","",IF(J894&lt;0.01,"SIN STOCK",IF(H894="S/D","OK",IF(H894&lt;TODAY(),"VENCIDO",IF(I894&gt;=180,"OK","PRÓXIMO A VENCER")))))</f>
        <v>SIN STOCK</v>
      </c>
    </row>
    <row r="895" spans="1:11">
      <c r="A895" s="16" t="s">
        <v>3200</v>
      </c>
      <c r="B895" s="2" t="str">
        <f>IFERROR(INDEX(Movimientos!$C$2:$C$1993,MATCH(A895&amp;"ENTRADA",Movimientos!$R$2:$R$1993,0)),"-")</f>
        <v>-</v>
      </c>
      <c r="C895" s="2" t="str">
        <f>IFERROR(INDEX(Movimientos!$D$2:$D$1993,MATCH(A895&amp;"ENTRADA",Movimientos!$R$2:$R$1993,0)),"-")</f>
        <v>-</v>
      </c>
      <c r="D895" s="2" t="str">
        <f>IFERROR(INDEX(Movimientos!$E$2:$E$1993,MATCH(A895&amp;"ENTRADA",Movimientos!$R$2:$R$1993,0)),"-")</f>
        <v>-</v>
      </c>
      <c r="E895" s="2" t="str">
        <f>IFERROR(INDEX(Movimientos!$F$2:$F$1993,MATCH(A895&amp;"ENTRADA",Movimientos!$R$2:$R$1993,0)),"-")</f>
        <v>-</v>
      </c>
      <c r="F895" s="2" t="str">
        <f>IFERROR(INDEX(Movimientos!$G$2:$G$1993,MATCH(A895&amp;"ENTRADA",Movimientos!$R$2:$R$1993,0)),"-")</f>
        <v>-</v>
      </c>
      <c r="G895" s="2" t="str">
        <f>IFERROR(INDEX(Movimientos!$L$2:$L$1993,MATCH(A895&amp;"ENTRADA",Movimientos!$R$2:$R$1993,0)),"-")</f>
        <v>-</v>
      </c>
      <c r="H895" s="17" t="str">
        <f>IFERROR(IF(INDEX(Movimientos!$M$2:$M$1993,MATCH(A895&amp;"ENTRADA",Movimientos!$R$2:$R$1993,0))=0,"S/D",INDEX(Movimientos!$M$2:$M$1993,MATCH(A895&amp;"ENTRADA",Movimientos!$R$2:$R$1993,0))),"S/D")</f>
        <v>S/D</v>
      </c>
      <c r="I895" s="15" t="str">
        <f t="shared" ca="1" si="28"/>
        <v>S/D</v>
      </c>
      <c r="J895" s="5">
        <f>IF(A895="","",SUMIFS(Movimientos!$K:$K,Movimientos!$H:$H,A895))</f>
        <v>0</v>
      </c>
      <c r="K895" s="13" t="str">
        <f t="shared" ca="1" si="29"/>
        <v>SIN STOCK</v>
      </c>
    </row>
    <row r="896" spans="1:11">
      <c r="A896" s="16" t="s">
        <v>3201</v>
      </c>
      <c r="B896" s="2" t="str">
        <f>IFERROR(INDEX(Movimientos!$C$2:$C$1993,MATCH(A896&amp;"ENTRADA",Movimientos!$R$2:$R$1993,0)),"-")</f>
        <v>-</v>
      </c>
      <c r="C896" s="2" t="str">
        <f>IFERROR(INDEX(Movimientos!$D$2:$D$1993,MATCH(A896&amp;"ENTRADA",Movimientos!$R$2:$R$1993,0)),"-")</f>
        <v>-</v>
      </c>
      <c r="D896" s="2" t="str">
        <f>IFERROR(INDEX(Movimientos!$E$2:$E$1993,MATCH(A896&amp;"ENTRADA",Movimientos!$R$2:$R$1993,0)),"-")</f>
        <v>-</v>
      </c>
      <c r="E896" s="2" t="str">
        <f>IFERROR(INDEX(Movimientos!$F$2:$F$1993,MATCH(A896&amp;"ENTRADA",Movimientos!$R$2:$R$1993,0)),"-")</f>
        <v>-</v>
      </c>
      <c r="F896" s="2" t="str">
        <f>IFERROR(INDEX(Movimientos!$G$2:$G$1993,MATCH(A896&amp;"ENTRADA",Movimientos!$R$2:$R$1993,0)),"-")</f>
        <v>-</v>
      </c>
      <c r="G896" s="2" t="str">
        <f>IFERROR(INDEX(Movimientos!$L$2:$L$1993,MATCH(A896&amp;"ENTRADA",Movimientos!$R$2:$R$1993,0)),"-")</f>
        <v>-</v>
      </c>
      <c r="H896" s="17" t="str">
        <f>IFERROR(IF(INDEX(Movimientos!$M$2:$M$1993,MATCH(A896&amp;"ENTRADA",Movimientos!$R$2:$R$1993,0))=0,"S/D",INDEX(Movimientos!$M$2:$M$1993,MATCH(A896&amp;"ENTRADA",Movimientos!$R$2:$R$1993,0))),"S/D")</f>
        <v>S/D</v>
      </c>
      <c r="I896" s="15" t="str">
        <f t="shared" ca="1" si="28"/>
        <v>S/D</v>
      </c>
      <c r="J896" s="5">
        <f>IF(A896="","",SUMIFS(Movimientos!$K:$K,Movimientos!$H:$H,A896))</f>
        <v>0</v>
      </c>
      <c r="K896" s="13" t="str">
        <f t="shared" ca="1" si="29"/>
        <v>SIN STOCK</v>
      </c>
    </row>
    <row r="897" spans="1:11">
      <c r="A897" s="16" t="s">
        <v>3202</v>
      </c>
      <c r="B897" s="2" t="str">
        <f>IFERROR(INDEX(Movimientos!$C$2:$C$1993,MATCH(A897&amp;"ENTRADA",Movimientos!$R$2:$R$1993,0)),"-")</f>
        <v>-</v>
      </c>
      <c r="C897" s="2" t="str">
        <f>IFERROR(INDEX(Movimientos!$D$2:$D$1993,MATCH(A897&amp;"ENTRADA",Movimientos!$R$2:$R$1993,0)),"-")</f>
        <v>-</v>
      </c>
      <c r="D897" s="2" t="str">
        <f>IFERROR(INDEX(Movimientos!$E$2:$E$1993,MATCH(A897&amp;"ENTRADA",Movimientos!$R$2:$R$1993,0)),"-")</f>
        <v>-</v>
      </c>
      <c r="E897" s="2" t="str">
        <f>IFERROR(INDEX(Movimientos!$F$2:$F$1993,MATCH(A897&amp;"ENTRADA",Movimientos!$R$2:$R$1993,0)),"-")</f>
        <v>-</v>
      </c>
      <c r="F897" s="2" t="str">
        <f>IFERROR(INDEX(Movimientos!$G$2:$G$1993,MATCH(A897&amp;"ENTRADA",Movimientos!$R$2:$R$1993,0)),"-")</f>
        <v>-</v>
      </c>
      <c r="G897" s="2" t="str">
        <f>IFERROR(INDEX(Movimientos!$L$2:$L$1993,MATCH(A897&amp;"ENTRADA",Movimientos!$R$2:$R$1993,0)),"-")</f>
        <v>-</v>
      </c>
      <c r="H897" s="17" t="str">
        <f>IFERROR(IF(INDEX(Movimientos!$M$2:$M$1993,MATCH(A897&amp;"ENTRADA",Movimientos!$R$2:$R$1993,0))=0,"S/D",INDEX(Movimientos!$M$2:$M$1993,MATCH(A897&amp;"ENTRADA",Movimientos!$R$2:$R$1993,0))),"S/D")</f>
        <v>S/D</v>
      </c>
      <c r="I897" s="15" t="str">
        <f t="shared" ca="1" si="28"/>
        <v>S/D</v>
      </c>
      <c r="J897" s="5">
        <f>IF(A897="","",SUMIFS(Movimientos!$K:$K,Movimientos!$H:$H,A897))</f>
        <v>0</v>
      </c>
      <c r="K897" s="13" t="str">
        <f t="shared" ca="1" si="29"/>
        <v>SIN STOCK</v>
      </c>
    </row>
    <row r="898" spans="1:11">
      <c r="A898" s="16" t="s">
        <v>3203</v>
      </c>
      <c r="B898" s="2" t="str">
        <f>IFERROR(INDEX(Movimientos!$C$2:$C$1993,MATCH(A898&amp;"ENTRADA",Movimientos!$R$2:$R$1993,0)),"-")</f>
        <v>-</v>
      </c>
      <c r="C898" s="2" t="str">
        <f>IFERROR(INDEX(Movimientos!$D$2:$D$1993,MATCH(A898&amp;"ENTRADA",Movimientos!$R$2:$R$1993,0)),"-")</f>
        <v>-</v>
      </c>
      <c r="D898" s="2" t="str">
        <f>IFERROR(INDEX(Movimientos!$E$2:$E$1993,MATCH(A898&amp;"ENTRADA",Movimientos!$R$2:$R$1993,0)),"-")</f>
        <v>-</v>
      </c>
      <c r="E898" s="2" t="str">
        <f>IFERROR(INDEX(Movimientos!$F$2:$F$1993,MATCH(A898&amp;"ENTRADA",Movimientos!$R$2:$R$1993,0)),"-")</f>
        <v>-</v>
      </c>
      <c r="F898" s="2" t="str">
        <f>IFERROR(INDEX(Movimientos!$G$2:$G$1993,MATCH(A898&amp;"ENTRADA",Movimientos!$R$2:$R$1993,0)),"-")</f>
        <v>-</v>
      </c>
      <c r="G898" s="2" t="str">
        <f>IFERROR(INDEX(Movimientos!$L$2:$L$1993,MATCH(A898&amp;"ENTRADA",Movimientos!$R$2:$R$1993,0)),"-")</f>
        <v>-</v>
      </c>
      <c r="H898" s="17" t="str">
        <f>IFERROR(IF(INDEX(Movimientos!$M$2:$M$1993,MATCH(A898&amp;"ENTRADA",Movimientos!$R$2:$R$1993,0))=0,"S/D",INDEX(Movimientos!$M$2:$M$1993,MATCH(A898&amp;"ENTRADA",Movimientos!$R$2:$R$1993,0))),"S/D")</f>
        <v>S/D</v>
      </c>
      <c r="I898" s="15" t="str">
        <f t="shared" ca="1" si="28"/>
        <v>S/D</v>
      </c>
      <c r="J898" s="5">
        <f>IF(A898="","",SUMIFS(Movimientos!$K:$K,Movimientos!$H:$H,A898))</f>
        <v>0</v>
      </c>
      <c r="K898" s="13" t="str">
        <f t="shared" ca="1" si="29"/>
        <v>SIN STOCK</v>
      </c>
    </row>
    <row r="899" spans="1:11">
      <c r="A899" s="16" t="s">
        <v>3204</v>
      </c>
      <c r="B899" s="2" t="str">
        <f>IFERROR(INDEX(Movimientos!$C$2:$C$1993,MATCH(A899&amp;"ENTRADA",Movimientos!$R$2:$R$1993,0)),"-")</f>
        <v>-</v>
      </c>
      <c r="C899" s="2" t="str">
        <f>IFERROR(INDEX(Movimientos!$D$2:$D$1993,MATCH(A899&amp;"ENTRADA",Movimientos!$R$2:$R$1993,0)),"-")</f>
        <v>-</v>
      </c>
      <c r="D899" s="2" t="str">
        <f>IFERROR(INDEX(Movimientos!$E$2:$E$1993,MATCH(A899&amp;"ENTRADA",Movimientos!$R$2:$R$1993,0)),"-")</f>
        <v>-</v>
      </c>
      <c r="E899" s="2" t="str">
        <f>IFERROR(INDEX(Movimientos!$F$2:$F$1993,MATCH(A899&amp;"ENTRADA",Movimientos!$R$2:$R$1993,0)),"-")</f>
        <v>-</v>
      </c>
      <c r="F899" s="2" t="str">
        <f>IFERROR(INDEX(Movimientos!$G$2:$G$1993,MATCH(A899&amp;"ENTRADA",Movimientos!$R$2:$R$1993,0)),"-")</f>
        <v>-</v>
      </c>
      <c r="G899" s="2" t="str">
        <f>IFERROR(INDEX(Movimientos!$L$2:$L$1993,MATCH(A899&amp;"ENTRADA",Movimientos!$R$2:$R$1993,0)),"-")</f>
        <v>-</v>
      </c>
      <c r="H899" s="17" t="str">
        <f>IFERROR(IF(INDEX(Movimientos!$M$2:$M$1993,MATCH(A899&amp;"ENTRADA",Movimientos!$R$2:$R$1993,0))=0,"S/D",INDEX(Movimientos!$M$2:$M$1993,MATCH(A899&amp;"ENTRADA",Movimientos!$R$2:$R$1993,0))),"S/D")</f>
        <v>S/D</v>
      </c>
      <c r="I899" s="15" t="str">
        <f t="shared" ca="1" si="28"/>
        <v>S/D</v>
      </c>
      <c r="J899" s="5">
        <f>IF(A899="","",SUMIFS(Movimientos!$K:$K,Movimientos!$H:$H,A899))</f>
        <v>0</v>
      </c>
      <c r="K899" s="13" t="str">
        <f t="shared" ca="1" si="29"/>
        <v>SIN STOCK</v>
      </c>
    </row>
    <row r="900" spans="1:11">
      <c r="A900" s="16" t="s">
        <v>3205</v>
      </c>
      <c r="B900" s="2" t="str">
        <f>IFERROR(INDEX(Movimientos!$C$2:$C$1993,MATCH(A900&amp;"ENTRADA",Movimientos!$R$2:$R$1993,0)),"-")</f>
        <v>-</v>
      </c>
      <c r="C900" s="2" t="str">
        <f>IFERROR(INDEX(Movimientos!$D$2:$D$1993,MATCH(A900&amp;"ENTRADA",Movimientos!$R$2:$R$1993,0)),"-")</f>
        <v>-</v>
      </c>
      <c r="D900" s="2" t="str">
        <f>IFERROR(INDEX(Movimientos!$E$2:$E$1993,MATCH(A900&amp;"ENTRADA",Movimientos!$R$2:$R$1993,0)),"-")</f>
        <v>-</v>
      </c>
      <c r="E900" s="2" t="str">
        <f>IFERROR(INDEX(Movimientos!$F$2:$F$1993,MATCH(A900&amp;"ENTRADA",Movimientos!$R$2:$R$1993,0)),"-")</f>
        <v>-</v>
      </c>
      <c r="F900" s="2" t="str">
        <f>IFERROR(INDEX(Movimientos!$G$2:$G$1993,MATCH(A900&amp;"ENTRADA",Movimientos!$R$2:$R$1993,0)),"-")</f>
        <v>-</v>
      </c>
      <c r="G900" s="2" t="str">
        <f>IFERROR(INDEX(Movimientos!$L$2:$L$1993,MATCH(A900&amp;"ENTRADA",Movimientos!$R$2:$R$1993,0)),"-")</f>
        <v>-</v>
      </c>
      <c r="H900" s="17" t="str">
        <f>IFERROR(IF(INDEX(Movimientos!$M$2:$M$1993,MATCH(A900&amp;"ENTRADA",Movimientos!$R$2:$R$1993,0))=0,"S/D",INDEX(Movimientos!$M$2:$M$1993,MATCH(A900&amp;"ENTRADA",Movimientos!$R$2:$R$1993,0))),"S/D")</f>
        <v>S/D</v>
      </c>
      <c r="I900" s="15" t="str">
        <f t="shared" ca="1" si="28"/>
        <v>S/D</v>
      </c>
      <c r="J900" s="5">
        <f>IF(A900="","",SUMIFS(Movimientos!$K:$K,Movimientos!$H:$H,A900))</f>
        <v>0</v>
      </c>
      <c r="K900" s="13" t="str">
        <f t="shared" ca="1" si="29"/>
        <v>SIN STOCK</v>
      </c>
    </row>
    <row r="901" spans="1:11">
      <c r="A901" s="16" t="s">
        <v>3206</v>
      </c>
      <c r="B901" s="2" t="str">
        <f>IFERROR(INDEX(Movimientos!$C$2:$C$1993,MATCH(A901&amp;"ENTRADA",Movimientos!$R$2:$R$1993,0)),"-")</f>
        <v>-</v>
      </c>
      <c r="C901" s="2" t="str">
        <f>IFERROR(INDEX(Movimientos!$D$2:$D$1993,MATCH(A901&amp;"ENTRADA",Movimientos!$R$2:$R$1993,0)),"-")</f>
        <v>-</v>
      </c>
      <c r="D901" s="2" t="str">
        <f>IFERROR(INDEX(Movimientos!$E$2:$E$1993,MATCH(A901&amp;"ENTRADA",Movimientos!$R$2:$R$1993,0)),"-")</f>
        <v>-</v>
      </c>
      <c r="E901" s="2" t="str">
        <f>IFERROR(INDEX(Movimientos!$F$2:$F$1993,MATCH(A901&amp;"ENTRADA",Movimientos!$R$2:$R$1993,0)),"-")</f>
        <v>-</v>
      </c>
      <c r="F901" s="2" t="str">
        <f>IFERROR(INDEX(Movimientos!$G$2:$G$1993,MATCH(A901&amp;"ENTRADA",Movimientos!$R$2:$R$1993,0)),"-")</f>
        <v>-</v>
      </c>
      <c r="G901" s="2" t="str">
        <f>IFERROR(INDEX(Movimientos!$L$2:$L$1993,MATCH(A901&amp;"ENTRADA",Movimientos!$R$2:$R$1993,0)),"-")</f>
        <v>-</v>
      </c>
      <c r="H901" s="17" t="str">
        <f>IFERROR(IF(INDEX(Movimientos!$M$2:$M$1993,MATCH(A901&amp;"ENTRADA",Movimientos!$R$2:$R$1993,0))=0,"S/D",INDEX(Movimientos!$M$2:$M$1993,MATCH(A901&amp;"ENTRADA",Movimientos!$R$2:$R$1993,0))),"S/D")</f>
        <v>S/D</v>
      </c>
      <c r="I901" s="15" t="str">
        <f t="shared" ref="I901:I964" ca="1" si="30">IF(OR(A901="",H901="S/D"),"S/D",H901-TODAY())</f>
        <v>S/D</v>
      </c>
      <c r="J901" s="5">
        <f>IF(A901="","",SUMIFS(Movimientos!$K:$K,Movimientos!$H:$H,A901))</f>
        <v>0</v>
      </c>
      <c r="K901" s="13" t="str">
        <f t="shared" ca="1" si="29"/>
        <v>SIN STOCK</v>
      </c>
    </row>
    <row r="902" spans="1:11">
      <c r="A902" s="16" t="s">
        <v>3207</v>
      </c>
      <c r="B902" s="2" t="str">
        <f>IFERROR(INDEX(Movimientos!$C$2:$C$1993,MATCH(A902&amp;"ENTRADA",Movimientos!$R$2:$R$1993,0)),"-")</f>
        <v>-</v>
      </c>
      <c r="C902" s="2" t="str">
        <f>IFERROR(INDEX(Movimientos!$D$2:$D$1993,MATCH(A902&amp;"ENTRADA",Movimientos!$R$2:$R$1993,0)),"-")</f>
        <v>-</v>
      </c>
      <c r="D902" s="2" t="str">
        <f>IFERROR(INDEX(Movimientos!$E$2:$E$1993,MATCH(A902&amp;"ENTRADA",Movimientos!$R$2:$R$1993,0)),"-")</f>
        <v>-</v>
      </c>
      <c r="E902" s="2" t="str">
        <f>IFERROR(INDEX(Movimientos!$F$2:$F$1993,MATCH(A902&amp;"ENTRADA",Movimientos!$R$2:$R$1993,0)),"-")</f>
        <v>-</v>
      </c>
      <c r="F902" s="2" t="str">
        <f>IFERROR(INDEX(Movimientos!$G$2:$G$1993,MATCH(A902&amp;"ENTRADA",Movimientos!$R$2:$R$1993,0)),"-")</f>
        <v>-</v>
      </c>
      <c r="G902" s="2" t="str">
        <f>IFERROR(INDEX(Movimientos!$L$2:$L$1993,MATCH(A902&amp;"ENTRADA",Movimientos!$R$2:$R$1993,0)),"-")</f>
        <v>-</v>
      </c>
      <c r="H902" s="17" t="str">
        <f>IFERROR(IF(INDEX(Movimientos!$M$2:$M$1993,MATCH(A902&amp;"ENTRADA",Movimientos!$R$2:$R$1993,0))=0,"S/D",INDEX(Movimientos!$M$2:$M$1993,MATCH(A902&amp;"ENTRADA",Movimientos!$R$2:$R$1993,0))),"S/D")</f>
        <v>S/D</v>
      </c>
      <c r="I902" s="15" t="str">
        <f t="shared" ca="1" si="30"/>
        <v>S/D</v>
      </c>
      <c r="J902" s="5">
        <f>IF(A902="","",SUMIFS(Movimientos!$K:$K,Movimientos!$H:$H,A902))</f>
        <v>0</v>
      </c>
      <c r="K902" s="13" t="str">
        <f t="shared" ca="1" si="29"/>
        <v>SIN STOCK</v>
      </c>
    </row>
    <row r="903" spans="1:11">
      <c r="A903" s="16" t="s">
        <v>3208</v>
      </c>
      <c r="B903" s="2" t="str">
        <f>IFERROR(INDEX(Movimientos!$C$2:$C$1993,MATCH(A903&amp;"ENTRADA",Movimientos!$R$2:$R$1993,0)),"-")</f>
        <v>-</v>
      </c>
      <c r="C903" s="2" t="str">
        <f>IFERROR(INDEX(Movimientos!$D$2:$D$1993,MATCH(A903&amp;"ENTRADA",Movimientos!$R$2:$R$1993,0)),"-")</f>
        <v>-</v>
      </c>
      <c r="D903" s="2" t="str">
        <f>IFERROR(INDEX(Movimientos!$E$2:$E$1993,MATCH(A903&amp;"ENTRADA",Movimientos!$R$2:$R$1993,0)),"-")</f>
        <v>-</v>
      </c>
      <c r="E903" s="2" t="str">
        <f>IFERROR(INDEX(Movimientos!$F$2:$F$1993,MATCH(A903&amp;"ENTRADA",Movimientos!$R$2:$R$1993,0)),"-")</f>
        <v>-</v>
      </c>
      <c r="F903" s="2" t="str">
        <f>IFERROR(INDEX(Movimientos!$G$2:$G$1993,MATCH(A903&amp;"ENTRADA",Movimientos!$R$2:$R$1993,0)),"-")</f>
        <v>-</v>
      </c>
      <c r="G903" s="2" t="str">
        <f>IFERROR(INDEX(Movimientos!$L$2:$L$1993,MATCH(A903&amp;"ENTRADA",Movimientos!$R$2:$R$1993,0)),"-")</f>
        <v>-</v>
      </c>
      <c r="H903" s="17" t="str">
        <f>IFERROR(IF(INDEX(Movimientos!$M$2:$M$1993,MATCH(A903&amp;"ENTRADA",Movimientos!$R$2:$R$1993,0))=0,"S/D",INDEX(Movimientos!$M$2:$M$1993,MATCH(A903&amp;"ENTRADA",Movimientos!$R$2:$R$1993,0))),"S/D")</f>
        <v>S/D</v>
      </c>
      <c r="I903" s="15" t="str">
        <f t="shared" ca="1" si="30"/>
        <v>S/D</v>
      </c>
      <c r="J903" s="5">
        <f>IF(A903="","",SUMIFS(Movimientos!$K:$K,Movimientos!$H:$H,A903))</f>
        <v>0</v>
      </c>
      <c r="K903" s="13" t="str">
        <f t="shared" ca="1" si="29"/>
        <v>SIN STOCK</v>
      </c>
    </row>
    <row r="904" spans="1:11">
      <c r="A904" s="16" t="s">
        <v>3209</v>
      </c>
      <c r="B904" s="2" t="str">
        <f>IFERROR(INDEX(Movimientos!$C$2:$C$1993,MATCH(A904&amp;"ENTRADA",Movimientos!$R$2:$R$1993,0)),"-")</f>
        <v>-</v>
      </c>
      <c r="C904" s="2" t="str">
        <f>IFERROR(INDEX(Movimientos!$D$2:$D$1993,MATCH(A904&amp;"ENTRADA",Movimientos!$R$2:$R$1993,0)),"-")</f>
        <v>-</v>
      </c>
      <c r="D904" s="2" t="str">
        <f>IFERROR(INDEX(Movimientos!$E$2:$E$1993,MATCH(A904&amp;"ENTRADA",Movimientos!$R$2:$R$1993,0)),"-")</f>
        <v>-</v>
      </c>
      <c r="E904" s="2" t="str">
        <f>IFERROR(INDEX(Movimientos!$F$2:$F$1993,MATCH(A904&amp;"ENTRADA",Movimientos!$R$2:$R$1993,0)),"-")</f>
        <v>-</v>
      </c>
      <c r="F904" s="2" t="str">
        <f>IFERROR(INDEX(Movimientos!$G$2:$G$1993,MATCH(A904&amp;"ENTRADA",Movimientos!$R$2:$R$1993,0)),"-")</f>
        <v>-</v>
      </c>
      <c r="G904" s="2" t="str">
        <f>IFERROR(INDEX(Movimientos!$L$2:$L$1993,MATCH(A904&amp;"ENTRADA",Movimientos!$R$2:$R$1993,0)),"-")</f>
        <v>-</v>
      </c>
      <c r="H904" s="17" t="str">
        <f>IFERROR(IF(INDEX(Movimientos!$M$2:$M$1993,MATCH(A904&amp;"ENTRADA",Movimientos!$R$2:$R$1993,0))=0,"S/D",INDEX(Movimientos!$M$2:$M$1993,MATCH(A904&amp;"ENTRADA",Movimientos!$R$2:$R$1993,0))),"S/D")</f>
        <v>S/D</v>
      </c>
      <c r="I904" s="15" t="str">
        <f t="shared" ca="1" si="30"/>
        <v>S/D</v>
      </c>
      <c r="J904" s="5">
        <f>IF(A904="","",SUMIFS(Movimientos!$K:$K,Movimientos!$H:$H,A904))</f>
        <v>0</v>
      </c>
      <c r="K904" s="13" t="str">
        <f t="shared" ca="1" si="29"/>
        <v>SIN STOCK</v>
      </c>
    </row>
    <row r="905" spans="1:11">
      <c r="A905" s="16" t="s">
        <v>3210</v>
      </c>
      <c r="B905" s="2" t="str">
        <f>IFERROR(INDEX(Movimientos!$C$2:$C$1993,MATCH(A905&amp;"ENTRADA",Movimientos!$R$2:$R$1993,0)),"-")</f>
        <v>-</v>
      </c>
      <c r="C905" s="2" t="str">
        <f>IFERROR(INDEX(Movimientos!$D$2:$D$1993,MATCH(A905&amp;"ENTRADA",Movimientos!$R$2:$R$1993,0)),"-")</f>
        <v>-</v>
      </c>
      <c r="D905" s="2" t="str">
        <f>IFERROR(INDEX(Movimientos!$E$2:$E$1993,MATCH(A905&amp;"ENTRADA",Movimientos!$R$2:$R$1993,0)),"-")</f>
        <v>-</v>
      </c>
      <c r="E905" s="2" t="str">
        <f>IFERROR(INDEX(Movimientos!$F$2:$F$1993,MATCH(A905&amp;"ENTRADA",Movimientos!$R$2:$R$1993,0)),"-")</f>
        <v>-</v>
      </c>
      <c r="F905" s="2" t="str">
        <f>IFERROR(INDEX(Movimientos!$G$2:$G$1993,MATCH(A905&amp;"ENTRADA",Movimientos!$R$2:$R$1993,0)),"-")</f>
        <v>-</v>
      </c>
      <c r="G905" s="2" t="str">
        <f>IFERROR(INDEX(Movimientos!$L$2:$L$1993,MATCH(A905&amp;"ENTRADA",Movimientos!$R$2:$R$1993,0)),"-")</f>
        <v>-</v>
      </c>
      <c r="H905" s="17" t="str">
        <f>IFERROR(IF(INDEX(Movimientos!$M$2:$M$1993,MATCH(A905&amp;"ENTRADA",Movimientos!$R$2:$R$1993,0))=0,"S/D",INDEX(Movimientos!$M$2:$M$1993,MATCH(A905&amp;"ENTRADA",Movimientos!$R$2:$R$1993,0))),"S/D")</f>
        <v>S/D</v>
      </c>
      <c r="I905" s="15" t="str">
        <f t="shared" ca="1" si="30"/>
        <v>S/D</v>
      </c>
      <c r="J905" s="5">
        <f>IF(A905="","",SUMIFS(Movimientos!$K:$K,Movimientos!$H:$H,A905))</f>
        <v>0</v>
      </c>
      <c r="K905" s="13" t="str">
        <f t="shared" ca="1" si="29"/>
        <v>SIN STOCK</v>
      </c>
    </row>
    <row r="906" spans="1:11">
      <c r="A906" s="16" t="s">
        <v>3211</v>
      </c>
      <c r="B906" s="2" t="str">
        <f>IFERROR(INDEX(Movimientos!$C$2:$C$1993,MATCH(A906&amp;"ENTRADA",Movimientos!$R$2:$R$1993,0)),"-")</f>
        <v>-</v>
      </c>
      <c r="C906" s="2" t="str">
        <f>IFERROR(INDEX(Movimientos!$D$2:$D$1993,MATCH(A906&amp;"ENTRADA",Movimientos!$R$2:$R$1993,0)),"-")</f>
        <v>-</v>
      </c>
      <c r="D906" s="2" t="str">
        <f>IFERROR(INDEX(Movimientos!$E$2:$E$1993,MATCH(A906&amp;"ENTRADA",Movimientos!$R$2:$R$1993,0)),"-")</f>
        <v>-</v>
      </c>
      <c r="E906" s="2" t="str">
        <f>IFERROR(INDEX(Movimientos!$F$2:$F$1993,MATCH(A906&amp;"ENTRADA",Movimientos!$R$2:$R$1993,0)),"-")</f>
        <v>-</v>
      </c>
      <c r="F906" s="2" t="str">
        <f>IFERROR(INDEX(Movimientos!$G$2:$G$1993,MATCH(A906&amp;"ENTRADA",Movimientos!$R$2:$R$1993,0)),"-")</f>
        <v>-</v>
      </c>
      <c r="G906" s="2" t="str">
        <f>IFERROR(INDEX(Movimientos!$L$2:$L$1993,MATCH(A906&amp;"ENTRADA",Movimientos!$R$2:$R$1993,0)),"-")</f>
        <v>-</v>
      </c>
      <c r="H906" s="17" t="str">
        <f>IFERROR(IF(INDEX(Movimientos!$M$2:$M$1993,MATCH(A906&amp;"ENTRADA",Movimientos!$R$2:$R$1993,0))=0,"S/D",INDEX(Movimientos!$M$2:$M$1993,MATCH(A906&amp;"ENTRADA",Movimientos!$R$2:$R$1993,0))),"S/D")</f>
        <v>S/D</v>
      </c>
      <c r="I906" s="15" t="str">
        <f t="shared" ca="1" si="30"/>
        <v>S/D</v>
      </c>
      <c r="J906" s="5">
        <f>IF(A906="","",SUMIFS(Movimientos!$K:$K,Movimientos!$H:$H,A906))</f>
        <v>0</v>
      </c>
      <c r="K906" s="13" t="str">
        <f t="shared" ca="1" si="29"/>
        <v>SIN STOCK</v>
      </c>
    </row>
    <row r="907" spans="1:11">
      <c r="A907" s="16" t="s">
        <v>3212</v>
      </c>
      <c r="B907" s="2" t="str">
        <f>IFERROR(INDEX(Movimientos!$C$2:$C$1993,MATCH(A907&amp;"ENTRADA",Movimientos!$R$2:$R$1993,0)),"-")</f>
        <v>-</v>
      </c>
      <c r="C907" s="2" t="str">
        <f>IFERROR(INDEX(Movimientos!$D$2:$D$1993,MATCH(A907&amp;"ENTRADA",Movimientos!$R$2:$R$1993,0)),"-")</f>
        <v>-</v>
      </c>
      <c r="D907" s="2" t="str">
        <f>IFERROR(INDEX(Movimientos!$E$2:$E$1993,MATCH(A907&amp;"ENTRADA",Movimientos!$R$2:$R$1993,0)),"-")</f>
        <v>-</v>
      </c>
      <c r="E907" s="2" t="str">
        <f>IFERROR(INDEX(Movimientos!$F$2:$F$1993,MATCH(A907&amp;"ENTRADA",Movimientos!$R$2:$R$1993,0)),"-")</f>
        <v>-</v>
      </c>
      <c r="F907" s="2" t="str">
        <f>IFERROR(INDEX(Movimientos!$G$2:$G$1993,MATCH(A907&amp;"ENTRADA",Movimientos!$R$2:$R$1993,0)),"-")</f>
        <v>-</v>
      </c>
      <c r="G907" s="2" t="str">
        <f>IFERROR(INDEX(Movimientos!$L$2:$L$1993,MATCH(A907&amp;"ENTRADA",Movimientos!$R$2:$R$1993,0)),"-")</f>
        <v>-</v>
      </c>
      <c r="H907" s="17" t="str">
        <f>IFERROR(IF(INDEX(Movimientos!$M$2:$M$1993,MATCH(A907&amp;"ENTRADA",Movimientos!$R$2:$R$1993,0))=0,"S/D",INDEX(Movimientos!$M$2:$M$1993,MATCH(A907&amp;"ENTRADA",Movimientos!$R$2:$R$1993,0))),"S/D")</f>
        <v>S/D</v>
      </c>
      <c r="I907" s="15" t="str">
        <f t="shared" ca="1" si="30"/>
        <v>S/D</v>
      </c>
      <c r="J907" s="5">
        <f>IF(A907="","",SUMIFS(Movimientos!$K:$K,Movimientos!$H:$H,A907))</f>
        <v>0</v>
      </c>
      <c r="K907" s="13" t="str">
        <f t="shared" ca="1" si="29"/>
        <v>SIN STOCK</v>
      </c>
    </row>
    <row r="908" spans="1:11">
      <c r="A908" s="16" t="s">
        <v>3213</v>
      </c>
      <c r="B908" s="2" t="str">
        <f>IFERROR(INDEX(Movimientos!$C$2:$C$1993,MATCH(A908&amp;"ENTRADA",Movimientos!$R$2:$R$1993,0)),"-")</f>
        <v>-</v>
      </c>
      <c r="C908" s="2" t="str">
        <f>IFERROR(INDEX(Movimientos!$D$2:$D$1993,MATCH(A908&amp;"ENTRADA",Movimientos!$R$2:$R$1993,0)),"-")</f>
        <v>-</v>
      </c>
      <c r="D908" s="2" t="str">
        <f>IFERROR(INDEX(Movimientos!$E$2:$E$1993,MATCH(A908&amp;"ENTRADA",Movimientos!$R$2:$R$1993,0)),"-")</f>
        <v>-</v>
      </c>
      <c r="E908" s="2" t="str">
        <f>IFERROR(INDEX(Movimientos!$F$2:$F$1993,MATCH(A908&amp;"ENTRADA",Movimientos!$R$2:$R$1993,0)),"-")</f>
        <v>-</v>
      </c>
      <c r="F908" s="2" t="str">
        <f>IFERROR(INDEX(Movimientos!$G$2:$G$1993,MATCH(A908&amp;"ENTRADA",Movimientos!$R$2:$R$1993,0)),"-")</f>
        <v>-</v>
      </c>
      <c r="G908" s="2" t="str">
        <f>IFERROR(INDEX(Movimientos!$L$2:$L$1993,MATCH(A908&amp;"ENTRADA",Movimientos!$R$2:$R$1993,0)),"-")</f>
        <v>-</v>
      </c>
      <c r="H908" s="17" t="str">
        <f>IFERROR(IF(INDEX(Movimientos!$M$2:$M$1993,MATCH(A908&amp;"ENTRADA",Movimientos!$R$2:$R$1993,0))=0,"S/D",INDEX(Movimientos!$M$2:$M$1993,MATCH(A908&amp;"ENTRADA",Movimientos!$R$2:$R$1993,0))),"S/D")</f>
        <v>S/D</v>
      </c>
      <c r="I908" s="15" t="str">
        <f t="shared" ca="1" si="30"/>
        <v>S/D</v>
      </c>
      <c r="J908" s="5">
        <f>IF(A908="","",SUMIFS(Movimientos!$K:$K,Movimientos!$H:$H,A908))</f>
        <v>0</v>
      </c>
      <c r="K908" s="13" t="str">
        <f t="shared" ca="1" si="29"/>
        <v>SIN STOCK</v>
      </c>
    </row>
    <row r="909" spans="1:11">
      <c r="A909" s="16" t="s">
        <v>3214</v>
      </c>
      <c r="B909" s="2" t="str">
        <f>IFERROR(INDEX(Movimientos!$C$2:$C$1993,MATCH(A909&amp;"ENTRADA",Movimientos!$R$2:$R$1993,0)),"-")</f>
        <v>-</v>
      </c>
      <c r="C909" s="2" t="str">
        <f>IFERROR(INDEX(Movimientos!$D$2:$D$1993,MATCH(A909&amp;"ENTRADA",Movimientos!$R$2:$R$1993,0)),"-")</f>
        <v>-</v>
      </c>
      <c r="D909" s="2" t="str">
        <f>IFERROR(INDEX(Movimientos!$E$2:$E$1993,MATCH(A909&amp;"ENTRADA",Movimientos!$R$2:$R$1993,0)),"-")</f>
        <v>-</v>
      </c>
      <c r="E909" s="2" t="str">
        <f>IFERROR(INDEX(Movimientos!$F$2:$F$1993,MATCH(A909&amp;"ENTRADA",Movimientos!$R$2:$R$1993,0)),"-")</f>
        <v>-</v>
      </c>
      <c r="F909" s="2" t="str">
        <f>IFERROR(INDEX(Movimientos!$G$2:$G$1993,MATCH(A909&amp;"ENTRADA",Movimientos!$R$2:$R$1993,0)),"-")</f>
        <v>-</v>
      </c>
      <c r="G909" s="2" t="str">
        <f>IFERROR(INDEX(Movimientos!$L$2:$L$1993,MATCH(A909&amp;"ENTRADA",Movimientos!$R$2:$R$1993,0)),"-")</f>
        <v>-</v>
      </c>
      <c r="H909" s="17" t="str">
        <f>IFERROR(IF(INDEX(Movimientos!$M$2:$M$1993,MATCH(A909&amp;"ENTRADA",Movimientos!$R$2:$R$1993,0))=0,"S/D",INDEX(Movimientos!$M$2:$M$1993,MATCH(A909&amp;"ENTRADA",Movimientos!$R$2:$R$1993,0))),"S/D")</f>
        <v>S/D</v>
      </c>
      <c r="I909" s="15" t="str">
        <f t="shared" ca="1" si="30"/>
        <v>S/D</v>
      </c>
      <c r="J909" s="5">
        <f>IF(A909="","",SUMIFS(Movimientos!$K:$K,Movimientos!$H:$H,A909))</f>
        <v>0</v>
      </c>
      <c r="K909" s="13" t="str">
        <f t="shared" ca="1" si="29"/>
        <v>SIN STOCK</v>
      </c>
    </row>
    <row r="910" spans="1:11">
      <c r="A910" s="16" t="s">
        <v>3215</v>
      </c>
      <c r="B910" s="2" t="str">
        <f>IFERROR(INDEX(Movimientos!$C$2:$C$1993,MATCH(A910&amp;"ENTRADA",Movimientos!$R$2:$R$1993,0)),"-")</f>
        <v>-</v>
      </c>
      <c r="C910" s="2" t="str">
        <f>IFERROR(INDEX(Movimientos!$D$2:$D$1993,MATCH(A910&amp;"ENTRADA",Movimientos!$R$2:$R$1993,0)),"-")</f>
        <v>-</v>
      </c>
      <c r="D910" s="2" t="str">
        <f>IFERROR(INDEX(Movimientos!$E$2:$E$1993,MATCH(A910&amp;"ENTRADA",Movimientos!$R$2:$R$1993,0)),"-")</f>
        <v>-</v>
      </c>
      <c r="E910" s="2" t="str">
        <f>IFERROR(INDEX(Movimientos!$F$2:$F$1993,MATCH(A910&amp;"ENTRADA",Movimientos!$R$2:$R$1993,0)),"-")</f>
        <v>-</v>
      </c>
      <c r="F910" s="2" t="str">
        <f>IFERROR(INDEX(Movimientos!$G$2:$G$1993,MATCH(A910&amp;"ENTRADA",Movimientos!$R$2:$R$1993,0)),"-")</f>
        <v>-</v>
      </c>
      <c r="G910" s="2" t="str">
        <f>IFERROR(INDEX(Movimientos!$L$2:$L$1993,MATCH(A910&amp;"ENTRADA",Movimientos!$R$2:$R$1993,0)),"-")</f>
        <v>-</v>
      </c>
      <c r="H910" s="17" t="str">
        <f>IFERROR(IF(INDEX(Movimientos!$M$2:$M$1993,MATCH(A910&amp;"ENTRADA",Movimientos!$R$2:$R$1993,0))=0,"S/D",INDEX(Movimientos!$M$2:$M$1993,MATCH(A910&amp;"ENTRADA",Movimientos!$R$2:$R$1993,0))),"S/D")</f>
        <v>S/D</v>
      </c>
      <c r="I910" s="15" t="str">
        <f t="shared" ca="1" si="30"/>
        <v>S/D</v>
      </c>
      <c r="J910" s="5">
        <f>IF(A910="","",SUMIFS(Movimientos!$K:$K,Movimientos!$H:$H,A910))</f>
        <v>0</v>
      </c>
      <c r="K910" s="13" t="str">
        <f t="shared" ca="1" si="29"/>
        <v>SIN STOCK</v>
      </c>
    </row>
    <row r="911" spans="1:11">
      <c r="A911" s="16" t="s">
        <v>3216</v>
      </c>
      <c r="B911" s="2" t="str">
        <f>IFERROR(INDEX(Movimientos!$C$2:$C$1993,MATCH(A911&amp;"ENTRADA",Movimientos!$R$2:$R$1993,0)),"-")</f>
        <v>-</v>
      </c>
      <c r="C911" s="2" t="str">
        <f>IFERROR(INDEX(Movimientos!$D$2:$D$1993,MATCH(A911&amp;"ENTRADA",Movimientos!$R$2:$R$1993,0)),"-")</f>
        <v>-</v>
      </c>
      <c r="D911" s="2" t="str">
        <f>IFERROR(INDEX(Movimientos!$E$2:$E$1993,MATCH(A911&amp;"ENTRADA",Movimientos!$R$2:$R$1993,0)),"-")</f>
        <v>-</v>
      </c>
      <c r="E911" s="2" t="str">
        <f>IFERROR(INDEX(Movimientos!$F$2:$F$1993,MATCH(A911&amp;"ENTRADA",Movimientos!$R$2:$R$1993,0)),"-")</f>
        <v>-</v>
      </c>
      <c r="F911" s="2" t="str">
        <f>IFERROR(INDEX(Movimientos!$G$2:$G$1993,MATCH(A911&amp;"ENTRADA",Movimientos!$R$2:$R$1993,0)),"-")</f>
        <v>-</v>
      </c>
      <c r="G911" s="2" t="str">
        <f>IFERROR(INDEX(Movimientos!$L$2:$L$1993,MATCH(A911&amp;"ENTRADA",Movimientos!$R$2:$R$1993,0)),"-")</f>
        <v>-</v>
      </c>
      <c r="H911" s="17" t="str">
        <f>IFERROR(IF(INDEX(Movimientos!$M$2:$M$1993,MATCH(A911&amp;"ENTRADA",Movimientos!$R$2:$R$1993,0))=0,"S/D",INDEX(Movimientos!$M$2:$M$1993,MATCH(A911&amp;"ENTRADA",Movimientos!$R$2:$R$1993,0))),"S/D")</f>
        <v>S/D</v>
      </c>
      <c r="I911" s="15" t="str">
        <f t="shared" ca="1" si="30"/>
        <v>S/D</v>
      </c>
      <c r="J911" s="5">
        <f>IF(A911="","",SUMIFS(Movimientos!$K:$K,Movimientos!$H:$H,A911))</f>
        <v>0</v>
      </c>
      <c r="K911" s="13" t="str">
        <f t="shared" ca="1" si="29"/>
        <v>SIN STOCK</v>
      </c>
    </row>
    <row r="912" spans="1:11">
      <c r="A912" s="16" t="s">
        <v>3217</v>
      </c>
      <c r="B912" s="2" t="str">
        <f>IFERROR(INDEX(Movimientos!$C$2:$C$1993,MATCH(A912&amp;"ENTRADA",Movimientos!$R$2:$R$1993,0)),"-")</f>
        <v>-</v>
      </c>
      <c r="C912" s="2" t="str">
        <f>IFERROR(INDEX(Movimientos!$D$2:$D$1993,MATCH(A912&amp;"ENTRADA",Movimientos!$R$2:$R$1993,0)),"-")</f>
        <v>-</v>
      </c>
      <c r="D912" s="2" t="str">
        <f>IFERROR(INDEX(Movimientos!$E$2:$E$1993,MATCH(A912&amp;"ENTRADA",Movimientos!$R$2:$R$1993,0)),"-")</f>
        <v>-</v>
      </c>
      <c r="E912" s="2" t="str">
        <f>IFERROR(INDEX(Movimientos!$F$2:$F$1993,MATCH(A912&amp;"ENTRADA",Movimientos!$R$2:$R$1993,0)),"-")</f>
        <v>-</v>
      </c>
      <c r="F912" s="2" t="str">
        <f>IFERROR(INDEX(Movimientos!$G$2:$G$1993,MATCH(A912&amp;"ENTRADA",Movimientos!$R$2:$R$1993,0)),"-")</f>
        <v>-</v>
      </c>
      <c r="G912" s="2" t="str">
        <f>IFERROR(INDEX(Movimientos!$L$2:$L$1993,MATCH(A912&amp;"ENTRADA",Movimientos!$R$2:$R$1993,0)),"-")</f>
        <v>-</v>
      </c>
      <c r="H912" s="17" t="str">
        <f>IFERROR(IF(INDEX(Movimientos!$M$2:$M$1993,MATCH(A912&amp;"ENTRADA",Movimientos!$R$2:$R$1993,0))=0,"S/D",INDEX(Movimientos!$M$2:$M$1993,MATCH(A912&amp;"ENTRADA",Movimientos!$R$2:$R$1993,0))),"S/D")</f>
        <v>S/D</v>
      </c>
      <c r="I912" s="15" t="str">
        <f t="shared" ca="1" si="30"/>
        <v>S/D</v>
      </c>
      <c r="J912" s="5">
        <f>IF(A912="","",SUMIFS(Movimientos!$K:$K,Movimientos!$H:$H,A912))</f>
        <v>0</v>
      </c>
      <c r="K912" s="13" t="str">
        <f t="shared" ca="1" si="29"/>
        <v>SIN STOCK</v>
      </c>
    </row>
    <row r="913" spans="1:11">
      <c r="A913" s="16" t="s">
        <v>3218</v>
      </c>
      <c r="B913" s="2" t="str">
        <f>IFERROR(INDEX(Movimientos!$C$2:$C$1993,MATCH(A913&amp;"ENTRADA",Movimientos!$R$2:$R$1993,0)),"-")</f>
        <v>-</v>
      </c>
      <c r="C913" s="2" t="str">
        <f>IFERROR(INDEX(Movimientos!$D$2:$D$1993,MATCH(A913&amp;"ENTRADA",Movimientos!$R$2:$R$1993,0)),"-")</f>
        <v>-</v>
      </c>
      <c r="D913" s="2" t="str">
        <f>IFERROR(INDEX(Movimientos!$E$2:$E$1993,MATCH(A913&amp;"ENTRADA",Movimientos!$R$2:$R$1993,0)),"-")</f>
        <v>-</v>
      </c>
      <c r="E913" s="2" t="str">
        <f>IFERROR(INDEX(Movimientos!$F$2:$F$1993,MATCH(A913&amp;"ENTRADA",Movimientos!$R$2:$R$1993,0)),"-")</f>
        <v>-</v>
      </c>
      <c r="F913" s="2" t="str">
        <f>IFERROR(INDEX(Movimientos!$G$2:$G$1993,MATCH(A913&amp;"ENTRADA",Movimientos!$R$2:$R$1993,0)),"-")</f>
        <v>-</v>
      </c>
      <c r="G913" s="2" t="str">
        <f>IFERROR(INDEX(Movimientos!$L$2:$L$1993,MATCH(A913&amp;"ENTRADA",Movimientos!$R$2:$R$1993,0)),"-")</f>
        <v>-</v>
      </c>
      <c r="H913" s="17" t="str">
        <f>IFERROR(IF(INDEX(Movimientos!$M$2:$M$1993,MATCH(A913&amp;"ENTRADA",Movimientos!$R$2:$R$1993,0))=0,"S/D",INDEX(Movimientos!$M$2:$M$1993,MATCH(A913&amp;"ENTRADA",Movimientos!$R$2:$R$1993,0))),"S/D")</f>
        <v>S/D</v>
      </c>
      <c r="I913" s="15" t="str">
        <f t="shared" ca="1" si="30"/>
        <v>S/D</v>
      </c>
      <c r="J913" s="5">
        <f>IF(A913="","",SUMIFS(Movimientos!$K:$K,Movimientos!$H:$H,A913))</f>
        <v>0</v>
      </c>
      <c r="K913" s="13" t="str">
        <f t="shared" ca="1" si="29"/>
        <v>SIN STOCK</v>
      </c>
    </row>
    <row r="914" spans="1:11">
      <c r="A914" s="16" t="s">
        <v>3219</v>
      </c>
      <c r="B914" s="2" t="str">
        <f>IFERROR(INDEX(Movimientos!$C$2:$C$1993,MATCH(A914&amp;"ENTRADA",Movimientos!$R$2:$R$1993,0)),"-")</f>
        <v>-</v>
      </c>
      <c r="C914" s="2" t="str">
        <f>IFERROR(INDEX(Movimientos!$D$2:$D$1993,MATCH(A914&amp;"ENTRADA",Movimientos!$R$2:$R$1993,0)),"-")</f>
        <v>-</v>
      </c>
      <c r="D914" s="2" t="str">
        <f>IFERROR(INDEX(Movimientos!$E$2:$E$1993,MATCH(A914&amp;"ENTRADA",Movimientos!$R$2:$R$1993,0)),"-")</f>
        <v>-</v>
      </c>
      <c r="E914" s="2" t="str">
        <f>IFERROR(INDEX(Movimientos!$F$2:$F$1993,MATCH(A914&amp;"ENTRADA",Movimientos!$R$2:$R$1993,0)),"-")</f>
        <v>-</v>
      </c>
      <c r="F914" s="2" t="str">
        <f>IFERROR(INDEX(Movimientos!$G$2:$G$1993,MATCH(A914&amp;"ENTRADA",Movimientos!$R$2:$R$1993,0)),"-")</f>
        <v>-</v>
      </c>
      <c r="G914" s="2" t="str">
        <f>IFERROR(INDEX(Movimientos!$L$2:$L$1993,MATCH(A914&amp;"ENTRADA",Movimientos!$R$2:$R$1993,0)),"-")</f>
        <v>-</v>
      </c>
      <c r="H914" s="17" t="str">
        <f>IFERROR(IF(INDEX(Movimientos!$M$2:$M$1993,MATCH(A914&amp;"ENTRADA",Movimientos!$R$2:$R$1993,0))=0,"S/D",INDEX(Movimientos!$M$2:$M$1993,MATCH(A914&amp;"ENTRADA",Movimientos!$R$2:$R$1993,0))),"S/D")</f>
        <v>S/D</v>
      </c>
      <c r="I914" s="15" t="str">
        <f t="shared" ca="1" si="30"/>
        <v>S/D</v>
      </c>
      <c r="J914" s="5">
        <f>IF(A914="","",SUMIFS(Movimientos!$K:$K,Movimientos!$H:$H,A914))</f>
        <v>0</v>
      </c>
      <c r="K914" s="13" t="str">
        <f t="shared" ca="1" si="29"/>
        <v>SIN STOCK</v>
      </c>
    </row>
    <row r="915" spans="1:11">
      <c r="A915" s="16" t="s">
        <v>3220</v>
      </c>
      <c r="B915" s="2" t="str">
        <f>IFERROR(INDEX(Movimientos!$C$2:$C$1993,MATCH(A915&amp;"ENTRADA",Movimientos!$R$2:$R$1993,0)),"-")</f>
        <v>-</v>
      </c>
      <c r="C915" s="2" t="str">
        <f>IFERROR(INDEX(Movimientos!$D$2:$D$1993,MATCH(A915&amp;"ENTRADA",Movimientos!$R$2:$R$1993,0)),"-")</f>
        <v>-</v>
      </c>
      <c r="D915" s="2" t="str">
        <f>IFERROR(INDEX(Movimientos!$E$2:$E$1993,MATCH(A915&amp;"ENTRADA",Movimientos!$R$2:$R$1993,0)),"-")</f>
        <v>-</v>
      </c>
      <c r="E915" s="2" t="str">
        <f>IFERROR(INDEX(Movimientos!$F$2:$F$1993,MATCH(A915&amp;"ENTRADA",Movimientos!$R$2:$R$1993,0)),"-")</f>
        <v>-</v>
      </c>
      <c r="F915" s="2" t="str">
        <f>IFERROR(INDEX(Movimientos!$G$2:$G$1993,MATCH(A915&amp;"ENTRADA",Movimientos!$R$2:$R$1993,0)),"-")</f>
        <v>-</v>
      </c>
      <c r="G915" s="2" t="str">
        <f>IFERROR(INDEX(Movimientos!$L$2:$L$1993,MATCH(A915&amp;"ENTRADA",Movimientos!$R$2:$R$1993,0)),"-")</f>
        <v>-</v>
      </c>
      <c r="H915" s="17" t="str">
        <f>IFERROR(IF(INDEX(Movimientos!$M$2:$M$1993,MATCH(A915&amp;"ENTRADA",Movimientos!$R$2:$R$1993,0))=0,"S/D",INDEX(Movimientos!$M$2:$M$1993,MATCH(A915&amp;"ENTRADA",Movimientos!$R$2:$R$1993,0))),"S/D")</f>
        <v>S/D</v>
      </c>
      <c r="I915" s="15" t="str">
        <f t="shared" ca="1" si="30"/>
        <v>S/D</v>
      </c>
      <c r="J915" s="5">
        <f>IF(A915="","",SUMIFS(Movimientos!$K:$K,Movimientos!$H:$H,A915))</f>
        <v>0</v>
      </c>
      <c r="K915" s="13" t="str">
        <f t="shared" ca="1" si="29"/>
        <v>SIN STOCK</v>
      </c>
    </row>
    <row r="916" spans="1:11">
      <c r="A916" s="16" t="s">
        <v>3221</v>
      </c>
      <c r="B916" s="2" t="str">
        <f>IFERROR(INDEX(Movimientos!$C$2:$C$1993,MATCH(A916&amp;"ENTRADA",Movimientos!$R$2:$R$1993,0)),"-")</f>
        <v>-</v>
      </c>
      <c r="C916" s="2" t="str">
        <f>IFERROR(INDEX(Movimientos!$D$2:$D$1993,MATCH(A916&amp;"ENTRADA",Movimientos!$R$2:$R$1993,0)),"-")</f>
        <v>-</v>
      </c>
      <c r="D916" s="2" t="str">
        <f>IFERROR(INDEX(Movimientos!$E$2:$E$1993,MATCH(A916&amp;"ENTRADA",Movimientos!$R$2:$R$1993,0)),"-")</f>
        <v>-</v>
      </c>
      <c r="E916" s="2" t="str">
        <f>IFERROR(INDEX(Movimientos!$F$2:$F$1993,MATCH(A916&amp;"ENTRADA",Movimientos!$R$2:$R$1993,0)),"-")</f>
        <v>-</v>
      </c>
      <c r="F916" s="2" t="str">
        <f>IFERROR(INDEX(Movimientos!$G$2:$G$1993,MATCH(A916&amp;"ENTRADA",Movimientos!$R$2:$R$1993,0)),"-")</f>
        <v>-</v>
      </c>
      <c r="G916" s="2" t="str">
        <f>IFERROR(INDEX(Movimientos!$L$2:$L$1993,MATCH(A916&amp;"ENTRADA",Movimientos!$R$2:$R$1993,0)),"-")</f>
        <v>-</v>
      </c>
      <c r="H916" s="17" t="str">
        <f>IFERROR(IF(INDEX(Movimientos!$M$2:$M$1993,MATCH(A916&amp;"ENTRADA",Movimientos!$R$2:$R$1993,0))=0,"S/D",INDEX(Movimientos!$M$2:$M$1993,MATCH(A916&amp;"ENTRADA",Movimientos!$R$2:$R$1993,0))),"S/D")</f>
        <v>S/D</v>
      </c>
      <c r="I916" s="15" t="str">
        <f t="shared" ca="1" si="30"/>
        <v>S/D</v>
      </c>
      <c r="J916" s="5">
        <f>IF(A916="","",SUMIFS(Movimientos!$K:$K,Movimientos!$H:$H,A916))</f>
        <v>0</v>
      </c>
      <c r="K916" s="13" t="str">
        <f t="shared" ca="1" si="29"/>
        <v>SIN STOCK</v>
      </c>
    </row>
    <row r="917" spans="1:11">
      <c r="A917" s="16" t="s">
        <v>3222</v>
      </c>
      <c r="B917" s="2" t="str">
        <f>IFERROR(INDEX(Movimientos!$C$2:$C$1993,MATCH(A917&amp;"ENTRADA",Movimientos!$R$2:$R$1993,0)),"-")</f>
        <v>-</v>
      </c>
      <c r="C917" s="2" t="str">
        <f>IFERROR(INDEX(Movimientos!$D$2:$D$1993,MATCH(A917&amp;"ENTRADA",Movimientos!$R$2:$R$1993,0)),"-")</f>
        <v>-</v>
      </c>
      <c r="D917" s="2" t="str">
        <f>IFERROR(INDEX(Movimientos!$E$2:$E$1993,MATCH(A917&amp;"ENTRADA",Movimientos!$R$2:$R$1993,0)),"-")</f>
        <v>-</v>
      </c>
      <c r="E917" s="2" t="str">
        <f>IFERROR(INDEX(Movimientos!$F$2:$F$1993,MATCH(A917&amp;"ENTRADA",Movimientos!$R$2:$R$1993,0)),"-")</f>
        <v>-</v>
      </c>
      <c r="F917" s="2" t="str">
        <f>IFERROR(INDEX(Movimientos!$G$2:$G$1993,MATCH(A917&amp;"ENTRADA",Movimientos!$R$2:$R$1993,0)),"-")</f>
        <v>-</v>
      </c>
      <c r="G917" s="2" t="str">
        <f>IFERROR(INDEX(Movimientos!$L$2:$L$1993,MATCH(A917&amp;"ENTRADA",Movimientos!$R$2:$R$1993,0)),"-")</f>
        <v>-</v>
      </c>
      <c r="H917" s="17" t="str">
        <f>IFERROR(IF(INDEX(Movimientos!$M$2:$M$1993,MATCH(A917&amp;"ENTRADA",Movimientos!$R$2:$R$1993,0))=0,"S/D",INDEX(Movimientos!$M$2:$M$1993,MATCH(A917&amp;"ENTRADA",Movimientos!$R$2:$R$1993,0))),"S/D")</f>
        <v>S/D</v>
      </c>
      <c r="I917" s="15" t="str">
        <f t="shared" ca="1" si="30"/>
        <v>S/D</v>
      </c>
      <c r="J917" s="5">
        <f>IF(A917="","",SUMIFS(Movimientos!$K:$K,Movimientos!$H:$H,A917))</f>
        <v>0</v>
      </c>
      <c r="K917" s="13" t="str">
        <f t="shared" ca="1" si="29"/>
        <v>SIN STOCK</v>
      </c>
    </row>
    <row r="918" spans="1:11">
      <c r="A918" s="16" t="s">
        <v>3223</v>
      </c>
      <c r="B918" s="2" t="str">
        <f>IFERROR(INDEX(Movimientos!$C$2:$C$1993,MATCH(A918&amp;"ENTRADA",Movimientos!$R$2:$R$1993,0)),"-")</f>
        <v>-</v>
      </c>
      <c r="C918" s="2" t="str">
        <f>IFERROR(INDEX(Movimientos!$D$2:$D$1993,MATCH(A918&amp;"ENTRADA",Movimientos!$R$2:$R$1993,0)),"-")</f>
        <v>-</v>
      </c>
      <c r="D918" s="2" t="str">
        <f>IFERROR(INDEX(Movimientos!$E$2:$E$1993,MATCH(A918&amp;"ENTRADA",Movimientos!$R$2:$R$1993,0)),"-")</f>
        <v>-</v>
      </c>
      <c r="E918" s="2" t="str">
        <f>IFERROR(INDEX(Movimientos!$F$2:$F$1993,MATCH(A918&amp;"ENTRADA",Movimientos!$R$2:$R$1993,0)),"-")</f>
        <v>-</v>
      </c>
      <c r="F918" s="2" t="str">
        <f>IFERROR(INDEX(Movimientos!$G$2:$G$1993,MATCH(A918&amp;"ENTRADA",Movimientos!$R$2:$R$1993,0)),"-")</f>
        <v>-</v>
      </c>
      <c r="G918" s="2" t="str">
        <f>IFERROR(INDEX(Movimientos!$L$2:$L$1993,MATCH(A918&amp;"ENTRADA",Movimientos!$R$2:$R$1993,0)),"-")</f>
        <v>-</v>
      </c>
      <c r="H918" s="17" t="str">
        <f>IFERROR(IF(INDEX(Movimientos!$M$2:$M$1993,MATCH(A918&amp;"ENTRADA",Movimientos!$R$2:$R$1993,0))=0,"S/D",INDEX(Movimientos!$M$2:$M$1993,MATCH(A918&amp;"ENTRADA",Movimientos!$R$2:$R$1993,0))),"S/D")</f>
        <v>S/D</v>
      </c>
      <c r="I918" s="15" t="str">
        <f t="shared" ca="1" si="30"/>
        <v>S/D</v>
      </c>
      <c r="J918" s="5">
        <f>IF(A918="","",SUMIFS(Movimientos!$K:$K,Movimientos!$H:$H,A918))</f>
        <v>0</v>
      </c>
      <c r="K918" s="13" t="str">
        <f t="shared" ca="1" si="29"/>
        <v>SIN STOCK</v>
      </c>
    </row>
    <row r="919" spans="1:11">
      <c r="A919" s="16" t="s">
        <v>3224</v>
      </c>
      <c r="B919" s="2" t="str">
        <f>IFERROR(INDEX(Movimientos!$C$2:$C$1993,MATCH(A919&amp;"ENTRADA",Movimientos!$R$2:$R$1993,0)),"-")</f>
        <v>-</v>
      </c>
      <c r="C919" s="2" t="str">
        <f>IFERROR(INDEX(Movimientos!$D$2:$D$1993,MATCH(A919&amp;"ENTRADA",Movimientos!$R$2:$R$1993,0)),"-")</f>
        <v>-</v>
      </c>
      <c r="D919" s="2" t="str">
        <f>IFERROR(INDEX(Movimientos!$E$2:$E$1993,MATCH(A919&amp;"ENTRADA",Movimientos!$R$2:$R$1993,0)),"-")</f>
        <v>-</v>
      </c>
      <c r="E919" s="2" t="str">
        <f>IFERROR(INDEX(Movimientos!$F$2:$F$1993,MATCH(A919&amp;"ENTRADA",Movimientos!$R$2:$R$1993,0)),"-")</f>
        <v>-</v>
      </c>
      <c r="F919" s="2" t="str">
        <f>IFERROR(INDEX(Movimientos!$G$2:$G$1993,MATCH(A919&amp;"ENTRADA",Movimientos!$R$2:$R$1993,0)),"-")</f>
        <v>-</v>
      </c>
      <c r="G919" s="2" t="str">
        <f>IFERROR(INDEX(Movimientos!$L$2:$L$1993,MATCH(A919&amp;"ENTRADA",Movimientos!$R$2:$R$1993,0)),"-")</f>
        <v>-</v>
      </c>
      <c r="H919" s="17" t="str">
        <f>IFERROR(IF(INDEX(Movimientos!$M$2:$M$1993,MATCH(A919&amp;"ENTRADA",Movimientos!$R$2:$R$1993,0))=0,"S/D",INDEX(Movimientos!$M$2:$M$1993,MATCH(A919&amp;"ENTRADA",Movimientos!$R$2:$R$1993,0))),"S/D")</f>
        <v>S/D</v>
      </c>
      <c r="I919" s="15" t="str">
        <f t="shared" ca="1" si="30"/>
        <v>S/D</v>
      </c>
      <c r="J919" s="5">
        <f>IF(A919="","",SUMIFS(Movimientos!$K:$K,Movimientos!$H:$H,A919))</f>
        <v>0</v>
      </c>
      <c r="K919" s="13" t="str">
        <f t="shared" ca="1" si="29"/>
        <v>SIN STOCK</v>
      </c>
    </row>
    <row r="920" spans="1:11">
      <c r="A920" s="16" t="s">
        <v>3225</v>
      </c>
      <c r="B920" s="2" t="str">
        <f>IFERROR(INDEX(Movimientos!$C$2:$C$1993,MATCH(A920&amp;"ENTRADA",Movimientos!$R$2:$R$1993,0)),"-")</f>
        <v>-</v>
      </c>
      <c r="C920" s="2" t="str">
        <f>IFERROR(INDEX(Movimientos!$D$2:$D$1993,MATCH(A920&amp;"ENTRADA",Movimientos!$R$2:$R$1993,0)),"-")</f>
        <v>-</v>
      </c>
      <c r="D920" s="2" t="str">
        <f>IFERROR(INDEX(Movimientos!$E$2:$E$1993,MATCH(A920&amp;"ENTRADA",Movimientos!$R$2:$R$1993,0)),"-")</f>
        <v>-</v>
      </c>
      <c r="E920" s="2" t="str">
        <f>IFERROR(INDEX(Movimientos!$F$2:$F$1993,MATCH(A920&amp;"ENTRADA",Movimientos!$R$2:$R$1993,0)),"-")</f>
        <v>-</v>
      </c>
      <c r="F920" s="2" t="str">
        <f>IFERROR(INDEX(Movimientos!$G$2:$G$1993,MATCH(A920&amp;"ENTRADA",Movimientos!$R$2:$R$1993,0)),"-")</f>
        <v>-</v>
      </c>
      <c r="G920" s="2" t="str">
        <f>IFERROR(INDEX(Movimientos!$L$2:$L$1993,MATCH(A920&amp;"ENTRADA",Movimientos!$R$2:$R$1993,0)),"-")</f>
        <v>-</v>
      </c>
      <c r="H920" s="17" t="str">
        <f>IFERROR(IF(INDEX(Movimientos!$M$2:$M$1993,MATCH(A920&amp;"ENTRADA",Movimientos!$R$2:$R$1993,0))=0,"S/D",INDEX(Movimientos!$M$2:$M$1993,MATCH(A920&amp;"ENTRADA",Movimientos!$R$2:$R$1993,0))),"S/D")</f>
        <v>S/D</v>
      </c>
      <c r="I920" s="15" t="str">
        <f t="shared" ca="1" si="30"/>
        <v>S/D</v>
      </c>
      <c r="J920" s="5">
        <f>IF(A920="","",SUMIFS(Movimientos!$K:$K,Movimientos!$H:$H,A920))</f>
        <v>0</v>
      </c>
      <c r="K920" s="13" t="str">
        <f t="shared" ca="1" si="29"/>
        <v>SIN STOCK</v>
      </c>
    </row>
    <row r="921" spans="1:11">
      <c r="A921" s="16" t="s">
        <v>3226</v>
      </c>
      <c r="B921" s="2" t="str">
        <f>IFERROR(INDEX(Movimientos!$C$2:$C$1993,MATCH(A921&amp;"ENTRADA",Movimientos!$R$2:$R$1993,0)),"-")</f>
        <v>-</v>
      </c>
      <c r="C921" s="2" t="str">
        <f>IFERROR(INDEX(Movimientos!$D$2:$D$1993,MATCH(A921&amp;"ENTRADA",Movimientos!$R$2:$R$1993,0)),"-")</f>
        <v>-</v>
      </c>
      <c r="D921" s="2" t="str">
        <f>IFERROR(INDEX(Movimientos!$E$2:$E$1993,MATCH(A921&amp;"ENTRADA",Movimientos!$R$2:$R$1993,0)),"-")</f>
        <v>-</v>
      </c>
      <c r="E921" s="2" t="str">
        <f>IFERROR(INDEX(Movimientos!$F$2:$F$1993,MATCH(A921&amp;"ENTRADA",Movimientos!$R$2:$R$1993,0)),"-")</f>
        <v>-</v>
      </c>
      <c r="F921" s="2" t="str">
        <f>IFERROR(INDEX(Movimientos!$G$2:$G$1993,MATCH(A921&amp;"ENTRADA",Movimientos!$R$2:$R$1993,0)),"-")</f>
        <v>-</v>
      </c>
      <c r="G921" s="2" t="str">
        <f>IFERROR(INDEX(Movimientos!$L$2:$L$1993,MATCH(A921&amp;"ENTRADA",Movimientos!$R$2:$R$1993,0)),"-")</f>
        <v>-</v>
      </c>
      <c r="H921" s="17" t="str">
        <f>IFERROR(IF(INDEX(Movimientos!$M$2:$M$1993,MATCH(A921&amp;"ENTRADA",Movimientos!$R$2:$R$1993,0))=0,"S/D",INDEX(Movimientos!$M$2:$M$1993,MATCH(A921&amp;"ENTRADA",Movimientos!$R$2:$R$1993,0))),"S/D")</f>
        <v>S/D</v>
      </c>
      <c r="I921" s="15" t="str">
        <f t="shared" ca="1" si="30"/>
        <v>S/D</v>
      </c>
      <c r="J921" s="5">
        <f>IF(A921="","",SUMIFS(Movimientos!$K:$K,Movimientos!$H:$H,A921))</f>
        <v>0</v>
      </c>
      <c r="K921" s="13" t="str">
        <f t="shared" ca="1" si="29"/>
        <v>SIN STOCK</v>
      </c>
    </row>
    <row r="922" spans="1:11">
      <c r="A922" s="16" t="s">
        <v>3227</v>
      </c>
      <c r="B922" s="2" t="str">
        <f>IFERROR(INDEX(Movimientos!$C$2:$C$1993,MATCH(A922&amp;"ENTRADA",Movimientos!$R$2:$R$1993,0)),"-")</f>
        <v>-</v>
      </c>
      <c r="C922" s="2" t="str">
        <f>IFERROR(INDEX(Movimientos!$D$2:$D$1993,MATCH(A922&amp;"ENTRADA",Movimientos!$R$2:$R$1993,0)),"-")</f>
        <v>-</v>
      </c>
      <c r="D922" s="2" t="str">
        <f>IFERROR(INDEX(Movimientos!$E$2:$E$1993,MATCH(A922&amp;"ENTRADA",Movimientos!$R$2:$R$1993,0)),"-")</f>
        <v>-</v>
      </c>
      <c r="E922" s="2" t="str">
        <f>IFERROR(INDEX(Movimientos!$F$2:$F$1993,MATCH(A922&amp;"ENTRADA",Movimientos!$R$2:$R$1993,0)),"-")</f>
        <v>-</v>
      </c>
      <c r="F922" s="2" t="str">
        <f>IFERROR(INDEX(Movimientos!$G$2:$G$1993,MATCH(A922&amp;"ENTRADA",Movimientos!$R$2:$R$1993,0)),"-")</f>
        <v>-</v>
      </c>
      <c r="G922" s="2" t="str">
        <f>IFERROR(INDEX(Movimientos!$L$2:$L$1993,MATCH(A922&amp;"ENTRADA",Movimientos!$R$2:$R$1993,0)),"-")</f>
        <v>-</v>
      </c>
      <c r="H922" s="17" t="str">
        <f>IFERROR(IF(INDEX(Movimientos!$M$2:$M$1993,MATCH(A922&amp;"ENTRADA",Movimientos!$R$2:$R$1993,0))=0,"S/D",INDEX(Movimientos!$M$2:$M$1993,MATCH(A922&amp;"ENTRADA",Movimientos!$R$2:$R$1993,0))),"S/D")</f>
        <v>S/D</v>
      </c>
      <c r="I922" s="15" t="str">
        <f t="shared" ca="1" si="30"/>
        <v>S/D</v>
      </c>
      <c r="J922" s="5">
        <f>IF(A922="","",SUMIFS(Movimientos!$K:$K,Movimientos!$H:$H,A922))</f>
        <v>0</v>
      </c>
      <c r="K922" s="13" t="str">
        <f t="shared" ca="1" si="29"/>
        <v>SIN STOCK</v>
      </c>
    </row>
    <row r="923" spans="1:11">
      <c r="A923" s="16" t="s">
        <v>3228</v>
      </c>
      <c r="B923" s="2" t="str">
        <f>IFERROR(INDEX(Movimientos!$C$2:$C$1993,MATCH(A923&amp;"ENTRADA",Movimientos!$R$2:$R$1993,0)),"-")</f>
        <v>-</v>
      </c>
      <c r="C923" s="2" t="str">
        <f>IFERROR(INDEX(Movimientos!$D$2:$D$1993,MATCH(A923&amp;"ENTRADA",Movimientos!$R$2:$R$1993,0)),"-")</f>
        <v>-</v>
      </c>
      <c r="D923" s="2" t="str">
        <f>IFERROR(INDEX(Movimientos!$E$2:$E$1993,MATCH(A923&amp;"ENTRADA",Movimientos!$R$2:$R$1993,0)),"-")</f>
        <v>-</v>
      </c>
      <c r="E923" s="2" t="str">
        <f>IFERROR(INDEX(Movimientos!$F$2:$F$1993,MATCH(A923&amp;"ENTRADA",Movimientos!$R$2:$R$1993,0)),"-")</f>
        <v>-</v>
      </c>
      <c r="F923" s="2" t="str">
        <f>IFERROR(INDEX(Movimientos!$G$2:$G$1993,MATCH(A923&amp;"ENTRADA",Movimientos!$R$2:$R$1993,0)),"-")</f>
        <v>-</v>
      </c>
      <c r="G923" s="2" t="str">
        <f>IFERROR(INDEX(Movimientos!$L$2:$L$1993,MATCH(A923&amp;"ENTRADA",Movimientos!$R$2:$R$1993,0)),"-")</f>
        <v>-</v>
      </c>
      <c r="H923" s="17" t="str">
        <f>IFERROR(IF(INDEX(Movimientos!$M$2:$M$1993,MATCH(A923&amp;"ENTRADA",Movimientos!$R$2:$R$1993,0))=0,"S/D",INDEX(Movimientos!$M$2:$M$1993,MATCH(A923&amp;"ENTRADA",Movimientos!$R$2:$R$1993,0))),"S/D")</f>
        <v>S/D</v>
      </c>
      <c r="I923" s="15" t="str">
        <f t="shared" ca="1" si="30"/>
        <v>S/D</v>
      </c>
      <c r="J923" s="5">
        <f>IF(A923="","",SUMIFS(Movimientos!$K:$K,Movimientos!$H:$H,A923))</f>
        <v>0</v>
      </c>
      <c r="K923" s="13" t="str">
        <f t="shared" ca="1" si="29"/>
        <v>SIN STOCK</v>
      </c>
    </row>
    <row r="924" spans="1:11">
      <c r="A924" s="16" t="s">
        <v>3229</v>
      </c>
      <c r="B924" s="2" t="str">
        <f>IFERROR(INDEX(Movimientos!$C$2:$C$1993,MATCH(A924&amp;"ENTRADA",Movimientos!$R$2:$R$1993,0)),"-")</f>
        <v>-</v>
      </c>
      <c r="C924" s="2" t="str">
        <f>IFERROR(INDEX(Movimientos!$D$2:$D$1993,MATCH(A924&amp;"ENTRADA",Movimientos!$R$2:$R$1993,0)),"-")</f>
        <v>-</v>
      </c>
      <c r="D924" s="2" t="str">
        <f>IFERROR(INDEX(Movimientos!$E$2:$E$1993,MATCH(A924&amp;"ENTRADA",Movimientos!$R$2:$R$1993,0)),"-")</f>
        <v>-</v>
      </c>
      <c r="E924" s="2" t="str">
        <f>IFERROR(INDEX(Movimientos!$F$2:$F$1993,MATCH(A924&amp;"ENTRADA",Movimientos!$R$2:$R$1993,0)),"-")</f>
        <v>-</v>
      </c>
      <c r="F924" s="2" t="str">
        <f>IFERROR(INDEX(Movimientos!$G$2:$G$1993,MATCH(A924&amp;"ENTRADA",Movimientos!$R$2:$R$1993,0)),"-")</f>
        <v>-</v>
      </c>
      <c r="G924" s="2" t="str">
        <f>IFERROR(INDEX(Movimientos!$L$2:$L$1993,MATCH(A924&amp;"ENTRADA",Movimientos!$R$2:$R$1993,0)),"-")</f>
        <v>-</v>
      </c>
      <c r="H924" s="17" t="str">
        <f>IFERROR(IF(INDEX(Movimientos!$M$2:$M$1993,MATCH(A924&amp;"ENTRADA",Movimientos!$R$2:$R$1993,0))=0,"S/D",INDEX(Movimientos!$M$2:$M$1993,MATCH(A924&amp;"ENTRADA",Movimientos!$R$2:$R$1993,0))),"S/D")</f>
        <v>S/D</v>
      </c>
      <c r="I924" s="15" t="str">
        <f t="shared" ca="1" si="30"/>
        <v>S/D</v>
      </c>
      <c r="J924" s="5">
        <f>IF(A924="","",SUMIFS(Movimientos!$K:$K,Movimientos!$H:$H,A924))</f>
        <v>0</v>
      </c>
      <c r="K924" s="13" t="str">
        <f t="shared" ca="1" si="29"/>
        <v>SIN STOCK</v>
      </c>
    </row>
    <row r="925" spans="1:11">
      <c r="A925" s="16" t="s">
        <v>3230</v>
      </c>
      <c r="B925" s="2" t="str">
        <f>IFERROR(INDEX(Movimientos!$C$2:$C$1993,MATCH(A925&amp;"ENTRADA",Movimientos!$R$2:$R$1993,0)),"-")</f>
        <v>-</v>
      </c>
      <c r="C925" s="2" t="str">
        <f>IFERROR(INDEX(Movimientos!$D$2:$D$1993,MATCH(A925&amp;"ENTRADA",Movimientos!$R$2:$R$1993,0)),"-")</f>
        <v>-</v>
      </c>
      <c r="D925" s="2" t="str">
        <f>IFERROR(INDEX(Movimientos!$E$2:$E$1993,MATCH(A925&amp;"ENTRADA",Movimientos!$R$2:$R$1993,0)),"-")</f>
        <v>-</v>
      </c>
      <c r="E925" s="2" t="str">
        <f>IFERROR(INDEX(Movimientos!$F$2:$F$1993,MATCH(A925&amp;"ENTRADA",Movimientos!$R$2:$R$1993,0)),"-")</f>
        <v>-</v>
      </c>
      <c r="F925" s="2" t="str">
        <f>IFERROR(INDEX(Movimientos!$G$2:$G$1993,MATCH(A925&amp;"ENTRADA",Movimientos!$R$2:$R$1993,0)),"-")</f>
        <v>-</v>
      </c>
      <c r="G925" s="2" t="str">
        <f>IFERROR(INDEX(Movimientos!$L$2:$L$1993,MATCH(A925&amp;"ENTRADA",Movimientos!$R$2:$R$1993,0)),"-")</f>
        <v>-</v>
      </c>
      <c r="H925" s="17" t="str">
        <f>IFERROR(IF(INDEX(Movimientos!$M$2:$M$1993,MATCH(A925&amp;"ENTRADA",Movimientos!$R$2:$R$1993,0))=0,"S/D",INDEX(Movimientos!$M$2:$M$1993,MATCH(A925&amp;"ENTRADA",Movimientos!$R$2:$R$1993,0))),"S/D")</f>
        <v>S/D</v>
      </c>
      <c r="I925" s="15" t="str">
        <f t="shared" ca="1" si="30"/>
        <v>S/D</v>
      </c>
      <c r="J925" s="5">
        <f>IF(A925="","",SUMIFS(Movimientos!$K:$K,Movimientos!$H:$H,A925))</f>
        <v>0</v>
      </c>
      <c r="K925" s="13" t="str">
        <f t="shared" ca="1" si="29"/>
        <v>SIN STOCK</v>
      </c>
    </row>
    <row r="926" spans="1:11">
      <c r="A926" s="16" t="s">
        <v>3231</v>
      </c>
      <c r="B926" s="2" t="str">
        <f>IFERROR(INDEX(Movimientos!$C$2:$C$1993,MATCH(A926&amp;"ENTRADA",Movimientos!$R$2:$R$1993,0)),"-")</f>
        <v>-</v>
      </c>
      <c r="C926" s="2" t="str">
        <f>IFERROR(INDEX(Movimientos!$D$2:$D$1993,MATCH(A926&amp;"ENTRADA",Movimientos!$R$2:$R$1993,0)),"-")</f>
        <v>-</v>
      </c>
      <c r="D926" s="2" t="str">
        <f>IFERROR(INDEX(Movimientos!$E$2:$E$1993,MATCH(A926&amp;"ENTRADA",Movimientos!$R$2:$R$1993,0)),"-")</f>
        <v>-</v>
      </c>
      <c r="E926" s="2" t="str">
        <f>IFERROR(INDEX(Movimientos!$F$2:$F$1993,MATCH(A926&amp;"ENTRADA",Movimientos!$R$2:$R$1993,0)),"-")</f>
        <v>-</v>
      </c>
      <c r="F926" s="2" t="str">
        <f>IFERROR(INDEX(Movimientos!$G$2:$G$1993,MATCH(A926&amp;"ENTRADA",Movimientos!$R$2:$R$1993,0)),"-")</f>
        <v>-</v>
      </c>
      <c r="G926" s="2" t="str">
        <f>IFERROR(INDEX(Movimientos!$L$2:$L$1993,MATCH(A926&amp;"ENTRADA",Movimientos!$R$2:$R$1993,0)),"-")</f>
        <v>-</v>
      </c>
      <c r="H926" s="17" t="str">
        <f>IFERROR(IF(INDEX(Movimientos!$M$2:$M$1993,MATCH(A926&amp;"ENTRADA",Movimientos!$R$2:$R$1993,0))=0,"S/D",INDEX(Movimientos!$M$2:$M$1993,MATCH(A926&amp;"ENTRADA",Movimientos!$R$2:$R$1993,0))),"S/D")</f>
        <v>S/D</v>
      </c>
      <c r="I926" s="15" t="str">
        <f t="shared" ca="1" si="30"/>
        <v>S/D</v>
      </c>
      <c r="J926" s="5">
        <f>IF(A926="","",SUMIFS(Movimientos!$K:$K,Movimientos!$H:$H,A926))</f>
        <v>0</v>
      </c>
      <c r="K926" s="13" t="str">
        <f t="shared" ca="1" si="29"/>
        <v>SIN STOCK</v>
      </c>
    </row>
    <row r="927" spans="1:11">
      <c r="A927" s="16" t="s">
        <v>3232</v>
      </c>
      <c r="B927" s="2" t="str">
        <f>IFERROR(INDEX(Movimientos!$C$2:$C$1993,MATCH(A927&amp;"ENTRADA",Movimientos!$R$2:$R$1993,0)),"-")</f>
        <v>-</v>
      </c>
      <c r="C927" s="2" t="str">
        <f>IFERROR(INDEX(Movimientos!$D$2:$D$1993,MATCH(A927&amp;"ENTRADA",Movimientos!$R$2:$R$1993,0)),"-")</f>
        <v>-</v>
      </c>
      <c r="D927" s="2" t="str">
        <f>IFERROR(INDEX(Movimientos!$E$2:$E$1993,MATCH(A927&amp;"ENTRADA",Movimientos!$R$2:$R$1993,0)),"-")</f>
        <v>-</v>
      </c>
      <c r="E927" s="2" t="str">
        <f>IFERROR(INDEX(Movimientos!$F$2:$F$1993,MATCH(A927&amp;"ENTRADA",Movimientos!$R$2:$R$1993,0)),"-")</f>
        <v>-</v>
      </c>
      <c r="F927" s="2" t="str">
        <f>IFERROR(INDEX(Movimientos!$G$2:$G$1993,MATCH(A927&amp;"ENTRADA",Movimientos!$R$2:$R$1993,0)),"-")</f>
        <v>-</v>
      </c>
      <c r="G927" s="2" t="str">
        <f>IFERROR(INDEX(Movimientos!$L$2:$L$1993,MATCH(A927&amp;"ENTRADA",Movimientos!$R$2:$R$1993,0)),"-")</f>
        <v>-</v>
      </c>
      <c r="H927" s="17" t="str">
        <f>IFERROR(IF(INDEX(Movimientos!$M$2:$M$1993,MATCH(A927&amp;"ENTRADA",Movimientos!$R$2:$R$1993,0))=0,"S/D",INDEX(Movimientos!$M$2:$M$1993,MATCH(A927&amp;"ENTRADA",Movimientos!$R$2:$R$1993,0))),"S/D")</f>
        <v>S/D</v>
      </c>
      <c r="I927" s="15" t="str">
        <f t="shared" ca="1" si="30"/>
        <v>S/D</v>
      </c>
      <c r="J927" s="5">
        <f>IF(A927="","",SUMIFS(Movimientos!$K:$K,Movimientos!$H:$H,A927))</f>
        <v>0</v>
      </c>
      <c r="K927" s="13" t="str">
        <f t="shared" ca="1" si="29"/>
        <v>SIN STOCK</v>
      </c>
    </row>
    <row r="928" spans="1:11">
      <c r="A928" s="16" t="s">
        <v>3233</v>
      </c>
      <c r="B928" s="2" t="str">
        <f>IFERROR(INDEX(Movimientos!$C$2:$C$1993,MATCH(A928&amp;"ENTRADA",Movimientos!$R$2:$R$1993,0)),"-")</f>
        <v>-</v>
      </c>
      <c r="C928" s="2" t="str">
        <f>IFERROR(INDEX(Movimientos!$D$2:$D$1993,MATCH(A928&amp;"ENTRADA",Movimientos!$R$2:$R$1993,0)),"-")</f>
        <v>-</v>
      </c>
      <c r="D928" s="2" t="str">
        <f>IFERROR(INDEX(Movimientos!$E$2:$E$1993,MATCH(A928&amp;"ENTRADA",Movimientos!$R$2:$R$1993,0)),"-")</f>
        <v>-</v>
      </c>
      <c r="E928" s="2" t="str">
        <f>IFERROR(INDEX(Movimientos!$F$2:$F$1993,MATCH(A928&amp;"ENTRADA",Movimientos!$R$2:$R$1993,0)),"-")</f>
        <v>-</v>
      </c>
      <c r="F928" s="2" t="str">
        <f>IFERROR(INDEX(Movimientos!$G$2:$G$1993,MATCH(A928&amp;"ENTRADA",Movimientos!$R$2:$R$1993,0)),"-")</f>
        <v>-</v>
      </c>
      <c r="G928" s="2" t="str">
        <f>IFERROR(INDEX(Movimientos!$L$2:$L$1993,MATCH(A928&amp;"ENTRADA",Movimientos!$R$2:$R$1993,0)),"-")</f>
        <v>-</v>
      </c>
      <c r="H928" s="17" t="str">
        <f>IFERROR(IF(INDEX(Movimientos!$M$2:$M$1993,MATCH(A928&amp;"ENTRADA",Movimientos!$R$2:$R$1993,0))=0,"S/D",INDEX(Movimientos!$M$2:$M$1993,MATCH(A928&amp;"ENTRADA",Movimientos!$R$2:$R$1993,0))),"S/D")</f>
        <v>S/D</v>
      </c>
      <c r="I928" s="15" t="str">
        <f t="shared" ca="1" si="30"/>
        <v>S/D</v>
      </c>
      <c r="J928" s="5">
        <f>IF(A928="","",SUMIFS(Movimientos!$K:$K,Movimientos!$H:$H,A928))</f>
        <v>0</v>
      </c>
      <c r="K928" s="13" t="str">
        <f t="shared" ca="1" si="29"/>
        <v>SIN STOCK</v>
      </c>
    </row>
    <row r="929" spans="1:11">
      <c r="A929" s="16" t="s">
        <v>3234</v>
      </c>
      <c r="B929" s="2" t="str">
        <f>IFERROR(INDEX(Movimientos!$C$2:$C$1993,MATCH(A929&amp;"ENTRADA",Movimientos!$R$2:$R$1993,0)),"-")</f>
        <v>-</v>
      </c>
      <c r="C929" s="2" t="str">
        <f>IFERROR(INDEX(Movimientos!$D$2:$D$1993,MATCH(A929&amp;"ENTRADA",Movimientos!$R$2:$R$1993,0)),"-")</f>
        <v>-</v>
      </c>
      <c r="D929" s="2" t="str">
        <f>IFERROR(INDEX(Movimientos!$E$2:$E$1993,MATCH(A929&amp;"ENTRADA",Movimientos!$R$2:$R$1993,0)),"-")</f>
        <v>-</v>
      </c>
      <c r="E929" s="2" t="str">
        <f>IFERROR(INDEX(Movimientos!$F$2:$F$1993,MATCH(A929&amp;"ENTRADA",Movimientos!$R$2:$R$1993,0)),"-")</f>
        <v>-</v>
      </c>
      <c r="F929" s="2" t="str">
        <f>IFERROR(INDEX(Movimientos!$G$2:$G$1993,MATCH(A929&amp;"ENTRADA",Movimientos!$R$2:$R$1993,0)),"-")</f>
        <v>-</v>
      </c>
      <c r="G929" s="2" t="str">
        <f>IFERROR(INDEX(Movimientos!$L$2:$L$1993,MATCH(A929&amp;"ENTRADA",Movimientos!$R$2:$R$1993,0)),"-")</f>
        <v>-</v>
      </c>
      <c r="H929" s="17" t="str">
        <f>IFERROR(IF(INDEX(Movimientos!$M$2:$M$1993,MATCH(A929&amp;"ENTRADA",Movimientos!$R$2:$R$1993,0))=0,"S/D",INDEX(Movimientos!$M$2:$M$1993,MATCH(A929&amp;"ENTRADA",Movimientos!$R$2:$R$1993,0))),"S/D")</f>
        <v>S/D</v>
      </c>
      <c r="I929" s="15" t="str">
        <f t="shared" ca="1" si="30"/>
        <v>S/D</v>
      </c>
      <c r="J929" s="5">
        <f>IF(A929="","",SUMIFS(Movimientos!$K:$K,Movimientos!$H:$H,A929))</f>
        <v>0</v>
      </c>
      <c r="K929" s="13" t="str">
        <f t="shared" ca="1" si="29"/>
        <v>SIN STOCK</v>
      </c>
    </row>
    <row r="930" spans="1:11">
      <c r="A930" s="16" t="s">
        <v>3235</v>
      </c>
      <c r="B930" s="2" t="str">
        <f>IFERROR(INDEX(Movimientos!$C$2:$C$1993,MATCH(A930&amp;"ENTRADA",Movimientos!$R$2:$R$1993,0)),"-")</f>
        <v>-</v>
      </c>
      <c r="C930" s="2" t="str">
        <f>IFERROR(INDEX(Movimientos!$D$2:$D$1993,MATCH(A930&amp;"ENTRADA",Movimientos!$R$2:$R$1993,0)),"-")</f>
        <v>-</v>
      </c>
      <c r="D930" s="2" t="str">
        <f>IFERROR(INDEX(Movimientos!$E$2:$E$1993,MATCH(A930&amp;"ENTRADA",Movimientos!$R$2:$R$1993,0)),"-")</f>
        <v>-</v>
      </c>
      <c r="E930" s="2" t="str">
        <f>IFERROR(INDEX(Movimientos!$F$2:$F$1993,MATCH(A930&amp;"ENTRADA",Movimientos!$R$2:$R$1993,0)),"-")</f>
        <v>-</v>
      </c>
      <c r="F930" s="2" t="str">
        <f>IFERROR(INDEX(Movimientos!$G$2:$G$1993,MATCH(A930&amp;"ENTRADA",Movimientos!$R$2:$R$1993,0)),"-")</f>
        <v>-</v>
      </c>
      <c r="G930" s="2" t="str">
        <f>IFERROR(INDEX(Movimientos!$L$2:$L$1993,MATCH(A930&amp;"ENTRADA",Movimientos!$R$2:$R$1993,0)),"-")</f>
        <v>-</v>
      </c>
      <c r="H930" s="17" t="str">
        <f>IFERROR(IF(INDEX(Movimientos!$M$2:$M$1993,MATCH(A930&amp;"ENTRADA",Movimientos!$R$2:$R$1993,0))=0,"S/D",INDEX(Movimientos!$M$2:$M$1993,MATCH(A930&amp;"ENTRADA",Movimientos!$R$2:$R$1993,0))),"S/D")</f>
        <v>S/D</v>
      </c>
      <c r="I930" s="15" t="str">
        <f t="shared" ca="1" si="30"/>
        <v>S/D</v>
      </c>
      <c r="J930" s="5">
        <f>IF(A930="","",SUMIFS(Movimientos!$K:$K,Movimientos!$H:$H,A930))</f>
        <v>0</v>
      </c>
      <c r="K930" s="13" t="str">
        <f t="shared" ca="1" si="29"/>
        <v>SIN STOCK</v>
      </c>
    </row>
    <row r="931" spans="1:11">
      <c r="A931" s="16" t="s">
        <v>3236</v>
      </c>
      <c r="B931" s="2" t="str">
        <f>IFERROR(INDEX(Movimientos!$C$2:$C$1993,MATCH(A931&amp;"ENTRADA",Movimientos!$R$2:$R$1993,0)),"-")</f>
        <v>-</v>
      </c>
      <c r="C931" s="2" t="str">
        <f>IFERROR(INDEX(Movimientos!$D$2:$D$1993,MATCH(A931&amp;"ENTRADA",Movimientos!$R$2:$R$1993,0)),"-")</f>
        <v>-</v>
      </c>
      <c r="D931" s="2" t="str">
        <f>IFERROR(INDEX(Movimientos!$E$2:$E$1993,MATCH(A931&amp;"ENTRADA",Movimientos!$R$2:$R$1993,0)),"-")</f>
        <v>-</v>
      </c>
      <c r="E931" s="2" t="str">
        <f>IFERROR(INDEX(Movimientos!$F$2:$F$1993,MATCH(A931&amp;"ENTRADA",Movimientos!$R$2:$R$1993,0)),"-")</f>
        <v>-</v>
      </c>
      <c r="F931" s="2" t="str">
        <f>IFERROR(INDEX(Movimientos!$G$2:$G$1993,MATCH(A931&amp;"ENTRADA",Movimientos!$R$2:$R$1993,0)),"-")</f>
        <v>-</v>
      </c>
      <c r="G931" s="2" t="str">
        <f>IFERROR(INDEX(Movimientos!$L$2:$L$1993,MATCH(A931&amp;"ENTRADA",Movimientos!$R$2:$R$1993,0)),"-")</f>
        <v>-</v>
      </c>
      <c r="H931" s="17" t="str">
        <f>IFERROR(IF(INDEX(Movimientos!$M$2:$M$1993,MATCH(A931&amp;"ENTRADA",Movimientos!$R$2:$R$1993,0))=0,"S/D",INDEX(Movimientos!$M$2:$M$1993,MATCH(A931&amp;"ENTRADA",Movimientos!$R$2:$R$1993,0))),"S/D")</f>
        <v>S/D</v>
      </c>
      <c r="I931" s="15" t="str">
        <f t="shared" ca="1" si="30"/>
        <v>S/D</v>
      </c>
      <c r="J931" s="5">
        <f>IF(A931="","",SUMIFS(Movimientos!$K:$K,Movimientos!$H:$H,A931))</f>
        <v>0</v>
      </c>
      <c r="K931" s="13" t="str">
        <f t="shared" ca="1" si="29"/>
        <v>SIN STOCK</v>
      </c>
    </row>
    <row r="932" spans="1:11">
      <c r="A932" s="16" t="s">
        <v>3237</v>
      </c>
      <c r="B932" s="2" t="str">
        <f>IFERROR(INDEX(Movimientos!$C$2:$C$1993,MATCH(A932&amp;"ENTRADA",Movimientos!$R$2:$R$1993,0)),"-")</f>
        <v>-</v>
      </c>
      <c r="C932" s="2" t="str">
        <f>IFERROR(INDEX(Movimientos!$D$2:$D$1993,MATCH(A932&amp;"ENTRADA",Movimientos!$R$2:$R$1993,0)),"-")</f>
        <v>-</v>
      </c>
      <c r="D932" s="2" t="str">
        <f>IFERROR(INDEX(Movimientos!$E$2:$E$1993,MATCH(A932&amp;"ENTRADA",Movimientos!$R$2:$R$1993,0)),"-")</f>
        <v>-</v>
      </c>
      <c r="E932" s="2" t="str">
        <f>IFERROR(INDEX(Movimientos!$F$2:$F$1993,MATCH(A932&amp;"ENTRADA",Movimientos!$R$2:$R$1993,0)),"-")</f>
        <v>-</v>
      </c>
      <c r="F932" s="2" t="str">
        <f>IFERROR(INDEX(Movimientos!$G$2:$G$1993,MATCH(A932&amp;"ENTRADA",Movimientos!$R$2:$R$1993,0)),"-")</f>
        <v>-</v>
      </c>
      <c r="G932" s="2" t="str">
        <f>IFERROR(INDEX(Movimientos!$L$2:$L$1993,MATCH(A932&amp;"ENTRADA",Movimientos!$R$2:$R$1993,0)),"-")</f>
        <v>-</v>
      </c>
      <c r="H932" s="17" t="str">
        <f>IFERROR(IF(INDEX(Movimientos!$M$2:$M$1993,MATCH(A932&amp;"ENTRADA",Movimientos!$R$2:$R$1993,0))=0,"S/D",INDEX(Movimientos!$M$2:$M$1993,MATCH(A932&amp;"ENTRADA",Movimientos!$R$2:$R$1993,0))),"S/D")</f>
        <v>S/D</v>
      </c>
      <c r="I932" s="15" t="str">
        <f t="shared" ca="1" si="30"/>
        <v>S/D</v>
      </c>
      <c r="J932" s="5">
        <f>IF(A932="","",SUMIFS(Movimientos!$K:$K,Movimientos!$H:$H,A932))</f>
        <v>0</v>
      </c>
      <c r="K932" s="13" t="str">
        <f t="shared" ca="1" si="29"/>
        <v>SIN STOCK</v>
      </c>
    </row>
    <row r="933" spans="1:11">
      <c r="A933" s="16" t="s">
        <v>3238</v>
      </c>
      <c r="B933" s="2" t="str">
        <f>IFERROR(INDEX(Movimientos!$C$2:$C$1993,MATCH(A933&amp;"ENTRADA",Movimientos!$R$2:$R$1993,0)),"-")</f>
        <v>-</v>
      </c>
      <c r="C933" s="2" t="str">
        <f>IFERROR(INDEX(Movimientos!$D$2:$D$1993,MATCH(A933&amp;"ENTRADA",Movimientos!$R$2:$R$1993,0)),"-")</f>
        <v>-</v>
      </c>
      <c r="D933" s="2" t="str">
        <f>IFERROR(INDEX(Movimientos!$E$2:$E$1993,MATCH(A933&amp;"ENTRADA",Movimientos!$R$2:$R$1993,0)),"-")</f>
        <v>-</v>
      </c>
      <c r="E933" s="2" t="str">
        <f>IFERROR(INDEX(Movimientos!$F$2:$F$1993,MATCH(A933&amp;"ENTRADA",Movimientos!$R$2:$R$1993,0)),"-")</f>
        <v>-</v>
      </c>
      <c r="F933" s="2" t="str">
        <f>IFERROR(INDEX(Movimientos!$G$2:$G$1993,MATCH(A933&amp;"ENTRADA",Movimientos!$R$2:$R$1993,0)),"-")</f>
        <v>-</v>
      </c>
      <c r="G933" s="2" t="str">
        <f>IFERROR(INDEX(Movimientos!$L$2:$L$1993,MATCH(A933&amp;"ENTRADA",Movimientos!$R$2:$R$1993,0)),"-")</f>
        <v>-</v>
      </c>
      <c r="H933" s="17" t="str">
        <f>IFERROR(IF(INDEX(Movimientos!$M$2:$M$1993,MATCH(A933&amp;"ENTRADA",Movimientos!$R$2:$R$1993,0))=0,"S/D",INDEX(Movimientos!$M$2:$M$1993,MATCH(A933&amp;"ENTRADA",Movimientos!$R$2:$R$1993,0))),"S/D")</f>
        <v>S/D</v>
      </c>
      <c r="I933" s="15" t="str">
        <f t="shared" ca="1" si="30"/>
        <v>S/D</v>
      </c>
      <c r="J933" s="5">
        <f>IF(A933="","",SUMIFS(Movimientos!$K:$K,Movimientos!$H:$H,A933))</f>
        <v>0</v>
      </c>
      <c r="K933" s="13" t="str">
        <f t="shared" ca="1" si="29"/>
        <v>SIN STOCK</v>
      </c>
    </row>
    <row r="934" spans="1:11">
      <c r="A934" s="16" t="s">
        <v>3239</v>
      </c>
      <c r="B934" s="2" t="str">
        <f>IFERROR(INDEX(Movimientos!$C$2:$C$1993,MATCH(A934&amp;"ENTRADA",Movimientos!$R$2:$R$1993,0)),"-")</f>
        <v>-</v>
      </c>
      <c r="C934" s="2" t="str">
        <f>IFERROR(INDEX(Movimientos!$D$2:$D$1993,MATCH(A934&amp;"ENTRADA",Movimientos!$R$2:$R$1993,0)),"-")</f>
        <v>-</v>
      </c>
      <c r="D934" s="2" t="str">
        <f>IFERROR(INDEX(Movimientos!$E$2:$E$1993,MATCH(A934&amp;"ENTRADA",Movimientos!$R$2:$R$1993,0)),"-")</f>
        <v>-</v>
      </c>
      <c r="E934" s="2" t="str">
        <f>IFERROR(INDEX(Movimientos!$F$2:$F$1993,MATCH(A934&amp;"ENTRADA",Movimientos!$R$2:$R$1993,0)),"-")</f>
        <v>-</v>
      </c>
      <c r="F934" s="2" t="str">
        <f>IFERROR(INDEX(Movimientos!$G$2:$G$1993,MATCH(A934&amp;"ENTRADA",Movimientos!$R$2:$R$1993,0)),"-")</f>
        <v>-</v>
      </c>
      <c r="G934" s="2" t="str">
        <f>IFERROR(INDEX(Movimientos!$L$2:$L$1993,MATCH(A934&amp;"ENTRADA",Movimientos!$R$2:$R$1993,0)),"-")</f>
        <v>-</v>
      </c>
      <c r="H934" s="17" t="str">
        <f>IFERROR(IF(INDEX(Movimientos!$M$2:$M$1993,MATCH(A934&amp;"ENTRADA",Movimientos!$R$2:$R$1993,0))=0,"S/D",INDEX(Movimientos!$M$2:$M$1993,MATCH(A934&amp;"ENTRADA",Movimientos!$R$2:$R$1993,0))),"S/D")</f>
        <v>S/D</v>
      </c>
      <c r="I934" s="15" t="str">
        <f t="shared" ca="1" si="30"/>
        <v>S/D</v>
      </c>
      <c r="J934" s="5">
        <f>IF(A934="","",SUMIFS(Movimientos!$K:$K,Movimientos!$H:$H,A934))</f>
        <v>0</v>
      </c>
      <c r="K934" s="13" t="str">
        <f t="shared" ca="1" si="29"/>
        <v>SIN STOCK</v>
      </c>
    </row>
    <row r="935" spans="1:11">
      <c r="A935" s="16" t="s">
        <v>3240</v>
      </c>
      <c r="B935" s="2" t="str">
        <f>IFERROR(INDEX(Movimientos!$C$2:$C$1993,MATCH(A935&amp;"ENTRADA",Movimientos!$R$2:$R$1993,0)),"-")</f>
        <v>-</v>
      </c>
      <c r="C935" s="2" t="str">
        <f>IFERROR(INDEX(Movimientos!$D$2:$D$1993,MATCH(A935&amp;"ENTRADA",Movimientos!$R$2:$R$1993,0)),"-")</f>
        <v>-</v>
      </c>
      <c r="D935" s="2" t="str">
        <f>IFERROR(INDEX(Movimientos!$E$2:$E$1993,MATCH(A935&amp;"ENTRADA",Movimientos!$R$2:$R$1993,0)),"-")</f>
        <v>-</v>
      </c>
      <c r="E935" s="2" t="str">
        <f>IFERROR(INDEX(Movimientos!$F$2:$F$1993,MATCH(A935&amp;"ENTRADA",Movimientos!$R$2:$R$1993,0)),"-")</f>
        <v>-</v>
      </c>
      <c r="F935" s="2" t="str">
        <f>IFERROR(INDEX(Movimientos!$G$2:$G$1993,MATCH(A935&amp;"ENTRADA",Movimientos!$R$2:$R$1993,0)),"-")</f>
        <v>-</v>
      </c>
      <c r="G935" s="2" t="str">
        <f>IFERROR(INDEX(Movimientos!$L$2:$L$1993,MATCH(A935&amp;"ENTRADA",Movimientos!$R$2:$R$1993,0)),"-")</f>
        <v>-</v>
      </c>
      <c r="H935" s="17" t="str">
        <f>IFERROR(IF(INDEX(Movimientos!$M$2:$M$1993,MATCH(A935&amp;"ENTRADA",Movimientos!$R$2:$R$1993,0))=0,"S/D",INDEX(Movimientos!$M$2:$M$1993,MATCH(A935&amp;"ENTRADA",Movimientos!$R$2:$R$1993,0))),"S/D")</f>
        <v>S/D</v>
      </c>
      <c r="I935" s="15" t="str">
        <f t="shared" ca="1" si="30"/>
        <v>S/D</v>
      </c>
      <c r="J935" s="5">
        <f>IF(A935="","",SUMIFS(Movimientos!$K:$K,Movimientos!$H:$H,A935))</f>
        <v>0</v>
      </c>
      <c r="K935" s="13" t="str">
        <f t="shared" ca="1" si="29"/>
        <v>SIN STOCK</v>
      </c>
    </row>
    <row r="936" spans="1:11">
      <c r="A936" s="16" t="s">
        <v>3241</v>
      </c>
      <c r="B936" s="2" t="str">
        <f>IFERROR(INDEX(Movimientos!$C$2:$C$1993,MATCH(A936&amp;"ENTRADA",Movimientos!$R$2:$R$1993,0)),"-")</f>
        <v>-</v>
      </c>
      <c r="C936" s="2" t="str">
        <f>IFERROR(INDEX(Movimientos!$D$2:$D$1993,MATCH(A936&amp;"ENTRADA",Movimientos!$R$2:$R$1993,0)),"-")</f>
        <v>-</v>
      </c>
      <c r="D936" s="2" t="str">
        <f>IFERROR(INDEX(Movimientos!$E$2:$E$1993,MATCH(A936&amp;"ENTRADA",Movimientos!$R$2:$R$1993,0)),"-")</f>
        <v>-</v>
      </c>
      <c r="E936" s="2" t="str">
        <f>IFERROR(INDEX(Movimientos!$F$2:$F$1993,MATCH(A936&amp;"ENTRADA",Movimientos!$R$2:$R$1993,0)),"-")</f>
        <v>-</v>
      </c>
      <c r="F936" s="2" t="str">
        <f>IFERROR(INDEX(Movimientos!$G$2:$G$1993,MATCH(A936&amp;"ENTRADA",Movimientos!$R$2:$R$1993,0)),"-")</f>
        <v>-</v>
      </c>
      <c r="G936" s="2" t="str">
        <f>IFERROR(INDEX(Movimientos!$L$2:$L$1993,MATCH(A936&amp;"ENTRADA",Movimientos!$R$2:$R$1993,0)),"-")</f>
        <v>-</v>
      </c>
      <c r="H936" s="17" t="str">
        <f>IFERROR(IF(INDEX(Movimientos!$M$2:$M$1993,MATCH(A936&amp;"ENTRADA",Movimientos!$R$2:$R$1993,0))=0,"S/D",INDEX(Movimientos!$M$2:$M$1993,MATCH(A936&amp;"ENTRADA",Movimientos!$R$2:$R$1993,0))),"S/D")</f>
        <v>S/D</v>
      </c>
      <c r="I936" s="15" t="str">
        <f t="shared" ca="1" si="30"/>
        <v>S/D</v>
      </c>
      <c r="J936" s="5">
        <f>IF(A936="","",SUMIFS(Movimientos!$K:$K,Movimientos!$H:$H,A936))</f>
        <v>0</v>
      </c>
      <c r="K936" s="13" t="str">
        <f t="shared" ca="1" si="29"/>
        <v>SIN STOCK</v>
      </c>
    </row>
    <row r="937" spans="1:11">
      <c r="A937" s="16" t="s">
        <v>3242</v>
      </c>
      <c r="B937" s="2" t="str">
        <f>IFERROR(INDEX(Movimientos!$C$2:$C$1993,MATCH(A937&amp;"ENTRADA",Movimientos!$R$2:$R$1993,0)),"-")</f>
        <v>-</v>
      </c>
      <c r="C937" s="2" t="str">
        <f>IFERROR(INDEX(Movimientos!$D$2:$D$1993,MATCH(A937&amp;"ENTRADA",Movimientos!$R$2:$R$1993,0)),"-")</f>
        <v>-</v>
      </c>
      <c r="D937" s="2" t="str">
        <f>IFERROR(INDEX(Movimientos!$E$2:$E$1993,MATCH(A937&amp;"ENTRADA",Movimientos!$R$2:$R$1993,0)),"-")</f>
        <v>-</v>
      </c>
      <c r="E937" s="2" t="str">
        <f>IFERROR(INDEX(Movimientos!$F$2:$F$1993,MATCH(A937&amp;"ENTRADA",Movimientos!$R$2:$R$1993,0)),"-")</f>
        <v>-</v>
      </c>
      <c r="F937" s="2" t="str">
        <f>IFERROR(INDEX(Movimientos!$G$2:$G$1993,MATCH(A937&amp;"ENTRADA",Movimientos!$R$2:$R$1993,0)),"-")</f>
        <v>-</v>
      </c>
      <c r="G937" s="2" t="str">
        <f>IFERROR(INDEX(Movimientos!$L$2:$L$1993,MATCH(A937&amp;"ENTRADA",Movimientos!$R$2:$R$1993,0)),"-")</f>
        <v>-</v>
      </c>
      <c r="H937" s="17" t="str">
        <f>IFERROR(IF(INDEX(Movimientos!$M$2:$M$1993,MATCH(A937&amp;"ENTRADA",Movimientos!$R$2:$R$1993,0))=0,"S/D",INDEX(Movimientos!$M$2:$M$1993,MATCH(A937&amp;"ENTRADA",Movimientos!$R$2:$R$1993,0))),"S/D")</f>
        <v>S/D</v>
      </c>
      <c r="I937" s="15" t="str">
        <f t="shared" ca="1" si="30"/>
        <v>S/D</v>
      </c>
      <c r="J937" s="5">
        <f>IF(A937="","",SUMIFS(Movimientos!$K:$K,Movimientos!$H:$H,A937))</f>
        <v>0</v>
      </c>
      <c r="K937" s="13" t="str">
        <f t="shared" ca="1" si="29"/>
        <v>SIN STOCK</v>
      </c>
    </row>
    <row r="938" spans="1:11">
      <c r="A938" s="16" t="s">
        <v>3243</v>
      </c>
      <c r="B938" s="2" t="str">
        <f>IFERROR(INDEX(Movimientos!$C$2:$C$1993,MATCH(A938&amp;"ENTRADA",Movimientos!$R$2:$R$1993,0)),"-")</f>
        <v>-</v>
      </c>
      <c r="C938" s="2" t="str">
        <f>IFERROR(INDEX(Movimientos!$D$2:$D$1993,MATCH(A938&amp;"ENTRADA",Movimientos!$R$2:$R$1993,0)),"-")</f>
        <v>-</v>
      </c>
      <c r="D938" s="2" t="str">
        <f>IFERROR(INDEX(Movimientos!$E$2:$E$1993,MATCH(A938&amp;"ENTRADA",Movimientos!$R$2:$R$1993,0)),"-")</f>
        <v>-</v>
      </c>
      <c r="E938" s="2" t="str">
        <f>IFERROR(INDEX(Movimientos!$F$2:$F$1993,MATCH(A938&amp;"ENTRADA",Movimientos!$R$2:$R$1993,0)),"-")</f>
        <v>-</v>
      </c>
      <c r="F938" s="2" t="str">
        <f>IFERROR(INDEX(Movimientos!$G$2:$G$1993,MATCH(A938&amp;"ENTRADA",Movimientos!$R$2:$R$1993,0)),"-")</f>
        <v>-</v>
      </c>
      <c r="G938" s="2" t="str">
        <f>IFERROR(INDEX(Movimientos!$L$2:$L$1993,MATCH(A938&amp;"ENTRADA",Movimientos!$R$2:$R$1993,0)),"-")</f>
        <v>-</v>
      </c>
      <c r="H938" s="17" t="str">
        <f>IFERROR(IF(INDEX(Movimientos!$M$2:$M$1993,MATCH(A938&amp;"ENTRADA",Movimientos!$R$2:$R$1993,0))=0,"S/D",INDEX(Movimientos!$M$2:$M$1993,MATCH(A938&amp;"ENTRADA",Movimientos!$R$2:$R$1993,0))),"S/D")</f>
        <v>S/D</v>
      </c>
      <c r="I938" s="15" t="str">
        <f t="shared" ca="1" si="30"/>
        <v>S/D</v>
      </c>
      <c r="J938" s="5">
        <f>IF(A938="","",SUMIFS(Movimientos!$K:$K,Movimientos!$H:$H,A938))</f>
        <v>0</v>
      </c>
      <c r="K938" s="13" t="str">
        <f t="shared" ca="1" si="29"/>
        <v>SIN STOCK</v>
      </c>
    </row>
    <row r="939" spans="1:11">
      <c r="A939" s="16" t="s">
        <v>3244</v>
      </c>
      <c r="B939" s="2" t="str">
        <f>IFERROR(INDEX(Movimientos!$C$2:$C$1993,MATCH(A939&amp;"ENTRADA",Movimientos!$R$2:$R$1993,0)),"-")</f>
        <v>-</v>
      </c>
      <c r="C939" s="2" t="str">
        <f>IFERROR(INDEX(Movimientos!$D$2:$D$1993,MATCH(A939&amp;"ENTRADA",Movimientos!$R$2:$R$1993,0)),"-")</f>
        <v>-</v>
      </c>
      <c r="D939" s="2" t="str">
        <f>IFERROR(INDEX(Movimientos!$E$2:$E$1993,MATCH(A939&amp;"ENTRADA",Movimientos!$R$2:$R$1993,0)),"-")</f>
        <v>-</v>
      </c>
      <c r="E939" s="2" t="str">
        <f>IFERROR(INDEX(Movimientos!$F$2:$F$1993,MATCH(A939&amp;"ENTRADA",Movimientos!$R$2:$R$1993,0)),"-")</f>
        <v>-</v>
      </c>
      <c r="F939" s="2" t="str">
        <f>IFERROR(INDEX(Movimientos!$G$2:$G$1993,MATCH(A939&amp;"ENTRADA",Movimientos!$R$2:$R$1993,0)),"-")</f>
        <v>-</v>
      </c>
      <c r="G939" s="2" t="str">
        <f>IFERROR(INDEX(Movimientos!$L$2:$L$1993,MATCH(A939&amp;"ENTRADA",Movimientos!$R$2:$R$1993,0)),"-")</f>
        <v>-</v>
      </c>
      <c r="H939" s="17" t="str">
        <f>IFERROR(IF(INDEX(Movimientos!$M$2:$M$1993,MATCH(A939&amp;"ENTRADA",Movimientos!$R$2:$R$1993,0))=0,"S/D",INDEX(Movimientos!$M$2:$M$1993,MATCH(A939&amp;"ENTRADA",Movimientos!$R$2:$R$1993,0))),"S/D")</f>
        <v>S/D</v>
      </c>
      <c r="I939" s="15" t="str">
        <f t="shared" ca="1" si="30"/>
        <v>S/D</v>
      </c>
      <c r="J939" s="5">
        <f>IF(A939="","",SUMIFS(Movimientos!$K:$K,Movimientos!$H:$H,A939))</f>
        <v>0</v>
      </c>
      <c r="K939" s="13" t="str">
        <f t="shared" ca="1" si="29"/>
        <v>SIN STOCK</v>
      </c>
    </row>
    <row r="940" spans="1:11">
      <c r="A940" s="16" t="s">
        <v>3245</v>
      </c>
      <c r="B940" s="2" t="str">
        <f>IFERROR(INDEX(Movimientos!$C$2:$C$1993,MATCH(A940&amp;"ENTRADA",Movimientos!$R$2:$R$1993,0)),"-")</f>
        <v>-</v>
      </c>
      <c r="C940" s="2" t="str">
        <f>IFERROR(INDEX(Movimientos!$D$2:$D$1993,MATCH(A940&amp;"ENTRADA",Movimientos!$R$2:$R$1993,0)),"-")</f>
        <v>-</v>
      </c>
      <c r="D940" s="2" t="str">
        <f>IFERROR(INDEX(Movimientos!$E$2:$E$1993,MATCH(A940&amp;"ENTRADA",Movimientos!$R$2:$R$1993,0)),"-")</f>
        <v>-</v>
      </c>
      <c r="E940" s="2" t="str">
        <f>IFERROR(INDEX(Movimientos!$F$2:$F$1993,MATCH(A940&amp;"ENTRADA",Movimientos!$R$2:$R$1993,0)),"-")</f>
        <v>-</v>
      </c>
      <c r="F940" s="2" t="str">
        <f>IFERROR(INDEX(Movimientos!$G$2:$G$1993,MATCH(A940&amp;"ENTRADA",Movimientos!$R$2:$R$1993,0)),"-")</f>
        <v>-</v>
      </c>
      <c r="G940" s="2" t="str">
        <f>IFERROR(INDEX(Movimientos!$L$2:$L$1993,MATCH(A940&amp;"ENTRADA",Movimientos!$R$2:$R$1993,0)),"-")</f>
        <v>-</v>
      </c>
      <c r="H940" s="17" t="str">
        <f>IFERROR(IF(INDEX(Movimientos!$M$2:$M$1993,MATCH(A940&amp;"ENTRADA",Movimientos!$R$2:$R$1993,0))=0,"S/D",INDEX(Movimientos!$M$2:$M$1993,MATCH(A940&amp;"ENTRADA",Movimientos!$R$2:$R$1993,0))),"S/D")</f>
        <v>S/D</v>
      </c>
      <c r="I940" s="15" t="str">
        <f t="shared" ca="1" si="30"/>
        <v>S/D</v>
      </c>
      <c r="J940" s="5">
        <f>IF(A940="","",SUMIFS(Movimientos!$K:$K,Movimientos!$H:$H,A940))</f>
        <v>0</v>
      </c>
      <c r="K940" s="13" t="str">
        <f t="shared" ca="1" si="29"/>
        <v>SIN STOCK</v>
      </c>
    </row>
    <row r="941" spans="1:11">
      <c r="A941" s="16" t="s">
        <v>3246</v>
      </c>
      <c r="B941" s="2" t="str">
        <f>IFERROR(INDEX(Movimientos!$C$2:$C$1993,MATCH(A941&amp;"ENTRADA",Movimientos!$R$2:$R$1993,0)),"-")</f>
        <v>-</v>
      </c>
      <c r="C941" s="2" t="str">
        <f>IFERROR(INDEX(Movimientos!$D$2:$D$1993,MATCH(A941&amp;"ENTRADA",Movimientos!$R$2:$R$1993,0)),"-")</f>
        <v>-</v>
      </c>
      <c r="D941" s="2" t="str">
        <f>IFERROR(INDEX(Movimientos!$E$2:$E$1993,MATCH(A941&amp;"ENTRADA",Movimientos!$R$2:$R$1993,0)),"-")</f>
        <v>-</v>
      </c>
      <c r="E941" s="2" t="str">
        <f>IFERROR(INDEX(Movimientos!$F$2:$F$1993,MATCH(A941&amp;"ENTRADA",Movimientos!$R$2:$R$1993,0)),"-")</f>
        <v>-</v>
      </c>
      <c r="F941" s="2" t="str">
        <f>IFERROR(INDEX(Movimientos!$G$2:$G$1993,MATCH(A941&amp;"ENTRADA",Movimientos!$R$2:$R$1993,0)),"-")</f>
        <v>-</v>
      </c>
      <c r="G941" s="2" t="str">
        <f>IFERROR(INDEX(Movimientos!$L$2:$L$1993,MATCH(A941&amp;"ENTRADA",Movimientos!$R$2:$R$1993,0)),"-")</f>
        <v>-</v>
      </c>
      <c r="H941" s="17" t="str">
        <f>IFERROR(IF(INDEX(Movimientos!$M$2:$M$1993,MATCH(A941&amp;"ENTRADA",Movimientos!$R$2:$R$1993,0))=0,"S/D",INDEX(Movimientos!$M$2:$M$1993,MATCH(A941&amp;"ENTRADA",Movimientos!$R$2:$R$1993,0))),"S/D")</f>
        <v>S/D</v>
      </c>
      <c r="I941" s="15" t="str">
        <f t="shared" ca="1" si="30"/>
        <v>S/D</v>
      </c>
      <c r="J941" s="5">
        <f>IF(A941="","",SUMIFS(Movimientos!$K:$K,Movimientos!$H:$H,A941))</f>
        <v>0</v>
      </c>
      <c r="K941" s="13" t="str">
        <f t="shared" ca="1" si="29"/>
        <v>SIN STOCK</v>
      </c>
    </row>
    <row r="942" spans="1:11">
      <c r="A942" s="16" t="s">
        <v>3247</v>
      </c>
      <c r="B942" s="2" t="str">
        <f>IFERROR(INDEX(Movimientos!$C$2:$C$1993,MATCH(A942&amp;"ENTRADA",Movimientos!$R$2:$R$1993,0)),"-")</f>
        <v>-</v>
      </c>
      <c r="C942" s="2" t="str">
        <f>IFERROR(INDEX(Movimientos!$D$2:$D$1993,MATCH(A942&amp;"ENTRADA",Movimientos!$R$2:$R$1993,0)),"-")</f>
        <v>-</v>
      </c>
      <c r="D942" s="2" t="str">
        <f>IFERROR(INDEX(Movimientos!$E$2:$E$1993,MATCH(A942&amp;"ENTRADA",Movimientos!$R$2:$R$1993,0)),"-")</f>
        <v>-</v>
      </c>
      <c r="E942" s="2" t="str">
        <f>IFERROR(INDEX(Movimientos!$F$2:$F$1993,MATCH(A942&amp;"ENTRADA",Movimientos!$R$2:$R$1993,0)),"-")</f>
        <v>-</v>
      </c>
      <c r="F942" s="2" t="str">
        <f>IFERROR(INDEX(Movimientos!$G$2:$G$1993,MATCH(A942&amp;"ENTRADA",Movimientos!$R$2:$R$1993,0)),"-")</f>
        <v>-</v>
      </c>
      <c r="G942" s="2" t="str">
        <f>IFERROR(INDEX(Movimientos!$L$2:$L$1993,MATCH(A942&amp;"ENTRADA",Movimientos!$R$2:$R$1993,0)),"-")</f>
        <v>-</v>
      </c>
      <c r="H942" s="17" t="str">
        <f>IFERROR(IF(INDEX(Movimientos!$M$2:$M$1993,MATCH(A942&amp;"ENTRADA",Movimientos!$R$2:$R$1993,0))=0,"S/D",INDEX(Movimientos!$M$2:$M$1993,MATCH(A942&amp;"ENTRADA",Movimientos!$R$2:$R$1993,0))),"S/D")</f>
        <v>S/D</v>
      </c>
      <c r="I942" s="15" t="str">
        <f t="shared" ca="1" si="30"/>
        <v>S/D</v>
      </c>
      <c r="J942" s="5">
        <f>IF(A942="","",SUMIFS(Movimientos!$K:$K,Movimientos!$H:$H,A942))</f>
        <v>0</v>
      </c>
      <c r="K942" s="13" t="str">
        <f t="shared" ca="1" si="29"/>
        <v>SIN STOCK</v>
      </c>
    </row>
    <row r="943" spans="1:11">
      <c r="A943" s="16" t="s">
        <v>3248</v>
      </c>
      <c r="B943" s="2" t="str">
        <f>IFERROR(INDEX(Movimientos!$C$2:$C$1993,MATCH(A943&amp;"ENTRADA",Movimientos!$R$2:$R$1993,0)),"-")</f>
        <v>-</v>
      </c>
      <c r="C943" s="2" t="str">
        <f>IFERROR(INDEX(Movimientos!$D$2:$D$1993,MATCH(A943&amp;"ENTRADA",Movimientos!$R$2:$R$1993,0)),"-")</f>
        <v>-</v>
      </c>
      <c r="D943" s="2" t="str">
        <f>IFERROR(INDEX(Movimientos!$E$2:$E$1993,MATCH(A943&amp;"ENTRADA",Movimientos!$R$2:$R$1993,0)),"-")</f>
        <v>-</v>
      </c>
      <c r="E943" s="2" t="str">
        <f>IFERROR(INDEX(Movimientos!$F$2:$F$1993,MATCH(A943&amp;"ENTRADA",Movimientos!$R$2:$R$1993,0)),"-")</f>
        <v>-</v>
      </c>
      <c r="F943" s="2" t="str">
        <f>IFERROR(INDEX(Movimientos!$G$2:$G$1993,MATCH(A943&amp;"ENTRADA",Movimientos!$R$2:$R$1993,0)),"-")</f>
        <v>-</v>
      </c>
      <c r="G943" s="2" t="str">
        <f>IFERROR(INDEX(Movimientos!$L$2:$L$1993,MATCH(A943&amp;"ENTRADA",Movimientos!$R$2:$R$1993,0)),"-")</f>
        <v>-</v>
      </c>
      <c r="H943" s="17" t="str">
        <f>IFERROR(IF(INDEX(Movimientos!$M$2:$M$1993,MATCH(A943&amp;"ENTRADA",Movimientos!$R$2:$R$1993,0))=0,"S/D",INDEX(Movimientos!$M$2:$M$1993,MATCH(A943&amp;"ENTRADA",Movimientos!$R$2:$R$1993,0))),"S/D")</f>
        <v>S/D</v>
      </c>
      <c r="I943" s="15" t="str">
        <f t="shared" ca="1" si="30"/>
        <v>S/D</v>
      </c>
      <c r="J943" s="5">
        <f>IF(A943="","",SUMIFS(Movimientos!$K:$K,Movimientos!$H:$H,A943))</f>
        <v>0</v>
      </c>
      <c r="K943" s="13" t="str">
        <f t="shared" ca="1" si="29"/>
        <v>SIN STOCK</v>
      </c>
    </row>
    <row r="944" spans="1:11">
      <c r="A944" s="16" t="s">
        <v>3249</v>
      </c>
      <c r="B944" s="2" t="str">
        <f>IFERROR(INDEX(Movimientos!$C$2:$C$1993,MATCH(A944&amp;"ENTRADA",Movimientos!$R$2:$R$1993,0)),"-")</f>
        <v>-</v>
      </c>
      <c r="C944" s="2" t="str">
        <f>IFERROR(INDEX(Movimientos!$D$2:$D$1993,MATCH(A944&amp;"ENTRADA",Movimientos!$R$2:$R$1993,0)),"-")</f>
        <v>-</v>
      </c>
      <c r="D944" s="2" t="str">
        <f>IFERROR(INDEX(Movimientos!$E$2:$E$1993,MATCH(A944&amp;"ENTRADA",Movimientos!$R$2:$R$1993,0)),"-")</f>
        <v>-</v>
      </c>
      <c r="E944" s="2" t="str">
        <f>IFERROR(INDEX(Movimientos!$F$2:$F$1993,MATCH(A944&amp;"ENTRADA",Movimientos!$R$2:$R$1993,0)),"-")</f>
        <v>-</v>
      </c>
      <c r="F944" s="2" t="str">
        <f>IFERROR(INDEX(Movimientos!$G$2:$G$1993,MATCH(A944&amp;"ENTRADA",Movimientos!$R$2:$R$1993,0)),"-")</f>
        <v>-</v>
      </c>
      <c r="G944" s="2" t="str">
        <f>IFERROR(INDEX(Movimientos!$L$2:$L$1993,MATCH(A944&amp;"ENTRADA",Movimientos!$R$2:$R$1993,0)),"-")</f>
        <v>-</v>
      </c>
      <c r="H944" s="17" t="str">
        <f>IFERROR(IF(INDEX(Movimientos!$M$2:$M$1993,MATCH(A944&amp;"ENTRADA",Movimientos!$R$2:$R$1993,0))=0,"S/D",INDEX(Movimientos!$M$2:$M$1993,MATCH(A944&amp;"ENTRADA",Movimientos!$R$2:$R$1993,0))),"S/D")</f>
        <v>S/D</v>
      </c>
      <c r="I944" s="15" t="str">
        <f t="shared" ca="1" si="30"/>
        <v>S/D</v>
      </c>
      <c r="J944" s="5">
        <f>IF(A944="","",SUMIFS(Movimientos!$K:$K,Movimientos!$H:$H,A944))</f>
        <v>0</v>
      </c>
      <c r="K944" s="13" t="str">
        <f t="shared" ca="1" si="29"/>
        <v>SIN STOCK</v>
      </c>
    </row>
    <row r="945" spans="1:11">
      <c r="A945" s="16" t="s">
        <v>3250</v>
      </c>
      <c r="B945" s="2" t="str">
        <f>IFERROR(INDEX(Movimientos!$C$2:$C$1993,MATCH(A945&amp;"ENTRADA",Movimientos!$R$2:$R$1993,0)),"-")</f>
        <v>-</v>
      </c>
      <c r="C945" s="2" t="str">
        <f>IFERROR(INDEX(Movimientos!$D$2:$D$1993,MATCH(A945&amp;"ENTRADA",Movimientos!$R$2:$R$1993,0)),"-")</f>
        <v>-</v>
      </c>
      <c r="D945" s="2" t="str">
        <f>IFERROR(INDEX(Movimientos!$E$2:$E$1993,MATCH(A945&amp;"ENTRADA",Movimientos!$R$2:$R$1993,0)),"-")</f>
        <v>-</v>
      </c>
      <c r="E945" s="2" t="str">
        <f>IFERROR(INDEX(Movimientos!$F$2:$F$1993,MATCH(A945&amp;"ENTRADA",Movimientos!$R$2:$R$1993,0)),"-")</f>
        <v>-</v>
      </c>
      <c r="F945" s="2" t="str">
        <f>IFERROR(INDEX(Movimientos!$G$2:$G$1993,MATCH(A945&amp;"ENTRADA",Movimientos!$R$2:$R$1993,0)),"-")</f>
        <v>-</v>
      </c>
      <c r="G945" s="2" t="str">
        <f>IFERROR(INDEX(Movimientos!$L$2:$L$1993,MATCH(A945&amp;"ENTRADA",Movimientos!$R$2:$R$1993,0)),"-")</f>
        <v>-</v>
      </c>
      <c r="H945" s="17" t="str">
        <f>IFERROR(IF(INDEX(Movimientos!$M$2:$M$1993,MATCH(A945&amp;"ENTRADA",Movimientos!$R$2:$R$1993,0))=0,"S/D",INDEX(Movimientos!$M$2:$M$1993,MATCH(A945&amp;"ENTRADA",Movimientos!$R$2:$R$1993,0))),"S/D")</f>
        <v>S/D</v>
      </c>
      <c r="I945" s="15" t="str">
        <f t="shared" ca="1" si="30"/>
        <v>S/D</v>
      </c>
      <c r="J945" s="5">
        <f>IF(A945="","",SUMIFS(Movimientos!$K:$K,Movimientos!$H:$H,A945))</f>
        <v>0</v>
      </c>
      <c r="K945" s="13" t="str">
        <f t="shared" ca="1" si="29"/>
        <v>SIN STOCK</v>
      </c>
    </row>
    <row r="946" spans="1:11">
      <c r="A946" s="16" t="s">
        <v>3251</v>
      </c>
      <c r="B946" s="2" t="str">
        <f>IFERROR(INDEX(Movimientos!$C$2:$C$1993,MATCH(A946&amp;"ENTRADA",Movimientos!$R$2:$R$1993,0)),"-")</f>
        <v>-</v>
      </c>
      <c r="C946" s="2" t="str">
        <f>IFERROR(INDEX(Movimientos!$D$2:$D$1993,MATCH(A946&amp;"ENTRADA",Movimientos!$R$2:$R$1993,0)),"-")</f>
        <v>-</v>
      </c>
      <c r="D946" s="2" t="str">
        <f>IFERROR(INDEX(Movimientos!$E$2:$E$1993,MATCH(A946&amp;"ENTRADA",Movimientos!$R$2:$R$1993,0)),"-")</f>
        <v>-</v>
      </c>
      <c r="E946" s="2" t="str">
        <f>IFERROR(INDEX(Movimientos!$F$2:$F$1993,MATCH(A946&amp;"ENTRADA",Movimientos!$R$2:$R$1993,0)),"-")</f>
        <v>-</v>
      </c>
      <c r="F946" s="2" t="str">
        <f>IFERROR(INDEX(Movimientos!$G$2:$G$1993,MATCH(A946&amp;"ENTRADA",Movimientos!$R$2:$R$1993,0)),"-")</f>
        <v>-</v>
      </c>
      <c r="G946" s="2" t="str">
        <f>IFERROR(INDEX(Movimientos!$L$2:$L$1993,MATCH(A946&amp;"ENTRADA",Movimientos!$R$2:$R$1993,0)),"-")</f>
        <v>-</v>
      </c>
      <c r="H946" s="17" t="str">
        <f>IFERROR(IF(INDEX(Movimientos!$M$2:$M$1993,MATCH(A946&amp;"ENTRADA",Movimientos!$R$2:$R$1993,0))=0,"S/D",INDEX(Movimientos!$M$2:$M$1993,MATCH(A946&amp;"ENTRADA",Movimientos!$R$2:$R$1993,0))),"S/D")</f>
        <v>S/D</v>
      </c>
      <c r="I946" s="15" t="str">
        <f t="shared" ca="1" si="30"/>
        <v>S/D</v>
      </c>
      <c r="J946" s="5">
        <f>IF(A946="","",SUMIFS(Movimientos!$K:$K,Movimientos!$H:$H,A946))</f>
        <v>0</v>
      </c>
      <c r="K946" s="13" t="str">
        <f t="shared" ca="1" si="29"/>
        <v>SIN STOCK</v>
      </c>
    </row>
    <row r="947" spans="1:11">
      <c r="A947" s="16" t="s">
        <v>3252</v>
      </c>
      <c r="B947" s="2" t="str">
        <f>IFERROR(INDEX(Movimientos!$C$2:$C$1993,MATCH(A947&amp;"ENTRADA",Movimientos!$R$2:$R$1993,0)),"-")</f>
        <v>-</v>
      </c>
      <c r="C947" s="2" t="str">
        <f>IFERROR(INDEX(Movimientos!$D$2:$D$1993,MATCH(A947&amp;"ENTRADA",Movimientos!$R$2:$R$1993,0)),"-")</f>
        <v>-</v>
      </c>
      <c r="D947" s="2" t="str">
        <f>IFERROR(INDEX(Movimientos!$E$2:$E$1993,MATCH(A947&amp;"ENTRADA",Movimientos!$R$2:$R$1993,0)),"-")</f>
        <v>-</v>
      </c>
      <c r="E947" s="2" t="str">
        <f>IFERROR(INDEX(Movimientos!$F$2:$F$1993,MATCH(A947&amp;"ENTRADA",Movimientos!$R$2:$R$1993,0)),"-")</f>
        <v>-</v>
      </c>
      <c r="F947" s="2" t="str">
        <f>IFERROR(INDEX(Movimientos!$G$2:$G$1993,MATCH(A947&amp;"ENTRADA",Movimientos!$R$2:$R$1993,0)),"-")</f>
        <v>-</v>
      </c>
      <c r="G947" s="2" t="str">
        <f>IFERROR(INDEX(Movimientos!$L$2:$L$1993,MATCH(A947&amp;"ENTRADA",Movimientos!$R$2:$R$1993,0)),"-")</f>
        <v>-</v>
      </c>
      <c r="H947" s="17" t="str">
        <f>IFERROR(IF(INDEX(Movimientos!$M$2:$M$1993,MATCH(A947&amp;"ENTRADA",Movimientos!$R$2:$R$1993,0))=0,"S/D",INDEX(Movimientos!$M$2:$M$1993,MATCH(A947&amp;"ENTRADA",Movimientos!$R$2:$R$1993,0))),"S/D")</f>
        <v>S/D</v>
      </c>
      <c r="I947" s="15" t="str">
        <f t="shared" ca="1" si="30"/>
        <v>S/D</v>
      </c>
      <c r="J947" s="5">
        <f>IF(A947="","",SUMIFS(Movimientos!$K:$K,Movimientos!$H:$H,A947))</f>
        <v>0</v>
      </c>
      <c r="K947" s="13" t="str">
        <f t="shared" ca="1" si="29"/>
        <v>SIN STOCK</v>
      </c>
    </row>
    <row r="948" spans="1:11">
      <c r="A948" s="16" t="s">
        <v>3253</v>
      </c>
      <c r="B948" s="2" t="str">
        <f>IFERROR(INDEX(Movimientos!$C$2:$C$1993,MATCH(A948&amp;"ENTRADA",Movimientos!$R$2:$R$1993,0)),"-")</f>
        <v>-</v>
      </c>
      <c r="C948" s="2" t="str">
        <f>IFERROR(INDEX(Movimientos!$D$2:$D$1993,MATCH(A948&amp;"ENTRADA",Movimientos!$R$2:$R$1993,0)),"-")</f>
        <v>-</v>
      </c>
      <c r="D948" s="2" t="str">
        <f>IFERROR(INDEX(Movimientos!$E$2:$E$1993,MATCH(A948&amp;"ENTRADA",Movimientos!$R$2:$R$1993,0)),"-")</f>
        <v>-</v>
      </c>
      <c r="E948" s="2" t="str">
        <f>IFERROR(INDEX(Movimientos!$F$2:$F$1993,MATCH(A948&amp;"ENTRADA",Movimientos!$R$2:$R$1993,0)),"-")</f>
        <v>-</v>
      </c>
      <c r="F948" s="2" t="str">
        <f>IFERROR(INDEX(Movimientos!$G$2:$G$1993,MATCH(A948&amp;"ENTRADA",Movimientos!$R$2:$R$1993,0)),"-")</f>
        <v>-</v>
      </c>
      <c r="G948" s="2" t="str">
        <f>IFERROR(INDEX(Movimientos!$L$2:$L$1993,MATCH(A948&amp;"ENTRADA",Movimientos!$R$2:$R$1993,0)),"-")</f>
        <v>-</v>
      </c>
      <c r="H948" s="17" t="str">
        <f>IFERROR(IF(INDEX(Movimientos!$M$2:$M$1993,MATCH(A948&amp;"ENTRADA",Movimientos!$R$2:$R$1993,0))=0,"S/D",INDEX(Movimientos!$M$2:$M$1993,MATCH(A948&amp;"ENTRADA",Movimientos!$R$2:$R$1993,0))),"S/D")</f>
        <v>S/D</v>
      </c>
      <c r="I948" s="15" t="str">
        <f t="shared" ca="1" si="30"/>
        <v>S/D</v>
      </c>
      <c r="J948" s="5">
        <f>IF(A948="","",SUMIFS(Movimientos!$K:$K,Movimientos!$H:$H,A948))</f>
        <v>0</v>
      </c>
      <c r="K948" s="13" t="str">
        <f t="shared" ca="1" si="29"/>
        <v>SIN STOCK</v>
      </c>
    </row>
    <row r="949" spans="1:11">
      <c r="A949" s="16" t="s">
        <v>3254</v>
      </c>
      <c r="B949" s="2" t="str">
        <f>IFERROR(INDEX(Movimientos!$C$2:$C$1993,MATCH(A949&amp;"ENTRADA",Movimientos!$R$2:$R$1993,0)),"-")</f>
        <v>-</v>
      </c>
      <c r="C949" s="2" t="str">
        <f>IFERROR(INDEX(Movimientos!$D$2:$D$1993,MATCH(A949&amp;"ENTRADA",Movimientos!$R$2:$R$1993,0)),"-")</f>
        <v>-</v>
      </c>
      <c r="D949" s="2" t="str">
        <f>IFERROR(INDEX(Movimientos!$E$2:$E$1993,MATCH(A949&amp;"ENTRADA",Movimientos!$R$2:$R$1993,0)),"-")</f>
        <v>-</v>
      </c>
      <c r="E949" s="2" t="str">
        <f>IFERROR(INDEX(Movimientos!$F$2:$F$1993,MATCH(A949&amp;"ENTRADA",Movimientos!$R$2:$R$1993,0)),"-")</f>
        <v>-</v>
      </c>
      <c r="F949" s="2" t="str">
        <f>IFERROR(INDEX(Movimientos!$G$2:$G$1993,MATCH(A949&amp;"ENTRADA",Movimientos!$R$2:$R$1993,0)),"-")</f>
        <v>-</v>
      </c>
      <c r="G949" s="2" t="str">
        <f>IFERROR(INDEX(Movimientos!$L$2:$L$1993,MATCH(A949&amp;"ENTRADA",Movimientos!$R$2:$R$1993,0)),"-")</f>
        <v>-</v>
      </c>
      <c r="H949" s="17" t="str">
        <f>IFERROR(IF(INDEX(Movimientos!$M$2:$M$1993,MATCH(A949&amp;"ENTRADA",Movimientos!$R$2:$R$1993,0))=0,"S/D",INDEX(Movimientos!$M$2:$M$1993,MATCH(A949&amp;"ENTRADA",Movimientos!$R$2:$R$1993,0))),"S/D")</f>
        <v>S/D</v>
      </c>
      <c r="I949" s="15" t="str">
        <f t="shared" ca="1" si="30"/>
        <v>S/D</v>
      </c>
      <c r="J949" s="5">
        <f>IF(A949="","",SUMIFS(Movimientos!$K:$K,Movimientos!$H:$H,A949))</f>
        <v>0</v>
      </c>
      <c r="K949" s="13" t="str">
        <f t="shared" ca="1" si="29"/>
        <v>SIN STOCK</v>
      </c>
    </row>
    <row r="950" spans="1:11">
      <c r="A950" s="16" t="s">
        <v>3255</v>
      </c>
      <c r="B950" s="2" t="str">
        <f>IFERROR(INDEX(Movimientos!$C$2:$C$1993,MATCH(A950&amp;"ENTRADA",Movimientos!$R$2:$R$1993,0)),"-")</f>
        <v>-</v>
      </c>
      <c r="C950" s="2" t="str">
        <f>IFERROR(INDEX(Movimientos!$D$2:$D$1993,MATCH(A950&amp;"ENTRADA",Movimientos!$R$2:$R$1993,0)),"-")</f>
        <v>-</v>
      </c>
      <c r="D950" s="2" t="str">
        <f>IFERROR(INDEX(Movimientos!$E$2:$E$1993,MATCH(A950&amp;"ENTRADA",Movimientos!$R$2:$R$1993,0)),"-")</f>
        <v>-</v>
      </c>
      <c r="E950" s="2" t="str">
        <f>IFERROR(INDEX(Movimientos!$F$2:$F$1993,MATCH(A950&amp;"ENTRADA",Movimientos!$R$2:$R$1993,0)),"-")</f>
        <v>-</v>
      </c>
      <c r="F950" s="2" t="str">
        <f>IFERROR(INDEX(Movimientos!$G$2:$G$1993,MATCH(A950&amp;"ENTRADA",Movimientos!$R$2:$R$1993,0)),"-")</f>
        <v>-</v>
      </c>
      <c r="G950" s="2" t="str">
        <f>IFERROR(INDEX(Movimientos!$L$2:$L$1993,MATCH(A950&amp;"ENTRADA",Movimientos!$R$2:$R$1993,0)),"-")</f>
        <v>-</v>
      </c>
      <c r="H950" s="17" t="str">
        <f>IFERROR(IF(INDEX(Movimientos!$M$2:$M$1993,MATCH(A950&amp;"ENTRADA",Movimientos!$R$2:$R$1993,0))=0,"S/D",INDEX(Movimientos!$M$2:$M$1993,MATCH(A950&amp;"ENTRADA",Movimientos!$R$2:$R$1993,0))),"S/D")</f>
        <v>S/D</v>
      </c>
      <c r="I950" s="15" t="str">
        <f t="shared" ca="1" si="30"/>
        <v>S/D</v>
      </c>
      <c r="J950" s="5">
        <f>IF(A950="","",SUMIFS(Movimientos!$K:$K,Movimientos!$H:$H,A950))</f>
        <v>0</v>
      </c>
      <c r="K950" s="13" t="str">
        <f t="shared" ca="1" si="29"/>
        <v>SIN STOCK</v>
      </c>
    </row>
    <row r="951" spans="1:11">
      <c r="A951" s="16" t="s">
        <v>3256</v>
      </c>
      <c r="B951" s="2" t="str">
        <f>IFERROR(INDEX(Movimientos!$C$2:$C$1993,MATCH(A951&amp;"ENTRADA",Movimientos!$R$2:$R$1993,0)),"-")</f>
        <v>-</v>
      </c>
      <c r="C951" s="2" t="str">
        <f>IFERROR(INDEX(Movimientos!$D$2:$D$1993,MATCH(A951&amp;"ENTRADA",Movimientos!$R$2:$R$1993,0)),"-")</f>
        <v>-</v>
      </c>
      <c r="D951" s="2" t="str">
        <f>IFERROR(INDEX(Movimientos!$E$2:$E$1993,MATCH(A951&amp;"ENTRADA",Movimientos!$R$2:$R$1993,0)),"-")</f>
        <v>-</v>
      </c>
      <c r="E951" s="2" t="str">
        <f>IFERROR(INDEX(Movimientos!$F$2:$F$1993,MATCH(A951&amp;"ENTRADA",Movimientos!$R$2:$R$1993,0)),"-")</f>
        <v>-</v>
      </c>
      <c r="F951" s="2" t="str">
        <f>IFERROR(INDEX(Movimientos!$G$2:$G$1993,MATCH(A951&amp;"ENTRADA",Movimientos!$R$2:$R$1993,0)),"-")</f>
        <v>-</v>
      </c>
      <c r="G951" s="2" t="str">
        <f>IFERROR(INDEX(Movimientos!$L$2:$L$1993,MATCH(A951&amp;"ENTRADA",Movimientos!$R$2:$R$1993,0)),"-")</f>
        <v>-</v>
      </c>
      <c r="H951" s="17" t="str">
        <f>IFERROR(IF(INDEX(Movimientos!$M$2:$M$1993,MATCH(A951&amp;"ENTRADA",Movimientos!$R$2:$R$1993,0))=0,"S/D",INDEX(Movimientos!$M$2:$M$1993,MATCH(A951&amp;"ENTRADA",Movimientos!$R$2:$R$1993,0))),"S/D")</f>
        <v>S/D</v>
      </c>
      <c r="I951" s="15" t="str">
        <f t="shared" ca="1" si="30"/>
        <v>S/D</v>
      </c>
      <c r="J951" s="5">
        <f>IF(A951="","",SUMIFS(Movimientos!$K:$K,Movimientos!$H:$H,A951))</f>
        <v>0</v>
      </c>
      <c r="K951" s="13" t="str">
        <f t="shared" ca="1" si="29"/>
        <v>SIN STOCK</v>
      </c>
    </row>
    <row r="952" spans="1:11">
      <c r="A952" s="16" t="s">
        <v>3257</v>
      </c>
      <c r="B952" s="2" t="str">
        <f>IFERROR(INDEX(Movimientos!$C$2:$C$1993,MATCH(A952&amp;"ENTRADA",Movimientos!$R$2:$R$1993,0)),"-")</f>
        <v>-</v>
      </c>
      <c r="C952" s="2" t="str">
        <f>IFERROR(INDEX(Movimientos!$D$2:$D$1993,MATCH(A952&amp;"ENTRADA",Movimientos!$R$2:$R$1993,0)),"-")</f>
        <v>-</v>
      </c>
      <c r="D952" s="2" t="str">
        <f>IFERROR(INDEX(Movimientos!$E$2:$E$1993,MATCH(A952&amp;"ENTRADA",Movimientos!$R$2:$R$1993,0)),"-")</f>
        <v>-</v>
      </c>
      <c r="E952" s="2" t="str">
        <f>IFERROR(INDEX(Movimientos!$F$2:$F$1993,MATCH(A952&amp;"ENTRADA",Movimientos!$R$2:$R$1993,0)),"-")</f>
        <v>-</v>
      </c>
      <c r="F952" s="2" t="str">
        <f>IFERROR(INDEX(Movimientos!$G$2:$G$1993,MATCH(A952&amp;"ENTRADA",Movimientos!$R$2:$R$1993,0)),"-")</f>
        <v>-</v>
      </c>
      <c r="G952" s="2" t="str">
        <f>IFERROR(INDEX(Movimientos!$L$2:$L$1993,MATCH(A952&amp;"ENTRADA",Movimientos!$R$2:$R$1993,0)),"-")</f>
        <v>-</v>
      </c>
      <c r="H952" s="17" t="str">
        <f>IFERROR(IF(INDEX(Movimientos!$M$2:$M$1993,MATCH(A952&amp;"ENTRADA",Movimientos!$R$2:$R$1993,0))=0,"S/D",INDEX(Movimientos!$M$2:$M$1993,MATCH(A952&amp;"ENTRADA",Movimientos!$R$2:$R$1993,0))),"S/D")</f>
        <v>S/D</v>
      </c>
      <c r="I952" s="15" t="str">
        <f t="shared" ca="1" si="30"/>
        <v>S/D</v>
      </c>
      <c r="J952" s="5">
        <f>IF(A952="","",SUMIFS(Movimientos!$K:$K,Movimientos!$H:$H,A952))</f>
        <v>0</v>
      </c>
      <c r="K952" s="13" t="str">
        <f t="shared" ca="1" si="29"/>
        <v>SIN STOCK</v>
      </c>
    </row>
    <row r="953" spans="1:11">
      <c r="A953" s="16" t="s">
        <v>3258</v>
      </c>
      <c r="B953" s="2" t="str">
        <f>IFERROR(INDEX(Movimientos!$C$2:$C$1993,MATCH(A953&amp;"ENTRADA",Movimientos!$R$2:$R$1993,0)),"-")</f>
        <v>-</v>
      </c>
      <c r="C953" s="2" t="str">
        <f>IFERROR(INDEX(Movimientos!$D$2:$D$1993,MATCH(A953&amp;"ENTRADA",Movimientos!$R$2:$R$1993,0)),"-")</f>
        <v>-</v>
      </c>
      <c r="D953" s="2" t="str">
        <f>IFERROR(INDEX(Movimientos!$E$2:$E$1993,MATCH(A953&amp;"ENTRADA",Movimientos!$R$2:$R$1993,0)),"-")</f>
        <v>-</v>
      </c>
      <c r="E953" s="2" t="str">
        <f>IFERROR(INDEX(Movimientos!$F$2:$F$1993,MATCH(A953&amp;"ENTRADA",Movimientos!$R$2:$R$1993,0)),"-")</f>
        <v>-</v>
      </c>
      <c r="F953" s="2" t="str">
        <f>IFERROR(INDEX(Movimientos!$G$2:$G$1993,MATCH(A953&amp;"ENTRADA",Movimientos!$R$2:$R$1993,0)),"-")</f>
        <v>-</v>
      </c>
      <c r="G953" s="2" t="str">
        <f>IFERROR(INDEX(Movimientos!$L$2:$L$1993,MATCH(A953&amp;"ENTRADA",Movimientos!$R$2:$R$1993,0)),"-")</f>
        <v>-</v>
      </c>
      <c r="H953" s="17" t="str">
        <f>IFERROR(IF(INDEX(Movimientos!$M$2:$M$1993,MATCH(A953&amp;"ENTRADA",Movimientos!$R$2:$R$1993,0))=0,"S/D",INDEX(Movimientos!$M$2:$M$1993,MATCH(A953&amp;"ENTRADA",Movimientos!$R$2:$R$1993,0))),"S/D")</f>
        <v>S/D</v>
      </c>
      <c r="I953" s="15" t="str">
        <f t="shared" ca="1" si="30"/>
        <v>S/D</v>
      </c>
      <c r="J953" s="5">
        <f>IF(A953="","",SUMIFS(Movimientos!$K:$K,Movimientos!$H:$H,A953))</f>
        <v>0</v>
      </c>
      <c r="K953" s="13" t="str">
        <f t="shared" ca="1" si="29"/>
        <v>SIN STOCK</v>
      </c>
    </row>
    <row r="954" spans="1:11">
      <c r="A954" s="16" t="s">
        <v>3259</v>
      </c>
      <c r="B954" s="2" t="str">
        <f>IFERROR(INDEX(Movimientos!$C$2:$C$1993,MATCH(A954&amp;"ENTRADA",Movimientos!$R$2:$R$1993,0)),"-")</f>
        <v>-</v>
      </c>
      <c r="C954" s="2" t="str">
        <f>IFERROR(INDEX(Movimientos!$D$2:$D$1993,MATCH(A954&amp;"ENTRADA",Movimientos!$R$2:$R$1993,0)),"-")</f>
        <v>-</v>
      </c>
      <c r="D954" s="2" t="str">
        <f>IFERROR(INDEX(Movimientos!$E$2:$E$1993,MATCH(A954&amp;"ENTRADA",Movimientos!$R$2:$R$1993,0)),"-")</f>
        <v>-</v>
      </c>
      <c r="E954" s="2" t="str">
        <f>IFERROR(INDEX(Movimientos!$F$2:$F$1993,MATCH(A954&amp;"ENTRADA",Movimientos!$R$2:$R$1993,0)),"-")</f>
        <v>-</v>
      </c>
      <c r="F954" s="2" t="str">
        <f>IFERROR(INDEX(Movimientos!$G$2:$G$1993,MATCH(A954&amp;"ENTRADA",Movimientos!$R$2:$R$1993,0)),"-")</f>
        <v>-</v>
      </c>
      <c r="G954" s="2" t="str">
        <f>IFERROR(INDEX(Movimientos!$L$2:$L$1993,MATCH(A954&amp;"ENTRADA",Movimientos!$R$2:$R$1993,0)),"-")</f>
        <v>-</v>
      </c>
      <c r="H954" s="17" t="str">
        <f>IFERROR(IF(INDEX(Movimientos!$M$2:$M$1993,MATCH(A954&amp;"ENTRADA",Movimientos!$R$2:$R$1993,0))=0,"S/D",INDEX(Movimientos!$M$2:$M$1993,MATCH(A954&amp;"ENTRADA",Movimientos!$R$2:$R$1993,0))),"S/D")</f>
        <v>S/D</v>
      </c>
      <c r="I954" s="15" t="str">
        <f t="shared" ca="1" si="30"/>
        <v>S/D</v>
      </c>
      <c r="J954" s="5">
        <f>IF(A954="","",SUMIFS(Movimientos!$K:$K,Movimientos!$H:$H,A954))</f>
        <v>0</v>
      </c>
      <c r="K954" s="13" t="str">
        <f t="shared" ca="1" si="29"/>
        <v>SIN STOCK</v>
      </c>
    </row>
    <row r="955" spans="1:11">
      <c r="A955" s="16" t="s">
        <v>3260</v>
      </c>
      <c r="B955" s="2" t="str">
        <f>IFERROR(INDEX(Movimientos!$C$2:$C$1993,MATCH(A955&amp;"ENTRADA",Movimientos!$R$2:$R$1993,0)),"-")</f>
        <v>-</v>
      </c>
      <c r="C955" s="2" t="str">
        <f>IFERROR(INDEX(Movimientos!$D$2:$D$1993,MATCH(A955&amp;"ENTRADA",Movimientos!$R$2:$R$1993,0)),"-")</f>
        <v>-</v>
      </c>
      <c r="D955" s="2" t="str">
        <f>IFERROR(INDEX(Movimientos!$E$2:$E$1993,MATCH(A955&amp;"ENTRADA",Movimientos!$R$2:$R$1993,0)),"-")</f>
        <v>-</v>
      </c>
      <c r="E955" s="2" t="str">
        <f>IFERROR(INDEX(Movimientos!$F$2:$F$1993,MATCH(A955&amp;"ENTRADA",Movimientos!$R$2:$R$1993,0)),"-")</f>
        <v>-</v>
      </c>
      <c r="F955" s="2" t="str">
        <f>IFERROR(INDEX(Movimientos!$G$2:$G$1993,MATCH(A955&amp;"ENTRADA",Movimientos!$R$2:$R$1993,0)),"-")</f>
        <v>-</v>
      </c>
      <c r="G955" s="2" t="str">
        <f>IFERROR(INDEX(Movimientos!$L$2:$L$1993,MATCH(A955&amp;"ENTRADA",Movimientos!$R$2:$R$1993,0)),"-")</f>
        <v>-</v>
      </c>
      <c r="H955" s="17" t="str">
        <f>IFERROR(IF(INDEX(Movimientos!$M$2:$M$1993,MATCH(A955&amp;"ENTRADA",Movimientos!$R$2:$R$1993,0))=0,"S/D",INDEX(Movimientos!$M$2:$M$1993,MATCH(A955&amp;"ENTRADA",Movimientos!$R$2:$R$1993,0))),"S/D")</f>
        <v>S/D</v>
      </c>
      <c r="I955" s="15" t="str">
        <f t="shared" ca="1" si="30"/>
        <v>S/D</v>
      </c>
      <c r="J955" s="5">
        <f>IF(A955="","",SUMIFS(Movimientos!$K:$K,Movimientos!$H:$H,A955))</f>
        <v>0</v>
      </c>
      <c r="K955" s="13" t="str">
        <f t="shared" ca="1" si="29"/>
        <v>SIN STOCK</v>
      </c>
    </row>
    <row r="956" spans="1:11">
      <c r="A956" s="16" t="s">
        <v>3261</v>
      </c>
      <c r="B956" s="2" t="str">
        <f>IFERROR(INDEX(Movimientos!$C$2:$C$1993,MATCH(A956&amp;"ENTRADA",Movimientos!$R$2:$R$1993,0)),"-")</f>
        <v>-</v>
      </c>
      <c r="C956" s="2" t="str">
        <f>IFERROR(INDEX(Movimientos!$D$2:$D$1993,MATCH(A956&amp;"ENTRADA",Movimientos!$R$2:$R$1993,0)),"-")</f>
        <v>-</v>
      </c>
      <c r="D956" s="2" t="str">
        <f>IFERROR(INDEX(Movimientos!$E$2:$E$1993,MATCH(A956&amp;"ENTRADA",Movimientos!$R$2:$R$1993,0)),"-")</f>
        <v>-</v>
      </c>
      <c r="E956" s="2" t="str">
        <f>IFERROR(INDEX(Movimientos!$F$2:$F$1993,MATCH(A956&amp;"ENTRADA",Movimientos!$R$2:$R$1993,0)),"-")</f>
        <v>-</v>
      </c>
      <c r="F956" s="2" t="str">
        <f>IFERROR(INDEX(Movimientos!$G$2:$G$1993,MATCH(A956&amp;"ENTRADA",Movimientos!$R$2:$R$1993,0)),"-")</f>
        <v>-</v>
      </c>
      <c r="G956" s="2" t="str">
        <f>IFERROR(INDEX(Movimientos!$L$2:$L$1993,MATCH(A956&amp;"ENTRADA",Movimientos!$R$2:$R$1993,0)),"-")</f>
        <v>-</v>
      </c>
      <c r="H956" s="17" t="str">
        <f>IFERROR(IF(INDEX(Movimientos!$M$2:$M$1993,MATCH(A956&amp;"ENTRADA",Movimientos!$R$2:$R$1993,0))=0,"S/D",INDEX(Movimientos!$M$2:$M$1993,MATCH(A956&amp;"ENTRADA",Movimientos!$R$2:$R$1993,0))),"S/D")</f>
        <v>S/D</v>
      </c>
      <c r="I956" s="15" t="str">
        <f t="shared" ca="1" si="30"/>
        <v>S/D</v>
      </c>
      <c r="J956" s="5">
        <f>IF(A956="","",SUMIFS(Movimientos!$K:$K,Movimientos!$H:$H,A956))</f>
        <v>0</v>
      </c>
      <c r="K956" s="13" t="str">
        <f t="shared" ca="1" si="29"/>
        <v>SIN STOCK</v>
      </c>
    </row>
    <row r="957" spans="1:11">
      <c r="A957" s="16" t="s">
        <v>3262</v>
      </c>
      <c r="B957" s="2" t="str">
        <f>IFERROR(INDEX(Movimientos!$C$2:$C$1993,MATCH(A957&amp;"ENTRADA",Movimientos!$R$2:$R$1993,0)),"-")</f>
        <v>-</v>
      </c>
      <c r="C957" s="2" t="str">
        <f>IFERROR(INDEX(Movimientos!$D$2:$D$1993,MATCH(A957&amp;"ENTRADA",Movimientos!$R$2:$R$1993,0)),"-")</f>
        <v>-</v>
      </c>
      <c r="D957" s="2" t="str">
        <f>IFERROR(INDEX(Movimientos!$E$2:$E$1993,MATCH(A957&amp;"ENTRADA",Movimientos!$R$2:$R$1993,0)),"-")</f>
        <v>-</v>
      </c>
      <c r="E957" s="2" t="str">
        <f>IFERROR(INDEX(Movimientos!$F$2:$F$1993,MATCH(A957&amp;"ENTRADA",Movimientos!$R$2:$R$1993,0)),"-")</f>
        <v>-</v>
      </c>
      <c r="F957" s="2" t="str">
        <f>IFERROR(INDEX(Movimientos!$G$2:$G$1993,MATCH(A957&amp;"ENTRADA",Movimientos!$R$2:$R$1993,0)),"-")</f>
        <v>-</v>
      </c>
      <c r="G957" s="2" t="str">
        <f>IFERROR(INDEX(Movimientos!$L$2:$L$1993,MATCH(A957&amp;"ENTRADA",Movimientos!$R$2:$R$1993,0)),"-")</f>
        <v>-</v>
      </c>
      <c r="H957" s="17" t="str">
        <f>IFERROR(IF(INDEX(Movimientos!$M$2:$M$1993,MATCH(A957&amp;"ENTRADA",Movimientos!$R$2:$R$1993,0))=0,"S/D",INDEX(Movimientos!$M$2:$M$1993,MATCH(A957&amp;"ENTRADA",Movimientos!$R$2:$R$1993,0))),"S/D")</f>
        <v>S/D</v>
      </c>
      <c r="I957" s="15" t="str">
        <f t="shared" ca="1" si="30"/>
        <v>S/D</v>
      </c>
      <c r="J957" s="5">
        <f>IF(A957="","",SUMIFS(Movimientos!$K:$K,Movimientos!$H:$H,A957))</f>
        <v>0</v>
      </c>
      <c r="K957" s="13" t="str">
        <f t="shared" ca="1" si="29"/>
        <v>SIN STOCK</v>
      </c>
    </row>
    <row r="958" spans="1:11">
      <c r="A958" s="16" t="s">
        <v>3263</v>
      </c>
      <c r="B958" s="2" t="str">
        <f>IFERROR(INDEX(Movimientos!$C$2:$C$1993,MATCH(A958&amp;"ENTRADA",Movimientos!$R$2:$R$1993,0)),"-")</f>
        <v>-</v>
      </c>
      <c r="C958" s="2" t="str">
        <f>IFERROR(INDEX(Movimientos!$D$2:$D$1993,MATCH(A958&amp;"ENTRADA",Movimientos!$R$2:$R$1993,0)),"-")</f>
        <v>-</v>
      </c>
      <c r="D958" s="2" t="str">
        <f>IFERROR(INDEX(Movimientos!$E$2:$E$1993,MATCH(A958&amp;"ENTRADA",Movimientos!$R$2:$R$1993,0)),"-")</f>
        <v>-</v>
      </c>
      <c r="E958" s="2" t="str">
        <f>IFERROR(INDEX(Movimientos!$F$2:$F$1993,MATCH(A958&amp;"ENTRADA",Movimientos!$R$2:$R$1993,0)),"-")</f>
        <v>-</v>
      </c>
      <c r="F958" s="2" t="str">
        <f>IFERROR(INDEX(Movimientos!$G$2:$G$1993,MATCH(A958&amp;"ENTRADA",Movimientos!$R$2:$R$1993,0)),"-")</f>
        <v>-</v>
      </c>
      <c r="G958" s="2" t="str">
        <f>IFERROR(INDEX(Movimientos!$L$2:$L$1993,MATCH(A958&amp;"ENTRADA",Movimientos!$R$2:$R$1993,0)),"-")</f>
        <v>-</v>
      </c>
      <c r="H958" s="17" t="str">
        <f>IFERROR(IF(INDEX(Movimientos!$M$2:$M$1993,MATCH(A958&amp;"ENTRADA",Movimientos!$R$2:$R$1993,0))=0,"S/D",INDEX(Movimientos!$M$2:$M$1993,MATCH(A958&amp;"ENTRADA",Movimientos!$R$2:$R$1993,0))),"S/D")</f>
        <v>S/D</v>
      </c>
      <c r="I958" s="15" t="str">
        <f t="shared" ca="1" si="30"/>
        <v>S/D</v>
      </c>
      <c r="J958" s="5">
        <f>IF(A958="","",SUMIFS(Movimientos!$K:$K,Movimientos!$H:$H,A958))</f>
        <v>0</v>
      </c>
      <c r="K958" s="13" t="str">
        <f t="shared" ref="K958:K1003" ca="1" si="31">IF(A958="","",IF(J958&lt;0.01,"SIN STOCK",IF(H958="S/D","OK",IF(H958&lt;TODAY(),"VENCIDO",IF(I958&gt;=180,"OK","PRÓXIMO A VENCER")))))</f>
        <v>SIN STOCK</v>
      </c>
    </row>
    <row r="959" spans="1:11">
      <c r="A959" s="16" t="s">
        <v>3264</v>
      </c>
      <c r="B959" s="2" t="str">
        <f>IFERROR(INDEX(Movimientos!$C$2:$C$1993,MATCH(A959&amp;"ENTRADA",Movimientos!$R$2:$R$1993,0)),"-")</f>
        <v>-</v>
      </c>
      <c r="C959" s="2" t="str">
        <f>IFERROR(INDEX(Movimientos!$D$2:$D$1993,MATCH(A959&amp;"ENTRADA",Movimientos!$R$2:$R$1993,0)),"-")</f>
        <v>-</v>
      </c>
      <c r="D959" s="2" t="str">
        <f>IFERROR(INDEX(Movimientos!$E$2:$E$1993,MATCH(A959&amp;"ENTRADA",Movimientos!$R$2:$R$1993,0)),"-")</f>
        <v>-</v>
      </c>
      <c r="E959" s="2" t="str">
        <f>IFERROR(INDEX(Movimientos!$F$2:$F$1993,MATCH(A959&amp;"ENTRADA",Movimientos!$R$2:$R$1993,0)),"-")</f>
        <v>-</v>
      </c>
      <c r="F959" s="2" t="str">
        <f>IFERROR(INDEX(Movimientos!$G$2:$G$1993,MATCH(A959&amp;"ENTRADA",Movimientos!$R$2:$R$1993,0)),"-")</f>
        <v>-</v>
      </c>
      <c r="G959" s="2" t="str">
        <f>IFERROR(INDEX(Movimientos!$L$2:$L$1993,MATCH(A959&amp;"ENTRADA",Movimientos!$R$2:$R$1993,0)),"-")</f>
        <v>-</v>
      </c>
      <c r="H959" s="17" t="str">
        <f>IFERROR(IF(INDEX(Movimientos!$M$2:$M$1993,MATCH(A959&amp;"ENTRADA",Movimientos!$R$2:$R$1993,0))=0,"S/D",INDEX(Movimientos!$M$2:$M$1993,MATCH(A959&amp;"ENTRADA",Movimientos!$R$2:$R$1993,0))),"S/D")</f>
        <v>S/D</v>
      </c>
      <c r="I959" s="15" t="str">
        <f t="shared" ca="1" si="30"/>
        <v>S/D</v>
      </c>
      <c r="J959" s="5">
        <f>IF(A959="","",SUMIFS(Movimientos!$K:$K,Movimientos!$H:$H,A959))</f>
        <v>0</v>
      </c>
      <c r="K959" s="13" t="str">
        <f t="shared" ca="1" si="31"/>
        <v>SIN STOCK</v>
      </c>
    </row>
    <row r="960" spans="1:11">
      <c r="A960" s="16" t="s">
        <v>3265</v>
      </c>
      <c r="B960" s="2" t="str">
        <f>IFERROR(INDEX(Movimientos!$C$2:$C$1993,MATCH(A960&amp;"ENTRADA",Movimientos!$R$2:$R$1993,0)),"-")</f>
        <v>-</v>
      </c>
      <c r="C960" s="2" t="str">
        <f>IFERROR(INDEX(Movimientos!$D$2:$D$1993,MATCH(A960&amp;"ENTRADA",Movimientos!$R$2:$R$1993,0)),"-")</f>
        <v>-</v>
      </c>
      <c r="D960" s="2" t="str">
        <f>IFERROR(INDEX(Movimientos!$E$2:$E$1993,MATCH(A960&amp;"ENTRADA",Movimientos!$R$2:$R$1993,0)),"-")</f>
        <v>-</v>
      </c>
      <c r="E960" s="2" t="str">
        <f>IFERROR(INDEX(Movimientos!$F$2:$F$1993,MATCH(A960&amp;"ENTRADA",Movimientos!$R$2:$R$1993,0)),"-")</f>
        <v>-</v>
      </c>
      <c r="F960" s="2" t="str">
        <f>IFERROR(INDEX(Movimientos!$G$2:$G$1993,MATCH(A960&amp;"ENTRADA",Movimientos!$R$2:$R$1993,0)),"-")</f>
        <v>-</v>
      </c>
      <c r="G960" s="2" t="str">
        <f>IFERROR(INDEX(Movimientos!$L$2:$L$1993,MATCH(A960&amp;"ENTRADA",Movimientos!$R$2:$R$1993,0)),"-")</f>
        <v>-</v>
      </c>
      <c r="H960" s="17" t="str">
        <f>IFERROR(IF(INDEX(Movimientos!$M$2:$M$1993,MATCH(A960&amp;"ENTRADA",Movimientos!$R$2:$R$1993,0))=0,"S/D",INDEX(Movimientos!$M$2:$M$1993,MATCH(A960&amp;"ENTRADA",Movimientos!$R$2:$R$1993,0))),"S/D")</f>
        <v>S/D</v>
      </c>
      <c r="I960" s="15" t="str">
        <f t="shared" ca="1" si="30"/>
        <v>S/D</v>
      </c>
      <c r="J960" s="5">
        <f>IF(A960="","",SUMIFS(Movimientos!$K:$K,Movimientos!$H:$H,A960))</f>
        <v>0</v>
      </c>
      <c r="K960" s="13" t="str">
        <f t="shared" ca="1" si="31"/>
        <v>SIN STOCK</v>
      </c>
    </row>
    <row r="961" spans="1:11">
      <c r="A961" s="16" t="s">
        <v>3266</v>
      </c>
      <c r="B961" s="2" t="str">
        <f>IFERROR(INDEX(Movimientos!$C$2:$C$1993,MATCH(A961&amp;"ENTRADA",Movimientos!$R$2:$R$1993,0)),"-")</f>
        <v>-</v>
      </c>
      <c r="C961" s="2" t="str">
        <f>IFERROR(INDEX(Movimientos!$D$2:$D$1993,MATCH(A961&amp;"ENTRADA",Movimientos!$R$2:$R$1993,0)),"-")</f>
        <v>-</v>
      </c>
      <c r="D961" s="2" t="str">
        <f>IFERROR(INDEX(Movimientos!$E$2:$E$1993,MATCH(A961&amp;"ENTRADA",Movimientos!$R$2:$R$1993,0)),"-")</f>
        <v>-</v>
      </c>
      <c r="E961" s="2" t="str">
        <f>IFERROR(INDEX(Movimientos!$F$2:$F$1993,MATCH(A961&amp;"ENTRADA",Movimientos!$R$2:$R$1993,0)),"-")</f>
        <v>-</v>
      </c>
      <c r="F961" s="2" t="str">
        <f>IFERROR(INDEX(Movimientos!$G$2:$G$1993,MATCH(A961&amp;"ENTRADA",Movimientos!$R$2:$R$1993,0)),"-")</f>
        <v>-</v>
      </c>
      <c r="G961" s="2" t="str">
        <f>IFERROR(INDEX(Movimientos!$L$2:$L$1993,MATCH(A961&amp;"ENTRADA",Movimientos!$R$2:$R$1993,0)),"-")</f>
        <v>-</v>
      </c>
      <c r="H961" s="17" t="str">
        <f>IFERROR(IF(INDEX(Movimientos!$M$2:$M$1993,MATCH(A961&amp;"ENTRADA",Movimientos!$R$2:$R$1993,0))=0,"S/D",INDEX(Movimientos!$M$2:$M$1993,MATCH(A961&amp;"ENTRADA",Movimientos!$R$2:$R$1993,0))),"S/D")</f>
        <v>S/D</v>
      </c>
      <c r="I961" s="15" t="str">
        <f t="shared" ca="1" si="30"/>
        <v>S/D</v>
      </c>
      <c r="J961" s="5">
        <f>IF(A961="","",SUMIFS(Movimientos!$K:$K,Movimientos!$H:$H,A961))</f>
        <v>0</v>
      </c>
      <c r="K961" s="13" t="str">
        <f t="shared" ca="1" si="31"/>
        <v>SIN STOCK</v>
      </c>
    </row>
    <row r="962" spans="1:11">
      <c r="A962" s="16" t="s">
        <v>3267</v>
      </c>
      <c r="B962" s="2" t="str">
        <f>IFERROR(INDEX(Movimientos!$C$2:$C$1993,MATCH(A962&amp;"ENTRADA",Movimientos!$R$2:$R$1993,0)),"-")</f>
        <v>-</v>
      </c>
      <c r="C962" s="2" t="str">
        <f>IFERROR(INDEX(Movimientos!$D$2:$D$1993,MATCH(A962&amp;"ENTRADA",Movimientos!$R$2:$R$1993,0)),"-")</f>
        <v>-</v>
      </c>
      <c r="D962" s="2" t="str">
        <f>IFERROR(INDEX(Movimientos!$E$2:$E$1993,MATCH(A962&amp;"ENTRADA",Movimientos!$R$2:$R$1993,0)),"-")</f>
        <v>-</v>
      </c>
      <c r="E962" s="2" t="str">
        <f>IFERROR(INDEX(Movimientos!$F$2:$F$1993,MATCH(A962&amp;"ENTRADA",Movimientos!$R$2:$R$1993,0)),"-")</f>
        <v>-</v>
      </c>
      <c r="F962" s="2" t="str">
        <f>IFERROR(INDEX(Movimientos!$G$2:$G$1993,MATCH(A962&amp;"ENTRADA",Movimientos!$R$2:$R$1993,0)),"-")</f>
        <v>-</v>
      </c>
      <c r="G962" s="2" t="str">
        <f>IFERROR(INDEX(Movimientos!$L$2:$L$1993,MATCH(A962&amp;"ENTRADA",Movimientos!$R$2:$R$1993,0)),"-")</f>
        <v>-</v>
      </c>
      <c r="H962" s="17" t="str">
        <f>IFERROR(IF(INDEX(Movimientos!$M$2:$M$1993,MATCH(A962&amp;"ENTRADA",Movimientos!$R$2:$R$1993,0))=0,"S/D",INDEX(Movimientos!$M$2:$M$1993,MATCH(A962&amp;"ENTRADA",Movimientos!$R$2:$R$1993,0))),"S/D")</f>
        <v>S/D</v>
      </c>
      <c r="I962" s="15" t="str">
        <f t="shared" ca="1" si="30"/>
        <v>S/D</v>
      </c>
      <c r="J962" s="5">
        <f>IF(A962="","",SUMIFS(Movimientos!$K:$K,Movimientos!$H:$H,A962))</f>
        <v>0</v>
      </c>
      <c r="K962" s="13" t="str">
        <f t="shared" ca="1" si="31"/>
        <v>SIN STOCK</v>
      </c>
    </row>
    <row r="963" spans="1:11">
      <c r="A963" s="16" t="s">
        <v>3268</v>
      </c>
      <c r="B963" s="2" t="str">
        <f>IFERROR(INDEX(Movimientos!$C$2:$C$1993,MATCH(A963&amp;"ENTRADA",Movimientos!$R$2:$R$1993,0)),"-")</f>
        <v>-</v>
      </c>
      <c r="C963" s="2" t="str">
        <f>IFERROR(INDEX(Movimientos!$D$2:$D$1993,MATCH(A963&amp;"ENTRADA",Movimientos!$R$2:$R$1993,0)),"-")</f>
        <v>-</v>
      </c>
      <c r="D963" s="2" t="str">
        <f>IFERROR(INDEX(Movimientos!$E$2:$E$1993,MATCH(A963&amp;"ENTRADA",Movimientos!$R$2:$R$1993,0)),"-")</f>
        <v>-</v>
      </c>
      <c r="E963" s="2" t="str">
        <f>IFERROR(INDEX(Movimientos!$F$2:$F$1993,MATCH(A963&amp;"ENTRADA",Movimientos!$R$2:$R$1993,0)),"-")</f>
        <v>-</v>
      </c>
      <c r="F963" s="2" t="str">
        <f>IFERROR(INDEX(Movimientos!$G$2:$G$1993,MATCH(A963&amp;"ENTRADA",Movimientos!$R$2:$R$1993,0)),"-")</f>
        <v>-</v>
      </c>
      <c r="G963" s="2" t="str">
        <f>IFERROR(INDEX(Movimientos!$L$2:$L$1993,MATCH(A963&amp;"ENTRADA",Movimientos!$R$2:$R$1993,0)),"-")</f>
        <v>-</v>
      </c>
      <c r="H963" s="17" t="str">
        <f>IFERROR(IF(INDEX(Movimientos!$M$2:$M$1993,MATCH(A963&amp;"ENTRADA",Movimientos!$R$2:$R$1993,0))=0,"S/D",INDEX(Movimientos!$M$2:$M$1993,MATCH(A963&amp;"ENTRADA",Movimientos!$R$2:$R$1993,0))),"S/D")</f>
        <v>S/D</v>
      </c>
      <c r="I963" s="15" t="str">
        <f t="shared" ca="1" si="30"/>
        <v>S/D</v>
      </c>
      <c r="J963" s="5">
        <f>IF(A963="","",SUMIFS(Movimientos!$K:$K,Movimientos!$H:$H,A963))</f>
        <v>0</v>
      </c>
      <c r="K963" s="13" t="str">
        <f t="shared" ca="1" si="31"/>
        <v>SIN STOCK</v>
      </c>
    </row>
    <row r="964" spans="1:11">
      <c r="A964" s="16" t="s">
        <v>3269</v>
      </c>
      <c r="B964" s="2" t="str">
        <f>IFERROR(INDEX(Movimientos!$C$2:$C$1993,MATCH(A964&amp;"ENTRADA",Movimientos!$R$2:$R$1993,0)),"-")</f>
        <v>-</v>
      </c>
      <c r="C964" s="2" t="str">
        <f>IFERROR(INDEX(Movimientos!$D$2:$D$1993,MATCH(A964&amp;"ENTRADA",Movimientos!$R$2:$R$1993,0)),"-")</f>
        <v>-</v>
      </c>
      <c r="D964" s="2" t="str">
        <f>IFERROR(INDEX(Movimientos!$E$2:$E$1993,MATCH(A964&amp;"ENTRADA",Movimientos!$R$2:$R$1993,0)),"-")</f>
        <v>-</v>
      </c>
      <c r="E964" s="2" t="str">
        <f>IFERROR(INDEX(Movimientos!$F$2:$F$1993,MATCH(A964&amp;"ENTRADA",Movimientos!$R$2:$R$1993,0)),"-")</f>
        <v>-</v>
      </c>
      <c r="F964" s="2" t="str">
        <f>IFERROR(INDEX(Movimientos!$G$2:$G$1993,MATCH(A964&amp;"ENTRADA",Movimientos!$R$2:$R$1993,0)),"-")</f>
        <v>-</v>
      </c>
      <c r="G964" s="2" t="str">
        <f>IFERROR(INDEX(Movimientos!$L$2:$L$1993,MATCH(A964&amp;"ENTRADA",Movimientos!$R$2:$R$1993,0)),"-")</f>
        <v>-</v>
      </c>
      <c r="H964" s="17" t="str">
        <f>IFERROR(IF(INDEX(Movimientos!$M$2:$M$1993,MATCH(A964&amp;"ENTRADA",Movimientos!$R$2:$R$1993,0))=0,"S/D",INDEX(Movimientos!$M$2:$M$1993,MATCH(A964&amp;"ENTRADA",Movimientos!$R$2:$R$1993,0))),"S/D")</f>
        <v>S/D</v>
      </c>
      <c r="I964" s="15" t="str">
        <f t="shared" ca="1" si="30"/>
        <v>S/D</v>
      </c>
      <c r="J964" s="5">
        <f>IF(A964="","",SUMIFS(Movimientos!$K:$K,Movimientos!$H:$H,A964))</f>
        <v>0</v>
      </c>
      <c r="K964" s="13" t="str">
        <f t="shared" ca="1" si="31"/>
        <v>SIN STOCK</v>
      </c>
    </row>
    <row r="965" spans="1:11">
      <c r="A965" s="16" t="s">
        <v>3270</v>
      </c>
      <c r="B965" s="2" t="str">
        <f>IFERROR(INDEX(Movimientos!$C$2:$C$1993,MATCH(A965&amp;"ENTRADA",Movimientos!$R$2:$R$1993,0)),"-")</f>
        <v>-</v>
      </c>
      <c r="C965" s="2" t="str">
        <f>IFERROR(INDEX(Movimientos!$D$2:$D$1993,MATCH(A965&amp;"ENTRADA",Movimientos!$R$2:$R$1993,0)),"-")</f>
        <v>-</v>
      </c>
      <c r="D965" s="2" t="str">
        <f>IFERROR(INDEX(Movimientos!$E$2:$E$1993,MATCH(A965&amp;"ENTRADA",Movimientos!$R$2:$R$1993,0)),"-")</f>
        <v>-</v>
      </c>
      <c r="E965" s="2" t="str">
        <f>IFERROR(INDEX(Movimientos!$F$2:$F$1993,MATCH(A965&amp;"ENTRADA",Movimientos!$R$2:$R$1993,0)),"-")</f>
        <v>-</v>
      </c>
      <c r="F965" s="2" t="str">
        <f>IFERROR(INDEX(Movimientos!$G$2:$G$1993,MATCH(A965&amp;"ENTRADA",Movimientos!$R$2:$R$1993,0)),"-")</f>
        <v>-</v>
      </c>
      <c r="G965" s="2" t="str">
        <f>IFERROR(INDEX(Movimientos!$L$2:$L$1993,MATCH(A965&amp;"ENTRADA",Movimientos!$R$2:$R$1993,0)),"-")</f>
        <v>-</v>
      </c>
      <c r="H965" s="17" t="str">
        <f>IFERROR(IF(INDEX(Movimientos!$M$2:$M$1993,MATCH(A965&amp;"ENTRADA",Movimientos!$R$2:$R$1993,0))=0,"S/D",INDEX(Movimientos!$M$2:$M$1993,MATCH(A965&amp;"ENTRADA",Movimientos!$R$2:$R$1993,0))),"S/D")</f>
        <v>S/D</v>
      </c>
      <c r="I965" s="15" t="str">
        <f t="shared" ref="I965:I996" ca="1" si="32">IF(OR(A965="",H965="S/D"),"S/D",H965-TODAY())</f>
        <v>S/D</v>
      </c>
      <c r="J965" s="5">
        <f>IF(A965="","",SUMIFS(Movimientos!$K:$K,Movimientos!$H:$H,A965))</f>
        <v>0</v>
      </c>
      <c r="K965" s="13" t="str">
        <f t="shared" ca="1" si="31"/>
        <v>SIN STOCK</v>
      </c>
    </row>
    <row r="966" spans="1:11">
      <c r="A966" s="16" t="s">
        <v>3271</v>
      </c>
      <c r="B966" s="2" t="str">
        <f>IFERROR(INDEX(Movimientos!$C$2:$C$1993,MATCH(A966&amp;"ENTRADA",Movimientos!$R$2:$R$1993,0)),"-")</f>
        <v>-</v>
      </c>
      <c r="C966" s="2" t="str">
        <f>IFERROR(INDEX(Movimientos!$D$2:$D$1993,MATCH(A966&amp;"ENTRADA",Movimientos!$R$2:$R$1993,0)),"-")</f>
        <v>-</v>
      </c>
      <c r="D966" s="2" t="str">
        <f>IFERROR(INDEX(Movimientos!$E$2:$E$1993,MATCH(A966&amp;"ENTRADA",Movimientos!$R$2:$R$1993,0)),"-")</f>
        <v>-</v>
      </c>
      <c r="E966" s="2" t="str">
        <f>IFERROR(INDEX(Movimientos!$F$2:$F$1993,MATCH(A966&amp;"ENTRADA",Movimientos!$R$2:$R$1993,0)),"-")</f>
        <v>-</v>
      </c>
      <c r="F966" s="2" t="str">
        <f>IFERROR(INDEX(Movimientos!$G$2:$G$1993,MATCH(A966&amp;"ENTRADA",Movimientos!$R$2:$R$1993,0)),"-")</f>
        <v>-</v>
      </c>
      <c r="G966" s="2" t="str">
        <f>IFERROR(INDEX(Movimientos!$L$2:$L$1993,MATCH(A966&amp;"ENTRADA",Movimientos!$R$2:$R$1993,0)),"-")</f>
        <v>-</v>
      </c>
      <c r="H966" s="17" t="str">
        <f>IFERROR(IF(INDEX(Movimientos!$M$2:$M$1993,MATCH(A966&amp;"ENTRADA",Movimientos!$R$2:$R$1993,0))=0,"S/D",INDEX(Movimientos!$M$2:$M$1993,MATCH(A966&amp;"ENTRADA",Movimientos!$R$2:$R$1993,0))),"S/D")</f>
        <v>S/D</v>
      </c>
      <c r="I966" s="15" t="str">
        <f t="shared" ca="1" si="32"/>
        <v>S/D</v>
      </c>
      <c r="J966" s="5">
        <f>IF(A966="","",SUMIFS(Movimientos!$K:$K,Movimientos!$H:$H,A966))</f>
        <v>0</v>
      </c>
      <c r="K966" s="13" t="str">
        <f t="shared" ca="1" si="31"/>
        <v>SIN STOCK</v>
      </c>
    </row>
    <row r="967" spans="1:11">
      <c r="A967" s="16" t="s">
        <v>3272</v>
      </c>
      <c r="B967" s="2" t="str">
        <f>IFERROR(INDEX(Movimientos!$C$2:$C$1993,MATCH(A967&amp;"ENTRADA",Movimientos!$R$2:$R$1993,0)),"-")</f>
        <v>-</v>
      </c>
      <c r="C967" s="2" t="str">
        <f>IFERROR(INDEX(Movimientos!$D$2:$D$1993,MATCH(A967&amp;"ENTRADA",Movimientos!$R$2:$R$1993,0)),"-")</f>
        <v>-</v>
      </c>
      <c r="D967" s="2" t="str">
        <f>IFERROR(INDEX(Movimientos!$E$2:$E$1993,MATCH(A967&amp;"ENTRADA",Movimientos!$R$2:$R$1993,0)),"-")</f>
        <v>-</v>
      </c>
      <c r="E967" s="2" t="str">
        <f>IFERROR(INDEX(Movimientos!$F$2:$F$1993,MATCH(A967&amp;"ENTRADA",Movimientos!$R$2:$R$1993,0)),"-")</f>
        <v>-</v>
      </c>
      <c r="F967" s="2" t="str">
        <f>IFERROR(INDEX(Movimientos!$G$2:$G$1993,MATCH(A967&amp;"ENTRADA",Movimientos!$R$2:$R$1993,0)),"-")</f>
        <v>-</v>
      </c>
      <c r="G967" s="2" t="str">
        <f>IFERROR(INDEX(Movimientos!$L$2:$L$1993,MATCH(A967&amp;"ENTRADA",Movimientos!$R$2:$R$1993,0)),"-")</f>
        <v>-</v>
      </c>
      <c r="H967" s="17" t="str">
        <f>IFERROR(IF(INDEX(Movimientos!$M$2:$M$1993,MATCH(A967&amp;"ENTRADA",Movimientos!$R$2:$R$1993,0))=0,"S/D",INDEX(Movimientos!$M$2:$M$1993,MATCH(A967&amp;"ENTRADA",Movimientos!$R$2:$R$1993,0))),"S/D")</f>
        <v>S/D</v>
      </c>
      <c r="I967" s="15" t="str">
        <f t="shared" ca="1" si="32"/>
        <v>S/D</v>
      </c>
      <c r="J967" s="5">
        <f>IF(A967="","",SUMIFS(Movimientos!$K:$K,Movimientos!$H:$H,A967))</f>
        <v>0</v>
      </c>
      <c r="K967" s="13" t="str">
        <f t="shared" ca="1" si="31"/>
        <v>SIN STOCK</v>
      </c>
    </row>
    <row r="968" spans="1:11">
      <c r="A968" s="16" t="s">
        <v>3273</v>
      </c>
      <c r="B968" s="2" t="str">
        <f>IFERROR(INDEX(Movimientos!$C$2:$C$1993,MATCH(A968&amp;"ENTRADA",Movimientos!$R$2:$R$1993,0)),"-")</f>
        <v>-</v>
      </c>
      <c r="C968" s="2" t="str">
        <f>IFERROR(INDEX(Movimientos!$D$2:$D$1993,MATCH(A968&amp;"ENTRADA",Movimientos!$R$2:$R$1993,0)),"-")</f>
        <v>-</v>
      </c>
      <c r="D968" s="2" t="str">
        <f>IFERROR(INDEX(Movimientos!$E$2:$E$1993,MATCH(A968&amp;"ENTRADA",Movimientos!$R$2:$R$1993,0)),"-")</f>
        <v>-</v>
      </c>
      <c r="E968" s="2" t="str">
        <f>IFERROR(INDEX(Movimientos!$F$2:$F$1993,MATCH(A968&amp;"ENTRADA",Movimientos!$R$2:$R$1993,0)),"-")</f>
        <v>-</v>
      </c>
      <c r="F968" s="2" t="str">
        <f>IFERROR(INDEX(Movimientos!$G$2:$G$1993,MATCH(A968&amp;"ENTRADA",Movimientos!$R$2:$R$1993,0)),"-")</f>
        <v>-</v>
      </c>
      <c r="G968" s="2" t="str">
        <f>IFERROR(INDEX(Movimientos!$L$2:$L$1993,MATCH(A968&amp;"ENTRADA",Movimientos!$R$2:$R$1993,0)),"-")</f>
        <v>-</v>
      </c>
      <c r="H968" s="17" t="str">
        <f>IFERROR(IF(INDEX(Movimientos!$M$2:$M$1993,MATCH(A968&amp;"ENTRADA",Movimientos!$R$2:$R$1993,0))=0,"S/D",INDEX(Movimientos!$M$2:$M$1993,MATCH(A968&amp;"ENTRADA",Movimientos!$R$2:$R$1993,0))),"S/D")</f>
        <v>S/D</v>
      </c>
      <c r="I968" s="15" t="str">
        <f t="shared" ca="1" si="32"/>
        <v>S/D</v>
      </c>
      <c r="J968" s="5">
        <f>IF(A968="","",SUMIFS(Movimientos!$K:$K,Movimientos!$H:$H,A968))</f>
        <v>0</v>
      </c>
      <c r="K968" s="13" t="str">
        <f t="shared" ca="1" si="31"/>
        <v>SIN STOCK</v>
      </c>
    </row>
    <row r="969" spans="1:11">
      <c r="A969" s="16" t="s">
        <v>3274</v>
      </c>
      <c r="B969" s="2" t="str">
        <f>IFERROR(INDEX(Movimientos!$C$2:$C$1993,MATCH(A969&amp;"ENTRADA",Movimientos!$R$2:$R$1993,0)),"-")</f>
        <v>-</v>
      </c>
      <c r="C969" s="2" t="str">
        <f>IFERROR(INDEX(Movimientos!$D$2:$D$1993,MATCH(A969&amp;"ENTRADA",Movimientos!$R$2:$R$1993,0)),"-")</f>
        <v>-</v>
      </c>
      <c r="D969" s="2" t="str">
        <f>IFERROR(INDEX(Movimientos!$E$2:$E$1993,MATCH(A969&amp;"ENTRADA",Movimientos!$R$2:$R$1993,0)),"-")</f>
        <v>-</v>
      </c>
      <c r="E969" s="2" t="str">
        <f>IFERROR(INDEX(Movimientos!$F$2:$F$1993,MATCH(A969&amp;"ENTRADA",Movimientos!$R$2:$R$1993,0)),"-")</f>
        <v>-</v>
      </c>
      <c r="F969" s="2" t="str">
        <f>IFERROR(INDEX(Movimientos!$G$2:$G$1993,MATCH(A969&amp;"ENTRADA",Movimientos!$R$2:$R$1993,0)),"-")</f>
        <v>-</v>
      </c>
      <c r="G969" s="2" t="str">
        <f>IFERROR(INDEX(Movimientos!$L$2:$L$1993,MATCH(A969&amp;"ENTRADA",Movimientos!$R$2:$R$1993,0)),"-")</f>
        <v>-</v>
      </c>
      <c r="H969" s="17" t="str">
        <f>IFERROR(IF(INDEX(Movimientos!$M$2:$M$1993,MATCH(A969&amp;"ENTRADA",Movimientos!$R$2:$R$1993,0))=0,"S/D",INDEX(Movimientos!$M$2:$M$1993,MATCH(A969&amp;"ENTRADA",Movimientos!$R$2:$R$1993,0))),"S/D")</f>
        <v>S/D</v>
      </c>
      <c r="I969" s="15" t="str">
        <f t="shared" ca="1" si="32"/>
        <v>S/D</v>
      </c>
      <c r="J969" s="5">
        <f>IF(A969="","",SUMIFS(Movimientos!$K:$K,Movimientos!$H:$H,A969))</f>
        <v>0</v>
      </c>
      <c r="K969" s="13" t="str">
        <f t="shared" ca="1" si="31"/>
        <v>SIN STOCK</v>
      </c>
    </row>
    <row r="970" spans="1:11">
      <c r="A970" s="16" t="s">
        <v>3275</v>
      </c>
      <c r="B970" s="2" t="str">
        <f>IFERROR(INDEX(Movimientos!$C$2:$C$1993,MATCH(A970&amp;"ENTRADA",Movimientos!$R$2:$R$1993,0)),"-")</f>
        <v>-</v>
      </c>
      <c r="C970" s="2" t="str">
        <f>IFERROR(INDEX(Movimientos!$D$2:$D$1993,MATCH(A970&amp;"ENTRADA",Movimientos!$R$2:$R$1993,0)),"-")</f>
        <v>-</v>
      </c>
      <c r="D970" s="2" t="str">
        <f>IFERROR(INDEX(Movimientos!$E$2:$E$1993,MATCH(A970&amp;"ENTRADA",Movimientos!$R$2:$R$1993,0)),"-")</f>
        <v>-</v>
      </c>
      <c r="E970" s="2" t="str">
        <f>IFERROR(INDEX(Movimientos!$F$2:$F$1993,MATCH(A970&amp;"ENTRADA",Movimientos!$R$2:$R$1993,0)),"-")</f>
        <v>-</v>
      </c>
      <c r="F970" s="2" t="str">
        <f>IFERROR(INDEX(Movimientos!$G$2:$G$1993,MATCH(A970&amp;"ENTRADA",Movimientos!$R$2:$R$1993,0)),"-")</f>
        <v>-</v>
      </c>
      <c r="G970" s="2" t="str">
        <f>IFERROR(INDEX(Movimientos!$L$2:$L$1993,MATCH(A970&amp;"ENTRADA",Movimientos!$R$2:$R$1993,0)),"-")</f>
        <v>-</v>
      </c>
      <c r="H970" s="17" t="str">
        <f>IFERROR(IF(INDEX(Movimientos!$M$2:$M$1993,MATCH(A970&amp;"ENTRADA",Movimientos!$R$2:$R$1993,0))=0,"S/D",INDEX(Movimientos!$M$2:$M$1993,MATCH(A970&amp;"ENTRADA",Movimientos!$R$2:$R$1993,0))),"S/D")</f>
        <v>S/D</v>
      </c>
      <c r="I970" s="15" t="str">
        <f t="shared" ca="1" si="32"/>
        <v>S/D</v>
      </c>
      <c r="J970" s="5">
        <f>IF(A970="","",SUMIFS(Movimientos!$K:$K,Movimientos!$H:$H,A970))</f>
        <v>0</v>
      </c>
      <c r="K970" s="13" t="str">
        <f t="shared" ca="1" si="31"/>
        <v>SIN STOCK</v>
      </c>
    </row>
    <row r="971" spans="1:11">
      <c r="A971" s="16" t="s">
        <v>3276</v>
      </c>
      <c r="B971" s="2" t="str">
        <f>IFERROR(INDEX(Movimientos!$C$2:$C$1993,MATCH(A971&amp;"ENTRADA",Movimientos!$R$2:$R$1993,0)),"-")</f>
        <v>-</v>
      </c>
      <c r="C971" s="2" t="str">
        <f>IFERROR(INDEX(Movimientos!$D$2:$D$1993,MATCH(A971&amp;"ENTRADA",Movimientos!$R$2:$R$1993,0)),"-")</f>
        <v>-</v>
      </c>
      <c r="D971" s="2" t="str">
        <f>IFERROR(INDEX(Movimientos!$E$2:$E$1993,MATCH(A971&amp;"ENTRADA",Movimientos!$R$2:$R$1993,0)),"-")</f>
        <v>-</v>
      </c>
      <c r="E971" s="2" t="str">
        <f>IFERROR(INDEX(Movimientos!$F$2:$F$1993,MATCH(A971&amp;"ENTRADA",Movimientos!$R$2:$R$1993,0)),"-")</f>
        <v>-</v>
      </c>
      <c r="F971" s="2" t="str">
        <f>IFERROR(INDEX(Movimientos!$G$2:$G$1993,MATCH(A971&amp;"ENTRADA",Movimientos!$R$2:$R$1993,0)),"-")</f>
        <v>-</v>
      </c>
      <c r="G971" s="2" t="str">
        <f>IFERROR(INDEX(Movimientos!$L$2:$L$1993,MATCH(A971&amp;"ENTRADA",Movimientos!$R$2:$R$1993,0)),"-")</f>
        <v>-</v>
      </c>
      <c r="H971" s="17" t="str">
        <f>IFERROR(IF(INDEX(Movimientos!$M$2:$M$1993,MATCH(A971&amp;"ENTRADA",Movimientos!$R$2:$R$1993,0))=0,"S/D",INDEX(Movimientos!$M$2:$M$1993,MATCH(A971&amp;"ENTRADA",Movimientos!$R$2:$R$1993,0))),"S/D")</f>
        <v>S/D</v>
      </c>
      <c r="I971" s="15" t="str">
        <f t="shared" ca="1" si="32"/>
        <v>S/D</v>
      </c>
      <c r="J971" s="5">
        <f>IF(A971="","",SUMIFS(Movimientos!$K:$K,Movimientos!$H:$H,A971))</f>
        <v>0</v>
      </c>
      <c r="K971" s="13" t="str">
        <f t="shared" ca="1" si="31"/>
        <v>SIN STOCK</v>
      </c>
    </row>
    <row r="972" spans="1:11">
      <c r="A972" s="16" t="s">
        <v>3277</v>
      </c>
      <c r="B972" s="2" t="str">
        <f>IFERROR(INDEX(Movimientos!$C$2:$C$1993,MATCH(A972&amp;"ENTRADA",Movimientos!$R$2:$R$1993,0)),"-")</f>
        <v>-</v>
      </c>
      <c r="C972" s="2" t="str">
        <f>IFERROR(INDEX(Movimientos!$D$2:$D$1993,MATCH(A972&amp;"ENTRADA",Movimientos!$R$2:$R$1993,0)),"-")</f>
        <v>-</v>
      </c>
      <c r="D972" s="2" t="str">
        <f>IFERROR(INDEX(Movimientos!$E$2:$E$1993,MATCH(A972&amp;"ENTRADA",Movimientos!$R$2:$R$1993,0)),"-")</f>
        <v>-</v>
      </c>
      <c r="E972" s="2" t="str">
        <f>IFERROR(INDEX(Movimientos!$F$2:$F$1993,MATCH(A972&amp;"ENTRADA",Movimientos!$R$2:$R$1993,0)),"-")</f>
        <v>-</v>
      </c>
      <c r="F972" s="2" t="str">
        <f>IFERROR(INDEX(Movimientos!$G$2:$G$1993,MATCH(A972&amp;"ENTRADA",Movimientos!$R$2:$R$1993,0)),"-")</f>
        <v>-</v>
      </c>
      <c r="G972" s="2" t="str">
        <f>IFERROR(INDEX(Movimientos!$L$2:$L$1993,MATCH(A972&amp;"ENTRADA",Movimientos!$R$2:$R$1993,0)),"-")</f>
        <v>-</v>
      </c>
      <c r="H972" s="17" t="str">
        <f>IFERROR(IF(INDEX(Movimientos!$M$2:$M$1993,MATCH(A972&amp;"ENTRADA",Movimientos!$R$2:$R$1993,0))=0,"S/D",INDEX(Movimientos!$M$2:$M$1993,MATCH(A972&amp;"ENTRADA",Movimientos!$R$2:$R$1993,0))),"S/D")</f>
        <v>S/D</v>
      </c>
      <c r="I972" s="15" t="str">
        <f t="shared" ca="1" si="32"/>
        <v>S/D</v>
      </c>
      <c r="J972" s="5">
        <f>IF(A972="","",SUMIFS(Movimientos!$K:$K,Movimientos!$H:$H,A972))</f>
        <v>0</v>
      </c>
      <c r="K972" s="13" t="str">
        <f t="shared" ca="1" si="31"/>
        <v>SIN STOCK</v>
      </c>
    </row>
    <row r="973" spans="1:11">
      <c r="A973" s="16" t="s">
        <v>3278</v>
      </c>
      <c r="B973" s="2" t="str">
        <f>IFERROR(INDEX(Movimientos!$C$2:$C$1993,MATCH(A973&amp;"ENTRADA",Movimientos!$R$2:$R$1993,0)),"-")</f>
        <v>-</v>
      </c>
      <c r="C973" s="2" t="str">
        <f>IFERROR(INDEX(Movimientos!$D$2:$D$1993,MATCH(A973&amp;"ENTRADA",Movimientos!$R$2:$R$1993,0)),"-")</f>
        <v>-</v>
      </c>
      <c r="D973" s="2" t="str">
        <f>IFERROR(INDEX(Movimientos!$E$2:$E$1993,MATCH(A973&amp;"ENTRADA",Movimientos!$R$2:$R$1993,0)),"-")</f>
        <v>-</v>
      </c>
      <c r="E973" s="2" t="str">
        <f>IFERROR(INDEX(Movimientos!$F$2:$F$1993,MATCH(A973&amp;"ENTRADA",Movimientos!$R$2:$R$1993,0)),"-")</f>
        <v>-</v>
      </c>
      <c r="F973" s="2" t="str">
        <f>IFERROR(INDEX(Movimientos!$G$2:$G$1993,MATCH(A973&amp;"ENTRADA",Movimientos!$R$2:$R$1993,0)),"-")</f>
        <v>-</v>
      </c>
      <c r="G973" s="2" t="str">
        <f>IFERROR(INDEX(Movimientos!$L$2:$L$1993,MATCH(A973&amp;"ENTRADA",Movimientos!$R$2:$R$1993,0)),"-")</f>
        <v>-</v>
      </c>
      <c r="H973" s="17" t="str">
        <f>IFERROR(IF(INDEX(Movimientos!$M$2:$M$1993,MATCH(A973&amp;"ENTRADA",Movimientos!$R$2:$R$1993,0))=0,"S/D",INDEX(Movimientos!$M$2:$M$1993,MATCH(A973&amp;"ENTRADA",Movimientos!$R$2:$R$1993,0))),"S/D")</f>
        <v>S/D</v>
      </c>
      <c r="I973" s="15" t="str">
        <f t="shared" ca="1" si="32"/>
        <v>S/D</v>
      </c>
      <c r="J973" s="5">
        <f>IF(A973="","",SUMIFS(Movimientos!$K:$K,Movimientos!$H:$H,A973))</f>
        <v>0</v>
      </c>
      <c r="K973" s="13" t="str">
        <f t="shared" ca="1" si="31"/>
        <v>SIN STOCK</v>
      </c>
    </row>
    <row r="974" spans="1:11">
      <c r="A974" s="16" t="s">
        <v>3279</v>
      </c>
      <c r="B974" s="2" t="str">
        <f>IFERROR(INDEX(Movimientos!$C$2:$C$1993,MATCH(A974&amp;"ENTRADA",Movimientos!$R$2:$R$1993,0)),"-")</f>
        <v>-</v>
      </c>
      <c r="C974" s="2" t="str">
        <f>IFERROR(INDEX(Movimientos!$D$2:$D$1993,MATCH(A974&amp;"ENTRADA",Movimientos!$R$2:$R$1993,0)),"-")</f>
        <v>-</v>
      </c>
      <c r="D974" s="2" t="str">
        <f>IFERROR(INDEX(Movimientos!$E$2:$E$1993,MATCH(A974&amp;"ENTRADA",Movimientos!$R$2:$R$1993,0)),"-")</f>
        <v>-</v>
      </c>
      <c r="E974" s="2" t="str">
        <f>IFERROR(INDEX(Movimientos!$F$2:$F$1993,MATCH(A974&amp;"ENTRADA",Movimientos!$R$2:$R$1993,0)),"-")</f>
        <v>-</v>
      </c>
      <c r="F974" s="2" t="str">
        <f>IFERROR(INDEX(Movimientos!$G$2:$G$1993,MATCH(A974&amp;"ENTRADA",Movimientos!$R$2:$R$1993,0)),"-")</f>
        <v>-</v>
      </c>
      <c r="G974" s="2" t="str">
        <f>IFERROR(INDEX(Movimientos!$L$2:$L$1993,MATCH(A974&amp;"ENTRADA",Movimientos!$R$2:$R$1993,0)),"-")</f>
        <v>-</v>
      </c>
      <c r="H974" s="17" t="str">
        <f>IFERROR(IF(INDEX(Movimientos!$M$2:$M$1993,MATCH(A974&amp;"ENTRADA",Movimientos!$R$2:$R$1993,0))=0,"S/D",INDEX(Movimientos!$M$2:$M$1993,MATCH(A974&amp;"ENTRADA",Movimientos!$R$2:$R$1993,0))),"S/D")</f>
        <v>S/D</v>
      </c>
      <c r="I974" s="15" t="str">
        <f t="shared" ca="1" si="32"/>
        <v>S/D</v>
      </c>
      <c r="J974" s="5">
        <f>IF(A974="","",SUMIFS(Movimientos!$K:$K,Movimientos!$H:$H,A974))</f>
        <v>0</v>
      </c>
      <c r="K974" s="13" t="str">
        <f t="shared" ca="1" si="31"/>
        <v>SIN STOCK</v>
      </c>
    </row>
    <row r="975" spans="1:11">
      <c r="A975" s="16" t="s">
        <v>3280</v>
      </c>
      <c r="B975" s="2" t="str">
        <f>IFERROR(INDEX(Movimientos!$C$2:$C$1993,MATCH(A975&amp;"ENTRADA",Movimientos!$R$2:$R$1993,0)),"-")</f>
        <v>-</v>
      </c>
      <c r="C975" s="2" t="str">
        <f>IFERROR(INDEX(Movimientos!$D$2:$D$1993,MATCH(A975&amp;"ENTRADA",Movimientos!$R$2:$R$1993,0)),"-")</f>
        <v>-</v>
      </c>
      <c r="D975" s="2" t="str">
        <f>IFERROR(INDEX(Movimientos!$E$2:$E$1993,MATCH(A975&amp;"ENTRADA",Movimientos!$R$2:$R$1993,0)),"-")</f>
        <v>-</v>
      </c>
      <c r="E975" s="2" t="str">
        <f>IFERROR(INDEX(Movimientos!$F$2:$F$1993,MATCH(A975&amp;"ENTRADA",Movimientos!$R$2:$R$1993,0)),"-")</f>
        <v>-</v>
      </c>
      <c r="F975" s="2" t="str">
        <f>IFERROR(INDEX(Movimientos!$G$2:$G$1993,MATCH(A975&amp;"ENTRADA",Movimientos!$R$2:$R$1993,0)),"-")</f>
        <v>-</v>
      </c>
      <c r="G975" s="2" t="str">
        <f>IFERROR(INDEX(Movimientos!$L$2:$L$1993,MATCH(A975&amp;"ENTRADA",Movimientos!$R$2:$R$1993,0)),"-")</f>
        <v>-</v>
      </c>
      <c r="H975" s="17" t="str">
        <f>IFERROR(IF(INDEX(Movimientos!$M$2:$M$1993,MATCH(A975&amp;"ENTRADA",Movimientos!$R$2:$R$1993,0))=0,"S/D",INDEX(Movimientos!$M$2:$M$1993,MATCH(A975&amp;"ENTRADA",Movimientos!$R$2:$R$1993,0))),"S/D")</f>
        <v>S/D</v>
      </c>
      <c r="I975" s="15" t="str">
        <f t="shared" ca="1" si="32"/>
        <v>S/D</v>
      </c>
      <c r="J975" s="5">
        <f>IF(A975="","",SUMIFS(Movimientos!$K:$K,Movimientos!$H:$H,A975))</f>
        <v>0</v>
      </c>
      <c r="K975" s="13" t="str">
        <f t="shared" ca="1" si="31"/>
        <v>SIN STOCK</v>
      </c>
    </row>
    <row r="976" spans="1:11">
      <c r="A976" s="16" t="s">
        <v>3281</v>
      </c>
      <c r="B976" s="2" t="str">
        <f>IFERROR(INDEX(Movimientos!$C$2:$C$1993,MATCH(A976&amp;"ENTRADA",Movimientos!$R$2:$R$1993,0)),"-")</f>
        <v>-</v>
      </c>
      <c r="C976" s="2" t="str">
        <f>IFERROR(INDEX(Movimientos!$D$2:$D$1993,MATCH(A976&amp;"ENTRADA",Movimientos!$R$2:$R$1993,0)),"-")</f>
        <v>-</v>
      </c>
      <c r="D976" s="2" t="str">
        <f>IFERROR(INDEX(Movimientos!$E$2:$E$1993,MATCH(A976&amp;"ENTRADA",Movimientos!$R$2:$R$1993,0)),"-")</f>
        <v>-</v>
      </c>
      <c r="E976" s="2" t="str">
        <f>IFERROR(INDEX(Movimientos!$F$2:$F$1993,MATCH(A976&amp;"ENTRADA",Movimientos!$R$2:$R$1993,0)),"-")</f>
        <v>-</v>
      </c>
      <c r="F976" s="2" t="str">
        <f>IFERROR(INDEX(Movimientos!$G$2:$G$1993,MATCH(A976&amp;"ENTRADA",Movimientos!$R$2:$R$1993,0)),"-")</f>
        <v>-</v>
      </c>
      <c r="G976" s="2" t="str">
        <f>IFERROR(INDEX(Movimientos!$L$2:$L$1993,MATCH(A976&amp;"ENTRADA",Movimientos!$R$2:$R$1993,0)),"-")</f>
        <v>-</v>
      </c>
      <c r="H976" s="17" t="str">
        <f>IFERROR(IF(INDEX(Movimientos!$M$2:$M$1993,MATCH(A976&amp;"ENTRADA",Movimientos!$R$2:$R$1993,0))=0,"S/D",INDEX(Movimientos!$M$2:$M$1993,MATCH(A976&amp;"ENTRADA",Movimientos!$R$2:$R$1993,0))),"S/D")</f>
        <v>S/D</v>
      </c>
      <c r="I976" s="15" t="str">
        <f t="shared" ca="1" si="32"/>
        <v>S/D</v>
      </c>
      <c r="J976" s="5">
        <f>IF(A976="","",SUMIFS(Movimientos!$K:$K,Movimientos!$H:$H,A976))</f>
        <v>0</v>
      </c>
      <c r="K976" s="13" t="str">
        <f t="shared" ca="1" si="31"/>
        <v>SIN STOCK</v>
      </c>
    </row>
    <row r="977" spans="1:11">
      <c r="A977" s="16" t="s">
        <v>3282</v>
      </c>
      <c r="B977" s="2" t="str">
        <f>IFERROR(INDEX(Movimientos!$C$2:$C$1993,MATCH(A977&amp;"ENTRADA",Movimientos!$R$2:$R$1993,0)),"-")</f>
        <v>-</v>
      </c>
      <c r="C977" s="2" t="str">
        <f>IFERROR(INDEX(Movimientos!$D$2:$D$1993,MATCH(A977&amp;"ENTRADA",Movimientos!$R$2:$R$1993,0)),"-")</f>
        <v>-</v>
      </c>
      <c r="D977" s="2" t="str">
        <f>IFERROR(INDEX(Movimientos!$E$2:$E$1993,MATCH(A977&amp;"ENTRADA",Movimientos!$R$2:$R$1993,0)),"-")</f>
        <v>-</v>
      </c>
      <c r="E977" s="2" t="str">
        <f>IFERROR(INDEX(Movimientos!$F$2:$F$1993,MATCH(A977&amp;"ENTRADA",Movimientos!$R$2:$R$1993,0)),"-")</f>
        <v>-</v>
      </c>
      <c r="F977" s="2" t="str">
        <f>IFERROR(INDEX(Movimientos!$G$2:$G$1993,MATCH(A977&amp;"ENTRADA",Movimientos!$R$2:$R$1993,0)),"-")</f>
        <v>-</v>
      </c>
      <c r="G977" s="2" t="str">
        <f>IFERROR(INDEX(Movimientos!$L$2:$L$1993,MATCH(A977&amp;"ENTRADA",Movimientos!$R$2:$R$1993,0)),"-")</f>
        <v>-</v>
      </c>
      <c r="H977" s="17" t="str">
        <f>IFERROR(IF(INDEX(Movimientos!$M$2:$M$1993,MATCH(A977&amp;"ENTRADA",Movimientos!$R$2:$R$1993,0))=0,"S/D",INDEX(Movimientos!$M$2:$M$1993,MATCH(A977&amp;"ENTRADA",Movimientos!$R$2:$R$1993,0))),"S/D")</f>
        <v>S/D</v>
      </c>
      <c r="I977" s="15" t="str">
        <f t="shared" ca="1" si="32"/>
        <v>S/D</v>
      </c>
      <c r="J977" s="5">
        <f>IF(A977="","",SUMIFS(Movimientos!$K:$K,Movimientos!$H:$H,A977))</f>
        <v>0</v>
      </c>
      <c r="K977" s="13" t="str">
        <f t="shared" ca="1" si="31"/>
        <v>SIN STOCK</v>
      </c>
    </row>
    <row r="978" spans="1:11">
      <c r="A978" s="16" t="s">
        <v>3283</v>
      </c>
      <c r="B978" s="2" t="str">
        <f>IFERROR(INDEX(Movimientos!$C$2:$C$1993,MATCH(A978&amp;"ENTRADA",Movimientos!$R$2:$R$1993,0)),"-")</f>
        <v>-</v>
      </c>
      <c r="C978" s="2" t="str">
        <f>IFERROR(INDEX(Movimientos!$D$2:$D$1993,MATCH(A978&amp;"ENTRADA",Movimientos!$R$2:$R$1993,0)),"-")</f>
        <v>-</v>
      </c>
      <c r="D978" s="2" t="str">
        <f>IFERROR(INDEX(Movimientos!$E$2:$E$1993,MATCH(A978&amp;"ENTRADA",Movimientos!$R$2:$R$1993,0)),"-")</f>
        <v>-</v>
      </c>
      <c r="E978" s="2" t="str">
        <f>IFERROR(INDEX(Movimientos!$F$2:$F$1993,MATCH(A978&amp;"ENTRADA",Movimientos!$R$2:$R$1993,0)),"-")</f>
        <v>-</v>
      </c>
      <c r="F978" s="2" t="str">
        <f>IFERROR(INDEX(Movimientos!$G$2:$G$1993,MATCH(A978&amp;"ENTRADA",Movimientos!$R$2:$R$1993,0)),"-")</f>
        <v>-</v>
      </c>
      <c r="G978" s="2" t="str">
        <f>IFERROR(INDEX(Movimientos!$L$2:$L$1993,MATCH(A978&amp;"ENTRADA",Movimientos!$R$2:$R$1993,0)),"-")</f>
        <v>-</v>
      </c>
      <c r="H978" s="17" t="str">
        <f>IFERROR(IF(INDEX(Movimientos!$M$2:$M$1993,MATCH(A978&amp;"ENTRADA",Movimientos!$R$2:$R$1993,0))=0,"S/D",INDEX(Movimientos!$M$2:$M$1993,MATCH(A978&amp;"ENTRADA",Movimientos!$R$2:$R$1993,0))),"S/D")</f>
        <v>S/D</v>
      </c>
      <c r="I978" s="15" t="str">
        <f t="shared" ca="1" si="32"/>
        <v>S/D</v>
      </c>
      <c r="J978" s="5">
        <f>IF(A978="","",SUMIFS(Movimientos!$K:$K,Movimientos!$H:$H,A978))</f>
        <v>0</v>
      </c>
      <c r="K978" s="13" t="str">
        <f t="shared" ca="1" si="31"/>
        <v>SIN STOCK</v>
      </c>
    </row>
    <row r="979" spans="1:11">
      <c r="A979" s="16" t="s">
        <v>3284</v>
      </c>
      <c r="B979" s="2" t="str">
        <f>IFERROR(INDEX(Movimientos!$C$2:$C$1993,MATCH(A979&amp;"ENTRADA",Movimientos!$R$2:$R$1993,0)),"-")</f>
        <v>-</v>
      </c>
      <c r="C979" s="2" t="str">
        <f>IFERROR(INDEX(Movimientos!$D$2:$D$1993,MATCH(A979&amp;"ENTRADA",Movimientos!$R$2:$R$1993,0)),"-")</f>
        <v>-</v>
      </c>
      <c r="D979" s="2" t="str">
        <f>IFERROR(INDEX(Movimientos!$E$2:$E$1993,MATCH(A979&amp;"ENTRADA",Movimientos!$R$2:$R$1993,0)),"-")</f>
        <v>-</v>
      </c>
      <c r="E979" s="2" t="str">
        <f>IFERROR(INDEX(Movimientos!$F$2:$F$1993,MATCH(A979&amp;"ENTRADA",Movimientos!$R$2:$R$1993,0)),"-")</f>
        <v>-</v>
      </c>
      <c r="F979" s="2" t="str">
        <f>IFERROR(INDEX(Movimientos!$G$2:$G$1993,MATCH(A979&amp;"ENTRADA",Movimientos!$R$2:$R$1993,0)),"-")</f>
        <v>-</v>
      </c>
      <c r="G979" s="2" t="str">
        <f>IFERROR(INDEX(Movimientos!$L$2:$L$1993,MATCH(A979&amp;"ENTRADA",Movimientos!$R$2:$R$1993,0)),"-")</f>
        <v>-</v>
      </c>
      <c r="H979" s="17" t="str">
        <f>IFERROR(IF(INDEX(Movimientos!$M$2:$M$1993,MATCH(A979&amp;"ENTRADA",Movimientos!$R$2:$R$1993,0))=0,"S/D",INDEX(Movimientos!$M$2:$M$1993,MATCH(A979&amp;"ENTRADA",Movimientos!$R$2:$R$1993,0))),"S/D")</f>
        <v>S/D</v>
      </c>
      <c r="I979" s="15" t="str">
        <f t="shared" ca="1" si="32"/>
        <v>S/D</v>
      </c>
      <c r="J979" s="5">
        <f>IF(A979="","",SUMIFS(Movimientos!$K:$K,Movimientos!$H:$H,A979))</f>
        <v>0</v>
      </c>
      <c r="K979" s="13" t="str">
        <f t="shared" ca="1" si="31"/>
        <v>SIN STOCK</v>
      </c>
    </row>
    <row r="980" spans="1:11">
      <c r="A980" s="16" t="s">
        <v>3285</v>
      </c>
      <c r="B980" s="2" t="str">
        <f>IFERROR(INDEX(Movimientos!$C$2:$C$1993,MATCH(A980&amp;"ENTRADA",Movimientos!$R$2:$R$1993,0)),"-")</f>
        <v>-</v>
      </c>
      <c r="C980" s="2" t="str">
        <f>IFERROR(INDEX(Movimientos!$D$2:$D$1993,MATCH(A980&amp;"ENTRADA",Movimientos!$R$2:$R$1993,0)),"-")</f>
        <v>-</v>
      </c>
      <c r="D980" s="2" t="str">
        <f>IFERROR(INDEX(Movimientos!$E$2:$E$1993,MATCH(A980&amp;"ENTRADA",Movimientos!$R$2:$R$1993,0)),"-")</f>
        <v>-</v>
      </c>
      <c r="E980" s="2" t="str">
        <f>IFERROR(INDEX(Movimientos!$F$2:$F$1993,MATCH(A980&amp;"ENTRADA",Movimientos!$R$2:$R$1993,0)),"-")</f>
        <v>-</v>
      </c>
      <c r="F980" s="2" t="str">
        <f>IFERROR(INDEX(Movimientos!$G$2:$G$1993,MATCH(A980&amp;"ENTRADA",Movimientos!$R$2:$R$1993,0)),"-")</f>
        <v>-</v>
      </c>
      <c r="G980" s="2" t="str">
        <f>IFERROR(INDEX(Movimientos!$L$2:$L$1993,MATCH(A980&amp;"ENTRADA",Movimientos!$R$2:$R$1993,0)),"-")</f>
        <v>-</v>
      </c>
      <c r="H980" s="17" t="str">
        <f>IFERROR(IF(INDEX(Movimientos!$M$2:$M$1993,MATCH(A980&amp;"ENTRADA",Movimientos!$R$2:$R$1993,0))=0,"S/D",INDEX(Movimientos!$M$2:$M$1993,MATCH(A980&amp;"ENTRADA",Movimientos!$R$2:$R$1993,0))),"S/D")</f>
        <v>S/D</v>
      </c>
      <c r="I980" s="15" t="str">
        <f t="shared" ca="1" si="32"/>
        <v>S/D</v>
      </c>
      <c r="J980" s="5">
        <f>IF(A980="","",SUMIFS(Movimientos!$K:$K,Movimientos!$H:$H,A980))</f>
        <v>0</v>
      </c>
      <c r="K980" s="13" t="str">
        <f t="shared" ca="1" si="31"/>
        <v>SIN STOCK</v>
      </c>
    </row>
    <row r="981" spans="1:11">
      <c r="A981" s="16" t="s">
        <v>3286</v>
      </c>
      <c r="B981" s="2" t="str">
        <f>IFERROR(INDEX(Movimientos!$C$2:$C$1993,MATCH(A981&amp;"ENTRADA",Movimientos!$R$2:$R$1993,0)),"-")</f>
        <v>-</v>
      </c>
      <c r="C981" s="2" t="str">
        <f>IFERROR(INDEX(Movimientos!$D$2:$D$1993,MATCH(A981&amp;"ENTRADA",Movimientos!$R$2:$R$1993,0)),"-")</f>
        <v>-</v>
      </c>
      <c r="D981" s="2" t="str">
        <f>IFERROR(INDEX(Movimientos!$E$2:$E$1993,MATCH(A981&amp;"ENTRADA",Movimientos!$R$2:$R$1993,0)),"-")</f>
        <v>-</v>
      </c>
      <c r="E981" s="2" t="str">
        <f>IFERROR(INDEX(Movimientos!$F$2:$F$1993,MATCH(A981&amp;"ENTRADA",Movimientos!$R$2:$R$1993,0)),"-")</f>
        <v>-</v>
      </c>
      <c r="F981" s="2" t="str">
        <f>IFERROR(INDEX(Movimientos!$G$2:$G$1993,MATCH(A981&amp;"ENTRADA",Movimientos!$R$2:$R$1993,0)),"-")</f>
        <v>-</v>
      </c>
      <c r="G981" s="2" t="str">
        <f>IFERROR(INDEX(Movimientos!$L$2:$L$1993,MATCH(A981&amp;"ENTRADA",Movimientos!$R$2:$R$1993,0)),"-")</f>
        <v>-</v>
      </c>
      <c r="H981" s="17" t="str">
        <f>IFERROR(IF(INDEX(Movimientos!$M$2:$M$1993,MATCH(A981&amp;"ENTRADA",Movimientos!$R$2:$R$1993,0))=0,"S/D",INDEX(Movimientos!$M$2:$M$1993,MATCH(A981&amp;"ENTRADA",Movimientos!$R$2:$R$1993,0))),"S/D")</f>
        <v>S/D</v>
      </c>
      <c r="I981" s="15" t="str">
        <f t="shared" ca="1" si="32"/>
        <v>S/D</v>
      </c>
      <c r="J981" s="5">
        <f>IF(A981="","",SUMIFS(Movimientos!$K:$K,Movimientos!$H:$H,A981))</f>
        <v>0</v>
      </c>
      <c r="K981" s="13" t="str">
        <f t="shared" ca="1" si="31"/>
        <v>SIN STOCK</v>
      </c>
    </row>
    <row r="982" spans="1:11">
      <c r="A982" s="16" t="s">
        <v>3287</v>
      </c>
      <c r="B982" s="2" t="str">
        <f>IFERROR(INDEX(Movimientos!$C$2:$C$1993,MATCH(A982&amp;"ENTRADA",Movimientos!$R$2:$R$1993,0)),"-")</f>
        <v>-</v>
      </c>
      <c r="C982" s="2" t="str">
        <f>IFERROR(INDEX(Movimientos!$D$2:$D$1993,MATCH(A982&amp;"ENTRADA",Movimientos!$R$2:$R$1993,0)),"-")</f>
        <v>-</v>
      </c>
      <c r="D982" s="2" t="str">
        <f>IFERROR(INDEX(Movimientos!$E$2:$E$1993,MATCH(A982&amp;"ENTRADA",Movimientos!$R$2:$R$1993,0)),"-")</f>
        <v>-</v>
      </c>
      <c r="E982" s="2" t="str">
        <f>IFERROR(INDEX(Movimientos!$F$2:$F$1993,MATCH(A982&amp;"ENTRADA",Movimientos!$R$2:$R$1993,0)),"-")</f>
        <v>-</v>
      </c>
      <c r="F982" s="2" t="str">
        <f>IFERROR(INDEX(Movimientos!$G$2:$G$1993,MATCH(A982&amp;"ENTRADA",Movimientos!$R$2:$R$1993,0)),"-")</f>
        <v>-</v>
      </c>
      <c r="G982" s="2" t="str">
        <f>IFERROR(INDEX(Movimientos!$L$2:$L$1993,MATCH(A982&amp;"ENTRADA",Movimientos!$R$2:$R$1993,0)),"-")</f>
        <v>-</v>
      </c>
      <c r="H982" s="17" t="str">
        <f>IFERROR(IF(INDEX(Movimientos!$M$2:$M$1993,MATCH(A982&amp;"ENTRADA",Movimientos!$R$2:$R$1993,0))=0,"S/D",INDEX(Movimientos!$M$2:$M$1993,MATCH(A982&amp;"ENTRADA",Movimientos!$R$2:$R$1993,0))),"S/D")</f>
        <v>S/D</v>
      </c>
      <c r="I982" s="15" t="str">
        <f t="shared" ca="1" si="32"/>
        <v>S/D</v>
      </c>
      <c r="J982" s="5">
        <f>IF(A982="","",SUMIFS(Movimientos!$K:$K,Movimientos!$H:$H,A982))</f>
        <v>0</v>
      </c>
      <c r="K982" s="13" t="str">
        <f t="shared" ca="1" si="31"/>
        <v>SIN STOCK</v>
      </c>
    </row>
    <row r="983" spans="1:11">
      <c r="A983" s="16" t="s">
        <v>3288</v>
      </c>
      <c r="B983" s="2" t="str">
        <f>IFERROR(INDEX(Movimientos!$C$2:$C$1993,MATCH(A983&amp;"ENTRADA",Movimientos!$R$2:$R$1993,0)),"-")</f>
        <v>-</v>
      </c>
      <c r="C983" s="2" t="str">
        <f>IFERROR(INDEX(Movimientos!$D$2:$D$1993,MATCH(A983&amp;"ENTRADA",Movimientos!$R$2:$R$1993,0)),"-")</f>
        <v>-</v>
      </c>
      <c r="D983" s="2" t="str">
        <f>IFERROR(INDEX(Movimientos!$E$2:$E$1993,MATCH(A983&amp;"ENTRADA",Movimientos!$R$2:$R$1993,0)),"-")</f>
        <v>-</v>
      </c>
      <c r="E983" s="2" t="str">
        <f>IFERROR(INDEX(Movimientos!$F$2:$F$1993,MATCH(A983&amp;"ENTRADA",Movimientos!$R$2:$R$1993,0)),"-")</f>
        <v>-</v>
      </c>
      <c r="F983" s="2" t="str">
        <f>IFERROR(INDEX(Movimientos!$G$2:$G$1993,MATCH(A983&amp;"ENTRADA",Movimientos!$R$2:$R$1993,0)),"-")</f>
        <v>-</v>
      </c>
      <c r="G983" s="2" t="str">
        <f>IFERROR(INDEX(Movimientos!$L$2:$L$1993,MATCH(A983&amp;"ENTRADA",Movimientos!$R$2:$R$1993,0)),"-")</f>
        <v>-</v>
      </c>
      <c r="H983" s="17" t="str">
        <f>IFERROR(IF(INDEX(Movimientos!$M$2:$M$1993,MATCH(A983&amp;"ENTRADA",Movimientos!$R$2:$R$1993,0))=0,"S/D",INDEX(Movimientos!$M$2:$M$1993,MATCH(A983&amp;"ENTRADA",Movimientos!$R$2:$R$1993,0))),"S/D")</f>
        <v>S/D</v>
      </c>
      <c r="I983" s="15" t="str">
        <f t="shared" ca="1" si="32"/>
        <v>S/D</v>
      </c>
      <c r="J983" s="5">
        <f>IF(A983="","",SUMIFS(Movimientos!$K:$K,Movimientos!$H:$H,A983))</f>
        <v>0</v>
      </c>
      <c r="K983" s="13" t="str">
        <f t="shared" ca="1" si="31"/>
        <v>SIN STOCK</v>
      </c>
    </row>
    <row r="984" spans="1:11">
      <c r="A984" s="16" t="s">
        <v>3289</v>
      </c>
      <c r="B984" s="2" t="str">
        <f>IFERROR(INDEX(Movimientos!$C$2:$C$1993,MATCH(A984&amp;"ENTRADA",Movimientos!$R$2:$R$1993,0)),"-")</f>
        <v>-</v>
      </c>
      <c r="C984" s="2" t="str">
        <f>IFERROR(INDEX(Movimientos!$D$2:$D$1993,MATCH(A984&amp;"ENTRADA",Movimientos!$R$2:$R$1993,0)),"-")</f>
        <v>-</v>
      </c>
      <c r="D984" s="2" t="str">
        <f>IFERROR(INDEX(Movimientos!$E$2:$E$1993,MATCH(A984&amp;"ENTRADA",Movimientos!$R$2:$R$1993,0)),"-")</f>
        <v>-</v>
      </c>
      <c r="E984" s="2" t="str">
        <f>IFERROR(INDEX(Movimientos!$F$2:$F$1993,MATCH(A984&amp;"ENTRADA",Movimientos!$R$2:$R$1993,0)),"-")</f>
        <v>-</v>
      </c>
      <c r="F984" s="2" t="str">
        <f>IFERROR(INDEX(Movimientos!$G$2:$G$1993,MATCH(A984&amp;"ENTRADA",Movimientos!$R$2:$R$1993,0)),"-")</f>
        <v>-</v>
      </c>
      <c r="G984" s="2" t="str">
        <f>IFERROR(INDEX(Movimientos!$L$2:$L$1993,MATCH(A984&amp;"ENTRADA",Movimientos!$R$2:$R$1993,0)),"-")</f>
        <v>-</v>
      </c>
      <c r="H984" s="17" t="str">
        <f>IFERROR(IF(INDEX(Movimientos!$M$2:$M$1993,MATCH(A984&amp;"ENTRADA",Movimientos!$R$2:$R$1993,0))=0,"S/D",INDEX(Movimientos!$M$2:$M$1993,MATCH(A984&amp;"ENTRADA",Movimientos!$R$2:$R$1993,0))),"S/D")</f>
        <v>S/D</v>
      </c>
      <c r="I984" s="15" t="str">
        <f t="shared" ca="1" si="32"/>
        <v>S/D</v>
      </c>
      <c r="J984" s="5">
        <f>IF(A984="","",SUMIFS(Movimientos!$K:$K,Movimientos!$H:$H,A984))</f>
        <v>0</v>
      </c>
      <c r="K984" s="13" t="str">
        <f t="shared" ca="1" si="31"/>
        <v>SIN STOCK</v>
      </c>
    </row>
    <row r="985" spans="1:11">
      <c r="A985" s="16" t="s">
        <v>3290</v>
      </c>
      <c r="B985" s="2" t="str">
        <f>IFERROR(INDEX(Movimientos!$C$2:$C$1993,MATCH(A985&amp;"ENTRADA",Movimientos!$R$2:$R$1993,0)),"-")</f>
        <v>-</v>
      </c>
      <c r="C985" s="2" t="str">
        <f>IFERROR(INDEX(Movimientos!$D$2:$D$1993,MATCH(A985&amp;"ENTRADA",Movimientos!$R$2:$R$1993,0)),"-")</f>
        <v>-</v>
      </c>
      <c r="D985" s="2" t="str">
        <f>IFERROR(INDEX(Movimientos!$E$2:$E$1993,MATCH(A985&amp;"ENTRADA",Movimientos!$R$2:$R$1993,0)),"-")</f>
        <v>-</v>
      </c>
      <c r="E985" s="2" t="str">
        <f>IFERROR(INDEX(Movimientos!$F$2:$F$1993,MATCH(A985&amp;"ENTRADA",Movimientos!$R$2:$R$1993,0)),"-")</f>
        <v>-</v>
      </c>
      <c r="F985" s="2" t="str">
        <f>IFERROR(INDEX(Movimientos!$G$2:$G$1993,MATCH(A985&amp;"ENTRADA",Movimientos!$R$2:$R$1993,0)),"-")</f>
        <v>-</v>
      </c>
      <c r="G985" s="2" t="str">
        <f>IFERROR(INDEX(Movimientos!$L$2:$L$1993,MATCH(A985&amp;"ENTRADA",Movimientos!$R$2:$R$1993,0)),"-")</f>
        <v>-</v>
      </c>
      <c r="H985" s="17" t="str">
        <f>IFERROR(IF(INDEX(Movimientos!$M$2:$M$1993,MATCH(A985&amp;"ENTRADA",Movimientos!$R$2:$R$1993,0))=0,"S/D",INDEX(Movimientos!$M$2:$M$1993,MATCH(A985&amp;"ENTRADA",Movimientos!$R$2:$R$1993,0))),"S/D")</f>
        <v>S/D</v>
      </c>
      <c r="I985" s="15" t="str">
        <f t="shared" ca="1" si="32"/>
        <v>S/D</v>
      </c>
      <c r="J985" s="5">
        <f>IF(A985="","",SUMIFS(Movimientos!$K:$K,Movimientos!$H:$H,A985))</f>
        <v>0</v>
      </c>
      <c r="K985" s="13" t="str">
        <f t="shared" ca="1" si="31"/>
        <v>SIN STOCK</v>
      </c>
    </row>
    <row r="986" spans="1:11">
      <c r="A986" s="16" t="s">
        <v>3291</v>
      </c>
      <c r="B986" s="2" t="str">
        <f>IFERROR(INDEX(Movimientos!$C$2:$C$1993,MATCH(A986&amp;"ENTRADA",Movimientos!$R$2:$R$1993,0)),"-")</f>
        <v>-</v>
      </c>
      <c r="C986" s="2" t="str">
        <f>IFERROR(INDEX(Movimientos!$D$2:$D$1993,MATCH(A986&amp;"ENTRADA",Movimientos!$R$2:$R$1993,0)),"-")</f>
        <v>-</v>
      </c>
      <c r="D986" s="2" t="str">
        <f>IFERROR(INDEX(Movimientos!$E$2:$E$1993,MATCH(A986&amp;"ENTRADA",Movimientos!$R$2:$R$1993,0)),"-")</f>
        <v>-</v>
      </c>
      <c r="E986" s="2" t="str">
        <f>IFERROR(INDEX(Movimientos!$F$2:$F$1993,MATCH(A986&amp;"ENTRADA",Movimientos!$R$2:$R$1993,0)),"-")</f>
        <v>-</v>
      </c>
      <c r="F986" s="2" t="str">
        <f>IFERROR(INDEX(Movimientos!$G$2:$G$1993,MATCH(A986&amp;"ENTRADA",Movimientos!$R$2:$R$1993,0)),"-")</f>
        <v>-</v>
      </c>
      <c r="G986" s="2" t="str">
        <f>IFERROR(INDEX(Movimientos!$L$2:$L$1993,MATCH(A986&amp;"ENTRADA",Movimientos!$R$2:$R$1993,0)),"-")</f>
        <v>-</v>
      </c>
      <c r="H986" s="17" t="str">
        <f>IFERROR(IF(INDEX(Movimientos!$M$2:$M$1993,MATCH(A986&amp;"ENTRADA",Movimientos!$R$2:$R$1993,0))=0,"S/D",INDEX(Movimientos!$M$2:$M$1993,MATCH(A986&amp;"ENTRADA",Movimientos!$R$2:$R$1993,0))),"S/D")</f>
        <v>S/D</v>
      </c>
      <c r="I986" s="15" t="str">
        <f t="shared" ca="1" si="32"/>
        <v>S/D</v>
      </c>
      <c r="J986" s="5">
        <f>IF(A986="","",SUMIFS(Movimientos!$K:$K,Movimientos!$H:$H,A986))</f>
        <v>0</v>
      </c>
      <c r="K986" s="13" t="str">
        <f t="shared" ca="1" si="31"/>
        <v>SIN STOCK</v>
      </c>
    </row>
    <row r="987" spans="1:11">
      <c r="A987" s="16" t="s">
        <v>3292</v>
      </c>
      <c r="B987" s="2" t="str">
        <f>IFERROR(INDEX(Movimientos!$C$2:$C$1993,MATCH(A987&amp;"ENTRADA",Movimientos!$R$2:$R$1993,0)),"-")</f>
        <v>-</v>
      </c>
      <c r="C987" s="2" t="str">
        <f>IFERROR(INDEX(Movimientos!$D$2:$D$1993,MATCH(A987&amp;"ENTRADA",Movimientos!$R$2:$R$1993,0)),"-")</f>
        <v>-</v>
      </c>
      <c r="D987" s="2" t="str">
        <f>IFERROR(INDEX(Movimientos!$E$2:$E$1993,MATCH(A987&amp;"ENTRADA",Movimientos!$R$2:$R$1993,0)),"-")</f>
        <v>-</v>
      </c>
      <c r="E987" s="2" t="str">
        <f>IFERROR(INDEX(Movimientos!$F$2:$F$1993,MATCH(A987&amp;"ENTRADA",Movimientos!$R$2:$R$1993,0)),"-")</f>
        <v>-</v>
      </c>
      <c r="F987" s="2" t="str">
        <f>IFERROR(INDEX(Movimientos!$G$2:$G$1993,MATCH(A987&amp;"ENTRADA",Movimientos!$R$2:$R$1993,0)),"-")</f>
        <v>-</v>
      </c>
      <c r="G987" s="2" t="str">
        <f>IFERROR(INDEX(Movimientos!$L$2:$L$1993,MATCH(A987&amp;"ENTRADA",Movimientos!$R$2:$R$1993,0)),"-")</f>
        <v>-</v>
      </c>
      <c r="H987" s="17" t="str">
        <f>IFERROR(IF(INDEX(Movimientos!$M$2:$M$1993,MATCH(A987&amp;"ENTRADA",Movimientos!$R$2:$R$1993,0))=0,"S/D",INDEX(Movimientos!$M$2:$M$1993,MATCH(A987&amp;"ENTRADA",Movimientos!$R$2:$R$1993,0))),"S/D")</f>
        <v>S/D</v>
      </c>
      <c r="I987" s="15" t="str">
        <f t="shared" ca="1" si="32"/>
        <v>S/D</v>
      </c>
      <c r="J987" s="5">
        <f>IF(A987="","",SUMIFS(Movimientos!$K:$K,Movimientos!$H:$H,A987))</f>
        <v>0</v>
      </c>
      <c r="K987" s="13" t="str">
        <f t="shared" ca="1" si="31"/>
        <v>SIN STOCK</v>
      </c>
    </row>
    <row r="988" spans="1:11">
      <c r="A988" s="16" t="s">
        <v>3293</v>
      </c>
      <c r="B988" s="2" t="str">
        <f>IFERROR(INDEX(Movimientos!$C$2:$C$1993,MATCH(A988&amp;"ENTRADA",Movimientos!$R$2:$R$1993,0)),"-")</f>
        <v>-</v>
      </c>
      <c r="C988" s="2" t="str">
        <f>IFERROR(INDEX(Movimientos!$D$2:$D$1993,MATCH(A988&amp;"ENTRADA",Movimientos!$R$2:$R$1993,0)),"-")</f>
        <v>-</v>
      </c>
      <c r="D988" s="2" t="str">
        <f>IFERROR(INDEX(Movimientos!$E$2:$E$1993,MATCH(A988&amp;"ENTRADA",Movimientos!$R$2:$R$1993,0)),"-")</f>
        <v>-</v>
      </c>
      <c r="E988" s="2" t="str">
        <f>IFERROR(INDEX(Movimientos!$F$2:$F$1993,MATCH(A988&amp;"ENTRADA",Movimientos!$R$2:$R$1993,0)),"-")</f>
        <v>-</v>
      </c>
      <c r="F988" s="2" t="str">
        <f>IFERROR(INDEX(Movimientos!$G$2:$G$1993,MATCH(A988&amp;"ENTRADA",Movimientos!$R$2:$R$1993,0)),"-")</f>
        <v>-</v>
      </c>
      <c r="G988" s="2" t="str">
        <f>IFERROR(INDEX(Movimientos!$L$2:$L$1993,MATCH(A988&amp;"ENTRADA",Movimientos!$R$2:$R$1993,0)),"-")</f>
        <v>-</v>
      </c>
      <c r="H988" s="17" t="str">
        <f>IFERROR(IF(INDEX(Movimientos!$M$2:$M$1993,MATCH(A988&amp;"ENTRADA",Movimientos!$R$2:$R$1993,0))=0,"S/D",INDEX(Movimientos!$M$2:$M$1993,MATCH(A988&amp;"ENTRADA",Movimientos!$R$2:$R$1993,0))),"S/D")</f>
        <v>S/D</v>
      </c>
      <c r="I988" s="15" t="str">
        <f t="shared" ca="1" si="32"/>
        <v>S/D</v>
      </c>
      <c r="J988" s="5">
        <f>IF(A988="","",SUMIFS(Movimientos!$K:$K,Movimientos!$H:$H,A988))</f>
        <v>0</v>
      </c>
      <c r="K988" s="13" t="str">
        <f t="shared" ca="1" si="31"/>
        <v>SIN STOCK</v>
      </c>
    </row>
    <row r="989" spans="1:11">
      <c r="A989" s="16" t="s">
        <v>3294</v>
      </c>
      <c r="B989" s="2" t="str">
        <f>IFERROR(INDEX(Movimientos!$C$2:$C$1993,MATCH(A989&amp;"ENTRADA",Movimientos!$R$2:$R$1993,0)),"-")</f>
        <v>-</v>
      </c>
      <c r="C989" s="2" t="str">
        <f>IFERROR(INDEX(Movimientos!$D$2:$D$1993,MATCH(A989&amp;"ENTRADA",Movimientos!$R$2:$R$1993,0)),"-")</f>
        <v>-</v>
      </c>
      <c r="D989" s="2" t="str">
        <f>IFERROR(INDEX(Movimientos!$E$2:$E$1993,MATCH(A989&amp;"ENTRADA",Movimientos!$R$2:$R$1993,0)),"-")</f>
        <v>-</v>
      </c>
      <c r="E989" s="2" t="str">
        <f>IFERROR(INDEX(Movimientos!$F$2:$F$1993,MATCH(A989&amp;"ENTRADA",Movimientos!$R$2:$R$1993,0)),"-")</f>
        <v>-</v>
      </c>
      <c r="F989" s="2" t="str">
        <f>IFERROR(INDEX(Movimientos!$G$2:$G$1993,MATCH(A989&amp;"ENTRADA",Movimientos!$R$2:$R$1993,0)),"-")</f>
        <v>-</v>
      </c>
      <c r="G989" s="2" t="str">
        <f>IFERROR(INDEX(Movimientos!$L$2:$L$1993,MATCH(A989&amp;"ENTRADA",Movimientos!$R$2:$R$1993,0)),"-")</f>
        <v>-</v>
      </c>
      <c r="H989" s="17" t="str">
        <f>IFERROR(IF(INDEX(Movimientos!$M$2:$M$1993,MATCH(A989&amp;"ENTRADA",Movimientos!$R$2:$R$1993,0))=0,"S/D",INDEX(Movimientos!$M$2:$M$1993,MATCH(A989&amp;"ENTRADA",Movimientos!$R$2:$R$1993,0))),"S/D")</f>
        <v>S/D</v>
      </c>
      <c r="I989" s="15" t="str">
        <f t="shared" ca="1" si="32"/>
        <v>S/D</v>
      </c>
      <c r="J989" s="5">
        <f>IF(A989="","",SUMIFS(Movimientos!$K:$K,Movimientos!$H:$H,A989))</f>
        <v>0</v>
      </c>
      <c r="K989" s="13" t="str">
        <f t="shared" ca="1" si="31"/>
        <v>SIN STOCK</v>
      </c>
    </row>
    <row r="990" spans="1:11">
      <c r="A990" s="16" t="s">
        <v>3295</v>
      </c>
      <c r="B990" s="2" t="str">
        <f>IFERROR(INDEX(Movimientos!$C$2:$C$1993,MATCH(A990&amp;"ENTRADA",Movimientos!$R$2:$R$1993,0)),"-")</f>
        <v>-</v>
      </c>
      <c r="C990" s="2" t="str">
        <f>IFERROR(INDEX(Movimientos!$D$2:$D$1993,MATCH(A990&amp;"ENTRADA",Movimientos!$R$2:$R$1993,0)),"-")</f>
        <v>-</v>
      </c>
      <c r="D990" s="2" t="str">
        <f>IFERROR(INDEX(Movimientos!$E$2:$E$1993,MATCH(A990&amp;"ENTRADA",Movimientos!$R$2:$R$1993,0)),"-")</f>
        <v>-</v>
      </c>
      <c r="E990" s="2" t="str">
        <f>IFERROR(INDEX(Movimientos!$F$2:$F$1993,MATCH(A990&amp;"ENTRADA",Movimientos!$R$2:$R$1993,0)),"-")</f>
        <v>-</v>
      </c>
      <c r="F990" s="2" t="str">
        <f>IFERROR(INDEX(Movimientos!$G$2:$G$1993,MATCH(A990&amp;"ENTRADA",Movimientos!$R$2:$R$1993,0)),"-")</f>
        <v>-</v>
      </c>
      <c r="G990" s="2" t="str">
        <f>IFERROR(INDEX(Movimientos!$L$2:$L$1993,MATCH(A990&amp;"ENTRADA",Movimientos!$R$2:$R$1993,0)),"-")</f>
        <v>-</v>
      </c>
      <c r="H990" s="17" t="str">
        <f>IFERROR(IF(INDEX(Movimientos!$M$2:$M$1993,MATCH(A990&amp;"ENTRADA",Movimientos!$R$2:$R$1993,0))=0,"S/D",INDEX(Movimientos!$M$2:$M$1993,MATCH(A990&amp;"ENTRADA",Movimientos!$R$2:$R$1993,0))),"S/D")</f>
        <v>S/D</v>
      </c>
      <c r="I990" s="15" t="str">
        <f t="shared" ca="1" si="32"/>
        <v>S/D</v>
      </c>
      <c r="J990" s="5">
        <f>IF(A990="","",SUMIFS(Movimientos!$K:$K,Movimientos!$H:$H,A990))</f>
        <v>0</v>
      </c>
      <c r="K990" s="13" t="str">
        <f t="shared" ca="1" si="31"/>
        <v>SIN STOCK</v>
      </c>
    </row>
    <row r="991" spans="1:11">
      <c r="A991" s="16" t="s">
        <v>3296</v>
      </c>
      <c r="B991" s="2" t="str">
        <f>IFERROR(INDEX(Movimientos!$C$2:$C$1993,MATCH(A991&amp;"ENTRADA",Movimientos!$R$2:$R$1993,0)),"-")</f>
        <v>-</v>
      </c>
      <c r="C991" s="2" t="str">
        <f>IFERROR(INDEX(Movimientos!$D$2:$D$1993,MATCH(A991&amp;"ENTRADA",Movimientos!$R$2:$R$1993,0)),"-")</f>
        <v>-</v>
      </c>
      <c r="D991" s="2" t="str">
        <f>IFERROR(INDEX(Movimientos!$E$2:$E$1993,MATCH(A991&amp;"ENTRADA",Movimientos!$R$2:$R$1993,0)),"-")</f>
        <v>-</v>
      </c>
      <c r="E991" s="2" t="str">
        <f>IFERROR(INDEX(Movimientos!$F$2:$F$1993,MATCH(A991&amp;"ENTRADA",Movimientos!$R$2:$R$1993,0)),"-")</f>
        <v>-</v>
      </c>
      <c r="F991" s="2" t="str">
        <f>IFERROR(INDEX(Movimientos!$G$2:$G$1993,MATCH(A991&amp;"ENTRADA",Movimientos!$R$2:$R$1993,0)),"-")</f>
        <v>-</v>
      </c>
      <c r="G991" s="2" t="str">
        <f>IFERROR(INDEX(Movimientos!$L$2:$L$1993,MATCH(A991&amp;"ENTRADA",Movimientos!$R$2:$R$1993,0)),"-")</f>
        <v>-</v>
      </c>
      <c r="H991" s="17" t="str">
        <f>IFERROR(IF(INDEX(Movimientos!$M$2:$M$1993,MATCH(A991&amp;"ENTRADA",Movimientos!$R$2:$R$1993,0))=0,"S/D",INDEX(Movimientos!$M$2:$M$1993,MATCH(A991&amp;"ENTRADA",Movimientos!$R$2:$R$1993,0))),"S/D")</f>
        <v>S/D</v>
      </c>
      <c r="I991" s="15" t="str">
        <f t="shared" ca="1" si="32"/>
        <v>S/D</v>
      </c>
      <c r="J991" s="5">
        <f>IF(A991="","",SUMIFS(Movimientos!$K:$K,Movimientos!$H:$H,A991))</f>
        <v>0</v>
      </c>
      <c r="K991" s="13" t="str">
        <f t="shared" ca="1" si="31"/>
        <v>SIN STOCK</v>
      </c>
    </row>
    <row r="992" spans="1:11">
      <c r="A992" s="16" t="s">
        <v>3297</v>
      </c>
      <c r="B992" s="2" t="str">
        <f>IFERROR(INDEX(Movimientos!$C$2:$C$1993,MATCH(A992&amp;"ENTRADA",Movimientos!$R$2:$R$1993,0)),"-")</f>
        <v>-</v>
      </c>
      <c r="C992" s="2" t="str">
        <f>IFERROR(INDEX(Movimientos!$D$2:$D$1993,MATCH(A992&amp;"ENTRADA",Movimientos!$R$2:$R$1993,0)),"-")</f>
        <v>-</v>
      </c>
      <c r="D992" s="2" t="str">
        <f>IFERROR(INDEX(Movimientos!$E$2:$E$1993,MATCH(A992&amp;"ENTRADA",Movimientos!$R$2:$R$1993,0)),"-")</f>
        <v>-</v>
      </c>
      <c r="E992" s="2" t="str">
        <f>IFERROR(INDEX(Movimientos!$F$2:$F$1993,MATCH(A992&amp;"ENTRADA",Movimientos!$R$2:$R$1993,0)),"-")</f>
        <v>-</v>
      </c>
      <c r="F992" s="2" t="str">
        <f>IFERROR(INDEX(Movimientos!$G$2:$G$1993,MATCH(A992&amp;"ENTRADA",Movimientos!$R$2:$R$1993,0)),"-")</f>
        <v>-</v>
      </c>
      <c r="G992" s="2" t="str">
        <f>IFERROR(INDEX(Movimientos!$L$2:$L$1993,MATCH(A992&amp;"ENTRADA",Movimientos!$R$2:$R$1993,0)),"-")</f>
        <v>-</v>
      </c>
      <c r="H992" s="17" t="str">
        <f>IFERROR(IF(INDEX(Movimientos!$M$2:$M$1993,MATCH(A992&amp;"ENTRADA",Movimientos!$R$2:$R$1993,0))=0,"S/D",INDEX(Movimientos!$M$2:$M$1993,MATCH(A992&amp;"ENTRADA",Movimientos!$R$2:$R$1993,0))),"S/D")</f>
        <v>S/D</v>
      </c>
      <c r="I992" s="15" t="str">
        <f t="shared" ca="1" si="32"/>
        <v>S/D</v>
      </c>
      <c r="J992" s="5">
        <f>IF(A992="","",SUMIFS(Movimientos!$K:$K,Movimientos!$H:$H,A992))</f>
        <v>0</v>
      </c>
      <c r="K992" s="13" t="str">
        <f t="shared" ca="1" si="31"/>
        <v>SIN STOCK</v>
      </c>
    </row>
    <row r="993" spans="1:11">
      <c r="A993" s="16" t="s">
        <v>3298</v>
      </c>
      <c r="B993" s="2" t="str">
        <f>IFERROR(INDEX(Movimientos!$C$2:$C$1993,MATCH(A993&amp;"ENTRADA",Movimientos!$R$2:$R$1993,0)),"-")</f>
        <v>-</v>
      </c>
      <c r="C993" s="2" t="str">
        <f>IFERROR(INDEX(Movimientos!$D$2:$D$1993,MATCH(A993&amp;"ENTRADA",Movimientos!$R$2:$R$1993,0)),"-")</f>
        <v>-</v>
      </c>
      <c r="D993" s="2" t="str">
        <f>IFERROR(INDEX(Movimientos!$E$2:$E$1993,MATCH(A993&amp;"ENTRADA",Movimientos!$R$2:$R$1993,0)),"-")</f>
        <v>-</v>
      </c>
      <c r="E993" s="2" t="str">
        <f>IFERROR(INDEX(Movimientos!$F$2:$F$1993,MATCH(A993&amp;"ENTRADA",Movimientos!$R$2:$R$1993,0)),"-")</f>
        <v>-</v>
      </c>
      <c r="F993" s="2" t="str">
        <f>IFERROR(INDEX(Movimientos!$G$2:$G$1993,MATCH(A993&amp;"ENTRADA",Movimientos!$R$2:$R$1993,0)),"-")</f>
        <v>-</v>
      </c>
      <c r="G993" s="2" t="str">
        <f>IFERROR(INDEX(Movimientos!$L$2:$L$1993,MATCH(A993&amp;"ENTRADA",Movimientos!$R$2:$R$1993,0)),"-")</f>
        <v>-</v>
      </c>
      <c r="H993" s="17" t="str">
        <f>IFERROR(IF(INDEX(Movimientos!$M$2:$M$1993,MATCH(A993&amp;"ENTRADA",Movimientos!$R$2:$R$1993,0))=0,"S/D",INDEX(Movimientos!$M$2:$M$1993,MATCH(A993&amp;"ENTRADA",Movimientos!$R$2:$R$1993,0))),"S/D")</f>
        <v>S/D</v>
      </c>
      <c r="I993" s="15" t="str">
        <f t="shared" ca="1" si="32"/>
        <v>S/D</v>
      </c>
      <c r="J993" s="5">
        <f>IF(A993="","",SUMIFS(Movimientos!$K:$K,Movimientos!$H:$H,A993))</f>
        <v>0</v>
      </c>
      <c r="K993" s="13" t="str">
        <f t="shared" ca="1" si="31"/>
        <v>SIN STOCK</v>
      </c>
    </row>
    <row r="994" spans="1:11">
      <c r="A994" s="16" t="s">
        <v>3299</v>
      </c>
      <c r="B994" s="2" t="str">
        <f>IFERROR(INDEX(Movimientos!$C$2:$C$1993,MATCH(A994&amp;"ENTRADA",Movimientos!$R$2:$R$1993,0)),"-")</f>
        <v>-</v>
      </c>
      <c r="C994" s="2" t="str">
        <f>IFERROR(INDEX(Movimientos!$D$2:$D$1993,MATCH(A994&amp;"ENTRADA",Movimientos!$R$2:$R$1993,0)),"-")</f>
        <v>-</v>
      </c>
      <c r="D994" s="2" t="str">
        <f>IFERROR(INDEX(Movimientos!$E$2:$E$1993,MATCH(A994&amp;"ENTRADA",Movimientos!$R$2:$R$1993,0)),"-")</f>
        <v>-</v>
      </c>
      <c r="E994" s="2" t="str">
        <f>IFERROR(INDEX(Movimientos!$F$2:$F$1993,MATCH(A994&amp;"ENTRADA",Movimientos!$R$2:$R$1993,0)),"-")</f>
        <v>-</v>
      </c>
      <c r="F994" s="2" t="str">
        <f>IFERROR(INDEX(Movimientos!$G$2:$G$1993,MATCH(A994&amp;"ENTRADA",Movimientos!$R$2:$R$1993,0)),"-")</f>
        <v>-</v>
      </c>
      <c r="G994" s="2" t="str">
        <f>IFERROR(INDEX(Movimientos!$L$2:$L$1993,MATCH(A994&amp;"ENTRADA",Movimientos!$R$2:$R$1993,0)),"-")</f>
        <v>-</v>
      </c>
      <c r="H994" s="17" t="str">
        <f>IFERROR(IF(INDEX(Movimientos!$M$2:$M$1993,MATCH(A994&amp;"ENTRADA",Movimientos!$R$2:$R$1993,0))=0,"S/D",INDEX(Movimientos!$M$2:$M$1993,MATCH(A994&amp;"ENTRADA",Movimientos!$R$2:$R$1993,0))),"S/D")</f>
        <v>S/D</v>
      </c>
      <c r="I994" s="15" t="str">
        <f t="shared" ca="1" si="32"/>
        <v>S/D</v>
      </c>
      <c r="J994" s="5">
        <f>IF(A994="","",SUMIFS(Movimientos!$K:$K,Movimientos!$H:$H,A994))</f>
        <v>0</v>
      </c>
      <c r="K994" s="13" t="str">
        <f t="shared" ca="1" si="31"/>
        <v>SIN STOCK</v>
      </c>
    </row>
    <row r="995" spans="1:11">
      <c r="A995" s="16" t="s">
        <v>3300</v>
      </c>
      <c r="B995" s="2" t="str">
        <f>IFERROR(INDEX(Movimientos!$C$2:$C$1993,MATCH(A995&amp;"ENTRADA",Movimientos!$R$2:$R$1993,0)),"-")</f>
        <v>-</v>
      </c>
      <c r="C995" s="2" t="str">
        <f>IFERROR(INDEX(Movimientos!$D$2:$D$1993,MATCH(A995&amp;"ENTRADA",Movimientos!$R$2:$R$1993,0)),"-")</f>
        <v>-</v>
      </c>
      <c r="D995" s="2" t="str">
        <f>IFERROR(INDEX(Movimientos!$E$2:$E$1993,MATCH(A995&amp;"ENTRADA",Movimientos!$R$2:$R$1993,0)),"-")</f>
        <v>-</v>
      </c>
      <c r="E995" s="2" t="str">
        <f>IFERROR(INDEX(Movimientos!$F$2:$F$1993,MATCH(A995&amp;"ENTRADA",Movimientos!$R$2:$R$1993,0)),"-")</f>
        <v>-</v>
      </c>
      <c r="F995" s="2" t="str">
        <f>IFERROR(INDEX(Movimientos!$G$2:$G$1993,MATCH(A995&amp;"ENTRADA",Movimientos!$R$2:$R$1993,0)),"-")</f>
        <v>-</v>
      </c>
      <c r="G995" s="2" t="str">
        <f>IFERROR(INDEX(Movimientos!$L$2:$L$1993,MATCH(A995&amp;"ENTRADA",Movimientos!$R$2:$R$1993,0)),"-")</f>
        <v>-</v>
      </c>
      <c r="H995" s="17" t="str">
        <f>IFERROR(IF(INDEX(Movimientos!$M$2:$M$1993,MATCH(A995&amp;"ENTRADA",Movimientos!$R$2:$R$1993,0))=0,"S/D",INDEX(Movimientos!$M$2:$M$1993,MATCH(A995&amp;"ENTRADA",Movimientos!$R$2:$R$1993,0))),"S/D")</f>
        <v>S/D</v>
      </c>
      <c r="I995" s="15" t="str">
        <f t="shared" ca="1" si="32"/>
        <v>S/D</v>
      </c>
      <c r="J995" s="5">
        <f>IF(A995="","",SUMIFS(Movimientos!$K:$K,Movimientos!$H:$H,A995))</f>
        <v>0</v>
      </c>
      <c r="K995" s="13" t="str">
        <f t="shared" ca="1" si="31"/>
        <v>SIN STOCK</v>
      </c>
    </row>
    <row r="996" spans="1:11">
      <c r="A996" s="16" t="s">
        <v>3301</v>
      </c>
      <c r="B996" s="2" t="str">
        <f>IFERROR(INDEX(Movimientos!$C$2:$C$1993,MATCH(A996&amp;"ENTRADA",Movimientos!$R$2:$R$1993,0)),"-")</f>
        <v>-</v>
      </c>
      <c r="C996" s="2" t="str">
        <f>IFERROR(INDEX(Movimientos!$D$2:$D$1993,MATCH(A996&amp;"ENTRADA",Movimientos!$R$2:$R$1993,0)),"-")</f>
        <v>-</v>
      </c>
      <c r="D996" s="2" t="str">
        <f>IFERROR(INDEX(Movimientos!$E$2:$E$1993,MATCH(A996&amp;"ENTRADA",Movimientos!$R$2:$R$1993,0)),"-")</f>
        <v>-</v>
      </c>
      <c r="E996" s="2" t="str">
        <f>IFERROR(INDEX(Movimientos!$F$2:$F$1993,MATCH(A996&amp;"ENTRADA",Movimientos!$R$2:$R$1993,0)),"-")</f>
        <v>-</v>
      </c>
      <c r="F996" s="2" t="str">
        <f>IFERROR(INDEX(Movimientos!$G$2:$G$1993,MATCH(A996&amp;"ENTRADA",Movimientos!$R$2:$R$1993,0)),"-")</f>
        <v>-</v>
      </c>
      <c r="G996" s="2" t="str">
        <f>IFERROR(INDEX(Movimientos!$L$2:$L$1993,MATCH(A996&amp;"ENTRADA",Movimientos!$R$2:$R$1993,0)),"-")</f>
        <v>-</v>
      </c>
      <c r="H996" s="17" t="str">
        <f>IFERROR(IF(INDEX(Movimientos!$M$2:$M$1993,MATCH(A996&amp;"ENTRADA",Movimientos!$R$2:$R$1993,0))=0,"S/D",INDEX(Movimientos!$M$2:$M$1993,MATCH(A996&amp;"ENTRADA",Movimientos!$R$2:$R$1993,0))),"S/D")</f>
        <v>S/D</v>
      </c>
      <c r="I996" s="15" t="str">
        <f t="shared" ca="1" si="32"/>
        <v>S/D</v>
      </c>
      <c r="J996" s="5">
        <f>IF(A996="","",SUMIFS(Movimientos!$K:$K,Movimientos!$H:$H,A996))</f>
        <v>0</v>
      </c>
      <c r="K996" s="13" t="str">
        <f t="shared" ca="1" si="31"/>
        <v>SIN STOCK</v>
      </c>
    </row>
    <row r="997" spans="1:11">
      <c r="K997" s="13" t="str">
        <f t="shared" ca="1" si="31"/>
        <v/>
      </c>
    </row>
    <row r="998" spans="1:11">
      <c r="K998" s="13" t="str">
        <f t="shared" ca="1" si="31"/>
        <v/>
      </c>
    </row>
    <row r="999" spans="1:11">
      <c r="K999" s="13" t="str">
        <f t="shared" ca="1" si="31"/>
        <v/>
      </c>
    </row>
    <row r="1000" spans="1:11">
      <c r="K1000" s="13" t="str">
        <f t="shared" ca="1" si="31"/>
        <v/>
      </c>
    </row>
    <row r="1001" spans="1:11">
      <c r="K1001" s="13" t="str">
        <f t="shared" ca="1" si="31"/>
        <v/>
      </c>
    </row>
    <row r="1002" spans="1:11">
      <c r="K1002" s="13" t="str">
        <f t="shared" ca="1" si="31"/>
        <v/>
      </c>
    </row>
    <row r="1003" spans="1:11">
      <c r="K1003" s="13" t="str">
        <f t="shared" ca="1" si="31"/>
        <v/>
      </c>
    </row>
  </sheetData>
  <autoFilter ref="A1:K1003" xr:uid="{00000000-0001-0000-0100-000000000000}"/>
  <phoneticPr fontId="9" type="noConversion"/>
  <conditionalFormatting sqref="K2:K1003">
    <cfRule type="expression" dxfId="7" priority="5">
      <formula>K2="OK"</formula>
    </cfRule>
    <cfRule type="expression" dxfId="6" priority="6">
      <formula>K2="PRÓXIMO A VENCER"</formula>
    </cfRule>
    <cfRule type="expression" dxfId="5" priority="7">
      <formula>K2="SIN STOCK"</formula>
    </cfRule>
    <cfRule type="expression" dxfId="4" priority="8">
      <formula>K2="VENCIDO"</formula>
    </cfRule>
  </conditionalFormatting>
  <conditionalFormatting sqref="A59">
    <cfRule type="expression" dxfId="3" priority="1">
      <formula>$I59="ENTRADA"</formula>
    </cfRule>
    <cfRule type="expression" dxfId="2" priority="2">
      <formula>$I59="SALIDA"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H81"/>
  <sheetViews>
    <sheetView showGridLines="0" topLeftCell="A65" workbookViewId="0">
      <selection activeCell="A79" sqref="A79"/>
    </sheetView>
  </sheetViews>
  <sheetFormatPr defaultColWidth="9.140625" defaultRowHeight="15"/>
  <cols>
    <col min="1" max="1" width="45.28515625" customWidth="1"/>
    <col min="2" max="2" width="74.85546875" bestFit="1" customWidth="1"/>
    <col min="3" max="3" width="22" customWidth="1"/>
    <col min="4" max="4" width="12.7109375" bestFit="1" customWidth="1"/>
    <col min="5" max="5" width="16.140625" bestFit="1" customWidth="1"/>
    <col min="6" max="6" width="9.28515625" bestFit="1" customWidth="1"/>
    <col min="8" max="8" width="14.42578125" customWidth="1"/>
  </cols>
  <sheetData>
    <row r="1" spans="1:8" ht="21.75" customHeight="1">
      <c r="A1" s="23" t="s">
        <v>2358</v>
      </c>
      <c r="B1" s="23" t="s">
        <v>3302</v>
      </c>
      <c r="C1" s="23" t="s">
        <v>4</v>
      </c>
      <c r="D1" s="23" t="s">
        <v>5</v>
      </c>
      <c r="E1" s="23" t="s">
        <v>6</v>
      </c>
      <c r="F1" s="23" t="s">
        <v>3303</v>
      </c>
      <c r="G1" s="23" t="s">
        <v>11</v>
      </c>
      <c r="H1" s="23" t="s">
        <v>3304</v>
      </c>
    </row>
    <row r="2" spans="1:8">
      <c r="A2" t="s">
        <v>23</v>
      </c>
      <c r="B2" t="s">
        <v>24</v>
      </c>
      <c r="C2" s="24" t="s">
        <v>3305</v>
      </c>
      <c r="D2" s="24" t="s">
        <v>3306</v>
      </c>
      <c r="E2" s="24" t="s">
        <v>36</v>
      </c>
      <c r="F2" s="24" t="s">
        <v>28</v>
      </c>
      <c r="G2" s="24" t="s">
        <v>37</v>
      </c>
      <c r="H2" s="10" t="s">
        <v>213</v>
      </c>
    </row>
    <row r="3" spans="1:8">
      <c r="A3" t="s">
        <v>32</v>
      </c>
      <c r="B3" t="s">
        <v>105</v>
      </c>
      <c r="C3" s="24" t="s">
        <v>516</v>
      </c>
      <c r="D3" s="24" t="s">
        <v>3307</v>
      </c>
      <c r="E3" s="24" t="s">
        <v>72</v>
      </c>
      <c r="F3" s="24" t="s">
        <v>65</v>
      </c>
      <c r="G3" s="24" t="s">
        <v>29</v>
      </c>
      <c r="H3" s="10" t="s">
        <v>152</v>
      </c>
    </row>
    <row r="4" spans="1:8">
      <c r="A4" t="s">
        <v>40</v>
      </c>
      <c r="B4" t="s">
        <v>41</v>
      </c>
      <c r="C4" s="24" t="s">
        <v>34</v>
      </c>
      <c r="D4" s="24" t="s">
        <v>3308</v>
      </c>
      <c r="E4" s="24" t="s">
        <v>77</v>
      </c>
      <c r="G4" s="24" t="s">
        <v>3309</v>
      </c>
      <c r="H4" s="10" t="s">
        <v>66</v>
      </c>
    </row>
    <row r="5" spans="1:8">
      <c r="A5" t="s">
        <v>44</v>
      </c>
      <c r="B5" t="s">
        <v>63</v>
      </c>
      <c r="C5" s="24" t="s">
        <v>25</v>
      </c>
      <c r="D5" s="24" t="s">
        <v>3310</v>
      </c>
      <c r="E5" s="10" t="s">
        <v>27</v>
      </c>
      <c r="G5" s="24" t="s">
        <v>3311</v>
      </c>
      <c r="H5" s="10" t="s">
        <v>382</v>
      </c>
    </row>
    <row r="6" spans="1:8">
      <c r="A6" t="s">
        <v>50</v>
      </c>
      <c r="B6" t="s">
        <v>280</v>
      </c>
      <c r="C6" s="24" t="s">
        <v>493</v>
      </c>
      <c r="D6" s="24" t="s">
        <v>46</v>
      </c>
      <c r="E6" s="24" t="s">
        <v>83</v>
      </c>
      <c r="G6" s="24" t="s">
        <v>73</v>
      </c>
      <c r="H6" s="10" t="s">
        <v>237</v>
      </c>
    </row>
    <row r="7" spans="1:8">
      <c r="A7" t="s">
        <v>54</v>
      </c>
      <c r="B7" t="s">
        <v>55</v>
      </c>
      <c r="C7" s="24" t="s">
        <v>285</v>
      </c>
      <c r="D7" s="24" t="s">
        <v>35</v>
      </c>
      <c r="E7" s="24" t="s">
        <v>117</v>
      </c>
      <c r="G7" s="24" t="s">
        <v>632</v>
      </c>
      <c r="H7" t="s">
        <v>218</v>
      </c>
    </row>
    <row r="8" spans="1:8">
      <c r="A8" t="s">
        <v>59</v>
      </c>
      <c r="B8" t="s">
        <v>60</v>
      </c>
      <c r="C8" s="24" t="s">
        <v>132</v>
      </c>
      <c r="D8" s="24" t="s">
        <v>3312</v>
      </c>
      <c r="E8" s="24" t="s">
        <v>133</v>
      </c>
      <c r="G8" s="24" t="s">
        <v>56</v>
      </c>
      <c r="H8" t="s">
        <v>309</v>
      </c>
    </row>
    <row r="9" spans="1:8">
      <c r="A9" t="s">
        <v>75</v>
      </c>
      <c r="B9" t="s">
        <v>76</v>
      </c>
      <c r="C9" s="24" t="s">
        <v>70</v>
      </c>
      <c r="D9" s="24" t="s">
        <v>3313</v>
      </c>
      <c r="E9" s="24" t="s">
        <v>158</v>
      </c>
      <c r="G9" s="10" t="s">
        <v>3314</v>
      </c>
      <c r="H9" t="s">
        <v>311</v>
      </c>
    </row>
    <row r="10" spans="1:8">
      <c r="A10" t="s">
        <v>70</v>
      </c>
      <c r="B10" t="s">
        <v>71</v>
      </c>
      <c r="C10" s="24" t="s">
        <v>578</v>
      </c>
      <c r="D10" s="24" t="s">
        <v>427</v>
      </c>
      <c r="E10" s="24" t="s">
        <v>166</v>
      </c>
      <c r="H10" t="s">
        <v>331</v>
      </c>
    </row>
    <row r="11" spans="1:8">
      <c r="A11" t="s">
        <v>80</v>
      </c>
      <c r="B11" t="s">
        <v>81</v>
      </c>
      <c r="C11" s="24"/>
      <c r="D11" s="24" t="s">
        <v>558</v>
      </c>
      <c r="E11" s="24" t="s">
        <v>180</v>
      </c>
      <c r="H11" t="s">
        <v>387</v>
      </c>
    </row>
    <row r="12" spans="1:8">
      <c r="A12" t="s">
        <v>86</v>
      </c>
      <c r="B12" t="s">
        <v>87</v>
      </c>
      <c r="C12" s="24"/>
      <c r="D12" s="24" t="s">
        <v>26</v>
      </c>
      <c r="E12" t="s">
        <v>176</v>
      </c>
      <c r="H12" t="s">
        <v>590</v>
      </c>
    </row>
    <row r="13" spans="1:8">
      <c r="A13" t="s">
        <v>90</v>
      </c>
      <c r="B13" t="s">
        <v>91</v>
      </c>
      <c r="C13" s="24"/>
      <c r="D13" s="24" t="s">
        <v>3315</v>
      </c>
      <c r="E13" t="s">
        <v>3316</v>
      </c>
      <c r="H13" t="s">
        <v>1023</v>
      </c>
    </row>
    <row r="14" spans="1:8">
      <c r="A14" t="s">
        <v>112</v>
      </c>
      <c r="B14" t="s">
        <v>113</v>
      </c>
      <c r="C14" s="24"/>
      <c r="D14" s="24" t="s">
        <v>631</v>
      </c>
      <c r="E14" t="s">
        <v>3317</v>
      </c>
      <c r="H14" t="s">
        <v>1042</v>
      </c>
    </row>
    <row r="15" spans="1:8">
      <c r="A15" t="s">
        <v>108</v>
      </c>
      <c r="B15" t="s">
        <v>109</v>
      </c>
      <c r="C15" s="24"/>
      <c r="D15" s="24" t="s">
        <v>3318</v>
      </c>
      <c r="E15" t="s">
        <v>259</v>
      </c>
    </row>
    <row r="16" spans="1:8">
      <c r="A16" t="s">
        <v>115</v>
      </c>
      <c r="B16" t="s">
        <v>116</v>
      </c>
      <c r="D16" s="24" t="s">
        <v>3319</v>
      </c>
      <c r="E16" t="s">
        <v>301</v>
      </c>
    </row>
    <row r="17" spans="1:5">
      <c r="A17" t="s">
        <v>122</v>
      </c>
      <c r="B17" t="s">
        <v>123</v>
      </c>
      <c r="D17" t="s">
        <v>82</v>
      </c>
      <c r="E17" t="s">
        <v>771</v>
      </c>
    </row>
    <row r="18" spans="1:5">
      <c r="A18" t="s">
        <v>130</v>
      </c>
      <c r="B18" t="s">
        <v>131</v>
      </c>
      <c r="D18" t="s">
        <v>128</v>
      </c>
      <c r="E18" t="s">
        <v>777</v>
      </c>
    </row>
    <row r="19" spans="1:5">
      <c r="A19" t="s">
        <v>137</v>
      </c>
      <c r="B19" t="s">
        <v>138</v>
      </c>
      <c r="D19" t="s">
        <v>165</v>
      </c>
      <c r="E19" t="s">
        <v>1032</v>
      </c>
    </row>
    <row r="20" spans="1:5">
      <c r="A20" t="s">
        <v>141</v>
      </c>
      <c r="B20" t="s">
        <v>142</v>
      </c>
      <c r="D20" t="s">
        <v>170</v>
      </c>
    </row>
    <row r="21" spans="1:5">
      <c r="A21" t="s">
        <v>147</v>
      </c>
      <c r="B21" t="s">
        <v>148</v>
      </c>
      <c r="D21" t="s">
        <v>174</v>
      </c>
    </row>
    <row r="22" spans="1:5">
      <c r="A22" t="s">
        <v>156</v>
      </c>
      <c r="B22" t="s">
        <v>157</v>
      </c>
      <c r="D22" t="s">
        <v>184</v>
      </c>
    </row>
    <row r="23" spans="1:5">
      <c r="A23" t="s">
        <v>160</v>
      </c>
      <c r="B23" t="s">
        <v>161</v>
      </c>
      <c r="D23" t="s">
        <v>188</v>
      </c>
    </row>
    <row r="24" spans="1:5">
      <c r="A24" t="s">
        <v>164</v>
      </c>
      <c r="B24" t="s">
        <v>164</v>
      </c>
      <c r="D24" t="s">
        <v>192</v>
      </c>
    </row>
    <row r="25" spans="1:5">
      <c r="A25" t="s">
        <v>168</v>
      </c>
      <c r="B25" t="s">
        <v>169</v>
      </c>
      <c r="D25" t="s">
        <v>195</v>
      </c>
    </row>
    <row r="26" spans="1:5">
      <c r="A26" t="s">
        <v>172</v>
      </c>
      <c r="B26" t="s">
        <v>173</v>
      </c>
      <c r="D26" t="s">
        <v>258</v>
      </c>
    </row>
    <row r="27" spans="1:5">
      <c r="A27" t="s">
        <v>178</v>
      </c>
      <c r="B27" t="s">
        <v>179</v>
      </c>
      <c r="D27" t="s">
        <v>286</v>
      </c>
    </row>
    <row r="28" spans="1:5">
      <c r="A28" t="s">
        <v>182</v>
      </c>
      <c r="B28" t="s">
        <v>183</v>
      </c>
      <c r="D28" t="s">
        <v>3320</v>
      </c>
    </row>
    <row r="29" spans="1:5">
      <c r="A29" t="s">
        <v>186</v>
      </c>
      <c r="B29" t="s">
        <v>187</v>
      </c>
      <c r="D29" t="s">
        <v>3321</v>
      </c>
    </row>
    <row r="30" spans="1:5">
      <c r="A30" t="s">
        <v>190</v>
      </c>
      <c r="B30" t="s">
        <v>191</v>
      </c>
      <c r="D30" t="s">
        <v>1056</v>
      </c>
    </row>
    <row r="31" spans="1:5">
      <c r="A31" t="s">
        <v>194</v>
      </c>
      <c r="B31" t="s">
        <v>194</v>
      </c>
    </row>
    <row r="32" spans="1:5">
      <c r="A32" t="s">
        <v>228</v>
      </c>
      <c r="B32" t="s">
        <v>229</v>
      </c>
    </row>
    <row r="33" spans="1:2">
      <c r="A33" t="s">
        <v>231</v>
      </c>
      <c r="B33" t="s">
        <v>231</v>
      </c>
    </row>
    <row r="34" spans="1:2">
      <c r="A34" t="s">
        <v>126</v>
      </c>
      <c r="B34" t="s">
        <v>127</v>
      </c>
    </row>
    <row r="35" spans="1:2">
      <c r="A35" t="s">
        <v>245</v>
      </c>
      <c r="B35" t="s">
        <v>246</v>
      </c>
    </row>
    <row r="36" spans="1:2">
      <c r="A36" t="s">
        <v>249</v>
      </c>
      <c r="B36" t="s">
        <v>250</v>
      </c>
    </row>
    <row r="37" spans="1:2">
      <c r="A37" t="s">
        <v>256</v>
      </c>
      <c r="B37" t="s">
        <v>257</v>
      </c>
    </row>
    <row r="38" spans="1:2">
      <c r="A38" t="s">
        <v>261</v>
      </c>
      <c r="B38" t="s">
        <v>262</v>
      </c>
    </row>
    <row r="39" spans="1:2">
      <c r="A39" t="s">
        <v>264</v>
      </c>
      <c r="B39" t="s">
        <v>265</v>
      </c>
    </row>
    <row r="40" spans="1:2">
      <c r="A40" t="s">
        <v>267</v>
      </c>
      <c r="B40" t="s">
        <v>267</v>
      </c>
    </row>
    <row r="41" spans="1:2">
      <c r="A41" t="s">
        <v>283</v>
      </c>
      <c r="B41" t="s">
        <v>284</v>
      </c>
    </row>
    <row r="42" spans="1:2">
      <c r="A42" t="s">
        <v>299</v>
      </c>
      <c r="B42" t="s">
        <v>300</v>
      </c>
    </row>
    <row r="43" spans="1:2">
      <c r="A43" t="s">
        <v>304</v>
      </c>
      <c r="B43" t="s">
        <v>305</v>
      </c>
    </row>
    <row r="44" spans="1:2">
      <c r="A44" t="s">
        <v>3322</v>
      </c>
      <c r="B44" t="s">
        <v>426</v>
      </c>
    </row>
    <row r="45" spans="1:2">
      <c r="A45" t="s">
        <v>429</v>
      </c>
      <c r="B45" t="s">
        <v>430</v>
      </c>
    </row>
    <row r="46" spans="1:2">
      <c r="A46" s="48" t="s">
        <v>491</v>
      </c>
      <c r="B46" t="s">
        <v>492</v>
      </c>
    </row>
    <row r="47" spans="1:2">
      <c r="A47" t="s">
        <v>514</v>
      </c>
      <c r="B47" t="s">
        <v>515</v>
      </c>
    </row>
    <row r="48" spans="1:2">
      <c r="A48" t="s">
        <v>524</v>
      </c>
      <c r="B48" t="s">
        <v>525</v>
      </c>
    </row>
    <row r="49" spans="1:2">
      <c r="A49" t="s">
        <v>527</v>
      </c>
      <c r="B49" t="s">
        <v>528</v>
      </c>
    </row>
    <row r="50" spans="1:2">
      <c r="A50" t="s">
        <v>534</v>
      </c>
      <c r="B50" t="s">
        <v>535</v>
      </c>
    </row>
    <row r="51" spans="1:2">
      <c r="A51" t="s">
        <v>556</v>
      </c>
      <c r="B51" t="s">
        <v>557</v>
      </c>
    </row>
    <row r="52" spans="1:2">
      <c r="A52" t="s">
        <v>576</v>
      </c>
      <c r="B52" t="s">
        <v>577</v>
      </c>
    </row>
    <row r="53" spans="1:2">
      <c r="A53" t="s">
        <v>580</v>
      </c>
      <c r="B53" t="s">
        <v>630</v>
      </c>
    </row>
    <row r="54" spans="1:2">
      <c r="A54" t="s">
        <v>634</v>
      </c>
      <c r="B54" t="s">
        <v>720</v>
      </c>
    </row>
    <row r="55" spans="1:2">
      <c r="A55" t="s">
        <v>629</v>
      </c>
      <c r="B55" t="s">
        <v>751</v>
      </c>
    </row>
    <row r="56" spans="1:2">
      <c r="A56" t="s">
        <v>636</v>
      </c>
      <c r="B56" t="s">
        <v>758</v>
      </c>
    </row>
    <row r="57" spans="1:2">
      <c r="A57" t="s">
        <v>656</v>
      </c>
      <c r="B57" t="s">
        <v>761</v>
      </c>
    </row>
    <row r="58" spans="1:2">
      <c r="A58" t="s">
        <v>719</v>
      </c>
      <c r="B58" t="s">
        <v>764</v>
      </c>
    </row>
    <row r="59" spans="1:2">
      <c r="A59" t="s">
        <v>750</v>
      </c>
      <c r="B59" t="s">
        <v>767</v>
      </c>
    </row>
    <row r="60" spans="1:2">
      <c r="A60" t="s">
        <v>757</v>
      </c>
      <c r="B60" t="s">
        <v>770</v>
      </c>
    </row>
    <row r="61" spans="1:2">
      <c r="A61" t="s">
        <v>760</v>
      </c>
      <c r="B61" t="s">
        <v>776</v>
      </c>
    </row>
    <row r="62" spans="1:2">
      <c r="A62" t="s">
        <v>763</v>
      </c>
      <c r="B62" t="s">
        <v>780</v>
      </c>
    </row>
    <row r="63" spans="1:2">
      <c r="A63" t="s">
        <v>766</v>
      </c>
      <c r="B63" t="s">
        <v>783</v>
      </c>
    </row>
    <row r="64" spans="1:2">
      <c r="A64" t="s">
        <v>769</v>
      </c>
      <c r="B64" t="s">
        <v>786</v>
      </c>
    </row>
    <row r="65" spans="1:2">
      <c r="A65" t="s">
        <v>775</v>
      </c>
      <c r="B65" t="s">
        <v>789</v>
      </c>
    </row>
    <row r="66" spans="1:2">
      <c r="A66" t="s">
        <v>779</v>
      </c>
      <c r="B66" t="s">
        <v>3323</v>
      </c>
    </row>
    <row r="67" spans="1:2">
      <c r="A67" t="s">
        <v>782</v>
      </c>
      <c r="B67" t="s">
        <v>3323</v>
      </c>
    </row>
    <row r="68" spans="1:2">
      <c r="A68" t="s">
        <v>785</v>
      </c>
      <c r="B68" t="s">
        <v>934</v>
      </c>
    </row>
    <row r="69" spans="1:2">
      <c r="A69" t="s">
        <v>788</v>
      </c>
      <c r="B69" t="s">
        <v>941</v>
      </c>
    </row>
    <row r="70" spans="1:2">
      <c r="A70" t="s">
        <v>838</v>
      </c>
      <c r="B70" t="s">
        <v>944</v>
      </c>
    </row>
    <row r="71" spans="1:2">
      <c r="A71" t="s">
        <v>840</v>
      </c>
      <c r="B71" t="s">
        <v>951</v>
      </c>
    </row>
    <row r="72" spans="1:2">
      <c r="A72" t="s">
        <v>910</v>
      </c>
      <c r="B72" t="s">
        <v>991</v>
      </c>
    </row>
    <row r="73" spans="1:2">
      <c r="A73" t="s">
        <v>933</v>
      </c>
      <c r="B73" t="s">
        <v>1031</v>
      </c>
    </row>
    <row r="74" spans="1:2">
      <c r="A74" t="s">
        <v>3324</v>
      </c>
      <c r="B74" t="s">
        <v>1055</v>
      </c>
    </row>
    <row r="75" spans="1:2">
      <c r="A75" t="s">
        <v>943</v>
      </c>
      <c r="B75" t="s">
        <v>1058</v>
      </c>
    </row>
    <row r="76" spans="1:2">
      <c r="A76" t="s">
        <v>950</v>
      </c>
      <c r="B76" t="s">
        <v>1061</v>
      </c>
    </row>
    <row r="77" spans="1:2">
      <c r="A77" t="s">
        <v>990</v>
      </c>
      <c r="B77" t="s">
        <v>657</v>
      </c>
    </row>
    <row r="78" spans="1:2" ht="14.25" customHeight="1">
      <c r="A78" t="s">
        <v>1030</v>
      </c>
      <c r="B78" t="s">
        <v>3325</v>
      </c>
    </row>
    <row r="79" spans="1:2">
      <c r="A79" t="s">
        <v>1054</v>
      </c>
    </row>
    <row r="80" spans="1:2">
      <c r="A80" t="s">
        <v>1060</v>
      </c>
    </row>
    <row r="81" spans="1:1">
      <c r="A81" t="s">
        <v>1094</v>
      </c>
    </row>
  </sheetData>
  <conditionalFormatting sqref="A46">
    <cfRule type="expression" dxfId="1" priority="1">
      <formula>$I46="ENTRADA"</formula>
    </cfRule>
    <cfRule type="expression" dxfId="0" priority="2">
      <formula>$I46="SALIDA"</formula>
    </cfRule>
  </conditionalFormatting>
  <dataValidations count="1">
    <dataValidation type="list" allowBlank="1" sqref="A46" xr:uid="{76D66E8E-0FD7-4484-8B49-E44DD8183973}">
      <formula1>$A$2:$A$199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21"/>
  <sheetViews>
    <sheetView showGridLines="0" topLeftCell="A19" workbookViewId="0">
      <selection activeCell="B2" sqref="B2"/>
    </sheetView>
  </sheetViews>
  <sheetFormatPr defaultColWidth="9.140625" defaultRowHeight="15"/>
  <cols>
    <col min="1" max="1" width="30" customWidth="1"/>
    <col min="2" max="2" width="75" customWidth="1"/>
  </cols>
  <sheetData>
    <row r="1" spans="1:2" ht="27.75" customHeight="1">
      <c r="A1" s="1" t="s">
        <v>3326</v>
      </c>
    </row>
    <row r="2" spans="1:2">
      <c r="B2" t="s">
        <v>3327</v>
      </c>
    </row>
    <row r="3" spans="1:2" ht="18" customHeight="1">
      <c r="A3" s="11" t="s">
        <v>3328</v>
      </c>
      <c r="B3" s="12"/>
    </row>
    <row r="4" spans="1:2" ht="30" customHeight="1">
      <c r="A4" s="25" t="s">
        <v>3329</v>
      </c>
      <c r="B4" s="26" t="s">
        <v>3330</v>
      </c>
    </row>
    <row r="5" spans="1:2" ht="30" customHeight="1">
      <c r="A5" s="25" t="s">
        <v>3331</v>
      </c>
      <c r="B5" s="26" t="s">
        <v>3332</v>
      </c>
    </row>
    <row r="6" spans="1:2" ht="30" customHeight="1">
      <c r="A6" s="25" t="s">
        <v>3333</v>
      </c>
      <c r="B6" s="26" t="s">
        <v>3334</v>
      </c>
    </row>
    <row r="7" spans="1:2" ht="18" customHeight="1">
      <c r="A7" s="27"/>
      <c r="B7" s="27"/>
    </row>
    <row r="8" spans="1:2" ht="18" customHeight="1">
      <c r="A8" s="11" t="s">
        <v>3335</v>
      </c>
      <c r="B8" s="12"/>
    </row>
    <row r="9" spans="1:2" ht="30" customHeight="1">
      <c r="A9" s="25" t="s">
        <v>3336</v>
      </c>
      <c r="B9" s="26" t="s">
        <v>3337</v>
      </c>
    </row>
    <row r="10" spans="1:2" ht="30" customHeight="1">
      <c r="A10" s="25" t="s">
        <v>3338</v>
      </c>
      <c r="B10" s="26" t="s">
        <v>3339</v>
      </c>
    </row>
    <row r="11" spans="1:2" ht="30" customHeight="1">
      <c r="A11" s="25" t="s">
        <v>3340</v>
      </c>
      <c r="B11" s="26" t="s">
        <v>3341</v>
      </c>
    </row>
    <row r="12" spans="1:2" ht="30" customHeight="1">
      <c r="A12" s="25" t="s">
        <v>3342</v>
      </c>
      <c r="B12" s="26" t="s">
        <v>3343</v>
      </c>
    </row>
    <row r="13" spans="1:2" ht="30" customHeight="1">
      <c r="A13" s="25" t="s">
        <v>3344</v>
      </c>
      <c r="B13" s="26" t="s">
        <v>3345</v>
      </c>
    </row>
    <row r="14" spans="1:2" ht="18" customHeight="1">
      <c r="A14" s="27"/>
      <c r="B14" s="27"/>
    </row>
    <row r="15" spans="1:2" ht="18" customHeight="1">
      <c r="A15" s="11" t="s">
        <v>3346</v>
      </c>
      <c r="B15" s="12"/>
    </row>
    <row r="16" spans="1:2" ht="30" customHeight="1">
      <c r="A16" s="25" t="s">
        <v>3347</v>
      </c>
      <c r="B16" s="26" t="s">
        <v>3348</v>
      </c>
    </row>
    <row r="17" spans="1:2" ht="18" customHeight="1">
      <c r="A17" s="27"/>
      <c r="B17" s="27"/>
    </row>
    <row r="18" spans="1:2" ht="18" customHeight="1">
      <c r="A18" s="11" t="s">
        <v>3349</v>
      </c>
      <c r="B18" s="12"/>
    </row>
    <row r="19" spans="1:2" ht="30" customHeight="1">
      <c r="A19" s="25" t="s">
        <v>3350</v>
      </c>
      <c r="B19" s="26" t="s">
        <v>3351</v>
      </c>
    </row>
    <row r="20" spans="1:2" ht="30" customHeight="1">
      <c r="A20" s="25" t="s">
        <v>3352</v>
      </c>
      <c r="B20" s="26" t="s">
        <v>3353</v>
      </c>
    </row>
    <row r="21" spans="1:2" ht="30" customHeight="1">
      <c r="A21" s="25" t="s">
        <v>3354</v>
      </c>
      <c r="B21" s="26" t="s">
        <v>3355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867580-4592-47a8-a490-5f1990c83971" xsi:nil="true"/>
    <lcf76f155ced4ddcb4097134ff3c332f xmlns="6f4b1271-3e48-4fa4-9395-5da21e2ace2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1D466C73CDF643807BA842554885B1" ma:contentTypeVersion="16" ma:contentTypeDescription="Crear nuevo documento." ma:contentTypeScope="" ma:versionID="8e1c5aa86496f51e6901b2b089969625">
  <xsd:schema xmlns:xsd="http://www.w3.org/2001/XMLSchema" xmlns:xs="http://www.w3.org/2001/XMLSchema" xmlns:p="http://schemas.microsoft.com/office/2006/metadata/properties" xmlns:ns2="6f4b1271-3e48-4fa4-9395-5da21e2ace23" xmlns:ns3="28867580-4592-47a8-a490-5f1990c83971" targetNamespace="http://schemas.microsoft.com/office/2006/metadata/properties" ma:root="true" ma:fieldsID="8574df20a81ac730ef1e2c2435c9ef30" ns2:_="" ns3:_="">
    <xsd:import namespace="6f4b1271-3e48-4fa4-9395-5da21e2ace23"/>
    <xsd:import namespace="28867580-4592-47a8-a490-5f1990c839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b1271-3e48-4fa4-9395-5da21e2ace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abc8f33-ee36-423c-af3d-fc7009dd3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67580-4592-47a8-a490-5f1990c839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fb74ee-af40-4cc9-bfa0-1d1e117c2076}" ma:internalName="TaxCatchAll" ma:showField="CatchAllData" ma:web="28867580-4592-47a8-a490-5f1990c839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F06CDD4-6CD8-41B6-81B7-B8F8F77245D9}"/>
</file>

<file path=customXml/itemProps2.xml><?xml version="1.0" encoding="utf-8"?>
<ds:datastoreItem xmlns:ds="http://schemas.openxmlformats.org/officeDocument/2006/customXml" ds:itemID="{7294339B-35B7-4743-B34B-97DDAED0EEF0}"/>
</file>

<file path=customXml/itemProps3.xml><?xml version="1.0" encoding="utf-8"?>
<ds:datastoreItem xmlns:ds="http://schemas.openxmlformats.org/officeDocument/2006/customXml" ds:itemID="{9F7B3009-C52E-4D66-81EE-EDC55AE40F61}"/>
</file>

<file path=customXml/itemProps4.xml><?xml version="1.0" encoding="utf-8"?>
<ds:datastoreItem xmlns:ds="http://schemas.openxmlformats.org/officeDocument/2006/customXml" ds:itemID="{2729620E-34FA-47C5-A97A-8372DD9A4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Lauro Sastre</cp:lastModifiedBy>
  <cp:revision/>
  <dcterms:created xsi:type="dcterms:W3CDTF">2026-04-02T12:24:04Z</dcterms:created>
  <dcterms:modified xsi:type="dcterms:W3CDTF">2026-10-14T12:49:04Z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0x010100711D466C73CDF643807BA842554885B1</vt:lpwstr>
  </property>
  <property fmtid="{D5CDD505-2E9C-101B-9397-08002B2CF9AE}" pid="3" name="MediaServiceImageTags">
    <vt:lpwstr/>
  </property>
</Properties>
</file>