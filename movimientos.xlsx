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4F34EF49-FEC7-4C4E-994A-007F0EADB500}" xr6:coauthVersionLast="47" xr6:coauthVersionMax="47" xr10:uidLastSave="{00000000-0000-0000-0000-000000000000}"/>
  <bookViews>
    <workbookView xWindow="-120" yWindow="-120" windowWidth="20730" windowHeight="11040" firstSheet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 s="1"/>
  <c r="R30" i="1" s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1" i="1"/>
  <c r="T31" i="1"/>
  <c r="H31" i="1" s="1"/>
  <c r="S32" i="1"/>
  <c r="T32" i="1"/>
  <c r="H32" i="1" s="1"/>
  <c r="S33" i="1"/>
  <c r="T33" i="1"/>
  <c r="H33" i="1" s="1"/>
  <c r="S35" i="1"/>
  <c r="T35" i="1"/>
  <c r="H35" i="1" s="1"/>
  <c r="S36" i="1"/>
  <c r="T36" i="1"/>
  <c r="S37" i="1"/>
  <c r="T37" i="1"/>
  <c r="S38" i="1"/>
  <c r="T38" i="1"/>
  <c r="H38" i="1" s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1" i="1"/>
  <c r="R32" i="1"/>
  <c r="R33" i="1"/>
  <c r="R35" i="1"/>
  <c r="R36" i="1"/>
  <c r="R37" i="1"/>
  <c r="R38" i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 s="1"/>
  <c r="H73" i="1"/>
  <c r="R73" i="1" s="1"/>
  <c r="R74" i="1"/>
  <c r="R49" i="1"/>
  <c r="R76" i="1"/>
  <c r="R78" i="1"/>
  <c r="R79" i="1"/>
  <c r="R80" i="1"/>
  <c r="R81" i="1"/>
  <c r="R82" i="1"/>
  <c r="H29" i="1"/>
  <c r="R29" i="1" s="1"/>
  <c r="R83" i="1"/>
  <c r="H84" i="1"/>
  <c r="R84" i="1" s="1"/>
  <c r="R34" i="1"/>
  <c r="R77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R96" i="1"/>
  <c r="R97" i="1"/>
  <c r="R98" i="1"/>
  <c r="R99" i="1"/>
  <c r="R100" i="1"/>
  <c r="R101" i="1"/>
  <c r="R102" i="1"/>
  <c r="R103" i="1"/>
  <c r="H104" i="1"/>
  <c r="R104" i="1" s="1"/>
  <c r="R105" i="1"/>
  <c r="R106" i="1"/>
  <c r="H107" i="1"/>
  <c r="R107" i="1" s="1"/>
  <c r="R108" i="1"/>
  <c r="H179" i="1"/>
  <c r="R179" i="1" s="1"/>
  <c r="H190" i="1"/>
  <c r="R190" i="1" s="1"/>
  <c r="H201" i="1"/>
  <c r="R201" i="1" s="1"/>
  <c r="H212" i="1"/>
  <c r="R212" i="1" s="1"/>
  <c r="H223" i="1"/>
  <c r="R223" i="1" s="1"/>
  <c r="H234" i="1"/>
  <c r="R234" i="1" s="1"/>
  <c r="H245" i="1"/>
  <c r="R245" i="1" s="1"/>
  <c r="H256" i="1"/>
  <c r="R256" i="1" s="1"/>
  <c r="H267" i="1"/>
  <c r="R267" i="1" s="1"/>
  <c r="H278" i="1"/>
  <c r="R278" i="1" s="1"/>
  <c r="H289" i="1"/>
  <c r="R289" i="1" s="1"/>
  <c r="H300" i="1"/>
  <c r="R300" i="1" s="1"/>
  <c r="H311" i="1"/>
  <c r="R311" i="1" s="1"/>
  <c r="H322" i="1"/>
  <c r="R322" i="1" s="1"/>
  <c r="H333" i="1"/>
  <c r="R333" i="1" s="1"/>
  <c r="H344" i="1"/>
  <c r="R344" i="1" s="1"/>
  <c r="H355" i="1"/>
  <c r="R355" i="1" s="1"/>
  <c r="H366" i="1"/>
  <c r="R366" i="1" s="1"/>
  <c r="H377" i="1"/>
  <c r="R377" i="1" s="1"/>
  <c r="H388" i="1"/>
  <c r="R388" i="1" s="1"/>
  <c r="H399" i="1"/>
  <c r="R399" i="1" s="1"/>
  <c r="H410" i="1"/>
  <c r="R410" i="1" s="1"/>
  <c r="H421" i="1"/>
  <c r="R421" i="1" s="1"/>
  <c r="H432" i="1"/>
  <c r="R432" i="1" s="1"/>
  <c r="H443" i="1"/>
  <c r="R443" i="1" s="1"/>
  <c r="H454" i="1"/>
  <c r="R454" i="1" s="1"/>
  <c r="H465" i="1"/>
  <c r="R465" i="1" s="1"/>
  <c r="H476" i="1"/>
  <c r="R476" i="1" s="1"/>
  <c r="H487" i="1"/>
  <c r="R487" i="1" s="1"/>
  <c r="H498" i="1"/>
  <c r="R498" i="1" s="1"/>
  <c r="H509" i="1"/>
  <c r="R509" i="1" s="1"/>
  <c r="H520" i="1"/>
  <c r="R520" i="1" s="1"/>
  <c r="H531" i="1"/>
  <c r="R531" i="1" s="1"/>
  <c r="H542" i="1"/>
  <c r="R542" i="1" s="1"/>
  <c r="H553" i="1"/>
  <c r="R553" i="1" s="1"/>
  <c r="H564" i="1"/>
  <c r="R564" i="1" s="1"/>
  <c r="H575" i="1"/>
  <c r="R575" i="1" s="1"/>
  <c r="H586" i="1"/>
  <c r="R586" i="1" s="1"/>
  <c r="H597" i="1"/>
  <c r="R597" i="1" s="1"/>
  <c r="H608" i="1"/>
  <c r="R608" i="1" s="1"/>
  <c r="H619" i="1"/>
  <c r="R619" i="1" s="1"/>
  <c r="H630" i="1"/>
  <c r="R630" i="1" s="1"/>
  <c r="H641" i="1"/>
  <c r="R641" i="1" s="1"/>
  <c r="H652" i="1"/>
  <c r="R652" i="1" s="1"/>
  <c r="H663" i="1"/>
  <c r="R663" i="1" s="1"/>
  <c r="H674" i="1"/>
  <c r="R674" i="1" s="1"/>
  <c r="H685" i="1"/>
  <c r="R685" i="1" s="1"/>
  <c r="H696" i="1"/>
  <c r="R696" i="1" s="1"/>
  <c r="H707" i="1"/>
  <c r="R707" i="1" s="1"/>
  <c r="H718" i="1"/>
  <c r="R718" i="1" s="1"/>
  <c r="H729" i="1"/>
  <c r="R729" i="1" s="1"/>
  <c r="H740" i="1"/>
  <c r="R740" i="1" s="1"/>
  <c r="H751" i="1"/>
  <c r="R751" i="1" s="1"/>
  <c r="H762" i="1"/>
  <c r="R762" i="1" s="1"/>
  <c r="H773" i="1"/>
  <c r="R773" i="1" s="1"/>
  <c r="H784" i="1"/>
  <c r="R784" i="1" s="1"/>
  <c r="H795" i="1"/>
  <c r="R795" i="1" s="1"/>
  <c r="H806" i="1"/>
  <c r="R806" i="1" s="1"/>
  <c r="H817" i="1"/>
  <c r="R817" i="1" s="1"/>
  <c r="H828" i="1"/>
  <c r="R828" i="1" s="1"/>
  <c r="H839" i="1"/>
  <c r="R839" i="1" s="1"/>
  <c r="H850" i="1"/>
  <c r="R850" i="1" s="1"/>
  <c r="H861" i="1"/>
  <c r="R861" i="1" s="1"/>
  <c r="H872" i="1"/>
  <c r="R872" i="1" s="1"/>
  <c r="H883" i="1"/>
  <c r="R883" i="1" s="1"/>
  <c r="H894" i="1"/>
  <c r="R894" i="1" s="1"/>
  <c r="H905" i="1"/>
  <c r="R905" i="1" s="1"/>
  <c r="H916" i="1"/>
  <c r="R916" i="1" s="1"/>
  <c r="H927" i="1"/>
  <c r="R927" i="1" s="1"/>
  <c r="H938" i="1"/>
  <c r="R938" i="1" s="1"/>
  <c r="H949" i="1"/>
  <c r="R949" i="1" s="1"/>
  <c r="H960" i="1"/>
  <c r="R960" i="1" s="1"/>
  <c r="H971" i="1"/>
  <c r="R971" i="1" s="1"/>
  <c r="H982" i="1"/>
  <c r="R982" i="1" s="1"/>
  <c r="H993" i="1"/>
  <c r="R993" i="1" s="1"/>
  <c r="H1004" i="1"/>
  <c r="R1004" i="1" s="1"/>
  <c r="H1015" i="1"/>
  <c r="R1015" i="1" s="1"/>
  <c r="H1026" i="1"/>
  <c r="R1026" i="1" s="1"/>
  <c r="H1037" i="1"/>
  <c r="R1037" i="1" s="1"/>
  <c r="H1048" i="1"/>
  <c r="R1048" i="1" s="1"/>
  <c r="H1059" i="1"/>
  <c r="R1059" i="1" s="1"/>
  <c r="H1070" i="1"/>
  <c r="R1070" i="1" s="1"/>
  <c r="H1081" i="1"/>
  <c r="R1081" i="1" s="1"/>
  <c r="H1092" i="1"/>
  <c r="R1092" i="1" s="1"/>
  <c r="H1103" i="1"/>
  <c r="R1103" i="1" s="1"/>
  <c r="H1114" i="1"/>
  <c r="R1114" i="1" s="1"/>
  <c r="H1125" i="1"/>
  <c r="R1125" i="1" s="1"/>
  <c r="H1136" i="1"/>
  <c r="R1136" i="1" s="1"/>
  <c r="H1147" i="1"/>
  <c r="R1147" i="1" s="1"/>
  <c r="H1158" i="1"/>
  <c r="R1158" i="1" s="1"/>
  <c r="H1169" i="1"/>
  <c r="R1169" i="1" s="1"/>
  <c r="H1180" i="1"/>
  <c r="R1180" i="1" s="1"/>
  <c r="H1191" i="1"/>
  <c r="R1191" i="1" s="1"/>
  <c r="H1202" i="1"/>
  <c r="R1202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3" i="1"/>
  <c r="H4" i="1"/>
  <c r="H5" i="1"/>
  <c r="H6" i="1"/>
  <c r="H7" i="1"/>
  <c r="H8" i="1"/>
  <c r="H2" i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H2001" i="1"/>
  <c r="R2001" i="1" s="1"/>
  <c r="H2002" i="1"/>
  <c r="R2002" i="1" s="1"/>
  <c r="R109" i="1"/>
  <c r="R110" i="1"/>
  <c r="R111" i="1"/>
  <c r="R112" i="1"/>
  <c r="R113" i="1"/>
  <c r="H114" i="1"/>
  <c r="R114" i="1" s="1"/>
  <c r="H115" i="1"/>
  <c r="R115" i="1" s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 s="1"/>
  <c r="R135" i="1"/>
  <c r="R136" i="1"/>
  <c r="R137" i="1"/>
  <c r="R138" i="1"/>
  <c r="R139" i="1"/>
  <c r="R140" i="1"/>
  <c r="R141" i="1"/>
  <c r="R142" i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9" i="1"/>
  <c r="R499" i="1" s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 l="1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 s="1"/>
  <c r="K6" i="2" s="1"/>
  <c r="E6" i="2"/>
  <c r="D3" i="2"/>
  <c r="G3" i="2"/>
  <c r="H5" i="2"/>
  <c r="I5" i="2" s="1"/>
  <c r="H4" i="2"/>
  <c r="I4" i="2" s="1"/>
  <c r="K4" i="2" s="1"/>
  <c r="H3" i="2"/>
  <c r="I3" i="2" s="1"/>
  <c r="K3" i="2" s="1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 s="1"/>
  <c r="J44" i="2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F2" i="2" l="1"/>
  <c r="E2" i="2"/>
  <c r="C2" i="2"/>
  <c r="B2" i="2"/>
  <c r="D2" i="2"/>
  <c r="G2" i="2"/>
  <c r="H2" i="2"/>
  <c r="I2" i="2" s="1"/>
  <c r="B9" i="2"/>
  <c r="C9" i="2"/>
  <c r="D9" i="2"/>
  <c r="E9" i="2"/>
  <c r="F9" i="2"/>
  <c r="G9" i="2"/>
  <c r="H9" i="2"/>
  <c r="I9" i="2" s="1"/>
  <c r="K9" i="2" s="1"/>
  <c r="E7" i="2"/>
  <c r="D8" i="2"/>
  <c r="G8" i="2"/>
  <c r="D7" i="2"/>
  <c r="G7" i="2"/>
  <c r="H8" i="2"/>
  <c r="I8" i="2" s="1"/>
  <c r="K8" i="2" s="1"/>
  <c r="H7" i="2"/>
  <c r="I7" i="2" s="1"/>
  <c r="K7" i="2" s="1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 s="1"/>
  <c r="B42" i="2"/>
  <c r="C42" i="2"/>
  <c r="D42" i="2"/>
  <c r="E42" i="2"/>
  <c r="F42" i="2"/>
  <c r="G42" i="2"/>
  <c r="H42" i="2"/>
  <c r="K42" i="2" s="1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 s="1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 l="1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 s="1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 s="1"/>
  <c r="I37" i="2"/>
  <c r="I23" i="2"/>
  <c r="K23" i="2" s="1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 s="1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<sst xmlns="http://schemas.openxmlformats.org/spreadsheetml/2006/main" count="4409" uniqueCount="3235">
  <si>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</si>
  <si>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</si>
  <si>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</si>
  <si>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</si>
  <si>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</si>
  <si>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</si>
  <si>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</si>
  <si>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</si>
  <si>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</si>
  <si>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</si>
  <si>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</si>
  <si>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</si>
  <si>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</si>
  <si>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</si>
  <si>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</si>
  <si>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</si>
  <si>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</si>
  <si>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</si>
  <si>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</si>
  <si>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</si>
  <si>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</si>
  <si>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</si>
  <si>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</si>
  <si>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</si>
  <si>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</si>
  <si>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</si>
  <si>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</si>
  <si>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</si>
  <si>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</si>
  <si>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</si>
  <si>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</si>
  <si>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</si>
  <si>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</si>
  <si>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</si>
  <si>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</si>
  <si>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</si>
  <si>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</si>
  <si>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</si>
  <si>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</si>
  <si>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</si>
  <si>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</si>
  <si>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</si>
  <si>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</si>
  <si>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</si>
  <si>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</si>
  <si>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</si>
  <si>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</si>
  <si>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</si>
  <si>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</si>
  <si>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</si>
  <si>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</si>
  <si>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</si>
  <si>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</si>
  <si>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</si>
  <si>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</si>
  <si>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</si>
  <si>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</si>
  <si>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</si>
  <si>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</si>
  <si>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</si>
  <si>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</si>
  <si>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</si>
  <si>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</si>
  <si>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</si>
  <si>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</si>
  <si>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</si>
  <si>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</si>
  <si>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</si>
  <si>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</si>
  <si>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</si>
  <si>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</si>
  <si>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</si>
  <si>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</si>
  <si>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</si>
  <si>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</si>
  <si>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</si>
  <si>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</si>
  <si>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</si>
  <si>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</si>
  <si>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</si>
  <si>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</si>
  <si>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</si>
  <si>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</si>
  <si>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</si>
  <si>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</si>
  <si>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</si>
  <si>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</si>
  <si>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</si>
  <si>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</si>
  <si>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</si>
  <si>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</si>
  <si>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</si>
  <si>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</si>
  <si>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</si>
  <si>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</si>
  <si>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</si>
  <si>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</si>
  <si>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</si>
  <si>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</si>
  <si>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</si>
  <si>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</si>
  <si>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</si>
  <si>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</si>
  <si>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</si>
  <si>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</si>
  <si>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</si>
  <si>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</si>
  <si>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</si>
  <si>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</si>
  <si>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</si>
  <si>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</si>
  <si>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</si>
  <si>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</si>
  <si>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</si>
  <si>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</si>
  <si>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</si>
  <si>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</si>
  <si>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</si>
  <si>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</si>
  <si>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</si>
  <si>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</si>
  <si>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</si>
  <si>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</si>
  <si>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</si>
  <si>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</si>
  <si>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</si>
  <si>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</si>
  <si>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</si>
  <si>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</si>
  <si>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</si>
  <si>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</si>
  <si>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</si>
  <si>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</si>
  <si>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</si>
  <si>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</si>
  <si>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</si>
  <si>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</si>
  <si>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</si>
  <si>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</si>
  <si>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</si>
  <si>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</si>
  <si>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</si>
  <si>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</si>
  <si>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</si>
  <si>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</si>
  <si>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</si>
  <si>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</si>
  <si>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</si>
  <si>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</si>
  <si>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</si>
  <si>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</si>
  <si>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</si>
  <si>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</si>
  <si>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</si>
  <si>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</si>
  <si>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</si>
  <si>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</si>
  <si>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</si>
  <si>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</si>
  <si>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</si>
  <si>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</si>
  <si>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</si>
  <si>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</si>
  <si>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</si>
  <si>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</si>
  <si>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</si>
  <si>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</si>
  <si>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</si>
  <si>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</si>
  <si>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</si>
  <si>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</si>
  <si>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</si>
  <si>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</si>
  <si>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</si>
  <si>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</si>
  <si>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</si>
  <si>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</si>
  <si>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</si>
  <si>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</si>
  <si>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</si>
  <si>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</si>
  <si>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</si>
  <si>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</si>
  <si>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</si>
  <si>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</si>
  <si>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</si>
  <si>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</si>
  <si>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</si>
  <si>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</si>
  <si>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</si>
  <si>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</si>
  <si>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</si>
  <si>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</si>
  <si>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</si>
  <si>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</si>
  <si>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</si>
  <si>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</si>
  <si>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</si>
  <si>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</si>
  <si>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</si>
  <si>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</si>
  <si>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</si>
  <si>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</si>
  <si>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</si>
  <si>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</si>
  <si>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</si>
  <si>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</si>
  <si>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</si>
  <si>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</si>
  <si>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</si>
  <si>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</si>
  <si>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MOV-059</t>
  </si>
  <si>
    <t>260410-024</t>
  </si>
  <si>
    <t>MOV-056</t>
  </si>
  <si>
    <t>MOV-057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</si>
  <si>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</si>
  <si>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</si>
  <si>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</si>
  <si>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</si>
  <si>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</si>
  <si>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</si>
  <si>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</si>
  <si>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</si>
  <si>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</si>
  <si>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</si>
  <si>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</si>
  <si>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</si>
  <si>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</si>
  <si>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</si>
  <si>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</si>
  <si>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</si>
  <si>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</si>
  <si>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</si>
  <si>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</si>
  <si>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</si>
  <si>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</si>
  <si>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</si>
  <si>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</si>
  <si>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</si>
  <si>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</si>
  <si>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</si>
  <si>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</si>
  <si>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</si>
  <si>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</si>
  <si>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</si>
  <si>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</si>
  <si>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</si>
  <si>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</si>
  <si>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</si>
  <si>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</si>
  <si>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</si>
  <si>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</si>
  <si>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</si>
  <si>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</si>
  <si>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</si>
  <si>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</si>
  <si>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</si>
  <si>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</si>
  <si>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</si>
  <si>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</si>
  <si>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</si>
  <si>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</si>
  <si>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</si>
  <si>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</si>
  <si>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</si>
  <si>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</si>
  <si>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</si>
  <si>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</si>
  <si>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</si>
  <si>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</si>
  <si>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</si>
  <si>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</si>
  <si>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</si>
  <si>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</si>
  <si>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</si>
  <si>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</si>
  <si>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</si>
  <si>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</si>
  <si>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</si>
  <si>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</si>
  <si>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</si>
  <si>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</si>
  <si>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</si>
  <si>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</si>
  <si>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</si>
  <si>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</si>
  <si>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</si>
  <si>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</si>
  <si>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</si>
  <si>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</si>
  <si>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</si>
  <si>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</si>
  <si>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</si>
  <si>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</si>
  <si>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</si>
  <si>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</si>
  <si>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</si>
  <si>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</si>
  <si>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</si>
  <si>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</si>
  <si>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</si>
  <si>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</si>
  <si>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</si>
  <si>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</si>
  <si>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Juncal durazno</t>
  </si>
  <si>
    <t>MOV-116</t>
  </si>
  <si>
    <t>trebol durazno</t>
  </si>
  <si>
    <t>MOV-117</t>
  </si>
  <si>
    <t>Lotus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</si>
  <si>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</si>
  <si>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</si>
  <si>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</si>
  <si>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</si>
  <si>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</si>
  <si>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</si>
  <si>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</si>
  <si>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</si>
  <si>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</si>
  <si>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</si>
  <si>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</si>
  <si>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</si>
  <si>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</si>
  <si>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</si>
  <si>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</si>
  <si>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</si>
  <si>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</si>
  <si>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</si>
  <si>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rincon durazno </t>
  </si>
  <si>
    <t>MOV-127</t>
  </si>
  <si>
    <t>MOV-128</t>
  </si>
  <si>
    <t>Ruta 20 Bch</t>
  </si>
  <si>
    <t>MOV-129</t>
  </si>
  <si>
    <t>MOV-130</t>
  </si>
  <si>
    <t>MOV-131</t>
  </si>
  <si>
    <t>MOV-132</t>
  </si>
  <si>
    <t>MOV-133</t>
  </si>
  <si>
    <t>Ruta DV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</si>
  <si>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</si>
  <si>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</si>
  <si>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</si>
  <si>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</si>
  <si>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</si>
  <si>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</si>
  <si>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</si>
  <si>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</si>
  <si>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</si>
  <si>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</si>
  <si>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</si>
  <si>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</si>
  <si>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</si>
  <si>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</si>
  <si>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</si>
  <si>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</si>
  <si>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</si>
  <si>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</si>
  <si>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</si>
  <si>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</si>
  <si>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</si>
  <si>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</si>
  <si>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</si>
  <si>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</si>
  <si>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</si>
  <si>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</si>
  <si>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</si>
  <si>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</si>
  <si>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</si>
  <si>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</si>
  <si>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</si>
  <si>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</si>
  <si>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</si>
  <si>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</si>
  <si>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</si>
  <si>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</si>
  <si>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</si>
  <si>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</si>
  <si>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</si>
  <si>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</si>
  <si>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</si>
  <si>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</si>
  <si>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</si>
  <si>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</si>
  <si>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</si>
  <si>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</si>
  <si>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</si>
  <si>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</si>
  <si>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</si>
  <si>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</si>
  <si>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</si>
  <si>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</si>
  <si>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</si>
  <si>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</si>
  <si>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</si>
  <si>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</si>
  <si>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</si>
  <si>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</si>
  <si>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</si>
  <si>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</si>
  <si>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</si>
  <si>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</si>
  <si>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</si>
  <si>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</si>
  <si>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</si>
  <si>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</si>
  <si>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</si>
  <si>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</si>
  <si>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</si>
  <si>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</si>
  <si>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</si>
  <si>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</si>
  <si>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</si>
  <si>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</si>
  <si>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</si>
  <si>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</si>
  <si>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</si>
  <si>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</si>
  <si>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</si>
  <si>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</si>
  <si>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</si>
  <si>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</si>
  <si>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</si>
  <si>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</si>
  <si>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</si>
  <si>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</si>
  <si>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</si>
  <si>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</si>
  <si>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</si>
  <si>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</si>
  <si>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</si>
  <si>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</si>
  <si>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</si>
  <si>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</si>
  <si>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</si>
  <si>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</si>
  <si>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</si>
  <si>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</si>
  <si>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</si>
  <si>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</si>
  <si>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</si>
  <si>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</si>
  <si>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</si>
  <si>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</si>
  <si>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</si>
  <si>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</si>
  <si>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</si>
  <si>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</si>
  <si>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</si>
  <si>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</si>
  <si>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</si>
  <si>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</si>
  <si>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</si>
  <si>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</si>
  <si>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</si>
  <si>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</si>
  <si>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</si>
  <si>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</si>
  <si>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</si>
  <si>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</si>
  <si>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</si>
  <si>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</si>
  <si>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</si>
  <si>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</si>
  <si>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</si>
  <si>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</si>
  <si>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</si>
  <si>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</si>
  <si>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</si>
  <si>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</si>
  <si>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</si>
  <si>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</si>
  <si>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</si>
  <si>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</si>
  <si>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</si>
  <si>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</si>
  <si>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</si>
  <si>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</si>
  <si>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</si>
  <si>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</si>
  <si>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</si>
  <si>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</si>
  <si>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</si>
  <si>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</si>
  <si>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</si>
  <si>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</si>
  <si>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</si>
  <si>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</si>
  <si>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</si>
  <si>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</si>
  <si>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</si>
  <si>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</si>
  <si>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</si>
  <si>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</si>
  <si>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</si>
  <si>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</si>
  <si>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</si>
  <si>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</si>
  <si>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</si>
  <si>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</si>
  <si>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</si>
  <si>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</si>
  <si>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</si>
  <si>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</si>
  <si>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</si>
  <si>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</si>
  <si>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</si>
  <si>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</si>
  <si>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</si>
  <si>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</si>
  <si>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</si>
  <si>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</si>
  <si>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</si>
  <si>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</si>
  <si>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</si>
  <si>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</si>
  <si>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</si>
  <si>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</si>
  <si>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</si>
  <si>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</si>
  <si>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</si>
  <si>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</si>
  <si>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</si>
  <si>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</si>
  <si>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</si>
  <si>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</si>
  <si>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</si>
  <si>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</si>
  <si>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</si>
  <si>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</si>
  <si>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</si>
  <si>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</si>
  <si>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</si>
  <si>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</si>
  <si>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</si>
  <si>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</si>
  <si>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</si>
  <si>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</si>
  <si>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</si>
  <si>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</si>
  <si>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</si>
  <si>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</si>
  <si>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</si>
  <si>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</si>
  <si>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</si>
  <si>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</si>
  <si>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</si>
  <si>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</si>
  <si>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</si>
  <si>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</si>
  <si>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</si>
  <si>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</si>
  <si>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</si>
  <si>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</si>
  <si>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</si>
  <si>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</si>
  <si>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</si>
  <si>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</si>
  <si>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</si>
  <si>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</si>
  <si>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</si>
  <si>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</si>
  <si>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</si>
  <si>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</si>
  <si>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</si>
  <si>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</si>
  <si>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</si>
  <si>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</si>
  <si>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</si>
  <si>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</si>
  <si>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</si>
  <si>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</si>
  <si>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</si>
  <si>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</si>
  <si>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</si>
  <si>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</si>
  <si>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</si>
  <si>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</si>
  <si>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</si>
  <si>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</si>
  <si>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</si>
  <si>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</si>
  <si>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</si>
  <si>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</si>
  <si>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</si>
  <si>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</si>
  <si>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</si>
  <si>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</si>
  <si>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</si>
  <si>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</si>
  <si>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</si>
  <si>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</si>
  <si>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</si>
  <si>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</si>
  <si>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</si>
  <si>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</si>
  <si>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</si>
  <si>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</si>
  <si>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</si>
  <si>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</si>
  <si>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</si>
  <si>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</si>
  <si>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</si>
  <si>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</si>
  <si>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</si>
  <si>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</si>
  <si>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</si>
  <si>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</si>
  <si>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</si>
  <si>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</si>
  <si>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</si>
  <si>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</si>
  <si>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</si>
  <si>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</si>
  <si>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</si>
  <si>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</si>
  <si>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</si>
  <si>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</si>
  <si>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</si>
  <si>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</si>
  <si>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</si>
  <si>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</si>
  <si>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</si>
  <si>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</si>
  <si>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</si>
  <si>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</si>
  <si>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</si>
  <si>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</si>
  <si>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</si>
  <si>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</si>
  <si>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</si>
  <si>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</si>
  <si>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</si>
  <si>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</si>
  <si>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</si>
  <si>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</si>
  <si>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</si>
  <si>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</si>
  <si>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</si>
  <si>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</si>
  <si>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</si>
  <si>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</si>
  <si>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</si>
  <si>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</si>
  <si>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</si>
  <si>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</si>
  <si>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</si>
  <si>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</si>
  <si>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</si>
  <si>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</si>
  <si>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</si>
  <si>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</si>
  <si>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</si>
  <si>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</si>
  <si>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</si>
  <si>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</si>
  <si>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</si>
  <si>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</si>
  <si>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</si>
  <si>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</si>
  <si>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</si>
  <si>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</si>
  <si>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</si>
  <si>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</si>
  <si>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</si>
  <si>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</si>
  <si>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</si>
  <si>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</si>
  <si>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</si>
  <si>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</si>
  <si>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</si>
  <si>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</si>
  <si>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</si>
  <si>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</si>
  <si>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</si>
  <si>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</si>
  <si>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</si>
  <si>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</si>
  <si>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</si>
  <si>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</si>
  <si>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</si>
  <si>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</si>
  <si>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</si>
  <si>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</si>
  <si>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</si>
  <si>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</si>
  <si>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</si>
  <si>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</si>
  <si>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</si>
  <si>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</si>
  <si>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</si>
  <si>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</si>
  <si>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</si>
  <si>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</si>
  <si>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</si>
  <si>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</si>
  <si>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</si>
  <si>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</si>
  <si>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</si>
  <si>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</si>
  <si>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</si>
  <si>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</si>
  <si>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</si>
  <si>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</si>
  <si>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</si>
  <si>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</si>
  <si>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</si>
  <si>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</si>
  <si>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</si>
  <si>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</si>
  <si>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</si>
  <si>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</si>
  <si>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</si>
  <si>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</si>
  <si>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</si>
  <si>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</si>
  <si>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</si>
  <si>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</si>
  <si>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</si>
  <si>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</si>
  <si>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</si>
  <si>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</si>
  <si>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</si>
  <si>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</si>
  <si>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</si>
  <si>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</si>
  <si>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</si>
  <si>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</si>
  <si>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</si>
  <si>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</si>
  <si>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</si>
  <si>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</si>
  <si>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</si>
  <si>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</si>
  <si>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</si>
  <si>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</si>
  <si>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</si>
  <si>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</si>
  <si>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</si>
  <si>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</si>
  <si>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</si>
  <si>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</si>
  <si>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</si>
  <si>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</si>
  <si>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</si>
  <si>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</si>
  <si>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</si>
  <si>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</si>
  <si>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</si>
  <si>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</si>
  <si>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</si>
  <si>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</si>
  <si>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</si>
  <si>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</si>
  <si>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</si>
  <si>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</si>
  <si>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</si>
  <si>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</si>
  <si>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</si>
  <si>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</si>
  <si>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</si>
  <si>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</si>
  <si>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</si>
  <si>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</si>
  <si>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</si>
  <si>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</si>
  <si>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</si>
  <si>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</si>
  <si>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</si>
  <si>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</si>
  <si>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</si>
  <si>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</si>
  <si>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</si>
  <si>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</si>
  <si>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</si>
  <si>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</si>
  <si>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</si>
  <si>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</si>
  <si>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</si>
  <si>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</si>
  <si>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</si>
  <si>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</si>
  <si>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</si>
  <si>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</si>
  <si>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</si>
  <si>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</si>
  <si>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</si>
  <si>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</si>
  <si>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</si>
  <si>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</si>
  <si>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</si>
  <si>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</si>
  <si>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</si>
  <si>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</si>
  <si>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</si>
  <si>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</si>
  <si>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</si>
  <si>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</si>
  <si>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</si>
  <si>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</si>
  <si>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</si>
  <si>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</si>
  <si>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</si>
  <si>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</si>
  <si>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</si>
  <si>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</si>
  <si>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</si>
  <si>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</si>
  <si>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</si>
  <si>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</si>
  <si>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</si>
  <si>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</si>
  <si>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</si>
  <si>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</si>
  <si>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</si>
  <si>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</si>
  <si>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</si>
  <si>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</si>
  <si>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</si>
  <si>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</si>
  <si>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</si>
  <si>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</si>
  <si>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</si>
  <si>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</si>
  <si>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</si>
  <si>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</si>
  <si>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</si>
  <si>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</si>
  <si>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</si>
  <si>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</si>
  <si>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</si>
  <si>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</si>
  <si>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</si>
  <si>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</si>
  <si>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</si>
  <si>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</si>
  <si>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</si>
  <si>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</si>
  <si>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</si>
  <si>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</si>
  <si>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</si>
  <si>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</si>
  <si>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</si>
  <si>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</si>
  <si>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</si>
  <si>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</si>
  <si>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</si>
  <si>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</si>
  <si>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</si>
  <si>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</si>
  <si>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</si>
  <si>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</si>
  <si>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</si>
  <si>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</si>
  <si>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</si>
  <si>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</si>
  <si>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</si>
  <si>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</si>
  <si>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</si>
  <si>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</si>
  <si>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</si>
  <si>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</si>
  <si>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</si>
  <si>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</si>
  <si>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</si>
  <si>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</si>
  <si>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</si>
  <si>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</si>
  <si>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</si>
  <si>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</si>
  <si>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</si>
  <si>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</si>
  <si>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</si>
  <si>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</si>
  <si>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</si>
  <si>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</si>
  <si>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</si>
  <si>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</si>
  <si>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</si>
  <si>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</si>
  <si>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</si>
  <si>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</si>
  <si>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</si>
  <si>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</si>
  <si>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</si>
  <si>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</si>
  <si>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</si>
  <si>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</si>
  <si>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</si>
  <si>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</si>
  <si>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</si>
  <si>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</si>
  <si>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</si>
  <si>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</si>
  <si>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</si>
  <si>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</si>
  <si>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</si>
  <si>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</si>
  <si>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</si>
  <si>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</si>
  <si>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</si>
  <si>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</si>
  <si>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</si>
  <si>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</si>
  <si>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</si>
  <si>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</si>
  <si>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</si>
  <si>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</si>
  <si>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</si>
  <si>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</si>
  <si>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</si>
  <si>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</si>
  <si>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</si>
  <si>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</si>
  <si>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</si>
  <si>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</si>
  <si>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</si>
  <si>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</si>
  <si>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</si>
  <si>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</si>
  <si>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</si>
  <si>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</si>
  <si>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</si>
  <si>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</si>
  <si>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</si>
  <si>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</si>
  <si>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</si>
  <si>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</si>
  <si>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</si>
  <si>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</si>
  <si>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</si>
  <si>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</si>
  <si>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</si>
  <si>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</si>
  <si>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</si>
  <si>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</si>
  <si>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</si>
  <si>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</si>
  <si>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</si>
  <si>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</si>
  <si>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</si>
  <si>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</si>
  <si>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</si>
  <si>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</si>
  <si>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</si>
  <si>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</si>
  <si>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</si>
  <si>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</si>
  <si>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</si>
  <si>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</si>
  <si>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</si>
  <si>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</si>
  <si>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</si>
  <si>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</si>
  <si>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</si>
  <si>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</si>
  <si>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</si>
  <si>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</si>
  <si>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</si>
  <si>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</si>
  <si>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</si>
  <si>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</si>
  <si>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</si>
  <si>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</si>
  <si>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</si>
  <si>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</si>
  <si>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</si>
  <si>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</si>
  <si>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</si>
  <si>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</si>
  <si>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</si>
  <si>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</si>
  <si>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</si>
  <si>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</si>
  <si>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</si>
  <si>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</si>
  <si>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</si>
  <si>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</si>
  <si>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</si>
  <si>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</si>
  <si>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</si>
  <si>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</si>
  <si>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</si>
  <si>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</si>
  <si>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</si>
  <si>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</si>
  <si>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</si>
  <si>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</si>
  <si>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</si>
  <si>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</si>
  <si>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</si>
  <si>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</si>
  <si>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</si>
  <si>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</si>
  <si>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</si>
  <si>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</si>
  <si>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</si>
  <si>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</si>
  <si>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</si>
  <si>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</si>
  <si>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</si>
  <si>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</si>
  <si>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</si>
  <si>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</si>
  <si>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</si>
  <si>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</si>
  <si>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</si>
  <si>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</si>
  <si>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</si>
  <si>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</si>
  <si>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</si>
  <si>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</si>
  <si>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</si>
  <si>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</si>
  <si>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</si>
  <si>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</si>
  <si>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</si>
  <si>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</si>
  <si>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</si>
  <si>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</si>
  <si>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</si>
  <si>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</si>
  <si>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</si>
  <si>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</si>
  <si>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</si>
  <si>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</si>
  <si>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</si>
  <si>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</si>
  <si>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</si>
  <si>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</si>
  <si>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</si>
  <si>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</si>
  <si>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</si>
  <si>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</si>
  <si>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</si>
  <si>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</si>
  <si>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</si>
  <si>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</si>
  <si>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</si>
  <si>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</si>
  <si>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</si>
  <si>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</si>
  <si>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</si>
  <si>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</si>
  <si>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</si>
  <si>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</si>
  <si>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</si>
  <si>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</si>
  <si>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</si>
  <si>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</si>
  <si>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</si>
  <si>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</si>
  <si>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</si>
  <si>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</si>
  <si>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</si>
  <si>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</si>
  <si>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</si>
  <si>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</si>
  <si>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</si>
  <si>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</si>
  <si>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</si>
  <si>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</si>
  <si>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</si>
  <si>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</si>
  <si>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</si>
  <si>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</si>
  <si>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</si>
  <si>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</si>
  <si>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</si>
  <si>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</si>
  <si>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</si>
  <si>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</si>
  <si>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</si>
  <si>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</si>
  <si>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</si>
  <si>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</si>
  <si>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</si>
  <si>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</si>
  <si>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</si>
  <si>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</si>
  <si>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</si>
  <si>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</si>
  <si>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</si>
  <si>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</si>
  <si>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</si>
  <si>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</si>
  <si>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</si>
  <si>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</si>
  <si>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</si>
  <si>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</si>
  <si>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</si>
  <si>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</si>
  <si>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</si>
  <si>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</si>
  <si>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</si>
  <si>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</si>
  <si>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</si>
  <si>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</si>
  <si>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</si>
  <si>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</si>
  <si>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</si>
  <si>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</si>
  <si>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</si>
  <si>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</si>
  <si>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</si>
  <si>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</si>
  <si>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</si>
  <si>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</si>
  <si>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</si>
  <si>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</si>
  <si>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</si>
  <si>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</si>
  <si>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</si>
  <si>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</si>
  <si>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</si>
  <si>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</si>
  <si>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</si>
  <si>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</si>
  <si>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</si>
  <si>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</si>
  <si>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</si>
  <si>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</si>
  <si>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</si>
  <si>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</si>
  <si>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</si>
  <si>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</si>
  <si>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</si>
  <si>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</si>
  <si>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</si>
  <si>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</si>
  <si>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</si>
  <si>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</si>
  <si>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</si>
  <si>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</si>
  <si>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</si>
  <si>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</si>
  <si>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</si>
  <si>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</si>
  <si>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</si>
  <si>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</si>
  <si>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</si>
  <si>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</si>
  <si>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</si>
  <si>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</si>
  <si>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</si>
  <si>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</si>
  <si>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</si>
  <si>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</si>
  <si>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</si>
  <si>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</si>
  <si>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</si>
  <si>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</si>
  <si>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</si>
  <si>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</si>
  <si>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</si>
  <si>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</si>
  <si>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</si>
  <si>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</si>
  <si>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</si>
  <si>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</si>
  <si>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</si>
  <si>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</si>
  <si>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</si>
  <si>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</si>
  <si>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</si>
  <si>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</si>
  <si>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</si>
  <si>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</si>
  <si>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</si>
  <si>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</si>
  <si>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</si>
  <si>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</si>
  <si>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</si>
  <si>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</si>
  <si>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</si>
  <si>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</si>
  <si>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</si>
  <si>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</si>
  <si>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</si>
  <si>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</si>
  <si>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</si>
  <si>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</si>
  <si>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</si>
  <si>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</si>
  <si>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</si>
  <si>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</si>
  <si>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</si>
  <si>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</si>
  <si>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</si>
  <si>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</si>
  <si>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</si>
  <si>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</si>
  <si>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</si>
  <si>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</si>
  <si>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</si>
  <si>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</si>
  <si>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</si>
  <si>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</si>
  <si>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</si>
  <si>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</si>
  <si>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</si>
  <si>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</si>
  <si>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</si>
  <si>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</si>
  <si>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</si>
  <si>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</si>
  <si>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</si>
  <si>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</si>
  <si>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</si>
  <si>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</si>
  <si>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</si>
  <si>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</si>
  <si>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</si>
  <si>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</si>
  <si>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</si>
  <si>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</si>
  <si>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</si>
  <si>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</si>
  <si>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</si>
  <si>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</si>
  <si>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</si>
  <si>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</si>
  <si>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</si>
  <si>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</si>
  <si>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</si>
  <si>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</si>
  <si>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</si>
  <si>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</si>
  <si>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</si>
  <si>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</si>
  <si>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</si>
  <si>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</si>
  <si>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</si>
  <si>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</si>
  <si>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</si>
  <si>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</si>
  <si>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</si>
  <si>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</si>
  <si>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</si>
  <si>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</si>
  <si>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</si>
  <si>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</si>
  <si>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</si>
  <si>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</si>
  <si>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</si>
  <si>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</si>
  <si>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</si>
  <si>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</si>
  <si>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</si>
  <si>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</si>
  <si>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</si>
  <si>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</si>
  <si>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</si>
  <si>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</si>
  <si>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</si>
  <si>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</si>
  <si>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</si>
  <si>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</si>
  <si>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</si>
  <si>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</si>
  <si>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</si>
  <si>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</si>
  <si>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</si>
  <si>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</si>
  <si>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</si>
  <si>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</si>
  <si>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</si>
  <si>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</si>
  <si>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</si>
  <si>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</si>
  <si>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</si>
  <si>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</si>
  <si>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</si>
  <si>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</si>
  <si>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</si>
  <si>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</si>
  <si>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</si>
  <si>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</si>
  <si>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</si>
  <si>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</si>
  <si>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</si>
  <si>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</si>
  <si>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</si>
  <si>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</si>
  <si>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</si>
  <si>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</si>
  <si>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</si>
  <si>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</si>
  <si>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</si>
  <si>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</si>
  <si>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</si>
  <si>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</si>
  <si>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</si>
  <si>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</si>
  <si>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</si>
  <si>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</si>
  <si>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</si>
  <si>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</si>
  <si>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</si>
  <si>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</si>
  <si>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</si>
  <si>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</si>
  <si>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</si>
  <si>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</si>
  <si>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</si>
  <si>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</si>
  <si>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</si>
  <si>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</si>
  <si>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</si>
  <si>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</si>
  <si>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</si>
  <si>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</si>
  <si>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</si>
  <si>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</si>
  <si>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</si>
  <si>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</si>
  <si>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</si>
  <si>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</si>
  <si>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</si>
  <si>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</si>
  <si>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</si>
  <si>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</si>
  <si>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</si>
  <si>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</si>
  <si>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</si>
  <si>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</si>
  <si>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</si>
  <si>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</si>
  <si>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</si>
  <si>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</si>
  <si>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</si>
  <si>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</si>
  <si>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</si>
  <si>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</si>
  <si>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</si>
  <si>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</si>
  <si>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</si>
  <si>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</si>
  <si>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</si>
  <si>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</si>
  <si>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</si>
  <si>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</si>
  <si>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</si>
  <si>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</si>
  <si>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</si>
  <si>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</si>
  <si>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</si>
  <si>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</si>
  <si>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</si>
  <si>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</si>
  <si>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</si>
  <si>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</si>
  <si>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</si>
  <si>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</si>
  <si>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</si>
  <si>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</si>
  <si>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</si>
  <si>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</si>
  <si>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</si>
  <si>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</si>
  <si>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</si>
  <si>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</si>
  <si>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</si>
  <si>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</si>
  <si>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</si>
  <si>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</si>
  <si>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</si>
  <si>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</si>
  <si>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</si>
  <si>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</si>
  <si>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</si>
  <si>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</si>
  <si>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</si>
  <si>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</si>
  <si>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</si>
  <si>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</si>
  <si>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</si>
  <si>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</si>
  <si>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</si>
  <si>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</si>
  <si>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</si>
  <si>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</si>
  <si>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</si>
  <si>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</si>
  <si>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</si>
  <si>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</si>
  <si>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</si>
  <si>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</si>
  <si>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</si>
  <si>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</si>
  <si>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</si>
  <si>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</si>
  <si>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</si>
  <si>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</si>
  <si>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</si>
  <si>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</si>
  <si>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</si>
  <si>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</si>
  <si>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</si>
  <si>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</si>
  <si>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</si>
  <si>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</si>
  <si>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</si>
  <si>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</si>
  <si>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</si>
  <si>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</si>
  <si>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</si>
  <si>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</si>
  <si>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</si>
  <si>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</si>
  <si>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</si>
  <si>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</si>
  <si>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</si>
  <si>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</si>
  <si>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</si>
  <si>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</si>
  <si>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</si>
  <si>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</si>
  <si>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</si>
  <si>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</si>
  <si>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</si>
  <si>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</si>
  <si>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</si>
  <si>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</si>
  <si>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</si>
  <si>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</si>
  <si>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</si>
  <si>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</si>
  <si>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</si>
  <si>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</si>
  <si>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</si>
  <si>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</si>
  <si>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</si>
  <si>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</si>
  <si>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</si>
  <si>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</si>
  <si>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</si>
  <si>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</si>
  <si>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</si>
  <si>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</si>
  <si>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</si>
  <si>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</si>
  <si>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</si>
  <si>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</si>
  <si>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</si>
  <si>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</si>
  <si>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</si>
  <si>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</si>
  <si>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</si>
  <si>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</si>
  <si>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</si>
  <si>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</si>
  <si>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</si>
  <si>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</si>
  <si>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</si>
  <si>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</si>
  <si>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</si>
  <si>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</si>
  <si>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</si>
  <si>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</si>
  <si>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</si>
  <si>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</si>
  <si>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</si>
  <si>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</si>
  <si>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</si>
  <si>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</si>
  <si>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</si>
  <si>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</si>
  <si>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</si>
  <si>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</si>
  <si>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</si>
  <si>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</si>
  <si>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</si>
  <si>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</si>
  <si>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</si>
  <si>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</si>
  <si>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</si>
  <si>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</si>
  <si>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</si>
  <si>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</si>
  <si>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</si>
  <si>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</si>
  <si>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</si>
  <si>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</si>
  <si>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</si>
  <si>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</si>
  <si>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</si>
  <si>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</si>
  <si>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</si>
  <si>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</si>
  <si>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</si>
  <si>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</si>
  <si>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</si>
  <si>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</si>
  <si>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</si>
  <si>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</si>
  <si>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</si>
  <si>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</si>
  <si>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</si>
  <si>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</si>
  <si>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</si>
  <si>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</si>
  <si>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</si>
  <si>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</si>
  <si>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</si>
  <si>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</si>
  <si>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</si>
  <si>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</si>
  <si>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</si>
  <si>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</si>
  <si>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</si>
  <si>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</si>
  <si>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</si>
  <si>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</si>
  <si>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</si>
  <si>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</si>
  <si>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</si>
  <si>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</si>
  <si>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</si>
  <si>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</si>
  <si>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</si>
  <si>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</si>
  <si>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</si>
  <si>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</si>
  <si>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</si>
  <si>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</si>
  <si>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</si>
  <si>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</si>
  <si>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</si>
  <si>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</si>
  <si>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</si>
  <si>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</si>
  <si>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</si>
  <si>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</si>
  <si>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</si>
  <si>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</si>
  <si>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</si>
  <si>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</si>
  <si>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</si>
  <si>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</si>
  <si>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</si>
  <si>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</si>
  <si>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</si>
  <si>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</si>
  <si>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</si>
  <si>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</si>
  <si>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</si>
  <si>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</si>
  <si>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</si>
  <si>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</si>
  <si>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</si>
  <si>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</si>
  <si>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</si>
  <si>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</si>
  <si>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</si>
  <si>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</si>
  <si>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</si>
  <si>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</si>
  <si>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</si>
  <si>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</si>
  <si>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</si>
  <si>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</si>
  <si>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</si>
  <si>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</si>
  <si>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</si>
  <si>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</si>
  <si>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</si>
  <si>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</si>
  <si>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</si>
  <si>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</si>
  <si>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</si>
  <si>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</si>
  <si>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</si>
  <si>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</si>
  <si>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</si>
  <si>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</si>
  <si>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</si>
  <si>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</si>
  <si>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</si>
  <si>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</si>
  <si>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</si>
  <si>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</si>
  <si>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</si>
  <si>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</si>
  <si>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</si>
  <si>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</si>
  <si>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</si>
  <si>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</si>
  <si>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</si>
  <si>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</si>
  <si>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</si>
  <si>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</si>
  <si>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</si>
  <si>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</si>
  <si>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</si>
  <si>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</si>
  <si>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</si>
  <si>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</si>
  <si>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</si>
  <si>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</si>
  <si>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</si>
  <si>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</si>
  <si>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</si>
  <si>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</si>
  <si>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</si>
  <si>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</si>
  <si>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</si>
  <si>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</si>
  <si>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</si>
  <si>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</si>
  <si>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</si>
  <si>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</si>
  <si>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</si>
  <si>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</si>
  <si>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</si>
  <si>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</si>
  <si>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</si>
  <si>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</si>
  <si>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</si>
  <si>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</si>
  <si>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</si>
  <si>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</si>
  <si>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</si>
  <si>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</si>
  <si>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</si>
  <si>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</si>
  <si>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</si>
  <si>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</si>
  <si>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</si>
  <si>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</si>
  <si>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</si>
  <si>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</si>
  <si>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</si>
  <si>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</si>
  <si>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</si>
  <si>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</si>
  <si>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</si>
  <si>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</si>
  <si>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</si>
  <si>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</si>
  <si>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</si>
  <si>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</si>
  <si>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</si>
  <si>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</si>
  <si>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</si>
  <si>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</si>
  <si>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</si>
  <si>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</si>
  <si>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</si>
  <si>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</si>
  <si>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</si>
  <si>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</si>
  <si>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</si>
  <si>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</si>
  <si>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</si>
  <si>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</si>
  <si>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</si>
  <si>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</si>
  <si>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</si>
  <si>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</si>
  <si>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</si>
  <si>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</si>
  <si>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</si>
  <si>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</si>
  <si>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</si>
  <si>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</si>
  <si>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</si>
  <si>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</si>
  <si>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</si>
  <si>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</si>
  <si>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</si>
  <si>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</si>
  <si>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</si>
  <si>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</si>
  <si>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</si>
  <si>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</si>
  <si>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</si>
  <si>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</si>
  <si>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</si>
  <si>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</si>
  <si>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</si>
  <si>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</si>
  <si>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</si>
  <si>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</si>
  <si>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</si>
  <si>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</si>
  <si>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</si>
  <si>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</si>
  <si>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</si>
  <si>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</si>
  <si>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</si>
  <si>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</si>
  <si>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</si>
  <si>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</si>
  <si>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</si>
  <si>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</si>
  <si>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</si>
  <si>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</si>
  <si>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</si>
  <si>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</si>
  <si>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</si>
  <si>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</si>
  <si>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</si>
  <si>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</si>
  <si>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</si>
  <si>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</si>
  <si>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</si>
  <si>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</si>
  <si>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</si>
  <si>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</si>
  <si>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</si>
  <si>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</si>
  <si>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</si>
  <si>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</si>
  <si>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</si>
  <si>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</si>
  <si>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</si>
  <si>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</si>
  <si>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</si>
  <si>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</si>
  <si>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</si>
  <si>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</si>
  <si>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</si>
  <si>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</si>
  <si>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</si>
  <si>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</si>
  <si>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</si>
  <si>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</si>
  <si>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</si>
  <si>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</si>
  <si>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</si>
  <si>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</si>
  <si>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</si>
  <si>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</si>
  <si>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</si>
  <si>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</si>
  <si>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</si>
  <si>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</si>
  <si>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</si>
  <si>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</si>
  <si>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</si>
  <si>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</si>
  <si>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</si>
  <si>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</si>
  <si>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</si>
  <si>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</si>
  <si>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</si>
  <si>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</si>
  <si>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</si>
  <si>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</si>
  <si>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</si>
  <si>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</si>
  <si>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</si>
  <si>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</si>
  <si>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</si>
  <si>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</si>
  <si>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</si>
  <si>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</si>
  <si>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</si>
  <si>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</si>
  <si>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</si>
  <si>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</si>
  <si>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</si>
  <si>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</si>
  <si>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</si>
  <si>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</si>
  <si>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</si>
  <si>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</si>
  <si>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</si>
  <si>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</si>
  <si>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</si>
  <si>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</si>
  <si>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</si>
  <si>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</si>
  <si>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</si>
  <si>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</si>
  <si>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</si>
  <si>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</si>
  <si>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</si>
  <si>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</si>
  <si>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</si>
  <si>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</si>
  <si>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</si>
  <si>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</si>
  <si>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</si>
  <si>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</si>
  <si>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</si>
  <si>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</si>
  <si>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</si>
  <si>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</si>
  <si>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</si>
  <si>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</si>
  <si>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</si>
  <si>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</si>
  <si>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</si>
  <si>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</si>
  <si>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</si>
  <si>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</si>
  <si>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</si>
  <si>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</si>
  <si>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</si>
  <si>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</si>
  <si>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</si>
  <si>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</si>
  <si>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</si>
  <si>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</si>
  <si>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</si>
  <si>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</si>
  <si>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</si>
  <si>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</si>
  <si>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</si>
  <si>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</si>
  <si>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</si>
  <si>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</si>
  <si>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</si>
  <si>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</si>
  <si>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</si>
  <si>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</si>
  <si>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</si>
  <si>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</si>
  <si>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</si>
  <si>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</si>
  <si>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</si>
  <si>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</si>
  <si>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</si>
  <si>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</si>
  <si>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</si>
  <si>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</si>
  <si>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</si>
  <si>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</si>
  <si>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</si>
  <si>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</si>
  <si>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</si>
  <si>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</si>
  <si>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</si>
  <si>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</si>
  <si>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</si>
  <si>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</si>
  <si>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</si>
  <si>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</si>
  <si>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</si>
  <si>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</si>
  <si>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</si>
  <si>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</si>
  <si>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</si>
  <si>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</si>
  <si>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</si>
  <si>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</si>
  <si>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</si>
  <si>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</si>
  <si>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</si>
  <si>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</si>
  <si>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</si>
  <si>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</si>
  <si>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</si>
  <si>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</si>
  <si>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</si>
  <si>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</si>
  <si>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</si>
  <si>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</si>
  <si>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</si>
  <si>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</si>
  <si>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</si>
  <si>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</si>
  <si>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</si>
  <si>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</si>
  <si>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</si>
  <si>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</si>
  <si>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</si>
  <si>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</si>
  <si>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</si>
  <si>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</si>
  <si>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</si>
  <si>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</si>
  <si>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</si>
  <si>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</si>
  <si>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</si>
  <si>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</si>
  <si>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</si>
  <si>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</si>
  <si>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</si>
  <si>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</si>
  <si>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</si>
  <si>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</si>
  <si>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</si>
  <si>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</si>
  <si>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</si>
  <si>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</si>
  <si>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</si>
  <si>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</si>
  <si>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</si>
  <si>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</si>
  <si>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</si>
  <si>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</si>
  <si>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</si>
  <si>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</si>
  <si>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</si>
  <si>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</si>
  <si>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</si>
  <si>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</si>
  <si>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</si>
  <si>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</si>
  <si>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</si>
  <si>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</si>
  <si>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</si>
  <si>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</si>
  <si>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</si>
  <si>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</si>
  <si>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</si>
  <si>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</si>
  <si>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</si>
  <si>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</si>
  <si>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</si>
  <si>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</si>
  <si>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</si>
  <si>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</si>
  <si>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</si>
  <si>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</si>
  <si>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</si>
  <si>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</si>
  <si>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</si>
  <si>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</si>
  <si>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</si>
  <si>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</si>
  <si>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</si>
  <si>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</si>
  <si>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</si>
  <si>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</si>
  <si>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</si>
  <si>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</si>
  <si>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</si>
  <si>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</si>
  <si>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</si>
  <si>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</si>
  <si>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</si>
  <si>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</si>
  <si>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</si>
  <si>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</si>
  <si>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</si>
  <si>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</si>
  <si>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</si>
  <si>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</si>
  <si>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</si>
  <si>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</si>
  <si>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</si>
  <si>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</si>
  <si>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</si>
  <si>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</si>
  <si>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</si>
  <si>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</si>
  <si>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</si>
  <si>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</si>
  <si>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</si>
  <si>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</si>
  <si>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</si>
  <si>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</si>
  <si>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</si>
  <si>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</si>
  <si>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</si>
  <si>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</si>
  <si>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</si>
  <si>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</si>
  <si>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</si>
  <si>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</si>
  <si>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</si>
  <si>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</si>
  <si>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</si>
  <si>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</si>
  <si>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</si>
  <si>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</si>
  <si>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</si>
  <si>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</si>
  <si>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</si>
  <si>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</si>
  <si>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</si>
  <si>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</si>
  <si>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</si>
  <si>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</si>
  <si>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</si>
  <si>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</si>
  <si>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</si>
  <si>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</si>
  <si>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</si>
  <si>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</si>
  <si>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</si>
  <si>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</si>
  <si>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</si>
  <si>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</si>
  <si>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</si>
  <si>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</si>
  <si>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</si>
  <si>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</si>
  <si>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</si>
  <si>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</si>
  <si>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</si>
  <si>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</si>
  <si>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</si>
  <si>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</si>
  <si>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</si>
  <si>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</si>
  <si>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</si>
  <si>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</si>
  <si>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</si>
  <si>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</si>
  <si>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</si>
  <si>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</si>
  <si>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</si>
  <si>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</si>
  <si>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</si>
  <si>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</si>
  <si>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</si>
  <si>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</si>
  <si>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</si>
  <si>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</si>
  <si>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</si>
  <si>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</si>
  <si>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</si>
  <si>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</si>
  <si>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</si>
  <si>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</si>
  <si>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</si>
  <si>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</si>
  <si>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</si>
  <si>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</si>
  <si>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</si>
  <si>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</si>
  <si>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</si>
  <si>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</si>
  <si>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</si>
  <si>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</si>
  <si>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</si>
  <si>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</si>
  <si>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</si>
  <si>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</si>
  <si>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</si>
  <si>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</si>
  <si>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</si>
  <si>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</si>
  <si>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</si>
  <si>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</si>
  <si>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</si>
  <si>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</si>
  <si>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</si>
  <si>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</si>
  <si>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</si>
  <si>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</si>
  <si>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</si>
  <si>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</si>
  <si>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</si>
  <si>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</si>
  <si>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</si>
  <si>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</si>
  <si>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</si>
  <si>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</si>
  <si>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</si>
  <si>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</si>
  <si>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</si>
  <si>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</si>
  <si>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</si>
  <si>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</si>
  <si>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</si>
  <si>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</si>
  <si>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</si>
  <si>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</si>
  <si>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</si>
  <si>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</si>
  <si>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</si>
  <si>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</si>
  <si>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</si>
  <si>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</si>
  <si>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</si>
  <si>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</si>
  <si>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</si>
  <si>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</si>
  <si>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</si>
  <si>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</si>
  <si>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</si>
  <si>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</si>
  <si>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</si>
  <si>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</si>
  <si>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</si>
  <si>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</si>
  <si>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</si>
  <si>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</si>
  <si>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</si>
  <si>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</si>
  <si>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</si>
  <si>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</si>
  <si>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</si>
  <si>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</si>
  <si>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</si>
  <si>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</si>
  <si>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</si>
  <si>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</si>
  <si>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</si>
  <si>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</si>
  <si>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</si>
  <si>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</si>
  <si>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</si>
  <si>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</si>
  <si>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</si>
  <si>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</si>
  <si>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</si>
  <si>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</si>
  <si>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</si>
  <si>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</si>
  <si>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</si>
  <si>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</si>
  <si>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</si>
  <si>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</si>
  <si>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</si>
  <si>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</si>
  <si>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</si>
  <si>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</si>
  <si>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</si>
  <si>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</si>
  <si>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</si>
  <si>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</si>
  <si>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</si>
  <si>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</si>
  <si>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</si>
  <si>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</si>
  <si>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</si>
  <si>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</si>
  <si>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</si>
  <si>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</si>
  <si>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</si>
  <si>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</si>
  <si>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</si>
  <si>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</si>
  <si>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</si>
  <si>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</si>
  <si>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</si>
  <si>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</si>
  <si>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</si>
  <si>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</si>
  <si>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</si>
  <si>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</si>
  <si>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</si>
  <si>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</si>
  <si>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</si>
  <si>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</si>
  <si>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</si>
  <si>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</si>
  <si>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</si>
  <si>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</si>
  <si>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</si>
  <si>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</si>
  <si>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</si>
  <si>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</si>
  <si>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</si>
  <si>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</si>
  <si>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</si>
  <si>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</si>
  <si>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</si>
  <si>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</si>
  <si>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</si>
  <si>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</si>
  <si>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</si>
  <si>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</si>
  <si>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</si>
  <si>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</si>
  <si>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</si>
  <si>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</si>
  <si>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</si>
  <si>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</si>
  <si>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</si>
  <si>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</si>
  <si>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</si>
  <si>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</si>
  <si>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</si>
  <si>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</si>
  <si>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</si>
  <si>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</si>
  <si>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</si>
  <si>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</si>
  <si>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</si>
  <si>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</si>
  <si>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</si>
  <si>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</si>
  <si>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</si>
  <si>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</si>
  <si>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</si>
  <si>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</si>
  <si>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</si>
  <si>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</si>
  <si>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</si>
  <si>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</si>
  <si>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</si>
  <si>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</si>
  <si>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</si>
  <si>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</si>
  <si>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</si>
  <si>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</si>
  <si>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</si>
  <si>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</si>
  <si>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</si>
  <si>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</si>
  <si>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</si>
  <si>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</si>
  <si>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</si>
  <si>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</si>
  <si>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</si>
  <si>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</si>
  <si>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</si>
  <si>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</si>
  <si>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</si>
  <si>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</si>
  <si>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</si>
  <si>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</si>
  <si>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</si>
  <si>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</si>
  <si>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</si>
  <si>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</si>
  <si>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</si>
  <si>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</si>
  <si>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</si>
  <si>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</si>
  <si>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260417-038</t>
  </si>
  <si>
    <t>260417-040</t>
  </si>
  <si>
    <t>260417-042</t>
  </si>
  <si>
    <t>260423-080</t>
  </si>
  <si>
    <t>260423-083</t>
  </si>
  <si>
    <t>260405-132</t>
  </si>
  <si>
    <t>260424-090</t>
  </si>
  <si>
    <t>260424-091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</si>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</sst>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workbookViewId="0">
      <selection activeCell="H134" sqref="H13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/>
      <c r="Q43" s="21"/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199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211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212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199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213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214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199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215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216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216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217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218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219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220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221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217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222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223</v>
      </c>
      <c r="B72" s="33">
        <v>46133</v>
      </c>
      <c r="C72" s="4" t="s">
        <v>224</v>
      </c>
      <c r="D72" s="4" t="s">
        <v>225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226</v>
      </c>
      <c r="B73" s="33">
        <v>46133</v>
      </c>
      <c r="C73" s="4" t="s">
        <v>227</v>
      </c>
      <c r="D73" s="4" t="s">
        <v>227</v>
      </c>
      <c r="E73" s="4" t="s">
        <v>24</v>
      </c>
      <c r="F73" s="4"/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228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229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230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231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232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233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234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235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233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236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233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237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233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238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233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239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233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240</v>
      </c>
      <c r="B84" s="33">
        <v>46135</v>
      </c>
      <c r="C84" s="4" t="s">
        <v>241</v>
      </c>
      <c r="D84" s="4" t="s">
        <v>242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243</v>
      </c>
    </row>
    <row r="85" spans="1:21">
      <c r="A85" s="20" t="s">
        <v>244</v>
      </c>
      <c r="B85" s="33">
        <v>46135</v>
      </c>
      <c r="C85" s="4" t="s">
        <v>245</v>
      </c>
      <c r="D85" s="4" t="s">
        <v>246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243</v>
      </c>
    </row>
    <row r="86" spans="1:21">
      <c r="A86" s="20" t="s">
        <v>247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248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249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217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250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251</v>
      </c>
      <c r="B90" s="33">
        <v>46136</v>
      </c>
      <c r="C90" s="4" t="s">
        <v>252</v>
      </c>
      <c r="D90" s="4" t="s">
        <v>253</v>
      </c>
      <c r="E90" s="4" t="s">
        <v>24</v>
      </c>
      <c r="F90" s="4"/>
      <c r="G90" s="4" t="s">
        <v>254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255</v>
      </c>
      <c r="B91" s="33">
        <v>46136</v>
      </c>
      <c r="C91" s="4" t="s">
        <v>256</v>
      </c>
      <c r="D91" s="4" t="s">
        <v>257</v>
      </c>
      <c r="E91" s="4" t="s">
        <v>24</v>
      </c>
      <c r="F91" s="4"/>
      <c r="G91" s="4" t="s">
        <v>254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258</v>
      </c>
      <c r="B92" s="33">
        <v>46136</v>
      </c>
      <c r="C92" s="4" t="s">
        <v>259</v>
      </c>
      <c r="D92" s="4" t="s">
        <v>260</v>
      </c>
      <c r="E92" s="4" t="s">
        <v>24</v>
      </c>
      <c r="F92" s="4" t="s">
        <v>168</v>
      </c>
      <c r="G92" s="4" t="s">
        <v>254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261</v>
      </c>
      <c r="B93" s="33">
        <v>46136</v>
      </c>
      <c r="C93" s="4" t="s">
        <v>262</v>
      </c>
      <c r="D93" s="4" t="s">
        <v>262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/>
      <c r="Q93" s="21"/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263</v>
      </c>
    </row>
    <row r="94" spans="1:21">
      <c r="A94" s="20" t="s">
        <v>264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265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266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267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268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269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270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217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271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272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273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233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274</v>
      </c>
      <c r="B103" s="33">
        <v>46141</v>
      </c>
      <c r="C103" s="4" t="s">
        <v>49</v>
      </c>
      <c r="D103" s="4" t="s">
        <v>275</v>
      </c>
      <c r="E103" s="4" t="s">
        <v>33</v>
      </c>
      <c r="F103" s="4" t="s">
        <v>34</v>
      </c>
      <c r="G103" s="4" t="s">
        <v>35</v>
      </c>
      <c r="H103" s="20" t="s">
        <v>276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233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277</v>
      </c>
      <c r="B104" s="33">
        <v>46141</v>
      </c>
      <c r="C104" s="4" t="s">
        <v>278</v>
      </c>
      <c r="D104" s="4" t="s">
        <v>279</v>
      </c>
      <c r="E104" s="4" t="s">
        <v>280</v>
      </c>
      <c r="F104" s="4" t="s">
        <v>281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282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283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273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284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285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286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287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217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288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289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290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291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292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293</v>
      </c>
      <c r="B114" s="43">
        <v>46141</v>
      </c>
      <c r="C114" s="34" t="s">
        <v>294</v>
      </c>
      <c r="D114" s="34" t="s">
        <v>295</v>
      </c>
      <c r="E114" s="34" t="s">
        <v>24</v>
      </c>
      <c r="F114" s="34" t="s">
        <v>163</v>
      </c>
      <c r="G114" s="34" t="s">
        <v>296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297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298</v>
      </c>
      <c r="B115" s="43">
        <v>46141</v>
      </c>
      <c r="C115" s="34" t="s">
        <v>299</v>
      </c>
      <c r="D115" s="34" t="s">
        <v>300</v>
      </c>
      <c r="E115" s="34" t="s">
        <v>24</v>
      </c>
      <c r="F115" s="34" t="s">
        <v>186</v>
      </c>
      <c r="G115" s="34" t="s">
        <v>296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297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301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273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302</v>
      </c>
      <c r="B117" s="43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303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304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305</v>
      </c>
      <c r="B118" s="43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303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306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307</v>
      </c>
      <c r="B119" s="43">
        <v>46146</v>
      </c>
      <c r="C119" s="34" t="s">
        <v>252</v>
      </c>
      <c r="D119" s="34" t="s">
        <v>253</v>
      </c>
      <c r="E119" s="34" t="s">
        <v>24</v>
      </c>
      <c r="F119" s="34" t="s">
        <v>308</v>
      </c>
      <c r="G119" s="34" t="s">
        <v>254</v>
      </c>
      <c r="H119" s="20" t="s">
        <v>309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304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310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311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304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312</v>
      </c>
      <c r="B121" s="43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313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306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314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315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304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316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317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304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318</v>
      </c>
      <c r="B124" s="43">
        <v>46146</v>
      </c>
      <c r="C124" s="34" t="s">
        <v>256</v>
      </c>
      <c r="D124" s="34" t="s">
        <v>257</v>
      </c>
      <c r="E124" s="34" t="s">
        <v>24</v>
      </c>
      <c r="F124" s="34"/>
      <c r="G124" s="34" t="s">
        <v>254</v>
      </c>
      <c r="H124" s="20" t="s">
        <v>319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304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320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321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304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322</v>
      </c>
      <c r="B126" s="43">
        <v>46146</v>
      </c>
      <c r="C126" s="34" t="s">
        <v>224</v>
      </c>
      <c r="D126" s="34" t="s">
        <v>225</v>
      </c>
      <c r="E126" s="34" t="s">
        <v>24</v>
      </c>
      <c r="F126" s="34" t="s">
        <v>25</v>
      </c>
      <c r="G126" s="34" t="s">
        <v>26</v>
      </c>
      <c r="H126" s="20" t="s">
        <v>323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304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324</v>
      </c>
      <c r="B127" s="43">
        <v>46146</v>
      </c>
      <c r="C127" s="34" t="s">
        <v>227</v>
      </c>
      <c r="D127" s="34" t="s">
        <v>227</v>
      </c>
      <c r="E127" s="34" t="s">
        <v>24</v>
      </c>
      <c r="F127" s="34" t="s">
        <v>25</v>
      </c>
      <c r="G127" s="34" t="s">
        <v>26</v>
      </c>
      <c r="H127" s="20" t="s">
        <v>325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304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326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273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327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328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329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330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331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330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332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330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333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273</v>
      </c>
      <c r="I133" s="34" t="s">
        <v>64</v>
      </c>
      <c r="J133" s="38">
        <v>25</v>
      </c>
      <c r="K133" s="22">
        <f>IF(I133="","",IF(I133="ENTRADA",ABS(J133),-ABS(J133)))</f>
        <v>-25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334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335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336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336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336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217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336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311</v>
      </c>
      <c r="I139" s="34" t="s">
        <v>64</v>
      </c>
      <c r="J139" s="38">
        <v>325</v>
      </c>
      <c r="K139" s="22">
        <f>IF(I139="","",IF(I139="ENTRADA",ABS(J139),-ABS(J139)))</f>
        <v>-325</v>
      </c>
      <c r="L139" s="34" t="s">
        <v>28</v>
      </c>
      <c r="M139" s="34"/>
      <c r="N139" s="34">
        <v>59342</v>
      </c>
      <c r="O139" s="34" t="s">
        <v>306</v>
      </c>
      <c r="P139" s="34"/>
      <c r="Q139" s="34"/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315</v>
      </c>
      <c r="I140" s="34" t="s">
        <v>64</v>
      </c>
      <c r="J140" s="38">
        <v>580</v>
      </c>
      <c r="K140" s="22">
        <f>IF(I140="","",IF(I140="ENTRADA",ABS(J140),-ABS(J140)))</f>
        <v>-580</v>
      </c>
      <c r="L140" s="34" t="s">
        <v>28</v>
      </c>
      <c r="M140" s="34"/>
      <c r="N140" s="34">
        <v>59342</v>
      </c>
      <c r="O140" s="34" t="s">
        <v>306</v>
      </c>
      <c r="P140" s="34"/>
      <c r="Q140" s="34"/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290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327</v>
      </c>
      <c r="P141" s="34"/>
      <c r="Q141" s="34"/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235</v>
      </c>
      <c r="I142" s="34" t="s">
        <v>64</v>
      </c>
      <c r="J142" s="38">
        <v>230</v>
      </c>
      <c r="K142" s="22">
        <f>IF(I142="","",IF(I142="ENTRADA",ABS(J142),-ABS(J142)))</f>
        <v>-230</v>
      </c>
      <c r="L142" s="34" t="s">
        <v>28</v>
      </c>
      <c r="M142" s="34"/>
      <c r="N142" s="34">
        <v>59342</v>
      </c>
      <c r="O142" s="34" t="s">
        <v>327</v>
      </c>
      <c r="P142" s="34"/>
      <c r="Q142" s="34"/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34"/>
      <c r="C143" s="34"/>
      <c r="D143" s="34"/>
      <c r="E143" s="34"/>
      <c r="F143" s="34"/>
      <c r="G143" s="34"/>
      <c r="H143" s="20" t="str">
        <f>+T143</f>
        <v/>
      </c>
      <c r="I143" s="34"/>
      <c r="J143" s="38"/>
      <c r="K143" s="22" t="str">
        <f>IF(I143="","",IF(I143="ENTRADA",ABS(J143),-ABS(J143)))</f>
        <v/>
      </c>
      <c r="L143" s="34"/>
      <c r="M143" s="34"/>
      <c r="N143" s="34"/>
      <c r="O143" s="34"/>
      <c r="P143" s="34"/>
      <c r="Q143" s="34"/>
      <c r="R143" s="22" t="str">
        <f>IF(H143="","",H143&amp;I143)</f>
        <v/>
      </c>
      <c r="S143" s="22" t="str">
        <f>IF(C143="","",C143&amp;I143)</f>
        <v/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345</v>
      </c>
      <c r="B144" s="34"/>
      <c r="C144" s="34"/>
      <c r="D144" s="34"/>
      <c r="E144" s="34"/>
      <c r="F144" s="34"/>
      <c r="G144" s="34"/>
      <c r="H144" s="20" t="str">
        <f>+T144</f>
        <v/>
      </c>
      <c r="I144" s="34"/>
      <c r="J144" s="38"/>
      <c r="K144" s="22" t="str">
        <f>IF(I144="","",IF(I144="ENTRADA",ABS(J144),-ABS(J144)))</f>
        <v/>
      </c>
      <c r="L144" s="34"/>
      <c r="M144" s="34"/>
      <c r="N144" s="34"/>
      <c r="O144" s="34"/>
      <c r="P144" s="34"/>
      <c r="Q144" s="34"/>
      <c r="R144" s="22" t="str">
        <f>IF(H144="","",H144&amp;I144)</f>
        <v/>
      </c>
      <c r="S144" s="22" t="str">
        <f>IF(C144="","",C144&amp;I144)</f>
        <v/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346</v>
      </c>
      <c r="B145" s="34"/>
      <c r="C145" s="34"/>
      <c r="D145" s="34"/>
      <c r="E145" s="34"/>
      <c r="F145" s="34"/>
      <c r="G145" s="34"/>
      <c r="H145" s="20" t="str">
        <f>+T145</f>
        <v/>
      </c>
      <c r="I145" s="34"/>
      <c r="J145" s="38"/>
      <c r="K145" s="22" t="str">
        <f>IF(I145="","",IF(I145="ENTRADA",ABS(J145),-ABS(J145)))</f>
        <v/>
      </c>
      <c r="L145" s="34"/>
      <c r="M145" s="34"/>
      <c r="N145" s="34"/>
      <c r="O145" s="34"/>
      <c r="P145" s="34"/>
      <c r="Q145" s="34"/>
      <c r="R145" s="22" t="str">
        <f>IF(H145="","",H145&amp;I145)</f>
        <v/>
      </c>
      <c r="S145" s="22" t="str">
        <f>IF(C145="","",C145&amp;I145)</f>
        <v/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347</v>
      </c>
      <c r="B146" s="34"/>
      <c r="C146" s="34"/>
      <c r="D146" s="34"/>
      <c r="E146" s="34"/>
      <c r="F146" s="34"/>
      <c r="G146" s="34"/>
      <c r="H146" s="20" t="str">
        <f>+T146</f>
        <v/>
      </c>
      <c r="I146" s="34"/>
      <c r="J146" s="38"/>
      <c r="K146" s="22" t="str">
        <f>IF(I146="","",IF(I146="ENTRADA",ABS(J146),-ABS(J146)))</f>
        <v/>
      </c>
      <c r="L146" s="34"/>
      <c r="M146" s="34"/>
      <c r="N146" s="34"/>
      <c r="O146" s="34"/>
      <c r="P146" s="34"/>
      <c r="Q146" s="34"/>
      <c r="R146" s="22" t="str">
        <f>IF(H146="","",H146&amp;I146)</f>
        <v/>
      </c>
      <c r="S146" s="22" t="str">
        <f>IF(C146="","",C146&amp;I146)</f>
        <v/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348</v>
      </c>
      <c r="B147" s="34"/>
      <c r="C147" s="34"/>
      <c r="D147" s="34"/>
      <c r="E147" s="34"/>
      <c r="F147" s="34"/>
      <c r="G147" s="34"/>
      <c r="H147" s="20" t="str">
        <f>+T147</f>
        <v/>
      </c>
      <c r="I147" s="34"/>
      <c r="J147" s="38"/>
      <c r="K147" s="22" t="str">
        <f>IF(I147="","",IF(I147="ENTRADA",ABS(J147),-ABS(J147)))</f>
        <v/>
      </c>
      <c r="L147" s="34"/>
      <c r="M147" s="34"/>
      <c r="N147" s="34"/>
      <c r="O147" s="34"/>
      <c r="P147" s="34"/>
      <c r="Q147" s="34"/>
      <c r="R147" s="22" t="str">
        <f>IF(H147="","",H147&amp;I147)</f>
        <v/>
      </c>
      <c r="S147" s="22" t="str">
        <f>IF(C147="","",C147&amp;I147)</f>
        <v/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349</v>
      </c>
      <c r="B148" s="34"/>
      <c r="C148" s="34"/>
      <c r="D148" s="34"/>
      <c r="E148" s="34"/>
      <c r="F148" s="34"/>
      <c r="G148" s="34"/>
      <c r="H148" s="20" t="str">
        <f>+T148</f>
        <v/>
      </c>
      <c r="I148" s="34"/>
      <c r="J148" s="38"/>
      <c r="K148" s="22" t="str">
        <f>IF(I148="","",IF(I148="ENTRADA",ABS(J148),-ABS(J148)))</f>
        <v/>
      </c>
      <c r="L148" s="34"/>
      <c r="M148" s="34"/>
      <c r="N148" s="34"/>
      <c r="O148" s="34"/>
      <c r="P148" s="34"/>
      <c r="Q148" s="34"/>
      <c r="R148" s="22" t="str">
        <f>IF(H148="","",H148&amp;I148)</f>
        <v/>
      </c>
      <c r="S148" s="22" t="str">
        <f>IF(C148="","",C148&amp;I148)</f>
        <v/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350</v>
      </c>
      <c r="B149" s="34"/>
      <c r="C149" s="34"/>
      <c r="D149" s="34"/>
      <c r="E149" s="34"/>
      <c r="F149" s="34"/>
      <c r="G149" s="34"/>
      <c r="H149" s="20" t="str">
        <f>+T149</f>
        <v/>
      </c>
      <c r="I149" s="34"/>
      <c r="J149" s="38"/>
      <c r="K149" s="22" t="str">
        <f>IF(I149="","",IF(I149="ENTRADA",ABS(J149),-ABS(J149)))</f>
        <v/>
      </c>
      <c r="L149" s="34"/>
      <c r="M149" s="34"/>
      <c r="N149" s="34"/>
      <c r="O149" s="34"/>
      <c r="P149" s="34"/>
      <c r="Q149" s="34"/>
      <c r="R149" s="22" t="str">
        <f>IF(H149="","",H149&amp;I149)</f>
        <v/>
      </c>
      <c r="S149" s="22" t="str">
        <f>IF(C149="","",C149&amp;I149)</f>
        <v/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351</v>
      </c>
      <c r="B150" s="34"/>
      <c r="C150" s="34"/>
      <c r="D150" s="34"/>
      <c r="E150" s="34"/>
      <c r="F150" s="34"/>
      <c r="G150" s="34"/>
      <c r="H150" s="20" t="str">
        <f>+T150</f>
        <v/>
      </c>
      <c r="I150" s="34"/>
      <c r="J150" s="38"/>
      <c r="K150" s="22" t="str">
        <f>IF(I150="","",IF(I150="ENTRADA",ABS(J150),-ABS(J150)))</f>
        <v/>
      </c>
      <c r="L150" s="34"/>
      <c r="M150" s="34"/>
      <c r="N150" s="34"/>
      <c r="O150" s="34"/>
      <c r="P150" s="34"/>
      <c r="Q150" s="34"/>
      <c r="R150" s="22" t="str">
        <f>IF(H150="","",H150&amp;I150)</f>
        <v/>
      </c>
      <c r="S150" s="22" t="str">
        <f>IF(C150="","",C150&amp;I150)</f>
        <v/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352</v>
      </c>
      <c r="B151" s="34"/>
      <c r="C151" s="34"/>
      <c r="D151" s="34"/>
      <c r="E151" s="34"/>
      <c r="F151" s="34"/>
      <c r="G151" s="34"/>
      <c r="H151" s="20" t="str">
        <f>+T151</f>
        <v/>
      </c>
      <c r="I151" s="34"/>
      <c r="J151" s="38"/>
      <c r="K151" s="22" t="str">
        <f>IF(I151="","",IF(I151="ENTRADA",ABS(J151),-ABS(J151)))</f>
        <v/>
      </c>
      <c r="L151" s="34"/>
      <c r="M151" s="34"/>
      <c r="N151" s="34"/>
      <c r="O151" s="34"/>
      <c r="P151" s="34"/>
      <c r="Q151" s="34"/>
      <c r="R151" s="22" t="str">
        <f>IF(H151="","",H151&amp;I151)</f>
        <v/>
      </c>
      <c r="S151" s="22" t="str">
        <f>IF(C151="","",C151&amp;I151)</f>
        <v/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353</v>
      </c>
      <c r="B152" s="34"/>
      <c r="C152" s="34"/>
      <c r="D152" s="34"/>
      <c r="E152" s="34"/>
      <c r="F152" s="34"/>
      <c r="G152" s="34"/>
      <c r="H152" s="20" t="str">
        <f>+T152</f>
        <v/>
      </c>
      <c r="I152" s="34"/>
      <c r="J152" s="38"/>
      <c r="K152" s="22" t="str">
        <f>IF(I152="","",IF(I152="ENTRADA",ABS(J152),-ABS(J152)))</f>
        <v/>
      </c>
      <c r="L152" s="34"/>
      <c r="M152" s="34"/>
      <c r="N152" s="34"/>
      <c r="O152" s="34"/>
      <c r="P152" s="34"/>
      <c r="Q152" s="34"/>
      <c r="R152" s="22" t="str">
        <f>IF(H152="","",H152&amp;I152)</f>
        <v/>
      </c>
      <c r="S152" s="22" t="str">
        <f>IF(C152="","",C152&amp;I152)</f>
        <v/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354</v>
      </c>
      <c r="B153" s="34"/>
      <c r="C153" s="34"/>
      <c r="D153" s="34"/>
      <c r="E153" s="34"/>
      <c r="F153" s="34"/>
      <c r="G153" s="34"/>
      <c r="H153" s="20" t="str">
        <f>+T153</f>
        <v/>
      </c>
      <c r="I153" s="34"/>
      <c r="J153" s="38"/>
      <c r="K153" s="22" t="str">
        <f>IF(I153="","",IF(I153="ENTRADA",ABS(J153),-ABS(J153)))</f>
        <v/>
      </c>
      <c r="L153" s="34"/>
      <c r="M153" s="34"/>
      <c r="N153" s="34"/>
      <c r="O153" s="34"/>
      <c r="P153" s="34"/>
      <c r="Q153" s="34"/>
      <c r="R153" s="22" t="str">
        <f>IF(H153="","",H153&amp;I153)</f>
        <v/>
      </c>
      <c r="S153" s="22" t="str">
        <f>IF(C153="","",C153&amp;I153)</f>
        <v/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355</v>
      </c>
      <c r="B154" s="34"/>
      <c r="C154" s="34"/>
      <c r="D154" s="34"/>
      <c r="E154" s="34"/>
      <c r="F154" s="34"/>
      <c r="G154" s="34"/>
      <c r="H154" s="20" t="str">
        <f>+T154</f>
        <v/>
      </c>
      <c r="I154" s="34"/>
      <c r="J154" s="38"/>
      <c r="K154" s="22" t="str">
        <f>IF(I154="","",IF(I154="ENTRADA",ABS(J154),-ABS(J154)))</f>
        <v/>
      </c>
      <c r="L154" s="34"/>
      <c r="M154" s="34"/>
      <c r="N154" s="34"/>
      <c r="O154" s="34"/>
      <c r="P154" s="34"/>
      <c r="Q154" s="34"/>
      <c r="R154" s="22" t="str">
        <f>IF(H154="","",H154&amp;I154)</f>
        <v/>
      </c>
      <c r="S154" s="22" t="str">
        <f>IF(C154="","",C154&amp;I154)</f>
        <v/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356</v>
      </c>
      <c r="B155" s="34"/>
      <c r="C155" s="34"/>
      <c r="D155" s="34"/>
      <c r="E155" s="34"/>
      <c r="F155" s="34"/>
      <c r="G155" s="34"/>
      <c r="H155" s="20" t="str">
        <f>+T155</f>
        <v/>
      </c>
      <c r="I155" s="34"/>
      <c r="J155" s="38"/>
      <c r="K155" s="22" t="str">
        <f>IF(I155="","",IF(I155="ENTRADA",ABS(J155),-ABS(J155)))</f>
        <v/>
      </c>
      <c r="L155" s="34"/>
      <c r="M155" s="34"/>
      <c r="N155" s="34"/>
      <c r="O155" s="34"/>
      <c r="P155" s="34"/>
      <c r="Q155" s="34"/>
      <c r="R155" s="22" t="str">
        <f>IF(H155="","",H155&amp;I155)</f>
        <v/>
      </c>
      <c r="S155" s="22" t="str">
        <f>IF(C155="","",C155&amp;I155)</f>
        <v/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357</v>
      </c>
      <c r="B156" s="34"/>
      <c r="C156" s="34"/>
      <c r="D156" s="34"/>
      <c r="E156" s="34"/>
      <c r="F156" s="34"/>
      <c r="G156" s="34"/>
      <c r="H156" s="20" t="str">
        <f>+T156</f>
        <v/>
      </c>
      <c r="I156" s="34"/>
      <c r="J156" s="38"/>
      <c r="K156" s="22" t="str">
        <f>IF(I156="","",IF(I156="ENTRADA",ABS(J156),-ABS(J156)))</f>
        <v/>
      </c>
      <c r="L156" s="34"/>
      <c r="M156" s="34"/>
      <c r="N156" s="34"/>
      <c r="O156" s="34"/>
      <c r="P156" s="34"/>
      <c r="Q156" s="34"/>
      <c r="R156" s="22" t="str">
        <f>IF(H156="","",H156&amp;I156)</f>
        <v/>
      </c>
      <c r="S156" s="22" t="str">
        <f>IF(C156="","",C156&amp;I156)</f>
        <v/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358</v>
      </c>
      <c r="B157" s="34"/>
      <c r="C157" s="34"/>
      <c r="D157" s="34"/>
      <c r="E157" s="34"/>
      <c r="F157" s="34"/>
      <c r="G157" s="34"/>
      <c r="H157" s="20" t="str">
        <f>+T157</f>
        <v/>
      </c>
      <c r="I157" s="34"/>
      <c r="J157" s="38"/>
      <c r="K157" s="22" t="str">
        <f>IF(I157="","",IF(I157="ENTRADA",ABS(J157),-ABS(J157)))</f>
        <v/>
      </c>
      <c r="L157" s="34"/>
      <c r="M157" s="34"/>
      <c r="N157" s="34"/>
      <c r="O157" s="34"/>
      <c r="P157" s="34"/>
      <c r="Q157" s="34"/>
      <c r="R157" s="22" t="str">
        <f>IF(H157="","",H157&amp;I157)</f>
        <v/>
      </c>
      <c r="S157" s="22" t="str">
        <f>IF(C157="","",C157&amp;I157)</f>
        <v/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359</v>
      </c>
      <c r="B158" s="34"/>
      <c r="C158" s="34"/>
      <c r="D158" s="34"/>
      <c r="E158" s="34"/>
      <c r="F158" s="34"/>
      <c r="G158" s="34"/>
      <c r="H158" s="20" t="str">
        <f>+T158</f>
        <v/>
      </c>
      <c r="I158" s="34"/>
      <c r="J158" s="38"/>
      <c r="K158" s="22" t="str">
        <f>IF(I158="","",IF(I158="ENTRADA",ABS(J158),-ABS(J158)))</f>
        <v/>
      </c>
      <c r="L158" s="34"/>
      <c r="M158" s="34"/>
      <c r="N158" s="34"/>
      <c r="O158" s="34"/>
      <c r="P158" s="34"/>
      <c r="Q158" s="34"/>
      <c r="R158" s="22" t="str">
        <f>IF(H158="","",H158&amp;I158)</f>
        <v/>
      </c>
      <c r="S158" s="22" t="str">
        <f>IF(C158="","",C158&amp;I158)</f>
        <v/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360</v>
      </c>
      <c r="B159" s="34"/>
      <c r="C159" s="34"/>
      <c r="D159" s="34"/>
      <c r="E159" s="34"/>
      <c r="F159" s="34"/>
      <c r="G159" s="34"/>
      <c r="H159" s="20" t="str">
        <f>+T159</f>
        <v/>
      </c>
      <c r="I159" s="34"/>
      <c r="J159" s="38"/>
      <c r="K159" s="22" t="str">
        <f>IF(I159="","",IF(I159="ENTRADA",ABS(J159),-ABS(J159)))</f>
        <v/>
      </c>
      <c r="L159" s="34"/>
      <c r="M159" s="34"/>
      <c r="N159" s="34"/>
      <c r="O159" s="34"/>
      <c r="P159" s="34"/>
      <c r="Q159" s="34"/>
      <c r="R159" s="22" t="str">
        <f>IF(H159="","",H159&amp;I159)</f>
        <v/>
      </c>
      <c r="S159" s="22" t="str">
        <f>IF(C159="","",C159&amp;I159)</f>
        <v/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361</v>
      </c>
      <c r="B160" s="34"/>
      <c r="C160" s="34"/>
      <c r="D160" s="34"/>
      <c r="E160" s="34"/>
      <c r="F160" s="34"/>
      <c r="G160" s="34"/>
      <c r="H160" s="20" t="str">
        <f>+T160</f>
        <v/>
      </c>
      <c r="I160" s="34"/>
      <c r="J160" s="38"/>
      <c r="K160" s="22" t="str">
        <f>IF(I160="","",IF(I160="ENTRADA",ABS(J160),-ABS(J160)))</f>
        <v/>
      </c>
      <c r="L160" s="34"/>
      <c r="M160" s="34"/>
      <c r="N160" s="34"/>
      <c r="O160" s="34"/>
      <c r="P160" s="34"/>
      <c r="Q160" s="34"/>
      <c r="R160" s="22" t="str">
        <f>IF(H160="","",H160&amp;I160)</f>
        <v/>
      </c>
      <c r="S160" s="22" t="str">
        <f>IF(C160="","",C160&amp;I160)</f>
        <v/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362</v>
      </c>
      <c r="B161" s="34"/>
      <c r="C161" s="34"/>
      <c r="D161" s="34"/>
      <c r="E161" s="34"/>
      <c r="F161" s="34"/>
      <c r="G161" s="34"/>
      <c r="H161" s="20" t="str">
        <f>+T161</f>
        <v/>
      </c>
      <c r="I161" s="34"/>
      <c r="J161" s="38"/>
      <c r="K161" s="22" t="str">
        <f>IF(I161="","",IF(I161="ENTRADA",ABS(J161),-ABS(J161)))</f>
        <v/>
      </c>
      <c r="L161" s="34"/>
      <c r="M161" s="34"/>
      <c r="N161" s="34"/>
      <c r="O161" s="34"/>
      <c r="P161" s="34"/>
      <c r="Q161" s="34"/>
      <c r="R161" s="22" t="str">
        <f>IF(H161="","",H161&amp;I161)</f>
        <v/>
      </c>
      <c r="S161" s="22" t="str">
        <f>IF(C161="","",C161&amp;I161)</f>
        <v/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363</v>
      </c>
      <c r="B162" s="34"/>
      <c r="C162" s="34"/>
      <c r="D162" s="34"/>
      <c r="E162" s="34"/>
      <c r="F162" s="34"/>
      <c r="G162" s="34"/>
      <c r="H162" s="20" t="str">
        <f>+T162</f>
        <v/>
      </c>
      <c r="I162" s="34"/>
      <c r="J162" s="38"/>
      <c r="K162" s="22" t="str">
        <f>IF(I162="","",IF(I162="ENTRADA",ABS(J162),-ABS(J162)))</f>
        <v/>
      </c>
      <c r="L162" s="34"/>
      <c r="M162" s="34"/>
      <c r="N162" s="34"/>
      <c r="O162" s="34"/>
      <c r="P162" s="34"/>
      <c r="Q162" s="34"/>
      <c r="R162" s="22" t="str">
        <f>IF(H162="","",H162&amp;I162)</f>
        <v/>
      </c>
      <c r="S162" s="22" t="str">
        <f>IF(C162="","",C162&amp;I162)</f>
        <v/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364</v>
      </c>
      <c r="B163" s="34"/>
      <c r="C163" s="34"/>
      <c r="D163" s="34"/>
      <c r="E163" s="34"/>
      <c r="F163" s="34"/>
      <c r="G163" s="34"/>
      <c r="H163" s="20" t="str">
        <f>+T163</f>
        <v/>
      </c>
      <c r="I163" s="34"/>
      <c r="J163" s="38"/>
      <c r="K163" s="22" t="str">
        <f>IF(I163="","",IF(I163="ENTRADA",ABS(J163),-ABS(J163)))</f>
        <v/>
      </c>
      <c r="L163" s="34"/>
      <c r="M163" s="34"/>
      <c r="N163" s="34"/>
      <c r="O163" s="34"/>
      <c r="P163" s="34"/>
      <c r="Q163" s="34"/>
      <c r="R163" s="22" t="str">
        <f>IF(H163="","",H163&amp;I163)</f>
        <v/>
      </c>
      <c r="S163" s="22" t="str">
        <f>IF(C163="","",C163&amp;I163)</f>
        <v/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365</v>
      </c>
      <c r="B164" s="34"/>
      <c r="C164" s="34"/>
      <c r="D164" s="34"/>
      <c r="E164" s="34"/>
      <c r="F164" s="34"/>
      <c r="G164" s="34"/>
      <c r="H164" s="20" t="str">
        <f>+T164</f>
        <v/>
      </c>
      <c r="I164" s="34"/>
      <c r="J164" s="38"/>
      <c r="K164" s="22" t="str">
        <f>IF(I164="","",IF(I164="ENTRADA",ABS(J164),-ABS(J164)))</f>
        <v/>
      </c>
      <c r="L164" s="34"/>
      <c r="M164" s="34"/>
      <c r="N164" s="34"/>
      <c r="O164" s="34"/>
      <c r="P164" s="34"/>
      <c r="Q164" s="34"/>
      <c r="R164" s="22" t="str">
        <f>IF(H164="","",H164&amp;I164)</f>
        <v/>
      </c>
      <c r="S164" s="22" t="str">
        <f>IF(C164="","",C164&amp;I164)</f>
        <v/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366</v>
      </c>
      <c r="B165" s="34"/>
      <c r="C165" s="34"/>
      <c r="D165" s="34"/>
      <c r="E165" s="34"/>
      <c r="F165" s="34"/>
      <c r="G165" s="34"/>
      <c r="H165" s="20" t="str">
        <f>+T165</f>
        <v/>
      </c>
      <c r="I165" s="34"/>
      <c r="J165" s="38"/>
      <c r="K165" s="22" t="str">
        <f>IF(I165="","",IF(I165="ENTRADA",ABS(J165),-ABS(J165)))</f>
        <v/>
      </c>
      <c r="L165" s="34"/>
      <c r="M165" s="34"/>
      <c r="N165" s="34"/>
      <c r="O165" s="34"/>
      <c r="P165" s="34"/>
      <c r="Q165" s="34"/>
      <c r="R165" s="22" t="str">
        <f>IF(H165="","",H165&amp;I165)</f>
        <v/>
      </c>
      <c r="S165" s="22" t="str">
        <f>IF(C165="","",C165&amp;I165)</f>
        <v/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367</v>
      </c>
      <c r="B166" s="34"/>
      <c r="C166" s="34"/>
      <c r="D166" s="34"/>
      <c r="E166" s="34"/>
      <c r="F166" s="34"/>
      <c r="G166" s="34"/>
      <c r="H166" s="20" t="str">
        <f>+T166</f>
        <v/>
      </c>
      <c r="I166" s="34"/>
      <c r="J166" s="38"/>
      <c r="K166" s="22" t="str">
        <f>IF(I166="","",IF(I166="ENTRADA",ABS(J166),-ABS(J166)))</f>
        <v/>
      </c>
      <c r="L166" s="34"/>
      <c r="M166" s="34"/>
      <c r="N166" s="34"/>
      <c r="O166" s="34"/>
      <c r="P166" s="34"/>
      <c r="Q166" s="34"/>
      <c r="R166" s="22" t="str">
        <f>IF(H166="","",H166&amp;I166)</f>
        <v/>
      </c>
      <c r="S166" s="22" t="str">
        <f>IF(C166="","",C166&amp;I166)</f>
        <v/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368</v>
      </c>
      <c r="B167" s="34"/>
      <c r="C167" s="34"/>
      <c r="D167" s="34"/>
      <c r="E167" s="34"/>
      <c r="F167" s="34"/>
      <c r="G167" s="34"/>
      <c r="H167" s="20" t="str">
        <f>+T167</f>
        <v/>
      </c>
      <c r="I167" s="34"/>
      <c r="J167" s="38"/>
      <c r="K167" s="22" t="str">
        <f>IF(I167="","",IF(I167="ENTRADA",ABS(J167),-ABS(J167)))</f>
        <v/>
      </c>
      <c r="L167" s="34"/>
      <c r="M167" s="34"/>
      <c r="N167" s="34"/>
      <c r="O167" s="34"/>
      <c r="P167" s="34"/>
      <c r="Q167" s="34"/>
      <c r="R167" s="22" t="str">
        <f>IF(H167="","",H167&amp;I167)</f>
        <v/>
      </c>
      <c r="S167" s="22" t="str">
        <f>IF(C167="","",C167&amp;I167)</f>
        <v/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369</v>
      </c>
      <c r="B168" s="34"/>
      <c r="C168" s="34"/>
      <c r="D168" s="34"/>
      <c r="E168" s="34"/>
      <c r="F168" s="34"/>
      <c r="G168" s="34"/>
      <c r="H168" s="20" t="str">
        <f>+T168</f>
        <v/>
      </c>
      <c r="I168" s="34"/>
      <c r="J168" s="38"/>
      <c r="K168" s="22" t="str">
        <f>IF(I168="","",IF(I168="ENTRADA",ABS(J168),-ABS(J168)))</f>
        <v/>
      </c>
      <c r="L168" s="34"/>
      <c r="M168" s="34"/>
      <c r="N168" s="34"/>
      <c r="O168" s="34"/>
      <c r="P168" s="34"/>
      <c r="Q168" s="34"/>
      <c r="R168" s="22" t="str">
        <f>IF(H168="","",H168&amp;I168)</f>
        <v/>
      </c>
      <c r="S168" s="22" t="str">
        <f>IF(C168="","",C168&amp;I168)</f>
        <v/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370</v>
      </c>
      <c r="B169" s="34"/>
      <c r="C169" s="34"/>
      <c r="D169" s="34"/>
      <c r="E169" s="34"/>
      <c r="F169" s="34"/>
      <c r="G169" s="34"/>
      <c r="H169" s="20" t="str">
        <f>+T169</f>
        <v/>
      </c>
      <c r="I169" s="34"/>
      <c r="J169" s="38"/>
      <c r="K169" s="22" t="str">
        <f>IF(I169="","",IF(I169="ENTRADA",ABS(J169),-ABS(J169)))</f>
        <v/>
      </c>
      <c r="L169" s="34"/>
      <c r="M169" s="34"/>
      <c r="N169" s="34"/>
      <c r="O169" s="34"/>
      <c r="P169" s="34"/>
      <c r="Q169" s="34"/>
      <c r="R169" s="22" t="str">
        <f>IF(H169="","",H169&amp;I169)</f>
        <v/>
      </c>
      <c r="S169" s="22" t="str">
        <f>IF(C169="","",C169&amp;I169)</f>
        <v/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371</v>
      </c>
      <c r="B170" s="34"/>
      <c r="C170" s="34"/>
      <c r="D170" s="34"/>
      <c r="E170" s="34"/>
      <c r="F170" s="34"/>
      <c r="G170" s="34"/>
      <c r="H170" s="20" t="str">
        <f>+T170</f>
        <v/>
      </c>
      <c r="I170" s="34"/>
      <c r="J170" s="38"/>
      <c r="K170" s="22" t="str">
        <f>IF(I170="","",IF(I170="ENTRADA",ABS(J170),-ABS(J170)))</f>
        <v/>
      </c>
      <c r="L170" s="34"/>
      <c r="M170" s="34"/>
      <c r="N170" s="34"/>
      <c r="O170" s="34"/>
      <c r="P170" s="34"/>
      <c r="Q170" s="34"/>
      <c r="R170" s="22" t="str">
        <f>IF(H170="","",H170&amp;I170)</f>
        <v/>
      </c>
      <c r="S170" s="22" t="str">
        <f>IF(C170="","",C170&amp;I170)</f>
        <v/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372</v>
      </c>
      <c r="B171" s="34"/>
      <c r="C171" s="34"/>
      <c r="D171" s="34"/>
      <c r="E171" s="34"/>
      <c r="F171" s="34"/>
      <c r="G171" s="34"/>
      <c r="H171" s="20" t="str">
        <f>+T171</f>
        <v/>
      </c>
      <c r="I171" s="34"/>
      <c r="J171" s="38"/>
      <c r="K171" s="22" t="str">
        <f>IF(I171="","",IF(I171="ENTRADA",ABS(J171),-ABS(J171)))</f>
        <v/>
      </c>
      <c r="L171" s="34"/>
      <c r="M171" s="34"/>
      <c r="N171" s="34"/>
      <c r="O171" s="34"/>
      <c r="P171" s="34"/>
      <c r="Q171" s="34"/>
      <c r="R171" s="22" t="str">
        <f>IF(H171="","",H171&amp;I171)</f>
        <v/>
      </c>
      <c r="S171" s="22" t="str">
        <f>IF(C171="","",C171&amp;I171)</f>
        <v/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373</v>
      </c>
      <c r="B172" s="34"/>
      <c r="C172" s="34"/>
      <c r="D172" s="34"/>
      <c r="E172" s="34"/>
      <c r="F172" s="34"/>
      <c r="G172" s="34"/>
      <c r="H172" s="20" t="str">
        <f>+T172</f>
        <v/>
      </c>
      <c r="I172" s="34"/>
      <c r="J172" s="38"/>
      <c r="K172" s="22" t="str">
        <f>IF(I172="","",IF(I172="ENTRADA",ABS(J172),-ABS(J172)))</f>
        <v/>
      </c>
      <c r="L172" s="34"/>
      <c r="M172" s="34"/>
      <c r="N172" s="34"/>
      <c r="O172" s="34"/>
      <c r="P172" s="34"/>
      <c r="Q172" s="34"/>
      <c r="R172" s="22" t="str">
        <f>IF(H172="","",H172&amp;I172)</f>
        <v/>
      </c>
      <c r="S172" s="22" t="str">
        <f>IF(C172="","",C172&amp;I172)</f>
        <v/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374</v>
      </c>
      <c r="B173" s="34"/>
      <c r="C173" s="34"/>
      <c r="D173" s="34"/>
      <c r="E173" s="34"/>
      <c r="F173" s="34"/>
      <c r="G173" s="34"/>
      <c r="H173" s="20" t="str">
        <f>+T173</f>
        <v/>
      </c>
      <c r="I173" s="34"/>
      <c r="J173" s="38"/>
      <c r="K173" s="22" t="str">
        <f>IF(I173="","",IF(I173="ENTRADA",ABS(J173),-ABS(J173)))</f>
        <v/>
      </c>
      <c r="L173" s="34"/>
      <c r="M173" s="34"/>
      <c r="N173" s="34"/>
      <c r="O173" s="34"/>
      <c r="P173" s="34"/>
      <c r="Q173" s="34"/>
      <c r="R173" s="22" t="str">
        <f>IF(H173="","",H173&amp;I173)</f>
        <v/>
      </c>
      <c r="S173" s="22" t="str">
        <f>IF(C173="","",C173&amp;I173)</f>
        <v/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375</v>
      </c>
      <c r="B174" s="34"/>
      <c r="C174" s="34"/>
      <c r="D174" s="34"/>
      <c r="E174" s="34"/>
      <c r="F174" s="34"/>
      <c r="G174" s="34"/>
      <c r="H174" s="20" t="str">
        <f>+T174</f>
        <v/>
      </c>
      <c r="I174" s="34"/>
      <c r="J174" s="38"/>
      <c r="K174" s="22" t="str">
        <f>IF(I174="","",IF(I174="ENTRADA",ABS(J174),-ABS(J174)))</f>
        <v/>
      </c>
      <c r="L174" s="34"/>
      <c r="M174" s="34"/>
      <c r="N174" s="34"/>
      <c r="O174" s="34"/>
      <c r="P174" s="34"/>
      <c r="Q174" s="34"/>
      <c r="R174" s="22" t="str">
        <f>IF(H174="","",H174&amp;I174)</f>
        <v/>
      </c>
      <c r="S174" s="22" t="str">
        <f>IF(C174="","",C174&amp;I174)</f>
        <v/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376</v>
      </c>
      <c r="B175" s="34"/>
      <c r="C175" s="34"/>
      <c r="D175" s="34"/>
      <c r="E175" s="34"/>
      <c r="F175" s="34"/>
      <c r="G175" s="34"/>
      <c r="H175" s="20" t="str">
        <f>+T175</f>
        <v/>
      </c>
      <c r="I175" s="34"/>
      <c r="J175" s="38"/>
      <c r="K175" s="22" t="str">
        <f>IF(I175="","",IF(I175="ENTRADA",ABS(J175),-ABS(J175)))</f>
        <v/>
      </c>
      <c r="L175" s="34"/>
      <c r="M175" s="34"/>
      <c r="N175" s="34"/>
      <c r="O175" s="34"/>
      <c r="P175" s="34"/>
      <c r="Q175" s="34"/>
      <c r="R175" s="22" t="str">
        <f>IF(H175="","",H175&amp;I175)</f>
        <v/>
      </c>
      <c r="S175" s="22" t="str">
        <f>IF(C175="","",C175&amp;I175)</f>
        <v/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377</v>
      </c>
      <c r="B176" s="34"/>
      <c r="C176" s="34"/>
      <c r="D176" s="34"/>
      <c r="E176" s="34"/>
      <c r="F176" s="34"/>
      <c r="G176" s="34"/>
      <c r="H176" s="20" t="str">
        <f>+T176</f>
        <v/>
      </c>
      <c r="I176" s="34"/>
      <c r="J176" s="38"/>
      <c r="K176" s="22" t="str">
        <f>IF(I176="","",IF(I176="ENTRADA",ABS(J176),-ABS(J176)))</f>
        <v/>
      </c>
      <c r="L176" s="34"/>
      <c r="M176" s="34"/>
      <c r="N176" s="34"/>
      <c r="O176" s="34"/>
      <c r="P176" s="34"/>
      <c r="Q176" s="34"/>
      <c r="R176" s="22" t="str">
        <f>IF(H176="","",H176&amp;I176)</f>
        <v/>
      </c>
      <c r="S176" s="22" t="str">
        <f>IF(C176="","",C176&amp;I176)</f>
        <v/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378</v>
      </c>
      <c r="B177" s="34"/>
      <c r="C177" s="34"/>
      <c r="D177" s="34"/>
      <c r="E177" s="34"/>
      <c r="F177" s="34"/>
      <c r="G177" s="34"/>
      <c r="H177" s="20" t="str">
        <f>+T177</f>
        <v/>
      </c>
      <c r="I177" s="34"/>
      <c r="J177" s="38"/>
      <c r="K177" s="22" t="str">
        <f>IF(I177="","",IF(I177="ENTRADA",ABS(J177),-ABS(J177)))</f>
        <v/>
      </c>
      <c r="L177" s="34"/>
      <c r="M177" s="34"/>
      <c r="N177" s="34"/>
      <c r="O177" s="34"/>
      <c r="P177" s="34"/>
      <c r="Q177" s="34"/>
      <c r="R177" s="22" t="str">
        <f>IF(H177="","",H177&amp;I177)</f>
        <v/>
      </c>
      <c r="S177" s="22" t="str">
        <f>IF(C177="","",C177&amp;I177)</f>
        <v/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379</v>
      </c>
      <c r="B178" s="34"/>
      <c r="C178" s="34"/>
      <c r="D178" s="34"/>
      <c r="E178" s="34"/>
      <c r="F178" s="34"/>
      <c r="G178" s="34"/>
      <c r="H178" s="20" t="str">
        <f>+T178</f>
        <v/>
      </c>
      <c r="I178" s="34"/>
      <c r="J178" s="38"/>
      <c r="K178" s="22" t="str">
        <f>IF(I178="","",IF(I178="ENTRADA",ABS(J178),-ABS(J178)))</f>
        <v/>
      </c>
      <c r="L178" s="34"/>
      <c r="M178" s="34"/>
      <c r="N178" s="34"/>
      <c r="O178" s="34"/>
      <c r="P178" s="34"/>
      <c r="Q178" s="34"/>
      <c r="R178" s="22" t="str">
        <f>IF(H178="","",H178&amp;I178)</f>
        <v/>
      </c>
      <c r="S178" s="22" t="str">
        <f>IF(C178="","",C178&amp;I178)</f>
        <v/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380</v>
      </c>
      <c r="B179" s="33"/>
      <c r="C179" s="4"/>
      <c r="D179" s="4"/>
      <c r="E179" s="4"/>
      <c r="F179" s="4"/>
      <c r="G179" s="4"/>
      <c r="H179" s="20" t="str">
        <f>+T179</f>
        <v/>
      </c>
      <c r="I179" s="4"/>
      <c r="J179" s="31"/>
      <c r="K179" s="22" t="str">
        <f>IF(I179="","",IF(I179="ENTRADA",ABS(J179),-ABS(J179)))</f>
        <v/>
      </c>
      <c r="L179" s="4"/>
      <c r="M179" s="4"/>
      <c r="N179" s="4"/>
      <c r="O179" s="4"/>
      <c r="P179" s="4"/>
      <c r="Q179" s="21"/>
      <c r="R179" s="22" t="str">
        <f>IF(H179="","",H179&amp;I179)</f>
        <v/>
      </c>
      <c r="S179" s="22" t="str">
        <f>IF(C179="","",C179&amp;I179)</f>
        <v/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381</v>
      </c>
      <c r="B180" s="34"/>
      <c r="C180" s="34"/>
      <c r="D180" s="34"/>
      <c r="E180" s="34"/>
      <c r="F180" s="34"/>
      <c r="G180" s="34"/>
      <c r="H180" s="20" t="str">
        <f>+T180</f>
        <v/>
      </c>
      <c r="I180" s="34"/>
      <c r="J180" s="38"/>
      <c r="K180" s="22" t="str">
        <f>IF(I180="","",IF(I180="ENTRADA",ABS(J180),-ABS(J180)))</f>
        <v/>
      </c>
      <c r="L180" s="34"/>
      <c r="M180" s="34"/>
      <c r="N180" s="34"/>
      <c r="O180" s="34"/>
      <c r="P180" s="34"/>
      <c r="Q180" s="34"/>
      <c r="R180" s="22" t="str">
        <f>IF(H180="","",H180&amp;I180)</f>
        <v/>
      </c>
      <c r="S180" s="22" t="str">
        <f>IF(C180="","",C180&amp;I180)</f>
        <v/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382</v>
      </c>
      <c r="B181" s="34"/>
      <c r="C181" s="34"/>
      <c r="D181" s="34"/>
      <c r="E181" s="34"/>
      <c r="F181" s="34"/>
      <c r="G181" s="34"/>
      <c r="H181" s="20" t="str">
        <f>+T181</f>
        <v/>
      </c>
      <c r="I181" s="34"/>
      <c r="J181" s="38"/>
      <c r="K181" s="22" t="str">
        <f>IF(I181="","",IF(I181="ENTRADA",ABS(J181),-ABS(J181)))</f>
        <v/>
      </c>
      <c r="L181" s="34"/>
      <c r="M181" s="34"/>
      <c r="N181" s="34"/>
      <c r="O181" s="34"/>
      <c r="P181" s="34"/>
      <c r="Q181" s="34"/>
      <c r="R181" s="22" t="str">
        <f>IF(H181="","",H181&amp;I181)</f>
        <v/>
      </c>
      <c r="S181" s="22" t="str">
        <f>IF(C181="","",C181&amp;I181)</f>
        <v/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383</v>
      </c>
      <c r="B182" s="34"/>
      <c r="C182" s="34"/>
      <c r="D182" s="34"/>
      <c r="E182" s="34"/>
      <c r="F182" s="34"/>
      <c r="G182" s="34"/>
      <c r="H182" s="20" t="str">
        <f>+T182</f>
        <v/>
      </c>
      <c r="I182" s="34"/>
      <c r="J182" s="38"/>
      <c r="K182" s="22" t="str">
        <f>IF(I182="","",IF(I182="ENTRADA",ABS(J182),-ABS(J182)))</f>
        <v/>
      </c>
      <c r="L182" s="34"/>
      <c r="M182" s="34"/>
      <c r="N182" s="34"/>
      <c r="O182" s="34"/>
      <c r="P182" s="34"/>
      <c r="Q182" s="34"/>
      <c r="R182" s="22" t="str">
        <f>IF(H182="","",H182&amp;I182)</f>
        <v/>
      </c>
      <c r="S182" s="22" t="str">
        <f>IF(C182="","",C182&amp;I182)</f>
        <v/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384</v>
      </c>
      <c r="B183" s="34"/>
      <c r="C183" s="34"/>
      <c r="D183" s="34"/>
      <c r="E183" s="34"/>
      <c r="F183" s="34"/>
      <c r="G183" s="34"/>
      <c r="H183" s="20" t="str">
        <f>+T183</f>
        <v/>
      </c>
      <c r="I183" s="34"/>
      <c r="J183" s="38"/>
      <c r="K183" s="22" t="str">
        <f>IF(I183="","",IF(I183="ENTRADA",ABS(J183),-ABS(J183)))</f>
        <v/>
      </c>
      <c r="L183" s="34"/>
      <c r="M183" s="34"/>
      <c r="N183" s="34"/>
      <c r="O183" s="34"/>
      <c r="P183" s="34"/>
      <c r="Q183" s="34"/>
      <c r="R183" s="22" t="str">
        <f>IF(H183="","",H183&amp;I183)</f>
        <v/>
      </c>
      <c r="S183" s="22" t="str">
        <f>IF(C183="","",C183&amp;I183)</f>
        <v/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385</v>
      </c>
      <c r="B184" s="34"/>
      <c r="C184" s="34"/>
      <c r="D184" s="34"/>
      <c r="E184" s="34"/>
      <c r="F184" s="34"/>
      <c r="G184" s="34"/>
      <c r="H184" s="20" t="str">
        <f>+T184</f>
        <v/>
      </c>
      <c r="I184" s="34"/>
      <c r="J184" s="38"/>
      <c r="K184" s="22" t="str">
        <f>IF(I184="","",IF(I184="ENTRADA",ABS(J184),-ABS(J184)))</f>
        <v/>
      </c>
      <c r="L184" s="34"/>
      <c r="M184" s="34"/>
      <c r="N184" s="34"/>
      <c r="O184" s="34"/>
      <c r="P184" s="34"/>
      <c r="Q184" s="34"/>
      <c r="R184" s="22" t="str">
        <f>IF(H184="","",H184&amp;I184)</f>
        <v/>
      </c>
      <c r="S184" s="22" t="str">
        <f>IF(C184="","",C184&amp;I184)</f>
        <v/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386</v>
      </c>
      <c r="B185" s="34"/>
      <c r="C185" s="34"/>
      <c r="D185" s="34"/>
      <c r="E185" s="34"/>
      <c r="F185" s="34"/>
      <c r="G185" s="34"/>
      <c r="H185" s="20" t="str">
        <f>+T185</f>
        <v/>
      </c>
      <c r="I185" s="34"/>
      <c r="J185" s="38"/>
      <c r="K185" s="22" t="str">
        <f>IF(I185="","",IF(I185="ENTRADA",ABS(J185),-ABS(J185)))</f>
        <v/>
      </c>
      <c r="L185" s="34"/>
      <c r="M185" s="34"/>
      <c r="N185" s="34"/>
      <c r="O185" s="34"/>
      <c r="P185" s="34"/>
      <c r="Q185" s="34"/>
      <c r="R185" s="22" t="str">
        <f>IF(H185="","",H185&amp;I185)</f>
        <v/>
      </c>
      <c r="S185" s="22" t="str">
        <f>IF(C185="","",C185&amp;I185)</f>
        <v/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387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388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389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390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391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392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393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394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395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396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397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398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399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400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401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402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403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404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405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406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407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408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409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410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411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412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413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414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415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416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417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418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419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420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421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422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423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424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425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426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427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428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429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430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431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432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433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434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435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436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437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438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439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440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441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442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443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444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445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446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447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448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449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450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451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452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453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454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455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456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457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458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459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460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461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462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463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464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465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466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467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468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469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470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471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472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473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474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475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476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477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478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479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480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481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482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483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484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485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486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487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488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489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490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491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492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493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494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495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496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497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498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499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500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501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502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503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504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505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506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507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508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509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510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511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512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513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514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515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516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517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518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519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520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521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522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523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524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525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526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527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528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529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530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531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532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533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534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535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536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537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538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539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540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541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542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543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544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545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546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547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548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549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550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551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552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553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554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555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556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557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558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559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560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561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562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563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564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565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566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567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568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569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570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571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572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573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574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575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576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577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578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579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580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581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582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583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584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585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586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587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588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589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590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591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592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593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594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595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596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597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598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599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600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601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602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603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604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605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606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607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608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609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610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611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612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613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614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615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616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617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618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619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620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621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622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623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624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625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626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627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628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629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630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631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632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633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634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635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636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637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638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639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640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641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642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643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644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645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646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647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648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649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650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651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652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653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654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655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656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657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658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659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660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661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662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663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664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665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666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667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668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669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670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671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672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673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674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675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676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677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678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679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680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681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682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683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684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685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686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687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688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689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690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691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692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693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694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695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696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697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698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699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700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701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702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703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704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705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706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707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708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709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710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711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712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713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714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715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716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717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718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719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720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721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722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723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724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725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726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727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728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729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730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731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732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733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734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735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736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737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738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739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740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741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742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743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744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745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746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747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748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749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750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751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752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753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754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755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756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757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758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759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760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761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762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763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764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765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766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767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768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769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770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771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772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773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774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775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776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777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778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779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780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781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782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783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784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785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786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787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788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789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790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791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792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793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794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795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796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797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798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799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800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801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802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803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804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805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806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807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808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809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810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811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812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813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814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815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816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817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818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819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820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821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822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823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824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825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826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827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828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829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830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831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832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833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834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835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836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837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838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839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840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841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842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843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844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845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846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847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848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849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850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851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852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853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854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855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856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857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858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859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860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861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862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863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864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865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866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867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868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869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870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871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872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873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874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875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876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877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878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879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880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881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882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883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884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885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886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887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888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889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890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891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892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893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894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895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896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897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898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899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900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901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902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903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904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905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906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907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908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909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910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911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912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913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914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915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916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917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918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919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920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921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922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923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924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925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926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927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928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929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930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931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932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933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934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935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936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937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938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939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940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941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942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943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944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945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946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947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948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949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950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951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952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953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954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955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956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957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958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959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960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961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962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963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964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965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966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967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968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969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970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971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972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973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974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975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976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977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978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979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980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981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982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983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984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985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986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987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988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989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990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991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992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993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994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995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996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997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998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999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1000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1001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1002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1003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1004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1005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1006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1007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1008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1009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1010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1011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1012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1013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1014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1015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1016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1017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1018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1019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1020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1021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1022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1023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1024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1025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1026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1027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1028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1029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1030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1031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1032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1033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1034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1035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1036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1037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1038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1039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1040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1041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1042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1043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1044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1045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1046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1047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1048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1049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1050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1051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1052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1053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1054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1055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1056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1057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1058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1059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1060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1061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1062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1063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1064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1065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1066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1067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1068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1069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1070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1071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1072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1073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1074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1075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1076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1077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1078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1079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1080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1081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1082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1083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1084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1085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1086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1087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1088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1089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1090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1091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1092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1093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1094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1095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1096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1097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1098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1099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1100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1101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1102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1103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1104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1105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1106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1107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1108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1109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1110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1111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1112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1113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1114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1115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1116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1117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1118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1119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1120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1121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1122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1123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1124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1125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1126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1127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1128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1129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1130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1131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1132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1133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1134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1135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1136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1137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1138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1139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1140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1141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1142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1143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1144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1145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1146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1147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1148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1149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1150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1151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1152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1153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1154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1155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1156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1157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1158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1159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1160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1161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1162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1163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1164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1165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1166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1167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1168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1169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1170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1171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1172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1173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1174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1175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1176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1177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1178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1179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1180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1181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1182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1183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1184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1185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1186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1187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1188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1189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1190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1191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1192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1193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1194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1195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1196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1197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1198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1199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1200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1201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1202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1203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1204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1205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1206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1207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1208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1209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1210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1211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1212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1213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1214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1215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1216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1217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1218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1219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1220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1221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1222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1223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1224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1225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1226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1227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1228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1229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1230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1231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1232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1233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1234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1235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1236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1237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1238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1239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1240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1241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1242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1243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1244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1245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1246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1247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1248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1249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1250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1251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1252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1253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1254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1255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1256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1257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1258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1259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1260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1261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1262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1263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1264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1265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1266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1267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1268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1269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1270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1271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1272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1273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1274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1275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1276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1277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1278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1279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1280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1281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1282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1283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1284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1285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1286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1287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1288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1289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1290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1291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1292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1293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1294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1295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1296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1297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1298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1299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1300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1301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1302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1303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1304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1305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1306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1307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1308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1309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1310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1311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1312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1313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1314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1315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1316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1317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1318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1319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1320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1321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1322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1323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1324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1325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1326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1327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1328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1329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1330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1331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1332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1333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1334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1335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1336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1337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1338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1339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1340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1341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1342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1343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1344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1345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1346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1347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1348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1349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1350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1351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1352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1353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1354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1355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1356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1357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1358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1359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1360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1361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1362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1363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1364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1365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1366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1367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1368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1369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1370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1371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1372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1373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1374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1375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1376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1377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1378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1379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1380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1381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1382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1383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1384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1385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1386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1387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1388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1389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1390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1391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1392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1393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1394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1395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1396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1397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1398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1399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1400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1401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1402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1403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1404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1405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1406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1407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1408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1409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1410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1411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1412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1413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1414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1415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1416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1417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1418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1419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1420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1421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1422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1423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1424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1425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1426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1427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1428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1429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1430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1431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1432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1433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1434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1435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1436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1437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1438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1439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1440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1441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1442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1443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1444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1445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1446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1447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1448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1449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1450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1451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1452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1453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1454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1455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1456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1457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1458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1459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1460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1461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1462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1463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1464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1465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1466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1467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1468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1469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1470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1471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1472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1473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1474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1475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1476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1477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1478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1479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1480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1481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1482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1483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1484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1485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1486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1487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1488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1489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1490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1491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1492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1493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1494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1495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1496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1497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1498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1499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1500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1501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1502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1503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1504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1505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1506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1507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1508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1509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1510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1511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1512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1513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1514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1515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1516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1517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1518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1519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1520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1521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1522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1523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1524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1525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1526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1527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1528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1529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1530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1531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1532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1533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1534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1535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1536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1537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1538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1539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1540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1541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1542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1543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1544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1545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1546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1547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1548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1549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1550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1551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1552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1553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1554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1555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1556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1557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1558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1559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1560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1561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1562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1563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1564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1565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1566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1567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1568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1569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1570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1571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1572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1573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1574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1575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1576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1577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1578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1579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1580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1581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1582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1583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1584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1585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1586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1587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1588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1589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1590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1591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1592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1593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1594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1595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1596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1597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1598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1599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1600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1601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1602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1603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1604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1605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1606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1607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1608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1609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1610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1611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1612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1613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1614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1615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1616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1617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1618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1619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1620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1621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1622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1623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1624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1625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1626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1627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1628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1629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1630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1631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1632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1633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1634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1635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1636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1637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1638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1639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1640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1641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1642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1643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1644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1645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1646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1647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1648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1649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1650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1651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1652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1653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1654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1655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1656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1657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1658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1659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1660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1661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1662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1663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1664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1665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1666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1667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1668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1669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1670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1671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1672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1673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1674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1675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1676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1677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1678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1679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1680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1681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1682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1683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1684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1685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1686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1687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1688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1689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1690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1691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1692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1693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1694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1695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1696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1697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1698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1699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1700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1701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1702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1703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1704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1705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1706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1707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1708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1709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1710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1711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1712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1713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1714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1715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1716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1717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1718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1719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1720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1721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1722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1723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1724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1725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1726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1727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1728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1729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1730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1731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1732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1733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1734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1735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1736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1737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1738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1739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1740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1741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1742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1743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1744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1745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1746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1747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1748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1749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1750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1751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1752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1753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1754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1755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1756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1757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1758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1759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1760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1761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1762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1763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1764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1765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1766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1767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1768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1769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1770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1771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1772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1773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1774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1775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1776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1777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1778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1779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1780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1781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1782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1783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1784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1785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1786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1787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1788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1789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1790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1791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1792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1793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1794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1795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1796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1797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1798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1799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1800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1801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1802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1803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1804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1805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1806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1807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1808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1809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1810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1811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1812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1813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1814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1815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1816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1817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1818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1819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1820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1821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1822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1823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1824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1825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1826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1827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1828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1829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1830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1831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1832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1833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1834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1835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1836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1837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1838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1839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1840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1841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1842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1843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1844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1845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1846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1847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1848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1849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1850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1851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1852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1853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1854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1855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1856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1857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1858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1859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1860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1861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1862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1863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1864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1865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1866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1867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1868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1869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1870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1871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1872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1873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1874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1875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1876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1877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1878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1879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1880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1881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1882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1883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1884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1885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1886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1887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1888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1889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1890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1891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1892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1893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1894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1895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1896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1897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1898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1899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1900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1901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1902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1903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1904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1905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1906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1907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1908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1909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1910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1911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1912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1913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1914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1915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1916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1917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1918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1919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1920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1921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1922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1923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1924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1925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1926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1927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1928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1929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1930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1931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1932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1933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1934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1935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1936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1937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1938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1939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1940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1941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1942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1943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1944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1945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1946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1947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1948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1949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1950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1951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1952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1953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1954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1955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1956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1957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1958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1959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1960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1961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1962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1963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1964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1965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1966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1967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1968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1969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1970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1971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1972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1973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1974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1975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1976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1977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1978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1979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1980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1981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1982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1983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1984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1985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1986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1987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1988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1989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1990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1991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1992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1993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1994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1995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1996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1997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1998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1999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2000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2001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2002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2003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2004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2005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2006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2007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2008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2009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2010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2011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2012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2013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2014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2015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2016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2017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2018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2019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2020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2021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2022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2023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2024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2025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2026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2027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2028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2029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2030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2031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2032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2033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2034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2035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2036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2037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2038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2039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2040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2041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2042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2043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2044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2045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2046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2047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2048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2049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2050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2051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2052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2053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2054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2055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2056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2057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2058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2059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2060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2061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2062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2063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2064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2065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2066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2067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2068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2069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2070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2071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2072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2073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2074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2075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2076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2077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2078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2079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2080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2081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2082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2083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2084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2085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2086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2087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2088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2089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2090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2091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2092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2093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2094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2095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2096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2097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2098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2099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2100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2101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2102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2103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2104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2105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2106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2107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2108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2109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2110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2111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2112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2113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2114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2115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2116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2117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2118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2119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2120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2121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2122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2123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2124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2125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2126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2127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2128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2129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2130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2131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2132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2133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2134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2135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2136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2137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2138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2139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2140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2141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2142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2143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2144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2145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2146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2147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2148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2149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2150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2151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2152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2153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2154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2155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2156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2157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2158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2159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2160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2161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2162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2163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2164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2165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2166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2167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2168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2169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2170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2171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2172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2173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2174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2175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2176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2177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2178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2179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2180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2181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2182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2183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2184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2185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2186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2187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2188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2189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2190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2191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2192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2193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2194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2195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2196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2197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2198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2199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2200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2201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2202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2203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B501:Q1997 A3:P11 A12:A2002 Q3:Q500 B12:P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E2:E1997</xm:sqref>
        </x14:dataValidation>
        <x14:dataValidation type="list" allowBlank="1" xr:uid="{00000000-0002-0000-0000-000005000000}">
          <x14:formula1>
            <xm:f>Listas!$F$3:$F$200</xm:f>
          </x14:formula1>
          <xm:sqref>I2:I1997</xm:sqref>
        </x14:dataValidation>
        <x14:dataValidation type="list" allowBlank="1" xr:uid="{00000000-0002-0000-0000-000006000000}">
          <x14:formula1>
            <xm:f>Listas!$G$3:$G$200</xm:f>
          </x14:formula1>
          <xm:sqref>L2:L1997</xm:sqref>
        </x14:dataValidation>
        <x14:dataValidation type="list" allowBlank="1" xr:uid="{00000000-0002-0000-0000-000007000000}">
          <x14:formula1>
            <xm:f>Listas!$H$3:$H$200</xm:f>
          </x14:formula1>
          <xm:sqref>O2:O1997</xm:sqref>
        </x14:dataValidation>
        <x14:dataValidation type="list" allowBlank="1" xr:uid="{00000000-0002-0000-0000-000000000000}">
          <x14:formula1>
            <xm:f>Listas!$A$3:$A$200</xm:f>
          </x14:formula1>
          <xm:sqref>C2:C1997</xm:sqref>
        </x14:dataValidation>
        <x14:dataValidation type="list" allowBlank="1" xr:uid="{00000000-0002-0000-0000-000001000000}">
          <x14:formula1>
            <xm:f>Listas!$B$3:$B$200</xm:f>
          </x14:formula1>
          <xm:sqref>D2:D1997</xm:sqref>
        </x14:dataValidation>
        <x14:dataValidation type="list" allowBlank="1" xr:uid="{00000000-0002-0000-0000-000004000000}">
          <x14:formula1>
            <xm:f>Listas!$E$3:$E$200</xm:f>
          </x14:formula1>
          <xm:sqref>G2:G1997</xm:sqref>
        </x14:dataValidation>
        <x14:dataValidation type="list" allowBlank="1" xr:uid="{00000000-0002-0000-0000-000003000000}">
          <x14:formula1>
            <xm:f>Listas!$D$3:$D$200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2E75B6"/>
  </sheetPr>
  <dimension ref="A1:K1003"/>
  <sheetViews>
    <sheetView showGridLines="0" workbookViewId="0">
      <pane ySplit="1" topLeftCell="A26" activePane="bottomLeft" state="frozen"/>
      <selection pane="bottomLeft" activeCell="B1013" sqref="B1013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2204</v>
      </c>
      <c r="B1" s="23" t="s">
        <v>2205</v>
      </c>
      <c r="C1" s="23" t="s">
        <v>2206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2207</v>
      </c>
      <c r="I1" s="18" t="s">
        <v>2208</v>
      </c>
      <c r="J1" s="18" t="s">
        <v>2209</v>
      </c>
      <c r="K1" s="18" t="s">
        <v>2210</v>
      </c>
    </row>
    <row r="2" spans="1:11" ht="14.25" hidden="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t="14.25" hidden="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556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 hidden="1">
      <c r="A4" s="16" t="s">
        <v>2211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346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 hidden="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374</v>
      </c>
      <c r="J5" s="5">
        <f>IF(A5="","",SUMIFS(Movimientos!$K:$K,Movimientos!$H:$H,A5))</f>
        <v>1990</v>
      </c>
      <c r="K5" s="13" t="str">
        <f t="shared" ca="1" si="1"/>
        <v>OK</v>
      </c>
    </row>
    <row r="6" spans="1:11" ht="14.25" hidden="1">
      <c r="A6" s="16" t="s">
        <v>2212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607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 hidden="1">
      <c r="A7" s="16" t="s">
        <v>276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363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t="14.25" hidden="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289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 hidden="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583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 hidden="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 hidden="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571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 hidden="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5800</v>
      </c>
      <c r="K12" s="13" t="str">
        <f t="shared" ca="1" si="1"/>
        <v>OK</v>
      </c>
    </row>
    <row r="13" spans="1:11" ht="14.25" hidden="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355</v>
      </c>
      <c r="J13" s="5">
        <f>IF(A13="","",SUMIFS(Movimientos!$K:$K,Movimientos!$H:$H,A13))</f>
        <v>80</v>
      </c>
      <c r="K13" s="13" t="str">
        <f t="shared" ca="1" si="1"/>
        <v>OK</v>
      </c>
    </row>
    <row r="14" spans="1:11" ht="14.25" hidden="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243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 ht="14.25" hidden="1">
      <c r="A15" s="16" t="s">
        <v>273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555</v>
      </c>
      <c r="K15" s="13" t="str">
        <f t="shared" ca="1" si="1"/>
        <v>OK</v>
      </c>
    </row>
    <row r="16" spans="1:11" ht="14.25" hidden="1">
      <c r="A16" s="16" t="s">
        <v>212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 hidden="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538</v>
      </c>
      <c r="J17" s="5">
        <f>IF(A17="","",SUMIFS(Movimientos!$K:$K,Movimientos!$H:$H,A17))</f>
        <v>65340</v>
      </c>
      <c r="K17" s="13" t="str">
        <f t="shared" ca="1" si="1"/>
        <v>OK</v>
      </c>
    </row>
    <row r="18" spans="1:11" ht="14.25" hidden="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599</v>
      </c>
      <c r="J18" s="5">
        <f>IF(A18="","",SUMIFS(Movimientos!$K:$K,Movimientos!$H:$H,A18))</f>
        <v>15320</v>
      </c>
      <c r="K18" s="13" t="str">
        <f t="shared" ca="1" si="1"/>
        <v>OK</v>
      </c>
    </row>
    <row r="19" spans="1:11" ht="14.25" hidden="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507</v>
      </c>
      <c r="J19" s="5">
        <f>IF(A19="","",SUMIFS(Movimientos!$K:$K,Movimientos!$H:$H,A19))</f>
        <v>880</v>
      </c>
      <c r="K19" s="13" t="str">
        <f t="shared" ca="1" si="1"/>
        <v>OK</v>
      </c>
    </row>
    <row r="20" spans="1:11" ht="14.25" hidden="1">
      <c r="A20" s="16" t="s">
        <v>217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659</v>
      </c>
      <c r="J20" s="5">
        <f>IF(A20="","",SUMIFS(Movimientos!$K:$K,Movimientos!$H:$H,A20))</f>
        <v>4740</v>
      </c>
      <c r="K20" s="13" t="str">
        <f t="shared" ca="1" si="1"/>
        <v>OK</v>
      </c>
    </row>
    <row r="21" spans="1:11" ht="14.25" hidden="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507</v>
      </c>
      <c r="J21" s="5">
        <f>IF(A21="","",SUMIFS(Movimientos!$K:$K,Movimientos!$H:$H,A21))</f>
        <v>1125</v>
      </c>
      <c r="K21" s="13" t="str">
        <f t="shared" ca="1" si="1"/>
        <v>OK</v>
      </c>
    </row>
    <row r="22" spans="1:11" ht="14.25" hidden="1">
      <c r="A22" s="16" t="s">
        <v>2213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234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 hidden="1">
      <c r="A23" s="16" t="s">
        <v>2214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265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 hidden="1">
      <c r="A24" s="16" t="s">
        <v>290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1920</v>
      </c>
      <c r="K24" s="13" t="str">
        <f t="shared" ca="1" si="1"/>
        <v>OK</v>
      </c>
    </row>
    <row r="25" spans="1:11" ht="14.25" hidden="1">
      <c r="A25" s="16" t="s">
        <v>235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458</v>
      </c>
      <c r="K25" s="13" t="str">
        <f t="shared" ca="1" si="1"/>
        <v>OK</v>
      </c>
    </row>
    <row r="26" spans="1:11" ht="14.25" hidden="1">
      <c r="A26" s="16" t="s">
        <v>313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 ht="14.25">
      <c r="A27" s="16" t="s">
        <v>2215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375</v>
      </c>
      <c r="K27" s="13" t="str">
        <f t="shared" ca="1" si="1"/>
        <v>OK</v>
      </c>
    </row>
    <row r="28" spans="1:11" ht="14.25" hidden="1">
      <c r="A28" s="16" t="s">
        <v>311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100</v>
      </c>
      <c r="K28" s="13" t="str">
        <f t="shared" ca="1" si="1"/>
        <v>OK</v>
      </c>
    </row>
    <row r="29" spans="1:11" ht="14.25" hidden="1">
      <c r="A29" s="16" t="s">
        <v>2216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1600</v>
      </c>
      <c r="K29" s="13" t="str">
        <f t="shared" ca="1" si="1"/>
        <v>OK</v>
      </c>
    </row>
    <row r="30" spans="1:11" ht="14.25" hidden="1">
      <c r="A30" s="16" t="s">
        <v>303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1100</v>
      </c>
      <c r="K30" s="13" t="str">
        <f t="shared" ca="1" si="1"/>
        <v>OK</v>
      </c>
    </row>
    <row r="31" spans="1:11" ht="14.25" hidden="1">
      <c r="A31" s="16" t="s">
        <v>2217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975</v>
      </c>
      <c r="K31" s="13" t="str">
        <f t="shared" ca="1" si="1"/>
        <v>OK</v>
      </c>
    </row>
    <row r="32" spans="1:11" ht="14.25" hidden="1">
      <c r="A32" s="16" t="s">
        <v>315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495</v>
      </c>
      <c r="K32" s="13" t="str">
        <f t="shared" ca="1" si="1"/>
        <v>OK</v>
      </c>
    </row>
    <row r="33" spans="1:11" ht="14.25" hidden="1">
      <c r="A33" s="16" t="s">
        <v>317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 ht="14.25" hidden="1">
      <c r="A34" s="16" t="s">
        <v>321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 ht="14.25" hidden="1">
      <c r="A35" s="16" t="s">
        <v>323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1500</v>
      </c>
      <c r="K35" s="13" t="str">
        <f t="shared" ca="1" si="1"/>
        <v>OK</v>
      </c>
    </row>
    <row r="36" spans="1:11" ht="14.25" hidden="1">
      <c r="A36" s="16" t="s">
        <v>325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>
        <f>IFERROR(INDEX(Movimientos!$F$2:$F$1997,MATCH(A36&amp;"ENTRADA",Movimientos!$R$2:$R$1997,0)),"-")</f>
        <v>0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2020</v>
      </c>
      <c r="K36" s="13" t="str">
        <f t="shared" ca="1" si="1"/>
        <v>OK</v>
      </c>
    </row>
    <row r="37" spans="1:11" ht="14.25" hidden="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t="14.25" hidden="1">
      <c r="A38" s="16" t="s">
        <v>2218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20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 ht="14.25" hidden="1">
      <c r="A39" s="16" t="s">
        <v>2219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1420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 hidden="1">
      <c r="A40" s="16" t="s">
        <v>2220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647</v>
      </c>
      <c r="J40" s="5">
        <f>IF(A40="","",SUMIFS(Movimientos!$K:$K,Movimientos!$H:$H,A40))</f>
        <v>4500</v>
      </c>
      <c r="K40" s="13" t="str">
        <f t="shared" ca="1" si="1"/>
        <v>OK</v>
      </c>
    </row>
    <row r="41" spans="1:11" ht="14.25" hidden="1">
      <c r="A41" s="16" t="s">
        <v>2221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375</v>
      </c>
      <c r="K41" s="13" t="str">
        <f t="shared" ca="1" si="1"/>
        <v>OK</v>
      </c>
    </row>
    <row r="42" spans="1:11" ht="14.25" hidden="1">
      <c r="A42" s="16" t="s">
        <v>309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>
        <f>IFERROR(INDEX(Movimientos!$F$2:$F$1997,MATCH(A42&amp;"ENTRADA",Movimientos!$R$2:$R$1997,0)),"-")</f>
        <v>0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2000</v>
      </c>
      <c r="K42" s="13" t="str">
        <f t="shared" ca="1" si="1"/>
        <v>OK</v>
      </c>
    </row>
    <row r="43" spans="1:11" ht="14.25" hidden="1">
      <c r="A43" s="16" t="s">
        <v>319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 hidden="1">
      <c r="A44" s="16" t="s">
        <v>2222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 ht="14.25" hidden="1">
      <c r="A45" s="16" t="s">
        <v>2223</v>
      </c>
      <c r="B45" s="2" t="str">
        <f>IFERROR(INDEX(Movimientos!$C$2:$C$1997,MATCH(A45&amp;"ENTRADA",Movimientos!$R$2:$R$1997,0)),"-")</f>
        <v>-</v>
      </c>
      <c r="C45" s="2" t="str">
        <f>IFERROR(INDEX(Movimientos!$D$2:$D$1997,MATCH(A45&amp;"ENTRADA",Movimientos!$R$2:$R$1997,0)),"-")</f>
        <v>-</v>
      </c>
      <c r="D45" s="2" t="str">
        <f>IFERROR(INDEX(Movimientos!$E$2:$E$1997,MATCH(A45&amp;"ENTRADA",Movimientos!$R$2:$R$1997,0)),"-")</f>
        <v>-</v>
      </c>
      <c r="E45" s="2" t="str">
        <f>IFERROR(INDEX(Movimientos!$F$2:$F$1997,MATCH(A45&amp;"ENTRADA",Movimientos!$R$2:$R$1997,0)),"-")</f>
        <v>-</v>
      </c>
      <c r="F45" s="2" t="str">
        <f>IFERROR(INDEX(Movimientos!$G$2:$G$1997,MATCH(A45&amp;"ENTRADA",Movimientos!$R$2:$R$1997,0)),"-")</f>
        <v>-</v>
      </c>
      <c r="G45" s="2" t="str">
        <f>IFERROR(INDEX(Movimientos!$L$2:$L$1997,MATCH(A45&amp;"ENTRADA",Movimientos!$R$2:$R$1997,0)),"-")</f>
        <v>-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 hidden="1">
      <c r="A46" s="16" t="s">
        <v>2224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 hidden="1">
      <c r="A47" s="16" t="s">
        <v>2225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 hidden="1">
      <c r="A48" s="16" t="s">
        <v>2226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 hidden="1">
      <c r="A49" s="16" t="s">
        <v>2227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 hidden="1">
      <c r="A50" s="16" t="s">
        <v>2228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 hidden="1">
      <c r="A51" s="16" t="s">
        <v>2229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 hidden="1">
      <c r="A52" s="16" t="s">
        <v>2230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 hidden="1">
      <c r="A53" s="16" t="s">
        <v>2231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 hidden="1">
      <c r="A54" s="16" t="s">
        <v>2232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 hidden="1">
      <c r="A55" s="16" t="s">
        <v>2233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 hidden="1">
      <c r="A56" s="16" t="s">
        <v>2234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 hidden="1">
      <c r="A57" s="16" t="s">
        <v>2235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 hidden="1">
      <c r="A58" s="16" t="s">
        <v>2236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 hidden="1">
      <c r="A59" s="16" t="s">
        <v>2237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 hidden="1">
      <c r="A60" s="16" t="s">
        <v>2238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 hidden="1">
      <c r="A61" s="16" t="s">
        <v>2239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 hidden="1">
      <c r="A62" s="16" t="s">
        <v>2240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 hidden="1">
      <c r="A63" s="16" t="s">
        <v>2241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 hidden="1">
      <c r="A64" s="16" t="s">
        <v>2242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 hidden="1">
      <c r="A65" s="16" t="s">
        <v>2243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 hidden="1">
      <c r="A66" s="16" t="s">
        <v>2244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 hidden="1">
      <c r="A67" s="16" t="s">
        <v>2245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 hidden="1">
      <c r="A68" s="16" t="s">
        <v>2246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 hidden="1">
      <c r="A69" s="16" t="s">
        <v>2247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 hidden="1">
      <c r="A70" s="16" t="s">
        <v>2248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 hidden="1">
      <c r="A71" s="16" t="s">
        <v>2249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 hidden="1">
      <c r="A72" s="16" t="s">
        <v>2250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 hidden="1">
      <c r="A73" s="16" t="s">
        <v>2251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 hidden="1">
      <c r="A74" s="16" t="s">
        <v>2252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 hidden="1">
      <c r="A75" s="16" t="s">
        <v>2253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 hidden="1">
      <c r="A76" s="16" t="s">
        <v>2254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 hidden="1">
      <c r="A77" s="16" t="s">
        <v>2255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 hidden="1">
      <c r="A78" s="16" t="s">
        <v>2256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 hidden="1">
      <c r="A79" s="16" t="s">
        <v>2257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 hidden="1">
      <c r="A80" s="16" t="s">
        <v>2258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 hidden="1">
      <c r="A81" s="16" t="s">
        <v>2259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 hidden="1">
      <c r="A82" s="16" t="s">
        <v>2260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 hidden="1">
      <c r="A83" s="16" t="s">
        <v>2261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 hidden="1">
      <c r="A84" s="16" t="s">
        <v>2262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 hidden="1">
      <c r="A85" s="16" t="s">
        <v>2263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 hidden="1">
      <c r="A86" s="16" t="s">
        <v>2264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 hidden="1">
      <c r="A87" s="16" t="s">
        <v>2265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 hidden="1">
      <c r="A88" s="16" t="s">
        <v>2266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 hidden="1">
      <c r="A89" s="16" t="s">
        <v>2267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 hidden="1">
      <c r="A90" s="16" t="s">
        <v>2268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 hidden="1">
      <c r="A91" s="16" t="s">
        <v>2269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 hidden="1">
      <c r="A92" s="16" t="s">
        <v>2270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 hidden="1">
      <c r="A93" s="16" t="s">
        <v>2271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 hidden="1">
      <c r="A94" s="16" t="s">
        <v>2272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 hidden="1">
      <c r="A95" s="16" t="s">
        <v>2273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 hidden="1">
      <c r="A96" s="16" t="s">
        <v>2274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 hidden="1">
      <c r="A97" s="16" t="s">
        <v>2275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 hidden="1">
      <c r="A98" s="16" t="s">
        <v>2276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 hidden="1">
      <c r="A99" s="16" t="s">
        <v>2277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 hidden="1">
      <c r="A100" s="16" t="s">
        <v>2278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 hidden="1">
      <c r="A101" s="16" t="s">
        <v>2279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 hidden="1">
      <c r="A102" s="16" t="s">
        <v>2280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 hidden="1">
      <c r="A103" s="16" t="s">
        <v>2281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 hidden="1">
      <c r="A104" s="16" t="s">
        <v>2282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 hidden="1">
      <c r="A105" s="16" t="s">
        <v>2283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 hidden="1">
      <c r="A106" s="16" t="s">
        <v>2284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 hidden="1">
      <c r="A107" s="16" t="s">
        <v>2285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 hidden="1">
      <c r="A108" s="16" t="s">
        <v>2286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 hidden="1">
      <c r="A109" s="16" t="s">
        <v>2287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 hidden="1">
      <c r="A110" s="16" t="s">
        <v>2288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 hidden="1">
      <c r="A111" s="16" t="s">
        <v>2289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 hidden="1">
      <c r="A112" s="16" t="s">
        <v>2290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 hidden="1">
      <c r="A113" s="16" t="s">
        <v>2291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 hidden="1">
      <c r="A114" s="16" t="s">
        <v>2292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 hidden="1">
      <c r="A115" s="16" t="s">
        <v>2293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 hidden="1">
      <c r="A116" s="16" t="s">
        <v>2294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 hidden="1">
      <c r="A117" s="16" t="s">
        <v>2295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 hidden="1">
      <c r="A118" s="16" t="s">
        <v>2296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 hidden="1">
      <c r="A119" s="16" t="s">
        <v>2297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 hidden="1">
      <c r="A120" s="16" t="s">
        <v>2298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 hidden="1">
      <c r="A121" s="16" t="s">
        <v>2299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 hidden="1">
      <c r="A122" s="16" t="s">
        <v>2300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 hidden="1">
      <c r="A123" s="16" t="s">
        <v>2301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 hidden="1">
      <c r="A124" s="16" t="s">
        <v>2302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 hidden="1">
      <c r="A125" s="16" t="s">
        <v>2303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 hidden="1">
      <c r="A126" s="16" t="s">
        <v>2304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 hidden="1">
      <c r="A127" s="16" t="s">
        <v>2305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 hidden="1">
      <c r="A128" s="16" t="s">
        <v>2306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 hidden="1">
      <c r="A129" s="16" t="s">
        <v>2307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 hidden="1">
      <c r="A130" s="16" t="s">
        <v>2308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 hidden="1">
      <c r="A131" s="16" t="s">
        <v>2309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 hidden="1">
      <c r="A132" s="16" t="s">
        <v>2310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 hidden="1">
      <c r="A133" s="16" t="s">
        <v>2311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 hidden="1">
      <c r="A134" s="16" t="s">
        <v>2312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 hidden="1">
      <c r="A135" s="16" t="s">
        <v>2313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 hidden="1">
      <c r="A136" s="16" t="s">
        <v>2314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 hidden="1">
      <c r="A137" s="16" t="s">
        <v>2315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 hidden="1">
      <c r="A138" s="16" t="s">
        <v>2316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 hidden="1">
      <c r="A139" s="16" t="s">
        <v>2317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 hidden="1">
      <c r="A140" s="16" t="s">
        <v>2318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 hidden="1">
      <c r="A141" s="16" t="s">
        <v>2319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 hidden="1">
      <c r="A142" s="16" t="s">
        <v>2320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 hidden="1">
      <c r="A143" s="16" t="s">
        <v>2321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 hidden="1">
      <c r="A144" s="16" t="s">
        <v>2322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 hidden="1">
      <c r="A145" s="16" t="s">
        <v>2323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 hidden="1">
      <c r="A146" s="16" t="s">
        <v>2324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 hidden="1">
      <c r="A147" s="16" t="s">
        <v>2325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 hidden="1">
      <c r="A148" s="16" t="s">
        <v>2326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 hidden="1">
      <c r="A149" s="16" t="s">
        <v>2327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 hidden="1">
      <c r="A150" s="16" t="s">
        <v>2328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 hidden="1">
      <c r="A151" s="16" t="s">
        <v>2329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 hidden="1">
      <c r="A152" s="16" t="s">
        <v>2330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 hidden="1">
      <c r="A153" s="16" t="s">
        <v>2331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 hidden="1">
      <c r="A154" s="16" t="s">
        <v>2332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 hidden="1">
      <c r="A155" s="16" t="s">
        <v>2333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 hidden="1">
      <c r="A156" s="16" t="s">
        <v>2334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 hidden="1">
      <c r="A157" s="16" t="s">
        <v>2335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 hidden="1">
      <c r="A158" s="16" t="s">
        <v>2336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 hidden="1">
      <c r="A159" s="16" t="s">
        <v>2337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 hidden="1">
      <c r="A160" s="16" t="s">
        <v>2338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 hidden="1">
      <c r="A161" s="16" t="s">
        <v>2339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 hidden="1">
      <c r="A162" s="16" t="s">
        <v>2340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 hidden="1">
      <c r="A163" s="16" t="s">
        <v>2341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 hidden="1">
      <c r="A164" s="16" t="s">
        <v>2342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 hidden="1">
      <c r="A165" s="16" t="s">
        <v>2343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 hidden="1">
      <c r="A166" s="16" t="s">
        <v>2344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 hidden="1">
      <c r="A167" s="16" t="s">
        <v>2345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 hidden="1">
      <c r="A168" s="16" t="s">
        <v>2346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 hidden="1">
      <c r="A169" s="16" t="s">
        <v>2347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 hidden="1">
      <c r="A170" s="16" t="s">
        <v>2348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 hidden="1">
      <c r="A171" s="16" t="s">
        <v>2349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 hidden="1">
      <c r="A172" s="16" t="s">
        <v>2350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 hidden="1">
      <c r="A173" s="16" t="s">
        <v>2351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 hidden="1">
      <c r="A174" s="16" t="s">
        <v>2352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 hidden="1">
      <c r="A175" s="16" t="s">
        <v>2353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 hidden="1">
      <c r="A176" s="16" t="s">
        <v>2354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 hidden="1">
      <c r="A177" s="16" t="s">
        <v>2355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 hidden="1">
      <c r="A178" s="16" t="s">
        <v>2356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 hidden="1">
      <c r="A179" s="16" t="s">
        <v>2357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 hidden="1">
      <c r="A180" s="16" t="s">
        <v>2358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 hidden="1">
      <c r="A181" s="16" t="s">
        <v>2359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 hidden="1">
      <c r="A182" s="16" t="s">
        <v>2360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 hidden="1">
      <c r="A183" s="16" t="s">
        <v>2361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 hidden="1">
      <c r="A184" s="16" t="s">
        <v>2362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 hidden="1">
      <c r="A185" s="16" t="s">
        <v>2363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 hidden="1">
      <c r="A186" s="16" t="s">
        <v>2364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 hidden="1">
      <c r="A187" s="16" t="s">
        <v>2365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 hidden="1">
      <c r="A188" s="16" t="s">
        <v>2366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 hidden="1">
      <c r="A189" s="16" t="s">
        <v>2367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 hidden="1">
      <c r="A190" s="16" t="s">
        <v>2368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 hidden="1">
      <c r="A191" s="16" t="s">
        <v>2369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 hidden="1">
      <c r="A192" s="16" t="s">
        <v>2370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 hidden="1">
      <c r="A193" s="16" t="s">
        <v>2371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 hidden="1">
      <c r="A194" s="16" t="s">
        <v>2372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 hidden="1">
      <c r="A195" s="16" t="s">
        <v>2373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 hidden="1">
      <c r="A196" s="16" t="s">
        <v>2374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 hidden="1">
      <c r="A197" s="16" t="s">
        <v>2375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 hidden="1">
      <c r="A198" s="16" t="s">
        <v>2376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 hidden="1">
      <c r="A199" s="16" t="s">
        <v>2377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 hidden="1">
      <c r="A200" s="16" t="s">
        <v>2378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 hidden="1">
      <c r="A201" s="16" t="s">
        <v>2379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 hidden="1">
      <c r="A202" s="16" t="s">
        <v>2380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 hidden="1">
      <c r="A203" s="16" t="s">
        <v>2381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 hidden="1">
      <c r="A204" s="16" t="s">
        <v>2382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 hidden="1">
      <c r="A205" s="16" t="s">
        <v>2383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 hidden="1">
      <c r="A206" s="16" t="s">
        <v>2384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 hidden="1">
      <c r="A207" s="16" t="s">
        <v>2385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 hidden="1">
      <c r="A208" s="16" t="s">
        <v>2386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 hidden="1">
      <c r="A209" s="16" t="s">
        <v>2387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 hidden="1">
      <c r="A210" s="16" t="s">
        <v>2388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 hidden="1">
      <c r="A211" s="16" t="s">
        <v>2389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 hidden="1">
      <c r="A212" s="16" t="s">
        <v>2390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 hidden="1">
      <c r="A213" s="16" t="s">
        <v>2391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 hidden="1">
      <c r="A214" s="16" t="s">
        <v>2392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 hidden="1">
      <c r="A215" s="16" t="s">
        <v>2393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 hidden="1">
      <c r="A216" s="16" t="s">
        <v>2394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 hidden="1">
      <c r="A217" s="16" t="s">
        <v>2395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 hidden="1">
      <c r="A218" s="16" t="s">
        <v>2396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 hidden="1">
      <c r="A219" s="16" t="s">
        <v>2397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 hidden="1">
      <c r="A220" s="16" t="s">
        <v>2398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 hidden="1">
      <c r="A221" s="16" t="s">
        <v>2399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 hidden="1">
      <c r="A222" s="16" t="s">
        <v>2400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 hidden="1">
      <c r="A223" s="16" t="s">
        <v>2401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 hidden="1">
      <c r="A224" s="16" t="s">
        <v>2402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 hidden="1">
      <c r="A225" s="16" t="s">
        <v>2403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 hidden="1">
      <c r="A226" s="16" t="s">
        <v>2404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 hidden="1">
      <c r="A227" s="16" t="s">
        <v>2405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 hidden="1">
      <c r="A228" s="16" t="s">
        <v>2406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 hidden="1">
      <c r="A229" s="16" t="s">
        <v>2407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 hidden="1">
      <c r="A230" s="16" t="s">
        <v>2408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 hidden="1">
      <c r="A231" s="16" t="s">
        <v>2409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 hidden="1">
      <c r="A232" s="16" t="s">
        <v>2410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 hidden="1">
      <c r="A233" s="16" t="s">
        <v>2411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 hidden="1">
      <c r="A234" s="16" t="s">
        <v>2412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 hidden="1">
      <c r="A235" s="16" t="s">
        <v>2413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 hidden="1">
      <c r="A236" s="16" t="s">
        <v>2414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 hidden="1">
      <c r="A237" s="16" t="s">
        <v>2415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 hidden="1">
      <c r="A238" s="16" t="s">
        <v>2416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 hidden="1">
      <c r="A239" s="16" t="s">
        <v>2417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 hidden="1">
      <c r="A240" s="16" t="s">
        <v>2418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 hidden="1">
      <c r="A241" s="16" t="s">
        <v>2419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 hidden="1">
      <c r="A242" s="16" t="s">
        <v>2420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 hidden="1">
      <c r="A243" s="16" t="s">
        <v>2421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 hidden="1">
      <c r="A244" s="16" t="s">
        <v>2422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 hidden="1">
      <c r="A245" s="16" t="s">
        <v>2423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 hidden="1">
      <c r="A246" s="16" t="s">
        <v>2424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 hidden="1">
      <c r="A247" s="16" t="s">
        <v>2425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 hidden="1">
      <c r="A248" s="16" t="s">
        <v>2426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 hidden="1">
      <c r="A249" s="16" t="s">
        <v>2427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 hidden="1">
      <c r="A250" s="16" t="s">
        <v>2428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 hidden="1">
      <c r="A251" s="16" t="s">
        <v>2429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 hidden="1">
      <c r="A252" s="16" t="s">
        <v>2430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 hidden="1">
      <c r="A253" s="16" t="s">
        <v>2431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 hidden="1">
      <c r="A254" s="16" t="s">
        <v>2432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 hidden="1">
      <c r="A255" s="16" t="s">
        <v>2433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 hidden="1">
      <c r="A256" s="16" t="s">
        <v>2434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 hidden="1">
      <c r="A257" s="16" t="s">
        <v>2435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 hidden="1">
      <c r="A258" s="16" t="s">
        <v>2436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 hidden="1">
      <c r="A259" s="16" t="s">
        <v>2437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 hidden="1">
      <c r="A260" s="16" t="s">
        <v>2438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 hidden="1">
      <c r="A261" s="16" t="s">
        <v>2439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 hidden="1">
      <c r="A262" s="16" t="s">
        <v>2440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 hidden="1">
      <c r="A263" s="16" t="s">
        <v>2441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 hidden="1">
      <c r="A264" s="16" t="s">
        <v>2442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 hidden="1">
      <c r="A265" s="16" t="s">
        <v>2443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 hidden="1">
      <c r="A266" s="16" t="s">
        <v>2444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 hidden="1">
      <c r="A267" s="16" t="s">
        <v>2445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 hidden="1">
      <c r="A268" s="16" t="s">
        <v>2446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 hidden="1">
      <c r="A269" s="16" t="s">
        <v>2447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 hidden="1">
      <c r="A270" s="16" t="s">
        <v>2448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 hidden="1">
      <c r="A271" s="16" t="s">
        <v>2449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 hidden="1">
      <c r="A272" s="16" t="s">
        <v>2450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 hidden="1">
      <c r="A273" s="16" t="s">
        <v>2451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 hidden="1">
      <c r="A274" s="16" t="s">
        <v>2452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 hidden="1">
      <c r="A275" s="16" t="s">
        <v>2453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 hidden="1">
      <c r="A276" s="16" t="s">
        <v>2454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 hidden="1">
      <c r="A277" s="16" t="s">
        <v>2455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 hidden="1">
      <c r="A278" s="16" t="s">
        <v>2456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 hidden="1">
      <c r="A279" s="16" t="s">
        <v>2457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 hidden="1">
      <c r="A280" s="16" t="s">
        <v>2458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 hidden="1">
      <c r="A281" s="16" t="s">
        <v>2459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 hidden="1">
      <c r="A282" s="16" t="s">
        <v>2460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 hidden="1">
      <c r="A283" s="16" t="s">
        <v>2461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 hidden="1">
      <c r="A284" s="16" t="s">
        <v>2462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 hidden="1">
      <c r="A285" s="16" t="s">
        <v>2463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 hidden="1">
      <c r="A286" s="16" t="s">
        <v>2464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 hidden="1">
      <c r="A287" s="16" t="s">
        <v>2465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 hidden="1">
      <c r="A288" s="16" t="s">
        <v>2466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 hidden="1">
      <c r="A289" s="16" t="s">
        <v>2467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 hidden="1">
      <c r="A290" s="16" t="s">
        <v>2468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 hidden="1">
      <c r="A291" s="16" t="s">
        <v>2469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 hidden="1">
      <c r="A292" s="16" t="s">
        <v>2470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 hidden="1">
      <c r="A293" s="16" t="s">
        <v>2471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 hidden="1">
      <c r="A294" s="16" t="s">
        <v>2472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 hidden="1">
      <c r="A295" s="16" t="s">
        <v>2473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 hidden="1">
      <c r="A296" s="16" t="s">
        <v>2474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 hidden="1">
      <c r="A297" s="16" t="s">
        <v>2475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 hidden="1">
      <c r="A298" s="16" t="s">
        <v>2476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 hidden="1">
      <c r="A299" s="16" t="s">
        <v>2477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 hidden="1">
      <c r="A300" s="16" t="s">
        <v>2478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 hidden="1">
      <c r="A301" s="16" t="s">
        <v>2479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 hidden="1">
      <c r="A302" s="16" t="s">
        <v>2480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 hidden="1">
      <c r="A303" s="16" t="s">
        <v>2481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 hidden="1">
      <c r="A304" s="16" t="s">
        <v>2482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 hidden="1">
      <c r="A305" s="16" t="s">
        <v>2483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 hidden="1">
      <c r="A306" s="16" t="s">
        <v>2484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 hidden="1">
      <c r="A307" s="16" t="s">
        <v>2485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 hidden="1">
      <c r="A308" s="16" t="s">
        <v>2486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 hidden="1">
      <c r="A309" s="16" t="s">
        <v>2487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 hidden="1">
      <c r="A310" s="16" t="s">
        <v>2488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 hidden="1">
      <c r="A311" s="16" t="s">
        <v>2489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 hidden="1">
      <c r="A312" s="16" t="s">
        <v>2490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 hidden="1">
      <c r="A313" s="16" t="s">
        <v>2491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 hidden="1">
      <c r="A314" s="16" t="s">
        <v>2492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 hidden="1">
      <c r="A315" s="16" t="s">
        <v>2493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 hidden="1">
      <c r="A316" s="16" t="s">
        <v>2494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 hidden="1">
      <c r="A317" s="16" t="s">
        <v>2495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 hidden="1">
      <c r="A318" s="16" t="s">
        <v>2496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 hidden="1">
      <c r="A319" s="16" t="s">
        <v>2497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 hidden="1">
      <c r="A320" s="16" t="s">
        <v>2498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 hidden="1">
      <c r="A321" s="16" t="s">
        <v>2499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 hidden="1">
      <c r="A322" s="16" t="s">
        <v>2500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 hidden="1">
      <c r="A323" s="16" t="s">
        <v>2501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 hidden="1">
      <c r="A324" s="16" t="s">
        <v>2502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 hidden="1">
      <c r="A325" s="16" t="s">
        <v>2503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 hidden="1">
      <c r="A326" s="16" t="s">
        <v>2504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 hidden="1">
      <c r="A327" s="16" t="s">
        <v>2505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 hidden="1">
      <c r="A328" s="16" t="s">
        <v>2506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 hidden="1">
      <c r="A329" s="16" t="s">
        <v>2507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 hidden="1">
      <c r="A330" s="16" t="s">
        <v>2508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 hidden="1">
      <c r="A331" s="16" t="s">
        <v>2509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 hidden="1">
      <c r="A332" s="16" t="s">
        <v>2510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 hidden="1">
      <c r="A333" s="16" t="s">
        <v>2511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 hidden="1">
      <c r="A334" s="16" t="s">
        <v>2512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 hidden="1">
      <c r="A335" s="16" t="s">
        <v>2513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 hidden="1">
      <c r="A336" s="16" t="s">
        <v>2514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 hidden="1">
      <c r="A337" s="16" t="s">
        <v>2515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 hidden="1">
      <c r="A338" s="16" t="s">
        <v>2516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 hidden="1">
      <c r="A339" s="16" t="s">
        <v>2517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 hidden="1">
      <c r="A340" s="16" t="s">
        <v>2518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 hidden="1">
      <c r="A341" s="16" t="s">
        <v>2519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 hidden="1">
      <c r="A342" s="16" t="s">
        <v>2520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 hidden="1">
      <c r="A343" s="16" t="s">
        <v>2521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 hidden="1">
      <c r="A344" s="16" t="s">
        <v>2522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 hidden="1">
      <c r="A345" s="16" t="s">
        <v>2523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 hidden="1">
      <c r="A346" s="16" t="s">
        <v>2524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 hidden="1">
      <c r="A347" s="16" t="s">
        <v>2525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 hidden="1">
      <c r="A348" s="16" t="s">
        <v>2526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 hidden="1">
      <c r="A349" s="16" t="s">
        <v>2527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 hidden="1">
      <c r="A350" s="16" t="s">
        <v>2528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 hidden="1">
      <c r="A351" s="16" t="s">
        <v>2529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 hidden="1">
      <c r="A352" s="16" t="s">
        <v>2530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 hidden="1">
      <c r="A353" s="16" t="s">
        <v>2531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 hidden="1">
      <c r="A354" s="16" t="s">
        <v>2532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 hidden="1">
      <c r="A355" s="16" t="s">
        <v>2533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 hidden="1">
      <c r="A356" s="16" t="s">
        <v>2534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 hidden="1">
      <c r="A357" s="16" t="s">
        <v>2535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 hidden="1">
      <c r="A358" s="16" t="s">
        <v>2536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 hidden="1">
      <c r="A359" s="16" t="s">
        <v>2537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 hidden="1">
      <c r="A360" s="16" t="s">
        <v>2538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 hidden="1">
      <c r="A361" s="16" t="s">
        <v>2539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 hidden="1">
      <c r="A362" s="16" t="s">
        <v>2540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 hidden="1">
      <c r="A363" s="16" t="s">
        <v>2541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 hidden="1">
      <c r="A364" s="16" t="s">
        <v>2542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 hidden="1">
      <c r="A365" s="16" t="s">
        <v>2543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 hidden="1">
      <c r="A366" s="16" t="s">
        <v>2544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 hidden="1">
      <c r="A367" s="16" t="s">
        <v>2545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 hidden="1">
      <c r="A368" s="16" t="s">
        <v>2546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 hidden="1">
      <c r="A369" s="16" t="s">
        <v>2547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 hidden="1">
      <c r="A370" s="16" t="s">
        <v>2548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 hidden="1">
      <c r="A371" s="16" t="s">
        <v>2549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 hidden="1">
      <c r="A372" s="16" t="s">
        <v>2550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 hidden="1">
      <c r="A373" s="16" t="s">
        <v>2551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 hidden="1">
      <c r="A374" s="16" t="s">
        <v>2552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 hidden="1">
      <c r="A375" s="16" t="s">
        <v>2553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 hidden="1">
      <c r="A376" s="16" t="s">
        <v>2554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 hidden="1">
      <c r="A377" s="16" t="s">
        <v>2555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 hidden="1">
      <c r="A378" s="16" t="s">
        <v>2556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 hidden="1">
      <c r="A379" s="16" t="s">
        <v>2557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 hidden="1">
      <c r="A380" s="16" t="s">
        <v>2558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 hidden="1">
      <c r="A381" s="16" t="s">
        <v>2559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 hidden="1">
      <c r="A382" s="16" t="s">
        <v>2560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 hidden="1">
      <c r="A383" s="16" t="s">
        <v>2561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 hidden="1">
      <c r="A384" s="16" t="s">
        <v>2562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 hidden="1">
      <c r="A385" s="16" t="s">
        <v>2563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 hidden="1">
      <c r="A386" s="16" t="s">
        <v>2564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 hidden="1">
      <c r="A387" s="16" t="s">
        <v>2565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 hidden="1">
      <c r="A388" s="16" t="s">
        <v>2566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 hidden="1">
      <c r="A389" s="16" t="s">
        <v>2567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 hidden="1">
      <c r="A390" s="16" t="s">
        <v>2568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 hidden="1">
      <c r="A391" s="16" t="s">
        <v>2569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 hidden="1">
      <c r="A392" s="16" t="s">
        <v>2570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 hidden="1">
      <c r="A393" s="16" t="s">
        <v>2571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 hidden="1">
      <c r="A394" s="16" t="s">
        <v>2572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 hidden="1">
      <c r="A395" s="16" t="s">
        <v>2573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 hidden="1">
      <c r="A396" s="16" t="s">
        <v>2574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 hidden="1">
      <c r="A397" s="16" t="s">
        <v>2575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 hidden="1">
      <c r="A398" s="16" t="s">
        <v>2576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 hidden="1">
      <c r="A399" s="16" t="s">
        <v>2577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 hidden="1">
      <c r="A400" s="16" t="s">
        <v>2578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 hidden="1">
      <c r="A401" s="16" t="s">
        <v>2579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 hidden="1">
      <c r="A402" s="16" t="s">
        <v>2580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 hidden="1">
      <c r="A403" s="16" t="s">
        <v>2581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 hidden="1">
      <c r="A404" s="16" t="s">
        <v>2582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 hidden="1">
      <c r="A405" s="16" t="s">
        <v>2583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 hidden="1">
      <c r="A406" s="16" t="s">
        <v>2584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 hidden="1">
      <c r="A407" s="16" t="s">
        <v>2585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 hidden="1">
      <c r="A408" s="16" t="s">
        <v>2586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 hidden="1">
      <c r="A409" s="16" t="s">
        <v>2587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 hidden="1">
      <c r="A410" s="16" t="s">
        <v>2588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 hidden="1">
      <c r="A411" s="16" t="s">
        <v>2589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 hidden="1">
      <c r="A412" s="16" t="s">
        <v>2590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 hidden="1">
      <c r="A413" s="16" t="s">
        <v>2591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 hidden="1">
      <c r="A414" s="16" t="s">
        <v>2592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 hidden="1">
      <c r="A415" s="16" t="s">
        <v>2593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 hidden="1">
      <c r="A416" s="16" t="s">
        <v>2594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 hidden="1">
      <c r="A417" s="16" t="s">
        <v>2595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 hidden="1">
      <c r="A418" s="16" t="s">
        <v>2596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 hidden="1">
      <c r="A419" s="16" t="s">
        <v>2597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 hidden="1">
      <c r="A420" s="16" t="s">
        <v>2598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 hidden="1">
      <c r="A421" s="16" t="s">
        <v>2599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 hidden="1">
      <c r="A422" s="16" t="s">
        <v>2600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 hidden="1">
      <c r="A423" s="16" t="s">
        <v>2601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 hidden="1">
      <c r="A424" s="16" t="s">
        <v>2602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 hidden="1">
      <c r="A425" s="16" t="s">
        <v>2603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 hidden="1">
      <c r="A426" s="16" t="s">
        <v>2604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 hidden="1">
      <c r="A427" s="16" t="s">
        <v>2605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 hidden="1">
      <c r="A428" s="16" t="s">
        <v>2606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 hidden="1">
      <c r="A429" s="16" t="s">
        <v>2607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 hidden="1">
      <c r="A430" s="16" t="s">
        <v>2608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 hidden="1">
      <c r="A431" s="16" t="s">
        <v>2609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 hidden="1">
      <c r="A432" s="16" t="s">
        <v>2610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 hidden="1">
      <c r="A433" s="16" t="s">
        <v>2611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 hidden="1">
      <c r="A434" s="16" t="s">
        <v>2612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 hidden="1">
      <c r="A435" s="16" t="s">
        <v>2613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 hidden="1">
      <c r="A436" s="16" t="s">
        <v>2614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 hidden="1">
      <c r="A437" s="16" t="s">
        <v>2615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 hidden="1">
      <c r="A438" s="16" t="s">
        <v>2616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 hidden="1">
      <c r="A439" s="16" t="s">
        <v>2617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 hidden="1">
      <c r="A440" s="16" t="s">
        <v>2618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 hidden="1">
      <c r="A441" s="16" t="s">
        <v>2619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 hidden="1">
      <c r="A442" s="16" t="s">
        <v>2620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 hidden="1">
      <c r="A443" s="16" t="s">
        <v>2621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 hidden="1">
      <c r="A444" s="16" t="s">
        <v>2622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 hidden="1">
      <c r="A445" s="16" t="s">
        <v>2623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 hidden="1">
      <c r="A446" s="16" t="s">
        <v>2624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 hidden="1">
      <c r="A447" s="16" t="s">
        <v>2625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 hidden="1">
      <c r="A448" s="16" t="s">
        <v>2626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 hidden="1">
      <c r="A449" s="16" t="s">
        <v>2627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 hidden="1">
      <c r="A450" s="16" t="s">
        <v>2628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 hidden="1">
      <c r="A451" s="16" t="s">
        <v>2629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 hidden="1">
      <c r="A452" s="16" t="s">
        <v>2630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 hidden="1">
      <c r="A453" s="16" t="s">
        <v>2631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 hidden="1">
      <c r="A454" s="16" t="s">
        <v>2632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 hidden="1">
      <c r="A455" s="16" t="s">
        <v>2633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 hidden="1">
      <c r="A456" s="16" t="s">
        <v>2634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 hidden="1">
      <c r="A457" s="16" t="s">
        <v>2635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 hidden="1">
      <c r="A458" s="16" t="s">
        <v>2636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 hidden="1">
      <c r="A459" s="16" t="s">
        <v>2637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 hidden="1">
      <c r="A460" s="16" t="s">
        <v>2638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 hidden="1">
      <c r="A461" s="16" t="s">
        <v>2639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 hidden="1">
      <c r="A462" s="16" t="s">
        <v>2640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 hidden="1">
      <c r="A463" s="16" t="s">
        <v>2641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 hidden="1">
      <c r="A464" s="16" t="s">
        <v>2642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 hidden="1">
      <c r="A465" s="16" t="s">
        <v>2643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 hidden="1">
      <c r="A466" s="16" t="s">
        <v>2644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 hidden="1">
      <c r="A467" s="16" t="s">
        <v>2645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 hidden="1">
      <c r="A468" s="16" t="s">
        <v>2646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 hidden="1">
      <c r="A469" s="16" t="s">
        <v>2647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 hidden="1">
      <c r="A470" s="16" t="s">
        <v>2648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 hidden="1">
      <c r="A471" s="16" t="s">
        <v>2649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 hidden="1">
      <c r="A472" s="16" t="s">
        <v>2650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 hidden="1">
      <c r="A473" s="16" t="s">
        <v>2651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 hidden="1">
      <c r="A474" s="16" t="s">
        <v>2652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 hidden="1">
      <c r="A475" s="16" t="s">
        <v>2653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 hidden="1">
      <c r="A476" s="16" t="s">
        <v>2654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 hidden="1">
      <c r="A477" s="16" t="s">
        <v>2655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 hidden="1">
      <c r="A478" s="16" t="s">
        <v>2656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 hidden="1">
      <c r="A479" s="16" t="s">
        <v>2657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 hidden="1">
      <c r="A480" s="16" t="s">
        <v>2658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 hidden="1">
      <c r="A481" s="16" t="s">
        <v>2659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 hidden="1">
      <c r="A482" s="16" t="s">
        <v>2660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 hidden="1">
      <c r="A483" s="16" t="s">
        <v>2661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 hidden="1">
      <c r="A484" s="16" t="s">
        <v>2662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 hidden="1">
      <c r="A485" s="16" t="s">
        <v>2663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 hidden="1">
      <c r="A486" s="16" t="s">
        <v>2664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 hidden="1">
      <c r="A487" s="16" t="s">
        <v>2665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 hidden="1">
      <c r="A488" s="16" t="s">
        <v>2666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 hidden="1">
      <c r="A489" s="16" t="s">
        <v>2667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 hidden="1">
      <c r="A490" s="16" t="s">
        <v>2668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 hidden="1">
      <c r="A491" s="16" t="s">
        <v>2669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 hidden="1">
      <c r="A492" s="16" t="s">
        <v>2670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 hidden="1">
      <c r="A493" s="16" t="s">
        <v>2671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 hidden="1">
      <c r="A494" s="16" t="s">
        <v>2672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 hidden="1">
      <c r="A495" s="16" t="s">
        <v>2673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 hidden="1">
      <c r="A496" s="16" t="s">
        <v>2674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 hidden="1">
      <c r="A497" s="16" t="s">
        <v>2675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 hidden="1">
      <c r="A498" s="16" t="s">
        <v>2676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 hidden="1">
      <c r="A499" s="16" t="s">
        <v>2677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 hidden="1">
      <c r="A500" s="16" t="s">
        <v>2678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 hidden="1">
      <c r="A501" s="16" t="s">
        <v>2679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 hidden="1">
      <c r="A502" s="16" t="s">
        <v>2680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 hidden="1">
      <c r="A503" s="16" t="s">
        <v>2681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 hidden="1">
      <c r="A504" s="16" t="s">
        <v>2682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 hidden="1">
      <c r="A505" s="16" t="s">
        <v>2683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 hidden="1">
      <c r="A506" s="16" t="s">
        <v>2684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 hidden="1">
      <c r="A507" s="16" t="s">
        <v>2685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 hidden="1">
      <c r="A508" s="16" t="s">
        <v>2686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 hidden="1">
      <c r="A509" s="16" t="s">
        <v>2687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 hidden="1">
      <c r="A510" s="16" t="s">
        <v>2688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 hidden="1">
      <c r="A511" s="16" t="s">
        <v>2689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 hidden="1">
      <c r="A512" s="16" t="s">
        <v>2690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 hidden="1">
      <c r="A513" s="16" t="s">
        <v>2691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 hidden="1">
      <c r="A514" s="16" t="s">
        <v>2692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 hidden="1">
      <c r="A515" s="16" t="s">
        <v>2693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 hidden="1">
      <c r="A516" s="16" t="s">
        <v>2694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 hidden="1">
      <c r="A517" s="16" t="s">
        <v>2695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 hidden="1">
      <c r="A518" s="16" t="s">
        <v>2696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 hidden="1">
      <c r="A519" s="16" t="s">
        <v>2697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 hidden="1">
      <c r="A520" s="16" t="s">
        <v>2698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 hidden="1">
      <c r="A521" s="16" t="s">
        <v>2699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 hidden="1">
      <c r="A522" s="16" t="s">
        <v>2700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 hidden="1">
      <c r="A523" s="16" t="s">
        <v>2701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 hidden="1">
      <c r="A524" s="16" t="s">
        <v>2702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 hidden="1">
      <c r="A525" s="16" t="s">
        <v>2703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 hidden="1">
      <c r="A526" s="16" t="s">
        <v>2704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 hidden="1">
      <c r="A527" s="16" t="s">
        <v>2705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 hidden="1">
      <c r="A528" s="16" t="s">
        <v>2706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 hidden="1">
      <c r="A529" s="16" t="s">
        <v>2707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 hidden="1">
      <c r="A530" s="16" t="s">
        <v>2708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 hidden="1">
      <c r="A531" s="16" t="s">
        <v>2709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 hidden="1">
      <c r="A532" s="16" t="s">
        <v>2710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 hidden="1">
      <c r="A533" s="16" t="s">
        <v>2711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 hidden="1">
      <c r="A534" s="16" t="s">
        <v>2712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 hidden="1">
      <c r="A535" s="16" t="s">
        <v>2713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 hidden="1">
      <c r="A536" s="16" t="s">
        <v>2714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 hidden="1">
      <c r="A537" s="16" t="s">
        <v>2715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 hidden="1">
      <c r="A538" s="16" t="s">
        <v>2716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 hidden="1">
      <c r="A539" s="16" t="s">
        <v>2717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 hidden="1">
      <c r="A540" s="16" t="s">
        <v>2718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 hidden="1">
      <c r="A541" s="16" t="s">
        <v>2719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 hidden="1">
      <c r="A542" s="16" t="s">
        <v>2720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 hidden="1">
      <c r="A543" s="16" t="s">
        <v>2721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 hidden="1">
      <c r="A544" s="16" t="s">
        <v>2722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 hidden="1">
      <c r="A545" s="16" t="s">
        <v>2723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 hidden="1">
      <c r="A546" s="16" t="s">
        <v>2724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 hidden="1">
      <c r="A547" s="16" t="s">
        <v>2725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 hidden="1">
      <c r="A548" s="16" t="s">
        <v>2726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 hidden="1">
      <c r="A549" s="16" t="s">
        <v>2727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 hidden="1">
      <c r="A550" s="16" t="s">
        <v>2728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 hidden="1">
      <c r="A551" s="16" t="s">
        <v>2729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 hidden="1">
      <c r="A552" s="16" t="s">
        <v>2730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 hidden="1">
      <c r="A553" s="16" t="s">
        <v>2731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 hidden="1">
      <c r="A554" s="16" t="s">
        <v>2732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 hidden="1">
      <c r="A555" s="16" t="s">
        <v>2733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 hidden="1">
      <c r="A556" s="16" t="s">
        <v>2734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 hidden="1">
      <c r="A557" s="16" t="s">
        <v>2735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 hidden="1">
      <c r="A558" s="16" t="s">
        <v>2736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 hidden="1">
      <c r="A559" s="16" t="s">
        <v>2737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 hidden="1">
      <c r="A560" s="16" t="s">
        <v>2738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 hidden="1">
      <c r="A561" s="16" t="s">
        <v>2739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 hidden="1">
      <c r="A562" s="16" t="s">
        <v>2740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 hidden="1">
      <c r="A563" s="16" t="s">
        <v>2741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 hidden="1">
      <c r="A564" s="16" t="s">
        <v>2742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 hidden="1">
      <c r="A565" s="16" t="s">
        <v>2743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 hidden="1">
      <c r="A566" s="16" t="s">
        <v>2744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 hidden="1">
      <c r="A567" s="16" t="s">
        <v>2745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 hidden="1">
      <c r="A568" s="16" t="s">
        <v>2746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 hidden="1">
      <c r="A569" s="16" t="s">
        <v>2747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 hidden="1">
      <c r="A570" s="16" t="s">
        <v>2748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 hidden="1">
      <c r="A571" s="16" t="s">
        <v>2749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 hidden="1">
      <c r="A572" s="16" t="s">
        <v>2750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 hidden="1">
      <c r="A573" s="16" t="s">
        <v>2751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 hidden="1">
      <c r="A574" s="16" t="s">
        <v>2752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 hidden="1">
      <c r="A575" s="16" t="s">
        <v>2753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 hidden="1">
      <c r="A576" s="16" t="s">
        <v>2754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 hidden="1">
      <c r="A577" s="16" t="s">
        <v>2755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 hidden="1">
      <c r="A578" s="16" t="s">
        <v>2756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 hidden="1">
      <c r="A579" s="16" t="s">
        <v>2757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 hidden="1">
      <c r="A580" s="16" t="s">
        <v>2758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 hidden="1">
      <c r="A581" s="16" t="s">
        <v>2759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 hidden="1">
      <c r="A582" s="16" t="s">
        <v>2760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 hidden="1">
      <c r="A583" s="16" t="s">
        <v>2761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 hidden="1">
      <c r="A584" s="16" t="s">
        <v>2762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 hidden="1">
      <c r="A585" s="16" t="s">
        <v>2763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 hidden="1">
      <c r="A586" s="16" t="s">
        <v>2764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 hidden="1">
      <c r="A587" s="16" t="s">
        <v>2765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 hidden="1">
      <c r="A588" s="16" t="s">
        <v>2766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 hidden="1">
      <c r="A589" s="16" t="s">
        <v>2767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 hidden="1">
      <c r="A590" s="16" t="s">
        <v>2768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 hidden="1">
      <c r="A591" s="16" t="s">
        <v>2769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 hidden="1">
      <c r="A592" s="16" t="s">
        <v>2770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 hidden="1">
      <c r="A593" s="16" t="s">
        <v>2771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 hidden="1">
      <c r="A594" s="16" t="s">
        <v>2772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 hidden="1">
      <c r="A595" s="16" t="s">
        <v>2773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 hidden="1">
      <c r="A596" s="16" t="s">
        <v>2774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 hidden="1">
      <c r="A597" s="16" t="s">
        <v>2775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 hidden="1">
      <c r="A598" s="16" t="s">
        <v>2776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 hidden="1">
      <c r="A599" s="16" t="s">
        <v>2777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 hidden="1">
      <c r="A600" s="16" t="s">
        <v>2778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 hidden="1">
      <c r="A601" s="16" t="s">
        <v>2779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 hidden="1">
      <c r="A602" s="16" t="s">
        <v>2780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 hidden="1">
      <c r="A603" s="16" t="s">
        <v>2781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 hidden="1">
      <c r="A604" s="16" t="s">
        <v>2782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 hidden="1">
      <c r="A605" s="16" t="s">
        <v>2783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 hidden="1">
      <c r="A606" s="16" t="s">
        <v>2784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 hidden="1">
      <c r="A607" s="16" t="s">
        <v>2785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 hidden="1">
      <c r="A608" s="16" t="s">
        <v>2786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 hidden="1">
      <c r="A609" s="16" t="s">
        <v>2787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 hidden="1">
      <c r="A610" s="16" t="s">
        <v>2788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 hidden="1">
      <c r="A611" s="16" t="s">
        <v>2789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 hidden="1">
      <c r="A612" s="16" t="s">
        <v>2790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 hidden="1">
      <c r="A613" s="16" t="s">
        <v>2791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 hidden="1">
      <c r="A614" s="16" t="s">
        <v>2792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 hidden="1">
      <c r="A615" s="16" t="s">
        <v>2793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 hidden="1">
      <c r="A616" s="16" t="s">
        <v>2794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 hidden="1">
      <c r="A617" s="16" t="s">
        <v>2795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 hidden="1">
      <c r="A618" s="16" t="s">
        <v>2796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 hidden="1">
      <c r="A619" s="16" t="s">
        <v>2797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 hidden="1">
      <c r="A620" s="16" t="s">
        <v>2798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 hidden="1">
      <c r="A621" s="16" t="s">
        <v>2799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 hidden="1">
      <c r="A622" s="16" t="s">
        <v>2800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 hidden="1">
      <c r="A623" s="16" t="s">
        <v>2801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 hidden="1">
      <c r="A624" s="16" t="s">
        <v>2802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 hidden="1">
      <c r="A625" s="16" t="s">
        <v>2803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 hidden="1">
      <c r="A626" s="16" t="s">
        <v>2804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 hidden="1">
      <c r="A627" s="16" t="s">
        <v>2805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 hidden="1">
      <c r="A628" s="16" t="s">
        <v>2806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 hidden="1">
      <c r="A629" s="16" t="s">
        <v>2807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 hidden="1">
      <c r="A630" s="16" t="s">
        <v>2808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 hidden="1">
      <c r="A631" s="16" t="s">
        <v>2809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 hidden="1">
      <c r="A632" s="16" t="s">
        <v>2810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 hidden="1">
      <c r="A633" s="16" t="s">
        <v>2811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 hidden="1">
      <c r="A634" s="16" t="s">
        <v>2812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 hidden="1">
      <c r="A635" s="16" t="s">
        <v>2813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 hidden="1">
      <c r="A636" s="16" t="s">
        <v>2814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 hidden="1">
      <c r="A637" s="16" t="s">
        <v>2815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 hidden="1">
      <c r="A638" s="16" t="s">
        <v>2816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 hidden="1">
      <c r="A639" s="16" t="s">
        <v>2817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 hidden="1">
      <c r="A640" s="16" t="s">
        <v>2818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 hidden="1">
      <c r="A641" s="16" t="s">
        <v>2819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 hidden="1">
      <c r="A642" s="16" t="s">
        <v>2820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 hidden="1">
      <c r="A643" s="16" t="s">
        <v>2821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 hidden="1">
      <c r="A644" s="16" t="s">
        <v>2822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 hidden="1">
      <c r="A645" s="16" t="s">
        <v>2823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 hidden="1">
      <c r="A646" s="16" t="s">
        <v>2824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 hidden="1">
      <c r="A647" s="16" t="s">
        <v>2825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 hidden="1">
      <c r="A648" s="16" t="s">
        <v>2826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 hidden="1">
      <c r="A649" s="16" t="s">
        <v>2827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 hidden="1">
      <c r="A650" s="16" t="s">
        <v>2828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 hidden="1">
      <c r="A651" s="16" t="s">
        <v>2829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 hidden="1">
      <c r="A652" s="16" t="s">
        <v>2830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 hidden="1">
      <c r="A653" s="16" t="s">
        <v>2831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 hidden="1">
      <c r="A654" s="16" t="s">
        <v>2832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 hidden="1">
      <c r="A655" s="16" t="s">
        <v>2833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 hidden="1">
      <c r="A656" s="16" t="s">
        <v>2834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 hidden="1">
      <c r="A657" s="16" t="s">
        <v>2835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 hidden="1">
      <c r="A658" s="16" t="s">
        <v>2836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 hidden="1">
      <c r="A659" s="16" t="s">
        <v>2837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 hidden="1">
      <c r="A660" s="16" t="s">
        <v>2838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 hidden="1">
      <c r="A661" s="16" t="s">
        <v>2839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 hidden="1">
      <c r="A662" s="16" t="s">
        <v>2840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 hidden="1">
      <c r="A663" s="16" t="s">
        <v>2841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 hidden="1">
      <c r="A664" s="16" t="s">
        <v>2842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 hidden="1">
      <c r="A665" s="16" t="s">
        <v>2843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 hidden="1">
      <c r="A666" s="16" t="s">
        <v>2844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 hidden="1">
      <c r="A667" s="16" t="s">
        <v>2845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 hidden="1">
      <c r="A668" s="16" t="s">
        <v>2846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 hidden="1">
      <c r="A669" s="16" t="s">
        <v>2847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 hidden="1">
      <c r="A670" s="16" t="s">
        <v>2848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 hidden="1">
      <c r="A671" s="16" t="s">
        <v>2849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 hidden="1">
      <c r="A672" s="16" t="s">
        <v>2850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 hidden="1">
      <c r="A673" s="16" t="s">
        <v>2851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 hidden="1">
      <c r="A674" s="16" t="s">
        <v>2852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 hidden="1">
      <c r="A675" s="16" t="s">
        <v>2853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 hidden="1">
      <c r="A676" s="16" t="s">
        <v>2854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 hidden="1">
      <c r="A677" s="16" t="s">
        <v>2855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 hidden="1">
      <c r="A678" s="16" t="s">
        <v>2856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 hidden="1">
      <c r="A679" s="16" t="s">
        <v>2857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 hidden="1">
      <c r="A680" s="16" t="s">
        <v>2858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 hidden="1">
      <c r="A681" s="16" t="s">
        <v>2859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 hidden="1">
      <c r="A682" s="16" t="s">
        <v>2860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 hidden="1">
      <c r="A683" s="16" t="s">
        <v>2861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 hidden="1">
      <c r="A684" s="16" t="s">
        <v>2862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 hidden="1">
      <c r="A685" s="16" t="s">
        <v>2863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 hidden="1">
      <c r="A686" s="16" t="s">
        <v>2864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 hidden="1">
      <c r="A687" s="16" t="s">
        <v>2865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 hidden="1">
      <c r="A688" s="16" t="s">
        <v>2866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 hidden="1">
      <c r="A689" s="16" t="s">
        <v>2867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 hidden="1">
      <c r="A690" s="16" t="s">
        <v>2868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 hidden="1">
      <c r="A691" s="16" t="s">
        <v>2869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 hidden="1">
      <c r="A692" s="16" t="s">
        <v>2870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 hidden="1">
      <c r="A693" s="16" t="s">
        <v>2871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 hidden="1">
      <c r="A694" s="16" t="s">
        <v>2872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 hidden="1">
      <c r="A695" s="16" t="s">
        <v>2873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 hidden="1">
      <c r="A696" s="16" t="s">
        <v>2874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 hidden="1">
      <c r="A697" s="16" t="s">
        <v>2875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 hidden="1">
      <c r="A698" s="16" t="s">
        <v>2876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 hidden="1">
      <c r="A699" s="16" t="s">
        <v>2877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 hidden="1">
      <c r="A700" s="16" t="s">
        <v>2878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 hidden="1">
      <c r="A701" s="16" t="s">
        <v>2879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 hidden="1">
      <c r="A702" s="16" t="s">
        <v>2880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 hidden="1">
      <c r="A703" s="16" t="s">
        <v>2881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 hidden="1">
      <c r="A704" s="16" t="s">
        <v>2882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 hidden="1">
      <c r="A705" s="16" t="s">
        <v>2883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 hidden="1">
      <c r="A706" s="16" t="s">
        <v>2884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 hidden="1">
      <c r="A707" s="16" t="s">
        <v>2885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 hidden="1">
      <c r="A708" s="16" t="s">
        <v>2886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 hidden="1">
      <c r="A709" s="16" t="s">
        <v>2887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 hidden="1">
      <c r="A710" s="16" t="s">
        <v>2888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 hidden="1">
      <c r="A711" s="16" t="s">
        <v>2889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 hidden="1">
      <c r="A712" s="16" t="s">
        <v>2890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 hidden="1">
      <c r="A713" s="16" t="s">
        <v>2891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 hidden="1">
      <c r="A714" s="16" t="s">
        <v>2892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 hidden="1">
      <c r="A715" s="16" t="s">
        <v>2893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 hidden="1">
      <c r="A716" s="16" t="s">
        <v>2894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 hidden="1">
      <c r="A717" s="16" t="s">
        <v>2895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 hidden="1">
      <c r="A718" s="16" t="s">
        <v>2896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 hidden="1">
      <c r="A719" s="16" t="s">
        <v>2897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 hidden="1">
      <c r="A720" s="16" t="s">
        <v>2898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 hidden="1">
      <c r="A721" s="16" t="s">
        <v>2899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 hidden="1">
      <c r="A722" s="16" t="s">
        <v>2900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 hidden="1">
      <c r="A723" s="16" t="s">
        <v>2901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 hidden="1">
      <c r="A724" s="16" t="s">
        <v>2902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 hidden="1">
      <c r="A725" s="16" t="s">
        <v>2903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 hidden="1">
      <c r="A726" s="16" t="s">
        <v>2904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 hidden="1">
      <c r="A727" s="16" t="s">
        <v>2905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 hidden="1">
      <c r="A728" s="16" t="s">
        <v>2906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 hidden="1">
      <c r="A729" s="16" t="s">
        <v>2907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 hidden="1">
      <c r="A730" s="16" t="s">
        <v>2908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 hidden="1">
      <c r="A731" s="16" t="s">
        <v>2909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 hidden="1">
      <c r="A732" s="16" t="s">
        <v>2910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 hidden="1">
      <c r="A733" s="16" t="s">
        <v>2911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 hidden="1">
      <c r="A734" s="16" t="s">
        <v>2912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 hidden="1">
      <c r="A735" s="16" t="s">
        <v>2913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 hidden="1">
      <c r="A736" s="16" t="s">
        <v>2914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 hidden="1">
      <c r="A737" s="16" t="s">
        <v>2915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 hidden="1">
      <c r="A738" s="16" t="s">
        <v>2916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 hidden="1">
      <c r="A739" s="16" t="s">
        <v>2917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 hidden="1">
      <c r="A740" s="16" t="s">
        <v>2918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 hidden="1">
      <c r="A741" s="16" t="s">
        <v>2919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 hidden="1">
      <c r="A742" s="16" t="s">
        <v>2920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 hidden="1">
      <c r="A743" s="16" t="s">
        <v>2921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 hidden="1">
      <c r="A744" s="16" t="s">
        <v>2922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 hidden="1">
      <c r="A745" s="16" t="s">
        <v>2923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 hidden="1">
      <c r="A746" s="16" t="s">
        <v>2924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 hidden="1">
      <c r="A747" s="16" t="s">
        <v>2925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 hidden="1">
      <c r="A748" s="16" t="s">
        <v>2926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 hidden="1">
      <c r="A749" s="16" t="s">
        <v>2927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 hidden="1">
      <c r="A750" s="16" t="s">
        <v>2928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 hidden="1">
      <c r="A751" s="16" t="s">
        <v>2929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 hidden="1">
      <c r="A752" s="16" t="s">
        <v>2930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 hidden="1">
      <c r="A753" s="16" t="s">
        <v>2931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 hidden="1">
      <c r="A754" s="16" t="s">
        <v>2932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 hidden="1">
      <c r="A755" s="16" t="s">
        <v>2933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 hidden="1">
      <c r="A756" s="16" t="s">
        <v>2934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 hidden="1">
      <c r="A757" s="16" t="s">
        <v>2935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 hidden="1">
      <c r="A758" s="16" t="s">
        <v>2936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 hidden="1">
      <c r="A759" s="16" t="s">
        <v>2937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 hidden="1">
      <c r="A760" s="16" t="s">
        <v>2938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 hidden="1">
      <c r="A761" s="16" t="s">
        <v>2939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 hidden="1">
      <c r="A762" s="16" t="s">
        <v>2940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 hidden="1">
      <c r="A763" s="16" t="s">
        <v>2941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 hidden="1">
      <c r="A764" s="16" t="s">
        <v>2942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 hidden="1">
      <c r="A765" s="16" t="s">
        <v>2943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 hidden="1">
      <c r="A766" s="16" t="s">
        <v>2944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 hidden="1">
      <c r="A767" s="16" t="s">
        <v>2945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 hidden="1">
      <c r="A768" s="16" t="s">
        <v>2946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 hidden="1">
      <c r="A769" s="16" t="s">
        <v>2947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 hidden="1">
      <c r="A770" s="16" t="s">
        <v>2948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 hidden="1">
      <c r="A771" s="16" t="s">
        <v>2949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 hidden="1">
      <c r="A772" s="16" t="s">
        <v>2950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 hidden="1">
      <c r="A773" s="16" t="s">
        <v>2951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 hidden="1">
      <c r="A774" s="16" t="s">
        <v>2952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 hidden="1">
      <c r="A775" s="16" t="s">
        <v>2953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 hidden="1">
      <c r="A776" s="16" t="s">
        <v>2954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 hidden="1">
      <c r="A777" s="16" t="s">
        <v>2955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 hidden="1">
      <c r="A778" s="16" t="s">
        <v>2956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 hidden="1">
      <c r="A779" s="16" t="s">
        <v>2957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 hidden="1">
      <c r="A780" s="16" t="s">
        <v>2958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 hidden="1">
      <c r="A781" s="16" t="s">
        <v>2959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 hidden="1">
      <c r="A782" s="16" t="s">
        <v>2960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 hidden="1">
      <c r="A783" s="16" t="s">
        <v>2961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 hidden="1">
      <c r="A784" s="16" t="s">
        <v>2962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 hidden="1">
      <c r="A785" s="16" t="s">
        <v>2963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 hidden="1">
      <c r="A786" s="16" t="s">
        <v>2964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 hidden="1">
      <c r="A787" s="16" t="s">
        <v>2965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 hidden="1">
      <c r="A788" s="16" t="s">
        <v>2966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 hidden="1">
      <c r="A789" s="16" t="s">
        <v>2967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 hidden="1">
      <c r="A790" s="16" t="s">
        <v>2968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 hidden="1">
      <c r="A791" s="16" t="s">
        <v>2969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 hidden="1">
      <c r="A792" s="16" t="s">
        <v>2970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 hidden="1">
      <c r="A793" s="16" t="s">
        <v>2971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 hidden="1">
      <c r="A794" s="16" t="s">
        <v>2972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 hidden="1">
      <c r="A795" s="16" t="s">
        <v>2973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 hidden="1">
      <c r="A796" s="16" t="s">
        <v>2974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 hidden="1">
      <c r="A797" s="16" t="s">
        <v>2975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 hidden="1">
      <c r="A798" s="16" t="s">
        <v>2976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 hidden="1">
      <c r="A799" s="16" t="s">
        <v>2977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 hidden="1">
      <c r="A800" s="16" t="s">
        <v>2978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 hidden="1">
      <c r="A801" s="16" t="s">
        <v>2979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 hidden="1">
      <c r="A802" s="16" t="s">
        <v>2980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 hidden="1">
      <c r="A803" s="16" t="s">
        <v>2981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 hidden="1">
      <c r="A804" s="16" t="s">
        <v>2982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 hidden="1">
      <c r="A805" s="16" t="s">
        <v>2983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 hidden="1">
      <c r="A806" s="16" t="s">
        <v>2984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 hidden="1">
      <c r="A807" s="16" t="s">
        <v>2985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 hidden="1">
      <c r="A808" s="16" t="s">
        <v>2986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 hidden="1">
      <c r="A809" s="16" t="s">
        <v>2987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 hidden="1">
      <c r="A810" s="16" t="s">
        <v>2988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 hidden="1">
      <c r="A811" s="16" t="s">
        <v>2989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 hidden="1">
      <c r="A812" s="16" t="s">
        <v>2990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 hidden="1">
      <c r="A813" s="16" t="s">
        <v>2991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 hidden="1">
      <c r="A814" s="16" t="s">
        <v>2992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 hidden="1">
      <c r="A815" s="16" t="s">
        <v>2993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 hidden="1">
      <c r="A816" s="16" t="s">
        <v>2994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 hidden="1">
      <c r="A817" s="16" t="s">
        <v>2995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 hidden="1">
      <c r="A818" s="16" t="s">
        <v>2996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 hidden="1">
      <c r="A819" s="16" t="s">
        <v>2997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 hidden="1">
      <c r="A820" s="16" t="s">
        <v>2998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 hidden="1">
      <c r="A821" s="16" t="s">
        <v>2999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 hidden="1">
      <c r="A822" s="16" t="s">
        <v>3000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 hidden="1">
      <c r="A823" s="16" t="s">
        <v>3001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 hidden="1">
      <c r="A824" s="16" t="s">
        <v>3002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 hidden="1">
      <c r="A825" s="16" t="s">
        <v>3003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 hidden="1">
      <c r="A826" s="16" t="s">
        <v>3004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 hidden="1">
      <c r="A827" s="16" t="s">
        <v>3005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 hidden="1">
      <c r="A828" s="16" t="s">
        <v>3006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 hidden="1">
      <c r="A829" s="16" t="s">
        <v>3007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 hidden="1">
      <c r="A830" s="16" t="s">
        <v>3008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 hidden="1">
      <c r="A831" s="16" t="s">
        <v>3009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 hidden="1">
      <c r="A832" s="16" t="s">
        <v>3010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 hidden="1">
      <c r="A833" s="16" t="s">
        <v>3011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 hidden="1">
      <c r="A834" s="16" t="s">
        <v>3012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 hidden="1">
      <c r="A835" s="16" t="s">
        <v>3013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 hidden="1">
      <c r="A836" s="16" t="s">
        <v>3014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 hidden="1">
      <c r="A837" s="16" t="s">
        <v>3015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 hidden="1">
      <c r="A838" s="16" t="s">
        <v>3016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 hidden="1">
      <c r="A839" s="16" t="s">
        <v>3017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 hidden="1">
      <c r="A840" s="16" t="s">
        <v>3018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 hidden="1">
      <c r="A841" s="16" t="s">
        <v>3019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 hidden="1">
      <c r="A842" s="16" t="s">
        <v>3020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 hidden="1">
      <c r="A843" s="16" t="s">
        <v>3021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 hidden="1">
      <c r="A844" s="16" t="s">
        <v>3022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 hidden="1">
      <c r="A845" s="16" t="s">
        <v>3023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 hidden="1">
      <c r="A846" s="16" t="s">
        <v>3024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 hidden="1">
      <c r="A847" s="16" t="s">
        <v>3025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 hidden="1">
      <c r="A848" s="16" t="s">
        <v>3026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 hidden="1">
      <c r="A849" s="16" t="s">
        <v>3027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 hidden="1">
      <c r="A850" s="16" t="s">
        <v>3028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 hidden="1">
      <c r="A851" s="16" t="s">
        <v>3029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 hidden="1">
      <c r="A852" s="16" t="s">
        <v>3030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 hidden="1">
      <c r="A853" s="16" t="s">
        <v>3031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 hidden="1">
      <c r="A854" s="16" t="s">
        <v>3032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 hidden="1">
      <c r="A855" s="16" t="s">
        <v>3033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 hidden="1">
      <c r="A856" s="16" t="s">
        <v>3034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 hidden="1">
      <c r="A857" s="16" t="s">
        <v>3035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 hidden="1">
      <c r="A858" s="16" t="s">
        <v>3036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 hidden="1">
      <c r="A859" s="16" t="s">
        <v>3037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 hidden="1">
      <c r="A860" s="16" t="s">
        <v>3038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 hidden="1">
      <c r="A861" s="16" t="s">
        <v>3039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 hidden="1">
      <c r="A862" s="16" t="s">
        <v>3040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 hidden="1">
      <c r="A863" s="16" t="s">
        <v>3041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 hidden="1">
      <c r="A864" s="16" t="s">
        <v>3042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 hidden="1">
      <c r="A865" s="16" t="s">
        <v>3043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 hidden="1">
      <c r="A866" s="16" t="s">
        <v>3044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 hidden="1">
      <c r="A867" s="16" t="s">
        <v>3045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 hidden="1">
      <c r="A868" s="16" t="s">
        <v>3046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 hidden="1">
      <c r="A869" s="16" t="s">
        <v>3047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 hidden="1">
      <c r="A870" s="16" t="s">
        <v>3048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 hidden="1">
      <c r="A871" s="16" t="s">
        <v>3049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 hidden="1">
      <c r="A872" s="16" t="s">
        <v>3050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 hidden="1">
      <c r="A873" s="16" t="s">
        <v>3051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 hidden="1">
      <c r="A874" s="16" t="s">
        <v>3052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 hidden="1">
      <c r="A875" s="16" t="s">
        <v>3053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 hidden="1">
      <c r="A876" s="16" t="s">
        <v>3054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 hidden="1">
      <c r="A877" s="16" t="s">
        <v>3055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 hidden="1">
      <c r="A878" s="16" t="s">
        <v>3056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 hidden="1">
      <c r="A879" s="16" t="s">
        <v>3057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 hidden="1">
      <c r="A880" s="16" t="s">
        <v>3058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 hidden="1">
      <c r="A881" s="16" t="s">
        <v>3059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 hidden="1">
      <c r="A882" s="16" t="s">
        <v>3060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 hidden="1">
      <c r="A883" s="16" t="s">
        <v>3061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 hidden="1">
      <c r="A884" s="16" t="s">
        <v>3062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 hidden="1">
      <c r="A885" s="16" t="s">
        <v>3063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 hidden="1">
      <c r="A886" s="16" t="s">
        <v>3064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 hidden="1">
      <c r="A887" s="16" t="s">
        <v>3065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 hidden="1">
      <c r="A888" s="16" t="s">
        <v>3066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 hidden="1">
      <c r="A889" s="16" t="s">
        <v>3067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 hidden="1">
      <c r="A890" s="16" t="s">
        <v>3068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 hidden="1">
      <c r="A891" s="16" t="s">
        <v>3069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 hidden="1">
      <c r="A892" s="16" t="s">
        <v>3070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 hidden="1">
      <c r="A893" s="16" t="s">
        <v>3071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 hidden="1">
      <c r="A894" s="16" t="s">
        <v>3072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 hidden="1">
      <c r="A895" s="16" t="s">
        <v>3073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 hidden="1">
      <c r="A896" s="16" t="s">
        <v>3074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 hidden="1">
      <c r="A897" s="16" t="s">
        <v>3075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 hidden="1">
      <c r="A898" s="16" t="s">
        <v>3076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 hidden="1">
      <c r="A899" s="16" t="s">
        <v>3077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 hidden="1">
      <c r="A900" s="16" t="s">
        <v>3078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 hidden="1">
      <c r="A901" s="16" t="s">
        <v>3079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 hidden="1">
      <c r="A902" s="16" t="s">
        <v>3080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 hidden="1">
      <c r="A903" s="16" t="s">
        <v>3081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 hidden="1">
      <c r="A904" s="16" t="s">
        <v>3082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 hidden="1">
      <c r="A905" s="16" t="s">
        <v>3083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 hidden="1">
      <c r="A906" s="16" t="s">
        <v>3084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 hidden="1">
      <c r="A907" s="16" t="s">
        <v>3085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 hidden="1">
      <c r="A908" s="16" t="s">
        <v>3086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 hidden="1">
      <c r="A909" s="16" t="s">
        <v>3087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 hidden="1">
      <c r="A910" s="16" t="s">
        <v>3088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 hidden="1">
      <c r="A911" s="16" t="s">
        <v>3089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 hidden="1">
      <c r="A912" s="16" t="s">
        <v>3090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 hidden="1">
      <c r="A913" s="16" t="s">
        <v>3091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 hidden="1">
      <c r="A914" s="16" t="s">
        <v>3092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 hidden="1">
      <c r="A915" s="16" t="s">
        <v>3093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 hidden="1">
      <c r="A916" s="16" t="s">
        <v>3094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 hidden="1">
      <c r="A917" s="16" t="s">
        <v>3095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 hidden="1">
      <c r="A918" s="16" t="s">
        <v>3096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 hidden="1">
      <c r="A919" s="16" t="s">
        <v>3097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 hidden="1">
      <c r="A920" s="16" t="s">
        <v>3098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 hidden="1">
      <c r="A921" s="16" t="s">
        <v>3099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 hidden="1">
      <c r="A922" s="16" t="s">
        <v>3100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 hidden="1">
      <c r="A923" s="16" t="s">
        <v>3101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 hidden="1">
      <c r="A924" s="16" t="s">
        <v>3102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 hidden="1">
      <c r="A925" s="16" t="s">
        <v>3103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 hidden="1">
      <c r="A926" s="16" t="s">
        <v>3104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 hidden="1">
      <c r="A927" s="16" t="s">
        <v>3105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 hidden="1">
      <c r="A928" s="16" t="s">
        <v>3106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 hidden="1">
      <c r="A929" s="16" t="s">
        <v>3107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 hidden="1">
      <c r="A930" s="16" t="s">
        <v>3108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 hidden="1">
      <c r="A931" s="16" t="s">
        <v>3109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 hidden="1">
      <c r="A932" s="16" t="s">
        <v>3110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 hidden="1">
      <c r="A933" s="16" t="s">
        <v>3111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 hidden="1">
      <c r="A934" s="16" t="s">
        <v>3112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 hidden="1">
      <c r="A935" s="16" t="s">
        <v>3113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 hidden="1">
      <c r="A936" s="16" t="s">
        <v>3114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 hidden="1">
      <c r="A937" s="16" t="s">
        <v>3115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 hidden="1">
      <c r="A938" s="16" t="s">
        <v>3116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 hidden="1">
      <c r="A939" s="16" t="s">
        <v>3117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 hidden="1">
      <c r="A940" s="16" t="s">
        <v>3118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 hidden="1">
      <c r="A941" s="16" t="s">
        <v>3119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 hidden="1">
      <c r="A942" s="16" t="s">
        <v>3120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 hidden="1">
      <c r="A943" s="16" t="s">
        <v>3121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 hidden="1">
      <c r="A944" s="16" t="s">
        <v>3122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 hidden="1">
      <c r="A945" s="16" t="s">
        <v>3123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 hidden="1">
      <c r="A946" s="16" t="s">
        <v>3124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 hidden="1">
      <c r="A947" s="16" t="s">
        <v>3125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 hidden="1">
      <c r="A948" s="16" t="s">
        <v>3126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 hidden="1">
      <c r="A949" s="16" t="s">
        <v>3127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 hidden="1">
      <c r="A950" s="16" t="s">
        <v>3128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 hidden="1">
      <c r="A951" s="16" t="s">
        <v>3129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 hidden="1">
      <c r="A952" s="16" t="s">
        <v>3130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 hidden="1">
      <c r="A953" s="16" t="s">
        <v>3131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 hidden="1">
      <c r="A954" s="16" t="s">
        <v>3132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 hidden="1">
      <c r="A955" s="16" t="s">
        <v>3133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 hidden="1">
      <c r="A956" s="16" t="s">
        <v>3134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 hidden="1">
      <c r="A957" s="16" t="s">
        <v>3135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 hidden="1">
      <c r="A958" s="16" t="s">
        <v>3136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 hidden="1">
      <c r="A959" s="16" t="s">
        <v>3137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 hidden="1">
      <c r="A960" s="16" t="s">
        <v>3138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 hidden="1">
      <c r="A961" s="16" t="s">
        <v>3139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 hidden="1">
      <c r="A962" s="16" t="s">
        <v>3140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 hidden="1">
      <c r="A963" s="16" t="s">
        <v>3141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 hidden="1">
      <c r="A964" s="16" t="s">
        <v>3142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 hidden="1">
      <c r="A965" s="16" t="s">
        <v>3143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 hidden="1">
      <c r="A966" s="16" t="s">
        <v>3144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 hidden="1">
      <c r="A967" s="16" t="s">
        <v>3145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 hidden="1">
      <c r="A968" s="16" t="s">
        <v>3146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 hidden="1">
      <c r="A969" s="16" t="s">
        <v>3147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 hidden="1">
      <c r="A970" s="16" t="s">
        <v>3148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 hidden="1">
      <c r="A971" s="16" t="s">
        <v>3149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 hidden="1">
      <c r="A972" s="16" t="s">
        <v>3150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 hidden="1">
      <c r="A973" s="16" t="s">
        <v>3151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 hidden="1">
      <c r="A974" s="16" t="s">
        <v>3152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 hidden="1">
      <c r="A975" s="16" t="s">
        <v>3153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 hidden="1">
      <c r="A976" s="16" t="s">
        <v>3154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 hidden="1">
      <c r="A977" s="16" t="s">
        <v>3155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 hidden="1">
      <c r="A978" s="16" t="s">
        <v>3156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 hidden="1">
      <c r="A979" s="16" t="s">
        <v>3157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 hidden="1">
      <c r="A980" s="16" t="s">
        <v>3158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 hidden="1">
      <c r="A981" s="16" t="s">
        <v>3159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 hidden="1">
      <c r="A982" s="16" t="s">
        <v>3160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 hidden="1">
      <c r="A983" s="16" t="s">
        <v>3161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 hidden="1">
      <c r="A984" s="16" t="s">
        <v>3162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 hidden="1">
      <c r="A985" s="16" t="s">
        <v>3163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 hidden="1">
      <c r="A986" s="16" t="s">
        <v>3164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 hidden="1">
      <c r="A987" s="16" t="s">
        <v>3165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 hidden="1">
      <c r="A988" s="16" t="s">
        <v>3166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 hidden="1">
      <c r="A989" s="16" t="s">
        <v>3167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 hidden="1">
      <c r="A990" s="16" t="s">
        <v>3168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 hidden="1">
      <c r="A991" s="16" t="s">
        <v>3169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 hidden="1">
      <c r="A992" s="16" t="s">
        <v>3170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 hidden="1">
      <c r="A993" s="16" t="s">
        <v>3171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 hidden="1">
      <c r="A994" s="16" t="s">
        <v>3172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 hidden="1">
      <c r="A995" s="16" t="s">
        <v>3173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 hidden="1">
      <c r="A996" s="16" t="s">
        <v>3174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 hidden="1">
      <c r="K997" s="13" t="str">
        <f t="shared" ca="1" si="31"/>
        <v/>
      </c>
    </row>
    <row r="998" spans="1:11" hidden="1">
      <c r="K998" s="13" t="str">
        <f t="shared" ca="1" si="31"/>
        <v/>
      </c>
    </row>
    <row r="999" spans="1:11" hidden="1">
      <c r="K999" s="13" t="str">
        <f t="shared" ca="1" si="31"/>
        <v/>
      </c>
    </row>
    <row r="1000" spans="1:11" hidden="1">
      <c r="K1000" s="13" t="str">
        <f t="shared" ca="1" si="31"/>
        <v/>
      </c>
    </row>
    <row r="1001" spans="1:11" hidden="1">
      <c r="K1001" s="13" t="str">
        <f t="shared" ca="1" si="31"/>
        <v/>
      </c>
    </row>
    <row r="1002" spans="1:11" hidden="1">
      <c r="K1002" s="13" t="str">
        <f t="shared" ca="1" si="31"/>
        <v/>
      </c>
    </row>
    <row r="1003" spans="1:11" hidden="1">
      <c r="K1003" s="13" t="str">
        <f t="shared" ca="1" si="31"/>
        <v/>
      </c>
    </row>
  </sheetData>
  <autoFilter ref="A1:K1003" xr:uid="{00000000-0001-0000-0100-000000000000}">
    <filterColumn colId="1">
      <filters>
        <filter val="Alfalfa Verdor"/>
      </filters>
    </filterColumn>
  </autoFilter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2205</v>
      </c>
      <c r="B1" s="18" t="s">
        <v>3175</v>
      </c>
      <c r="C1" s="18" t="s">
        <v>4</v>
      </c>
      <c r="D1" s="18" t="s">
        <v>5</v>
      </c>
      <c r="E1" s="18" t="s">
        <v>11</v>
      </c>
      <c r="F1" s="18" t="s">
        <v>3176</v>
      </c>
      <c r="G1" s="18" t="s">
        <v>3177</v>
      </c>
      <c r="H1" s="18" t="s">
        <v>3178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2090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5800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1</v>
      </c>
      <c r="G12" s="9">
        <f>IF(A12="","",SUMIFS(Movimientos!$K:$K,Movimientos!$C:$C,A12))</f>
        <v>80</v>
      </c>
      <c r="H12" s="14">
        <f>IF(A12="","",IFERROR(IF(_xlfn.MINIFS(Stock_por_Lote!$H:$H,Stock_por_Lote!$B:$B,A12,Stock_por_Lote!$J:$J,"&gt;0")=0,"S/D",_xlfn.MINIFS(Stock_por_Lote!$H:$H,Stock_por_Lote!$B:$B,A12,Stock_por_Lote!$J:$J,"&gt;0")),"S/D"))</f>
        <v>46509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4500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555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65340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15320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5620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1125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2</v>
      </c>
      <c r="G22" s="9">
        <f>IF(A22="","",SUMIFS(Movimientos!$K:$K,Movimientos!$C:$C,A22))</f>
        <v>3520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458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1</v>
      </c>
      <c r="G25" s="9">
        <f>IF(A25="","",SUMIFS(Movimientos!$K:$K,Movimientos!$C:$C,A25))</f>
        <v>375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1</v>
      </c>
      <c r="G26" s="9">
        <f>IF(A26="","",SUMIFS(Movimientos!$K:$K,Movimientos!$C:$C,A26))</f>
        <v>100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1100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975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495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224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1500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227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>
        <f>IF(A33="","",IFERROR(INDEX(Movimientos!$F$2:$F$1997,MATCH(A33&amp;"ENTRADA",Movimientos!$S$2:$S$1997,0)),"-"))</f>
        <v>0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1</v>
      </c>
      <c r="G33" s="9">
        <f>IF(A33="","",SUMIFS(Movimientos!$K:$K,Movimientos!$C:$C,A33))</f>
        <v>2020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241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245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259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1</v>
      </c>
      <c r="G37" s="9">
        <f>IF(A37="","",SUMIFS(Movimientos!$K:$K,Movimientos!$C:$C,A37))</f>
        <v>375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4"/>
  <sheetViews>
    <sheetView showGridLines="0" workbookViewId="0">
      <selection activeCell="H12" sqref="H12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3179</v>
      </c>
    </row>
    <row r="2" spans="1:8" ht="21.75" customHeight="1">
      <c r="A2" s="23" t="s">
        <v>2205</v>
      </c>
      <c r="B2" s="23" t="s">
        <v>3180</v>
      </c>
      <c r="C2" s="23" t="s">
        <v>4</v>
      </c>
      <c r="D2" s="23" t="s">
        <v>5</v>
      </c>
      <c r="E2" s="23" t="s">
        <v>6</v>
      </c>
      <c r="F2" s="23" t="s">
        <v>3181</v>
      </c>
      <c r="G2" s="23" t="s">
        <v>11</v>
      </c>
      <c r="H2" s="23" t="s">
        <v>3182</v>
      </c>
    </row>
    <row r="3" spans="1:8">
      <c r="A3" t="s">
        <v>22</v>
      </c>
      <c r="B3" t="s">
        <v>23</v>
      </c>
      <c r="C3" s="24" t="s">
        <v>3183</v>
      </c>
      <c r="D3" s="24" t="s">
        <v>3184</v>
      </c>
      <c r="E3" s="24" t="s">
        <v>35</v>
      </c>
      <c r="F3" s="24" t="s">
        <v>27</v>
      </c>
      <c r="G3" s="24" t="s">
        <v>36</v>
      </c>
      <c r="H3" s="10" t="s">
        <v>330</v>
      </c>
    </row>
    <row r="4" spans="1:8">
      <c r="A4" t="s">
        <v>31</v>
      </c>
      <c r="B4" t="s">
        <v>104</v>
      </c>
      <c r="C4" s="24" t="s">
        <v>3185</v>
      </c>
      <c r="D4" s="24" t="s">
        <v>3186</v>
      </c>
      <c r="E4" s="24" t="s">
        <v>71</v>
      </c>
      <c r="F4" s="24" t="s">
        <v>64</v>
      </c>
      <c r="G4" s="24" t="s">
        <v>28</v>
      </c>
      <c r="H4" s="10" t="s">
        <v>150</v>
      </c>
    </row>
    <row r="5" spans="1:8">
      <c r="A5" t="s">
        <v>39</v>
      </c>
      <c r="B5" t="s">
        <v>40</v>
      </c>
      <c r="C5" s="24" t="s">
        <v>33</v>
      </c>
      <c r="D5" s="24" t="s">
        <v>3187</v>
      </c>
      <c r="E5" s="24" t="s">
        <v>76</v>
      </c>
      <c r="G5" s="24" t="s">
        <v>3188</v>
      </c>
      <c r="H5" s="10" t="s">
        <v>65</v>
      </c>
    </row>
    <row r="6" spans="1:8">
      <c r="A6" t="s">
        <v>43</v>
      </c>
      <c r="B6" t="s">
        <v>62</v>
      </c>
      <c r="C6" s="24" t="s">
        <v>24</v>
      </c>
      <c r="D6" s="24" t="s">
        <v>3189</v>
      </c>
      <c r="E6" s="10" t="s">
        <v>26</v>
      </c>
      <c r="G6" s="24" t="s">
        <v>3190</v>
      </c>
      <c r="H6" s="10" t="s">
        <v>94</v>
      </c>
    </row>
    <row r="7" spans="1:8">
      <c r="A7" t="s">
        <v>49</v>
      </c>
      <c r="B7" t="s">
        <v>275</v>
      </c>
      <c r="C7" s="24" t="s">
        <v>3191</v>
      </c>
      <c r="D7" s="24" t="s">
        <v>45</v>
      </c>
      <c r="E7" s="24" t="s">
        <v>82</v>
      </c>
      <c r="G7" s="24" t="s">
        <v>72</v>
      </c>
      <c r="H7" s="10" t="s">
        <v>233</v>
      </c>
    </row>
    <row r="8" spans="1:8">
      <c r="A8" t="s">
        <v>53</v>
      </c>
      <c r="B8" t="s">
        <v>54</v>
      </c>
      <c r="C8" s="24" t="s">
        <v>280</v>
      </c>
      <c r="D8" s="24" t="s">
        <v>34</v>
      </c>
      <c r="E8" s="24" t="s">
        <v>116</v>
      </c>
      <c r="G8" s="24" t="s">
        <v>3192</v>
      </c>
      <c r="H8" t="s">
        <v>336</v>
      </c>
    </row>
    <row r="9" spans="1:8">
      <c r="A9" t="s">
        <v>58</v>
      </c>
      <c r="B9" t="s">
        <v>59</v>
      </c>
      <c r="C9" s="24" t="s">
        <v>130</v>
      </c>
      <c r="D9" s="24" t="s">
        <v>3193</v>
      </c>
      <c r="E9" s="24" t="s">
        <v>131</v>
      </c>
      <c r="G9" s="24" t="s">
        <v>55</v>
      </c>
      <c r="H9" t="s">
        <v>304</v>
      </c>
    </row>
    <row r="10" spans="1:8">
      <c r="A10" t="s">
        <v>74</v>
      </c>
      <c r="B10" t="s">
        <v>75</v>
      </c>
      <c r="C10" s="24" t="s">
        <v>69</v>
      </c>
      <c r="D10" s="24" t="s">
        <v>3194</v>
      </c>
      <c r="E10" s="24" t="s">
        <v>156</v>
      </c>
      <c r="G10" s="10" t="s">
        <v>3195</v>
      </c>
      <c r="H10" t="s">
        <v>306</v>
      </c>
    </row>
    <row r="11" spans="1:8">
      <c r="A11" t="s">
        <v>69</v>
      </c>
      <c r="B11" t="s">
        <v>70</v>
      </c>
      <c r="C11" s="24"/>
      <c r="D11" s="24" t="s">
        <v>3196</v>
      </c>
      <c r="E11" s="24" t="s">
        <v>164</v>
      </c>
      <c r="H11" t="s">
        <v>327</v>
      </c>
    </row>
    <row r="12" spans="1:8">
      <c r="A12" t="s">
        <v>79</v>
      </c>
      <c r="B12" t="s">
        <v>80</v>
      </c>
      <c r="C12" s="24"/>
      <c r="D12" s="24" t="s">
        <v>3197</v>
      </c>
      <c r="E12" s="24" t="s">
        <v>178</v>
      </c>
    </row>
    <row r="13" spans="1:8">
      <c r="A13" t="s">
        <v>85</v>
      </c>
      <c r="B13" t="s">
        <v>86</v>
      </c>
      <c r="C13" s="24"/>
      <c r="D13" s="24" t="s">
        <v>25</v>
      </c>
      <c r="E13" t="s">
        <v>174</v>
      </c>
    </row>
    <row r="14" spans="1:8">
      <c r="A14" t="s">
        <v>89</v>
      </c>
      <c r="B14" t="s">
        <v>90</v>
      </c>
      <c r="C14" s="24"/>
      <c r="D14" s="24" t="s">
        <v>3198</v>
      </c>
      <c r="E14" t="s">
        <v>3199</v>
      </c>
    </row>
    <row r="15" spans="1:8">
      <c r="A15" t="s">
        <v>111</v>
      </c>
      <c r="B15" t="s">
        <v>112</v>
      </c>
      <c r="C15" s="24"/>
      <c r="D15" s="24" t="s">
        <v>3200</v>
      </c>
      <c r="E15" t="s">
        <v>3201</v>
      </c>
    </row>
    <row r="16" spans="1:8">
      <c r="A16" t="s">
        <v>107</v>
      </c>
      <c r="B16" t="s">
        <v>108</v>
      </c>
      <c r="C16" s="24"/>
      <c r="D16" s="24" t="s">
        <v>3202</v>
      </c>
      <c r="E16" t="s">
        <v>254</v>
      </c>
    </row>
    <row r="17" spans="1:5">
      <c r="A17" t="s">
        <v>114</v>
      </c>
      <c r="B17" t="s">
        <v>115</v>
      </c>
      <c r="D17" s="24" t="s">
        <v>3203</v>
      </c>
      <c r="E17" t="s">
        <v>296</v>
      </c>
    </row>
    <row r="18" spans="1:5">
      <c r="A18" t="s">
        <v>121</v>
      </c>
      <c r="B18" t="s">
        <v>122</v>
      </c>
      <c r="D18" t="s">
        <v>81</v>
      </c>
    </row>
    <row r="19" spans="1:5">
      <c r="A19" t="s">
        <v>128</v>
      </c>
      <c r="B19" t="s">
        <v>129</v>
      </c>
      <c r="D19" t="s">
        <v>3204</v>
      </c>
    </row>
    <row r="20" spans="1:5">
      <c r="A20" t="s">
        <v>135</v>
      </c>
      <c r="B20" t="s">
        <v>136</v>
      </c>
      <c r="D20" t="s">
        <v>163</v>
      </c>
    </row>
    <row r="21" spans="1:5">
      <c r="A21" t="s">
        <v>139</v>
      </c>
      <c r="B21" t="s">
        <v>140</v>
      </c>
      <c r="D21" t="s">
        <v>168</v>
      </c>
    </row>
    <row r="22" spans="1:5">
      <c r="A22" t="s">
        <v>145</v>
      </c>
      <c r="B22" t="s">
        <v>146</v>
      </c>
      <c r="D22" t="s">
        <v>172</v>
      </c>
    </row>
    <row r="23" spans="1:5">
      <c r="A23" t="s">
        <v>154</v>
      </c>
      <c r="B23" t="s">
        <v>155</v>
      </c>
      <c r="D23" t="s">
        <v>182</v>
      </c>
    </row>
    <row r="24" spans="1:5">
      <c r="A24" t="s">
        <v>158</v>
      </c>
      <c r="B24" t="s">
        <v>159</v>
      </c>
      <c r="D24" t="s">
        <v>186</v>
      </c>
    </row>
    <row r="25" spans="1:5">
      <c r="A25" t="s">
        <v>162</v>
      </c>
      <c r="B25" t="s">
        <v>162</v>
      </c>
      <c r="D25" t="s">
        <v>190</v>
      </c>
    </row>
    <row r="26" spans="1:5">
      <c r="A26" t="s">
        <v>166</v>
      </c>
      <c r="B26" t="s">
        <v>167</v>
      </c>
      <c r="D26" t="s">
        <v>193</v>
      </c>
    </row>
    <row r="27" spans="1:5">
      <c r="A27" t="s">
        <v>170</v>
      </c>
      <c r="B27" t="s">
        <v>171</v>
      </c>
      <c r="D27" t="s">
        <v>308</v>
      </c>
    </row>
    <row r="28" spans="1:5">
      <c r="A28" t="s">
        <v>176</v>
      </c>
      <c r="B28" t="s">
        <v>177</v>
      </c>
      <c r="D28" t="s">
        <v>281</v>
      </c>
    </row>
    <row r="29" spans="1:5">
      <c r="A29" t="s">
        <v>180</v>
      </c>
      <c r="B29" t="s">
        <v>181</v>
      </c>
    </row>
    <row r="30" spans="1:5">
      <c r="A30" t="s">
        <v>184</v>
      </c>
      <c r="B30" t="s">
        <v>185</v>
      </c>
    </row>
    <row r="31" spans="1:5">
      <c r="A31" t="s">
        <v>188</v>
      </c>
      <c r="B31" t="s">
        <v>189</v>
      </c>
    </row>
    <row r="32" spans="1:5">
      <c r="A32" t="s">
        <v>192</v>
      </c>
      <c r="B32" t="s">
        <v>192</v>
      </c>
    </row>
    <row r="33" spans="1:2">
      <c r="A33" t="s">
        <v>224</v>
      </c>
      <c r="B33" t="s">
        <v>225</v>
      </c>
    </row>
    <row r="34" spans="1:2">
      <c r="A34" t="s">
        <v>227</v>
      </c>
      <c r="B34" t="s">
        <v>227</v>
      </c>
    </row>
    <row r="35" spans="1:2">
      <c r="A35" t="s">
        <v>125</v>
      </c>
      <c r="B35" t="s">
        <v>126</v>
      </c>
    </row>
    <row r="36" spans="1:2">
      <c r="A36" t="s">
        <v>241</v>
      </c>
      <c r="B36" t="s">
        <v>242</v>
      </c>
    </row>
    <row r="37" spans="1:2">
      <c r="A37" t="s">
        <v>245</v>
      </c>
      <c r="B37" t="s">
        <v>246</v>
      </c>
    </row>
    <row r="38" spans="1:2">
      <c r="A38" t="s">
        <v>252</v>
      </c>
      <c r="B38" t="s">
        <v>253</v>
      </c>
    </row>
    <row r="39" spans="1:2">
      <c r="A39" t="s">
        <v>256</v>
      </c>
      <c r="B39" t="s">
        <v>257</v>
      </c>
    </row>
    <row r="40" spans="1:2">
      <c r="A40" t="s">
        <v>259</v>
      </c>
      <c r="B40" t="s">
        <v>260</v>
      </c>
    </row>
    <row r="41" spans="1:2">
      <c r="A41" t="s">
        <v>262</v>
      </c>
      <c r="B41" t="s">
        <v>262</v>
      </c>
    </row>
    <row r="42" spans="1:2">
      <c r="A42" t="s">
        <v>278</v>
      </c>
      <c r="B42" t="s">
        <v>279</v>
      </c>
    </row>
    <row r="43" spans="1:2">
      <c r="A43" t="s">
        <v>294</v>
      </c>
      <c r="B43" t="s">
        <v>295</v>
      </c>
    </row>
    <row r="44" spans="1:2">
      <c r="A44" t="s">
        <v>299</v>
      </c>
      <c r="B44" t="s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3205</v>
      </c>
    </row>
    <row r="2" spans="1:2">
      <c r="B2" t="s">
        <v>3206</v>
      </c>
    </row>
    <row r="3" spans="1:2" ht="18" customHeight="1">
      <c r="A3" s="11" t="s">
        <v>3207</v>
      </c>
      <c r="B3" s="12"/>
    </row>
    <row r="4" spans="1:2" ht="30" customHeight="1">
      <c r="A4" s="25" t="s">
        <v>3208</v>
      </c>
      <c r="B4" s="26" t="s">
        <v>3209</v>
      </c>
    </row>
    <row r="5" spans="1:2" ht="30" customHeight="1">
      <c r="A5" s="25" t="s">
        <v>3210</v>
      </c>
      <c r="B5" s="26" t="s">
        <v>3211</v>
      </c>
    </row>
    <row r="6" spans="1:2" ht="30" customHeight="1">
      <c r="A6" s="25" t="s">
        <v>3212</v>
      </c>
      <c r="B6" s="26" t="s">
        <v>3213</v>
      </c>
    </row>
    <row r="7" spans="1:2" ht="18" customHeight="1">
      <c r="A7" s="27"/>
      <c r="B7" s="27"/>
    </row>
    <row r="8" spans="1:2" ht="18" customHeight="1">
      <c r="A8" s="11" t="s">
        <v>3214</v>
      </c>
      <c r="B8" s="12"/>
    </row>
    <row r="9" spans="1:2" ht="30" customHeight="1">
      <c r="A9" s="25" t="s">
        <v>3215</v>
      </c>
      <c r="B9" s="26" t="s">
        <v>3216</v>
      </c>
    </row>
    <row r="10" spans="1:2" ht="30" customHeight="1">
      <c r="A10" s="25" t="s">
        <v>3217</v>
      </c>
      <c r="B10" s="26" t="s">
        <v>3218</v>
      </c>
    </row>
    <row r="11" spans="1:2" ht="30" customHeight="1">
      <c r="A11" s="25" t="s">
        <v>3219</v>
      </c>
      <c r="B11" s="26" t="s">
        <v>3220</v>
      </c>
    </row>
    <row r="12" spans="1:2" ht="30" customHeight="1">
      <c r="A12" s="25" t="s">
        <v>3221</v>
      </c>
      <c r="B12" s="26" t="s">
        <v>3222</v>
      </c>
    </row>
    <row r="13" spans="1:2" ht="30" customHeight="1">
      <c r="A13" s="25" t="s">
        <v>3223</v>
      </c>
      <c r="B13" s="26" t="s">
        <v>3224</v>
      </c>
    </row>
    <row r="14" spans="1:2" ht="18" customHeight="1">
      <c r="A14" s="27"/>
      <c r="B14" s="27"/>
    </row>
    <row r="15" spans="1:2" ht="18" customHeight="1">
      <c r="A15" s="11" t="s">
        <v>3225</v>
      </c>
      <c r="B15" s="12"/>
    </row>
    <row r="16" spans="1:2" ht="30" customHeight="1">
      <c r="A16" s="25" t="s">
        <v>3226</v>
      </c>
      <c r="B16" s="26" t="s">
        <v>3227</v>
      </c>
    </row>
    <row r="17" spans="1:2" ht="18" customHeight="1">
      <c r="A17" s="27"/>
      <c r="B17" s="27"/>
    </row>
    <row r="18" spans="1:2" ht="18" customHeight="1">
      <c r="A18" s="11" t="s">
        <v>3228</v>
      </c>
      <c r="B18" s="12"/>
    </row>
    <row r="19" spans="1:2" ht="30" customHeight="1">
      <c r="A19" s="25" t="s">
        <v>3229</v>
      </c>
      <c r="B19" s="26" t="s">
        <v>3230</v>
      </c>
    </row>
    <row r="20" spans="1:2" ht="30" customHeight="1">
      <c r="A20" s="25" t="s">
        <v>3231</v>
      </c>
      <c r="B20" s="26" t="s">
        <v>3232</v>
      </c>
    </row>
    <row r="21" spans="1:2" ht="30" customHeight="1">
      <c r="A21" s="25" t="s">
        <v>3233</v>
      </c>
      <c r="B21" s="26" t="s">
        <v>3234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2026-05-12T12:29:13Z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